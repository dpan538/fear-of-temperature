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ac4d25f0064227" /></Relationships>
</file>

<file path=xl/workbook.xml><?xml version="1.0" encoding="utf-8"?>
<x:workbook xmlns:x="http://schemas.openxmlformats.org/spreadsheetml/2006/main">
  <x:sheets>
    <x:sheet xmlns:r="http://schemas.openxmlformats.org/officeDocument/2006/relationships" name="Supervisor Dashboard" sheetId="1" r:id="R560d1d06191e45c5"/>
    <x:sheet xmlns:r="http://schemas.openxmlformats.org/officeDocument/2006/relationships" name="Analysis Guide" sheetId="2" r:id="Rc843096cdbbb4abe"/>
    <x:sheet xmlns:r="http://schemas.openxmlformats.org/officeDocument/2006/relationships" name="Relationship Summary" sheetId="3" r:id="R9eb648c800db447d"/>
    <x:sheet xmlns:r="http://schemas.openxmlformats.org/officeDocument/2006/relationships" name="Anchor Layer" sheetId="4" r:id="Rfd09da508fa0497a"/>
    <x:sheet xmlns:r="http://schemas.openxmlformats.org/officeDocument/2006/relationships" name="Anchor Voice" sheetId="5" r:id="Rbde9e175b8d74668"/>
    <x:sheet xmlns:r="http://schemas.openxmlformats.org/officeDocument/2006/relationships" name="Anchor Family" sheetId="6" r:id="Rd5d8f2ee8910462b"/>
    <x:sheet xmlns:r="http://schemas.openxmlformats.org/officeDocument/2006/relationships" name="Voice Family" sheetId="7" r:id="Rd0ef04b259234f71"/>
    <x:sheet xmlns:r="http://schemas.openxmlformats.org/officeDocument/2006/relationships" name="Candidate Relations" sheetId="8" r:id="R32b53b38a438472b"/>
    <x:sheet xmlns:r="http://schemas.openxmlformats.org/officeDocument/2006/relationships" name="Comparability" sheetId="9" r:id="R43c8d86f13a34764"/>
    <x:sheet xmlns:r="http://schemas.openxmlformats.org/officeDocument/2006/relationships" name="Ngram Trajectories" sheetId="10" r:id="Rf8c33cd1ab5447ce"/>
    <x:sheet xmlns:r="http://schemas.openxmlformats.org/officeDocument/2006/relationships" name="Dictionary Analysis" sheetId="11" r:id="R3a61ed05f83a4b59"/>
    <x:sheet xmlns:r="http://schemas.openxmlformats.org/officeDocument/2006/relationships" name="Search Analysis" sheetId="12" r:id="Rd37dc1802a4c40ae"/>
    <x:sheet xmlns:r="http://schemas.openxmlformats.org/officeDocument/2006/relationships" name="Coverage Bias" sheetId="13" r:id="R9f570b1c6ad04742"/>
    <x:sheet xmlns:r="http://schemas.openxmlformats.org/officeDocument/2006/relationships" name="Semantic Shortlist" sheetId="14" r:id="R217c1494ceee40a6"/>
    <x:sheet xmlns:r="http://schemas.openxmlformats.org/officeDocument/2006/relationships" name="Priority 180 Coverage" sheetId="15" r:id="R7a4b09e240a547fb"/>
    <x:sheet xmlns:r="http://schemas.openxmlformats.org/officeDocument/2006/relationships" name="Ngram Coverage" sheetId="16" r:id="Rad639626643942b9"/>
    <x:sheet xmlns:r="http://schemas.openxmlformats.org/officeDocument/2006/relationships" name="Dictionary 180" sheetId="17" r:id="Rc2c185bb0ad24bc2"/>
    <x:sheet xmlns:r="http://schemas.openxmlformats.org/officeDocument/2006/relationships" name="Search 180" sheetId="18" r:id="Rc14e8cd51d754e78"/>
    <x:sheet xmlns:r="http://schemas.openxmlformats.org/officeDocument/2006/relationships" name="Seed Ledger" sheetId="19" r:id="R2fe8bff1f1fb4bc0"/>
    <x:sheet xmlns:r="http://schemas.openxmlformats.org/officeDocument/2006/relationships" name="Master Frequency" sheetId="20" r:id="R990b5423898c46eb"/>
    <x:sheet xmlns:r="http://schemas.openxmlformats.org/officeDocument/2006/relationships" name="Anchor Matrix" sheetId="21" r:id="Rfb0e3fe1217a4c7d"/>
    <x:sheet xmlns:r="http://schemas.openxmlformats.org/officeDocument/2006/relationships" name="Family Summary" sheetId="22" r:id="Rae8ca505611e4d7b"/>
    <x:sheet xmlns:r="http://schemas.openxmlformats.org/officeDocument/2006/relationships" name="Voice Matrix" sheetId="23" r:id="Rafc801dd7ed14b7f"/>
    <x:sheet xmlns:r="http://schemas.openxmlformats.org/officeDocument/2006/relationships" name="Query Audit" sheetId="24" r:id="R96010490d7014fb2"/>
    <x:sheet xmlns:r="http://schemas.openxmlformats.org/officeDocument/2006/relationships" name="Ngram Status" sheetId="25" r:id="R8e36df80930f46be"/>
    <x:sheet xmlns:r="http://schemas.openxmlformats.org/officeDocument/2006/relationships" name="Keyword Discovery Method" sheetId="26" r:id="R28d1b21c31d24067"/>
    <x:sheet xmlns:r="http://schemas.openxmlformats.org/officeDocument/2006/relationships" name="Summary" sheetId="27" r:id="R72b9232d9380403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00000E+00"/>
  </x:numFmts>
  <x:fonts count="30">
    <x:font>
      <x:sz val="11"/>
      <x:name val="Carlito"/>
    </x:font>
    <x:font>
      <x:b/>
      <x:sz val="18"/>
      <x:color rgb="FFFFFFFF"/>
      <x:name val="Arial"/>
    </x:font>
    <x:font>
      <x:i/>
      <x:sz val="10"/>
      <x:color rgb="FF17324D"/>
      <x:name val="Arial"/>
    </x:font>
    <x:font>
      <x:sz val="9"/>
      <x:color rgb="FF243B53"/>
      <x:name val="Arial"/>
    </x:font>
    <x:font>
      <x:b/>
      <x:sz val="9"/>
      <x:color rgb="FFFFFFFF"/>
      <x:name val="Arial"/>
    </x:font>
    <x:font>
      <x:sz val="10"/>
      <x:color rgb="FF243B53"/>
      <x:name val="Arial"/>
    </x:font>
    <x:font>
      <x:b/>
      <x:sz val="10"/>
      <x:color rgb="FFFFFFFF"/>
      <x:name val="Arial"/>
    </x:font>
    <x:font>
      <x:b/>
      <x:sz val="14"/>
      <x:color rgb="FF7B341E"/>
      <x:name val="Arial"/>
    </x:font>
    <x:font>
      <x:b/>
      <x:sz val="11"/>
      <x:color rgb="FF6B5CA5"/>
      <x:name val="Arial"/>
    </x:font>
    <x:font>
      <x:sz val="12"/>
      <x:color rgb="FF7B341E"/>
      <x:name val="Arial"/>
    </x:font>
    <x:font>
      <x:b/>
      <x:sz val="12"/>
      <x:color rgb="FFFFFFFF"/>
      <x:name val="Arial"/>
    </x:font>
    <x:font>
      <x:sz val="12"/>
      <x:color rgb="FF17324D"/>
      <x:name val="Arial"/>
    </x:font>
    <x:font>
      <x:b/>
      <x:sz val="8"/>
      <x:color rgb="FF17324D"/>
      <x:name val="Arial"/>
    </x:font>
    <x:font>
      <x:b/>
      <x:sz val="15"/>
      <x:color rgb="FF7B341E"/>
      <x:name val="Arial"/>
    </x:font>
    <x:font>
      <x:sz val="10"/>
      <x:color rgb="FF17324D"/>
      <x:name val="Arial"/>
    </x:font>
    <x:font>
      <x:sz val="11"/>
      <x:color rgb="FF6B5CA5"/>
      <x:name val="Arial"/>
    </x:font>
    <x:font>
      <x:sz val="11"/>
      <x:color rgb="FF243B53"/>
      <x:name val="Arial"/>
    </x:font>
    <x:font>
      <x:b/>
      <x:sz val="11"/>
      <x:color rgb="FFFFFFFF"/>
      <x:name val="Arial"/>
    </x:font>
    <x:font>
      <x:b/>
      <x:sz val="12"/>
      <x:color rgb="FF7B341E"/>
      <x:name val="Arial"/>
    </x:font>
    <x:font>
      <x:i/>
      <x:sz val="11"/>
      <x:color rgb="FF667085"/>
      <x:name val="Arial"/>
    </x:font>
    <x:font>
      <x:b/>
      <x:sz val="24"/>
      <x:color rgb="FFFFFFFF"/>
      <x:name val="Arial"/>
    </x:font>
    <x:font>
      <x:b/>
      <x:sz val="19"/>
      <x:color rgb="FF0B6E75"/>
      <x:name val="Arial"/>
    </x:font>
    <x:font>
      <x:b/>
      <x:sz val="19"/>
      <x:color rgb="FF6B5CA5"/>
      <x:name val="Arial"/>
    </x:font>
    <x:font>
      <x:b/>
      <x:sz val="19"/>
      <x:color rgb="FFC65D3B"/>
      <x:name val="Arial"/>
    </x:font>
    <x:font>
      <x:b/>
      <x:sz val="19"/>
      <x:color rgb="FF2E7D5B"/>
      <x:name val="Arial"/>
    </x:font>
    <x:font>
      <x:b/>
      <x:sz val="12"/>
      <x:color rgb="FF17324D"/>
      <x:name val="Arial"/>
    </x:font>
    <x:font>
      <x:b/>
      <x:sz val="11"/>
      <x:color rgb="FF0B6E75"/>
      <x:name val="Arial"/>
    </x:font>
    <x:font>
      <x:i/>
      <x:sz val="10"/>
      <x:color rgb="FF667085"/>
      <x:name val="Arial"/>
    </x:font>
    <x:font>
      <x:b/>
      <x:sz val="13"/>
      <x:color rgb="FF7B5B12"/>
      <x:name val="Arial"/>
    </x:font>
    <x:font>
      <x:sz val="11"/>
      <x:name val="Arial"/>
    </x:font>
  </x:fonts>
  <x:fills count="16">
    <x:fill>
      <x:patternFill patternType="none"/>
    </x:fill>
    <x:fill>
      <x:patternFill patternType="gray125"/>
    </x:fill>
    <x:fill>
      <x:patternFill patternType="solid">
        <x:fgColor rgb="FF102A43"/>
      </x:patternFill>
    </x:fill>
    <x:fill>
      <x:patternFill patternType="solid">
        <x:fgColor rgb="FFD9EAF0"/>
      </x:patternFill>
    </x:fill>
    <x:fill>
      <x:patternFill patternType="solid">
        <x:fgColor rgb="FF17324D"/>
      </x:patternFill>
    </x:fill>
    <x:fill>
      <x:patternFill patternType="solid">
        <x:fgColor rgb="FF0B6E75"/>
      </x:patternFill>
    </x:fill>
    <x:fill>
      <x:patternFill patternType="solid">
        <x:fgColor rgb="FFFFF3EC"/>
      </x:patternFill>
    </x:fill>
    <x:fill>
      <x:patternFill patternType="solid">
        <x:fgColor rgb="FFF3F0F8"/>
      </x:patternFill>
    </x:fill>
    <x:fill>
      <x:patternFill patternType="solid">
        <x:fgColor rgb="FF6B5CA5"/>
      </x:patternFill>
    </x:fill>
    <x:fill>
      <x:patternFill patternType="solid">
        <x:fgColor rgb="FFD9F0F0"/>
      </x:patternFill>
    </x:fill>
    <x:fill>
      <x:patternFill patternType="solid">
        <x:fgColor rgb="FFE8F1FB"/>
      </x:patternFill>
    </x:fill>
    <x:fill>
      <x:patternFill patternType="solid">
        <x:fgColor rgb="FFF2F4F7"/>
      </x:patternFill>
    </x:fill>
    <x:fill>
      <x:patternFill patternType="solid">
        <x:fgColor rgb="FFFFFFFF"/>
      </x:patternFill>
    </x:fill>
    <x:fill>
      <x:patternFill patternType="solid">
        <x:fgColor rgb="FFC65D3B"/>
      </x:patternFill>
    </x:fill>
    <x:fill>
      <x:patternFill patternType="solid">
        <x:fgColor rgb="FF2E7D5B"/>
      </x:patternFill>
    </x:fill>
    <x:fill>
      <x:patternFill patternType="solid">
        <x:fgColor rgb="FFFFF8E7"/>
      </x:patternFill>
    </x:fill>
  </x:fills>
  <x:borders count="20">
    <x:border/>
    <x:border>
      <x:left style="thin">
        <x:color rgb="FFD9E2EC"/>
      </x:left>
      <x:right style="thin">
        <x:color rgb="FFD9E2EC"/>
      </x:right>
      <x:top style="thin">
        <x:color rgb="FFD9E2EC"/>
      </x:top>
      <x:bottom style="thin">
        <x:color rgb="FFD9E2EC"/>
      </x:bottom>
    </x:border>
    <x:border>
      <x:right style="thin">
        <x:color rgb="FFE8EEF3"/>
      </x:right>
      <x:bottom style="thin">
        <x:color rgb="FFE8EEF3"/>
      </x:bottom>
    </x:border>
    <x:border>
      <x:left style="thin">
        <x:color rgb="FFE8EEF3"/>
      </x:left>
      <x:right style="thin">
        <x:color rgb="FFE8EEF3"/>
      </x:right>
      <x:bottom style="thin">
        <x:color rgb="FFE8EEF3"/>
      </x:bottom>
    </x:border>
    <x:border>
      <x:left style="thin">
        <x:color rgb="FFE8EEF3"/>
      </x:left>
      <x:bottom style="thin">
        <x:color rgb="FFE8EEF3"/>
      </x:bottom>
    </x:border>
    <x:border>
      <x:right style="thin">
        <x:color rgb="FFE8EEF3"/>
      </x:right>
      <x:top style="thin">
        <x:color rgb="FFE8EEF3"/>
      </x:top>
      <x:bottom style="thin">
        <x:color rgb="FFE8EEF3"/>
      </x:bottom>
    </x:border>
    <x:border>
      <x:left style="thin">
        <x:color rgb="FFE8EEF3"/>
      </x:left>
      <x:right style="thin">
        <x:color rgb="FFE8EEF3"/>
      </x:right>
      <x:top style="thin">
        <x:color rgb="FFE8EEF3"/>
      </x:top>
      <x:bottom style="thin">
        <x:color rgb="FFE8EEF3"/>
      </x:bottom>
    </x:border>
    <x:border>
      <x:left style="thin">
        <x:color rgb="FFE8EEF3"/>
      </x:left>
      <x:top style="thin">
        <x:color rgb="FFE8EEF3"/>
      </x:top>
      <x:bottom style="thin">
        <x:color rgb="FFE8EEF3"/>
      </x:bottom>
    </x:border>
    <x:border>
      <x:right style="thin">
        <x:color rgb="FFE8EEF3"/>
      </x:right>
      <x:top style="thin">
        <x:color rgb="FFE8EEF3"/>
      </x:top>
    </x:border>
    <x:border>
      <x:left style="thin">
        <x:color rgb="FFE8EEF3"/>
      </x:left>
      <x:right style="thin">
        <x:color rgb="FFE8EEF3"/>
      </x:right>
      <x:top style="thin">
        <x:color rgb="FFE8EEF3"/>
      </x:top>
    </x:border>
    <x:border>
      <x:left style="thin">
        <x:color rgb="FFE8EEF3"/>
      </x:left>
      <x:top style="thin">
        <x:color rgb="FFE8EEF3"/>
      </x:top>
    </x:border>
    <x:border>
      <x:left style="thin">
        <x:color rgb="FF0B6E75"/>
      </x:left>
      <x:right style="thin">
        <x:color rgb="FF0B6E75"/>
      </x:right>
      <x:top style="thin">
        <x:color rgb="FF0B6E75"/>
      </x:top>
      <x:bottom style="thin">
        <x:color rgb="FF0B6E75"/>
      </x:bottom>
    </x:border>
    <x:border>
      <x:left style="medium">
        <x:color rgb="FFC65D3B"/>
      </x:left>
      <x:right style="medium">
        <x:color rgb="FFC65D3B"/>
      </x:right>
      <x:top style="medium">
        <x:color rgb="FFC65D3B"/>
      </x:top>
      <x:bottom style="medium">
        <x:color rgb="FFC65D3B"/>
      </x:bottom>
    </x:border>
    <x:border>
      <x:left style="thin">
        <x:color rgb="FF6B5CA5"/>
      </x:left>
      <x:right style="thin">
        <x:color rgb="FF6B5CA5"/>
      </x:right>
      <x:top style="thin">
        <x:color rgb="FF6B5CA5"/>
      </x:top>
      <x:bottom style="thin">
        <x:color rgb="FF6B5CA5"/>
      </x:bottom>
    </x:border>
    <x:border>
      <x:left style="medium">
        <x:color rgb="FF0B6E75"/>
      </x:left>
      <x:right style="medium">
        <x:color rgb="FF0B6E75"/>
      </x:right>
      <x:top style="medium">
        <x:color rgb="FF0B6E75"/>
      </x:top>
      <x:bottom style="medium">
        <x:color rgb="FF0B6E75"/>
      </x:bottom>
    </x:border>
    <x:border>
      <x:left style="medium">
        <x:color rgb="FF6B5CA5"/>
      </x:left>
      <x:right style="medium">
        <x:color rgb="FF6B5CA5"/>
      </x:right>
      <x:top style="medium">
        <x:color rgb="FF6B5CA5"/>
      </x:top>
      <x:bottom style="medium">
        <x:color rgb="FF6B5CA5"/>
      </x:bottom>
    </x:border>
    <x:border>
      <x:left style="thin">
        <x:color rgb="FFC65D3B"/>
      </x:left>
      <x:right style="thin">
        <x:color rgb="FFC65D3B"/>
      </x:right>
      <x:top style="thin">
        <x:color rgb="FFC65D3B"/>
      </x:top>
      <x:bottom style="thin">
        <x:color rgb="FFC65D3B"/>
      </x:bottom>
    </x:border>
    <x:border>
      <x:left style="thin">
        <x:color rgb="FF2E7D5B"/>
      </x:left>
      <x:right style="thin">
        <x:color rgb="FF2E7D5B"/>
      </x:right>
      <x:top style="thin">
        <x:color rgb="FF2E7D5B"/>
      </x:top>
      <x:bottom style="thin">
        <x:color rgb="FF2E7D5B"/>
      </x:bottom>
    </x:border>
    <x:border>
      <x:left style="medium">
        <x:color rgb="FF2E7D5B"/>
      </x:left>
      <x:right style="medium">
        <x:color rgb="FF2E7D5B"/>
      </x:right>
      <x:top style="medium">
        <x:color rgb="FF2E7D5B"/>
      </x:top>
      <x:bottom style="medium">
        <x:color rgb="FF2E7D5B"/>
      </x:bottom>
    </x:border>
    <x:border>
      <x:left style="medium">
        <x:color rgb="FFD49B28"/>
      </x:left>
      <x:right style="medium">
        <x:color rgb="FFD49B28"/>
      </x:right>
      <x:top style="medium">
        <x:color rgb="FFD49B28"/>
      </x:top>
      <x:bottom style="medium">
        <x:color rgb="FFD49B28"/>
      </x:bottom>
    </x:border>
  </x:borders>
  <x:cellStyleXfs count="1">
    <x:xf numFmtId="0" fontId="0" fillId="0" borderId="0"/>
  </x:cellStyleXfs>
  <x:cellXfs count="20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applyAlignment="1">
      <x:alignment vertical="top"/>
    </x:xf>
    <x:xf numFmtId="0" fontId="3" fillId="4" borderId="0" xfId="0" applyNumberFormat="1" applyFont="1" applyFill="1" applyBorder="1" applyAlignment="1">
      <x:alignment vertical="top"/>
    </x:xf>
    <x:xf numFmtId="0" fontId="4" fillId="4" borderId="0" xfId="0" applyNumberFormat="1" applyFont="1" applyFill="1" applyBorder="1" applyAlignment="1">
      <x:alignment vertical="top"/>
    </x:xf>
    <x:xf numFmtId="0" fontId="4" fillId="4" borderId="1" xfId="0" applyNumberFormat="1" applyFont="1" applyFill="1" applyBorder="1" applyAlignment="1">
      <x:alignment vertical="top"/>
    </x:xf>
    <x:xf numFmtId="0" fontId="4" fillId="4" borderId="1" xfId="0" applyNumberFormat="1" applyFont="1" applyFill="1" applyBorder="1" applyAlignment="1">
      <x:alignment vertical="top" wrapText="1"/>
    </x:xf>
    <x:xf numFmtId="0" fontId="4" fillId="4" borderId="1" xfId="0" applyNumberFormat="1" applyFont="1" applyFill="1" applyBorder="1" applyAlignment="1">
      <x:alignment vertical="center" wrapText="1"/>
    </x:xf>
    <x:xf numFmtId="0" fontId="3" fillId="0" borderId="2" xfId="0" applyNumberFormat="1" applyFont="1" applyFill="1" applyBorder="1" applyAlignment="1">
      <x:alignment vertical="top"/>
    </x:xf>
    <x:xf numFmtId="0" fontId="3" fillId="0" borderId="3" xfId="0" applyNumberFormat="1" applyFont="1" applyFill="1" applyBorder="1" applyAlignment="1">
      <x:alignment vertical="top"/>
    </x:xf>
    <x:xf numFmtId="0" fontId="3" fillId="0" borderId="4" xfId="0" applyNumberFormat="1" applyFont="1" applyFill="1" applyBorder="1" applyAlignment="1">
      <x:alignment vertical="top"/>
    </x:xf>
    <x:xf numFmtId="0" fontId="3" fillId="0" borderId="5" xfId="0" applyNumberFormat="1" applyFont="1" applyFill="1" applyBorder="1" applyAlignment="1">
      <x:alignment vertical="top"/>
    </x:xf>
    <x:xf numFmtId="0" fontId="3" fillId="0" borderId="6" xfId="0" applyNumberFormat="1" applyFont="1" applyFill="1" applyBorder="1" applyAlignment="1">
      <x:alignment vertical="top"/>
    </x:xf>
    <x:xf numFmtId="0" fontId="3" fillId="0" borderId="7" xfId="0" applyNumberFormat="1" applyFont="1" applyFill="1" applyBorder="1" applyAlignment="1">
      <x:alignment vertical="top"/>
    </x:xf>
    <x:xf numFmtId="0" fontId="3" fillId="0" borderId="8" xfId="0" applyNumberFormat="1" applyFont="1" applyFill="1" applyBorder="1" applyAlignment="1">
      <x:alignment vertical="top"/>
    </x:xf>
    <x:xf numFmtId="0" fontId="3" fillId="0" borderId="9" xfId="0" applyNumberFormat="1" applyFont="1" applyFill="1" applyBorder="1" applyAlignment="1">
      <x:alignment vertical="top"/>
    </x:xf>
    <x:xf numFmtId="0" fontId="3" fillId="0" borderId="10" xfId="0" applyNumberFormat="1" applyFont="1" applyFill="1" applyBorder="1" applyAlignment="1">
      <x:alignment vertical="top"/>
    </x:xf>
    <x:xf numFmtId="200" fontId="3" fillId="0" borderId="3" xfId="0" applyNumberFormat="1" applyFont="1" applyFill="1" applyBorder="1" applyAlignment="1">
      <x:alignment vertical="top"/>
    </x:xf>
    <x:xf numFmtId="200" fontId="3" fillId="0" borderId="6" xfId="0" applyNumberFormat="1" applyFont="1" applyFill="1" applyBorder="1" applyAlignment="1">
      <x:alignment vertical="top"/>
    </x:xf>
    <x:xf numFmtId="200" fontId="3" fillId="0" borderId="9" xfId="0" applyNumberFormat="1" applyFont="1" applyFill="1" applyBorder="1" applyAlignment="1">
      <x:alignment vertical="top"/>
    </x:xf>
    <x:xf numFmtId="201" fontId="3" fillId="0" borderId="3" xfId="0" applyNumberFormat="1" applyFont="1" applyFill="1" applyBorder="1" applyAlignment="1">
      <x:alignment vertical="top"/>
    </x:xf>
    <x:xf numFmtId="201" fontId="3" fillId="0" borderId="6" xfId="0" applyNumberFormat="1" applyFont="1" applyFill="1" applyBorder="1" applyAlignment="1">
      <x:alignment vertical="top"/>
    </x:xf>
    <x:xf numFmtId="201" fontId="3" fillId="0" borderId="9" xfId="0" applyNumberFormat="1" applyFont="1" applyFill="1" applyBorder="1" applyAlignment="1">
      <x:alignment vertical="top"/>
    </x:xf>
    <x:xf numFmtId="0" fontId="3" fillId="0" borderId="3"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3" fillId="0" borderId="9" xfId="0" applyNumberFormat="1" applyFont="1" applyFill="1" applyBorder="1" applyAlignment="1">
      <x:alignment vertical="top" wrapText="1"/>
    </x:xf>
    <x:xf numFmtId="201" fontId="3" fillId="0" borderId="4" xfId="0" applyNumberFormat="1" applyFont="1" applyFill="1" applyBorder="1" applyAlignment="1">
      <x:alignment vertical="top"/>
    </x:xf>
    <x:xf numFmtId="201" fontId="3" fillId="0" borderId="7" xfId="0" applyNumberFormat="1" applyFont="1" applyFill="1" applyBorder="1" applyAlignment="1">
      <x:alignment vertical="top"/>
    </x:xf>
    <x:xf numFmtId="201" fontId="3" fillId="0" borderId="10" xfId="0" applyNumberFormat="1" applyFont="1" applyFill="1" applyBorder="1" applyAlignment="1">
      <x:alignment vertical="top"/>
    </x:xf>
    <x:xf numFmtId="200" fontId="3" fillId="0" borderId="4" xfId="0" applyNumberFormat="1" applyFont="1" applyFill="1" applyBorder="1" applyAlignment="1">
      <x:alignment vertical="top"/>
    </x:xf>
    <x:xf numFmtId="200" fontId="3" fillId="0" borderId="7" xfId="0" applyNumberFormat="1" applyFont="1" applyFill="1" applyBorder="1" applyAlignment="1">
      <x:alignment vertical="top"/>
    </x:xf>
    <x:xf numFmtId="200" fontId="3" fillId="0" borderId="10" xfId="0" applyNumberFormat="1" applyFont="1" applyFill="1" applyBorder="1" applyAlignment="1">
      <x:alignment vertical="top"/>
    </x:xf>
    <x:xf numFmtId="0" fontId="3" fillId="0" borderId="2"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202" fontId="3" fillId="0" borderId="3" xfId="0" applyNumberFormat="1" applyFont="1" applyFill="1" applyBorder="1" applyAlignment="1">
      <x:alignment vertical="top"/>
    </x:xf>
    <x:xf numFmtId="202" fontId="3" fillId="0" borderId="6" xfId="0" applyNumberFormat="1" applyFont="1" applyFill="1" applyBorder="1" applyAlignment="1">
      <x:alignment vertical="top"/>
    </x:xf>
    <x:xf numFmtId="202" fontId="3" fillId="0" borderId="9" xfId="0" applyNumberFormat="1" applyFont="1" applyFill="1" applyBorder="1" applyAlignment="1">
      <x:alignment vertical="top"/>
    </x:xf>
    <x:xf numFmtId="202" fontId="3" fillId="0" borderId="4" xfId="0" applyNumberFormat="1" applyFont="1" applyFill="1" applyBorder="1" applyAlignment="1">
      <x:alignment vertical="top"/>
    </x:xf>
    <x:xf numFmtId="202" fontId="3" fillId="0" borderId="7" xfId="0" applyNumberFormat="1" applyFont="1" applyFill="1" applyBorder="1" applyAlignment="1">
      <x:alignment vertical="top"/>
    </x:xf>
    <x:xf numFmtId="202" fontId="3" fillId="0" borderId="1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6"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9"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0" xfId="0" applyNumberFormat="1" applyFont="1" applyFill="1" applyBorder="1"/>
    <x:xf numFmtId="0" fontId="5" fillId="0" borderId="1" xfId="0" applyNumberFormat="1" applyFont="1" applyFill="1" applyBorder="1"/>
    <x:xf numFmtId="0" fontId="5" fillId="0" borderId="1" xfId="0" applyNumberFormat="1" applyFont="1" applyFill="1" applyBorder="1" applyAlignment="1">
      <x:alignment wrapText="1"/>
    </x:xf>
    <x:xf numFmtId="0" fontId="5" fillId="0"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6" fillId="5" borderId="1" xfId="0" applyNumberFormat="1" applyFont="1" applyFill="1" applyBorder="1" applyAlignment="1">
      <x:alignment vertical="top" wrapText="1"/>
    </x:xf>
    <x:xf numFmtId="0" fontId="6" fillId="5" borderId="11" xfId="0" applyNumberFormat="1" applyFont="1" applyFill="1" applyBorder="1" applyAlignment="1">
      <x:alignment vertical="top" wrapText="1"/>
    </x:xf>
    <x:xf numFmtId="0" fontId="0" fillId="6" borderId="0" xfId="0" applyNumberFormat="1" applyFont="1" applyFill="1" applyBorder="1"/>
    <x:xf numFmtId="0" fontId="7" fillId="6" borderId="0" xfId="0" applyNumberFormat="1" applyFont="1" applyFill="1" applyBorder="1"/>
    <x:xf numFmtId="0" fontId="7" fillId="6" borderId="12" xfId="0" applyNumberFormat="1" applyFont="1" applyFill="1" applyBorder="1"/>
    <x:xf numFmtId="0" fontId="7" fillId="6" borderId="12" xfId="0" applyNumberFormat="1" applyFont="1" applyFill="1" applyBorder="1" applyAlignment="1">
      <x:alignment wrapText="1"/>
    </x:xf>
    <x:xf numFmtId="0" fontId="7" fillId="6" borderId="12" xfId="0" applyNumberFormat="1" applyFont="1" applyFill="1" applyBorder="1" applyAlignment="1">
      <x:alignment horizontal="center" wrapText="1"/>
    </x:xf>
    <x:xf numFmtId="0" fontId="7" fillId="6" borderId="12" xfId="0" applyNumberFormat="1" applyFont="1" applyFill="1" applyBorder="1" applyAlignment="1">
      <x:alignment horizontal="center" vertical="center" wrapText="1"/>
    </x:xf>
    <x:xf numFmtId="0" fontId="0" fillId="7" borderId="0" xfId="0" applyNumberFormat="1" applyFont="1" applyFill="1" applyBorder="1"/>
    <x:xf numFmtId="0" fontId="8" fillId="7" borderId="0" xfId="0" applyNumberFormat="1" applyFont="1" applyFill="1" applyBorder="1"/>
    <x:xf numFmtId="0" fontId="8" fillId="7" borderId="13" xfId="0" applyNumberFormat="1" applyFont="1" applyFill="1" applyBorder="1"/>
    <x:xf numFmtId="0" fontId="8" fillId="7" borderId="13" xfId="0" applyNumberFormat="1" applyFont="1" applyFill="1" applyBorder="1" applyAlignment="1">
      <x:alignment wrapText="1"/>
    </x:xf>
    <x:xf numFmtId="0" fontId="8" fillId="7" borderId="13" xfId="0" applyNumberFormat="1" applyFont="1" applyFill="1" applyBorder="1" applyAlignment="1">
      <x:alignment horizontal="center" wrapText="1"/>
    </x:xf>
    <x:xf numFmtId="0" fontId="8" fillId="7" borderId="13" xfId="0" applyNumberFormat="1" applyFont="1" applyFill="1" applyBorder="1" applyAlignment="1">
      <x:alignment horizontal="center" vertical="center" wrapText="1"/>
    </x:xf>
    <x:xf numFmtId="0" fontId="5" fillId="5" borderId="1" xfId="0" applyNumberFormat="1" applyFont="1" applyFill="1" applyBorder="1"/>
    <x:xf numFmtId="0" fontId="6" fillId="5" borderId="1" xfId="0" applyNumberFormat="1" applyFont="1" applyFill="1" applyBorder="1"/>
    <x:xf numFmtId="0" fontId="5" fillId="8" borderId="1" xfId="0" applyNumberFormat="1" applyFont="1" applyFill="1" applyBorder="1" applyAlignment="1">
      <x:alignment wrapText="1"/>
    </x:xf>
    <x:xf numFmtId="0" fontId="6" fillId="8" borderId="1" xfId="0" applyNumberFormat="1" applyFont="1" applyFill="1" applyBorder="1" applyAlignment="1">
      <x:alignment wrapText="1"/>
    </x:xf>
    <x:xf numFmtId="0" fontId="9" fillId="6" borderId="0" xfId="0" applyNumberFormat="1" applyFont="1" applyFill="1" applyBorder="1"/>
    <x:xf numFmtId="0" fontId="9" fillId="6" borderId="12" xfId="0" applyNumberFormat="1" applyFont="1" applyFill="1" applyBorder="1"/>
    <x:xf numFmtId="0" fontId="9" fillId="6" borderId="12" xfId="0" applyNumberFormat="1" applyFont="1" applyFill="1" applyBorder="1" applyAlignment="1">
      <x:alignment wrapText="1"/>
    </x:xf>
    <x:xf numFmtId="0" fontId="9" fillId="6" borderId="12" xfId="0" applyNumberFormat="1" applyFont="1" applyFill="1" applyBorder="1" applyAlignment="1">
      <x:alignment horizontal="center" wrapText="1"/>
    </x:xf>
    <x:xf numFmtId="0" fontId="9" fillId="6" borderId="12" xfId="0" applyNumberFormat="1" applyFont="1" applyFill="1" applyBorder="1" applyAlignment="1">
      <x:alignment horizontal="center" vertical="center" wrapText="1"/>
    </x:xf>
    <x:xf numFmtId="0" fontId="0" fillId="5" borderId="0" xfId="0" applyNumberFormat="1" applyFont="1" applyFill="1" applyBorder="1"/>
    <x:xf numFmtId="0" fontId="10" fillId="5" borderId="0" xfId="0" applyNumberFormat="1" applyFont="1" applyFill="1" applyBorder="1"/>
    <x:xf numFmtId="0" fontId="0" fillId="9" borderId="0" xfId="0" applyNumberFormat="1" applyFont="1" applyFill="1" applyBorder="1"/>
    <x:xf numFmtId="0" fontId="11" fillId="9" borderId="0" xfId="0" applyNumberFormat="1" applyFont="1" applyFill="1" applyBorder="1"/>
    <x:xf numFmtId="0" fontId="11" fillId="9" borderId="11" xfId="0" applyNumberFormat="1" applyFont="1" applyFill="1" applyBorder="1"/>
    <x:xf numFmtId="0" fontId="11" fillId="9" borderId="11" xfId="0" applyNumberFormat="1" applyFont="1" applyFill="1" applyBorder="1" applyAlignment="1">
      <x:alignment wrapText="1"/>
    </x:xf>
    <x:xf numFmtId="0" fontId="11" fillId="9" borderId="11" xfId="0" applyNumberFormat="1" applyFont="1" applyFill="1" applyBorder="1" applyAlignment="1">
      <x:alignment horizontal="center" wrapText="1"/>
    </x:xf>
    <x:xf numFmtId="0" fontId="11" fillId="9" borderId="11" xfId="0" applyNumberFormat="1" applyFont="1" applyFill="1" applyBorder="1" applyAlignment="1">
      <x:alignment horizontal="center" vertical="center" wrapText="1"/>
    </x:xf>
    <x:xf numFmtId="0" fontId="0" fillId="8" borderId="0" xfId="0" applyNumberFormat="1" applyFont="1" applyFill="1" applyBorder="1"/>
    <x:xf numFmtId="0" fontId="10" fillId="8" borderId="0" xfId="0" applyNumberFormat="1" applyFont="1" applyFill="1" applyBorder="1"/>
    <x:xf numFmtId="0" fontId="0" fillId="10" borderId="0" xfId="0" applyNumberFormat="1" applyFont="1" applyFill="1" applyBorder="1"/>
    <x:xf numFmtId="0" fontId="12" fillId="10" borderId="0" xfId="0" applyNumberFormat="1" applyFont="1" applyFill="1" applyBorder="1"/>
    <x:xf numFmtId="0" fontId="12" fillId="10" borderId="1" xfId="0" applyNumberFormat="1" applyFont="1" applyFill="1" applyBorder="1"/>
    <x:xf numFmtId="0" fontId="12" fillId="10" borderId="1" xfId="0" applyNumberFormat="1" applyFont="1" applyFill="1" applyBorder="1" applyAlignment="1">
      <x:alignment wrapText="1"/>
    </x:xf>
    <x:xf numFmtId="0" fontId="12" fillId="10" borderId="1" xfId="0" applyNumberFormat="1" applyFont="1" applyFill="1" applyBorder="1" applyAlignment="1">
      <x:alignment horizontal="center" wrapText="1"/>
    </x:xf>
    <x:xf numFmtId="0" fontId="12" fillId="10" borderId="1" xfId="0" applyNumberFormat="1" applyFont="1" applyFill="1" applyBorder="1" applyAlignment="1">
      <x:alignment horizontal="center" vertical="center" wrapText="1"/>
    </x:xf>
    <x:xf numFmtId="0" fontId="12" fillId="7" borderId="0" xfId="0" applyNumberFormat="1" applyFont="1" applyFill="1" applyBorder="1"/>
    <x:xf numFmtId="0" fontId="12" fillId="7" borderId="1" xfId="0" applyNumberFormat="1" applyFont="1" applyFill="1" applyBorder="1"/>
    <x:xf numFmtId="0" fontId="12" fillId="7" borderId="1" xfId="0" applyNumberFormat="1" applyFont="1" applyFill="1" applyBorder="1" applyAlignment="1">
      <x:alignment wrapText="1"/>
    </x:xf>
    <x:xf numFmtId="0" fontId="12" fillId="7" borderId="1" xfId="0" applyNumberFormat="1" applyFont="1" applyFill="1" applyBorder="1" applyAlignment="1">
      <x:alignment horizontal="center" wrapText="1"/>
    </x:xf>
    <x:xf numFmtId="0" fontId="12" fillId="7" borderId="1" xfId="0" applyNumberFormat="1" applyFont="1" applyFill="1" applyBorder="1" applyAlignment="1">
      <x:alignment horizontal="center" vertical="center" wrapText="1"/>
    </x:xf>
    <x:xf numFmtId="0" fontId="13" fillId="6" borderId="0" xfId="0" applyNumberFormat="1" applyFont="1" applyFill="1" applyBorder="1"/>
    <x:xf numFmtId="0" fontId="13" fillId="6" borderId="12" xfId="0" applyNumberFormat="1" applyFont="1" applyFill="1" applyBorder="1"/>
    <x:xf numFmtId="0" fontId="13" fillId="6" borderId="12" xfId="0" applyNumberFormat="1" applyFont="1" applyFill="1" applyBorder="1" applyAlignment="1">
      <x:alignment wrapText="1"/>
    </x:xf>
    <x:xf numFmtId="0" fontId="13" fillId="6" borderId="12" xfId="0" applyNumberFormat="1" applyFont="1" applyFill="1" applyBorder="1" applyAlignment="1">
      <x:alignment horizontal="center" wrapText="1"/>
    </x:xf>
    <x:xf numFmtId="0" fontId="13" fillId="6" borderId="12" xfId="0" applyNumberFormat="1" applyFont="1" applyFill="1" applyBorder="1" applyAlignment="1">
      <x:alignment horizontal="center" vertical="center" wrapText="1"/>
    </x:xf>
    <x:xf numFmtId="0" fontId="14" fillId="9" borderId="0" xfId="0" applyNumberFormat="1" applyFont="1" applyFill="1" applyBorder="1"/>
    <x:xf numFmtId="0" fontId="14" fillId="9" borderId="11" xfId="0" applyNumberFormat="1" applyFont="1" applyFill="1" applyBorder="1"/>
    <x:xf numFmtId="0" fontId="14" fillId="9" borderId="11" xfId="0" applyNumberFormat="1" applyFont="1" applyFill="1" applyBorder="1" applyAlignment="1">
      <x:alignment wrapText="1"/>
    </x:xf>
    <x:xf numFmtId="0" fontId="14" fillId="9" borderId="11" xfId="0" applyNumberFormat="1" applyFont="1" applyFill="1" applyBorder="1" applyAlignment="1">
      <x:alignment vertical="center" wrapText="1"/>
    </x:xf>
    <x:xf numFmtId="0" fontId="15" fillId="7" borderId="0" xfId="0" applyNumberFormat="1" applyFont="1" applyFill="1" applyBorder="1"/>
    <x:xf numFmtId="0" fontId="15" fillId="7" borderId="13" xfId="0" applyNumberFormat="1" applyFont="1" applyFill="1" applyBorder="1"/>
    <x:xf numFmtId="0" fontId="15" fillId="7" borderId="13" xfId="0" applyNumberFormat="1" applyFont="1" applyFill="1" applyBorder="1" applyAlignment="1">
      <x:alignment wrapText="1"/>
    </x:xf>
    <x:xf numFmtId="0" fontId="15" fillId="7" borderId="13" xfId="0" applyNumberFormat="1" applyFont="1" applyFill="1" applyBorder="1" applyAlignment="1">
      <x:alignment vertical="center" wrapText="1"/>
    </x:xf>
    <x:xf numFmtId="0" fontId="16" fillId="0" borderId="0" xfId="0" applyNumberFormat="1" applyFont="1" applyFill="1" applyBorder="1"/>
    <x:xf numFmtId="0" fontId="16" fillId="0" borderId="1" xfId="0" applyNumberFormat="1" applyFont="1" applyFill="1" applyBorder="1"/>
    <x:xf numFmtId="0" fontId="16" fillId="5" borderId="1" xfId="0" applyNumberFormat="1" applyFont="1" applyFill="1" applyBorder="1"/>
    <x:xf numFmtId="0" fontId="17" fillId="5" borderId="1" xfId="0" applyNumberFormat="1" applyFont="1" applyFill="1" applyBorder="1"/>
    <x:xf numFmtId="0" fontId="16" fillId="11" borderId="1" xfId="0" applyNumberFormat="1" applyFont="1" applyFill="1" applyBorder="1"/>
    <x:xf numFmtId="0" fontId="18" fillId="6" borderId="0" xfId="0" applyNumberFormat="1" applyFont="1" applyFill="1" applyBorder="1"/>
    <x:xf numFmtId="0" fontId="18" fillId="6" borderId="12" xfId="0" applyNumberFormat="1" applyFont="1" applyFill="1" applyBorder="1"/>
    <x:xf numFmtId="0" fontId="18" fillId="6" borderId="12" xfId="0" applyNumberFormat="1" applyFont="1" applyFill="1" applyBorder="1" applyAlignment="1">
      <x:alignment wrapText="1"/>
    </x:xf>
    <x:xf numFmtId="0" fontId="18" fillId="6" borderId="12" xfId="0" applyNumberFormat="1" applyFont="1" applyFill="1" applyBorder="1" applyAlignment="1">
      <x:alignment horizontal="center" wrapText="1"/>
    </x:xf>
    <x:xf numFmtId="0" fontId="18" fillId="6" borderId="12" xfId="0" applyNumberFormat="1" applyFont="1" applyFill="1" applyBorder="1" applyAlignment="1">
      <x:alignment horizontal="center" vertical="center" wrapText="1"/>
    </x:xf>
    <x:xf numFmtId="0" fontId="0" fillId="11" borderId="0" xfId="0" applyNumberFormat="1" applyFont="1" applyFill="1" applyBorder="1"/>
    <x:xf numFmtId="0" fontId="19" fillId="11" borderId="0" xfId="0" applyNumberFormat="1" applyFont="1" applyFill="1" applyBorder="1"/>
    <x:xf numFmtId="0" fontId="19" fillId="11" borderId="1" xfId="0" applyNumberFormat="1" applyFont="1" applyFill="1" applyBorder="1"/>
    <x:xf numFmtId="0" fontId="19" fillId="11" borderId="1" xfId="0" applyNumberFormat="1" applyFont="1" applyFill="1" applyBorder="1" applyAlignment="1">
      <x:alignment wrapText="1"/>
    </x:xf>
    <x:xf numFmtId="0" fontId="19" fillId="11" borderId="1" xfId="0" applyNumberFormat="1" applyFont="1" applyFill="1" applyBorder="1" applyAlignment="1">
      <x:alignment horizontal="center" wrapText="1"/>
    </x:xf>
    <x:xf numFmtId="0" fontId="19" fillId="11" borderId="1" xfId="0" applyNumberFormat="1" applyFont="1" applyFill="1" applyBorder="1" applyAlignment="1">
      <x:alignment horizontal="center" vertical="center" wrapText="1"/>
    </x:xf>
    <x:xf numFmtId="0" fontId="20" fillId="2" borderId="0" xfId="0" applyNumberFormat="1" applyFont="1" applyFill="1" applyBorder="1"/>
    <x:xf numFmtId="0" fontId="20" fillId="2" borderId="0" xfId="0" applyNumberFormat="1" applyFont="1" applyFill="1" applyBorder="1" applyAlignment="1">
      <x:alignment wrapText="1"/>
    </x:xf>
    <x:xf numFmtId="0" fontId="20" fillId="2" borderId="0" xfId="0" applyNumberFormat="1" applyFont="1" applyFill="1" applyBorder="1" applyAlignment="1">
      <x:alignment vertical="center" wrapText="1"/>
    </x:xf>
    <x:xf numFmtId="0" fontId="6" fillId="5" borderId="0" xfId="0" applyNumberFormat="1" applyFont="1" applyFill="1" applyBorder="1"/>
    <x:xf numFmtId="0" fontId="6" fillId="5" borderId="11" xfId="0" applyNumberFormat="1" applyFont="1" applyFill="1" applyBorder="1"/>
    <x:xf numFmtId="0" fontId="6" fillId="5" borderId="11" xfId="0" applyNumberFormat="1" applyFont="1" applyFill="1" applyBorder="1" applyAlignment="1">
      <x:alignment wrapText="1"/>
    </x:xf>
    <x:xf numFmtId="0" fontId="6" fillId="5" borderId="11" xfId="0" applyNumberFormat="1" applyFont="1" applyFill="1" applyBorder="1" applyAlignment="1">
      <x:alignment horizontal="center" wrapText="1"/>
    </x:xf>
    <x:xf numFmtId="0" fontId="6" fillId="5" borderId="11" xfId="0" applyNumberFormat="1" applyFont="1" applyFill="1" applyBorder="1" applyAlignment="1">
      <x:alignment horizontal="center" vertical="center" wrapText="1"/>
    </x:xf>
    <x:xf numFmtId="0" fontId="0" fillId="12" borderId="0" xfId="0" applyNumberFormat="1" applyFont="1" applyFill="1" applyBorder="1"/>
    <x:xf numFmtId="0" fontId="21" fillId="12" borderId="0" xfId="0" applyNumberFormat="1" applyFont="1" applyFill="1" applyBorder="1"/>
    <x:xf numFmtId="0" fontId="21" fillId="12" borderId="14" xfId="0" applyNumberFormat="1" applyFont="1" applyFill="1" applyBorder="1"/>
    <x:xf numFmtId="0" fontId="21" fillId="12" borderId="14" xfId="0" applyNumberFormat="1" applyFont="1" applyFill="1" applyBorder="1" applyAlignment="1">
      <x:alignment horizontal="center"/>
    </x:xf>
    <x:xf numFmtId="0" fontId="21" fillId="12" borderId="14" xfId="0" applyNumberFormat="1" applyFont="1" applyFill="1" applyBorder="1" applyAlignment="1">
      <x:alignment horizontal="center" vertical="center"/>
    </x:xf>
    <x:xf numFmtId="0" fontId="6" fillId="8" borderId="0" xfId="0" applyNumberFormat="1" applyFont="1" applyFill="1" applyBorder="1"/>
    <x:xf numFmtId="0" fontId="6" fillId="8" borderId="13" xfId="0" applyNumberFormat="1" applyFont="1" applyFill="1" applyBorder="1"/>
    <x:xf numFmtId="0" fontId="6" fillId="8" borderId="13" xfId="0" applyNumberFormat="1" applyFont="1" applyFill="1" applyBorder="1" applyAlignment="1">
      <x:alignment wrapText="1"/>
    </x:xf>
    <x:xf numFmtId="0" fontId="6" fillId="8" borderId="13" xfId="0" applyNumberFormat="1" applyFont="1" applyFill="1" applyBorder="1" applyAlignment="1">
      <x:alignment horizontal="center" wrapText="1"/>
    </x:xf>
    <x:xf numFmtId="0" fontId="6" fillId="8" borderId="13" xfId="0" applyNumberFormat="1" applyFont="1" applyFill="1" applyBorder="1" applyAlignment="1">
      <x:alignment horizontal="center" vertical="center" wrapText="1"/>
    </x:xf>
    <x:xf numFmtId="0" fontId="22" fillId="12" borderId="0" xfId="0" applyNumberFormat="1" applyFont="1" applyFill="1" applyBorder="1"/>
    <x:xf numFmtId="0" fontId="22" fillId="12" borderId="15" xfId="0" applyNumberFormat="1" applyFont="1" applyFill="1" applyBorder="1"/>
    <x:xf numFmtId="0" fontId="22" fillId="12" borderId="15" xfId="0" applyNumberFormat="1" applyFont="1" applyFill="1" applyBorder="1" applyAlignment="1">
      <x:alignment horizontal="center"/>
    </x:xf>
    <x:xf numFmtId="0" fontId="22" fillId="12" borderId="15" xfId="0" applyNumberFormat="1" applyFont="1" applyFill="1" applyBorder="1" applyAlignment="1">
      <x:alignment horizontal="center" vertical="center"/>
    </x:xf>
    <x:xf numFmtId="0" fontId="0" fillId="13" borderId="0" xfId="0" applyNumberFormat="1" applyFont="1" applyFill="1" applyBorder="1"/>
    <x:xf numFmtId="0" fontId="6" fillId="13" borderId="0" xfId="0" applyNumberFormat="1" applyFont="1" applyFill="1" applyBorder="1"/>
    <x:xf numFmtId="0" fontId="6" fillId="13" borderId="16" xfId="0" applyNumberFormat="1" applyFont="1" applyFill="1" applyBorder="1"/>
    <x:xf numFmtId="0" fontId="6" fillId="13" borderId="16" xfId="0" applyNumberFormat="1" applyFont="1" applyFill="1" applyBorder="1" applyAlignment="1">
      <x:alignment wrapText="1"/>
    </x:xf>
    <x:xf numFmtId="0" fontId="6" fillId="13" borderId="16" xfId="0" applyNumberFormat="1" applyFont="1" applyFill="1" applyBorder="1" applyAlignment="1">
      <x:alignment horizontal="center" wrapText="1"/>
    </x:xf>
    <x:xf numFmtId="0" fontId="6" fillId="13" borderId="16" xfId="0" applyNumberFormat="1" applyFont="1" applyFill="1" applyBorder="1" applyAlignment="1">
      <x:alignment horizontal="center" vertical="center" wrapText="1"/>
    </x:xf>
    <x:xf numFmtId="0" fontId="23" fillId="12" borderId="0" xfId="0" applyNumberFormat="1" applyFont="1" applyFill="1" applyBorder="1"/>
    <x:xf numFmtId="0" fontId="23" fillId="12" borderId="12" xfId="0" applyNumberFormat="1" applyFont="1" applyFill="1" applyBorder="1"/>
    <x:xf numFmtId="0" fontId="23" fillId="12" borderId="12" xfId="0" applyNumberFormat="1" applyFont="1" applyFill="1" applyBorder="1" applyAlignment="1">
      <x:alignment horizontal="center"/>
    </x:xf>
    <x:xf numFmtId="0" fontId="23" fillId="12" borderId="12" xfId="0" applyNumberFormat="1" applyFont="1" applyFill="1" applyBorder="1" applyAlignment="1">
      <x:alignment horizontal="center" vertical="center"/>
    </x:xf>
    <x:xf numFmtId="0" fontId="0" fillId="14" borderId="0" xfId="0" applyNumberFormat="1" applyFont="1" applyFill="1" applyBorder="1"/>
    <x:xf numFmtId="0" fontId="6" fillId="14" borderId="0" xfId="0" applyNumberFormat="1" applyFont="1" applyFill="1" applyBorder="1"/>
    <x:xf numFmtId="0" fontId="6" fillId="14" borderId="17" xfId="0" applyNumberFormat="1" applyFont="1" applyFill="1" applyBorder="1"/>
    <x:xf numFmtId="0" fontId="6" fillId="14" borderId="17" xfId="0" applyNumberFormat="1" applyFont="1" applyFill="1" applyBorder="1" applyAlignment="1">
      <x:alignment wrapText="1"/>
    </x:xf>
    <x:xf numFmtId="0" fontId="6" fillId="14" borderId="17" xfId="0" applyNumberFormat="1" applyFont="1" applyFill="1" applyBorder="1" applyAlignment="1">
      <x:alignment horizontal="center" wrapText="1"/>
    </x:xf>
    <x:xf numFmtId="0" fontId="6" fillId="14" borderId="17" xfId="0" applyNumberFormat="1" applyFont="1" applyFill="1" applyBorder="1" applyAlignment="1">
      <x:alignment horizontal="center" vertical="center" wrapText="1"/>
    </x:xf>
    <x:xf numFmtId="0" fontId="24" fillId="12" borderId="0" xfId="0" applyNumberFormat="1" applyFont="1" applyFill="1" applyBorder="1"/>
    <x:xf numFmtId="0" fontId="24" fillId="12" borderId="18" xfId="0" applyNumberFormat="1" applyFont="1" applyFill="1" applyBorder="1"/>
    <x:xf numFmtId="0" fontId="24" fillId="12" borderId="18" xfId="0" applyNumberFormat="1" applyFont="1" applyFill="1" applyBorder="1" applyAlignment="1">
      <x:alignment horizontal="center"/>
    </x:xf>
    <x:xf numFmtId="0" fontId="24" fillId="12" borderId="18" xfId="0" applyNumberFormat="1" applyFont="1" applyFill="1" applyBorder="1" applyAlignment="1">
      <x:alignment horizontal="center" vertical="center"/>
    </x:xf>
    <x:xf numFmtId="0" fontId="25" fillId="11" borderId="0" xfId="0" applyNumberFormat="1" applyFont="1" applyFill="1" applyBorder="1"/>
    <x:xf numFmtId="0" fontId="25" fillId="11" borderId="1" xfId="0" applyNumberFormat="1" applyFont="1" applyFill="1" applyBorder="1"/>
    <x:xf numFmtId="0" fontId="25" fillId="11" borderId="1" xfId="0" applyNumberFormat="1" applyFont="1" applyFill="1" applyBorder="1" applyAlignment="1">
      <x:alignment wrapText="1"/>
    </x:xf>
    <x:xf numFmtId="0" fontId="25" fillId="11" borderId="1" xfId="0" applyNumberFormat="1" applyFont="1" applyFill="1" applyBorder="1" applyAlignment="1">
      <x:alignment horizontal="center" wrapText="1"/>
    </x:xf>
    <x:xf numFmtId="0" fontId="25" fillId="11" borderId="1" xfId="0" applyNumberFormat="1" applyFont="1" applyFill="1" applyBorder="1" applyAlignment="1">
      <x:alignment horizontal="center" vertical="center" wrapText="1"/>
    </x:xf>
    <x:xf numFmtId="0" fontId="26" fillId="9" borderId="0" xfId="0" applyNumberFormat="1" applyFont="1" applyFill="1" applyBorder="1"/>
    <x:xf numFmtId="0" fontId="26" fillId="9" borderId="14" xfId="0" applyNumberFormat="1" applyFont="1" applyFill="1" applyBorder="1"/>
    <x:xf numFmtId="0" fontId="26" fillId="9" borderId="14" xfId="0" applyNumberFormat="1" applyFont="1" applyFill="1" applyBorder="1" applyAlignment="1">
      <x:alignment wrapText="1"/>
    </x:xf>
    <x:xf numFmtId="0" fontId="26" fillId="9" borderId="14" xfId="0" applyNumberFormat="1" applyFont="1" applyFill="1" applyBorder="1" applyAlignment="1">
      <x:alignment horizontal="center" wrapText="1"/>
    </x:xf>
    <x:xf numFmtId="0" fontId="26" fillId="9" borderId="14" xfId="0" applyNumberFormat="1" applyFont="1" applyFill="1" applyBorder="1" applyAlignment="1">
      <x:alignment horizontal="center" vertical="center" wrapText="1"/>
    </x:xf>
    <x:xf numFmtId="0" fontId="6" fillId="5" borderId="0" xfId="0" applyNumberFormat="1" applyFont="1" applyFill="1" applyBorder="1" applyAlignment="1">
      <x:alignment wrapText="1"/>
    </x:xf>
    <x:xf numFmtId="0" fontId="6" fillId="5" borderId="0" xfId="0" applyNumberFormat="1" applyFont="1" applyFill="1" applyBorder="1" applyAlignment="1">
      <x:alignmen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7" fillId="11" borderId="0" xfId="0" applyNumberFormat="1" applyFont="1" applyFill="1" applyBorder="1"/>
    <x:xf numFmtId="0" fontId="27" fillId="11" borderId="1" xfId="0" applyNumberFormat="1" applyFont="1" applyFill="1" applyBorder="1"/>
    <x:xf numFmtId="0" fontId="27" fillId="11" borderId="1" xfId="0" applyNumberFormat="1" applyFont="1" applyFill="1" applyBorder="1" applyAlignment="1">
      <x:alignment wrapText="1"/>
    </x:xf>
    <x:xf numFmtId="0" fontId="27" fillId="11" borderId="1" xfId="0" applyNumberFormat="1" applyFont="1" applyFill="1" applyBorder="1" applyAlignment="1">
      <x:alignment vertical="center" wrapText="1"/>
    </x:xf>
    <x:xf numFmtId="0" fontId="0" fillId="15" borderId="0" xfId="0" applyNumberFormat="1" applyFont="1" applyFill="1" applyBorder="1"/>
    <x:xf numFmtId="0" fontId="28" fillId="15" borderId="0" xfId="0" applyNumberFormat="1" applyFont="1" applyFill="1" applyBorder="1"/>
    <x:xf numFmtId="0" fontId="28" fillId="15" borderId="19" xfId="0" applyNumberFormat="1" applyFont="1" applyFill="1" applyBorder="1"/>
    <x:xf numFmtId="0" fontId="28" fillId="15" borderId="19" xfId="0" applyNumberFormat="1" applyFont="1" applyFill="1" applyBorder="1" applyAlignment="1">
      <x:alignment wrapText="1"/>
    </x:xf>
    <x:xf numFmtId="0" fontId="28" fillId="15" borderId="19" xfId="0" applyNumberFormat="1" applyFont="1" applyFill="1" applyBorder="1" applyAlignment="1">
      <x:alignment horizontal="center" wrapText="1"/>
    </x:xf>
    <x:xf numFmtId="0" fontId="28" fillId="15" borderId="19" xfId="0" applyNumberFormat="1" applyFont="1" applyFill="1" applyBorder="1" applyAlignment="1">
      <x:alignment horizontal="center" vertical="center" wrapText="1"/>
    </x:xf>
    <x:xf numFmtId="0" fontId="27" fillId="11" borderId="1" xfId="0" applyNumberFormat="1" applyFont="1" applyFill="1" applyBorder="1" applyAlignment="1">
      <x:alignment horizontal="center" wrapText="1"/>
    </x:xf>
    <x:xf numFmtId="0" fontId="27" fillId="11" borderId="1" xfId="0" applyNumberFormat="1" applyFont="1" applyFill="1" applyBorder="1" applyAlignment="1">
      <x:alignment horizontal="center" vertical="center" wrapText="1"/>
    </x:xf>
    <x:xf numFmtId="0" fontId="29" fillId="0" borderId="0" xfId="0" applyNumberFormat="1" applyFont="1" applyFill="1" applyBorder="1"/>
  </x:cellXfs>
  <x:cellStyles count="1">
    <x:cellStyle name="Normal" xfId="0"/>
  </x:cellStyles>
  <x:dxfs count="168">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
      <x:font>
        <x:b/>
        <x:color rgb="FF2E7D5B"/>
      </x:font>
      <x:fill>
        <x:patternFill patternType="solid">
          <x:bgColor rgb="FFE7F4ED"/>
        </x:patternFill>
      </x:fill>
    </x:dxf>
    <x:dxf>
      <x:font>
        <x:color rgb="FF2E7D5B"/>
      </x:font>
      <x:fill>
        <x:patternFill patternType="solid">
          <x:bgColor rgb="FFE7F4ED"/>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175CD3"/>
      </x:font>
      <x:fill>
        <x:patternFill patternType="solid">
          <x:bgColor rgb="FFE8F1FB"/>
        </x:patternFill>
      </x:fill>
    </x:dxf>
    <x:dxf>
      <x:font>
        <x:color rgb="FF7B5B12"/>
      </x:font>
      <x:fill>
        <x:patternFill patternType="solid">
          <x:bgColor rgb="FFFFF8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e40314d500444f3" /><Relationship Type="http://schemas.openxmlformats.org/officeDocument/2006/relationships/theme" Target="/xl/theme/theme1.xml" Id="R5d97b802d6f44f9e" /><Relationship Type="http://schemas.microsoft.com/office/2022/11/relationships/FeaturePropertyBag" Target="/xl/featurePropertyBag/featurePropertyBag.xml" Id="Rc7ce9905b6c34a3c" /><Relationship Type="http://schemas.openxmlformats.org/officeDocument/2006/relationships/sharedStrings" Target="/xl/sharedStrings.xml" Id="R26f86eb292284995" /><Relationship Type="http://schemas.openxmlformats.org/officeDocument/2006/relationships/worksheet" Target="/xl/worksheets/sheet1.xml" Id="R560d1d06191e45c5" /><Relationship Type="http://schemas.openxmlformats.org/officeDocument/2006/relationships/worksheet" Target="/xl/worksheets/sheet2.xml" Id="Rc843096cdbbb4abe" /><Relationship Type="http://schemas.openxmlformats.org/officeDocument/2006/relationships/worksheet" Target="/xl/worksheets/sheet3.xml" Id="R9eb648c800db447d" /><Relationship Type="http://schemas.openxmlformats.org/officeDocument/2006/relationships/worksheet" Target="/xl/worksheets/sheet4.xml" Id="Rfd09da508fa0497a" /><Relationship Type="http://schemas.openxmlformats.org/officeDocument/2006/relationships/worksheet" Target="/xl/worksheets/sheet5.xml" Id="Rbde9e175b8d74668" /><Relationship Type="http://schemas.openxmlformats.org/officeDocument/2006/relationships/worksheet" Target="/xl/worksheets/sheet6.xml" Id="Rd5d8f2ee8910462b" /><Relationship Type="http://schemas.openxmlformats.org/officeDocument/2006/relationships/worksheet" Target="/xl/worksheets/sheet7.xml" Id="Rd0ef04b259234f71" /><Relationship Type="http://schemas.openxmlformats.org/officeDocument/2006/relationships/worksheet" Target="/xl/worksheets/sheet8.xml" Id="R32b53b38a438472b" /><Relationship Type="http://schemas.openxmlformats.org/officeDocument/2006/relationships/worksheet" Target="/xl/worksheets/sheet9.xml" Id="R43c8d86f13a34764" /><Relationship Type="http://schemas.openxmlformats.org/officeDocument/2006/relationships/worksheet" Target="/xl/worksheets/sheet10.xml" Id="Rf8c33cd1ab5447ce" /><Relationship Type="http://schemas.openxmlformats.org/officeDocument/2006/relationships/worksheet" Target="/xl/worksheets/sheet11.xml" Id="R3a61ed05f83a4b59" /><Relationship Type="http://schemas.openxmlformats.org/officeDocument/2006/relationships/worksheet" Target="/xl/worksheets/sheet12.xml" Id="Rd37dc1802a4c40ae" /><Relationship Type="http://schemas.openxmlformats.org/officeDocument/2006/relationships/worksheet" Target="/xl/worksheets/sheet13.xml" Id="R9f570b1c6ad04742" /><Relationship Type="http://schemas.openxmlformats.org/officeDocument/2006/relationships/worksheet" Target="/xl/worksheets/sheet14.xml" Id="R217c1494ceee40a6" /><Relationship Type="http://schemas.openxmlformats.org/officeDocument/2006/relationships/worksheet" Target="/xl/worksheets/sheet15.xml" Id="R7a4b09e240a547fb" /><Relationship Type="http://schemas.openxmlformats.org/officeDocument/2006/relationships/worksheet" Target="/xl/worksheets/sheet16.xml" Id="Rad639626643942b9" /><Relationship Type="http://schemas.openxmlformats.org/officeDocument/2006/relationships/worksheet" Target="/xl/worksheets/sheet17.xml" Id="Rc2c185bb0ad24bc2" /><Relationship Type="http://schemas.openxmlformats.org/officeDocument/2006/relationships/worksheet" Target="/xl/worksheets/sheet18.xml" Id="Rc14e8cd51d754e78" /><Relationship Type="http://schemas.openxmlformats.org/officeDocument/2006/relationships/worksheet" Target="/xl/worksheets/sheet19.xml" Id="R2fe8bff1f1fb4bc0" /><Relationship Type="http://schemas.openxmlformats.org/officeDocument/2006/relationships/worksheet" Target="/xl/worksheets/sheet20.xml" Id="R990b5423898c46eb" /><Relationship Type="http://schemas.openxmlformats.org/officeDocument/2006/relationships/worksheet" Target="/xl/worksheets/sheet21.xml" Id="Rfb0e3fe1217a4c7d" /><Relationship Type="http://schemas.openxmlformats.org/officeDocument/2006/relationships/worksheet" Target="/xl/worksheets/sheet22.xml" Id="Rae8ca505611e4d7b" /><Relationship Type="http://schemas.openxmlformats.org/officeDocument/2006/relationships/worksheet" Target="/xl/worksheets/sheet23.xml" Id="Rafc801dd7ed14b7f" /><Relationship Type="http://schemas.openxmlformats.org/officeDocument/2006/relationships/worksheet" Target="/xl/worksheets/sheet24.xml" Id="R96010490d7014fb2" /><Relationship Type="http://schemas.openxmlformats.org/officeDocument/2006/relationships/worksheet" Target="/xl/worksheets/sheet25.xml" Id="R8e36df80930f46be" /><Relationship Type="http://schemas.openxmlformats.org/officeDocument/2006/relationships/worksheet" Target="/xl/worksheets/sheet26.xml" Id="R28d1b21c31d24067" /><Relationship Type="http://schemas.openxmlformats.org/officeDocument/2006/relationships/worksheet" Target="/xl/worksheets/sheet27.xml" Id="R72b9232d93804033" /></Relationships>
</file>

<file path=xl/drawings/_rels/drawing1.xml.rels>&#65279;<?xml version="1.0" encoding="utf-8"?><Relationships xmlns="http://schemas.openxmlformats.org/package/2006/relationships"><Relationship Type="http://schemas.openxmlformats.org/officeDocument/2006/relationships/image" Target="/xl/media/image.png" Id="R07c012dea64f4135" /><Relationship Type="http://schemas.openxmlformats.org/officeDocument/2006/relationships/image" Target="/xl/media/image2.png" Id="R4c47776a082642fc" /><Relationship Type="http://schemas.openxmlformats.org/officeDocument/2006/relationships/image" Target="/xl/media/image3.png" Id="R2715eed9daaf4f76" /><Relationship Type="http://schemas.openxmlformats.org/officeDocument/2006/relationships/image" Target="/xl/media/image4.png" Id="R48754da2f29b47e4" /><Relationship Type="http://schemas.openxmlformats.org/officeDocument/2006/relationships/image" Target="/xl/media/image5.png" Id="R74acc141e444493f" /><Relationship Type="http://schemas.openxmlformats.org/officeDocument/2006/relationships/image" Target="/xl/media/image6.png" Id="R27c4066783f3406c" /></Relationships>
</file>

<file path=xl/drawings/drawing1.xml><?xml version="1.0" encoding="utf-8"?>
<xdr:wsDr xmlns:xdr="http://schemas.openxmlformats.org/drawingml/2006/spreadsheetDrawing">
  <xdr:oneCellAnchor>
    <xdr:from>
      <xdr:col>0</xdr:col>
      <xdr:colOff>0</xdr:colOff>
      <xdr:row>13</xdr:row>
      <xdr:rowOff>0</xdr:rowOff>
    </xdr:from>
    <xdr:ext cx="5334000" cy="3000375"/>
    <xdr:pic>
      <xdr:nvPicPr>
        <xdr:cNvPr id="1" name="dc895e65-9c0b-4b45-921a-fedfa73b229f"/>
        <xdr:cNvPicPr>
          <a:picLocks xmlns:a="http://schemas.openxmlformats.org/drawingml/2006/main" noChangeAspect="1"/>
        </xdr:cNvPicPr>
      </xdr:nvPicPr>
      <xdr:blipFill>
        <a:blip xmlns:r="http://schemas.openxmlformats.org/officeDocument/2006/relationships" xmlns:a="http://schemas.openxmlformats.org/drawingml/2006/main" r:embed="R07c012dea64f4135"/>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13</xdr:row>
      <xdr:rowOff>0</xdr:rowOff>
    </xdr:from>
    <xdr:ext cx="5334000" cy="3000375"/>
    <xdr:pic>
      <xdr:nvPicPr>
        <xdr:cNvPr id="2" name="f386857f-2977-49d6-9e4a-4d5a3e9d4f46"/>
        <xdr:cNvPicPr>
          <a:picLocks xmlns:a="http://schemas.openxmlformats.org/drawingml/2006/main" noChangeAspect="1"/>
        </xdr:cNvPicPr>
      </xdr:nvPicPr>
      <xdr:blipFill>
        <a:blip xmlns:r="http://schemas.openxmlformats.org/officeDocument/2006/relationships" xmlns:a="http://schemas.openxmlformats.org/drawingml/2006/main" r:embed="R4c47776a082642fc"/>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32</xdr:row>
      <xdr:rowOff>0</xdr:rowOff>
    </xdr:from>
    <xdr:ext cx="5334000" cy="3000375"/>
    <xdr:pic>
      <xdr:nvPicPr>
        <xdr:cNvPr id="3" name="c7b76e71-8694-4fbb-b17e-39d3c5dbeb07"/>
        <xdr:cNvPicPr>
          <a:picLocks xmlns:a="http://schemas.openxmlformats.org/drawingml/2006/main" noChangeAspect="1"/>
        </xdr:cNvPicPr>
      </xdr:nvPicPr>
      <xdr:blipFill>
        <a:blip xmlns:r="http://schemas.openxmlformats.org/officeDocument/2006/relationships" xmlns:a="http://schemas.openxmlformats.org/drawingml/2006/main" r:embed="R2715eed9daaf4f76"/>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32</xdr:row>
      <xdr:rowOff>0</xdr:rowOff>
    </xdr:from>
    <xdr:ext cx="5334000" cy="3000375"/>
    <xdr:pic>
      <xdr:nvPicPr>
        <xdr:cNvPr id="4" name="41e01093-72e1-46a7-8b6d-441358be7fac"/>
        <xdr:cNvPicPr>
          <a:picLocks xmlns:a="http://schemas.openxmlformats.org/drawingml/2006/main" noChangeAspect="1"/>
        </xdr:cNvPicPr>
      </xdr:nvPicPr>
      <xdr:blipFill>
        <a:blip xmlns:r="http://schemas.openxmlformats.org/officeDocument/2006/relationships" xmlns:a="http://schemas.openxmlformats.org/drawingml/2006/main" r:embed="R48754da2f29b47e4"/>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51</xdr:row>
      <xdr:rowOff>0</xdr:rowOff>
    </xdr:from>
    <xdr:ext cx="5334000" cy="3000375"/>
    <xdr:pic>
      <xdr:nvPicPr>
        <xdr:cNvPr id="5" name="abad2f15-da6e-4b0b-b304-855a9196386e"/>
        <xdr:cNvPicPr>
          <a:picLocks xmlns:a="http://schemas.openxmlformats.org/drawingml/2006/main" noChangeAspect="1"/>
        </xdr:cNvPicPr>
      </xdr:nvPicPr>
      <xdr:blipFill>
        <a:blip xmlns:r="http://schemas.openxmlformats.org/officeDocument/2006/relationships" xmlns:a="http://schemas.openxmlformats.org/drawingml/2006/main" r:embed="R74acc141e444493f"/>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51</xdr:row>
      <xdr:rowOff>0</xdr:rowOff>
    </xdr:from>
    <xdr:ext cx="5334000" cy="3000375"/>
    <xdr:pic>
      <xdr:nvPicPr>
        <xdr:cNvPr id="6" name="bf21b08b-b471-4363-a544-713db115b2d9"/>
        <xdr:cNvPicPr>
          <a:picLocks xmlns:a="http://schemas.openxmlformats.org/drawingml/2006/main" noChangeAspect="1"/>
        </xdr:cNvPicPr>
      </xdr:nvPicPr>
      <xdr:blipFill>
        <a:blip xmlns:r="http://schemas.openxmlformats.org/officeDocument/2006/relationships" xmlns:a="http://schemas.openxmlformats.org/drawingml/2006/main" r:embed="R27c4066783f3406c"/>
        <a:stretch xmlns:a="http://schemas.openxmlformats.org/drawingml/2006/main">
          <a:fillRect/>
        </a:stretch>
      </xdr:blipFill>
      <xdr:spPr>
        <a:prstGeom xmlns:a="http://schemas.openxmlformats.org/drawingml/2006/main" prst="rect"/>
      </xdr:spPr>
    </xdr:pic>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nchorLayerTable" displayName="AnchorLayerTable" ref="A4:J10" headerRowCount="1" totalsRowCount="0" totalsRowShown="0">
  <x:autoFilter ref="A4:J10"/>
  <x:tableColumns count="10">
    <x:tableColumn id="1" name="anchor"/>
    <x:tableColumn id="2" name="A_count"/>
    <x:tableColumn id="3" name="A_percentage"/>
    <x:tableColumn id="4" name="B_count"/>
    <x:tableColumn id="5" name="B_percentage"/>
    <x:tableColumn id="6" name="C_count"/>
    <x:tableColumn id="7" name="C_percentage"/>
    <x:tableColumn id="8" name="D_count"/>
    <x:tableColumn id="9" name="D_percentage"/>
    <x:tableColumn id="10" name="total"/>
  </x:tableColumns>
  <x:tableStyleInfo name="TableStyleMedium2" showFirstColumn="0" showLastColumn="0" showRowStripes="1" showColumnStripes="0"/>
</x:table>
</file>

<file path=xl/tables/table2.xml><?xml version="1.0" encoding="utf-8"?>
<x:table xmlns:x="http://schemas.openxmlformats.org/spreadsheetml/2006/main" id="2" name="AnchorVoiceTable" displayName="AnchorVoiceTable" ref="A4:L10" headerRowCount="1" totalsRowCount="0" totalsRowShown="0">
  <x:autoFilter ref="A4:L10"/>
  <x:tableColumns count="12">
    <x:tableColumn id="1" name="anchor"/>
    <x:tableColumn id="2" name="V1_count"/>
    <x:tableColumn id="3" name="V1_percentage"/>
    <x:tableColumn id="4" name="V2_count"/>
    <x:tableColumn id="5" name="V2_percentage"/>
    <x:tableColumn id="6" name="V3_count"/>
    <x:tableColumn id="7" name="V3_percentage"/>
    <x:tableColumn id="8" name="V4_count"/>
    <x:tableColumn id="9" name="V4_percentage"/>
    <x:tableColumn id="10" name="V5_count"/>
    <x:tableColumn id="11" name="V5_percentage"/>
    <x:tableColumn id="12" name="total"/>
  </x:tableColumns>
  <x:tableStyleInfo name="TableStyleMedium2" showFirstColumn="0" showLastColumn="0" showRowStripes="1" showColumnStripes="0"/>
</x:table>
</file>

<file path=xl/tables/table3.xml><?xml version="1.0" encoding="utf-8"?>
<x:table xmlns:x="http://schemas.openxmlformats.org/spreadsheetml/2006/main" id="3" name="AnchorFamilyTable" displayName="AnchorFamilyTable" ref="A4:D88" headerRowCount="1" totalsRowCount="0" totalsRowShown="0">
  <x:autoFilter ref="A4:D88"/>
  <x:tableColumns count="4">
    <x:tableColumn id="1" name="anchor"/>
    <x:tableColumn id="2" name="family"/>
    <x:tableColumn id="3" name="candidate_count"/>
    <x:tableColumn id="4" name="percentage_within_anchor"/>
  </x:tableColumns>
  <x:tableStyleInfo name="TableStyleMedium2" showFirstColumn="0" showLastColumn="0" showRowStripes="1" showColumnStripes="0"/>
</x:table>
</file>

<file path=xl/tables/table4.xml><?xml version="1.0" encoding="utf-8"?>
<x:table xmlns:x="http://schemas.openxmlformats.org/spreadsheetml/2006/main" id="4" name="VoiceFamilyTable" displayName="VoiceFamilyTable" ref="A4:C74" headerRowCount="1" totalsRowCount="0" totalsRowShown="0">
  <x:autoFilter ref="A4:C74"/>
  <x:tableColumns count="3">
    <x:tableColumn id="1" name="voice"/>
    <x:tableColumn id="2" name="family"/>
    <x:tableColumn id="3" name="candidate_count"/>
  </x:tableColumns>
  <x:tableStyleInfo name="TableStyleMedium2" showFirstColumn="0" showLastColumn="0" showRowStripes="1" showColumnStripes="0"/>
</x:table>
</file>

<file path=xl/tables/table5.xml><?xml version="1.0" encoding="utf-8"?>
<x:table xmlns:x="http://schemas.openxmlformats.org/spreadsheetml/2006/main" id="5" name="CandidateRelationsTable" displayName="CandidateRelationsTable" ref="A4:I341" headerRowCount="1" totalsRowCount="0" totalsRowShown="0">
  <x:autoFilter ref="A4:I341"/>
  <x:tableColumns count="9">
    <x:tableColumn id="1" name="relation_id"/>
    <x:tableColumn id="2" name="source_candidate_id"/>
    <x:tableColumn id="3" name="target_candidate_id"/>
    <x:tableColumn id="4" name="relation_type"/>
    <x:tableColumn id="5" name="relation_class"/>
    <x:tableColumn id="6" name="anchor_relation"/>
    <x:tableColumn id="7" name="evidence_basis"/>
    <x:tableColumn id="8" name="confidence"/>
    <x:tableColumn id="9" name="provenance_note"/>
  </x:tableColumns>
  <x:tableStyleInfo name="TableStyleMedium2" showFirstColumn="0" showLastColumn="0" showRowStripes="1" showColumnStripes="0"/>
</x:table>
</file>

<file path=xl/tables/table6.xml><?xml version="1.0" encoding="utf-8"?>
<x:table xmlns:x="http://schemas.openxmlformats.org/spreadsheetml/2006/main" id="6" name="ComparabilityTable" displayName="ComparabilityTable" ref="A4:G36" headerRowCount="1" totalsRowCount="0" totalsRowShown="0">
  <x:autoFilter ref="A4:G36"/>
  <x:tableColumns count="7">
    <x:tableColumn id="1" name="term_or_family"/>
    <x:tableColumn id="2" name="source_anchor"/>
    <x:tableColumn id="3" name="target_anchor"/>
    <x:tableColumn id="4" name="source_voice"/>
    <x:tableColumn id="5" name="target_voice"/>
    <x:tableColumn id="6" name="comparison_status"/>
    <x:tableColumn id="7" name="reason"/>
  </x:tableColumns>
  <x:tableStyleInfo name="TableStyleMedium2" showFirstColumn="0" showLastColumn="0" showRowStripes="1" showColumnStripes="0"/>
</x:table>
</file>

<file path=xl/tables/table7.xml><?xml version="1.0" encoding="utf-8"?>
<x:table xmlns:x="http://schemas.openxmlformats.org/spreadsheetml/2006/main" id="7" name="NgramTrajectoriesTable" displayName="NgramTrajectoriesTable" ref="A4:Q728" headerRowCount="1" totalsRowCount="0" totalsRowShown="0">
  <x:autoFilter ref="A4:Q728"/>
  <x:tableColumns count="17">
    <x:tableColumn id="1" name="query_id"/>
    <x:tableColumn id="2" name="term"/>
    <x:tableColumn id="3" name="family"/>
    <x:tableColumn id="4" name="year"/>
    <x:tableColumn id="5" name="normalized_frequency"/>
    <x:tableColumn id="6" name="corpus"/>
    <x:tableColumn id="7" name="version"/>
    <x:tableColumn id="8" name="response_ngram"/>
    <x:tableColumn id="9" name="retrieval_smoothing"/>
    <x:tableColumn id="10" name="retrieved_at"/>
    <x:tableColumn id="11" name="raw_response_path"/>
    <x:tableColumn id="12" name="raw_payload_sha256"/>
    <x:tableColumn id="13" name="parameter_set_hash"/>
    <x:tableColumn id="14" name="lexical_form_id"/>
    <x:tableColumn id="15" name="concept_id"/>
    <x:tableColumn id="16" name="family_id"/>
    <x:tableColumn id="17" name="frequency_per_million"/>
  </x:tableColumns>
  <x:tableStyleInfo name="TableStyleMedium2" showFirstColumn="0" showLastColumn="0" showRowStripes="1" showColumnStripes="0"/>
</x:table>
</file>

<file path=xl/tables/table8.xml><?xml version="1.0" encoding="utf-8"?>
<x:table xmlns:x="http://schemas.openxmlformats.org/spreadsheetml/2006/main" id="8" name="DictionaryAnalysisTable" displayName="DictionaryAnalysisTable" ref="A4:C20" headerRowCount="1" totalsRowCount="0" totalsRowShown="0">
  <x:autoFilter ref="A4:C20"/>
  <x:tableColumns count="3">
    <x:tableColumn id="1" name="anchor_label"/>
    <x:tableColumn id="2" name="dictionary_status"/>
    <x:tableColumn id="3" name="candidate_count"/>
  </x:tableColumns>
  <x:tableStyleInfo name="TableStyleMedium2" showFirstColumn="0" showLastColumn="0" showRowStripes="1" showColumnStripes="0"/>
</x:table>
</file>

<file path=xl/tables/table9.xml><?xml version="1.0" encoding="utf-8"?>
<x:table xmlns:x="http://schemas.openxmlformats.org/spreadsheetml/2006/main" id="9" name="SearchAnalysisTable" displayName="SearchAnalysisTable" ref="A4:C16" headerRowCount="1" totalsRowCount="0" totalsRowShown="0">
  <x:autoFilter ref="A4:C16"/>
  <x:tableColumns count="3">
    <x:tableColumn id="1" name="anchor_label"/>
    <x:tableColumn id="2" name="search_display"/>
    <x:tableColumn id="3" name="candidate_count"/>
  </x:tableColumns>
  <x:tableStyleInfo name="TableStyleMedium2" showFirstColumn="0" showLastColumn="0" showRowStripes="1" showColumnStripes="0"/>
</x:table>
</file>

<file path=xl/tables/table10.xml><?xml version="1.0" encoding="utf-8"?>
<x:table xmlns:x="http://schemas.openxmlformats.org/spreadsheetml/2006/main" id="10" name="CoverageBiasTable" displayName="CoverageBiasTable" ref="A4:F90" headerRowCount="1" totalsRowCount="0" totalsRowShown="0">
  <x:autoFilter ref="A4:F90"/>
  <x:tableColumns count="6">
    <x:tableColumn id="1" name="anchor"/>
    <x:tableColumn id="2" name="dimension"/>
    <x:tableColumn id="3" name="status"/>
    <x:tableColumn id="4" name="candidate_count"/>
    <x:tableColumn id="5" name="percentage_within_anchor"/>
    <x:tableColumn id="6" name="interpretation_note"/>
  </x:tableColumns>
  <x:tableStyleInfo name="TableStyleMedium2" showFirstColumn="0" showLastColumn="0" showRowStripes="1" showColumnStripes="0"/>
</x:table>
</file>

<file path=xl/tables/table11.xml><?xml version="1.0" encoding="utf-8"?>
<x:table xmlns:x="http://schemas.openxmlformats.org/spreadsheetml/2006/main" id="11" name="SemanticShortlistTable" displayName="SemanticShortlistTable" ref="A4:P24" headerRowCount="1" totalsRowCount="0" totalsRowShown="0">
  <x:autoFilter ref="A4:P24"/>
  <x:tableColumns count="16">
    <x:tableColumn id="1" name="priority"/>
    <x:tableColumn id="2" name="term_or_family"/>
    <x:tableColumn id="3" name="family"/>
    <x:tableColumn id="4" name="anchors"/>
    <x:tableColumn id="5" name="voices"/>
    <x:tableColumn id="6" name="candidate_count"/>
    <x:tableColumn id="7" name="candidate_ids"/>
    <x:tableColumn id="8" name="query_terms"/>
    <x:tableColumn id="9" name="observed_pattern_class"/>
    <x:tableColumn id="10" name="observed_quantitative_pattern"/>
    <x:tableColumn id="11" name="ambiguity_or_problem"/>
    <x:tableColumn id="12" name="semantic_question"/>
    <x:tableColumn id="13" name="recommended_passage_sample"/>
    <x:tableColumn id="14" name="sample_note"/>
    <x:tableColumn id="15" name="hypothesis_status"/>
    <x:tableColumn id="16" name="data_sources"/>
  </x:tableColumns>
  <x:tableStyleInfo name="TableStyleMedium2" showFirstColumn="0" showLastColumn="0" showRowStripes="1" showColumnStripes="0"/>
</x:table>
</file>

<file path=xl/tables/table12.xml><?xml version="1.0" encoding="utf-8"?>
<x:table xmlns:x="http://schemas.openxmlformats.org/spreadsheetml/2006/main" id="12" name="Priority180CoverageTable" displayName="Priority180CoverageTable" ref="A4:AM184" headerRowCount="1" totalsRowCount="0" totalsRowShown="0">
  <x:autoFilter ref="A4:AM184"/>
  <x:tableColumns count="39">
    <x:tableColumn id="1" name="Candidate ID"/>
    <x:tableColumn id="2" name="Anchor"/>
    <x:tableColumn id="3" name="Rank"/>
    <x:tableColumn id="4" name="Surface Form"/>
    <x:tableColumn id="5" name="Normalised Concept"/>
    <x:tableColumn id="6" name="Lexical Family"/>
    <x:tableColumn id="7" name="Layer"/>
    <x:tableColumn id="8" name="Voice"/>
    <x:tableColumn id="9" name="Expression Mode"/>
    <x:tableColumn id="10" name="Evidence Source"/>
    <x:tableColumn id="11" name="Candidate Provenance"/>
    <x:tableColumn id="12" name="Ngram Status"/>
    <x:tableColumn id="13" name="Measurement Form"/>
    <x:tableColumn id="14" name="Mapping Type"/>
    <x:tableColumn id="15" name="First Non-Zero Year"/>
    <x:tableColumn id="16" name="Peak Year"/>
    <x:tableColumn id="17" name="Peak Frequency"/>
    <x:tableColumn id="18" name="Anchor Frequency"/>
    <x:tableColumn id="19" name="Context Window Mean"/>
    <x:tableColumn id="20" name="2022 Frequency"/>
    <x:tableColumn id="21" name="Ngram Note"/>
    <x:tableColumn id="22" name="Dictionary Status"/>
    <x:tableColumn id="23" name="Dictionary Source"/>
    <x:tableColumn id="24" name="Historical Sense"/>
    <x:tableColumn id="25" name="Modern Sense"/>
    <x:tableColumn id="26" name="Anchor Sense Match"/>
    <x:tableColumn id="27" name="Polysemy / Ambiguity"/>
    <x:tableColumn id="28" name="Dictionary Note"/>
    <x:tableColumn id="29" name="Search Source"/>
    <x:tableColumn id="30" name="Search Query"/>
    <x:tableColumn id="31" name="Search Exactness"/>
    <x:tableColumn id="32" name="Search Status"/>
    <x:tableColumn id="33" name="Result Count"/>
    <x:tableColumn id="34" name="Date-Window Count"/>
    <x:tableColumn id="35" name="Retrieval Date"/>
    <x:tableColumn id="36" name="Search Note"/>
    <x:tableColumn id="37" name="Coverage Status"/>
    <x:tableColumn id="38" name="Remaining Annotation Gap"/>
    <x:tableColumn id="39" name="Review Priority"/>
  </x:tableColumns>
  <x:tableStyleInfo name="TableStyleMedium2" showFirstColumn="0" showLastColumn="0" showRowStripes="1" showColumnStripes="0"/>
</x:table>
</file>

<file path=xl/tables/table13.xml><?xml version="1.0" encoding="utf-8"?>
<x:table xmlns:x="http://schemas.openxmlformats.org/spreadsheetml/2006/main" id="13" name="NgramCoverageTable" displayName="NgramCoverageTable" ref="A4:O147" headerRowCount="1" totalsRowCount="0" totalsRowShown="0">
  <x:autoFilter ref="A4:O147"/>
  <x:tableColumns count="15">
    <x:tableColumn id="1" name="Query ID"/>
    <x:tableColumn id="2" name="Anchor"/>
    <x:tableColumn id="3" name="Surface Form"/>
    <x:tableColumn id="4" name="Classification"/>
    <x:tableColumn id="5" name="Compatibility Status"/>
    <x:tableColumn id="6" name="Execution Eligible"/>
    <x:tableColumn id="7" name="Execution Status"/>
    <x:tableColumn id="8" name="Accounting State"/>
    <x:tableColumn id="9" name="Observation Count"/>
    <x:tableColumn id="10" name="Request Surface Form"/>
    <x:tableColumn id="11" name="First Response Ngram"/>
    <x:tableColumn id="12" name="Reason / Error"/>
    <x:tableColumn id="13" name="Retrieved At"/>
    <x:tableColumn id="14" name="Raw Response Path"/>
    <x:tableColumn id="15" name="Provenance Status"/>
  </x:tableColumns>
  <x:tableStyleInfo name="TableStyleMedium2" showFirstColumn="0" showLastColumn="0" showRowStripes="1" showColumnStripes="0"/>
</x:table>
</file>

<file path=xl/tables/table14.xml><?xml version="1.0" encoding="utf-8"?>
<x:table xmlns:x="http://schemas.openxmlformats.org/spreadsheetml/2006/main" id="14" name="Dictionary180Table" displayName="Dictionary180Table" ref="A4:T184" headerRowCount="1" totalsRowCount="0" totalsRowShown="0">
  <x:autoFilter ref="A4:T184"/>
  <x:tableColumns count="20">
    <x:tableColumn id="1" name="Candidate ID"/>
    <x:tableColumn id="2" name="Anchor"/>
    <x:tableColumn id="3" name="Rank"/>
    <x:tableColumn id="4" name="Surface Form"/>
    <x:tableColumn id="5" name="Normalised Concept"/>
    <x:tableColumn id="6" name="Lexical Family"/>
    <x:tableColumn id="7" name="Dictionary Status"/>
    <x:tableColumn id="8" name="Direct Headword Exists"/>
    <x:tableColumn id="9" name="Primary Source"/>
    <x:tableColumn id="10" name="Secondary Source"/>
    <x:tableColumn id="11" name="Historical / Domain Source"/>
    <x:tableColumn id="12" name="Concise Definition Paraphrase"/>
    <x:tableColumn id="13" name="Historically Relevant Sense"/>
    <x:tableColumn id="14" name="Modern Sense"/>
    <x:tableColumn id="15" name="Anchor Sense Match"/>
    <x:tableColumn id="16" name="First Attestation"/>
    <x:tableColumn id="17" name="Polysemy Warning"/>
    <x:tableColumn id="18" name="Source Citation / Link"/>
    <x:tableColumn id="19" name="Access Date"/>
    <x:tableColumn id="20" name="Candidate Provenance"/>
  </x:tableColumns>
  <x:tableStyleInfo name="TableStyleMedium2" showFirstColumn="0" showLastColumn="0" showRowStripes="1" showColumnStripes="0"/>
</x:table>
</file>

<file path=xl/tables/table15.xml><?xml version="1.0" encoding="utf-8"?>
<x:table xmlns:x="http://schemas.openxmlformats.org/spreadsheetml/2006/main" id="15" name="Search180Table" displayName="Search180Table" ref="A4:R184" headerRowCount="1" totalsRowCount="0" totalsRowShown="0">
  <x:autoFilter ref="A4:R184"/>
  <x:tableColumns count="18">
    <x:tableColumn id="1" name="Candidate ID"/>
    <x:tableColumn id="2" name="Anchor"/>
    <x:tableColumn id="3" name="Rank"/>
    <x:tableColumn id="4" name="Surface Form"/>
    <x:tableColumn id="5" name="Search Source"/>
    <x:tableColumn id="6" name="Count Meaning"/>
    <x:tableColumn id="7" name="Query String"/>
    <x:tableColumn id="8" name="Query Type"/>
    <x:tableColumn id="9" name="Exactness"/>
    <x:tableColumn id="10" name="Full-Corpus Result Count"/>
    <x:tableColumn id="11" name="Strict-Window Result Count"/>
    <x:tableColumn id="12" name="Contextual-Window Result Count"/>
    <x:tableColumn id="13" name="Search Status"/>
    <x:tableColumn id="14" name="Retrieval Timestamp"/>
    <x:tableColumn id="15" name="API / Interface"/>
    <x:tableColumn id="16" name="Notes"/>
    <x:tableColumn id="17" name="Secondary Source"/>
    <x:tableColumn id="18" name="Secondary All-Period Count"/>
  </x:tableColumns>
  <x:tableStyleInfo name="TableStyleMedium2" showFirstColumn="0" showLastColumn="0" showRowStripes="1" showColumnStripes="0"/>
</x:table>
</file>

<file path=xl/tables/table16.xml><?xml version="1.0" encoding="utf-8"?>
<x:table xmlns:x="http://schemas.openxmlformats.org/spreadsheetml/2006/main" id="16" name="SeedLedgerTable" displayName="SeedLedgerTable" ref="A4:R400" headerRowCount="1" totalsRowCount="0" totalsRowShown="0">
  <x:autoFilter ref="A4:R400"/>
  <x:tableColumns count="18">
    <x:tableColumn id="1" name="seed_candidate_id"/>
    <x:tableColumn id="2" name="originating_seed_stage"/>
    <x:tableColumn id="3" name="original_candidate_id"/>
    <x:tableColumn id="4" name="source_page"/>
    <x:tableColumn id="5" name="anchor_id"/>
    <x:tableColumn id="6" name="surface_form"/>
    <x:tableColumn id="7" name="layer_code"/>
    <x:tableColumn id="8" name="voice_code"/>
    <x:tableColumn id="9" name="source_id"/>
    <x:tableColumn id="10" name="expression_mode_code"/>
    <x:tableColumn id="11" name="original_decision"/>
    <x:tableColumn id="12" name="confidence_label"/>
    <x:tableColumn id="13" name="relevance_label"/>
    <x:tableColumn id="14" name="reconstruction_status"/>
    <x:tableColumn id="15" name="reconciliation_status"/>
    <x:tableColumn id="16" name="originating_report"/>
    <x:tableColumn id="17" name="provenance_status"/>
    <x:tableColumn id="18" name="provenance_note"/>
  </x:tableColumns>
  <x:tableStyleInfo name="TableStyleMedium2" showFirstColumn="0" showLastColumn="0" showRowStripes="1" showColumnStripes="0"/>
</x:table>
</file>

<file path=xl/tables/table17.xml><?xml version="1.0" encoding="utf-8"?>
<x:table xmlns:x="http://schemas.openxmlformats.org/spreadsheetml/2006/main" id="17" name="MasterFrequencyTable" displayName="MasterFrequencyTable" ref="A4:AC147" headerRowCount="1" totalsRowCount="0" totalsRowShown="0">
  <x:autoFilter ref="A4:AC147"/>
  <x:tableColumns count="29">
    <x:tableColumn id="1" name="query_id"/>
    <x:tableColumn id="2" name="surface_form"/>
    <x:tableColumn id="3" name="canonical_concept"/>
    <x:tableColumn id="4" name="lexical_family"/>
    <x:tableColumn id="5" name="primary_layer"/>
    <x:tableColumn id="6" name="query_classification"/>
    <x:tableColumn id="7" name="ambiguity_class"/>
    <x:tableColumn id="8" name="corpus"/>
    <x:tableColumn id="9" name="corpus_version"/>
    <x:tableColumn id="10" name="year_start"/>
    <x:tableColumn id="11" name="year_end"/>
    <x:tableColumn id="12" name="first_nonzero_year"/>
    <x:tableColumn id="13" name="nonzero_year_count"/>
    <x:tableColumn id="14" name="peak_year"/>
    <x:tableColumn id="15" name="peak_frequency"/>
    <x:tableColumn id="16" name="latest_year_value"/>
    <x:tableColumn id="17" name="1842_value"/>
    <x:tableColumn id="18" name="1938_value"/>
    <x:tableColumn id="19" name="1988_value"/>
    <x:tableColumn id="20" name="2006_value"/>
    <x:tableColumn id="21" name="2007_value"/>
    <x:tableColumn id="22" name="2006_07_mean"/>
    <x:tableColumn id="23" name="2015_value"/>
    <x:tableColumn id="24" name="2022_value"/>
    <x:tableColumn id="25" name="2022_or_latest_value"/>
    <x:tableColumn id="26" name="latest_supported_year"/>
    <x:tableColumn id="27" name="zero_sparse_flag"/>
    <x:tableColumn id="28" name="trajectory_availability"/>
    <x:tableColumn id="29" name="interpretation_note"/>
  </x:tableColumns>
  <x:tableStyleInfo name="TableStyleMedium2" showFirstColumn="0" showLastColumn="0" showRowStripes="1" showColumnStripes="0"/>
</x:table>
</file>

<file path=xl/tables/table18.xml><?xml version="1.0" encoding="utf-8"?>
<x:table xmlns:x="http://schemas.openxmlformats.org/spreadsheetml/2006/main" id="18" name="AnchorMatrixTable" displayName="AnchorMatrixTable" ref="A4:M147" headerRowCount="1" totalsRowCount="0" totalsRowShown="0">
  <x:autoFilter ref="A4:M147"/>
  <x:tableColumns count="13">
    <x:tableColumn id="1" name="query_id"/>
    <x:tableColumn id="2" name="surface_form"/>
    <x:tableColumn id="3" name="family"/>
    <x:tableColumn id="4" name="interpretation_class"/>
    <x:tableColumn id="5" name="1842_value"/>
    <x:tableColumn id="6" name="1938_value"/>
    <x:tableColumn id="7" name="1988_value"/>
    <x:tableColumn id="8" name="2006_value"/>
    <x:tableColumn id="9" name="2007_value"/>
    <x:tableColumn id="10" name="2006_07_mean"/>
    <x:tableColumn id="11" name="2015_value"/>
    <x:tableColumn id="12" name="2022_or_latest_value"/>
    <x:tableColumn id="13" name="latest_supported_year"/>
  </x:tableColumns>
  <x:tableStyleInfo name="TableStyleMedium2" showFirstColumn="0" showLastColumn="0" showRowStripes="1" showColumnStripes="0"/>
</x:table>
</file>

<file path=xl/tables/table19.xml><?xml version="1.0" encoding="utf-8"?>
<x:table xmlns:x="http://schemas.openxmlformats.org/spreadsheetml/2006/main" id="19" name="FamilySummaryTable" displayName="FamilySummaryTable" ref="A4:K18" headerRowCount="1" totalsRowCount="0" totalsRowShown="0">
  <x:autoFilter ref="A4:K18"/>
  <x:tableColumns count="11">
    <x:tableColumn id="1" name="family_id"/>
    <x:tableColumn id="2" name="family_code"/>
    <x:tableColumn id="3" name="members_queried"/>
    <x:tableColumn id="4" name="query_rule_count"/>
    <x:tableColumn id="5" name="members_successful"/>
    <x:tableColumn id="6" name="members_sparse_or_zero"/>
    <x:tableColumn id="7" name="earliest_observable_member"/>
    <x:tableColumn id="8" name="representative_terms_by_peak_frequency"/>
    <x:tableColumn id="9" name="member_peak_years"/>
    <x:tableColumn id="10" name="anchor_period_notes"/>
    <x:tableColumn id="11" name="semantic_comparability_warning"/>
  </x:tableColumns>
  <x:tableStyleInfo name="TableStyleMedium2" showFirstColumn="0" showLastColumn="0" showRowStripes="1" showColumnStripes="0"/>
</x:table>
</file>

<file path=xl/tables/table20.xml><?xml version="1.0" encoding="utf-8"?>
<x:table xmlns:x="http://schemas.openxmlformats.org/spreadsheetml/2006/main" id="20" name="VoiceMatrixTable" displayName="VoiceMatrixTable" ref="A4:F34" headerRowCount="1" totalsRowCount="0" totalsRowShown="0">
  <x:autoFilter ref="A4:F34"/>
  <x:tableColumns count="6">
    <x:tableColumn id="1" name="anchor_id"/>
    <x:tableColumn id="2" name="anchor_label"/>
    <x:tableColumn id="3" name="voice_code"/>
    <x:tableColumn id="4" name="coverage_status"/>
    <x:tableColumn id="5" name="representative_high_value_lexical_forms"/>
    <x:tableColumn id="6" name="source_evidence_note"/>
  </x:tableColumns>
  <x:tableStyleInfo name="TableStyleMedium2" showFirstColumn="0" showLastColumn="0" showRowStripes="1" showColumnStripes="0"/>
</x:table>
</file>

<file path=xl/tables/table21.xml><?xml version="1.0" encoding="utf-8"?>
<x:table xmlns:x="http://schemas.openxmlformats.org/spreadsheetml/2006/main" id="21" name="QueryAuditTable" displayName="QueryAuditTable" ref="A4:K147" headerRowCount="1" totalsRowCount="0" totalsRowShown="0">
  <x:autoFilter ref="A4:K147"/>
  <x:tableColumns count="11">
    <x:tableColumn id="1" name="query_id"/>
    <x:tableColumn id="2" name="anchor"/>
    <x:tableColumn id="3" name="surface_form"/>
    <x:tableColumn id="4" name="classification"/>
    <x:tableColumn id="5" name="compatibility_status"/>
    <x:tableColumn id="6" name="execution_eligible"/>
    <x:tableColumn id="7" name="reason"/>
    <x:tableColumn id="8" name="interpretation_class"/>
    <x:tableColumn id="9" name="source_report"/>
    <x:tableColumn id="10" name="source_page"/>
    <x:tableColumn id="11" name="provenance_status"/>
  </x:tableColumns>
  <x:tableStyleInfo name="TableStyleMedium2" showFirstColumn="0" showLastColumn="0" showRowStripes="1" showColumnStripes="0"/>
</x:table>
</file>

<file path=xl/tables/table22.xml><?xml version="1.0" encoding="utf-8"?>
<x:table xmlns:x="http://schemas.openxmlformats.org/spreadsheetml/2006/main" id="22" name="NgramStatusTable" displayName="NgramStatusTable" ref="A4:L147" headerRowCount="1" totalsRowCount="0" totalsRowShown="0">
  <x:autoFilter ref="A4:L147"/>
  <x:tableColumns count="12">
    <x:tableColumn id="1" name="query_id"/>
    <x:tableColumn id="2" name="request_surface_form"/>
    <x:tableColumn id="3" name="execution_status"/>
    <x:tableColumn id="4" name="attempt_count"/>
    <x:tableColumn id="5" name="observation_count"/>
    <x:tableColumn id="6" name="first_response_ngram"/>
    <x:tableColumn id="7" name="raw_response_path"/>
    <x:tableColumn id="8" name="raw_payload_sha256"/>
    <x:tableColumn id="9" name="error_reason"/>
    <x:tableColumn id="10" name="retrieved_at"/>
    <x:tableColumn id="11" name="request_url"/>
    <x:tableColumn id="12" name="content_typ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8a95cb0e9214aab" /></Relationships>
</file>

<file path=xl/worksheets/_rels/sheet4.xml.rels>&#65279;<?xml version="1.0" encoding="utf-8"?><Relationships xmlns="http://schemas.openxmlformats.org/package/2006/relationships"><Relationship Type="http://schemas.openxmlformats.org/officeDocument/2006/relationships/table" Target="/xl/tables/table1.xml" Id="Re3e568b6370c43be" /></Relationships>
</file>

<file path=xl/worksheets/_rels/sheet5.xml.rels>&#65279;<?xml version="1.0" encoding="utf-8"?><Relationships xmlns="http://schemas.openxmlformats.org/package/2006/relationships"><Relationship Type="http://schemas.openxmlformats.org/officeDocument/2006/relationships/table" Target="/xl/tables/table2.xml" Id="Rd486c95e6c6f4980" /></Relationships>
</file>

<file path=xl/worksheets/_rels/sheet6.xml.rels>&#65279;<?xml version="1.0" encoding="utf-8"?><Relationships xmlns="http://schemas.openxmlformats.org/package/2006/relationships"><Relationship Type="http://schemas.openxmlformats.org/officeDocument/2006/relationships/table" Target="/xl/tables/table3.xml" Id="Re833997d3f0b496a" /></Relationships>
</file>

<file path=xl/worksheets/_rels/sheet7.xml.rels>&#65279;<?xml version="1.0" encoding="utf-8"?><Relationships xmlns="http://schemas.openxmlformats.org/package/2006/relationships"><Relationship Type="http://schemas.openxmlformats.org/officeDocument/2006/relationships/table" Target="/xl/tables/table4.xml" Id="R785dc5dda1e34bbb" /></Relationships>
</file>

<file path=xl/worksheets/_rels/sheet8.xml.rels>&#65279;<?xml version="1.0" encoding="utf-8"?><Relationships xmlns="http://schemas.openxmlformats.org/package/2006/relationships"><Relationship Type="http://schemas.openxmlformats.org/officeDocument/2006/relationships/table" Target="/xl/tables/table5.xml" Id="Rc16436a3c0ad41fd" /></Relationships>
</file>

<file path=xl/worksheets/_rels/sheet9.xml.rels>&#65279;<?xml version="1.0" encoding="utf-8"?><Relationships xmlns="http://schemas.openxmlformats.org/package/2006/relationships"><Relationship Type="http://schemas.openxmlformats.org/officeDocument/2006/relationships/table" Target="/xl/tables/table6.xml" Id="R275a758317514b1f" /></Relationships>
</file>

<file path=xl/worksheets/_rels/sheet10.xml.rels>&#65279;<?xml version="1.0" encoding="utf-8"?><Relationships xmlns="http://schemas.openxmlformats.org/package/2006/relationships"><Relationship Type="http://schemas.openxmlformats.org/officeDocument/2006/relationships/table" Target="/xl/tables/table7.xml" Id="R30b6027989804a0b" /></Relationships>
</file>

<file path=xl/worksheets/_rels/sheet11.xml.rels>&#65279;<?xml version="1.0" encoding="utf-8"?><Relationships xmlns="http://schemas.openxmlformats.org/package/2006/relationships"><Relationship Type="http://schemas.openxmlformats.org/officeDocument/2006/relationships/table" Target="/xl/tables/table8.xml" Id="Rf4343918d3524325" /></Relationships>
</file>

<file path=xl/worksheets/_rels/sheet12.xml.rels>&#65279;<?xml version="1.0" encoding="utf-8"?><Relationships xmlns="http://schemas.openxmlformats.org/package/2006/relationships"><Relationship Type="http://schemas.openxmlformats.org/officeDocument/2006/relationships/table" Target="/xl/tables/table9.xml" Id="R6e3736fd6ff647db" /></Relationships>
</file>

<file path=xl/worksheets/_rels/sheet13.xml.rels>&#65279;<?xml version="1.0" encoding="utf-8"?><Relationships xmlns="http://schemas.openxmlformats.org/package/2006/relationships"><Relationship Type="http://schemas.openxmlformats.org/officeDocument/2006/relationships/table" Target="/xl/tables/table10.xml" Id="R080b259496d244b4" /></Relationships>
</file>

<file path=xl/worksheets/_rels/sheet14.xml.rels>&#65279;<?xml version="1.0" encoding="utf-8"?><Relationships xmlns="http://schemas.openxmlformats.org/package/2006/relationships"><Relationship Type="http://schemas.openxmlformats.org/officeDocument/2006/relationships/table" Target="/xl/tables/table11.xml" Id="Rd88fdf099a1342b1" /></Relationships>
</file>

<file path=xl/worksheets/_rels/sheet15.xml.rels>&#65279;<?xml version="1.0" encoding="utf-8"?><Relationships xmlns="http://schemas.openxmlformats.org/package/2006/relationships"><Relationship Type="http://schemas.openxmlformats.org/officeDocument/2006/relationships/table" Target="/xl/tables/table12.xml" Id="R09f22c6db40742c0" /></Relationships>
</file>

<file path=xl/worksheets/_rels/sheet16.xml.rels>&#65279;<?xml version="1.0" encoding="utf-8"?><Relationships xmlns="http://schemas.openxmlformats.org/package/2006/relationships"><Relationship Type="http://schemas.openxmlformats.org/officeDocument/2006/relationships/table" Target="/xl/tables/table13.xml" Id="R765a27a14777456f" /></Relationships>
</file>

<file path=xl/worksheets/_rels/sheet17.xml.rels>&#65279;<?xml version="1.0" encoding="utf-8"?><Relationships xmlns="http://schemas.openxmlformats.org/package/2006/relationships"><Relationship Type="http://schemas.openxmlformats.org/officeDocument/2006/relationships/table" Target="/xl/tables/table14.xml" Id="Rfabd3ab475fa4c92" /></Relationships>
</file>

<file path=xl/worksheets/_rels/sheet18.xml.rels>&#65279;<?xml version="1.0" encoding="utf-8"?><Relationships xmlns="http://schemas.openxmlformats.org/package/2006/relationships"><Relationship Type="http://schemas.openxmlformats.org/officeDocument/2006/relationships/table" Target="/xl/tables/table15.xml" Id="R97ec1b0dc191426f" /></Relationships>
</file>

<file path=xl/worksheets/_rels/sheet19.xml.rels>&#65279;<?xml version="1.0" encoding="utf-8"?><Relationships xmlns="http://schemas.openxmlformats.org/package/2006/relationships"><Relationship Type="http://schemas.openxmlformats.org/officeDocument/2006/relationships/table" Target="/xl/tables/table16.xml" Id="R4953b5f07a034a5b" /></Relationships>
</file>

<file path=xl/worksheets/_rels/sheet20.xml.rels>&#65279;<?xml version="1.0" encoding="utf-8"?><Relationships xmlns="http://schemas.openxmlformats.org/package/2006/relationships"><Relationship Type="http://schemas.openxmlformats.org/officeDocument/2006/relationships/table" Target="/xl/tables/table17.xml" Id="R1b3b557b5cd64e24" /></Relationships>
</file>

<file path=xl/worksheets/_rels/sheet21.xml.rels>&#65279;<?xml version="1.0" encoding="utf-8"?><Relationships xmlns="http://schemas.openxmlformats.org/package/2006/relationships"><Relationship Type="http://schemas.openxmlformats.org/officeDocument/2006/relationships/table" Target="/xl/tables/table18.xml" Id="R00afe00477924637" /></Relationships>
</file>

<file path=xl/worksheets/_rels/sheet22.xml.rels>&#65279;<?xml version="1.0" encoding="utf-8"?><Relationships xmlns="http://schemas.openxmlformats.org/package/2006/relationships"><Relationship Type="http://schemas.openxmlformats.org/officeDocument/2006/relationships/table" Target="/xl/tables/table19.xml" Id="Rd500d91900da4e62" /></Relationships>
</file>

<file path=xl/worksheets/_rels/sheet23.xml.rels>&#65279;<?xml version="1.0" encoding="utf-8"?><Relationships xmlns="http://schemas.openxmlformats.org/package/2006/relationships"><Relationship Type="http://schemas.openxmlformats.org/officeDocument/2006/relationships/table" Target="/xl/tables/table20.xml" Id="R947689f8fd244eeb" /></Relationships>
</file>

<file path=xl/worksheets/_rels/sheet24.xml.rels>&#65279;<?xml version="1.0" encoding="utf-8"?><Relationships xmlns="http://schemas.openxmlformats.org/package/2006/relationships"><Relationship Type="http://schemas.openxmlformats.org/officeDocument/2006/relationships/table" Target="/xl/tables/table21.xml" Id="Rb4d507e8afc34b03" /></Relationships>
</file>

<file path=xl/worksheets/_rels/sheet25.xml.rels>&#65279;<?xml version="1.0" encoding="utf-8"?><Relationships xmlns="http://schemas.openxmlformats.org/package/2006/relationships"><Relationship Type="http://schemas.openxmlformats.org/officeDocument/2006/relationships/table" Target="/xl/tables/table22.xml" Id="R6cc8c749af454b97" /></Relationships>
</file>

<file path=xl/worksheets/sheet1.xml><?xml version="1.0" encoding="utf-8"?>
<x:worksheet xmlns:x="http://schemas.openxmlformats.org/spreadsheetml/2006/main">
  <x:sheetViews>
    <x:sheetView showGridLines="0" workbookViewId="0"/>
  </x:sheetViews>
  <x:sheetFormatPr defaultRowHeight="15"/>
  <x:cols>
    <x:col min="1" max="1" width="11"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s>
  <x:sheetData>
    <x:row r="1" ht="46" customHeight="1">
      <x:c r="A1" s="137" t="str">
        <x:v>Fear of Temperature — Supervisor Dashboard</x:v>
      </x:c>
      <x:c r="B1" s="137" t="str">
        <x:v>Fear of Temperature — Supervisor Dashboard</x:v>
      </x:c>
      <x:c r="C1" s="137" t="str">
        <x:v>Fear of Temperature — Supervisor Dashboard</x:v>
      </x:c>
      <x:c r="D1" s="137" t="str">
        <x:v>Fear of Temperature — Supervisor Dashboard</x:v>
      </x:c>
      <x:c r="E1" s="137" t="str">
        <x:v>Fear of Temperature — Supervisor Dashboard</x:v>
      </x:c>
      <x:c r="F1" s="137" t="str">
        <x:v>Fear of Temperature — Supervisor Dashboard</x:v>
      </x:c>
      <x:c r="G1" s="137" t="str">
        <x:v>Fear of Temperature — Supervisor Dashboard</x:v>
      </x:c>
      <x:c r="H1" s="137" t="str">
        <x:v>Fear of Temperature — Supervisor Dashboard</x:v>
      </x:c>
      <x:c r="I1" s="137" t="str">
        <x:v>Fear of Temperature — Supervisor Dashboard</x:v>
      </x:c>
      <x:c r="J1" s="137" t="str">
        <x:v>Fear of Temperature — Supervisor Dashboard</x:v>
      </x:c>
      <x:c r="K1" s="137" t="str">
        <x:v>Fear of Temperature — Supervisor Dashboard</x:v>
      </x:c>
      <x:c r="L1" s="137" t="str">
        <x:v>Fear of Temperature — Supervisor Dashboard</x:v>
      </x:c>
      <x:c r="M1" s="137" t="str">
        <x:v>Fear of Temperature — Supervisor Dashboard</x:v>
      </x:c>
      <x:c r="N1" s="137" t="str">
        <x:v>Fear of Temperature — Supervisor Dashboard</x:v>
      </x:c>
    </x:row>
    <x:row r="2">
      <x:c r="A2" s="7" t="str">
        <x:v>Exploratory relationship analysis v0.2 · constructed inventory · corpus trajectories · lexicography · searchability and provenance bias</x:v>
      </x:c>
      <x:c r="B2" s="7" t="str">
        <x:v>Exploratory relationship analysis v0.2 · constructed inventory · corpus trajectories · lexicography · searchability and provenance bias</x:v>
      </x:c>
      <x:c r="C2" s="7" t="str">
        <x:v>Exploratory relationship analysis v0.2 · constructed inventory · corpus trajectories · lexicography · searchability and provenance bias</x:v>
      </x:c>
      <x:c r="D2" s="7" t="str">
        <x:v>Exploratory relationship analysis v0.2 · constructed inventory · corpus trajectories · lexicography · searchability and provenance bias</x:v>
      </x:c>
      <x:c r="E2" s="7" t="str">
        <x:v>Exploratory relationship analysis v0.2 · constructed inventory · corpus trajectories · lexicography · searchability and provenance bias</x:v>
      </x:c>
      <x:c r="F2" s="7" t="str">
        <x:v>Exploratory relationship analysis v0.2 · constructed inventory · corpus trajectories · lexicography · searchability and provenance bias</x:v>
      </x:c>
      <x:c r="G2" s="7" t="str">
        <x:v>Exploratory relationship analysis v0.2 · constructed inventory · corpus trajectories · lexicography · searchability and provenance bias</x:v>
      </x:c>
      <x:c r="H2" s="7" t="str">
        <x:v>Exploratory relationship analysis v0.2 · constructed inventory · corpus trajectories · lexicography · searchability and provenance bias</x:v>
      </x:c>
      <x:c r="I2" s="7" t="str">
        <x:v>Exploratory relationship analysis v0.2 · constructed inventory · corpus trajectories · lexicography · searchability and provenance bias</x:v>
      </x:c>
      <x:c r="J2" s="7" t="str">
        <x:v>Exploratory relationship analysis v0.2 · constructed inventory · corpus trajectories · lexicography · searchability and provenance bias</x:v>
      </x:c>
      <x:c r="K2" s="7" t="str">
        <x:v>Exploratory relationship analysis v0.2 · constructed inventory · corpus trajectories · lexicography · searchability and provenance bias</x:v>
      </x:c>
      <x:c r="L2" s="7" t="str">
        <x:v>Exploratory relationship analysis v0.2 · constructed inventory · corpus trajectories · lexicography · searchability and provenance bias</x:v>
      </x:c>
      <x:c r="M2" s="7" t="str">
        <x:v>Exploratory relationship analysis v0.2 · constructed inventory · corpus trajectories · lexicography · searchability and provenance bias</x:v>
      </x:c>
      <x:c r="N2" s="7" t="str">
        <x:v>Exploratory relationship analysis v0.2 · constructed inventory · corpus trajectories · lexicography · searchability and provenance bias</x:v>
      </x:c>
    </x:row>
    <x:row r="3">
      <x:c r="A3" s="203"/>
      <x:c r="B3" s="203"/>
      <x:c r="C3" s="203"/>
      <x:c r="D3" s="203"/>
      <x:c r="E3" s="203"/>
      <x:c r="F3" s="203"/>
      <x:c r="G3" s="203"/>
      <x:c r="H3" s="203"/>
      <x:c r="I3" s="203"/>
      <x:c r="J3" s="203"/>
      <x:c r="K3" s="203"/>
      <x:c r="L3" s="203"/>
      <x:c r="M3" s="203"/>
      <x:c r="N3" s="203"/>
    </x:row>
    <x:row r="4">
      <x:c r="A4" s="142" t="str">
        <x:v>Priority Candidates</x:v>
      </x:c>
      <x:c r="B4" s="142" t="str">
        <x:v>Priority Candidates</x:v>
      </x:c>
      <x:c r="C4" s="142" t="str">
        <x:v>Priority Candidates</x:v>
      </x:c>
      <x:c r="D4" s="152" t="str">
        <x:v>Candidate Relations</x:v>
      </x:c>
      <x:c r="E4" s="152" t="str">
        <x:v>Candidate Relations</x:v>
      </x:c>
      <x:c r="F4" s="152" t="str">
        <x:v>Candidate Relations</x:v>
      </x:c>
      <x:c r="G4" s="162" t="str">
        <x:v>Ngram Observations</x:v>
      </x:c>
      <x:c r="H4" s="162" t="str">
        <x:v>Ngram Observations</x:v>
      </x:c>
      <x:c r="I4" s="162" t="str">
        <x:v>Ngram Observations</x:v>
      </x:c>
      <x:c r="J4" s="172" t="str">
        <x:v>EDA Figures</x:v>
      </x:c>
      <x:c r="K4" s="172" t="str">
        <x:v>EDA Figures</x:v>
      </x:c>
      <x:c r="L4" s="172" t="str">
        <x:v>EDA Figures</x:v>
      </x:c>
      <x:c r="M4" s="181" t="str">
        <x:v>6 anchors
4 layers
5 voices
14 families</x:v>
      </x:c>
      <x:c r="N4" s="181" t="str">
        <x:v>6 anchors
4 layers
5 voices
14 families</x:v>
      </x:c>
    </x:row>
    <x:row r="5">
      <x:c r="A5" s="147" t="n">
        <x:f>COUNTA('Priority 180 Coverage'!A5:A184)</x:f>
        <x:v>180</x:v>
      </x:c>
      <x:c r="B5" s="147"/>
      <x:c r="C5" s="147"/>
      <x:c r="D5" s="156" t="n">
        <x:f>COUNTA('Candidate Relations'!A5:A500)</x:f>
        <x:v>337</x:v>
      </x:c>
      <x:c r="E5" s="156"/>
      <x:c r="F5" s="156"/>
      <x:c r="G5" s="166" t="n">
        <x:f>SUM('Ngram Coverage'!I5:I147)</x:f>
        <x:v>23892</x:v>
      </x:c>
      <x:c r="H5" s="166"/>
      <x:c r="I5" s="166"/>
      <x:c r="J5" s="176" t="n">
        <x:f>15</x:f>
        <x:v>15</x:v>
      </x:c>
      <x:c r="K5" s="176"/>
      <x:c r="L5" s="176"/>
      <x:c r="M5" s="181" t="str">
        <x:v>6 anchors
4 layers
5 voices
14 families</x:v>
      </x:c>
      <x:c r="N5" s="181" t="str">
        <x:v>6 anchors
4 layers
5 voices
14 families</x:v>
      </x:c>
    </x:row>
    <x:row r="6">
      <x:c r="A6" s="147"/>
      <x:c r="B6" s="147"/>
      <x:c r="C6" s="147"/>
      <x:c r="D6" s="156"/>
      <x:c r="E6" s="156"/>
      <x:c r="F6" s="156"/>
      <x:c r="G6" s="166"/>
      <x:c r="H6" s="166"/>
      <x:c r="I6" s="166"/>
      <x:c r="J6" s="176"/>
      <x:c r="K6" s="176"/>
      <x:c r="L6" s="176"/>
      <x:c r="M6" s="181" t="str">
        <x:v>6 anchors
4 layers
5 voices
14 families</x:v>
      </x:c>
      <x:c r="N6" s="181" t="str">
        <x:v>6 anchors
4 layers
5 voices
14 families</x:v>
      </x:c>
    </x:row>
    <x:row r="7">
      <x:c r="A7" s="147"/>
      <x:c r="B7" s="147"/>
      <x:c r="C7" s="147"/>
      <x:c r="D7" s="156"/>
      <x:c r="E7" s="156"/>
      <x:c r="F7" s="156"/>
      <x:c r="G7" s="166"/>
      <x:c r="H7" s="166"/>
      <x:c r="I7" s="166"/>
      <x:c r="J7" s="176"/>
      <x:c r="K7" s="176"/>
      <x:c r="L7" s="176"/>
      <x:c r="M7" s="181" t="str">
        <x:v>6 anchors
4 layers
5 voices
14 families</x:v>
      </x:c>
      <x:c r="N7" s="181" t="str">
        <x:v>6 anchors
4 layers
5 voices
14 families</x:v>
      </x:c>
    </x:row>
    <x:row r="8">
      <x:c r="A8" s="203"/>
      <x:c r="B8" s="203"/>
      <x:c r="C8" s="203"/>
      <x:c r="D8" s="203"/>
      <x:c r="E8" s="203"/>
      <x:c r="F8" s="203"/>
      <x:c r="G8" s="203"/>
      <x:c r="H8" s="203"/>
      <x:c r="I8" s="203"/>
      <x:c r="J8" s="203"/>
      <x:c r="K8" s="203"/>
      <x:c r="L8" s="203"/>
      <x:c r="M8" s="203"/>
      <x:c r="N8" s="203"/>
    </x:row>
    <x:row r="9">
      <x:c r="A9" s="128" t="str">
        <x:v>Method warning
String frequency is not equivalent to historical fear.</x:v>
      </x:c>
      <x:c r="B9" s="128" t="str">
        <x:v>Method warning
String frequency is not equivalent to historical fear.</x:v>
      </x:c>
      <x:c r="C9" s="128" t="str">
        <x:v>Method warning
String frequency is not equivalent to historical fear.</x:v>
      </x:c>
      <x:c r="D9" s="128" t="str">
        <x:v>Method warning
String frequency is not equivalent to historical fear.</x:v>
      </x:c>
      <x:c r="E9" s="128" t="str">
        <x:v>Method warning
String frequency is not equivalent to historical fear.</x:v>
      </x:c>
      <x:c r="F9" s="128" t="str">
        <x:v>Method warning
String frequency is not equivalent to historical fear.</x:v>
      </x:c>
      <x:c r="G9" s="128" t="str">
        <x:v>Method warning
String frequency is not equivalent to historical fear.</x:v>
      </x:c>
      <x:c r="H9" s="186" t="str">
        <x:v>Key methodological result
The same word may perform different functions depending on speaker, source, expression mode and context.</x:v>
      </x:c>
      <x:c r="I9" s="186" t="str">
        <x:v>Key methodological result
The same word may perform different functions depending on speaker, source, expression mode and context.</x:v>
      </x:c>
      <x:c r="J9" s="186" t="str">
        <x:v>Key methodological result
The same word may perform different functions depending on speaker, source, expression mode and context.</x:v>
      </x:c>
      <x:c r="K9" s="186" t="str">
        <x:v>Key methodological result
The same word may perform different functions depending on speaker, source, expression mode and context.</x:v>
      </x:c>
      <x:c r="L9" s="186" t="str">
        <x:v>Key methodological result
The same word may perform different functions depending on speaker, source, expression mode and context.</x:v>
      </x:c>
      <x:c r="M9" s="186" t="str">
        <x:v>Key methodological result
The same word may perform different functions depending on speaker, source, expression mode and context.</x:v>
      </x:c>
      <x:c r="N9" s="186" t="str">
        <x:v>Key methodological result
The same word may perform different functions depending on speaker, source, expression mode and context.</x:v>
      </x:c>
    </x:row>
    <x:row r="10">
      <x:c r="A10" s="128" t="str">
        <x:v>Method warning
String frequency is not equivalent to historical fear.</x:v>
      </x:c>
      <x:c r="B10" s="128" t="str">
        <x:v>Method warning
String frequency is not equivalent to historical fear.</x:v>
      </x:c>
      <x:c r="C10" s="128" t="str">
        <x:v>Method warning
String frequency is not equivalent to historical fear.</x:v>
      </x:c>
      <x:c r="D10" s="128" t="str">
        <x:v>Method warning
String frequency is not equivalent to historical fear.</x:v>
      </x:c>
      <x:c r="E10" s="128" t="str">
        <x:v>Method warning
String frequency is not equivalent to historical fear.</x:v>
      </x:c>
      <x:c r="F10" s="128" t="str">
        <x:v>Method warning
String frequency is not equivalent to historical fear.</x:v>
      </x:c>
      <x:c r="G10" s="128" t="str">
        <x:v>Method warning
String frequency is not equivalent to historical fear.</x:v>
      </x:c>
      <x:c r="H10" s="186" t="str">
        <x:v>Key methodological result
The same word may perform different functions depending on speaker, source, expression mode and context.</x:v>
      </x:c>
      <x:c r="I10" s="186" t="str">
        <x:v>Key methodological result
The same word may perform different functions depending on speaker, source, expression mode and context.</x:v>
      </x:c>
      <x:c r="J10" s="186" t="str">
        <x:v>Key methodological result
The same word may perform different functions depending on speaker, source, expression mode and context.</x:v>
      </x:c>
      <x:c r="K10" s="186" t="str">
        <x:v>Key methodological result
The same word may perform different functions depending on speaker, source, expression mode and context.</x:v>
      </x:c>
      <x:c r="L10" s="186" t="str">
        <x:v>Key methodological result
The same word may perform different functions depending on speaker, source, expression mode and context.</x:v>
      </x:c>
      <x:c r="M10" s="186" t="str">
        <x:v>Key methodological result
The same word may perform different functions depending on speaker, source, expression mode and context.</x:v>
      </x:c>
      <x:c r="N10" s="186" t="str">
        <x:v>Key methodological result
The same word may perform different functions depending on speaker, source, expression mode and context.</x:v>
      </x:c>
    </x:row>
    <x:row r="11">
      <x:c r="A11" s="128" t="str">
        <x:v>Method warning
String frequency is not equivalent to historical fear.</x:v>
      </x:c>
      <x:c r="B11" s="128" t="str">
        <x:v>Method warning
String frequency is not equivalent to historical fear.</x:v>
      </x:c>
      <x:c r="C11" s="128" t="str">
        <x:v>Method warning
String frequency is not equivalent to historical fear.</x:v>
      </x:c>
      <x:c r="D11" s="128" t="str">
        <x:v>Method warning
String frequency is not equivalent to historical fear.</x:v>
      </x:c>
      <x:c r="E11" s="128" t="str">
        <x:v>Method warning
String frequency is not equivalent to historical fear.</x:v>
      </x:c>
      <x:c r="F11" s="128" t="str">
        <x:v>Method warning
String frequency is not equivalent to historical fear.</x:v>
      </x:c>
      <x:c r="G11" s="128" t="str">
        <x:v>Method warning
String frequency is not equivalent to historical fear.</x:v>
      </x:c>
      <x:c r="H11" s="186" t="str">
        <x:v>Key methodological result
The same word may perform different functions depending on speaker, source, expression mode and context.</x:v>
      </x:c>
      <x:c r="I11" s="186" t="str">
        <x:v>Key methodological result
The same word may perform different functions depending on speaker, source, expression mode and context.</x:v>
      </x:c>
      <x:c r="J11" s="186" t="str">
        <x:v>Key methodological result
The same word may perform different functions depending on speaker, source, expression mode and context.</x:v>
      </x:c>
      <x:c r="K11" s="186" t="str">
        <x:v>Key methodological result
The same word may perform different functions depending on speaker, source, expression mode and context.</x:v>
      </x:c>
      <x:c r="L11" s="186" t="str">
        <x:v>Key methodological result
The same word may perform different functions depending on speaker, source, expression mode and context.</x:v>
      </x:c>
      <x:c r="M11" s="186" t="str">
        <x:v>Key methodological result
The same word may perform different functions depending on speaker, source, expression mode and context.</x:v>
      </x:c>
      <x:c r="N11" s="186" t="str">
        <x:v>Key methodological result
The same word may perform different functions depending on speaker, source, expression mode and context.</x:v>
      </x:c>
    </x:row>
    <x:row r="12">
      <x:c r="A12" s="203"/>
      <x:c r="B12" s="203"/>
      <x:c r="C12" s="203"/>
      <x:c r="D12" s="203"/>
      <x:c r="E12" s="203"/>
      <x:c r="F12" s="203"/>
      <x:c r="G12" s="203"/>
      <x:c r="H12" s="203"/>
      <x:c r="I12" s="203"/>
      <x:c r="J12" s="203"/>
      <x:c r="K12" s="203"/>
      <x:c r="L12" s="203"/>
      <x:c r="M12" s="203"/>
      <x:c r="N12" s="203"/>
    </x:row>
    <x:row r="13">
      <x:c r="A13" s="188" t="str">
        <x:v>Composition of the constructed inventory</x:v>
      </x:c>
      <x:c r="B13" s="188" t="str">
        <x:v>Composition of the constructed inventory</x:v>
      </x:c>
      <x:c r="C13" s="188" t="str">
        <x:v>Composition of the constructed inventory</x:v>
      </x:c>
      <x:c r="D13" s="188" t="str">
        <x:v>Composition of the constructed inventory</x:v>
      </x:c>
      <x:c r="E13" s="188" t="str">
        <x:v>Composition of the constructed inventory</x:v>
      </x:c>
      <x:c r="F13" s="188" t="str">
        <x:v>Composition of the constructed inventory</x:v>
      </x:c>
      <x:c r="G13" s="188" t="str">
        <x:v>Composition of the constructed inventory</x:v>
      </x:c>
      <x:c r="H13" s="190" t="str">
        <x:v>Source/speaker composition</x:v>
      </x:c>
      <x:c r="I13" s="190" t="str">
        <x:v>Source/speaker composition</x:v>
      </x:c>
      <x:c r="J13" s="190" t="str">
        <x:v>Source/speaker composition</x:v>
      </x:c>
      <x:c r="K13" s="190" t="str">
        <x:v>Source/speaker composition</x:v>
      </x:c>
      <x:c r="L13" s="190" t="str">
        <x:v>Source/speaker composition</x:v>
      </x:c>
      <x:c r="M13" s="190" t="str">
        <x:v>Source/speaker composition</x:v>
      </x:c>
      <x:c r="N13" s="190" t="str">
        <x:v>Source/speaker composition</x:v>
      </x:c>
    </x:row>
    <x:row r="14">
      <x:c r="A14" s="203"/>
      <x:c r="B14" s="203"/>
      <x:c r="C14" s="203"/>
      <x:c r="D14" s="203"/>
      <x:c r="E14" s="203"/>
      <x:c r="F14" s="203"/>
      <x:c r="G14" s="203"/>
      <x:c r="H14" s="203"/>
      <x:c r="I14" s="203"/>
      <x:c r="J14" s="203"/>
      <x:c r="K14" s="203"/>
      <x:c r="L14" s="203"/>
      <x:c r="M14" s="203"/>
      <x:c r="N14" s="203"/>
    </x:row>
    <x:row r="15">
      <x:c r="A15" s="203"/>
      <x:c r="B15" s="203"/>
      <x:c r="C15" s="203"/>
      <x:c r="D15" s="203"/>
      <x:c r="E15" s="203"/>
      <x:c r="F15" s="203"/>
      <x:c r="G15" s="203"/>
      <x:c r="H15" s="203"/>
      <x:c r="I15" s="203"/>
      <x:c r="J15" s="203"/>
      <x:c r="K15" s="203"/>
      <x:c r="L15" s="203"/>
      <x:c r="M15" s="203"/>
      <x:c r="N15" s="203"/>
    </x:row>
    <x:row r="16">
      <x:c r="A16" s="203"/>
      <x:c r="B16" s="203"/>
      <x:c r="C16" s="203"/>
      <x:c r="D16" s="203"/>
      <x:c r="E16" s="203"/>
      <x:c r="F16" s="203"/>
      <x:c r="G16" s="203"/>
      <x:c r="H16" s="203"/>
      <x:c r="I16" s="203"/>
      <x:c r="J16" s="203"/>
      <x:c r="K16" s="203"/>
      <x:c r="L16" s="203"/>
      <x:c r="M16" s="203"/>
      <x:c r="N16" s="203"/>
    </x:row>
    <x:row r="17">
      <x:c r="A17" s="203"/>
      <x:c r="B17" s="203"/>
      <x:c r="C17" s="203"/>
      <x:c r="D17" s="203"/>
      <x:c r="E17" s="203"/>
      <x:c r="F17" s="203"/>
      <x:c r="G17" s="203"/>
      <x:c r="H17" s="203"/>
      <x:c r="I17" s="203"/>
      <x:c r="J17" s="203"/>
      <x:c r="K17" s="203"/>
      <x:c r="L17" s="203"/>
      <x:c r="M17" s="203"/>
      <x:c r="N17" s="203"/>
    </x:row>
    <x:row r="18">
      <x:c r="A18" s="203"/>
      <x:c r="B18" s="203"/>
      <x:c r="C18" s="203"/>
      <x:c r="D18" s="203"/>
      <x:c r="E18" s="203"/>
      <x:c r="F18" s="203"/>
      <x:c r="G18" s="203"/>
      <x:c r="H18" s="203"/>
      <x:c r="I18" s="203"/>
      <x:c r="J18" s="203"/>
      <x:c r="K18" s="203"/>
      <x:c r="L18" s="203"/>
      <x:c r="M18" s="203"/>
      <x:c r="N18" s="203"/>
    </x:row>
    <x:row r="19">
      <x:c r="A19" s="203"/>
      <x:c r="B19" s="203"/>
      <x:c r="C19" s="203"/>
      <x:c r="D19" s="203"/>
      <x:c r="E19" s="203"/>
      <x:c r="F19" s="203"/>
      <x:c r="G19" s="203"/>
      <x:c r="H19" s="203"/>
      <x:c r="I19" s="203"/>
      <x:c r="J19" s="203"/>
      <x:c r="K19" s="203"/>
      <x:c r="L19" s="203"/>
      <x:c r="M19" s="203"/>
      <x:c r="N19" s="203"/>
    </x:row>
    <x:row r="20">
      <x:c r="A20" s="203"/>
      <x:c r="B20" s="203"/>
      <x:c r="C20" s="203"/>
      <x:c r="D20" s="203"/>
      <x:c r="E20" s="203"/>
      <x:c r="F20" s="203"/>
      <x:c r="G20" s="203"/>
      <x:c r="H20" s="203"/>
      <x:c r="I20" s="203"/>
      <x:c r="J20" s="203"/>
      <x:c r="K20" s="203"/>
      <x:c r="L20" s="203"/>
      <x:c r="M20" s="203"/>
      <x:c r="N20" s="203"/>
    </x:row>
    <x:row r="21">
      <x:c r="A21" s="203"/>
      <x:c r="B21" s="203"/>
      <x:c r="C21" s="203"/>
      <x:c r="D21" s="203"/>
      <x:c r="E21" s="203"/>
      <x:c r="F21" s="203"/>
      <x:c r="G21" s="203"/>
      <x:c r="H21" s="203"/>
      <x:c r="I21" s="203"/>
      <x:c r="J21" s="203"/>
      <x:c r="K21" s="203"/>
      <x:c r="L21" s="203"/>
      <x:c r="M21" s="203"/>
      <x:c r="N21" s="203"/>
    </x:row>
    <x:row r="22">
      <x:c r="A22" s="203"/>
      <x:c r="B22" s="203"/>
      <x:c r="C22" s="203"/>
      <x:c r="D22" s="203"/>
      <x:c r="E22" s="203"/>
      <x:c r="F22" s="203"/>
      <x:c r="G22" s="203"/>
      <x:c r="H22" s="203"/>
      <x:c r="I22" s="203"/>
      <x:c r="J22" s="203"/>
      <x:c r="K22" s="203"/>
      <x:c r="L22" s="203"/>
      <x:c r="M22" s="203"/>
      <x:c r="N22" s="203"/>
    </x:row>
    <x:row r="23">
      <x:c r="A23" s="203"/>
      <x:c r="B23" s="203"/>
      <x:c r="C23" s="203"/>
      <x:c r="D23" s="203"/>
      <x:c r="E23" s="203"/>
      <x:c r="F23" s="203"/>
      <x:c r="G23" s="203"/>
      <x:c r="H23" s="203"/>
      <x:c r="I23" s="203"/>
      <x:c r="J23" s="203"/>
      <x:c r="K23" s="203"/>
      <x:c r="L23" s="203"/>
      <x:c r="M23" s="203"/>
      <x:c r="N23" s="203"/>
    </x:row>
    <x:row r="24">
      <x:c r="A24" s="203"/>
      <x:c r="B24" s="203"/>
      <x:c r="C24" s="203"/>
      <x:c r="D24" s="203"/>
      <x:c r="E24" s="203"/>
      <x:c r="F24" s="203"/>
      <x:c r="G24" s="203"/>
      <x:c r="H24" s="203"/>
      <x:c r="I24" s="203"/>
      <x:c r="J24" s="203"/>
      <x:c r="K24" s="203"/>
      <x:c r="L24" s="203"/>
      <x:c r="M24" s="203"/>
      <x:c r="N24" s="203"/>
    </x:row>
    <x:row r="25">
      <x:c r="A25" s="203"/>
      <x:c r="B25" s="203"/>
      <x:c r="C25" s="203"/>
      <x:c r="D25" s="203"/>
      <x:c r="E25" s="203"/>
      <x:c r="F25" s="203"/>
      <x:c r="G25" s="203"/>
      <x:c r="H25" s="203"/>
      <x:c r="I25" s="203"/>
      <x:c r="J25" s="203"/>
      <x:c r="K25" s="203"/>
      <x:c r="L25" s="203"/>
      <x:c r="M25" s="203"/>
      <x:c r="N25" s="203"/>
    </x:row>
    <x:row r="26">
      <x:c r="A26" s="203"/>
      <x:c r="B26" s="203"/>
      <x:c r="C26" s="203"/>
      <x:c r="D26" s="203"/>
      <x:c r="E26" s="203"/>
      <x:c r="F26" s="203"/>
      <x:c r="G26" s="203"/>
      <x:c r="H26" s="203"/>
      <x:c r="I26" s="203"/>
      <x:c r="J26" s="203"/>
      <x:c r="K26" s="203"/>
      <x:c r="L26" s="203"/>
      <x:c r="M26" s="203"/>
      <x:c r="N26" s="203"/>
    </x:row>
    <x:row r="27">
      <x:c r="A27" s="203"/>
      <x:c r="B27" s="203"/>
      <x:c r="C27" s="203"/>
      <x:c r="D27" s="203"/>
      <x:c r="E27" s="203"/>
      <x:c r="F27" s="203"/>
      <x:c r="G27" s="203"/>
      <x:c r="H27" s="203"/>
      <x:c r="I27" s="203"/>
      <x:c r="J27" s="203"/>
      <x:c r="K27" s="203"/>
      <x:c r="L27" s="203"/>
      <x:c r="M27" s="203"/>
      <x:c r="N27" s="203"/>
    </x:row>
    <x:row r="28">
      <x:c r="A28" s="203"/>
      <x:c r="B28" s="203"/>
      <x:c r="C28" s="203"/>
      <x:c r="D28" s="203"/>
      <x:c r="E28" s="203"/>
      <x:c r="F28" s="203"/>
      <x:c r="G28" s="203"/>
      <x:c r="H28" s="203"/>
      <x:c r="I28" s="203"/>
      <x:c r="J28" s="203"/>
      <x:c r="K28" s="203"/>
      <x:c r="L28" s="203"/>
      <x:c r="M28" s="203"/>
      <x:c r="N28" s="203"/>
    </x:row>
    <x:row r="29">
      <x:c r="A29" s="203"/>
      <x:c r="B29" s="203"/>
      <x:c r="C29" s="203"/>
      <x:c r="D29" s="203"/>
      <x:c r="E29" s="203"/>
      <x:c r="F29" s="203"/>
      <x:c r="G29" s="203"/>
      <x:c r="H29" s="203"/>
      <x:c r="I29" s="203"/>
      <x:c r="J29" s="203"/>
      <x:c r="K29" s="203"/>
      <x:c r="L29" s="203"/>
      <x:c r="M29" s="203"/>
      <x:c r="N29" s="203"/>
    </x:row>
    <x:row r="30">
      <x:c r="A30" s="203"/>
      <x:c r="B30" s="203"/>
      <x:c r="C30" s="203"/>
      <x:c r="D30" s="203"/>
      <x:c r="E30" s="203"/>
      <x:c r="F30" s="203"/>
      <x:c r="G30" s="203"/>
      <x:c r="H30" s="203"/>
      <x:c r="I30" s="203"/>
      <x:c r="J30" s="203"/>
      <x:c r="K30" s="203"/>
      <x:c r="L30" s="203"/>
      <x:c r="M30" s="203"/>
      <x:c r="N30" s="203"/>
    </x:row>
    <x:row r="31">
      <x:c r="A31" s="203"/>
      <x:c r="B31" s="203"/>
      <x:c r="C31" s="203"/>
      <x:c r="D31" s="203"/>
      <x:c r="E31" s="203"/>
      <x:c r="F31" s="203"/>
      <x:c r="G31" s="203"/>
      <x:c r="H31" s="203"/>
      <x:c r="I31" s="203"/>
      <x:c r="J31" s="203"/>
      <x:c r="K31" s="203"/>
      <x:c r="L31" s="203"/>
      <x:c r="M31" s="203"/>
      <x:c r="N31" s="203"/>
    </x:row>
    <x:row r="32">
      <x:c r="A32" s="188" t="str">
        <x:v>Anchor × lexical-family structure</x:v>
      </x:c>
      <x:c r="B32" s="188" t="str">
        <x:v>Anchor × lexical-family structure</x:v>
      </x:c>
      <x:c r="C32" s="188" t="str">
        <x:v>Anchor × lexical-family structure</x:v>
      </x:c>
      <x:c r="D32" s="188" t="str">
        <x:v>Anchor × lexical-family structure</x:v>
      </x:c>
      <x:c r="E32" s="188" t="str">
        <x:v>Anchor × lexical-family structure</x:v>
      </x:c>
      <x:c r="F32" s="188" t="str">
        <x:v>Anchor × lexical-family structure</x:v>
      </x:c>
      <x:c r="G32" s="188" t="str">
        <x:v>Anchor × lexical-family structure</x:v>
      </x:c>
      <x:c r="H32" s="190" t="str">
        <x:v>Climate-framing Ngram trajectories</x:v>
      </x:c>
      <x:c r="I32" s="190" t="str">
        <x:v>Climate-framing Ngram trajectories</x:v>
      </x:c>
      <x:c r="J32" s="190" t="str">
        <x:v>Climate-framing Ngram trajectories</x:v>
      </x:c>
      <x:c r="K32" s="190" t="str">
        <x:v>Climate-framing Ngram trajectories</x:v>
      </x:c>
      <x:c r="L32" s="190" t="str">
        <x:v>Climate-framing Ngram trajectories</x:v>
      </x:c>
      <x:c r="M32" s="190" t="str">
        <x:v>Climate-framing Ngram trajectories</x:v>
      </x:c>
      <x:c r="N32" s="190" t="str">
        <x:v>Climate-framing Ngram trajectories</x:v>
      </x:c>
    </x:row>
    <x:row r="33">
      <x:c r="A33" s="203"/>
      <x:c r="B33" s="203"/>
      <x:c r="C33" s="203"/>
      <x:c r="D33" s="203"/>
      <x:c r="E33" s="203"/>
      <x:c r="F33" s="203"/>
      <x:c r="G33" s="203"/>
      <x:c r="H33" s="203"/>
      <x:c r="I33" s="203"/>
      <x:c r="J33" s="203"/>
      <x:c r="K33" s="203"/>
      <x:c r="L33" s="203"/>
      <x:c r="M33" s="203"/>
      <x:c r="N33" s="203"/>
    </x:row>
    <x:row r="34">
      <x:c r="A34" s="203"/>
      <x:c r="B34" s="203"/>
      <x:c r="C34" s="203"/>
      <x:c r="D34" s="203"/>
      <x:c r="E34" s="203"/>
      <x:c r="F34" s="203"/>
      <x:c r="G34" s="203"/>
      <x:c r="H34" s="203"/>
      <x:c r="I34" s="203"/>
      <x:c r="J34" s="203"/>
      <x:c r="K34" s="203"/>
      <x:c r="L34" s="203"/>
      <x:c r="M34" s="203"/>
      <x:c r="N34" s="203"/>
    </x:row>
    <x:row r="35">
      <x:c r="A35" s="203"/>
      <x:c r="B35" s="203"/>
      <x:c r="C35" s="203"/>
      <x:c r="D35" s="203"/>
      <x:c r="E35" s="203"/>
      <x:c r="F35" s="203"/>
      <x:c r="G35" s="203"/>
      <x:c r="H35" s="203"/>
      <x:c r="I35" s="203"/>
      <x:c r="J35" s="203"/>
      <x:c r="K35" s="203"/>
      <x:c r="L35" s="203"/>
      <x:c r="M35" s="203"/>
      <x:c r="N35" s="203"/>
    </x:row>
    <x:row r="36">
      <x:c r="A36" s="203"/>
      <x:c r="B36" s="203"/>
      <x:c r="C36" s="203"/>
      <x:c r="D36" s="203"/>
      <x:c r="E36" s="203"/>
      <x:c r="F36" s="203"/>
      <x:c r="G36" s="203"/>
      <x:c r="H36" s="203"/>
      <x:c r="I36" s="203"/>
      <x:c r="J36" s="203"/>
      <x:c r="K36" s="203"/>
      <x:c r="L36" s="203"/>
      <x:c r="M36" s="203"/>
      <x:c r="N36" s="203"/>
    </x:row>
    <x:row r="37">
      <x:c r="A37" s="203"/>
      <x:c r="B37" s="203"/>
      <x:c r="C37" s="203"/>
      <x:c r="D37" s="203"/>
      <x:c r="E37" s="203"/>
      <x:c r="F37" s="203"/>
      <x:c r="G37" s="203"/>
      <x:c r="H37" s="203"/>
      <x:c r="I37" s="203"/>
      <x:c r="J37" s="203"/>
      <x:c r="K37" s="203"/>
      <x:c r="L37" s="203"/>
      <x:c r="M37" s="203"/>
      <x:c r="N37" s="203"/>
    </x:row>
    <x:row r="38">
      <x:c r="A38" s="203"/>
      <x:c r="B38" s="203"/>
      <x:c r="C38" s="203"/>
      <x:c r="D38" s="203"/>
      <x:c r="E38" s="203"/>
      <x:c r="F38" s="203"/>
      <x:c r="G38" s="203"/>
      <x:c r="H38" s="203"/>
      <x:c r="I38" s="203"/>
      <x:c r="J38" s="203"/>
      <x:c r="K38" s="203"/>
      <x:c r="L38" s="203"/>
      <x:c r="M38" s="203"/>
      <x:c r="N38" s="203"/>
    </x:row>
    <x:row r="39">
      <x:c r="A39" s="203"/>
      <x:c r="B39" s="203"/>
      <x:c r="C39" s="203"/>
      <x:c r="D39" s="203"/>
      <x:c r="E39" s="203"/>
      <x:c r="F39" s="203"/>
      <x:c r="G39" s="203"/>
      <x:c r="H39" s="203"/>
      <x:c r="I39" s="203"/>
      <x:c r="J39" s="203"/>
      <x:c r="K39" s="203"/>
      <x:c r="L39" s="203"/>
      <x:c r="M39" s="203"/>
      <x:c r="N39" s="203"/>
    </x:row>
    <x:row r="40">
      <x:c r="A40" s="203"/>
      <x:c r="B40" s="203"/>
      <x:c r="C40" s="203"/>
      <x:c r="D40" s="203"/>
      <x:c r="E40" s="203"/>
      <x:c r="F40" s="203"/>
      <x:c r="G40" s="203"/>
      <x:c r="H40" s="203"/>
      <x:c r="I40" s="203"/>
      <x:c r="J40" s="203"/>
      <x:c r="K40" s="203"/>
      <x:c r="L40" s="203"/>
      <x:c r="M40" s="203"/>
      <x:c r="N40" s="203"/>
    </x:row>
    <x:row r="41">
      <x:c r="A41" s="203"/>
      <x:c r="B41" s="203"/>
      <x:c r="C41" s="203"/>
      <x:c r="D41" s="203"/>
      <x:c r="E41" s="203"/>
      <x:c r="F41" s="203"/>
      <x:c r="G41" s="203"/>
      <x:c r="H41" s="203"/>
      <x:c r="I41" s="203"/>
      <x:c r="J41" s="203"/>
      <x:c r="K41" s="203"/>
      <x:c r="L41" s="203"/>
      <x:c r="M41" s="203"/>
      <x:c r="N41" s="203"/>
    </x:row>
    <x:row r="42">
      <x:c r="A42" s="203"/>
      <x:c r="B42" s="203"/>
      <x:c r="C42" s="203"/>
      <x:c r="D42" s="203"/>
      <x:c r="E42" s="203"/>
      <x:c r="F42" s="203"/>
      <x:c r="G42" s="203"/>
      <x:c r="H42" s="203"/>
      <x:c r="I42" s="203"/>
      <x:c r="J42" s="203"/>
      <x:c r="K42" s="203"/>
      <x:c r="L42" s="203"/>
      <x:c r="M42" s="203"/>
      <x:c r="N42" s="203"/>
    </x:row>
    <x:row r="43">
      <x:c r="A43" s="203"/>
      <x:c r="B43" s="203"/>
      <x:c r="C43" s="203"/>
      <x:c r="D43" s="203"/>
      <x:c r="E43" s="203"/>
      <x:c r="F43" s="203"/>
      <x:c r="G43" s="203"/>
      <x:c r="H43" s="203"/>
      <x:c r="I43" s="203"/>
      <x:c r="J43" s="203"/>
      <x:c r="K43" s="203"/>
      <x:c r="L43" s="203"/>
      <x:c r="M43" s="203"/>
      <x:c r="N43" s="203"/>
    </x:row>
    <x:row r="44">
      <x:c r="A44" s="203"/>
      <x:c r="B44" s="203"/>
      <x:c r="C44" s="203"/>
      <x:c r="D44" s="203"/>
      <x:c r="E44" s="203"/>
      <x:c r="F44" s="203"/>
      <x:c r="G44" s="203"/>
      <x:c r="H44" s="203"/>
      <x:c r="I44" s="203"/>
      <x:c r="J44" s="203"/>
      <x:c r="K44" s="203"/>
      <x:c r="L44" s="203"/>
      <x:c r="M44" s="203"/>
      <x:c r="N44" s="203"/>
    </x:row>
    <x:row r="45">
      <x:c r="A45" s="203"/>
      <x:c r="B45" s="203"/>
      <x:c r="C45" s="203"/>
      <x:c r="D45" s="203"/>
      <x:c r="E45" s="203"/>
      <x:c r="F45" s="203"/>
      <x:c r="G45" s="203"/>
      <x:c r="H45" s="203"/>
      <x:c r="I45" s="203"/>
      <x:c r="J45" s="203"/>
      <x:c r="K45" s="203"/>
      <x:c r="L45" s="203"/>
      <x:c r="M45" s="203"/>
      <x:c r="N45" s="203"/>
    </x:row>
    <x:row r="46">
      <x:c r="A46" s="203"/>
      <x:c r="B46" s="203"/>
      <x:c r="C46" s="203"/>
      <x:c r="D46" s="203"/>
      <x:c r="E46" s="203"/>
      <x:c r="F46" s="203"/>
      <x:c r="G46" s="203"/>
      <x:c r="H46" s="203"/>
      <x:c r="I46" s="203"/>
      <x:c r="J46" s="203"/>
      <x:c r="K46" s="203"/>
      <x:c r="L46" s="203"/>
      <x:c r="M46" s="203"/>
      <x:c r="N46" s="203"/>
    </x:row>
    <x:row r="47">
      <x:c r="A47" s="203"/>
      <x:c r="B47" s="203"/>
      <x:c r="C47" s="203"/>
      <x:c r="D47" s="203"/>
      <x:c r="E47" s="203"/>
      <x:c r="F47" s="203"/>
      <x:c r="G47" s="203"/>
      <x:c r="H47" s="203"/>
      <x:c r="I47" s="203"/>
      <x:c r="J47" s="203"/>
      <x:c r="K47" s="203"/>
      <x:c r="L47" s="203"/>
      <x:c r="M47" s="203"/>
      <x:c r="N47" s="203"/>
    </x:row>
    <x:row r="48">
      <x:c r="A48" s="203"/>
      <x:c r="B48" s="203"/>
      <x:c r="C48" s="203"/>
      <x:c r="D48" s="203"/>
      <x:c r="E48" s="203"/>
      <x:c r="F48" s="203"/>
      <x:c r="G48" s="203"/>
      <x:c r="H48" s="203"/>
      <x:c r="I48" s="203"/>
      <x:c r="J48" s="203"/>
      <x:c r="K48" s="203"/>
      <x:c r="L48" s="203"/>
      <x:c r="M48" s="203"/>
      <x:c r="N48" s="203"/>
    </x:row>
    <x:row r="49">
      <x:c r="A49" s="203"/>
      <x:c r="B49" s="203"/>
      <x:c r="C49" s="203"/>
      <x:c r="D49" s="203"/>
      <x:c r="E49" s="203"/>
      <x:c r="F49" s="203"/>
      <x:c r="G49" s="203"/>
      <x:c r="H49" s="203"/>
      <x:c r="I49" s="203"/>
      <x:c r="J49" s="203"/>
      <x:c r="K49" s="203"/>
      <x:c r="L49" s="203"/>
      <x:c r="M49" s="203"/>
      <x:c r="N49" s="203"/>
    </x:row>
    <x:row r="50">
      <x:c r="A50" s="203"/>
      <x:c r="B50" s="203"/>
      <x:c r="C50" s="203"/>
      <x:c r="D50" s="203"/>
      <x:c r="E50" s="203"/>
      <x:c r="F50" s="203"/>
      <x:c r="G50" s="203"/>
      <x:c r="H50" s="203"/>
      <x:c r="I50" s="203"/>
      <x:c r="J50" s="203"/>
      <x:c r="K50" s="203"/>
      <x:c r="L50" s="203"/>
      <x:c r="M50" s="203"/>
      <x:c r="N50" s="203"/>
    </x:row>
    <x:row r="51">
      <x:c r="A51" s="188" t="str">
        <x:v>Searchability and archival bias</x:v>
      </x:c>
      <x:c r="B51" s="188" t="str">
        <x:v>Searchability and archival bias</x:v>
      </x:c>
      <x:c r="C51" s="188" t="str">
        <x:v>Searchability and archival bias</x:v>
      </x:c>
      <x:c r="D51" s="188" t="str">
        <x:v>Searchability and archival bias</x:v>
      </x:c>
      <x:c r="E51" s="188" t="str">
        <x:v>Searchability and archival bias</x:v>
      </x:c>
      <x:c r="F51" s="188" t="str">
        <x:v>Searchability and archival bias</x:v>
      </x:c>
      <x:c r="G51" s="188" t="str">
        <x:v>Searchability and archival bias</x:v>
      </x:c>
      <x:c r="H51" s="190" t="str">
        <x:v>Candidate-level missingness</x:v>
      </x:c>
      <x:c r="I51" s="190" t="str">
        <x:v>Candidate-level missingness</x:v>
      </x:c>
      <x:c r="J51" s="190" t="str">
        <x:v>Candidate-level missingness</x:v>
      </x:c>
      <x:c r="K51" s="190" t="str">
        <x:v>Candidate-level missingness</x:v>
      </x:c>
      <x:c r="L51" s="190" t="str">
        <x:v>Candidate-level missingness</x:v>
      </x:c>
      <x:c r="M51" s="190" t="str">
        <x:v>Candidate-level missingness</x:v>
      </x:c>
      <x:c r="N51" s="190" t="str">
        <x:v>Candidate-level missingness</x:v>
      </x:c>
    </x:row>
    <x:row r="52">
      <x:c r="A52" s="203"/>
      <x:c r="B52" s="203"/>
      <x:c r="C52" s="203"/>
      <x:c r="D52" s="203"/>
      <x:c r="E52" s="203"/>
      <x:c r="F52" s="203"/>
      <x:c r="G52" s="203"/>
      <x:c r="H52" s="203"/>
      <x:c r="I52" s="203"/>
      <x:c r="J52" s="203"/>
      <x:c r="K52" s="203"/>
      <x:c r="L52" s="203"/>
      <x:c r="M52" s="203"/>
      <x:c r="N52" s="203"/>
    </x:row>
    <x:row r="53">
      <x:c r="A53" s="203"/>
      <x:c r="B53" s="203"/>
      <x:c r="C53" s="203"/>
      <x:c r="D53" s="203"/>
      <x:c r="E53" s="203"/>
      <x:c r="F53" s="203"/>
      <x:c r="G53" s="203"/>
      <x:c r="H53" s="203"/>
      <x:c r="I53" s="203"/>
      <x:c r="J53" s="203"/>
      <x:c r="K53" s="203"/>
      <x:c r="L53" s="203"/>
      <x:c r="M53" s="203"/>
      <x:c r="N53" s="203"/>
    </x:row>
    <x:row r="54">
      <x:c r="A54" s="203"/>
      <x:c r="B54" s="203"/>
      <x:c r="C54" s="203"/>
      <x:c r="D54" s="203"/>
      <x:c r="E54" s="203"/>
      <x:c r="F54" s="203"/>
      <x:c r="G54" s="203"/>
      <x:c r="H54" s="203"/>
      <x:c r="I54" s="203"/>
      <x:c r="J54" s="203"/>
      <x:c r="K54" s="203"/>
      <x:c r="L54" s="203"/>
      <x:c r="M54" s="203"/>
      <x:c r="N54" s="203"/>
    </x:row>
    <x:row r="55">
      <x:c r="A55" s="203"/>
      <x:c r="B55" s="203"/>
      <x:c r="C55" s="203"/>
      <x:c r="D55" s="203"/>
      <x:c r="E55" s="203"/>
      <x:c r="F55" s="203"/>
      <x:c r="G55" s="203"/>
      <x:c r="H55" s="203"/>
      <x:c r="I55" s="203"/>
      <x:c r="J55" s="203"/>
      <x:c r="K55" s="203"/>
      <x:c r="L55" s="203"/>
      <x:c r="M55" s="203"/>
      <x:c r="N55" s="203"/>
    </x:row>
    <x:row r="56">
      <x:c r="A56" s="203"/>
      <x:c r="B56" s="203"/>
      <x:c r="C56" s="203"/>
      <x:c r="D56" s="203"/>
      <x:c r="E56" s="203"/>
      <x:c r="F56" s="203"/>
      <x:c r="G56" s="203"/>
      <x:c r="H56" s="203"/>
      <x:c r="I56" s="203"/>
      <x:c r="J56" s="203"/>
      <x:c r="K56" s="203"/>
      <x:c r="L56" s="203"/>
      <x:c r="M56" s="203"/>
      <x:c r="N56" s="203"/>
    </x:row>
    <x:row r="57">
      <x:c r="A57" s="203"/>
      <x:c r="B57" s="203"/>
      <x:c r="C57" s="203"/>
      <x:c r="D57" s="203"/>
      <x:c r="E57" s="203"/>
      <x:c r="F57" s="203"/>
      <x:c r="G57" s="203"/>
      <x:c r="H57" s="203"/>
      <x:c r="I57" s="203"/>
      <x:c r="J57" s="203"/>
      <x:c r="K57" s="203"/>
      <x:c r="L57" s="203"/>
      <x:c r="M57" s="203"/>
      <x:c r="N57" s="203"/>
    </x:row>
    <x:row r="58">
      <x:c r="A58" s="203"/>
      <x:c r="B58" s="203"/>
      <x:c r="C58" s="203"/>
      <x:c r="D58" s="203"/>
      <x:c r="E58" s="203"/>
      <x:c r="F58" s="203"/>
      <x:c r="G58" s="203"/>
      <x:c r="H58" s="203"/>
      <x:c r="I58" s="203"/>
      <x:c r="J58" s="203"/>
      <x:c r="K58" s="203"/>
      <x:c r="L58" s="203"/>
      <x:c r="M58" s="203"/>
      <x:c r="N58" s="203"/>
    </x:row>
    <x:row r="59">
      <x:c r="A59" s="203"/>
      <x:c r="B59" s="203"/>
      <x:c r="C59" s="203"/>
      <x:c r="D59" s="203"/>
      <x:c r="E59" s="203"/>
      <x:c r="F59" s="203"/>
      <x:c r="G59" s="203"/>
      <x:c r="H59" s="203"/>
      <x:c r="I59" s="203"/>
      <x:c r="J59" s="203"/>
      <x:c r="K59" s="203"/>
      <x:c r="L59" s="203"/>
      <x:c r="M59" s="203"/>
      <x:c r="N59" s="203"/>
    </x:row>
    <x:row r="60">
      <x:c r="A60" s="203"/>
      <x:c r="B60" s="203"/>
      <x:c r="C60" s="203"/>
      <x:c r="D60" s="203"/>
      <x:c r="E60" s="203"/>
      <x:c r="F60" s="203"/>
      <x:c r="G60" s="203"/>
      <x:c r="H60" s="203"/>
      <x:c r="I60" s="203"/>
      <x:c r="J60" s="203"/>
      <x:c r="K60" s="203"/>
      <x:c r="L60" s="203"/>
      <x:c r="M60" s="203"/>
      <x:c r="N60" s="203"/>
    </x:row>
    <x:row r="61">
      <x:c r="A61" s="203"/>
      <x:c r="B61" s="203"/>
      <x:c r="C61" s="203"/>
      <x:c r="D61" s="203"/>
      <x:c r="E61" s="203"/>
      <x:c r="F61" s="203"/>
      <x:c r="G61" s="203"/>
      <x:c r="H61" s="203"/>
      <x:c r="I61" s="203"/>
      <x:c r="J61" s="203"/>
      <x:c r="K61" s="203"/>
      <x:c r="L61" s="203"/>
      <x:c r="M61" s="203"/>
      <x:c r="N61" s="203"/>
    </x:row>
    <x:row r="62">
      <x:c r="A62" s="203"/>
      <x:c r="B62" s="203"/>
      <x:c r="C62" s="203"/>
      <x:c r="D62" s="203"/>
      <x:c r="E62" s="203"/>
      <x:c r="F62" s="203"/>
      <x:c r="G62" s="203"/>
      <x:c r="H62" s="203"/>
      <x:c r="I62" s="203"/>
      <x:c r="J62" s="203"/>
      <x:c r="K62" s="203"/>
      <x:c r="L62" s="203"/>
      <x:c r="M62" s="203"/>
      <x:c r="N62" s="203"/>
    </x:row>
    <x:row r="63">
      <x:c r="A63" s="203"/>
      <x:c r="B63" s="203"/>
      <x:c r="C63" s="203"/>
      <x:c r="D63" s="203"/>
      <x:c r="E63" s="203"/>
      <x:c r="F63" s="203"/>
      <x:c r="G63" s="203"/>
      <x:c r="H63" s="203"/>
      <x:c r="I63" s="203"/>
      <x:c r="J63" s="203"/>
      <x:c r="K63" s="203"/>
      <x:c r="L63" s="203"/>
      <x:c r="M63" s="203"/>
      <x:c r="N63" s="203"/>
    </x:row>
    <x:row r="64">
      <x:c r="A64" s="203"/>
      <x:c r="B64" s="203"/>
      <x:c r="C64" s="203"/>
      <x:c r="D64" s="203"/>
      <x:c r="E64" s="203"/>
      <x:c r="F64" s="203"/>
      <x:c r="G64" s="203"/>
      <x:c r="H64" s="203"/>
      <x:c r="I64" s="203"/>
      <x:c r="J64" s="203"/>
      <x:c r="K64" s="203"/>
      <x:c r="L64" s="203"/>
      <x:c r="M64" s="203"/>
      <x:c r="N64" s="203"/>
    </x:row>
    <x:row r="65">
      <x:c r="A65" s="203"/>
      <x:c r="B65" s="203"/>
      <x:c r="C65" s="203"/>
      <x:c r="D65" s="203"/>
      <x:c r="E65" s="203"/>
      <x:c r="F65" s="203"/>
      <x:c r="G65" s="203"/>
      <x:c r="H65" s="203"/>
      <x:c r="I65" s="203"/>
      <x:c r="J65" s="203"/>
      <x:c r="K65" s="203"/>
      <x:c r="L65" s="203"/>
      <x:c r="M65" s="203"/>
      <x:c r="N65" s="203"/>
    </x:row>
    <x:row r="66">
      <x:c r="A66" s="203"/>
      <x:c r="B66" s="203"/>
      <x:c r="C66" s="203"/>
      <x:c r="D66" s="203"/>
      <x:c r="E66" s="203"/>
      <x:c r="F66" s="203"/>
      <x:c r="G66" s="203"/>
      <x:c r="H66" s="203"/>
      <x:c r="I66" s="203"/>
      <x:c r="J66" s="203"/>
      <x:c r="K66" s="203"/>
      <x:c r="L66" s="203"/>
      <x:c r="M66" s="203"/>
      <x:c r="N66" s="203"/>
    </x:row>
    <x:row r="67">
      <x:c r="A67" s="203"/>
      <x:c r="B67" s="203"/>
      <x:c r="C67" s="203"/>
      <x:c r="D67" s="203"/>
      <x:c r="E67" s="203"/>
      <x:c r="F67" s="203"/>
      <x:c r="G67" s="203"/>
      <x:c r="H67" s="203"/>
      <x:c r="I67" s="203"/>
      <x:c r="J67" s="203"/>
      <x:c r="K67" s="203"/>
      <x:c r="L67" s="203"/>
      <x:c r="M67" s="203"/>
      <x:c r="N67" s="203"/>
    </x:row>
    <x:row r="68">
      <x:c r="A68" s="203"/>
      <x:c r="B68" s="203"/>
      <x:c r="C68" s="203"/>
      <x:c r="D68" s="203"/>
      <x:c r="E68" s="203"/>
      <x:c r="F68" s="203"/>
      <x:c r="G68" s="203"/>
      <x:c r="H68" s="203"/>
      <x:c r="I68" s="203"/>
      <x:c r="J68" s="203"/>
      <x:c r="K68" s="203"/>
      <x:c r="L68" s="203"/>
      <x:c r="M68" s="203"/>
      <x:c r="N68" s="203"/>
    </x:row>
    <x:row r="69">
      <x:c r="A69" s="203"/>
      <x:c r="B69" s="203"/>
      <x:c r="C69" s="203"/>
      <x:c r="D69" s="203"/>
      <x:c r="E69" s="203"/>
      <x:c r="F69" s="203"/>
      <x:c r="G69" s="203"/>
      <x:c r="H69" s="203"/>
      <x:c r="I69" s="203"/>
      <x:c r="J69" s="203"/>
      <x:c r="K69" s="203"/>
      <x:c r="L69" s="203"/>
      <x:c r="M69" s="203"/>
      <x:c r="N69" s="203"/>
    </x:row>
    <x:row r="70">
      <x:c r="A70" s="194" t="str">
        <x:v>Reading rule
Inventory charts describe candidate construction. Ngram charts describe strings in one corpus. Search charts describe provider discoverability. None is a direct measure of historical fear.</x:v>
      </x:c>
      <x:c r="B70" s="194" t="str">
        <x:v>Reading rule
Inventory charts describe candidate construction. Ngram charts describe strings in one corpus. Search charts describe provider discoverability. None is a direct measure of historical fear.</x:v>
      </x:c>
      <x:c r="C70" s="194" t="str">
        <x:v>Reading rule
Inventory charts describe candidate construction. Ngram charts describe strings in one corpus. Search charts describe provider discoverability. None is a direct measure of historical fear.</x:v>
      </x:c>
      <x:c r="D70" s="194" t="str">
        <x:v>Reading rule
Inventory charts describe candidate construction. Ngram charts describe strings in one corpus. Search charts describe provider discoverability. None is a direct measure of historical fear.</x:v>
      </x:c>
      <x:c r="E70" s="194" t="str">
        <x:v>Reading rule
Inventory charts describe candidate construction. Ngram charts describe strings in one corpus. Search charts describe provider discoverability. None is a direct measure of historical fear.</x:v>
      </x:c>
      <x:c r="F70" s="194" t="str">
        <x:v>Reading rule
Inventory charts describe candidate construction. Ngram charts describe strings in one corpus. Search charts describe provider discoverability. None is a direct measure of historical fear.</x:v>
      </x:c>
      <x:c r="G70" s="194" t="str">
        <x:v>Reading rule
Inventory charts describe candidate construction. Ngram charts describe strings in one corpus. Search charts describe provider discoverability. None is a direct measure of historical fear.</x:v>
      </x:c>
      <x:c r="H70" s="200" t="str">
        <x:v>Next step
Passage-level semantic validation using the evidence-based shortlist.</x:v>
      </x:c>
      <x:c r="I70" s="200" t="str">
        <x:v>Next step
Passage-level semantic validation using the evidence-based shortlist.</x:v>
      </x:c>
      <x:c r="J70" s="200" t="str">
        <x:v>Next step
Passage-level semantic validation using the evidence-based shortlist.</x:v>
      </x:c>
      <x:c r="K70" s="200" t="str">
        <x:v>Next step
Passage-level semantic validation using the evidence-based shortlist.</x:v>
      </x:c>
      <x:c r="L70" s="200" t="str">
        <x:v>Next step
Passage-level semantic validation using the evidence-based shortlist.</x:v>
      </x:c>
      <x:c r="M70" s="200" t="str">
        <x:v>Next step
Passage-level semantic validation using the evidence-based shortlist.</x:v>
      </x:c>
      <x:c r="N70" s="200" t="str">
        <x:v>Next step
Passage-level semantic validation using the evidence-based shortlist.</x:v>
      </x:c>
    </x:row>
    <x:row r="71">
      <x:c r="A71" s="194" t="str">
        <x:v>Reading rule
Inventory charts describe candidate construction. Ngram charts describe strings in one corpus. Search charts describe provider discoverability. None is a direct measure of historical fear.</x:v>
      </x:c>
      <x:c r="B71" s="194" t="str">
        <x:v>Reading rule
Inventory charts describe candidate construction. Ngram charts describe strings in one corpus. Search charts describe provider discoverability. None is a direct measure of historical fear.</x:v>
      </x:c>
      <x:c r="C71" s="194" t="str">
        <x:v>Reading rule
Inventory charts describe candidate construction. Ngram charts describe strings in one corpus. Search charts describe provider discoverability. None is a direct measure of historical fear.</x:v>
      </x:c>
      <x:c r="D71" s="194" t="str">
        <x:v>Reading rule
Inventory charts describe candidate construction. Ngram charts describe strings in one corpus. Search charts describe provider discoverability. None is a direct measure of historical fear.</x:v>
      </x:c>
      <x:c r="E71" s="194" t="str">
        <x:v>Reading rule
Inventory charts describe candidate construction. Ngram charts describe strings in one corpus. Search charts describe provider discoverability. None is a direct measure of historical fear.</x:v>
      </x:c>
      <x:c r="F71" s="194" t="str">
        <x:v>Reading rule
Inventory charts describe candidate construction. Ngram charts describe strings in one corpus. Search charts describe provider discoverability. None is a direct measure of historical fear.</x:v>
      </x:c>
      <x:c r="G71" s="194" t="str">
        <x:v>Reading rule
Inventory charts describe candidate construction. Ngram charts describe strings in one corpus. Search charts describe provider discoverability. None is a direct measure of historical fear.</x:v>
      </x:c>
      <x:c r="H71" s="200" t="str">
        <x:v>Next step
Passage-level semantic validation using the evidence-based shortlist.</x:v>
      </x:c>
      <x:c r="I71" s="200" t="str">
        <x:v>Next step
Passage-level semantic validation using the evidence-based shortlist.</x:v>
      </x:c>
      <x:c r="J71" s="200" t="str">
        <x:v>Next step
Passage-level semantic validation using the evidence-based shortlist.</x:v>
      </x:c>
      <x:c r="K71" s="200" t="str">
        <x:v>Next step
Passage-level semantic validation using the evidence-based shortlist.</x:v>
      </x:c>
      <x:c r="L71" s="200" t="str">
        <x:v>Next step
Passage-level semantic validation using the evidence-based shortlist.</x:v>
      </x:c>
      <x:c r="M71" s="200" t="str">
        <x:v>Next step
Passage-level semantic validation using the evidence-based shortlist.</x:v>
      </x:c>
      <x:c r="N71" s="200" t="str">
        <x:v>Next step
Passage-level semantic validation using the evidence-based shortlist.</x:v>
      </x:c>
    </x:row>
    <x:row r="72">
      <x:c r="A72" s="194" t="str">
        <x:v>Reading rule
Inventory charts describe candidate construction. Ngram charts describe strings in one corpus. Search charts describe provider discoverability. None is a direct measure of historical fear.</x:v>
      </x:c>
      <x:c r="B72" s="194" t="str">
        <x:v>Reading rule
Inventory charts describe candidate construction. Ngram charts describe strings in one corpus. Search charts describe provider discoverability. None is a direct measure of historical fear.</x:v>
      </x:c>
      <x:c r="C72" s="194" t="str">
        <x:v>Reading rule
Inventory charts describe candidate construction. Ngram charts describe strings in one corpus. Search charts describe provider discoverability. None is a direct measure of historical fear.</x:v>
      </x:c>
      <x:c r="D72" s="194" t="str">
        <x:v>Reading rule
Inventory charts describe candidate construction. Ngram charts describe strings in one corpus. Search charts describe provider discoverability. None is a direct measure of historical fear.</x:v>
      </x:c>
      <x:c r="E72" s="194" t="str">
        <x:v>Reading rule
Inventory charts describe candidate construction. Ngram charts describe strings in one corpus. Search charts describe provider discoverability. None is a direct measure of historical fear.</x:v>
      </x:c>
      <x:c r="F72" s="194" t="str">
        <x:v>Reading rule
Inventory charts describe candidate construction. Ngram charts describe strings in one corpus. Search charts describe provider discoverability. None is a direct measure of historical fear.</x:v>
      </x:c>
      <x:c r="G72" s="194" t="str">
        <x:v>Reading rule
Inventory charts describe candidate construction. Ngram charts describe strings in one corpus. Search charts describe provider discoverability. None is a direct measure of historical fear.</x:v>
      </x:c>
      <x:c r="H72" s="200" t="str">
        <x:v>Next step
Passage-level semantic validation using the evidence-based shortlist.</x:v>
      </x:c>
      <x:c r="I72" s="200" t="str">
        <x:v>Next step
Passage-level semantic validation using the evidence-based shortlist.</x:v>
      </x:c>
      <x:c r="J72" s="200" t="str">
        <x:v>Next step
Passage-level semantic validation using the evidence-based shortlist.</x:v>
      </x:c>
      <x:c r="K72" s="200" t="str">
        <x:v>Next step
Passage-level semantic validation using the evidence-based shortlist.</x:v>
      </x:c>
      <x:c r="L72" s="200" t="str">
        <x:v>Next step
Passage-level semantic validation using the evidence-based shortlist.</x:v>
      </x:c>
      <x:c r="M72" s="200" t="str">
        <x:v>Next step
Passage-level semantic validation using the evidence-based shortlist.</x:v>
      </x:c>
      <x:c r="N72" s="200" t="str">
        <x:v>Next step
Passage-level semantic validation using the evidence-based shortlist.</x:v>
      </x:c>
    </x:row>
    <x:row r="73">
      <x:c r="A73" s="194" t="str">
        <x:v>Reading rule
Inventory charts describe candidate construction. Ngram charts describe strings in one corpus. Search charts describe provider discoverability. None is a direct measure of historical fear.</x:v>
      </x:c>
      <x:c r="B73" s="194" t="str">
        <x:v>Reading rule
Inventory charts describe candidate construction. Ngram charts describe strings in one corpus. Search charts describe provider discoverability. None is a direct measure of historical fear.</x:v>
      </x:c>
      <x:c r="C73" s="194" t="str">
        <x:v>Reading rule
Inventory charts describe candidate construction. Ngram charts describe strings in one corpus. Search charts describe provider discoverability. None is a direct measure of historical fear.</x:v>
      </x:c>
      <x:c r="D73" s="194" t="str">
        <x:v>Reading rule
Inventory charts describe candidate construction. Ngram charts describe strings in one corpus. Search charts describe provider discoverability. None is a direct measure of historical fear.</x:v>
      </x:c>
      <x:c r="E73" s="194" t="str">
        <x:v>Reading rule
Inventory charts describe candidate construction. Ngram charts describe strings in one corpus. Search charts describe provider discoverability. None is a direct measure of historical fear.</x:v>
      </x:c>
      <x:c r="F73" s="194" t="str">
        <x:v>Reading rule
Inventory charts describe candidate construction. Ngram charts describe strings in one corpus. Search charts describe provider discoverability. None is a direct measure of historical fear.</x:v>
      </x:c>
      <x:c r="G73" s="194" t="str">
        <x:v>Reading rule
Inventory charts describe candidate construction. Ngram charts describe strings in one corpus. Search charts describe provider discoverability. None is a direct measure of historical fear.</x:v>
      </x:c>
      <x:c r="H73" s="200" t="str">
        <x:v>Next step
Passage-level semantic validation using the evidence-based shortlist.</x:v>
      </x:c>
      <x:c r="I73" s="200" t="str">
        <x:v>Next step
Passage-level semantic validation using the evidence-based shortlist.</x:v>
      </x:c>
      <x:c r="J73" s="200" t="str">
        <x:v>Next step
Passage-level semantic validation using the evidence-based shortlist.</x:v>
      </x:c>
      <x:c r="K73" s="200" t="str">
        <x:v>Next step
Passage-level semantic validation using the evidence-based shortlist.</x:v>
      </x:c>
      <x:c r="L73" s="200" t="str">
        <x:v>Next step
Passage-level semantic validation using the evidence-based shortlist.</x:v>
      </x:c>
      <x:c r="M73" s="200" t="str">
        <x:v>Next step
Passage-level semantic validation using the evidence-based shortlist.</x:v>
      </x:c>
      <x:c r="N73" s="200" t="str">
        <x:v>Next step
Passage-level semantic validation using the evidence-based shortlist.</x:v>
      </x:c>
    </x:row>
    <x:row r="74">
      <x:c r="A74" s="194" t="str">
        <x:v>Reading rule
Inventory charts describe candidate construction. Ngram charts describe strings in one corpus. Search charts describe provider discoverability. None is a direct measure of historical fear.</x:v>
      </x:c>
      <x:c r="B74" s="194" t="str">
        <x:v>Reading rule
Inventory charts describe candidate construction. Ngram charts describe strings in one corpus. Search charts describe provider discoverability. None is a direct measure of historical fear.</x:v>
      </x:c>
      <x:c r="C74" s="194" t="str">
        <x:v>Reading rule
Inventory charts describe candidate construction. Ngram charts describe strings in one corpus. Search charts describe provider discoverability. None is a direct measure of historical fear.</x:v>
      </x:c>
      <x:c r="D74" s="194" t="str">
        <x:v>Reading rule
Inventory charts describe candidate construction. Ngram charts describe strings in one corpus. Search charts describe provider discoverability. None is a direct measure of historical fear.</x:v>
      </x:c>
      <x:c r="E74" s="194" t="str">
        <x:v>Reading rule
Inventory charts describe candidate construction. Ngram charts describe strings in one corpus. Search charts describe provider discoverability. None is a direct measure of historical fear.</x:v>
      </x:c>
      <x:c r="F74" s="194" t="str">
        <x:v>Reading rule
Inventory charts describe candidate construction. Ngram charts describe strings in one corpus. Search charts describe provider discoverability. None is a direct measure of historical fear.</x:v>
      </x:c>
      <x:c r="G74" s="194" t="str">
        <x:v>Reading rule
Inventory charts describe candidate construction. Ngram charts describe strings in one corpus. Search charts describe provider discoverability. None is a direct measure of historical fear.</x:v>
      </x:c>
      <x:c r="H74" s="200" t="str">
        <x:v>Next step
Passage-level semantic validation using the evidence-based shortlist.</x:v>
      </x:c>
      <x:c r="I74" s="200" t="str">
        <x:v>Next step
Passage-level semantic validation using the evidence-based shortlist.</x:v>
      </x:c>
      <x:c r="J74" s="200" t="str">
        <x:v>Next step
Passage-level semantic validation using the evidence-based shortlist.</x:v>
      </x:c>
      <x:c r="K74" s="200" t="str">
        <x:v>Next step
Passage-level semantic validation using the evidence-based shortlist.</x:v>
      </x:c>
      <x:c r="L74" s="200" t="str">
        <x:v>Next step
Passage-level semantic validation using the evidence-based shortlist.</x:v>
      </x:c>
      <x:c r="M74" s="200" t="str">
        <x:v>Next step
Passage-level semantic validation using the evidence-based shortlist.</x:v>
      </x:c>
      <x:c r="N74" s="200" t="str">
        <x:v>Next step
Passage-level semantic validation using the evidence-based shortlist.</x:v>
      </x:c>
    </x:row>
    <x:row r="75">
      <x:c r="A75" s="203"/>
      <x:c r="B75" s="203"/>
      <x:c r="C75" s="203"/>
      <x:c r="D75" s="203"/>
      <x:c r="E75" s="203"/>
      <x:c r="F75" s="203"/>
      <x:c r="G75" s="203"/>
      <x:c r="H75" s="203"/>
      <x:c r="I75" s="203"/>
      <x:c r="J75" s="203"/>
      <x:c r="K75" s="203"/>
      <x:c r="L75" s="203"/>
      <x:c r="M75" s="203"/>
      <x:c r="N75" s="203"/>
    </x:row>
    <x:row r="76">
      <x:c r="A76" s="202" t="str">
        <x:v>Generated from the current project database and research exports; source tables remain version-controlled. Primary bounded-search metric: Internet Archive metadata text-item result count at retrieval time.</x:v>
      </x:c>
      <x:c r="B76" s="202" t="str">
        <x:v>Generated from the current project database and research exports; source tables remain version-controlled. Primary bounded-search metric: Internet Archive metadata text-item result count at retrieval time.</x:v>
      </x:c>
      <x:c r="C76" s="202" t="str">
        <x:v>Generated from the current project database and research exports; source tables remain version-controlled. Primary bounded-search metric: Internet Archive metadata text-item result count at retrieval time.</x:v>
      </x:c>
      <x:c r="D76" s="202" t="str">
        <x:v>Generated from the current project database and research exports; source tables remain version-controlled. Primary bounded-search metric: Internet Archive metadata text-item result count at retrieval time.</x:v>
      </x:c>
      <x:c r="E76" s="202" t="str">
        <x:v>Generated from the current project database and research exports; source tables remain version-controlled. Primary bounded-search metric: Internet Archive metadata text-item result count at retrieval time.</x:v>
      </x:c>
      <x:c r="F76" s="202" t="str">
        <x:v>Generated from the current project database and research exports; source tables remain version-controlled. Primary bounded-search metric: Internet Archive metadata text-item result count at retrieval time.</x:v>
      </x:c>
      <x:c r="G76" s="202" t="str">
        <x:v>Generated from the current project database and research exports; source tables remain version-controlled. Primary bounded-search metric: Internet Archive metadata text-item result count at retrieval time.</x:v>
      </x:c>
      <x:c r="H76" s="202" t="str">
        <x:v>Generated from the current project database and research exports; source tables remain version-controlled. Primary bounded-search metric: Internet Archive metadata text-item result count at retrieval time.</x:v>
      </x:c>
      <x:c r="I76" s="202" t="str">
        <x:v>Generated from the current project database and research exports; source tables remain version-controlled. Primary bounded-search metric: Internet Archive metadata text-item result count at retrieval time.</x:v>
      </x:c>
      <x:c r="J76" s="202" t="str">
        <x:v>Generated from the current project database and research exports; source tables remain version-controlled. Primary bounded-search metric: Internet Archive metadata text-item result count at retrieval time.</x:v>
      </x:c>
      <x:c r="K76" s="202" t="str">
        <x:v>Generated from the current project database and research exports; source tables remain version-controlled. Primary bounded-search metric: Internet Archive metadata text-item result count at retrieval time.</x:v>
      </x:c>
      <x:c r="L76" s="202" t="str">
        <x:v>Generated from the current project database and research exports; source tables remain version-controlled. Primary bounded-search metric: Internet Archive metadata text-item result count at retrieval time.</x:v>
      </x:c>
      <x:c r="M76" s="202" t="str">
        <x:v>Generated from the current project database and research exports; source tables remain version-controlled. Primary bounded-search metric: Internet Archive metadata text-item result count at retrieval time.</x:v>
      </x:c>
      <x:c r="N76" s="202" t="str">
        <x:v>Generated from the current project database and research exports; source tables remain version-controlled. Primary bounded-search metric: Internet Archive metadata text-item result count at retrieval time.</x:v>
      </x:c>
    </x:row>
    <x:row r="77">
      <x:c r="A77" s="202" t="str">
        <x:v>Generated from the current project database and research exports; source tables remain version-controlled. Primary bounded-search metric: Internet Archive metadata text-item result count at retrieval time.</x:v>
      </x:c>
      <x:c r="B77" s="202" t="str">
        <x:v>Generated from the current project database and research exports; source tables remain version-controlled. Primary bounded-search metric: Internet Archive metadata text-item result count at retrieval time.</x:v>
      </x:c>
      <x:c r="C77" s="202" t="str">
        <x:v>Generated from the current project database and research exports; source tables remain version-controlled. Primary bounded-search metric: Internet Archive metadata text-item result count at retrieval time.</x:v>
      </x:c>
      <x:c r="D77" s="202" t="str">
        <x:v>Generated from the current project database and research exports; source tables remain version-controlled. Primary bounded-search metric: Internet Archive metadata text-item result count at retrieval time.</x:v>
      </x:c>
      <x:c r="E77" s="202" t="str">
        <x:v>Generated from the current project database and research exports; source tables remain version-controlled. Primary bounded-search metric: Internet Archive metadata text-item result count at retrieval time.</x:v>
      </x:c>
      <x:c r="F77" s="202" t="str">
        <x:v>Generated from the current project database and research exports; source tables remain version-controlled. Primary bounded-search metric: Internet Archive metadata text-item result count at retrieval time.</x:v>
      </x:c>
      <x:c r="G77" s="202" t="str">
        <x:v>Generated from the current project database and research exports; source tables remain version-controlled. Primary bounded-search metric: Internet Archive metadata text-item result count at retrieval time.</x:v>
      </x:c>
      <x:c r="H77" s="202" t="str">
        <x:v>Generated from the current project database and research exports; source tables remain version-controlled. Primary bounded-search metric: Internet Archive metadata text-item result count at retrieval time.</x:v>
      </x:c>
      <x:c r="I77" s="202" t="str">
        <x:v>Generated from the current project database and research exports; source tables remain version-controlled. Primary bounded-search metric: Internet Archive metadata text-item result count at retrieval time.</x:v>
      </x:c>
      <x:c r="J77" s="202" t="str">
        <x:v>Generated from the current project database and research exports; source tables remain version-controlled. Primary bounded-search metric: Internet Archive metadata text-item result count at retrieval time.</x:v>
      </x:c>
      <x:c r="K77" s="202" t="str">
        <x:v>Generated from the current project database and research exports; source tables remain version-controlled. Primary bounded-search metric: Internet Archive metadata text-item result count at retrieval time.</x:v>
      </x:c>
      <x:c r="L77" s="202" t="str">
        <x:v>Generated from the current project database and research exports; source tables remain version-controlled. Primary bounded-search metric: Internet Archive metadata text-item result count at retrieval time.</x:v>
      </x:c>
      <x:c r="M77" s="202" t="str">
        <x:v>Generated from the current project database and research exports; source tables remain version-controlled. Primary bounded-search metric: Internet Archive metadata text-item result count at retrieval time.</x:v>
      </x:c>
      <x:c r="N77" s="202" t="str">
        <x:v>Generated from the current project database and research exports; source tables remain version-controlled. Primary bounded-search metric: Internet Archive metadata text-item result count at retrieval time.</x:v>
      </x:c>
    </x:row>
    <x:row r="78">
      <x:c r="A78" s="202" t="str">
        <x:v>Generated from the current project database and research exports; source tables remain version-controlled. Primary bounded-search metric: Internet Archive metadata text-item result count at retrieval time.</x:v>
      </x:c>
      <x:c r="B78" s="202" t="str">
        <x:v>Generated from the current project database and research exports; source tables remain version-controlled. Primary bounded-search metric: Internet Archive metadata text-item result count at retrieval time.</x:v>
      </x:c>
      <x:c r="C78" s="202" t="str">
        <x:v>Generated from the current project database and research exports; source tables remain version-controlled. Primary bounded-search metric: Internet Archive metadata text-item result count at retrieval time.</x:v>
      </x:c>
      <x:c r="D78" s="202" t="str">
        <x:v>Generated from the current project database and research exports; source tables remain version-controlled. Primary bounded-search metric: Internet Archive metadata text-item result count at retrieval time.</x:v>
      </x:c>
      <x:c r="E78" s="202" t="str">
        <x:v>Generated from the current project database and research exports; source tables remain version-controlled. Primary bounded-search metric: Internet Archive metadata text-item result count at retrieval time.</x:v>
      </x:c>
      <x:c r="F78" s="202" t="str">
        <x:v>Generated from the current project database and research exports; source tables remain version-controlled. Primary bounded-search metric: Internet Archive metadata text-item result count at retrieval time.</x:v>
      </x:c>
      <x:c r="G78" s="202" t="str">
        <x:v>Generated from the current project database and research exports; source tables remain version-controlled. Primary bounded-search metric: Internet Archive metadata text-item result count at retrieval time.</x:v>
      </x:c>
      <x:c r="H78" s="202" t="str">
        <x:v>Generated from the current project database and research exports; source tables remain version-controlled. Primary bounded-search metric: Internet Archive metadata text-item result count at retrieval time.</x:v>
      </x:c>
      <x:c r="I78" s="202" t="str">
        <x:v>Generated from the current project database and research exports; source tables remain version-controlled. Primary bounded-search metric: Internet Archive metadata text-item result count at retrieval time.</x:v>
      </x:c>
      <x:c r="J78" s="202" t="str">
        <x:v>Generated from the current project database and research exports; source tables remain version-controlled. Primary bounded-search metric: Internet Archive metadata text-item result count at retrieval time.</x:v>
      </x:c>
      <x:c r="K78" s="202" t="str">
        <x:v>Generated from the current project database and research exports; source tables remain version-controlled. Primary bounded-search metric: Internet Archive metadata text-item result count at retrieval time.</x:v>
      </x:c>
      <x:c r="L78" s="202" t="str">
        <x:v>Generated from the current project database and research exports; source tables remain version-controlled. Primary bounded-search metric: Internet Archive metadata text-item result count at retrieval time.</x:v>
      </x:c>
      <x:c r="M78" s="202" t="str">
        <x:v>Generated from the current project database and research exports; source tables remain version-controlled. Primary bounded-search metric: Internet Archive metadata text-item result count at retrieval time.</x:v>
      </x:c>
      <x:c r="N78" s="202" t="str">
        <x:v>Generated from the current project database and research exports; source tables remain version-controlled. Primary bounded-search metric: Internet Archive metadata text-item result count at retrieval time.</x:v>
      </x:c>
    </x:row>
  </x:sheetData>
  <x:mergeCells>
    <x:mergeCell ref="A1:N1"/>
    <x:mergeCell ref="A2:N2"/>
    <x:mergeCell ref="A4:C4"/>
    <x:mergeCell ref="A5:C7"/>
    <x:mergeCell ref="D4:F4"/>
    <x:mergeCell ref="D5:F7"/>
    <x:mergeCell ref="G4:I4"/>
    <x:mergeCell ref="G5:I7"/>
    <x:mergeCell ref="J4:L4"/>
    <x:mergeCell ref="J5:L7"/>
    <x:mergeCell ref="M4:N7"/>
    <x:mergeCell ref="A9:G11"/>
    <x:mergeCell ref="H9:N11"/>
    <x:mergeCell ref="A13:G13"/>
    <x:mergeCell ref="H13:N13"/>
    <x:mergeCell ref="A32:G32"/>
    <x:mergeCell ref="H32:N32"/>
    <x:mergeCell ref="A51:G51"/>
    <x:mergeCell ref="H51:N51"/>
    <x:mergeCell ref="A70:G74"/>
    <x:mergeCell ref="H70:N74"/>
    <x:mergeCell ref="A76:N78"/>
  </x:mergeCells>
  <x:pageMargins left="0.7" right="0.7" top="0.75" bottom="0.75" header="0.3" footer="0.3"/>
  <x:drawing xmlns:r="http://schemas.openxmlformats.org/officeDocument/2006/relationships" r:id="R08a95cb0e9214aab"/>
</x:worksheet>
</file>

<file path=xl/worksheets/sheet2.xml><?xml version="1.0" encoding="utf-8"?>
<x:worksheet xmlns:x="http://schemas.openxmlformats.org/spreadsheetml/2006/main">
  <x:sheetViews>
    <x:sheetView showGridLines="0" workbookViewId="0"/>
  </x:sheetViews>
  <x:sheetFormatPr defaultRowHeight="15"/>
  <x:cols>
    <x:col min="1" max="1" width="23" hidden="0" customWidth="1"/>
    <x:col min="2" max="2" width="32" hidden="0" customWidth="1"/>
    <x:col min="3" max="3" width="72" hidden="0" customWidth="1"/>
  </x:cols>
  <x:sheetData>
    <x:row r="1" ht="38" customHeight="1">
      <x:c r="A1" s="3" t="str">
        <x:v>Analysis Guide</x:v>
      </x:c>
      <x:c r="B1" s="3" t="str">
        <x:v>Analysis Guide</x:v>
      </x:c>
      <x:c r="C1" s="3" t="str">
        <x:v>Analysis Guide</x:v>
      </x:c>
      <x:c r="D1" s="3" t="str">
        <x:v>Analysis Guide</x:v>
      </x:c>
      <x:c r="E1" s="3" t="str">
        <x:v>Analysis Guide</x:v>
      </x:c>
      <x:c r="F1" s="3" t="str">
        <x:v>Analysis Guide</x:v>
      </x:c>
      <x:c r="G1" s="3" t="str">
        <x:v>Analysis Guide</x:v>
      </x:c>
      <x:c r="H1" s="3" t="str">
        <x:v>Analysis Guide</x:v>
      </x:c>
      <x:c r="I1" s="3" t="str">
        <x:v>Analysis Guide</x:v>
      </x:c>
      <x:c r="J1" s="3" t="str">
        <x:v>Analysis Guide</x:v>
      </x:c>
    </x:row>
    <x:row r="2" ht="32" customHeight="1">
      <x:c r="A2" s="7" t="str">
        <x:v>How to read the EDA relationship tables without collapsing distinct evidence channels.</x:v>
      </x:c>
      <x:c r="B2" s="7" t="str">
        <x:v>How to read the EDA relationship tables without collapsing distinct evidence channels.</x:v>
      </x:c>
      <x:c r="C2" s="7" t="str">
        <x:v>How to read the EDA relationship tables without collapsing distinct evidence channels.</x:v>
      </x:c>
      <x:c r="D2" s="7" t="str">
        <x:v>How to read the EDA relationship tables without collapsing distinct evidence channels.</x:v>
      </x:c>
      <x:c r="E2" s="7" t="str">
        <x:v>How to read the EDA relationship tables without collapsing distinct evidence channels.</x:v>
      </x:c>
      <x:c r="F2" s="7" t="str">
        <x:v>How to read the EDA relationship tables without collapsing distinct evidence channels.</x:v>
      </x:c>
      <x:c r="G2" s="7" t="str">
        <x:v>How to read the EDA relationship tables without collapsing distinct evidence channels.</x:v>
      </x:c>
      <x:c r="H2" s="7" t="str">
        <x:v>How to read the EDA relationship tables without collapsing distinct evidence channels.</x:v>
      </x:c>
      <x:c r="I2" s="7" t="str">
        <x:v>How to read the EDA relationship tables without collapsing distinct evidence channels.</x:v>
      </x:c>
      <x:c r="J2" s="7" t="str">
        <x:v>How to read the EDA relationship tables without collapsing distinct evidence channels.</x:v>
      </x:c>
    </x:row>
    <x:row r="4">
      <x:c r="A4" s="63" t="str">
        <x:v>Dimension</x:v>
      </x:c>
      <x:c r="B4" s="63" t="str">
        <x:v>Codes / metric</x:v>
      </x:c>
      <x:c r="C4" s="63" t="str">
        <x:v>Interpretation</x:v>
      </x:c>
    </x:row>
    <x:row r="5">
      <x:c r="A5" s="60" t="str">
        <x:v>Lexical layers</x:v>
      </x:c>
      <x:c r="B5" s="60" t="str">
        <x:v>A / B / C / D</x:v>
      </x:c>
      <x:c r="C5" s="60" t="str">
        <x:v>Temperature/physical; climate/causal; affect; threat/risk/harm.</x:v>
      </x:c>
    </x:row>
    <x:row r="6">
      <x:c r="A6" s="60" t="str">
        <x:v>Voices</x:v>
      </x:c>
      <x:c r="B6" s="60" t="str">
        <x:v>V1–V5</x:v>
      </x:c>
      <x:c r="C6" s="60" t="str">
        <x:v>Scientific; institutional; mediated public; organised civic; direct public/lay.</x:v>
      </x:c>
    </x:row>
    <x:row r="7">
      <x:c r="A7" s="60" t="str">
        <x:v>Lexical families</x:v>
      </x:c>
      <x:c r="B7" s="60" t="str">
        <x:v>14 semantic families</x:v>
      </x:c>
      <x:c r="C7" s="60" t="str">
        <x:v>Research groupings, not synonym sets and not additive frequency indices.</x:v>
      </x:c>
    </x:row>
    <x:row r="8">
      <x:c r="A8" s="60" t="str">
        <x:v>Ngram</x:v>
      </x:c>
      <x:c r="B8" s="60" t="str">
        <x:v>Annual normalized string frequency</x:v>
      </x:c>
      <x:c r="C8" s="60" t="str">
        <x:v>Corpus string occurrence; raw values preserved and per-million values used only for readability.</x:v>
      </x:c>
    </x:row>
    <x:row r="9">
      <x:c r="A9" s="60" t="str">
        <x:v>Bounded search</x:v>
      </x:c>
      <x:c r="B9" s="60" t="str">
        <x:v>Internet Archive metadata text-item numFound</x:v>
      </x:c>
      <x:c r="C9" s="60" t="str">
        <x:v>Provider discoverability at retrieval time; not language prevalence.</x:v>
      </x:c>
    </x:row>
    <x:row r="10">
      <x:c r="A10" s="60" t="str">
        <x:v>Dictionary</x:v>
      </x:c>
      <x:c r="B10" s="60" t="str">
        <x:v>Headword / technical glossary / no standalone headword</x:v>
      </x:c>
      <x:c r="C10" s="60" t="str">
        <x:v>Lexical meaning and anchor-sense compatibility; absence of a headword is retained.</x:v>
      </x:c>
    </x:row>
    <x:row r="11">
      <x:c r="A11" s="60" t="str">
        <x:v>Relationship</x:v>
      </x:c>
      <x:c r="B11" s="60" t="str">
        <x:v>Structural or semantic candidate</x:v>
      </x:c>
      <x:c r="C11" s="60" t="str">
        <x:v>Only evidence-supported semantic relations are populated.</x:v>
      </x:c>
    </x:row>
    <x:row r="14">
      <x:c r="A14" s="69" t="str">
        <x:v>Four non-equivalences
Frequency ≠ search count
Threat ≠ fear
Inventory composition ≠ historical prevalence
Same string ≠ same historical sense</x:v>
      </x:c>
      <x:c r="B14" s="69" t="str">
        <x:v>Four non-equivalences
Frequency ≠ search count
Threat ≠ fear
Inventory composition ≠ historical prevalence
Same string ≠ same historical sense</x:v>
      </x:c>
      <x:c r="C14" s="69" t="str">
        <x:v>Four non-equivalences
Frequency ≠ search count
Threat ≠ fear
Inventory composition ≠ historical prevalence
Same string ≠ same historical sense</x:v>
      </x:c>
    </x:row>
    <x:row r="15">
      <x:c r="A15" s="69" t="str">
        <x:v>Four non-equivalences
Frequency ≠ search count
Threat ≠ fear
Inventory composition ≠ historical prevalence
Same string ≠ same historical sense</x:v>
      </x:c>
      <x:c r="B15" s="69" t="str">
        <x:v>Four non-equivalences
Frequency ≠ search count
Threat ≠ fear
Inventory composition ≠ historical prevalence
Same string ≠ same historical sense</x:v>
      </x:c>
      <x:c r="C15" s="69" t="str">
        <x:v>Four non-equivalences
Frequency ≠ search count
Threat ≠ fear
Inventory composition ≠ historical prevalence
Same string ≠ same historical sense</x:v>
      </x:c>
    </x:row>
    <x:row r="16">
      <x:c r="A16" s="69" t="str">
        <x:v>Four non-equivalences
Frequency ≠ search count
Threat ≠ fear
Inventory composition ≠ historical prevalence
Same string ≠ same historical sense</x:v>
      </x:c>
      <x:c r="B16" s="69" t="str">
        <x:v>Four non-equivalences
Frequency ≠ search count
Threat ≠ fear
Inventory composition ≠ historical prevalence
Same string ≠ same historical sense</x:v>
      </x:c>
      <x:c r="C16" s="69" t="str">
        <x:v>Four non-equivalences
Frequency ≠ search count
Threat ≠ fear
Inventory composition ≠ historical prevalence
Same string ≠ same historical sense</x:v>
      </x:c>
    </x:row>
    <x:row r="17">
      <x:c r="A17" s="69" t="str">
        <x:v>Four non-equivalences
Frequency ≠ search count
Threat ≠ fear
Inventory composition ≠ historical prevalence
Same string ≠ same historical sense</x:v>
      </x:c>
      <x:c r="B17" s="69" t="str">
        <x:v>Four non-equivalences
Frequency ≠ search count
Threat ≠ fear
Inventory composition ≠ historical prevalence
Same string ≠ same historical sense</x:v>
      </x:c>
      <x:c r="C17" s="69" t="str">
        <x:v>Four non-equivalences
Frequency ≠ search count
Threat ≠ fear
Inventory composition ≠ historical prevalence
Same string ≠ same historical sense</x:v>
      </x:c>
    </x:row>
    <x:row r="18">
      <x:c r="A18" s="69" t="str">
        <x:v>Four non-equivalences
Frequency ≠ search count
Threat ≠ fear
Inventory composition ≠ historical prevalence
Same string ≠ same historical sense</x:v>
      </x:c>
      <x:c r="B18" s="69" t="str">
        <x:v>Four non-equivalences
Frequency ≠ search count
Threat ≠ fear
Inventory composition ≠ historical prevalence
Same string ≠ same historical sense</x:v>
      </x:c>
      <x:c r="C18" s="69" t="str">
        <x:v>Four non-equivalences
Frequency ≠ search count
Threat ≠ fear
Inventory composition ≠ historical prevalence
Same string ≠ same historical sense</x:v>
      </x:c>
    </x:row>
    <x:row r="19">
      <x:c r="A19" s="69" t="str">
        <x:v>Four non-equivalences
Frequency ≠ search count
Threat ≠ fear
Inventory composition ≠ historical prevalence
Same string ≠ same historical sense</x:v>
      </x:c>
      <x:c r="B19" s="69" t="str">
        <x:v>Four non-equivalences
Frequency ≠ search count
Threat ≠ fear
Inventory composition ≠ historical prevalence
Same string ≠ same historical sense</x:v>
      </x:c>
      <x:c r="C19" s="69" t="str">
        <x:v>Four non-equivalences
Frequency ≠ search count
Threat ≠ fear
Inventory composition ≠ historical prevalence
Same string ≠ same historical sense</x:v>
      </x:c>
    </x:row>
    <x:row r="21">
      <x:c r="A21" s="75" t="str">
        <x:v>Pattern labels used in the interpretation report
OBSERVED_CORPUS_PATTERN · CONSTRUCTED_INVENTORY_PATTERN · SOURCE_COMPOSITION_PATTERN · SEARCHABILITY_PATTERN · SEMANTIC_HYPOTHESIS · UNRESOLVED</x:v>
      </x:c>
      <x:c r="B21" s="75" t="str">
        <x:v>Pattern labels used in the interpretation report
OBSERVED_CORPUS_PATTERN · CONSTRUCTED_INVENTORY_PATTERN · SOURCE_COMPOSITION_PATTERN · SEARCHABILITY_PATTERN · SEMANTIC_HYPOTHESIS · UNRESOLVED</x:v>
      </x:c>
      <x:c r="C21" s="75" t="str">
        <x:v>Pattern labels used in the interpretation report
OBSERVED_CORPUS_PATTERN · CONSTRUCTED_INVENTORY_PATTERN · SOURCE_COMPOSITION_PATTERN · SEARCHABILITY_PATTERN · SEMANTIC_HYPOTHESIS · UNRESOLVED</x:v>
      </x:c>
    </x:row>
    <x:row r="22">
      <x:c r="A22" s="75" t="str">
        <x:v>Pattern labels used in the interpretation report
OBSERVED_CORPUS_PATTERN · CONSTRUCTED_INVENTORY_PATTERN · SOURCE_COMPOSITION_PATTERN · SEARCHABILITY_PATTERN · SEMANTIC_HYPOTHESIS · UNRESOLVED</x:v>
      </x:c>
      <x:c r="B22" s="75" t="str">
        <x:v>Pattern labels used in the interpretation report
OBSERVED_CORPUS_PATTERN · CONSTRUCTED_INVENTORY_PATTERN · SOURCE_COMPOSITION_PATTERN · SEARCHABILITY_PATTERN · SEMANTIC_HYPOTHESIS · UNRESOLVED</x:v>
      </x:c>
      <x:c r="C22" s="75" t="str">
        <x:v>Pattern labels used in the interpretation report
OBSERVED_CORPUS_PATTERN · CONSTRUCTED_INVENTORY_PATTERN · SOURCE_COMPOSITION_PATTERN · SEARCHABILITY_PATTERN · SEMANTIC_HYPOTHESIS · UNRESOLVED</x:v>
      </x:c>
    </x:row>
    <x:row r="23">
      <x:c r="A23" s="75" t="str">
        <x:v>Pattern labels used in the interpretation report
OBSERVED_CORPUS_PATTERN · CONSTRUCTED_INVENTORY_PATTERN · SOURCE_COMPOSITION_PATTERN · SEARCHABILITY_PATTERN · SEMANTIC_HYPOTHESIS · UNRESOLVED</x:v>
      </x:c>
      <x:c r="B23" s="75" t="str">
        <x:v>Pattern labels used in the interpretation report
OBSERVED_CORPUS_PATTERN · CONSTRUCTED_INVENTORY_PATTERN · SOURCE_COMPOSITION_PATTERN · SEARCHABILITY_PATTERN · SEMANTIC_HYPOTHESIS · UNRESOLVED</x:v>
      </x:c>
      <x:c r="C23" s="75" t="str">
        <x:v>Pattern labels used in the interpretation report
OBSERVED_CORPUS_PATTERN · CONSTRUCTED_INVENTORY_PATTERN · SOURCE_COMPOSITION_PATTERN · SEARCHABILITY_PATTERN · SEMANTIC_HYPOTHESIS · UNRESOLVED</x:v>
      </x:c>
    </x:row>
    <x:row r="24">
      <x:c r="A24" s="75" t="str">
        <x:v>Pattern labels used in the interpretation report
OBSERVED_CORPUS_PATTERN · CONSTRUCTED_INVENTORY_PATTERN · SOURCE_COMPOSITION_PATTERN · SEARCHABILITY_PATTERN · SEMANTIC_HYPOTHESIS · UNRESOLVED</x:v>
      </x:c>
      <x:c r="B24" s="75" t="str">
        <x:v>Pattern labels used in the interpretation report
OBSERVED_CORPUS_PATTERN · CONSTRUCTED_INVENTORY_PATTERN · SOURCE_COMPOSITION_PATTERN · SEARCHABILITY_PATTERN · SEMANTIC_HYPOTHESIS · UNRESOLVED</x:v>
      </x:c>
      <x:c r="C24" s="75" t="str">
        <x:v>Pattern labels used in the interpretation report
OBSERVED_CORPUS_PATTERN · CONSTRUCTED_INVENTORY_PATTERN · SOURCE_COMPOSITION_PATTERN · SEARCHABILITY_PATTERN · SEMANTIC_HYPOTHESIS · UNRESOLVED</x:v>
      </x:c>
    </x:row>
    <x:row r="25">
      <x:c r="A25" s="75" t="str">
        <x:v>Pattern labels used in the interpretation report
OBSERVED_CORPUS_PATTERN · CONSTRUCTED_INVENTORY_PATTERN · SOURCE_COMPOSITION_PATTERN · SEARCHABILITY_PATTERN · SEMANTIC_HYPOTHESIS · UNRESOLVED</x:v>
      </x:c>
      <x:c r="B25" s="75" t="str">
        <x:v>Pattern labels used in the interpretation report
OBSERVED_CORPUS_PATTERN · CONSTRUCTED_INVENTORY_PATTERN · SOURCE_COMPOSITION_PATTERN · SEARCHABILITY_PATTERN · SEMANTIC_HYPOTHESIS · UNRESOLVED</x:v>
      </x:c>
      <x:c r="C25" s="75" t="str">
        <x:v>Pattern labels used in the interpretation report
OBSERVED_CORPUS_PATTERN · CONSTRUCTED_INVENTORY_PATTERN · SOURCE_COMPOSITION_PATTERN · SEARCHABILITY_PATTERN · SEMANTIC_HYPOTHESIS · UNRESOLVED</x:v>
      </x:c>
    </x:row>
  </x:sheetData>
  <x:mergeCells>
    <x:mergeCell ref="A1:J1"/>
    <x:mergeCell ref="A2:J2"/>
    <x:mergeCell ref="A14:C19"/>
    <x:mergeCell ref="A21:C25"/>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28" hidden="0" customWidth="1"/>
    <x:col min="14" max="14" width="15" hidden="0" customWidth="1"/>
  </x:cols>
  <x:sheetData>
    <x:row r="1" ht="38" customHeight="1">
      <x:c r="A1" s="3" t="str">
        <x:v>Relationship Summary</x:v>
      </x:c>
      <x:c r="B1" s="3" t="str">
        <x:v>Relationship Summary</x:v>
      </x:c>
      <x:c r="C1" s="3" t="str">
        <x:v>Relationship Summary</x:v>
      </x:c>
      <x:c r="D1" s="3" t="str">
        <x:v>Relationship Summary</x:v>
      </x:c>
      <x:c r="E1" s="3" t="str">
        <x:v>Relationship Summary</x:v>
      </x:c>
      <x:c r="F1" s="3" t="str">
        <x:v>Relationship Summary</x:v>
      </x:c>
      <x:c r="G1" s="3" t="str">
        <x:v>Relationship Summary</x:v>
      </x:c>
      <x:c r="H1" s="3" t="str">
        <x:v>Relationship Summary</x:v>
      </x:c>
      <x:c r="I1" s="3" t="str">
        <x:v>Relationship Summary</x:v>
      </x:c>
      <x:c r="J1" s="3" t="str">
        <x:v>Relationship Summary</x:v>
      </x:c>
      <x:c r="K1" s="3" t="str">
        <x:v>Relationship Summary</x:v>
      </x:c>
      <x:c r="L1" s="3" t="str">
        <x:v>Relationship Summary</x:v>
      </x:c>
      <x:c r="M1" s="3" t="str">
        <x:v>Relationship Summary</x:v>
      </x:c>
      <x:c r="N1" s="3" t="str">
        <x:v>Relationship Summary</x:v>
      </x:c>
    </x:row>
    <x:row r="2" ht="32" customHeight="1">
      <x:c r="A2" s="7" t="str">
        <x:v>Compact view of inventory composition, evidence-channel coverage and figure inventory.</x:v>
      </x:c>
      <x:c r="B2" s="7" t="str">
        <x:v>Compact view of inventory composition, evidence-channel coverage and figure inventory.</x:v>
      </x:c>
      <x:c r="C2" s="7" t="str">
        <x:v>Compact view of inventory composition, evidence-channel coverage and figure inventory.</x:v>
      </x:c>
      <x:c r="D2" s="7" t="str">
        <x:v>Compact view of inventory composition, evidence-channel coverage and figure inventory.</x:v>
      </x:c>
      <x:c r="E2" s="7" t="str">
        <x:v>Compact view of inventory composition, evidence-channel coverage and figure inventory.</x:v>
      </x:c>
      <x:c r="F2" s="7" t="str">
        <x:v>Compact view of inventory composition, evidence-channel coverage and figure inventory.</x:v>
      </x:c>
      <x:c r="G2" s="7" t="str">
        <x:v>Compact view of inventory composition, evidence-channel coverage and figure inventory.</x:v>
      </x:c>
      <x:c r="H2" s="7" t="str">
        <x:v>Compact view of inventory composition, evidence-channel coverage and figure inventory.</x:v>
      </x:c>
      <x:c r="I2" s="7" t="str">
        <x:v>Compact view of inventory composition, evidence-channel coverage and figure inventory.</x:v>
      </x:c>
      <x:c r="J2" s="7" t="str">
        <x:v>Compact view of inventory composition, evidence-channel coverage and figure inventory.</x:v>
      </x:c>
      <x:c r="K2" s="7" t="str">
        <x:v>Compact view of inventory composition, evidence-channel coverage and figure inventory.</x:v>
      </x:c>
      <x:c r="L2" s="7" t="str">
        <x:v>Compact view of inventory composition, evidence-channel coverage and figure inventory.</x:v>
      </x:c>
      <x:c r="M2" s="7" t="str">
        <x:v>Compact view of inventory composition, evidence-channel coverage and figure inventory.</x:v>
      </x:c>
      <x:c r="N2" s="7" t="str">
        <x:v>Compact view of inventory composition, evidence-channel coverage and figure inventory.</x:v>
      </x:c>
    </x:row>
    <x:row r="4">
      <x:c r="A4" s="77" t="str">
        <x:v>Anchor</x:v>
      </x:c>
      <x:c r="B4" s="77" t="str">
        <x:v>A</x:v>
      </x:c>
      <x:c r="C4" s="77" t="str">
        <x:v>B</x:v>
      </x:c>
      <x:c r="D4" s="77" t="str">
        <x:v>C</x:v>
      </x:c>
      <x:c r="E4" s="77" t="str">
        <x:v>D</x:v>
      </x:c>
      <x:c r="F4" s="77" t="str">
        <x:v>Total</x:v>
      </x:c>
      <x:c r="G4" s="77" t="str">
        <x:v>V1</x:v>
      </x:c>
      <x:c r="H4" s="77" t="str">
        <x:v>V2</x:v>
      </x:c>
      <x:c r="I4" s="77" t="str">
        <x:v>V3</x:v>
      </x:c>
      <x:c r="K4" s="79" t="str">
        <x:v>Coverage metric</x:v>
      </x:c>
      <x:c r="L4" s="79" t="str">
        <x:v>Value</x:v>
      </x:c>
      <x:c r="M4" s="79" t="str">
        <x:v>Meaning</x:v>
      </x:c>
      <x:c r="N4" s="79" t="str">
        <x:v>Status</x:v>
      </x:c>
    </x:row>
    <x:row r="5">
      <x:c r="A5" s="58" t="str">
        <x:v>1842</x:v>
      </x:c>
      <x:c r="B5" s="58" t="n">
        <x:v>16</x:v>
      </x:c>
      <x:c r="C5" s="58" t="n">
        <x:v>5</x:v>
      </x:c>
      <x:c r="D5" s="58" t="n">
        <x:v>3</x:v>
      </x:c>
      <x:c r="E5" s="58" t="n">
        <x:v>6</x:v>
      </x:c>
      <x:c r="F5" s="58" t="str">
        <x:v>30</x:v>
      </x:c>
      <x:c r="G5" s="58" t="n">
        <x:v>18</x:v>
      </x:c>
      <x:c r="H5" s="58" t="n">
        <x:v>2</x:v>
      </x:c>
      <x:c r="I5" s="58" t="n">
        <x:v>1</x:v>
      </x:c>
      <x:c r="K5" s="59" t="str">
        <x:v>Priority candidates</x:v>
      </x:c>
      <x:c r="L5" s="59" t="n">
        <x:f>COUNTA('Priority 180 Coverage'!A5:A184)</x:f>
        <x:v>180</x:v>
      </x:c>
      <x:c r="M5" s="59" t="str">
        <x:v>Candidate denominator</x:v>
      </x:c>
      <x:c r="N5" s="59" t="str">
        <x:f>IF(L5=180,"PASS","CHECK")</x:f>
        <x:v>PASS</x:v>
      </x:c>
    </x:row>
    <x:row r="6">
      <x:c r="A6" s="58" t="str">
        <x:v>1938</x:v>
      </x:c>
      <x:c r="B6" s="58" t="n">
        <x:v>13</x:v>
      </x:c>
      <x:c r="C6" s="58" t="n">
        <x:v>9</x:v>
      </x:c>
      <x:c r="D6" s="58" t="n">
        <x:v>2</x:v>
      </x:c>
      <x:c r="E6" s="58" t="n">
        <x:v>6</x:v>
      </x:c>
      <x:c r="F6" s="58" t="str">
        <x:v>30</x:v>
      </x:c>
      <x:c r="G6" s="58" t="n">
        <x:v>18</x:v>
      </x:c>
      <x:c r="H6" s="58" t="n">
        <x:v>0</x:v>
      </x:c>
      <x:c r="I6" s="58" t="n">
        <x:v>12</x:v>
      </x:c>
      <x:c r="K6" s="59" t="str">
        <x:v>Candidate relations</x:v>
      </x:c>
      <x:c r="L6" s="59" t="n">
        <x:f>COUNTA('Candidate Relations'!A5:A500)</x:f>
        <x:v>337</x:v>
      </x:c>
      <x:c r="M6" s="59" t="str">
        <x:v>Structural + evidence-supported</x:v>
      </x:c>
      <x:c r="N6" s="59" t="str">
        <x:f>IF(L6&gt;0,"PASS","CHECK")</x:f>
        <x:v>PASS</x:v>
      </x:c>
    </x:row>
    <x:row r="7">
      <x:c r="A7" s="58" t="str">
        <x:v>1988</x:v>
      </x:c>
      <x:c r="B7" s="58" t="n">
        <x:v>8</x:v>
      </x:c>
      <x:c r="C7" s="58" t="n">
        <x:v>7</x:v>
      </x:c>
      <x:c r="D7" s="58" t="n">
        <x:v>1</x:v>
      </x:c>
      <x:c r="E7" s="58" t="n">
        <x:v>14</x:v>
      </x:c>
      <x:c r="F7" s="58" t="str">
        <x:v>30</x:v>
      </x:c>
      <x:c r="G7" s="58" t="n">
        <x:v>14</x:v>
      </x:c>
      <x:c r="H7" s="58" t="n">
        <x:v>13</x:v>
      </x:c>
      <x:c r="I7" s="58" t="n">
        <x:v>3</x:v>
      </x:c>
      <x:c r="K7" s="59" t="str">
        <x:v>Comparability rows</x:v>
      </x:c>
      <x:c r="L7" s="59" t="n">
        <x:f>COUNTA('Comparability'!A5:A100)</x:f>
        <x:v>32</x:v>
      </x:c>
      <x:c r="M7" s="59" t="str">
        <x:v>Cross-anchor comparison audit</x:v>
      </x:c>
      <x:c r="N7" s="59" t="str">
        <x:f>IF(L7&gt;0,"PASS","CHECK")</x:f>
        <x:v>PASS</x:v>
      </x:c>
    </x:row>
    <x:row r="8">
      <x:c r="A8" s="58" t="str">
        <x:v>2006–2007</x:v>
      </x:c>
      <x:c r="B8" s="58" t="n">
        <x:v>5</x:v>
      </x:c>
      <x:c r="C8" s="58" t="n">
        <x:v>4</x:v>
      </x:c>
      <x:c r="D8" s="58" t="n">
        <x:v>3</x:v>
      </x:c>
      <x:c r="E8" s="58" t="n">
        <x:v>18</x:v>
      </x:c>
      <x:c r="F8" s="58" t="str">
        <x:v>30</x:v>
      </x:c>
      <x:c r="G8" s="58" t="n">
        <x:v>9</x:v>
      </x:c>
      <x:c r="H8" s="58" t="n">
        <x:v>10</x:v>
      </x:c>
      <x:c r="I8" s="58" t="n">
        <x:v>2</x:v>
      </x:c>
      <x:c r="K8" s="59" t="str">
        <x:v>Figures</x:v>
      </x:c>
      <x:c r="L8" s="59" t="n">
        <x:f>15</x:f>
        <x:v>15</x:v>
      </x:c>
      <x:c r="M8" s="59" t="str">
        <x:v>PNG + SVG with sources</x:v>
      </x:c>
      <x:c r="N8" s="59" t="str">
        <x:f>IF(L8&gt;=10,"PASS","CHECK")</x:f>
        <x:v>PASS</x:v>
      </x:c>
    </x:row>
    <x:row r="9">
      <x:c r="A9" s="58" t="str">
        <x:v>2015</x:v>
      </x:c>
      <x:c r="B9" s="58" t="n">
        <x:v>3</x:v>
      </x:c>
      <x:c r="C9" s="58" t="n">
        <x:v>3</x:v>
      </x:c>
      <x:c r="D9" s="58" t="n">
        <x:v>4</x:v>
      </x:c>
      <x:c r="E9" s="58" t="n">
        <x:v>20</x:v>
      </x:c>
      <x:c r="F9" s="58" t="str">
        <x:v>30</x:v>
      </x:c>
      <x:c r="G9" s="58" t="n">
        <x:v>0</x:v>
      </x:c>
      <x:c r="H9" s="58" t="n">
        <x:v>24</x:v>
      </x:c>
      <x:c r="I9" s="58" t="n">
        <x:v>0</x:v>
      </x:c>
      <x:c r="K9" s="59" t="str">
        <x:v>Ngram observations</x:v>
      </x:c>
      <x:c r="L9" s="59" t="n">
        <x:f>SUM('Ngram Coverage'!I5:I147)</x:f>
        <x:v>23892</x:v>
      </x:c>
      <x:c r="M9" s="59" t="str">
        <x:v>Annual normalized observations</x:v>
      </x:c>
      <x:c r="N9" s="59" t="str">
        <x:f>IF(L9&gt;0,"PASS","CHECK")</x:f>
        <x:v>PASS</x:v>
      </x:c>
    </x:row>
    <x:row r="10">
      <x:c r="A10" s="58" t="str">
        <x:v>2022</x:v>
      </x:c>
      <x:c r="B10" s="58" t="n">
        <x:v>2</x:v>
      </x:c>
      <x:c r="C10" s="58" t="n">
        <x:v>1</x:v>
      </x:c>
      <x:c r="D10" s="58" t="n">
        <x:v>20</x:v>
      </x:c>
      <x:c r="E10" s="58" t="n">
        <x:v>7</x:v>
      </x:c>
      <x:c r="F10" s="58" t="str">
        <x:v>30</x:v>
      </x:c>
      <x:c r="G10" s="58" t="n">
        <x:v>12</x:v>
      </x:c>
      <x:c r="H10" s="58" t="n">
        <x:v>0</x:v>
      </x:c>
      <x:c r="I10" s="58" t="n">
        <x:v>0</x:v>
      </x:c>
      <x:c r="K10" s="59" t="str">
        <x:v>Unexplained Ngram</x:v>
      </x:c>
      <x:c r="L10" s="59" t="n">
        <x:f>COUNTIF('Ngram Coverage'!H5:H147,"UNRESOLVED")</x:f>
        <x:v>0</x:v>
      </x:c>
      <x:c r="M10" s="59" t="str">
        <x:v>Required = 0</x:v>
      </x:c>
      <x:c r="N10" s="59" t="str">
        <x:f>IF(L10=0,"PASS","CHECK")</x:f>
        <x:v>PASS</x:v>
      </x:c>
    </x:row>
    <x:row r="13">
      <x:c r="A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4">
      <x:c r="A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5">
      <x:c r="A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6">
      <x:c r="A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7">
      <x:c r="A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sheetData>
  <x:mergeCells>
    <x:mergeCell ref="A1:N1"/>
    <x:mergeCell ref="A2:N2"/>
    <x:mergeCell ref="A13:N17"/>
  </x:mergeCells>
  <x:conditionalFormatting sqref="N5:N10">
    <x:cfRule type="containsText" dxfId="162" priority="1" operator="containsText" text="COMPLETE"/>
    <x:cfRule type="containsText" dxfId="163" priority="2" operator="containsText" text="TRACEABLE"/>
    <x:cfRule type="containsText" dxfId="164" priority="3" operator="containsText" text="ZERO"/>
    <x:cfRule type="containsText" dxfId="165" priority="4" operator="containsText" text="UNRESOLVED"/>
    <x:cfRule type="containsText" dxfId="166" priority="5" operator="containsText" text="NOT_"/>
    <x:cfRule type="containsText" dxfId="167" priority="6" operator="containsText" text="PARTIAL"/>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s>
  <x:sheetData>
    <x:row r="1" ht="38" customHeight="1">
      <x:c r="A1" s="3" t="str">
        <x:v>Anchor × Lexical Layer</x:v>
      </x:c>
      <x:c r="B1" s="3" t="str">
        <x:v>Anchor × Lexical Layer</x:v>
      </x:c>
      <x:c r="C1" s="3" t="str">
        <x:v>Anchor × Lexical Layer</x:v>
      </x:c>
      <x:c r="D1" s="3" t="str">
        <x:v>Anchor × Lexical Layer</x:v>
      </x:c>
      <x:c r="E1" s="3" t="str">
        <x:v>Anchor × Lexical Layer</x:v>
      </x:c>
      <x:c r="F1" s="3" t="str">
        <x:v>Anchor × Lexical Layer</x:v>
      </x:c>
      <x:c r="G1" s="3" t="str">
        <x:v>Anchor × Lexical Layer</x:v>
      </x:c>
      <x:c r="H1" s="3" t="str">
        <x:v>Anchor × Lexical Layer</x:v>
      </x:c>
      <x:c r="I1" s="3" t="str">
        <x:v>Anchor × Lexical Layer</x:v>
      </x:c>
      <x:c r="J1" s="3" t="str">
        <x:v>Anchor × Lexical Layer</x:v>
      </x:c>
    </x:row>
    <x:row r="2" ht="32" customHeight="1">
      <x:c r="A2" s="7" t="str">
        <x:v>Counts and within-anchor percentages describe the constructed Priority inventory, not historical prevalence.</x:v>
      </x:c>
      <x:c r="B2" s="7" t="str">
        <x:v>Counts and within-anchor percentages describe the constructed Priority inventory, not historical prevalence.</x:v>
      </x:c>
      <x:c r="C2" s="7" t="str">
        <x:v>Counts and within-anchor percentages describe the constructed Priority inventory, not historical prevalence.</x:v>
      </x:c>
      <x:c r="D2" s="7" t="str">
        <x:v>Counts and within-anchor percentages describe the constructed Priority inventory, not historical prevalence.</x:v>
      </x:c>
      <x:c r="E2" s="7" t="str">
        <x:v>Counts and within-anchor percentages describe the constructed Priority inventory, not historical prevalence.</x:v>
      </x:c>
      <x:c r="F2" s="7" t="str">
        <x:v>Counts and within-anchor percentages describe the constructed Priority inventory, not historical prevalence.</x:v>
      </x:c>
      <x:c r="G2" s="7" t="str">
        <x:v>Counts and within-anchor percentages describe the constructed Priority inventory, not historical prevalence.</x:v>
      </x:c>
      <x:c r="H2" s="7" t="str">
        <x:v>Counts and within-anchor percentages describe the constructed Priority inventory, not historical prevalence.</x:v>
      </x:c>
      <x:c r="I2" s="7" t="str">
        <x:v>Counts and within-anchor percentages describe the constructed Priority inventory, not historical prevalence.</x:v>
      </x:c>
      <x:c r="J2" s="7" t="str">
        <x:v>Counts and within-anchor percentages describe the constructed Priority inventory, not historical prevalence.</x:v>
      </x:c>
    </x:row>
    <x:row r="4" ht="42" customHeight="1">
      <x:c r="A4" s="14" t="str">
        <x:v>anchor</x:v>
      </x:c>
      <x:c r="B4" s="14" t="str">
        <x:v>A_count</x:v>
      </x:c>
      <x:c r="C4" s="14" t="str">
        <x:v>A_percentage</x:v>
      </x:c>
      <x:c r="D4" s="14" t="str">
        <x:v>B_count</x:v>
      </x:c>
      <x:c r="E4" s="14" t="str">
        <x:v>B_percentage</x:v>
      </x:c>
      <x:c r="F4" s="14" t="str">
        <x:v>C_count</x:v>
      </x:c>
      <x:c r="G4" s="14" t="str">
        <x:v>C_percentage</x:v>
      </x:c>
      <x:c r="H4" s="14" t="str">
        <x:v>D_count</x:v>
      </x:c>
      <x:c r="I4" s="14" t="str">
        <x:v>D_percentage</x:v>
      </x:c>
      <x:c r="J4" s="14" t="str">
        <x:v>total</x:v>
      </x:c>
    </x:row>
    <x:row r="5" ht="24" customHeight="1">
      <x:c r="A5" s="15" t="str">
        <x:v>1842</x:v>
      </x:c>
      <x:c r="B5" s="24" t="n">
        <x:v>16</x:v>
      </x:c>
      <x:c r="C5" s="27" t="n">
        <x:v>0.5333333333333333</x:v>
      </x:c>
      <x:c r="D5" s="24" t="n">
        <x:v>5</x:v>
      </x:c>
      <x:c r="E5" s="27" t="n">
        <x:v>0.16666666666666666</x:v>
      </x:c>
      <x:c r="F5" s="24" t="n">
        <x:v>3</x:v>
      </x:c>
      <x:c r="G5" s="27" t="n">
        <x:v>0.1</x:v>
      </x:c>
      <x:c r="H5" s="24" t="n">
        <x:v>6</x:v>
      </x:c>
      <x:c r="I5" s="27" t="n">
        <x:v>0.2</x:v>
      </x:c>
      <x:c r="J5" s="17" t="str">
        <x:v>30</x:v>
      </x:c>
    </x:row>
    <x:row r="6" ht="24" customHeight="1">
      <x:c r="A6" s="18" t="str">
        <x:v>1938</x:v>
      </x:c>
      <x:c r="B6" s="25" t="n">
        <x:v>13</x:v>
      </x:c>
      <x:c r="C6" s="28" t="n">
        <x:v>0.43333333333333335</x:v>
      </x:c>
      <x:c r="D6" s="25" t="n">
        <x:v>9</x:v>
      </x:c>
      <x:c r="E6" s="28" t="n">
        <x:v>0.3</x:v>
      </x:c>
      <x:c r="F6" s="25" t="n">
        <x:v>2</x:v>
      </x:c>
      <x:c r="G6" s="28" t="n">
        <x:v>0.06666666666666667</x:v>
      </x:c>
      <x:c r="H6" s="25" t="n">
        <x:v>6</x:v>
      </x:c>
      <x:c r="I6" s="28" t="n">
        <x:v>0.2</x:v>
      </x:c>
      <x:c r="J6" s="20" t="str">
        <x:v>30</x:v>
      </x:c>
    </x:row>
    <x:row r="7" ht="24" customHeight="1">
      <x:c r="A7" s="18" t="str">
        <x:v>1988</x:v>
      </x:c>
      <x:c r="B7" s="25" t="n">
        <x:v>8</x:v>
      </x:c>
      <x:c r="C7" s="28" t="n">
        <x:v>0.26666666666666666</x:v>
      </x:c>
      <x:c r="D7" s="25" t="n">
        <x:v>7</x:v>
      </x:c>
      <x:c r="E7" s="28" t="n">
        <x:v>0.23333333333333334</x:v>
      </x:c>
      <x:c r="F7" s="25" t="n">
        <x:v>1</x:v>
      </x:c>
      <x:c r="G7" s="28" t="n">
        <x:v>0.03333333333333333</x:v>
      </x:c>
      <x:c r="H7" s="25" t="n">
        <x:v>14</x:v>
      </x:c>
      <x:c r="I7" s="28" t="n">
        <x:v>0.4666666666666667</x:v>
      </x:c>
      <x:c r="J7" s="20" t="str">
        <x:v>30</x:v>
      </x:c>
    </x:row>
    <x:row r="8" ht="24" customHeight="1">
      <x:c r="A8" s="18" t="str">
        <x:v>2006–2007</x:v>
      </x:c>
      <x:c r="B8" s="25" t="n">
        <x:v>5</x:v>
      </x:c>
      <x:c r="C8" s="28" t="n">
        <x:v>0.16666666666666666</x:v>
      </x:c>
      <x:c r="D8" s="25" t="n">
        <x:v>4</x:v>
      </x:c>
      <x:c r="E8" s="28" t="n">
        <x:v>0.13333333333333333</x:v>
      </x:c>
      <x:c r="F8" s="25" t="n">
        <x:v>3</x:v>
      </x:c>
      <x:c r="G8" s="28" t="n">
        <x:v>0.1</x:v>
      </x:c>
      <x:c r="H8" s="25" t="n">
        <x:v>18</x:v>
      </x:c>
      <x:c r="I8" s="28" t="n">
        <x:v>0.6</x:v>
      </x:c>
      <x:c r="J8" s="20" t="str">
        <x:v>30</x:v>
      </x:c>
    </x:row>
    <x:row r="9" ht="24" customHeight="1">
      <x:c r="A9" s="18" t="str">
        <x:v>2015</x:v>
      </x:c>
      <x:c r="B9" s="25" t="n">
        <x:v>3</x:v>
      </x:c>
      <x:c r="C9" s="28" t="n">
        <x:v>0.1</x:v>
      </x:c>
      <x:c r="D9" s="25" t="n">
        <x:v>3</x:v>
      </x:c>
      <x:c r="E9" s="28" t="n">
        <x:v>0.1</x:v>
      </x:c>
      <x:c r="F9" s="25" t="n">
        <x:v>4</x:v>
      </x:c>
      <x:c r="G9" s="28" t="n">
        <x:v>0.13333333333333333</x:v>
      </x:c>
      <x:c r="H9" s="25" t="n">
        <x:v>20</x:v>
      </x:c>
      <x:c r="I9" s="28" t="n">
        <x:v>0.6666666666666666</x:v>
      </x:c>
      <x:c r="J9" s="20" t="str">
        <x:v>30</x:v>
      </x:c>
    </x:row>
    <x:row r="10" ht="24" customHeight="1">
      <x:c r="A10" s="21" t="str">
        <x:v>2022</x:v>
      </x:c>
      <x:c r="B10" s="26" t="n">
        <x:v>2</x:v>
      </x:c>
      <x:c r="C10" s="29" t="n">
        <x:v>0.06666666666666667</x:v>
      </x:c>
      <x:c r="D10" s="26" t="n">
        <x:v>1</x:v>
      </x:c>
      <x:c r="E10" s="29" t="n">
        <x:v>0.03333333333333333</x:v>
      </x:c>
      <x:c r="F10" s="26" t="n">
        <x:v>20</x:v>
      </x:c>
      <x:c r="G10" s="29" t="n">
        <x:v>0.6666666666666666</x:v>
      </x:c>
      <x:c r="H10" s="26" t="n">
        <x:v>7</x:v>
      </x:c>
      <x:c r="I10" s="29" t="n">
        <x:v>0.23333333333333334</x:v>
      </x:c>
      <x:c r="J10" s="23" t="str">
        <x:v>30</x:v>
      </x:c>
    </x:row>
  </x:sheetData>
  <x:mergeCells>
    <x:mergeCell ref="A1:J1"/>
    <x:mergeCell ref="A2:J2"/>
  </x:mergeCells>
  <x:pageMargins left="0.7" right="0.7" top="0.75" bottom="0.75" header="0.3" footer="0.3"/>
  <x:tableParts count="1">
    <x:tablePart xmlns:r="http://schemas.openxmlformats.org/officeDocument/2006/relationships" r:id="Re3e568b6370c43b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s>
  <x:sheetData>
    <x:row r="1" ht="38" customHeight="1">
      <x:c r="A1" s="3" t="str">
        <x:v>Anchor × Voice</x:v>
      </x:c>
      <x:c r="B1" s="3" t="str">
        <x:v>Anchor × Voice</x:v>
      </x:c>
      <x:c r="C1" s="3" t="str">
        <x:v>Anchor × Voice</x:v>
      </x:c>
      <x:c r="D1" s="3" t="str">
        <x:v>Anchor × Voice</x:v>
      </x:c>
      <x:c r="E1" s="3" t="str">
        <x:v>Anchor × Voice</x:v>
      </x:c>
      <x:c r="F1" s="3" t="str">
        <x:v>Anchor × Voice</x:v>
      </x:c>
      <x:c r="G1" s="3" t="str">
        <x:v>Anchor × Voice</x:v>
      </x:c>
      <x:c r="H1" s="3" t="str">
        <x:v>Anchor × Voice</x:v>
      </x:c>
      <x:c r="I1" s="3" t="str">
        <x:v>Anchor × Voice</x:v>
      </x:c>
      <x:c r="J1" s="3" t="str">
        <x:v>Anchor × Voice</x:v>
      </x:c>
      <x:c r="K1" s="3" t="str">
        <x:v>Anchor × Voice</x:v>
      </x:c>
      <x:c r="L1" s="3" t="str">
        <x:v>Anchor × Voice</x:v>
      </x:c>
    </x:row>
    <x:row r="2" ht="32" customHeight="1">
      <x:c r="A2" s="7" t="str">
        <x:v>Voice composition exposes source/speaker structure that may explain apparent lexical change.</x:v>
      </x:c>
      <x:c r="B2" s="7" t="str">
        <x:v>Voice composition exposes source/speaker structure that may explain apparent lexical change.</x:v>
      </x:c>
      <x:c r="C2" s="7" t="str">
        <x:v>Voice composition exposes source/speaker structure that may explain apparent lexical change.</x:v>
      </x:c>
      <x:c r="D2" s="7" t="str">
        <x:v>Voice composition exposes source/speaker structure that may explain apparent lexical change.</x:v>
      </x:c>
      <x:c r="E2" s="7" t="str">
        <x:v>Voice composition exposes source/speaker structure that may explain apparent lexical change.</x:v>
      </x:c>
      <x:c r="F2" s="7" t="str">
        <x:v>Voice composition exposes source/speaker structure that may explain apparent lexical change.</x:v>
      </x:c>
      <x:c r="G2" s="7" t="str">
        <x:v>Voice composition exposes source/speaker structure that may explain apparent lexical change.</x:v>
      </x:c>
      <x:c r="H2" s="7" t="str">
        <x:v>Voice composition exposes source/speaker structure that may explain apparent lexical change.</x:v>
      </x:c>
      <x:c r="I2" s="7" t="str">
        <x:v>Voice composition exposes source/speaker structure that may explain apparent lexical change.</x:v>
      </x:c>
      <x:c r="J2" s="7" t="str">
        <x:v>Voice composition exposes source/speaker structure that may explain apparent lexical change.</x:v>
      </x:c>
      <x:c r="K2" s="7" t="str">
        <x:v>Voice composition exposes source/speaker structure that may explain apparent lexical change.</x:v>
      </x:c>
      <x:c r="L2" s="7" t="str">
        <x:v>Voice composition exposes source/speaker structure that may explain apparent lexical change.</x:v>
      </x:c>
    </x:row>
    <x:row r="4" ht="42" customHeight="1">
      <x:c r="A4" s="14" t="str">
        <x:v>anchor</x:v>
      </x:c>
      <x:c r="B4" s="14" t="str">
        <x:v>V1_count</x:v>
      </x:c>
      <x:c r="C4" s="14" t="str">
        <x:v>V1_percentage</x:v>
      </x:c>
      <x:c r="D4" s="14" t="str">
        <x:v>V2_count</x:v>
      </x:c>
      <x:c r="E4" s="14" t="str">
        <x:v>V2_percentage</x:v>
      </x:c>
      <x:c r="F4" s="14" t="str">
        <x:v>V3_count</x:v>
      </x:c>
      <x:c r="G4" s="14" t="str">
        <x:v>V3_percentage</x:v>
      </x:c>
      <x:c r="H4" s="14" t="str">
        <x:v>V4_count</x:v>
      </x:c>
      <x:c r="I4" s="14" t="str">
        <x:v>V4_percentage</x:v>
      </x:c>
      <x:c r="J4" s="14" t="str">
        <x:v>V5_count</x:v>
      </x:c>
      <x:c r="K4" s="14" t="str">
        <x:v>V5_percentage</x:v>
      </x:c>
      <x:c r="L4" s="14" t="str">
        <x:v>total</x:v>
      </x:c>
    </x:row>
    <x:row r="5" ht="24" customHeight="1">
      <x:c r="A5" s="15" t="str">
        <x:v>1842</x:v>
      </x:c>
      <x:c r="B5" s="24" t="n">
        <x:v>18</x:v>
      </x:c>
      <x:c r="C5" s="27" t="n">
        <x:v>0.6</x:v>
      </x:c>
      <x:c r="D5" s="24" t="n">
        <x:v>2</x:v>
      </x:c>
      <x:c r="E5" s="27" t="n">
        <x:v>0.06666666666666667</x:v>
      </x:c>
      <x:c r="F5" s="24" t="n">
        <x:v>1</x:v>
      </x:c>
      <x:c r="G5" s="27" t="n">
        <x:v>0.03333333333333333</x:v>
      </x:c>
      <x:c r="H5" s="24" t="n">
        <x:v>0</x:v>
      </x:c>
      <x:c r="I5" s="27" t="n">
        <x:v>0</x:v>
      </x:c>
      <x:c r="J5" s="24" t="n">
        <x:v>9</x:v>
      </x:c>
      <x:c r="K5" s="27" t="n">
        <x:v>0.3</x:v>
      </x:c>
      <x:c r="L5" s="17" t="str">
        <x:v>30</x:v>
      </x:c>
    </x:row>
    <x:row r="6" ht="24" customHeight="1">
      <x:c r="A6" s="18" t="str">
        <x:v>1938</x:v>
      </x:c>
      <x:c r="B6" s="25" t="n">
        <x:v>18</x:v>
      </x:c>
      <x:c r="C6" s="28" t="n">
        <x:v>0.6</x:v>
      </x:c>
      <x:c r="D6" s="25" t="n">
        <x:v>0</x:v>
      </x:c>
      <x:c r="E6" s="28" t="n">
        <x:v>0</x:v>
      </x:c>
      <x:c r="F6" s="25" t="n">
        <x:v>12</x:v>
      </x:c>
      <x:c r="G6" s="28" t="n">
        <x:v>0.4</x:v>
      </x:c>
      <x:c r="H6" s="25" t="n">
        <x:v>0</x:v>
      </x:c>
      <x:c r="I6" s="28" t="n">
        <x:v>0</x:v>
      </x:c>
      <x:c r="J6" s="25" t="n">
        <x:v>0</x:v>
      </x:c>
      <x:c r="K6" s="28" t="n">
        <x:v>0</x:v>
      </x:c>
      <x:c r="L6" s="20" t="str">
        <x:v>30</x:v>
      </x:c>
    </x:row>
    <x:row r="7" ht="24" customHeight="1">
      <x:c r="A7" s="18" t="str">
        <x:v>1988</x:v>
      </x:c>
      <x:c r="B7" s="25" t="n">
        <x:v>14</x:v>
      </x:c>
      <x:c r="C7" s="28" t="n">
        <x:v>0.4666666666666667</x:v>
      </x:c>
      <x:c r="D7" s="25" t="n">
        <x:v>13</x:v>
      </x:c>
      <x:c r="E7" s="28" t="n">
        <x:v>0.43333333333333335</x:v>
      </x:c>
      <x:c r="F7" s="25" t="n">
        <x:v>3</x:v>
      </x:c>
      <x:c r="G7" s="28" t="n">
        <x:v>0.1</x:v>
      </x:c>
      <x:c r="H7" s="25" t="n">
        <x:v>0</x:v>
      </x:c>
      <x:c r="I7" s="28" t="n">
        <x:v>0</x:v>
      </x:c>
      <x:c r="J7" s="25" t="n">
        <x:v>0</x:v>
      </x:c>
      <x:c r="K7" s="28" t="n">
        <x:v>0</x:v>
      </x:c>
      <x:c r="L7" s="20" t="str">
        <x:v>30</x:v>
      </x:c>
    </x:row>
    <x:row r="8" ht="24" customHeight="1">
      <x:c r="A8" s="18" t="str">
        <x:v>2006–2007</x:v>
      </x:c>
      <x:c r="B8" s="25" t="n">
        <x:v>9</x:v>
      </x:c>
      <x:c r="C8" s="28" t="n">
        <x:v>0.3</x:v>
      </x:c>
      <x:c r="D8" s="25" t="n">
        <x:v>10</x:v>
      </x:c>
      <x:c r="E8" s="28" t="n">
        <x:v>0.3333333333333333</x:v>
      </x:c>
      <x:c r="F8" s="25" t="n">
        <x:v>2</x:v>
      </x:c>
      <x:c r="G8" s="28" t="n">
        <x:v>0.06666666666666667</x:v>
      </x:c>
      <x:c r="H8" s="25" t="n">
        <x:v>2</x:v>
      </x:c>
      <x:c r="I8" s="28" t="n">
        <x:v>0.06666666666666667</x:v>
      </x:c>
      <x:c r="J8" s="25" t="n">
        <x:v>7</x:v>
      </x:c>
      <x:c r="K8" s="28" t="n">
        <x:v>0.23333333333333334</x:v>
      </x:c>
      <x:c r="L8" s="20" t="str">
        <x:v>30</x:v>
      </x:c>
    </x:row>
    <x:row r="9" ht="24" customHeight="1">
      <x:c r="A9" s="18" t="str">
        <x:v>2015</x:v>
      </x:c>
      <x:c r="B9" s="25" t="n">
        <x:v>0</x:v>
      </x:c>
      <x:c r="C9" s="28" t="n">
        <x:v>0</x:v>
      </x:c>
      <x:c r="D9" s="25" t="n">
        <x:v>24</x:v>
      </x:c>
      <x:c r="E9" s="28" t="n">
        <x:v>0.8</x:v>
      </x:c>
      <x:c r="F9" s="25" t="n">
        <x:v>0</x:v>
      </x:c>
      <x:c r="G9" s="28" t="n">
        <x:v>0</x:v>
      </x:c>
      <x:c r="H9" s="25" t="n">
        <x:v>1</x:v>
      </x:c>
      <x:c r="I9" s="28" t="n">
        <x:v>0.03333333333333333</x:v>
      </x:c>
      <x:c r="J9" s="25" t="n">
        <x:v>5</x:v>
      </x:c>
      <x:c r="K9" s="28" t="n">
        <x:v>0.16666666666666666</x:v>
      </x:c>
      <x:c r="L9" s="20" t="str">
        <x:v>30</x:v>
      </x:c>
    </x:row>
    <x:row r="10" ht="24" customHeight="1">
      <x:c r="A10" s="21" t="str">
        <x:v>2022</x:v>
      </x:c>
      <x:c r="B10" s="26" t="n">
        <x:v>12</x:v>
      </x:c>
      <x:c r="C10" s="29" t="n">
        <x:v>0.4</x:v>
      </x:c>
      <x:c r="D10" s="26" t="n">
        <x:v>0</x:v>
      </x:c>
      <x:c r="E10" s="29" t="n">
        <x:v>0</x:v>
      </x:c>
      <x:c r="F10" s="26" t="n">
        <x:v>0</x:v>
      </x:c>
      <x:c r="G10" s="29" t="n">
        <x:v>0</x:v>
      </x:c>
      <x:c r="H10" s="26" t="n">
        <x:v>1</x:v>
      </x:c>
      <x:c r="I10" s="29" t="n">
        <x:v>0.03333333333333333</x:v>
      </x:c>
      <x:c r="J10" s="26" t="n">
        <x:v>17</x:v>
      </x:c>
      <x:c r="K10" s="29" t="n">
        <x:v>0.5666666666666667</x:v>
      </x:c>
      <x:c r="L10" s="23" t="str">
        <x:v>30</x:v>
      </x:c>
    </x:row>
  </x:sheetData>
  <x:mergeCells>
    <x:mergeCell ref="A1:L1"/>
    <x:mergeCell ref="A2:L2"/>
  </x:mergeCells>
  <x:pageMargins left="0.7" right="0.7" top="0.75" bottom="0.75" header="0.3" footer="0.3"/>
  <x:tableParts count="1">
    <x:tablePart xmlns:r="http://schemas.openxmlformats.org/officeDocument/2006/relationships" r:id="Rd486c95e6c6f498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16" hidden="0" customWidth="1"/>
    <x:col min="4" max="4" width="16" hidden="0" customWidth="1"/>
  </x:cols>
  <x:sheetData>
    <x:row r="1" ht="38" customHeight="1">
      <x:c r="A1" s="3" t="str">
        <x:v>Anchor × Lexical Family</x:v>
      </x:c>
      <x:c r="B1" s="3" t="str">
        <x:v>Anchor × Lexical Family</x:v>
      </x:c>
      <x:c r="C1" s="3" t="str">
        <x:v>Anchor × Lexical Family</x:v>
      </x:c>
      <x:c r="D1" s="3" t="str">
        <x:v>Anchor × Lexical Family</x:v>
      </x:c>
      <x:c r="E1" s="3" t="str">
        <x:v>Anchor × Lexical Family</x:v>
      </x:c>
      <x:c r="F1" s="3" t="str">
        <x:v>Anchor × Lexical Family</x:v>
      </x:c>
      <x:c r="G1" s="3" t="str">
        <x:v>Anchor × Lexical Family</x:v>
      </x:c>
      <x:c r="H1" s="3" t="str">
        <x:v>Anchor × Lexical Family</x:v>
      </x:c>
    </x:row>
    <x:row r="2" ht="32" customHeight="1">
      <x:c r="A2" s="7" t="str">
        <x:v>Complete 6 × 14 grid; zero candidate cells are retained.</x:v>
      </x:c>
      <x:c r="B2" s="7" t="str">
        <x:v>Complete 6 × 14 grid; zero candidate cells are retained.</x:v>
      </x:c>
      <x:c r="C2" s="7" t="str">
        <x:v>Complete 6 × 14 grid; zero candidate cells are retained.</x:v>
      </x:c>
      <x:c r="D2" s="7" t="str">
        <x:v>Complete 6 × 14 grid; zero candidate cells are retained.</x:v>
      </x:c>
      <x:c r="E2" s="7" t="str">
        <x:v>Complete 6 × 14 grid; zero candidate cells are retained.</x:v>
      </x:c>
      <x:c r="F2" s="7" t="str">
        <x:v>Complete 6 × 14 grid; zero candidate cells are retained.</x:v>
      </x:c>
      <x:c r="G2" s="7" t="str">
        <x:v>Complete 6 × 14 grid; zero candidate cells are retained.</x:v>
      </x:c>
      <x:c r="H2" s="7" t="str">
        <x:v>Complete 6 × 14 grid; zero candidate cells are retained.</x:v>
      </x:c>
    </x:row>
    <x:row r="4" ht="42" customHeight="1">
      <x:c r="A4" s="14" t="str">
        <x:v>anchor</x:v>
      </x:c>
      <x:c r="B4" s="14" t="str">
        <x:v>family</x:v>
      </x:c>
      <x:c r="C4" s="14" t="str">
        <x:v>candidate_count</x:v>
      </x:c>
      <x:c r="D4" s="14" t="str">
        <x:v>percentage_within_anchor</x:v>
      </x:c>
    </x:row>
    <x:row r="5" ht="24" customHeight="1">
      <x:c r="A5" s="15" t="str">
        <x:v>1842</x:v>
      </x:c>
      <x:c r="B5" s="30" t="str">
        <x:v>temperature_threshold</x:v>
      </x:c>
      <x:c r="C5" s="24" t="n">
        <x:v>12</x:v>
      </x:c>
      <x:c r="D5" s="33" t="n">
        <x:v>0.4</x:v>
      </x:c>
    </x:row>
    <x:row r="6" ht="24" customHeight="1">
      <x:c r="A6" s="18" t="str">
        <x:v>1842</x:v>
      </x:c>
      <x:c r="B6" s="31" t="str">
        <x:v>heat</x:v>
      </x:c>
      <x:c r="C6" s="25" t="n">
        <x:v>8</x:v>
      </x:c>
      <x:c r="D6" s="34" t="n">
        <x:v>0.26666666666666666</x:v>
      </x:c>
    </x:row>
    <x:row r="7" ht="24" customHeight="1">
      <x:c r="A7" s="18" t="str">
        <x:v>1842</x:v>
      </x:c>
      <x:c r="B7" s="31" t="str">
        <x:v>warming</x:v>
      </x:c>
      <x:c r="C7" s="25" t="n">
        <x:v>0</x:v>
      </x:c>
      <x:c r="D7" s="34" t="n">
        <x:v>0</x:v>
      </x:c>
    </x:row>
    <x:row r="8" ht="24" customHeight="1">
      <x:c r="A8" s="18" t="str">
        <x:v>1842</x:v>
      </x:c>
      <x:c r="B8" s="31" t="str">
        <x:v>climate</x:v>
      </x:c>
      <x:c r="C8" s="25" t="n">
        <x:v>4</x:v>
      </x:c>
      <x:c r="D8" s="34" t="n">
        <x:v>0.13333333333333333</x:v>
      </x:c>
    </x:row>
    <x:row r="9" ht="24" customHeight="1">
      <x:c r="A9" s="18" t="str">
        <x:v>1842</x:v>
      </x:c>
      <x:c r="B9" s="31" t="str">
        <x:v>carbon_greenhouse</x:v>
      </x:c>
      <x:c r="C9" s="25" t="n">
        <x:v>0</x:v>
      </x:c>
      <x:c r="D9" s="34" t="n">
        <x:v>0</x:v>
      </x:c>
    </x:row>
    <x:row r="10" ht="24" customHeight="1">
      <x:c r="A10" s="18" t="str">
        <x:v>1842</x:v>
      </x:c>
      <x:c r="B10" s="31" t="str">
        <x:v>concern_alarm</x:v>
      </x:c>
      <x:c r="C10" s="25" t="n">
        <x:v>1</x:v>
      </x:c>
      <x:c r="D10" s="34" t="n">
        <x:v>0.03333333333333333</x:v>
      </x:c>
    </x:row>
    <x:row r="11" ht="24" customHeight="1">
      <x:c r="A11" s="18" t="str">
        <x:v>1842</x:v>
      </x:c>
      <x:c r="B11" s="31" t="str">
        <x:v>worry</x:v>
      </x:c>
      <x:c r="C11" s="25" t="n">
        <x:v>0</x:v>
      </x:c>
      <x:c r="D11" s="34" t="n">
        <x:v>0</x:v>
      </x:c>
    </x:row>
    <x:row r="12" ht="24" customHeight="1">
      <x:c r="A12" s="18" t="str">
        <x:v>1842</x:v>
      </x:c>
      <x:c r="B12" s="31" t="str">
        <x:v>fear_afraid</x:v>
      </x:c>
      <x:c r="C12" s="25" t="n">
        <x:v>0</x:v>
      </x:c>
      <x:c r="D12" s="34" t="n">
        <x:v>0</x:v>
      </x:c>
    </x:row>
    <x:row r="13" ht="24" customHeight="1">
      <x:c r="A13" s="18" t="str">
        <x:v>1842</x:v>
      </x:c>
      <x:c r="B13" s="31" t="str">
        <x:v>anxiety</x:v>
      </x:c>
      <x:c r="C13" s="25" t="n">
        <x:v>0</x:v>
      </x:c>
      <x:c r="D13" s="34" t="n">
        <x:v>0</x:v>
      </x:c>
    </x:row>
    <x:row r="14" ht="24" customHeight="1">
      <x:c r="A14" s="18" t="str">
        <x:v>1842</x:v>
      </x:c>
      <x:c r="B14" s="31" t="str">
        <x:v>distress_depression</x:v>
      </x:c>
      <x:c r="C14" s="25" t="n">
        <x:v>1</x:v>
      </x:c>
      <x:c r="D14" s="34" t="n">
        <x:v>0.03333333333333333</x:v>
      </x:c>
    </x:row>
    <x:row r="15" ht="24" customHeight="1">
      <x:c r="A15" s="18" t="str">
        <x:v>1842</x:v>
      </x:c>
      <x:c r="B15" s="31" t="str">
        <x:v>danger_threat</x:v>
      </x:c>
      <x:c r="C15" s="25" t="n">
        <x:v>0</x:v>
      </x:c>
      <x:c r="D15" s="34" t="n">
        <x:v>0</x:v>
      </x:c>
    </x:row>
    <x:row r="16" ht="24" customHeight="1">
      <x:c r="A16" s="18" t="str">
        <x:v>1842</x:v>
      </x:c>
      <x:c r="B16" s="31" t="str">
        <x:v>risk</x:v>
      </x:c>
      <x:c r="C16" s="25" t="n">
        <x:v>0</x:v>
      </x:c>
      <x:c r="D16" s="34" t="n">
        <x:v>0</x:v>
      </x:c>
    </x:row>
    <x:row r="17" ht="24" customHeight="1">
      <x:c r="A17" s="18" t="str">
        <x:v>1842</x:v>
      </x:c>
      <x:c r="B17" s="31" t="str">
        <x:v>crisis_emergency</x:v>
      </x:c>
      <x:c r="C17" s="25" t="n">
        <x:v>0</x:v>
      </x:c>
      <x:c r="D17" s="34" t="n">
        <x:v>0</x:v>
      </x:c>
    </x:row>
    <x:row r="18" ht="24" customHeight="1">
      <x:c r="A18" s="18" t="str">
        <x:v>1842</x:v>
      </x:c>
      <x:c r="B18" s="31" t="str">
        <x:v>harm_loss_consequences</x:v>
      </x:c>
      <x:c r="C18" s="25" t="n">
        <x:v>4</x:v>
      </x:c>
      <x:c r="D18" s="34" t="n">
        <x:v>0.13333333333333333</x:v>
      </x:c>
    </x:row>
    <x:row r="19" ht="24" customHeight="1">
      <x:c r="A19" s="18" t="str">
        <x:v>1938</x:v>
      </x:c>
      <x:c r="B19" s="31" t="str">
        <x:v>temperature_threshold</x:v>
      </x:c>
      <x:c r="C19" s="25" t="n">
        <x:v>7</x:v>
      </x:c>
      <x:c r="D19" s="34" t="n">
        <x:v>0.23333333333333334</x:v>
      </x:c>
    </x:row>
    <x:row r="20" ht="24" customHeight="1">
      <x:c r="A20" s="18" t="str">
        <x:v>1938</x:v>
      </x:c>
      <x:c r="B20" s="31" t="str">
        <x:v>heat</x:v>
      </x:c>
      <x:c r="C20" s="25" t="n">
        <x:v>8</x:v>
      </x:c>
      <x:c r="D20" s="34" t="n">
        <x:v>0.26666666666666666</x:v>
      </x:c>
    </x:row>
    <x:row r="21" ht="24" customHeight="1">
      <x:c r="A21" s="18" t="str">
        <x:v>1938</x:v>
      </x:c>
      <x:c r="B21" s="31" t="str">
        <x:v>warming</x:v>
      </x:c>
      <x:c r="C21" s="25" t="n">
        <x:v>1</x:v>
      </x:c>
      <x:c r="D21" s="34" t="n">
        <x:v>0.03333333333333333</x:v>
      </x:c>
    </x:row>
    <x:row r="22" ht="24" customHeight="1">
      <x:c r="A22" s="18" t="str">
        <x:v>1938</x:v>
      </x:c>
      <x:c r="B22" s="31" t="str">
        <x:v>climate</x:v>
      </x:c>
      <x:c r="C22" s="25" t="n">
        <x:v>6</x:v>
      </x:c>
      <x:c r="D22" s="34" t="n">
        <x:v>0.2</x:v>
      </x:c>
    </x:row>
    <x:row r="23" ht="24" customHeight="1">
      <x:c r="A23" s="18" t="str">
        <x:v>1938</x:v>
      </x:c>
      <x:c r="B23" s="31" t="str">
        <x:v>carbon_greenhouse</x:v>
      </x:c>
      <x:c r="C23" s="25" t="n">
        <x:v>3</x:v>
      </x:c>
      <x:c r="D23" s="34" t="n">
        <x:v>0.1</x:v>
      </x:c>
    </x:row>
    <x:row r="24" ht="24" customHeight="1">
      <x:c r="A24" s="18" t="str">
        <x:v>1938</x:v>
      </x:c>
      <x:c r="B24" s="31" t="str">
        <x:v>concern_alarm</x:v>
      </x:c>
      <x:c r="C24" s="25" t="n">
        <x:v>2</x:v>
      </x:c>
      <x:c r="D24" s="34" t="n">
        <x:v>0.06666666666666667</x:v>
      </x:c>
    </x:row>
    <x:row r="25" ht="24" customHeight="1">
      <x:c r="A25" s="18" t="str">
        <x:v>1938</x:v>
      </x:c>
      <x:c r="B25" s="31" t="str">
        <x:v>worry</x:v>
      </x:c>
      <x:c r="C25" s="25" t="n">
        <x:v>0</x:v>
      </x:c>
      <x:c r="D25" s="34" t="n">
        <x:v>0</x:v>
      </x:c>
    </x:row>
    <x:row r="26" ht="24" customHeight="1">
      <x:c r="A26" s="18" t="str">
        <x:v>1938</x:v>
      </x:c>
      <x:c r="B26" s="31" t="str">
        <x:v>fear_afraid</x:v>
      </x:c>
      <x:c r="C26" s="25" t="n">
        <x:v>0</x:v>
      </x:c>
      <x:c r="D26" s="34" t="n">
        <x:v>0</x:v>
      </x:c>
    </x:row>
    <x:row r="27" ht="24" customHeight="1">
      <x:c r="A27" s="18" t="str">
        <x:v>1938</x:v>
      </x:c>
      <x:c r="B27" s="31" t="str">
        <x:v>anxiety</x:v>
      </x:c>
      <x:c r="C27" s="25" t="n">
        <x:v>0</x:v>
      </x:c>
      <x:c r="D27" s="34" t="n">
        <x:v>0</x:v>
      </x:c>
    </x:row>
    <x:row r="28" ht="24" customHeight="1">
      <x:c r="A28" s="18" t="str">
        <x:v>1938</x:v>
      </x:c>
      <x:c r="B28" s="31" t="str">
        <x:v>distress_depression</x:v>
      </x:c>
      <x:c r="C28" s="25" t="n">
        <x:v>0</x:v>
      </x:c>
      <x:c r="D28" s="34" t="n">
        <x:v>0</x:v>
      </x:c>
    </x:row>
    <x:row r="29" ht="24" customHeight="1">
      <x:c r="A29" s="18" t="str">
        <x:v>1938</x:v>
      </x:c>
      <x:c r="B29" s="31" t="str">
        <x:v>danger_threat</x:v>
      </x:c>
      <x:c r="C29" s="25" t="n">
        <x:v>1</x:v>
      </x:c>
      <x:c r="D29" s="34" t="n">
        <x:v>0.03333333333333333</x:v>
      </x:c>
    </x:row>
    <x:row r="30" ht="24" customHeight="1">
      <x:c r="A30" s="18" t="str">
        <x:v>1938</x:v>
      </x:c>
      <x:c r="B30" s="31" t="str">
        <x:v>risk</x:v>
      </x:c>
      <x:c r="C30" s="25" t="n">
        <x:v>0</x:v>
      </x:c>
      <x:c r="D30" s="34" t="n">
        <x:v>0</x:v>
      </x:c>
    </x:row>
    <x:row r="31" ht="24" customHeight="1">
      <x:c r="A31" s="18" t="str">
        <x:v>1938</x:v>
      </x:c>
      <x:c r="B31" s="31" t="str">
        <x:v>crisis_emergency</x:v>
      </x:c>
      <x:c r="C31" s="25" t="n">
        <x:v>0</x:v>
      </x:c>
      <x:c r="D31" s="34" t="n">
        <x:v>0</x:v>
      </x:c>
    </x:row>
    <x:row r="32" ht="24" customHeight="1">
      <x:c r="A32" s="18" t="str">
        <x:v>1938</x:v>
      </x:c>
      <x:c r="B32" s="31" t="str">
        <x:v>harm_loss_consequences</x:v>
      </x:c>
      <x:c r="C32" s="25" t="n">
        <x:v>2</x:v>
      </x:c>
      <x:c r="D32" s="34" t="n">
        <x:v>0.06666666666666667</x:v>
      </x:c>
    </x:row>
    <x:row r="33" ht="24" customHeight="1">
      <x:c r="A33" s="18" t="str">
        <x:v>1988</x:v>
      </x:c>
      <x:c r="B33" s="31" t="str">
        <x:v>temperature_threshold</x:v>
      </x:c>
      <x:c r="C33" s="25" t="n">
        <x:v>2</x:v>
      </x:c>
      <x:c r="D33" s="34" t="n">
        <x:v>0.06666666666666667</x:v>
      </x:c>
    </x:row>
    <x:row r="34" ht="24" customHeight="1">
      <x:c r="A34" s="18" t="str">
        <x:v>1988</x:v>
      </x:c>
      <x:c r="B34" s="31" t="str">
        <x:v>heat</x:v>
      </x:c>
      <x:c r="C34" s="25" t="n">
        <x:v>3</x:v>
      </x:c>
      <x:c r="D34" s="34" t="n">
        <x:v>0.1</x:v>
      </x:c>
    </x:row>
    <x:row r="35" ht="24" customHeight="1">
      <x:c r="A35" s="18" t="str">
        <x:v>1988</x:v>
      </x:c>
      <x:c r="B35" s="31" t="str">
        <x:v>warming</x:v>
      </x:c>
      <x:c r="C35" s="25" t="n">
        <x:v>4</x:v>
      </x:c>
      <x:c r="D35" s="34" t="n">
        <x:v>0.13333333333333333</x:v>
      </x:c>
    </x:row>
    <x:row r="36" ht="24" customHeight="1">
      <x:c r="A36" s="18" t="str">
        <x:v>1988</x:v>
      </x:c>
      <x:c r="B36" s="31" t="str">
        <x:v>climate</x:v>
      </x:c>
      <x:c r="C36" s="25" t="n">
        <x:v>4</x:v>
      </x:c>
      <x:c r="D36" s="34" t="n">
        <x:v>0.13333333333333333</x:v>
      </x:c>
    </x:row>
    <x:row r="37" ht="24" customHeight="1">
      <x:c r="A37" s="18" t="str">
        <x:v>1988</x:v>
      </x:c>
      <x:c r="B37" s="31" t="str">
        <x:v>carbon_greenhouse</x:v>
      </x:c>
      <x:c r="C37" s="25" t="n">
        <x:v>3</x:v>
      </x:c>
      <x:c r="D37" s="34" t="n">
        <x:v>0.1</x:v>
      </x:c>
    </x:row>
    <x:row r="38" ht="24" customHeight="1">
      <x:c r="A38" s="18" t="str">
        <x:v>1988</x:v>
      </x:c>
      <x:c r="B38" s="31" t="str">
        <x:v>concern_alarm</x:v>
      </x:c>
      <x:c r="C38" s="25" t="n">
        <x:v>1</x:v>
      </x:c>
      <x:c r="D38" s="34" t="n">
        <x:v>0.03333333333333333</x:v>
      </x:c>
    </x:row>
    <x:row r="39" ht="24" customHeight="1">
      <x:c r="A39" s="18" t="str">
        <x:v>1988</x:v>
      </x:c>
      <x:c r="B39" s="31" t="str">
        <x:v>worry</x:v>
      </x:c>
      <x:c r="C39" s="25" t="n">
        <x:v>0</x:v>
      </x:c>
      <x:c r="D39" s="34" t="n">
        <x:v>0</x:v>
      </x:c>
    </x:row>
    <x:row r="40" ht="24" customHeight="1">
      <x:c r="A40" s="18" t="str">
        <x:v>1988</x:v>
      </x:c>
      <x:c r="B40" s="31" t="str">
        <x:v>fear_afraid</x:v>
      </x:c>
      <x:c r="C40" s="25" t="n">
        <x:v>0</x:v>
      </x:c>
      <x:c r="D40" s="34" t="n">
        <x:v>0</x:v>
      </x:c>
    </x:row>
    <x:row r="41" ht="24" customHeight="1">
      <x:c r="A41" s="18" t="str">
        <x:v>1988</x:v>
      </x:c>
      <x:c r="B41" s="31" t="str">
        <x:v>anxiety</x:v>
      </x:c>
      <x:c r="C41" s="25" t="n">
        <x:v>0</x:v>
      </x:c>
      <x:c r="D41" s="34" t="n">
        <x:v>0</x:v>
      </x:c>
    </x:row>
    <x:row r="42" ht="24" customHeight="1">
      <x:c r="A42" s="18" t="str">
        <x:v>1988</x:v>
      </x:c>
      <x:c r="B42" s="31" t="str">
        <x:v>distress_depression</x:v>
      </x:c>
      <x:c r="C42" s="25" t="n">
        <x:v>0</x:v>
      </x:c>
      <x:c r="D42" s="34" t="n">
        <x:v>0</x:v>
      </x:c>
    </x:row>
    <x:row r="43" ht="24" customHeight="1">
      <x:c r="A43" s="18" t="str">
        <x:v>1988</x:v>
      </x:c>
      <x:c r="B43" s="31" t="str">
        <x:v>danger_threat</x:v>
      </x:c>
      <x:c r="C43" s="25" t="n">
        <x:v>3</x:v>
      </x:c>
      <x:c r="D43" s="34" t="n">
        <x:v>0.1</x:v>
      </x:c>
    </x:row>
    <x:row r="44" ht="24" customHeight="1">
      <x:c r="A44" s="18" t="str">
        <x:v>1988</x:v>
      </x:c>
      <x:c r="B44" s="31" t="str">
        <x:v>risk</x:v>
      </x:c>
      <x:c r="C44" s="25" t="n">
        <x:v>1</x:v>
      </x:c>
      <x:c r="D44" s="34" t="n">
        <x:v>0.03333333333333333</x:v>
      </x:c>
    </x:row>
    <x:row r="45" ht="24" customHeight="1">
      <x:c r="A45" s="18" t="str">
        <x:v>1988</x:v>
      </x:c>
      <x:c r="B45" s="31" t="str">
        <x:v>crisis_emergency</x:v>
      </x:c>
      <x:c r="C45" s="25" t="n">
        <x:v>1</x:v>
      </x:c>
      <x:c r="D45" s="34" t="n">
        <x:v>0.03333333333333333</x:v>
      </x:c>
    </x:row>
    <x:row r="46" ht="24" customHeight="1">
      <x:c r="A46" s="18" t="str">
        <x:v>1988</x:v>
      </x:c>
      <x:c r="B46" s="31" t="str">
        <x:v>harm_loss_consequences</x:v>
      </x:c>
      <x:c r="C46" s="25" t="n">
        <x:v>8</x:v>
      </x:c>
      <x:c r="D46" s="34" t="n">
        <x:v>0.26666666666666666</x:v>
      </x:c>
    </x:row>
    <x:row r="47" ht="24" customHeight="1">
      <x:c r="A47" s="18" t="str">
        <x:v>2006–2007</x:v>
      </x:c>
      <x:c r="B47" s="31" t="str">
        <x:v>temperature_threshold</x:v>
      </x:c>
      <x:c r="C47" s="25" t="n">
        <x:v>2</x:v>
      </x:c>
      <x:c r="D47" s="34" t="n">
        <x:v>0.06666666666666667</x:v>
      </x:c>
    </x:row>
    <x:row r="48" ht="24" customHeight="1">
      <x:c r="A48" s="18" t="str">
        <x:v>2006–2007</x:v>
      </x:c>
      <x:c r="B48" s="31" t="str">
        <x:v>heat</x:v>
      </x:c>
      <x:c r="C48" s="25" t="n">
        <x:v>0</x:v>
      </x:c>
      <x:c r="D48" s="34" t="n">
        <x:v>0</x:v>
      </x:c>
    </x:row>
    <x:row r="49" ht="24" customHeight="1">
      <x:c r="A49" s="18" t="str">
        <x:v>2006–2007</x:v>
      </x:c>
      <x:c r="B49" s="31" t="str">
        <x:v>warming</x:v>
      </x:c>
      <x:c r="C49" s="25" t="n">
        <x:v>3</x:v>
      </x:c>
      <x:c r="D49" s="34" t="n">
        <x:v>0.1</x:v>
      </x:c>
    </x:row>
    <x:row r="50" ht="24" customHeight="1">
      <x:c r="A50" s="18" t="str">
        <x:v>2006–2007</x:v>
      </x:c>
      <x:c r="B50" s="31" t="str">
        <x:v>climate</x:v>
      </x:c>
      <x:c r="C50" s="25" t="n">
        <x:v>5</x:v>
      </x:c>
      <x:c r="D50" s="34" t="n">
        <x:v>0.16666666666666666</x:v>
      </x:c>
    </x:row>
    <x:row r="51" ht="24" customHeight="1">
      <x:c r="A51" s="18" t="str">
        <x:v>2006–2007</x:v>
      </x:c>
      <x:c r="B51" s="31" t="str">
        <x:v>carbon_greenhouse</x:v>
      </x:c>
      <x:c r="C51" s="25" t="n">
        <x:v>2</x:v>
      </x:c>
      <x:c r="D51" s="34" t="n">
        <x:v>0.06666666666666667</x:v>
      </x:c>
    </x:row>
    <x:row r="52" ht="24" customHeight="1">
      <x:c r="A52" s="18" t="str">
        <x:v>2006–2007</x:v>
      </x:c>
      <x:c r="B52" s="31" t="str">
        <x:v>concern_alarm</x:v>
      </x:c>
      <x:c r="C52" s="25" t="n">
        <x:v>0</x:v>
      </x:c>
      <x:c r="D52" s="34" t="n">
        <x:v>0</x:v>
      </x:c>
    </x:row>
    <x:row r="53" ht="24" customHeight="1">
      <x:c r="A53" s="18" t="str">
        <x:v>2006–2007</x:v>
      </x:c>
      <x:c r="B53" s="31" t="str">
        <x:v>worry</x:v>
      </x:c>
      <x:c r="C53" s="25" t="n">
        <x:v>3</x:v>
      </x:c>
      <x:c r="D53" s="34" t="n">
        <x:v>0.1</x:v>
      </x:c>
    </x:row>
    <x:row r="54" ht="24" customHeight="1">
      <x:c r="A54" s="18" t="str">
        <x:v>2006–2007</x:v>
      </x:c>
      <x:c r="B54" s="31" t="str">
        <x:v>fear_afraid</x:v>
      </x:c>
      <x:c r="C54" s="25" t="n">
        <x:v>0</x:v>
      </x:c>
      <x:c r="D54" s="34" t="n">
        <x:v>0</x:v>
      </x:c>
    </x:row>
    <x:row r="55" ht="24" customHeight="1">
      <x:c r="A55" s="18" t="str">
        <x:v>2006–2007</x:v>
      </x:c>
      <x:c r="B55" s="31" t="str">
        <x:v>anxiety</x:v>
      </x:c>
      <x:c r="C55" s="25" t="n">
        <x:v>0</x:v>
      </x:c>
      <x:c r="D55" s="34" t="n">
        <x:v>0</x:v>
      </x:c>
    </x:row>
    <x:row r="56" ht="24" customHeight="1">
      <x:c r="A56" s="18" t="str">
        <x:v>2006–2007</x:v>
      </x:c>
      <x:c r="B56" s="31" t="str">
        <x:v>distress_depression</x:v>
      </x:c>
      <x:c r="C56" s="25" t="n">
        <x:v>0</x:v>
      </x:c>
      <x:c r="D56" s="34" t="n">
        <x:v>0</x:v>
      </x:c>
    </x:row>
    <x:row r="57" ht="24" customHeight="1">
      <x:c r="A57" s="18" t="str">
        <x:v>2006–2007</x:v>
      </x:c>
      <x:c r="B57" s="31" t="str">
        <x:v>danger_threat</x:v>
      </x:c>
      <x:c r="C57" s="25" t="n">
        <x:v>5</x:v>
      </x:c>
      <x:c r="D57" s="34" t="n">
        <x:v>0.16666666666666666</x:v>
      </x:c>
    </x:row>
    <x:row r="58" ht="24" customHeight="1">
      <x:c r="A58" s="18" t="str">
        <x:v>2006–2007</x:v>
      </x:c>
      <x:c r="B58" s="31" t="str">
        <x:v>risk</x:v>
      </x:c>
      <x:c r="C58" s="25" t="n">
        <x:v>0</x:v>
      </x:c>
      <x:c r="D58" s="34" t="n">
        <x:v>0</x:v>
      </x:c>
    </x:row>
    <x:row r="59" ht="24" customHeight="1">
      <x:c r="A59" s="18" t="str">
        <x:v>2006–2007</x:v>
      </x:c>
      <x:c r="B59" s="31" t="str">
        <x:v>crisis_emergency</x:v>
      </x:c>
      <x:c r="C59" s="25" t="n">
        <x:v>0</x:v>
      </x:c>
      <x:c r="D59" s="34" t="n">
        <x:v>0</x:v>
      </x:c>
    </x:row>
    <x:row r="60" ht="24" customHeight="1">
      <x:c r="A60" s="18" t="str">
        <x:v>2006–2007</x:v>
      </x:c>
      <x:c r="B60" s="31" t="str">
        <x:v>harm_loss_consequences</x:v>
      </x:c>
      <x:c r="C60" s="25" t="n">
        <x:v>10</x:v>
      </x:c>
      <x:c r="D60" s="34" t="n">
        <x:v>0.3333333333333333</x:v>
      </x:c>
    </x:row>
    <x:row r="61" ht="24" customHeight="1">
      <x:c r="A61" s="18" t="str">
        <x:v>2015</x:v>
      </x:c>
      <x:c r="B61" s="31" t="str">
        <x:v>temperature_threshold</x:v>
      </x:c>
      <x:c r="C61" s="25" t="n">
        <x:v>3</x:v>
      </x:c>
      <x:c r="D61" s="34" t="n">
        <x:v>0.1</x:v>
      </x:c>
    </x:row>
    <x:row r="62" ht="24" customHeight="1">
      <x:c r="A62" s="18" t="str">
        <x:v>2015</x:v>
      </x:c>
      <x:c r="B62" s="31" t="str">
        <x:v>heat</x:v>
      </x:c>
      <x:c r="C62" s="25" t="n">
        <x:v>0</x:v>
      </x:c>
      <x:c r="D62" s="34" t="n">
        <x:v>0</x:v>
      </x:c>
    </x:row>
    <x:row r="63" ht="24" customHeight="1">
      <x:c r="A63" s="18" t="str">
        <x:v>2015</x:v>
      </x:c>
      <x:c r="B63" s="31" t="str">
        <x:v>warming</x:v>
      </x:c>
      <x:c r="C63" s="25" t="n">
        <x:v>0</x:v>
      </x:c>
      <x:c r="D63" s="34" t="n">
        <x:v>0</x:v>
      </x:c>
    </x:row>
    <x:row r="64" ht="24" customHeight="1">
      <x:c r="A64" s="18" t="str">
        <x:v>2015</x:v>
      </x:c>
      <x:c r="B64" s="31" t="str">
        <x:v>climate</x:v>
      </x:c>
      <x:c r="C64" s="25" t="n">
        <x:v>4</x:v>
      </x:c>
      <x:c r="D64" s="34" t="n">
        <x:v>0.13333333333333333</x:v>
      </x:c>
    </x:row>
    <x:row r="65" ht="24" customHeight="1">
      <x:c r="A65" s="18" t="str">
        <x:v>2015</x:v>
      </x:c>
      <x:c r="B65" s="31" t="str">
        <x:v>carbon_greenhouse</x:v>
      </x:c>
      <x:c r="C65" s="25" t="n">
        <x:v>1</x:v>
      </x:c>
      <x:c r="D65" s="34" t="n">
        <x:v>0.03333333333333333</x:v>
      </x:c>
    </x:row>
    <x:row r="66" ht="24" customHeight="1">
      <x:c r="A66" s="18" t="str">
        <x:v>2015</x:v>
      </x:c>
      <x:c r="B66" s="31" t="str">
        <x:v>concern_alarm</x:v>
      </x:c>
      <x:c r="C66" s="25" t="n">
        <x:v>2</x:v>
      </x:c>
      <x:c r="D66" s="34" t="n">
        <x:v>0.06666666666666667</x:v>
      </x:c>
    </x:row>
    <x:row r="67" ht="24" customHeight="1">
      <x:c r="A67" s="18" t="str">
        <x:v>2015</x:v>
      </x:c>
      <x:c r="B67" s="31" t="str">
        <x:v>worry</x:v>
      </x:c>
      <x:c r="C67" s="25" t="n">
        <x:v>2</x:v>
      </x:c>
      <x:c r="D67" s="34" t="n">
        <x:v>0.06666666666666667</x:v>
      </x:c>
    </x:row>
    <x:row r="68" ht="24" customHeight="1">
      <x:c r="A68" s="18" t="str">
        <x:v>2015</x:v>
      </x:c>
      <x:c r="B68" s="31" t="str">
        <x:v>fear_afraid</x:v>
      </x:c>
      <x:c r="C68" s="25" t="n">
        <x:v>0</x:v>
      </x:c>
      <x:c r="D68" s="34" t="n">
        <x:v>0</x:v>
      </x:c>
    </x:row>
    <x:row r="69" ht="24" customHeight="1">
      <x:c r="A69" s="18" t="str">
        <x:v>2015</x:v>
      </x:c>
      <x:c r="B69" s="31" t="str">
        <x:v>anxiety</x:v>
      </x:c>
      <x:c r="C69" s="25" t="n">
        <x:v>0</x:v>
      </x:c>
      <x:c r="D69" s="34" t="n">
        <x:v>0</x:v>
      </x:c>
    </x:row>
    <x:row r="70" ht="24" customHeight="1">
      <x:c r="A70" s="18" t="str">
        <x:v>2015</x:v>
      </x:c>
      <x:c r="B70" s="31" t="str">
        <x:v>distress_depression</x:v>
      </x:c>
      <x:c r="C70" s="25" t="n">
        <x:v>0</x:v>
      </x:c>
      <x:c r="D70" s="34" t="n">
        <x:v>0</x:v>
      </x:c>
    </x:row>
    <x:row r="71" ht="24" customHeight="1">
      <x:c r="A71" s="18" t="str">
        <x:v>2015</x:v>
      </x:c>
      <x:c r="B71" s="31" t="str">
        <x:v>danger_threat</x:v>
      </x:c>
      <x:c r="C71" s="25" t="n">
        <x:v>0</x:v>
      </x:c>
      <x:c r="D71" s="34" t="n">
        <x:v>0</x:v>
      </x:c>
    </x:row>
    <x:row r="72" ht="24" customHeight="1">
      <x:c r="A72" s="18" t="str">
        <x:v>2015</x:v>
      </x:c>
      <x:c r="B72" s="31" t="str">
        <x:v>risk</x:v>
      </x:c>
      <x:c r="C72" s="25" t="n">
        <x:v>3</x:v>
      </x:c>
      <x:c r="D72" s="34" t="n">
        <x:v>0.1</x:v>
      </x:c>
    </x:row>
    <x:row r="73" ht="24" customHeight="1">
      <x:c r="A73" s="18" t="str">
        <x:v>2015</x:v>
      </x:c>
      <x:c r="B73" s="31" t="str">
        <x:v>crisis_emergency</x:v>
      </x:c>
      <x:c r="C73" s="25" t="n">
        <x:v>1</x:v>
      </x:c>
      <x:c r="D73" s="34" t="n">
        <x:v>0.03333333333333333</x:v>
      </x:c>
    </x:row>
    <x:row r="74" ht="24" customHeight="1">
      <x:c r="A74" s="18" t="str">
        <x:v>2015</x:v>
      </x:c>
      <x:c r="B74" s="31" t="str">
        <x:v>harm_loss_consequences</x:v>
      </x:c>
      <x:c r="C74" s="25" t="n">
        <x:v>14</x:v>
      </x:c>
      <x:c r="D74" s="34" t="n">
        <x:v>0.4666666666666667</x:v>
      </x:c>
    </x:row>
    <x:row r="75" ht="24" customHeight="1">
      <x:c r="A75" s="18" t="str">
        <x:v>2022</x:v>
      </x:c>
      <x:c r="B75" s="31" t="str">
        <x:v>temperature_threshold</x:v>
      </x:c>
      <x:c r="C75" s="25" t="n">
        <x:v>0</x:v>
      </x:c>
      <x:c r="D75" s="34" t="n">
        <x:v>0</x:v>
      </x:c>
    </x:row>
    <x:row r="76" ht="24" customHeight="1">
      <x:c r="A76" s="18" t="str">
        <x:v>2022</x:v>
      </x:c>
      <x:c r="B76" s="31" t="str">
        <x:v>heat</x:v>
      </x:c>
      <x:c r="C76" s="25" t="n">
        <x:v>2</x:v>
      </x:c>
      <x:c r="D76" s="34" t="n">
        <x:v>0.06666666666666667</x:v>
      </x:c>
    </x:row>
    <x:row r="77" ht="24" customHeight="1">
      <x:c r="A77" s="18" t="str">
        <x:v>2022</x:v>
      </x:c>
      <x:c r="B77" s="31" t="str">
        <x:v>warming</x:v>
      </x:c>
      <x:c r="C77" s="25" t="n">
        <x:v>1</x:v>
      </x:c>
      <x:c r="D77" s="34" t="n">
        <x:v>0.03333333333333333</x:v>
      </x:c>
    </x:row>
    <x:row r="78" ht="24" customHeight="1">
      <x:c r="A78" s="18" t="str">
        <x:v>2022</x:v>
      </x:c>
      <x:c r="B78" s="31" t="str">
        <x:v>climate</x:v>
      </x:c>
      <x:c r="C78" s="25" t="n">
        <x:v>1</x:v>
      </x:c>
      <x:c r="D78" s="34" t="n">
        <x:v>0.03333333333333333</x:v>
      </x:c>
    </x:row>
    <x:row r="79" ht="24" customHeight="1">
      <x:c r="A79" s="18" t="str">
        <x:v>2022</x:v>
      </x:c>
      <x:c r="B79" s="31" t="str">
        <x:v>carbon_greenhouse</x:v>
      </x:c>
      <x:c r="C79" s="25" t="n">
        <x:v>0</x:v>
      </x:c>
      <x:c r="D79" s="34" t="n">
        <x:v>0</x:v>
      </x:c>
    </x:row>
    <x:row r="80" ht="24" customHeight="1">
      <x:c r="A80" s="18" t="str">
        <x:v>2022</x:v>
      </x:c>
      <x:c r="B80" s="31" t="str">
        <x:v>concern_alarm</x:v>
      </x:c>
      <x:c r="C80" s="25" t="n">
        <x:v>1</x:v>
      </x:c>
      <x:c r="D80" s="34" t="n">
        <x:v>0.03333333333333333</x:v>
      </x:c>
    </x:row>
    <x:row r="81" ht="24" customHeight="1">
      <x:c r="A81" s="18" t="str">
        <x:v>2022</x:v>
      </x:c>
      <x:c r="B81" s="31" t="str">
        <x:v>worry</x:v>
      </x:c>
      <x:c r="C81" s="25" t="n">
        <x:v>2</x:v>
      </x:c>
      <x:c r="D81" s="34" t="n">
        <x:v>0.06666666666666667</x:v>
      </x:c>
    </x:row>
    <x:row r="82" ht="24" customHeight="1">
      <x:c r="A82" s="18" t="str">
        <x:v>2022</x:v>
      </x:c>
      <x:c r="B82" s="31" t="str">
        <x:v>fear_afraid</x:v>
      </x:c>
      <x:c r="C82" s="25" t="n">
        <x:v>1</x:v>
      </x:c>
      <x:c r="D82" s="34" t="n">
        <x:v>0.03333333333333333</x:v>
      </x:c>
    </x:row>
    <x:row r="83" ht="24" customHeight="1">
      <x:c r="A83" s="18" t="str">
        <x:v>2022</x:v>
      </x:c>
      <x:c r="B83" s="31" t="str">
        <x:v>anxiety</x:v>
      </x:c>
      <x:c r="C83" s="25" t="n">
        <x:v>5</x:v>
      </x:c>
      <x:c r="D83" s="34" t="n">
        <x:v>0.16666666666666666</x:v>
      </x:c>
    </x:row>
    <x:row r="84" ht="24" customHeight="1">
      <x:c r="A84" s="18" t="str">
        <x:v>2022</x:v>
      </x:c>
      <x:c r="B84" s="31" t="str">
        <x:v>distress_depression</x:v>
      </x:c>
      <x:c r="C84" s="25" t="n">
        <x:v>11</x:v>
      </x:c>
      <x:c r="D84" s="34" t="n">
        <x:v>0.36666666666666664</x:v>
      </x:c>
    </x:row>
    <x:row r="85" ht="24" customHeight="1">
      <x:c r="A85" s="18" t="str">
        <x:v>2022</x:v>
      </x:c>
      <x:c r="B85" s="31" t="str">
        <x:v>danger_threat</x:v>
      </x:c>
      <x:c r="C85" s="25" t="n">
        <x:v>1</x:v>
      </x:c>
      <x:c r="D85" s="34" t="n">
        <x:v>0.03333333333333333</x:v>
      </x:c>
    </x:row>
    <x:row r="86" ht="24" customHeight="1">
      <x:c r="A86" s="18" t="str">
        <x:v>2022</x:v>
      </x:c>
      <x:c r="B86" s="31" t="str">
        <x:v>risk</x:v>
      </x:c>
      <x:c r="C86" s="25" t="n">
        <x:v>0</x:v>
      </x:c>
      <x:c r="D86" s="34" t="n">
        <x:v>0</x:v>
      </x:c>
    </x:row>
    <x:row r="87" ht="24" customHeight="1">
      <x:c r="A87" s="18" t="str">
        <x:v>2022</x:v>
      </x:c>
      <x:c r="B87" s="31" t="str">
        <x:v>crisis_emergency</x:v>
      </x:c>
      <x:c r="C87" s="25" t="n">
        <x:v>1</x:v>
      </x:c>
      <x:c r="D87" s="34" t="n">
        <x:v>0.03333333333333333</x:v>
      </x:c>
    </x:row>
    <x:row r="88" ht="24" customHeight="1">
      <x:c r="A88" s="21" t="str">
        <x:v>2022</x:v>
      </x:c>
      <x:c r="B88" s="32" t="str">
        <x:v>harm_loss_consequences</x:v>
      </x:c>
      <x:c r="C88" s="26" t="n">
        <x:v>4</x:v>
      </x:c>
      <x:c r="D88" s="35" t="n">
        <x:v>0.13333333333333333</x:v>
      </x:c>
    </x:row>
  </x:sheetData>
  <x:mergeCells>
    <x:mergeCell ref="A1:H1"/>
    <x:mergeCell ref="A2:H2"/>
  </x:mergeCells>
  <x:pageMargins left="0.7" right="0.7" top="0.75" bottom="0.75" header="0.3" footer="0.3"/>
  <x:tableParts count="1">
    <x:tablePart xmlns:r="http://schemas.openxmlformats.org/officeDocument/2006/relationships" r:id="Re833997d3f0b496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16" hidden="0" customWidth="1"/>
  </x:cols>
  <x:sheetData>
    <x:row r="1" ht="38" customHeight="1">
      <x:c r="A1" s="3" t="str">
        <x:v>Voice × Lexical Family</x:v>
      </x:c>
      <x:c r="B1" s="3" t="str">
        <x:v>Voice × Lexical Family</x:v>
      </x:c>
      <x:c r="C1" s="3" t="str">
        <x:v>Voice × Lexical Family</x:v>
      </x:c>
      <x:c r="D1" s="3" t="str">
        <x:v>Voice × Lexical Family</x:v>
      </x:c>
      <x:c r="E1" s="3" t="str">
        <x:v>Voice × Lexical Family</x:v>
      </x:c>
      <x:c r="F1" s="3" t="str">
        <x:v>Voice × Lexical Family</x:v>
      </x:c>
      <x:c r="G1" s="3" t="str">
        <x:v>Voice × Lexical Family</x:v>
      </x:c>
      <x:c r="H1" s="3" t="str">
        <x:v>Voice × Lexical Family</x:v>
      </x:c>
    </x:row>
    <x:row r="2" ht="32" customHeight="1">
      <x:c r="A2" s="7" t="str">
        <x:v>Candidate counts by controlled voice and family. This is reconstruction composition, not prevalence.</x:v>
      </x:c>
      <x:c r="B2" s="7" t="str">
        <x:v>Candidate counts by controlled voice and family. This is reconstruction composition, not prevalence.</x:v>
      </x:c>
      <x:c r="C2" s="7" t="str">
        <x:v>Candidate counts by controlled voice and family. This is reconstruction composition, not prevalence.</x:v>
      </x:c>
      <x:c r="D2" s="7" t="str">
        <x:v>Candidate counts by controlled voice and family. This is reconstruction composition, not prevalence.</x:v>
      </x:c>
      <x:c r="E2" s="7" t="str">
        <x:v>Candidate counts by controlled voice and family. This is reconstruction composition, not prevalence.</x:v>
      </x:c>
      <x:c r="F2" s="7" t="str">
        <x:v>Candidate counts by controlled voice and family. This is reconstruction composition, not prevalence.</x:v>
      </x:c>
      <x:c r="G2" s="7" t="str">
        <x:v>Candidate counts by controlled voice and family. This is reconstruction composition, not prevalence.</x:v>
      </x:c>
      <x:c r="H2" s="7" t="str">
        <x:v>Candidate counts by controlled voice and family. This is reconstruction composition, not prevalence.</x:v>
      </x:c>
    </x:row>
    <x:row r="4" ht="42" customHeight="1">
      <x:c r="A4" s="14" t="str">
        <x:v>voice</x:v>
      </x:c>
      <x:c r="B4" s="14" t="str">
        <x:v>family</x:v>
      </x:c>
      <x:c r="C4" s="14" t="str">
        <x:v>candidate_count</x:v>
      </x:c>
    </x:row>
    <x:row r="5" ht="24" customHeight="1">
      <x:c r="A5" s="15" t="str">
        <x:v>V1</x:v>
      </x:c>
      <x:c r="B5" s="30" t="str">
        <x:v>temperature_threshold</x:v>
      </x:c>
      <x:c r="C5" s="36" t="n">
        <x:v>21</x:v>
      </x:c>
    </x:row>
    <x:row r="6" ht="24" customHeight="1">
      <x:c r="A6" s="18" t="str">
        <x:v>V1</x:v>
      </x:c>
      <x:c r="B6" s="31" t="str">
        <x:v>heat</x:v>
      </x:c>
      <x:c r="C6" s="37" t="n">
        <x:v>8</x:v>
      </x:c>
    </x:row>
    <x:row r="7" ht="24" customHeight="1">
      <x:c r="A7" s="18" t="str">
        <x:v>V1</x:v>
      </x:c>
      <x:c r="B7" s="31" t="str">
        <x:v>warming</x:v>
      </x:c>
      <x:c r="C7" s="37" t="n">
        <x:v>5</x:v>
      </x:c>
    </x:row>
    <x:row r="8" ht="24" customHeight="1">
      <x:c r="A8" s="18" t="str">
        <x:v>V1</x:v>
      </x:c>
      <x:c r="B8" s="31" t="str">
        <x:v>climate</x:v>
      </x:c>
      <x:c r="C8" s="37" t="n">
        <x:v>14</x:v>
      </x:c>
    </x:row>
    <x:row r="9" ht="24" customHeight="1">
      <x:c r="A9" s="18" t="str">
        <x:v>V1</x:v>
      </x:c>
      <x:c r="B9" s="31" t="str">
        <x:v>carbon_greenhouse</x:v>
      </x:c>
      <x:c r="C9" s="37" t="n">
        <x:v>6</x:v>
      </x:c>
    </x:row>
    <x:row r="10" ht="24" customHeight="1">
      <x:c r="A10" s="18" t="str">
        <x:v>V1</x:v>
      </x:c>
      <x:c r="B10" s="31" t="str">
        <x:v>concern_alarm</x:v>
      </x:c>
      <x:c r="C10" s="37" t="n">
        <x:v>1</x:v>
      </x:c>
    </x:row>
    <x:row r="11" ht="24" customHeight="1">
      <x:c r="A11" s="18" t="str">
        <x:v>V1</x:v>
      </x:c>
      <x:c r="B11" s="31" t="str">
        <x:v>worry</x:v>
      </x:c>
      <x:c r="C11" s="37" t="n">
        <x:v>0</x:v>
      </x:c>
    </x:row>
    <x:row r="12" ht="24" customHeight="1">
      <x:c r="A12" s="18" t="str">
        <x:v>V1</x:v>
      </x:c>
      <x:c r="B12" s="31" t="str">
        <x:v>fear_afraid</x:v>
      </x:c>
      <x:c r="C12" s="37" t="n">
        <x:v>0</x:v>
      </x:c>
    </x:row>
    <x:row r="13" ht="24" customHeight="1">
      <x:c r="A13" s="18" t="str">
        <x:v>V1</x:v>
      </x:c>
      <x:c r="B13" s="31" t="str">
        <x:v>anxiety</x:v>
      </x:c>
      <x:c r="C13" s="37" t="n">
        <x:v>3</x:v>
      </x:c>
    </x:row>
    <x:row r="14" ht="24" customHeight="1">
      <x:c r="A14" s="18" t="str">
        <x:v>V1</x:v>
      </x:c>
      <x:c r="B14" s="31" t="str">
        <x:v>distress_depression</x:v>
      </x:c>
      <x:c r="C14" s="37" t="n">
        <x:v>4</x:v>
      </x:c>
    </x:row>
    <x:row r="15" ht="24" customHeight="1">
      <x:c r="A15" s="18" t="str">
        <x:v>V1</x:v>
      </x:c>
      <x:c r="B15" s="31" t="str">
        <x:v>danger_threat</x:v>
      </x:c>
      <x:c r="C15" s="37" t="n">
        <x:v>1</x:v>
      </x:c>
    </x:row>
    <x:row r="16" ht="24" customHeight="1">
      <x:c r="A16" s="18" t="str">
        <x:v>V1</x:v>
      </x:c>
      <x:c r="B16" s="31" t="str">
        <x:v>risk</x:v>
      </x:c>
      <x:c r="C16" s="37" t="n">
        <x:v>0</x:v>
      </x:c>
    </x:row>
    <x:row r="17" ht="24" customHeight="1">
      <x:c r="A17" s="18" t="str">
        <x:v>V1</x:v>
      </x:c>
      <x:c r="B17" s="31" t="str">
        <x:v>crisis_emergency</x:v>
      </x:c>
      <x:c r="C17" s="37" t="n">
        <x:v>0</x:v>
      </x:c>
    </x:row>
    <x:row r="18" ht="24" customHeight="1">
      <x:c r="A18" s="18" t="str">
        <x:v>V1</x:v>
      </x:c>
      <x:c r="B18" s="31" t="str">
        <x:v>harm_loss_consequences</x:v>
      </x:c>
      <x:c r="C18" s="37" t="n">
        <x:v>8</x:v>
      </x:c>
    </x:row>
    <x:row r="19" ht="24" customHeight="1">
      <x:c r="A19" s="18" t="str">
        <x:v>V2</x:v>
      </x:c>
      <x:c r="B19" s="31" t="str">
        <x:v>temperature_threshold</x:v>
      </x:c>
      <x:c r="C19" s="37" t="n">
        <x:v>4</x:v>
      </x:c>
    </x:row>
    <x:row r="20" ht="24" customHeight="1">
      <x:c r="A20" s="18" t="str">
        <x:v>V2</x:v>
      </x:c>
      <x:c r="B20" s="31" t="str">
        <x:v>heat</x:v>
      </x:c>
      <x:c r="C20" s="37" t="n">
        <x:v>0</x:v>
      </x:c>
    </x:row>
    <x:row r="21" ht="24" customHeight="1">
      <x:c r="A21" s="18" t="str">
        <x:v>V2</x:v>
      </x:c>
      <x:c r="B21" s="31" t="str">
        <x:v>warming</x:v>
      </x:c>
      <x:c r="C21" s="37" t="n">
        <x:v>1</x:v>
      </x:c>
    </x:row>
    <x:row r="22" ht="24" customHeight="1">
      <x:c r="A22" s="18" t="str">
        <x:v>V2</x:v>
      </x:c>
      <x:c r="B22" s="31" t="str">
        <x:v>climate</x:v>
      </x:c>
      <x:c r="C22" s="37" t="n">
        <x:v>8</x:v>
      </x:c>
    </x:row>
    <x:row r="23" ht="24" customHeight="1">
      <x:c r="A23" s="18" t="str">
        <x:v>V2</x:v>
      </x:c>
      <x:c r="B23" s="31" t="str">
        <x:v>carbon_greenhouse</x:v>
      </x:c>
      <x:c r="C23" s="37" t="n">
        <x:v>2</x:v>
      </x:c>
    </x:row>
    <x:row r="24" ht="24" customHeight="1">
      <x:c r="A24" s="18" t="str">
        <x:v>V2</x:v>
      </x:c>
      <x:c r="B24" s="31" t="str">
        <x:v>concern_alarm</x:v>
      </x:c>
      <x:c r="C24" s="37" t="n">
        <x:v>1</x:v>
      </x:c>
    </x:row>
    <x:row r="25" ht="24" customHeight="1">
      <x:c r="A25" s="18" t="str">
        <x:v>V2</x:v>
      </x:c>
      <x:c r="B25" s="31" t="str">
        <x:v>worry</x:v>
      </x:c>
      <x:c r="C25" s="37" t="n">
        <x:v>0</x:v>
      </x:c>
    </x:row>
    <x:row r="26" ht="24" customHeight="1">
      <x:c r="A26" s="18" t="str">
        <x:v>V2</x:v>
      </x:c>
      <x:c r="B26" s="31" t="str">
        <x:v>fear_afraid</x:v>
      </x:c>
      <x:c r="C26" s="37" t="n">
        <x:v>0</x:v>
      </x:c>
    </x:row>
    <x:row r="27" ht="24" customHeight="1">
      <x:c r="A27" s="18" t="str">
        <x:v>V2</x:v>
      </x:c>
      <x:c r="B27" s="31" t="str">
        <x:v>anxiety</x:v>
      </x:c>
      <x:c r="C27" s="37" t="n">
        <x:v>0</x:v>
      </x:c>
    </x:row>
    <x:row r="28" ht="24" customHeight="1">
      <x:c r="A28" s="18" t="str">
        <x:v>V2</x:v>
      </x:c>
      <x:c r="B28" s="31" t="str">
        <x:v>distress_depression</x:v>
      </x:c>
      <x:c r="C28" s="37" t="n">
        <x:v>0</x:v>
      </x:c>
    </x:row>
    <x:row r="29" ht="24" customHeight="1">
      <x:c r="A29" s="18" t="str">
        <x:v>V2</x:v>
      </x:c>
      <x:c r="B29" s="31" t="str">
        <x:v>danger_threat</x:v>
      </x:c>
      <x:c r="C29" s="37" t="n">
        <x:v>4</x:v>
      </x:c>
    </x:row>
    <x:row r="30" ht="24" customHeight="1">
      <x:c r="A30" s="18" t="str">
        <x:v>V2</x:v>
      </x:c>
      <x:c r="B30" s="31" t="str">
        <x:v>risk</x:v>
      </x:c>
      <x:c r="C30" s="37" t="n">
        <x:v>4</x:v>
      </x:c>
    </x:row>
    <x:row r="31" ht="24" customHeight="1">
      <x:c r="A31" s="18" t="str">
        <x:v>V2</x:v>
      </x:c>
      <x:c r="B31" s="31" t="str">
        <x:v>crisis_emergency</x:v>
      </x:c>
      <x:c r="C31" s="37" t="n">
        <x:v>2</x:v>
      </x:c>
    </x:row>
    <x:row r="32" ht="24" customHeight="1">
      <x:c r="A32" s="18" t="str">
        <x:v>V2</x:v>
      </x:c>
      <x:c r="B32" s="31" t="str">
        <x:v>harm_loss_consequences</x:v>
      </x:c>
      <x:c r="C32" s="37" t="n">
        <x:v>23</x:v>
      </x:c>
    </x:row>
    <x:row r="33" ht="24" customHeight="1">
      <x:c r="A33" s="18" t="str">
        <x:v>V3</x:v>
      </x:c>
      <x:c r="B33" s="31" t="str">
        <x:v>temperature_threshold</x:v>
      </x:c>
      <x:c r="C33" s="37" t="n">
        <x:v>1</x:v>
      </x:c>
    </x:row>
    <x:row r="34" ht="24" customHeight="1">
      <x:c r="A34" s="18" t="str">
        <x:v>V3</x:v>
      </x:c>
      <x:c r="B34" s="31" t="str">
        <x:v>heat</x:v>
      </x:c>
      <x:c r="C34" s="37" t="n">
        <x:v>8</x:v>
      </x:c>
    </x:row>
    <x:row r="35" ht="24" customHeight="1">
      <x:c r="A35" s="18" t="str">
        <x:v>V3</x:v>
      </x:c>
      <x:c r="B35" s="31" t="str">
        <x:v>warming</x:v>
      </x:c>
      <x:c r="C35" s="37" t="n">
        <x:v>2</x:v>
      </x:c>
    </x:row>
    <x:row r="36" ht="24" customHeight="1">
      <x:c r="A36" s="18" t="str">
        <x:v>V3</x:v>
      </x:c>
      <x:c r="B36" s="31" t="str">
        <x:v>climate</x:v>
      </x:c>
      <x:c r="C36" s="37" t="n">
        <x:v>0</x:v>
      </x:c>
    </x:row>
    <x:row r="37" ht="24" customHeight="1">
      <x:c r="A37" s="18" t="str">
        <x:v>V3</x:v>
      </x:c>
      <x:c r="B37" s="31" t="str">
        <x:v>carbon_greenhouse</x:v>
      </x:c>
      <x:c r="C37" s="37" t="n">
        <x:v>1</x:v>
      </x:c>
    </x:row>
    <x:row r="38" ht="24" customHeight="1">
      <x:c r="A38" s="18" t="str">
        <x:v>V3</x:v>
      </x:c>
      <x:c r="B38" s="31" t="str">
        <x:v>concern_alarm</x:v>
      </x:c>
      <x:c r="C38" s="37" t="n">
        <x:v>3</x:v>
      </x:c>
    </x:row>
    <x:row r="39" ht="24" customHeight="1">
      <x:c r="A39" s="18" t="str">
        <x:v>V3</x:v>
      </x:c>
      <x:c r="B39" s="31" t="str">
        <x:v>worry</x:v>
      </x:c>
      <x:c r="C39" s="37" t="n">
        <x:v>1</x:v>
      </x:c>
    </x:row>
    <x:row r="40" ht="24" customHeight="1">
      <x:c r="A40" s="18" t="str">
        <x:v>V3</x:v>
      </x:c>
      <x:c r="B40" s="31" t="str">
        <x:v>fear_afraid</x:v>
      </x:c>
      <x:c r="C40" s="37" t="n">
        <x:v>0</x:v>
      </x:c>
    </x:row>
    <x:row r="41" ht="24" customHeight="1">
      <x:c r="A41" s="18" t="str">
        <x:v>V3</x:v>
      </x:c>
      <x:c r="B41" s="31" t="str">
        <x:v>anxiety</x:v>
      </x:c>
      <x:c r="C41" s="37" t="n">
        <x:v>0</x:v>
      </x:c>
    </x:row>
    <x:row r="42" ht="24" customHeight="1">
      <x:c r="A42" s="18" t="str">
        <x:v>V3</x:v>
      </x:c>
      <x:c r="B42" s="31" t="str">
        <x:v>distress_depression</x:v>
      </x:c>
      <x:c r="C42" s="37" t="n">
        <x:v>0</x:v>
      </x:c>
    </x:row>
    <x:row r="43" ht="24" customHeight="1">
      <x:c r="A43" s="18" t="str">
        <x:v>V3</x:v>
      </x:c>
      <x:c r="B43" s="31" t="str">
        <x:v>danger_threat</x:v>
      </x:c>
      <x:c r="C43" s="37" t="n">
        <x:v>0</x:v>
      </x:c>
    </x:row>
    <x:row r="44" ht="24" customHeight="1">
      <x:c r="A44" s="18" t="str">
        <x:v>V3</x:v>
      </x:c>
      <x:c r="B44" s="31" t="str">
        <x:v>risk</x:v>
      </x:c>
      <x:c r="C44" s="37" t="n">
        <x:v>0</x:v>
      </x:c>
    </x:row>
    <x:row r="45" ht="24" customHeight="1">
      <x:c r="A45" s="18" t="str">
        <x:v>V3</x:v>
      </x:c>
      <x:c r="B45" s="31" t="str">
        <x:v>crisis_emergency</x:v>
      </x:c>
      <x:c r="C45" s="37" t="n">
        <x:v>0</x:v>
      </x:c>
    </x:row>
    <x:row r="46" ht="24" customHeight="1">
      <x:c r="A46" s="18" t="str">
        <x:v>V3</x:v>
      </x:c>
      <x:c r="B46" s="31" t="str">
        <x:v>harm_loss_consequences</x:v>
      </x:c>
      <x:c r="C46" s="37" t="n">
        <x:v>2</x:v>
      </x:c>
    </x:row>
    <x:row r="47" ht="24" customHeight="1">
      <x:c r="A47" s="18" t="str">
        <x:v>V4</x:v>
      </x:c>
      <x:c r="B47" s="31" t="str">
        <x:v>temperature_threshold</x:v>
      </x:c>
      <x:c r="C47" s="37" t="n">
        <x:v>0</x:v>
      </x:c>
    </x:row>
    <x:row r="48" ht="24" customHeight="1">
      <x:c r="A48" s="18" t="str">
        <x:v>V4</x:v>
      </x:c>
      <x:c r="B48" s="31" t="str">
        <x:v>heat</x:v>
      </x:c>
      <x:c r="C48" s="37" t="n">
        <x:v>0</x:v>
      </x:c>
    </x:row>
    <x:row r="49" ht="24" customHeight="1">
      <x:c r="A49" s="18" t="str">
        <x:v>V4</x:v>
      </x:c>
      <x:c r="B49" s="31" t="str">
        <x:v>warming</x:v>
      </x:c>
      <x:c r="C49" s="37" t="n">
        <x:v>0</x:v>
      </x:c>
    </x:row>
    <x:row r="50" ht="24" customHeight="1">
      <x:c r="A50" s="18" t="str">
        <x:v>V4</x:v>
      </x:c>
      <x:c r="B50" s="31" t="str">
        <x:v>climate</x:v>
      </x:c>
      <x:c r="C50" s="37" t="n">
        <x:v>1</x:v>
      </x:c>
    </x:row>
    <x:row r="51" ht="24" customHeight="1">
      <x:c r="A51" s="18" t="str">
        <x:v>V4</x:v>
      </x:c>
      <x:c r="B51" s="31" t="str">
        <x:v>carbon_greenhouse</x:v>
      </x:c>
      <x:c r="C51" s="37" t="n">
        <x:v>0</x:v>
      </x:c>
    </x:row>
    <x:row r="52" ht="24" customHeight="1">
      <x:c r="A52" s="18" t="str">
        <x:v>V4</x:v>
      </x:c>
      <x:c r="B52" s="31" t="str">
        <x:v>concern_alarm</x:v>
      </x:c>
      <x:c r="C52" s="37" t="n">
        <x:v>1</x:v>
      </x:c>
    </x:row>
    <x:row r="53" ht="24" customHeight="1">
      <x:c r="A53" s="18" t="str">
        <x:v>V4</x:v>
      </x:c>
      <x:c r="B53" s="31" t="str">
        <x:v>worry</x:v>
      </x:c>
      <x:c r="C53" s="37" t="n">
        <x:v>0</x:v>
      </x:c>
    </x:row>
    <x:row r="54" ht="24" customHeight="1">
      <x:c r="A54" s="18" t="str">
        <x:v>V4</x:v>
      </x:c>
      <x:c r="B54" s="31" t="str">
        <x:v>fear_afraid</x:v>
      </x:c>
      <x:c r="C54" s="37" t="n">
        <x:v>0</x:v>
      </x:c>
    </x:row>
    <x:row r="55" ht="24" customHeight="1">
      <x:c r="A55" s="18" t="str">
        <x:v>V4</x:v>
      </x:c>
      <x:c r="B55" s="31" t="str">
        <x:v>anxiety</x:v>
      </x:c>
      <x:c r="C55" s="37" t="n">
        <x:v>0</x:v>
      </x:c>
    </x:row>
    <x:row r="56" ht="24" customHeight="1">
      <x:c r="A56" s="18" t="str">
        <x:v>V4</x:v>
      </x:c>
      <x:c r="B56" s="31" t="str">
        <x:v>distress_depression</x:v>
      </x:c>
      <x:c r="C56" s="37" t="n">
        <x:v>0</x:v>
      </x:c>
    </x:row>
    <x:row r="57" ht="24" customHeight="1">
      <x:c r="A57" s="18" t="str">
        <x:v>V4</x:v>
      </x:c>
      <x:c r="B57" s="31" t="str">
        <x:v>danger_threat</x:v>
      </x:c>
      <x:c r="C57" s="37" t="n">
        <x:v>1</x:v>
      </x:c>
    </x:row>
    <x:row r="58" ht="24" customHeight="1">
      <x:c r="A58" s="18" t="str">
        <x:v>V4</x:v>
      </x:c>
      <x:c r="B58" s="31" t="str">
        <x:v>risk</x:v>
      </x:c>
      <x:c r="C58" s="37" t="n">
        <x:v>0</x:v>
      </x:c>
    </x:row>
    <x:row r="59" ht="24" customHeight="1">
      <x:c r="A59" s="18" t="str">
        <x:v>V4</x:v>
      </x:c>
      <x:c r="B59" s="31" t="str">
        <x:v>crisis_emergency</x:v>
      </x:c>
      <x:c r="C59" s="37" t="n">
        <x:v>1</x:v>
      </x:c>
    </x:row>
    <x:row r="60" ht="24" customHeight="1">
      <x:c r="A60" s="18" t="str">
        <x:v>V4</x:v>
      </x:c>
      <x:c r="B60" s="31" t="str">
        <x:v>harm_loss_consequences</x:v>
      </x:c>
      <x:c r="C60" s="37" t="n">
        <x:v>0</x:v>
      </x:c>
    </x:row>
    <x:row r="61" ht="24" customHeight="1">
      <x:c r="A61" s="18" t="str">
        <x:v>V5</x:v>
      </x:c>
      <x:c r="B61" s="31" t="str">
        <x:v>temperature_threshold</x:v>
      </x:c>
      <x:c r="C61" s="37" t="n">
        <x:v>0</x:v>
      </x:c>
    </x:row>
    <x:row r="62" ht="24" customHeight="1">
      <x:c r="A62" s="18" t="str">
        <x:v>V5</x:v>
      </x:c>
      <x:c r="B62" s="31" t="str">
        <x:v>heat</x:v>
      </x:c>
      <x:c r="C62" s="37" t="n">
        <x:v>5</x:v>
      </x:c>
    </x:row>
    <x:row r="63" ht="24" customHeight="1">
      <x:c r="A63" s="18" t="str">
        <x:v>V5</x:v>
      </x:c>
      <x:c r="B63" s="31" t="str">
        <x:v>warming</x:v>
      </x:c>
      <x:c r="C63" s="37" t="n">
        <x:v>1</x:v>
      </x:c>
    </x:row>
    <x:row r="64" ht="24" customHeight="1">
      <x:c r="A64" s="18" t="str">
        <x:v>V5</x:v>
      </x:c>
      <x:c r="B64" s="31" t="str">
        <x:v>climate</x:v>
      </x:c>
      <x:c r="C64" s="37" t="n">
        <x:v>1</x:v>
      </x:c>
    </x:row>
    <x:row r="65" ht="24" customHeight="1">
      <x:c r="A65" s="18" t="str">
        <x:v>V5</x:v>
      </x:c>
      <x:c r="B65" s="31" t="str">
        <x:v>carbon_greenhouse</x:v>
      </x:c>
      <x:c r="C65" s="37" t="n">
        <x:v>0</x:v>
      </x:c>
    </x:row>
    <x:row r="66" ht="24" customHeight="1">
      <x:c r="A66" s="18" t="str">
        <x:v>V5</x:v>
      </x:c>
      <x:c r="B66" s="31" t="str">
        <x:v>concern_alarm</x:v>
      </x:c>
      <x:c r="C66" s="37" t="n">
        <x:v>1</x:v>
      </x:c>
    </x:row>
    <x:row r="67" ht="24" customHeight="1">
      <x:c r="A67" s="18" t="str">
        <x:v>V5</x:v>
      </x:c>
      <x:c r="B67" s="31" t="str">
        <x:v>worry</x:v>
      </x:c>
      <x:c r="C67" s="37" t="n">
        <x:v>6</x:v>
      </x:c>
    </x:row>
    <x:row r="68" ht="24" customHeight="1">
      <x:c r="A68" s="18" t="str">
        <x:v>V5</x:v>
      </x:c>
      <x:c r="B68" s="31" t="str">
        <x:v>fear_afraid</x:v>
      </x:c>
      <x:c r="C68" s="37" t="n">
        <x:v>1</x:v>
      </x:c>
    </x:row>
    <x:row r="69" ht="24" customHeight="1">
      <x:c r="A69" s="18" t="str">
        <x:v>V5</x:v>
      </x:c>
      <x:c r="B69" s="31" t="str">
        <x:v>anxiety</x:v>
      </x:c>
      <x:c r="C69" s="37" t="n">
        <x:v>2</x:v>
      </x:c>
    </x:row>
    <x:row r="70" ht="24" customHeight="1">
      <x:c r="A70" s="18" t="str">
        <x:v>V5</x:v>
      </x:c>
      <x:c r="B70" s="31" t="str">
        <x:v>distress_depression</x:v>
      </x:c>
      <x:c r="C70" s="37" t="n">
        <x:v>8</x:v>
      </x:c>
    </x:row>
    <x:row r="71" ht="24" customHeight="1">
      <x:c r="A71" s="18" t="str">
        <x:v>V5</x:v>
      </x:c>
      <x:c r="B71" s="31" t="str">
        <x:v>danger_threat</x:v>
      </x:c>
      <x:c r="C71" s="37" t="n">
        <x:v>4</x:v>
      </x:c>
    </x:row>
    <x:row r="72" ht="24" customHeight="1">
      <x:c r="A72" s="18" t="str">
        <x:v>V5</x:v>
      </x:c>
      <x:c r="B72" s="31" t="str">
        <x:v>risk</x:v>
      </x:c>
      <x:c r="C72" s="37" t="n">
        <x:v>0</x:v>
      </x:c>
    </x:row>
    <x:row r="73" ht="24" customHeight="1">
      <x:c r="A73" s="18" t="str">
        <x:v>V5</x:v>
      </x:c>
      <x:c r="B73" s="31" t="str">
        <x:v>crisis_emergency</x:v>
      </x:c>
      <x:c r="C73" s="37" t="n">
        <x:v>0</x:v>
      </x:c>
    </x:row>
    <x:row r="74" ht="24" customHeight="1">
      <x:c r="A74" s="21" t="str">
        <x:v>V5</x:v>
      </x:c>
      <x:c r="B74" s="32" t="str">
        <x:v>harm_loss_consequences</x:v>
      </x:c>
      <x:c r="C74" s="38" t="n">
        <x:v>9</x:v>
      </x:c>
    </x:row>
  </x:sheetData>
  <x:mergeCells>
    <x:mergeCell ref="A1:H1"/>
    <x:mergeCell ref="A2:H2"/>
  </x:mergeCells>
  <x:pageMargins left="0.7" right="0.7" top="0.75" bottom="0.75" header="0.3" footer="0.3"/>
  <x:tableParts count="1">
    <x:tablePart xmlns:r="http://schemas.openxmlformats.org/officeDocument/2006/relationships" r:id="R785dc5dda1e34bb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3" hidden="0" customWidth="1"/>
    <x:col min="2" max="2" width="32" hidden="0" customWidth="1"/>
    <x:col min="3" max="3" width="25" hidden="0" customWidth="1"/>
    <x:col min="4" max="4" width="23" hidden="0" customWidth="1"/>
    <x:col min="5" max="5" width="23" hidden="0" customWidth="1"/>
    <x:col min="6" max="6" width="23" hidden="0" customWidth="1"/>
    <x:col min="7" max="7" width="40" hidden="0" customWidth="1"/>
    <x:col min="8" max="8" width="16" hidden="0" customWidth="1"/>
    <x:col min="9" max="9" width="40" hidden="0" customWidth="1"/>
  </x:cols>
  <x:sheetData>
    <x:row r="1" ht="38" customHeight="1">
      <x:c r="A1" s="3" t="str">
        <x:v>Explicit Candidate Relationship Ledger</x:v>
      </x:c>
      <x:c r="B1" s="3" t="str">
        <x:v>Explicit Candidate Relationship Ledger</x:v>
      </x:c>
      <x:c r="C1" s="3" t="str">
        <x:v>Explicit Candidate Relationship Ledger</x:v>
      </x:c>
      <x:c r="D1" s="3" t="str">
        <x:v>Explicit Candidate Relationship Ledger</x:v>
      </x:c>
      <x:c r="E1" s="3" t="str">
        <x:v>Explicit Candidate Relationship Ledger</x:v>
      </x:c>
      <x:c r="F1" s="3" t="str">
        <x:v>Explicit Candidate Relationship Ledger</x:v>
      </x:c>
      <x:c r="G1" s="3" t="str">
        <x:v>Explicit Candidate Relationship Ledger</x:v>
      </x:c>
      <x:c r="H1" s="3" t="str">
        <x:v>Explicit Candidate Relationship Ledger</x:v>
      </x:c>
      <x:c r="I1" s="3" t="str">
        <x:v>Explicit Candidate Relationship Ledger</x:v>
      </x:c>
    </x:row>
    <x:row r="2" ht="32" customHeight="1">
      <x:c r="A2" s="7" t="str">
        <x:v>Structural relations are separated from evidence-supported semantic candidate relations; no semantic-evolution network is inferred.</x:v>
      </x:c>
      <x:c r="B2" s="7" t="str">
        <x:v>Structural relations are separated from evidence-supported semantic candidate relations; no semantic-evolution network is inferred.</x:v>
      </x:c>
      <x:c r="C2" s="7" t="str">
        <x:v>Structural relations are separated from evidence-supported semantic candidate relations; no semantic-evolution network is inferred.</x:v>
      </x:c>
      <x:c r="D2" s="7" t="str">
        <x:v>Structural relations are separated from evidence-supported semantic candidate relations; no semantic-evolution network is inferred.</x:v>
      </x:c>
      <x:c r="E2" s="7" t="str">
        <x:v>Structural relations are separated from evidence-supported semantic candidate relations; no semantic-evolution network is inferred.</x:v>
      </x:c>
      <x:c r="F2" s="7" t="str">
        <x:v>Structural relations are separated from evidence-supported semantic candidate relations; no semantic-evolution network is inferred.</x:v>
      </x:c>
      <x:c r="G2" s="7" t="str">
        <x:v>Structural relations are separated from evidence-supported semantic candidate relations; no semantic-evolution network is inferred.</x:v>
      </x:c>
      <x:c r="H2" s="7" t="str">
        <x:v>Structural relations are separated from evidence-supported semantic candidate relations; no semantic-evolution network is inferred.</x:v>
      </x:c>
      <x:c r="I2" s="7" t="str">
        <x:v>Structural relations are separated from evidence-supported semantic candidate relations; no semantic-evolution network is inferred.</x:v>
      </x:c>
    </x:row>
    <x:row r="4" ht="42" customHeight="1">
      <x:c r="A4" s="14" t="str">
        <x:v>relation_id</x:v>
      </x:c>
      <x:c r="B4" s="14" t="str">
        <x:v>source_candidate_id</x:v>
      </x:c>
      <x:c r="C4" s="14" t="str">
        <x:v>target_candidate_id</x:v>
      </x:c>
      <x:c r="D4" s="14" t="str">
        <x:v>relation_type</x:v>
      </x:c>
      <x:c r="E4" s="14" t="str">
        <x:v>relation_class</x:v>
      </x:c>
      <x:c r="F4" s="14" t="str">
        <x:v>anchor_relation</x:v>
      </x:c>
      <x:c r="G4" s="14" t="str">
        <x:v>evidence_basis</x:v>
      </x:c>
      <x:c r="H4" s="14" t="str">
        <x:v>confidence</x:v>
      </x:c>
      <x:c r="I4" s="14" t="str">
        <x:v>provenance_note</x:v>
      </x:c>
    </x:row>
    <x:row r="5" ht="32" customHeight="1">
      <x:c r="A5" s="39" t="str">
        <x:v>FT-REL-131A470C97D04B</x:v>
      </x:c>
      <x:c r="B5" s="30" t="str">
        <x:v>FT-SEED-R1B-P-0607-10</x:v>
      </x:c>
      <x:c r="C5" s="30" t="str">
        <x:v>FT-SEED-R1B-P-2015-01</x:v>
      </x:c>
      <x:c r="D5" s="30" t="str">
        <x:v>RECURS_ACROSS_ANCHORS</x:v>
      </x:c>
      <x:c r="E5" s="30" t="str">
        <x:v>COMPUTATIONAL_STRUCTURAL</x:v>
      </x:c>
      <x:c r="F5" s="30" t="str">
        <x:v>CROSS_ANCHOR</x:v>
      </x:c>
      <x:c r="G5" s="30" t="str">
        <x:v>Same normalized lexical form at multiple anchors</x:v>
      </x:c>
      <x:c r="H5" s="16" t="str">
        <x:v>HIGH</x:v>
      </x:c>
      <x:c r="I5" s="42" t="str">
        <x:v>Recurrence is structural presence in the constructed inventory, not proof of stable sense.</x:v>
      </x:c>
    </x:row>
    <x:row r="6" ht="32" customHeight="1">
      <x:c r="A6" s="40" t="str">
        <x:v>FT-REL-C47421D93C9DAE</x:v>
      </x:c>
      <x:c r="B6" s="31" t="str">
        <x:v>FT-SEED-R1B-P-0607-10</x:v>
      </x:c>
      <x:c r="C6" s="31" t="str">
        <x:v>FT-SEED-R1B-P-2022-01</x:v>
      </x:c>
      <x:c r="D6" s="31" t="str">
        <x:v>RECURS_ACROSS_ANCHORS</x:v>
      </x:c>
      <x:c r="E6" s="31" t="str">
        <x:v>COMPUTATIONAL_STRUCTURAL</x:v>
      </x:c>
      <x:c r="F6" s="31" t="str">
        <x:v>CROSS_ANCHOR</x:v>
      </x:c>
      <x:c r="G6" s="31" t="str">
        <x:v>Same normalized lexical form at multiple anchors</x:v>
      </x:c>
      <x:c r="H6" s="19" t="str">
        <x:v>HIGH</x:v>
      </x:c>
      <x:c r="I6" s="43" t="str">
        <x:v>Recurrence is structural presence in the constructed inventory, not proof of stable sense.</x:v>
      </x:c>
    </x:row>
    <x:row r="7" ht="32" customHeight="1">
      <x:c r="A7" s="40" t="str">
        <x:v>FT-REL-FD8432EBC59863</x:v>
      </x:c>
      <x:c r="B7" s="31" t="str">
        <x:v>FT-SEED-R1B-P-1842-02</x:v>
      </x:c>
      <x:c r="C7" s="31" t="str">
        <x:v>FT-SEED-R1B-P-1938-10</x:v>
      </x:c>
      <x:c r="D7" s="31" t="str">
        <x:v>RECURS_ACROSS_ANCHORS</x:v>
      </x:c>
      <x:c r="E7" s="31" t="str">
        <x:v>COMPUTATIONAL_STRUCTURAL</x:v>
      </x:c>
      <x:c r="F7" s="31" t="str">
        <x:v>CROSS_ANCHOR</x:v>
      </x:c>
      <x:c r="G7" s="31" t="str">
        <x:v>Same normalized lexical form at multiple anchors</x:v>
      </x:c>
      <x:c r="H7" s="19" t="str">
        <x:v>HIGH</x:v>
      </x:c>
      <x:c r="I7" s="43" t="str">
        <x:v>Recurrence is structural presence in the constructed inventory, not proof of stable sense.</x:v>
      </x:c>
    </x:row>
    <x:row r="8" ht="32" customHeight="1">
      <x:c r="A8" s="40" t="str">
        <x:v>FT-REL-C22B2F5488B88B</x:v>
      </x:c>
      <x:c r="B8" s="31" t="str">
        <x:v>FT-SEED-R1B-P-1938-21</x:v>
      </x:c>
      <x:c r="C8" s="31" t="str">
        <x:v>FT-SEED-R1B-P-1988-08</x:v>
      </x:c>
      <x:c r="D8" s="31" t="str">
        <x:v>RECURS_ACROSS_ANCHORS</x:v>
      </x:c>
      <x:c r="E8" s="31" t="str">
        <x:v>COMPUTATIONAL_STRUCTURAL</x:v>
      </x:c>
      <x:c r="F8" s="31" t="str">
        <x:v>CROSS_ANCHOR</x:v>
      </x:c>
      <x:c r="G8" s="31" t="str">
        <x:v>Same normalized lexical form at multiple anchors</x:v>
      </x:c>
      <x:c r="H8" s="19" t="str">
        <x:v>HIGH</x:v>
      </x:c>
      <x:c r="I8" s="43" t="str">
        <x:v>Recurrence is structural presence in the constructed inventory, not proof of stable sense.</x:v>
      </x:c>
    </x:row>
    <x:row r="9" ht="32" customHeight="1">
      <x:c r="A9" s="40" t="str">
        <x:v>FT-REL-DD3F663840AE99</x:v>
      </x:c>
      <x:c r="B9" s="31" t="str">
        <x:v>FT-SEED-R1B-P-1938-28</x:v>
      </x:c>
      <x:c r="C9" s="31" t="str">
        <x:v>FT-SEED-R1B-P-1988-09</x:v>
      </x:c>
      <x:c r="D9" s="31" t="str">
        <x:v>RECURS_ACROSS_ANCHORS</x:v>
      </x:c>
      <x:c r="E9" s="31" t="str">
        <x:v>COMPUTATIONAL_STRUCTURAL</x:v>
      </x:c>
      <x:c r="F9" s="31" t="str">
        <x:v>CROSS_ANCHOR</x:v>
      </x:c>
      <x:c r="G9" s="31" t="str">
        <x:v>Same normalized lexical form at multiple anchors</x:v>
      </x:c>
      <x:c r="H9" s="19" t="str">
        <x:v>HIGH</x:v>
      </x:c>
      <x:c r="I9" s="43" t="str">
        <x:v>Recurrence is structural presence in the constructed inventory, not proof of stable sense.</x:v>
      </x:c>
    </x:row>
    <x:row r="10" ht="32" customHeight="1">
      <x:c r="A10" s="40" t="str">
        <x:v>FT-REL-101F0657CE9A91</x:v>
      </x:c>
      <x:c r="B10" s="31" t="str">
        <x:v>FT-SEED-R1B-P-1988-02</x:v>
      </x:c>
      <x:c r="C10" s="31" t="str">
        <x:v>FT-SEED-R1B-P-0607-11</x:v>
      </x:c>
      <x:c r="D10" s="31" t="str">
        <x:v>RECURS_ACROSS_ANCHORS</x:v>
      </x:c>
      <x:c r="E10" s="31" t="str">
        <x:v>COMPUTATIONAL_STRUCTURAL</x:v>
      </x:c>
      <x:c r="F10" s="31" t="str">
        <x:v>CROSS_ANCHOR</x:v>
      </x:c>
      <x:c r="G10" s="31" t="str">
        <x:v>Same normalized lexical form at multiple anchors</x:v>
      </x:c>
      <x:c r="H10" s="19" t="str">
        <x:v>HIGH</x:v>
      </x:c>
      <x:c r="I10" s="43" t="str">
        <x:v>Recurrence is structural presence in the constructed inventory, not proof of stable sense.</x:v>
      </x:c>
    </x:row>
    <x:row r="11" ht="32" customHeight="1">
      <x:c r="A11" s="40" t="str">
        <x:v>FT-REL-A9E2C72CB4A615</x:v>
      </x:c>
      <x:c r="B11" s="31" t="str">
        <x:v>FT-SEED-R1B-P-1988-02</x:v>
      </x:c>
      <x:c r="C11" s="31" t="str">
        <x:v>FT-SEED-R1B-P-2022-02</x:v>
      </x:c>
      <x:c r="D11" s="31" t="str">
        <x:v>RECURS_ACROSS_ANCHORS</x:v>
      </x:c>
      <x:c r="E11" s="31" t="str">
        <x:v>COMPUTATIONAL_STRUCTURAL</x:v>
      </x:c>
      <x:c r="F11" s="31" t="str">
        <x:v>CROSS_ANCHOR</x:v>
      </x:c>
      <x:c r="G11" s="31" t="str">
        <x:v>Same normalized lexical form at multiple anchors</x:v>
      </x:c>
      <x:c r="H11" s="19" t="str">
        <x:v>HIGH</x:v>
      </x:c>
      <x:c r="I11" s="43" t="str">
        <x:v>Recurrence is structural presence in the constructed inventory, not proof of stable sense.</x:v>
      </x:c>
    </x:row>
    <x:row r="12" ht="32" customHeight="1">
      <x:c r="A12" s="40" t="str">
        <x:v>FT-REL-5720E0A88D24C6</x:v>
      </x:c>
      <x:c r="B12" s="31" t="str">
        <x:v>FT-SEED-R1B-P-2015-25</x:v>
      </x:c>
      <x:c r="C12" s="31" t="str">
        <x:v>FT-SEED-R1B-P-2022-03</x:v>
      </x:c>
      <x:c r="D12" s="31" t="str">
        <x:v>RECURS_ACROSS_ANCHORS</x:v>
      </x:c>
      <x:c r="E12" s="31" t="str">
        <x:v>COMPUTATIONAL_STRUCTURAL</x:v>
      </x:c>
      <x:c r="F12" s="31" t="str">
        <x:v>CROSS_ANCHOR</x:v>
      </x:c>
      <x:c r="G12" s="31" t="str">
        <x:v>Same normalized lexical form at multiple anchors</x:v>
      </x:c>
      <x:c r="H12" s="19" t="str">
        <x:v>HIGH</x:v>
      </x:c>
      <x:c r="I12" s="43" t="str">
        <x:v>Recurrence is structural presence in the constructed inventory, not proof of stable sense.</x:v>
      </x:c>
    </x:row>
    <x:row r="13" ht="32" customHeight="1">
      <x:c r="A13" s="40" t="str">
        <x:v>FT-REL-C7B5B8577991F0</x:v>
      </x:c>
      <x:c r="B13" s="31" t="str">
        <x:v>FT-SEED-R1B-P-2015-26</x:v>
      </x:c>
      <x:c r="C13" s="31" t="str">
        <x:v>FT-SEED-R1B-P-2022-04</x:v>
      </x:c>
      <x:c r="D13" s="31" t="str">
        <x:v>RECURS_ACROSS_ANCHORS</x:v>
      </x:c>
      <x:c r="E13" s="31" t="str">
        <x:v>COMPUTATIONAL_STRUCTURAL</x:v>
      </x:c>
      <x:c r="F13" s="31" t="str">
        <x:v>CROSS_ANCHOR</x:v>
      </x:c>
      <x:c r="G13" s="31" t="str">
        <x:v>Same normalized lexical form at multiple anchors</x:v>
      </x:c>
      <x:c r="H13" s="19" t="str">
        <x:v>HIGH</x:v>
      </x:c>
      <x:c r="I13" s="43" t="str">
        <x:v>Recurrence is structural presence in the constructed inventory, not proof of stable sense.</x:v>
      </x:c>
    </x:row>
    <x:row r="14" ht="32" customHeight="1">
      <x:c r="A14" s="40" t="str">
        <x:v>FT-REL-E6822684F59567</x:v>
      </x:c>
      <x:c r="B14" s="31" t="str">
        <x:v>FT-SEED-R1B-P-0607-10</x:v>
      </x:c>
      <x:c r="C14" s="31" t="str">
        <x:v>FT-SEED-R1B-P-0607-14</x:v>
      </x:c>
      <x:c r="D14" s="31" t="str">
        <x:v>SAME_CANONICAL_CONCEPT</x:v>
      </x:c>
      <x:c r="E14" s="31" t="str">
        <x:v>COMPUTATIONAL_STRUCTURAL</x:v>
      </x:c>
      <x:c r="F14" s="31" t="str">
        <x:v>WITHIN_ANCHOR</x:v>
      </x:c>
      <x:c r="G14" s="31" t="str">
        <x:v>Canonical concept equality in candidate ledger</x:v>
      </x:c>
      <x:c r="H14" s="19" t="str">
        <x:v>HIGH</x:v>
      </x:c>
      <x:c r="I14" s="43" t="str">
        <x:v>Derived from controlled candidate metadata; no semantic evolution is asserted.</x:v>
      </x:c>
    </x:row>
    <x:row r="15" ht="32" customHeight="1">
      <x:c r="A15" s="40" t="str">
        <x:v>FT-REL-7C78259D7FBAA8</x:v>
      </x:c>
      <x:c r="B15" s="31" t="str">
        <x:v>FT-SEED-R1B-P-0607-10</x:v>
      </x:c>
      <x:c r="C15" s="31" t="str">
        <x:v>FT-SEED-R1B-P-0607-15</x:v>
      </x:c>
      <x:c r="D15" s="31" t="str">
        <x:v>SAME_CANONICAL_CONCEPT</x:v>
      </x:c>
      <x:c r="E15" s="31" t="str">
        <x:v>COMPUTATIONAL_STRUCTURAL</x:v>
      </x:c>
      <x:c r="F15" s="31" t="str">
        <x:v>WITHIN_ANCHOR</x:v>
      </x:c>
      <x:c r="G15" s="31" t="str">
        <x:v>Canonical concept equality in candidate ledger</x:v>
      </x:c>
      <x:c r="H15" s="19" t="str">
        <x:v>HIGH</x:v>
      </x:c>
      <x:c r="I15" s="43" t="str">
        <x:v>Derived from controlled candidate metadata; no semantic evolution is asserted.</x:v>
      </x:c>
    </x:row>
    <x:row r="16" ht="32" customHeight="1">
      <x:c r="A16" s="40" t="str">
        <x:v>FT-REL-9265C668B0BCF9</x:v>
      </x:c>
      <x:c r="B16" s="31" t="str">
        <x:v>FT-SEED-R1B-P-0607-10</x:v>
      </x:c>
      <x:c r="C16" s="31" t="str">
        <x:v>FT-SEED-R1B-P-0607-29</x:v>
      </x:c>
      <x:c r="D16" s="31" t="str">
        <x:v>SAME_CANONICAL_CONCEPT</x:v>
      </x:c>
      <x:c r="E16" s="31" t="str">
        <x:v>COMPUTATIONAL_STRUCTURAL</x:v>
      </x:c>
      <x:c r="F16" s="31" t="str">
        <x:v>WITHIN_ANCHOR</x:v>
      </x:c>
      <x:c r="G16" s="31" t="str">
        <x:v>Canonical concept equality in candidate ledger</x:v>
      </x:c>
      <x:c r="H16" s="19" t="str">
        <x:v>HIGH</x:v>
      </x:c>
      <x:c r="I16" s="43" t="str">
        <x:v>Derived from controlled candidate metadata; no semantic evolution is asserted.</x:v>
      </x:c>
    </x:row>
    <x:row r="17" ht="32" customHeight="1">
      <x:c r="A17" s="40" t="str">
        <x:v>FT-REL-D8CECA6CB635A6</x:v>
      </x:c>
      <x:c r="B17" s="31" t="str">
        <x:v>FT-SEED-R1B-P-0607-10</x:v>
      </x:c>
      <x:c r="C17" s="31" t="str">
        <x:v>FT-SEED-R1B-P-2015-01</x:v>
      </x:c>
      <x:c r="D17" s="31" t="str">
        <x:v>SAME_CANONICAL_CONCEPT</x:v>
      </x:c>
      <x:c r="E17" s="31" t="str">
        <x:v>COMPUTATIONAL_STRUCTURAL</x:v>
      </x:c>
      <x:c r="F17" s="31" t="str">
        <x:v>CROSS_ANCHOR</x:v>
      </x:c>
      <x:c r="G17" s="31" t="str">
        <x:v>Canonical concept equality in candidate ledger</x:v>
      </x:c>
      <x:c r="H17" s="19" t="str">
        <x:v>HIGH</x:v>
      </x:c>
      <x:c r="I17" s="43" t="str">
        <x:v>Derived from controlled candidate metadata; no semantic evolution is asserted.</x:v>
      </x:c>
    </x:row>
    <x:row r="18" ht="32" customHeight="1">
      <x:c r="A18" s="40" t="str">
        <x:v>FT-REL-097363B9AB6C11</x:v>
      </x:c>
      <x:c r="B18" s="31" t="str">
        <x:v>FT-SEED-R1B-P-0607-10</x:v>
      </x:c>
      <x:c r="C18" s="31" t="str">
        <x:v>FT-SEED-R1B-P-2015-02</x:v>
      </x:c>
      <x:c r="D18" s="31" t="str">
        <x:v>SAME_CANONICAL_CONCEPT</x:v>
      </x:c>
      <x:c r="E18" s="31" t="str">
        <x:v>COMPUTATIONAL_STRUCTURAL</x:v>
      </x:c>
      <x:c r="F18" s="31" t="str">
        <x:v>CROSS_ANCHOR</x:v>
      </x:c>
      <x:c r="G18" s="31" t="str">
        <x:v>Canonical concept equality in candidate ledger</x:v>
      </x:c>
      <x:c r="H18" s="19" t="str">
        <x:v>HIGH</x:v>
      </x:c>
      <x:c r="I18" s="43" t="str">
        <x:v>Derived from controlled candidate metadata; no semantic evolution is asserted.</x:v>
      </x:c>
    </x:row>
    <x:row r="19" ht="32" customHeight="1">
      <x:c r="A19" s="40" t="str">
        <x:v>FT-REL-61D09E8106FC88</x:v>
      </x:c>
      <x:c r="B19" s="31" t="str">
        <x:v>FT-SEED-R1B-P-0607-10</x:v>
      </x:c>
      <x:c r="C19" s="31" t="str">
        <x:v>FT-SEED-R1B-P-2015-09</x:v>
      </x:c>
      <x:c r="D19" s="31" t="str">
        <x:v>SAME_CANONICAL_CONCEPT</x:v>
      </x:c>
      <x:c r="E19" s="31" t="str">
        <x:v>COMPUTATIONAL_STRUCTURAL</x:v>
      </x:c>
      <x:c r="F19" s="31" t="str">
        <x:v>CROSS_ANCHOR</x:v>
      </x:c>
      <x:c r="G19" s="31" t="str">
        <x:v>Canonical concept equality in candidate ledger</x:v>
      </x:c>
      <x:c r="H19" s="19" t="str">
        <x:v>HIGH</x:v>
      </x:c>
      <x:c r="I19" s="43" t="str">
        <x:v>Derived from controlled candidate metadata; no semantic evolution is asserted.</x:v>
      </x:c>
    </x:row>
    <x:row r="20" ht="32" customHeight="1">
      <x:c r="A20" s="40" t="str">
        <x:v>FT-REL-3D2894468297D8</x:v>
      </x:c>
      <x:c r="B20" s="31" t="str">
        <x:v>FT-SEED-R1B-P-0607-10</x:v>
      </x:c>
      <x:c r="C20" s="31" t="str">
        <x:v>FT-SEED-R1B-P-2022-01</x:v>
      </x:c>
      <x:c r="D20" s="31" t="str">
        <x:v>SAME_CANONICAL_CONCEPT</x:v>
      </x:c>
      <x:c r="E20" s="31" t="str">
        <x:v>COMPUTATIONAL_STRUCTURAL</x:v>
      </x:c>
      <x:c r="F20" s="31" t="str">
        <x:v>CROSS_ANCHOR</x:v>
      </x:c>
      <x:c r="G20" s="31" t="str">
        <x:v>Canonical concept equality in candidate ledger</x:v>
      </x:c>
      <x:c r="H20" s="19" t="str">
        <x:v>HIGH</x:v>
      </x:c>
      <x:c r="I20" s="43" t="str">
        <x:v>Derived from controlled candidate metadata; no semantic evolution is asserted.</x:v>
      </x:c>
    </x:row>
    <x:row r="21" ht="32" customHeight="1">
      <x:c r="A21" s="40" t="str">
        <x:v>FT-REL-231EF70732EB6E</x:v>
      </x:c>
      <x:c r="B21" s="31" t="str">
        <x:v>FT-SEED-R1B-P-0607-22</x:v>
      </x:c>
      <x:c r="C21" s="31" t="str">
        <x:v>FT-SEED-R1B-P-0607-23</x:v>
      </x:c>
      <x:c r="D21" s="31" t="str">
        <x:v>SAME_CANONICAL_CONCEPT</x:v>
      </x:c>
      <x:c r="E21" s="31" t="str">
        <x:v>COMPUTATIONAL_STRUCTURAL</x:v>
      </x:c>
      <x:c r="F21" s="31" t="str">
        <x:v>WITHIN_ANCHOR</x:v>
      </x:c>
      <x:c r="G21" s="31" t="str">
        <x:v>Canonical concept equality in candidate ledger</x:v>
      </x:c>
      <x:c r="H21" s="19" t="str">
        <x:v>HIGH</x:v>
      </x:c>
      <x:c r="I21" s="43" t="str">
        <x:v>Derived from controlled candidate metadata; no semantic evolution is asserted.</x:v>
      </x:c>
    </x:row>
    <x:row r="22" ht="32" customHeight="1">
      <x:c r="A22" s="40" t="str">
        <x:v>FT-REL-B13115D1EBBE93</x:v>
      </x:c>
      <x:c r="B22" s="31" t="str">
        <x:v>FT-SEED-R1B-P-1842-01</x:v>
      </x:c>
      <x:c r="C22" s="31" t="str">
        <x:v>FT-SEED-R1B-P-1842-03</x:v>
      </x:c>
      <x:c r="D22" s="31" t="str">
        <x:v>SAME_CANONICAL_CONCEPT</x:v>
      </x:c>
      <x:c r="E22" s="31" t="str">
        <x:v>COMPUTATIONAL_STRUCTURAL</x:v>
      </x:c>
      <x:c r="F22" s="31" t="str">
        <x:v>WITHIN_ANCHOR</x:v>
      </x:c>
      <x:c r="G22" s="31" t="str">
        <x:v>Canonical concept equality in candidate ledger</x:v>
      </x:c>
      <x:c r="H22" s="19" t="str">
        <x:v>HIGH</x:v>
      </x:c>
      <x:c r="I22" s="43" t="str">
        <x:v>Derived from controlled candidate metadata; no semantic evolution is asserted.</x:v>
      </x:c>
    </x:row>
    <x:row r="23" ht="32" customHeight="1">
      <x:c r="A23" s="40" t="str">
        <x:v>FT-REL-B7FF226591EF9A</x:v>
      </x:c>
      <x:c r="B23" s="31" t="str">
        <x:v>FT-SEED-R1B-P-1842-01</x:v>
      </x:c>
      <x:c r="C23" s="31" t="str">
        <x:v>FT-SEED-R1B-P-1842-04</x:v>
      </x:c>
      <x:c r="D23" s="31" t="str">
        <x:v>SAME_CANONICAL_CONCEPT</x:v>
      </x:c>
      <x:c r="E23" s="31" t="str">
        <x:v>COMPUTATIONAL_STRUCTURAL</x:v>
      </x:c>
      <x:c r="F23" s="31" t="str">
        <x:v>WITHIN_ANCHOR</x:v>
      </x:c>
      <x:c r="G23" s="31" t="str">
        <x:v>Canonical concept equality in candidate ledger</x:v>
      </x:c>
      <x:c r="H23" s="19" t="str">
        <x:v>HIGH</x:v>
      </x:c>
      <x:c r="I23" s="43" t="str">
        <x:v>Derived from controlled candidate metadata; no semantic evolution is asserted.</x:v>
      </x:c>
    </x:row>
    <x:row r="24" ht="32" customHeight="1">
      <x:c r="A24" s="40" t="str">
        <x:v>FT-REL-98EF02AA9B4702</x:v>
      </x:c>
      <x:c r="B24" s="31" t="str">
        <x:v>FT-SEED-R1B-P-1842-01</x:v>
      </x:c>
      <x:c r="C24" s="31" t="str">
        <x:v>FT-SEED-R1B-P-1842-05</x:v>
      </x:c>
      <x:c r="D24" s="31" t="str">
        <x:v>SAME_CANONICAL_CONCEPT</x:v>
      </x:c>
      <x:c r="E24" s="31" t="str">
        <x:v>COMPUTATIONAL_STRUCTURAL</x:v>
      </x:c>
      <x:c r="F24" s="31" t="str">
        <x:v>WITHIN_ANCHOR</x:v>
      </x:c>
      <x:c r="G24" s="31" t="str">
        <x:v>Canonical concept equality in candidate ledger</x:v>
      </x:c>
      <x:c r="H24" s="19" t="str">
        <x:v>HIGH</x:v>
      </x:c>
      <x:c r="I24" s="43" t="str">
        <x:v>Derived from controlled candidate metadata; no semantic evolution is asserted.</x:v>
      </x:c>
    </x:row>
    <x:row r="25" ht="32" customHeight="1">
      <x:c r="A25" s="40" t="str">
        <x:v>FT-REL-B7726CC552C132</x:v>
      </x:c>
      <x:c r="B25" s="31" t="str">
        <x:v>FT-SEED-R1B-P-1842-01</x:v>
      </x:c>
      <x:c r="C25" s="31" t="str">
        <x:v>FT-SEED-R1B-P-1842-07</x:v>
      </x:c>
      <x:c r="D25" s="31" t="str">
        <x:v>SAME_CANONICAL_CONCEPT</x:v>
      </x:c>
      <x:c r="E25" s="31" t="str">
        <x:v>COMPUTATIONAL_STRUCTURAL</x:v>
      </x:c>
      <x:c r="F25" s="31" t="str">
        <x:v>WITHIN_ANCHOR</x:v>
      </x:c>
      <x:c r="G25" s="31" t="str">
        <x:v>Canonical concept equality in candidate ledger</x:v>
      </x:c>
      <x:c r="H25" s="19" t="str">
        <x:v>HIGH</x:v>
      </x:c>
      <x:c r="I25" s="43" t="str">
        <x:v>Derived from controlled candidate metadata; no semantic evolution is asserted.</x:v>
      </x:c>
    </x:row>
    <x:row r="26" ht="32" customHeight="1">
      <x:c r="A26" s="40" t="str">
        <x:v>FT-REL-DB1303C51AED46</x:v>
      </x:c>
      <x:c r="B26" s="31" t="str">
        <x:v>FT-SEED-R1B-P-1842-01</x:v>
      </x:c>
      <x:c r="C26" s="31" t="str">
        <x:v>FT-SEED-R1B-P-1842-08</x:v>
      </x:c>
      <x:c r="D26" s="31" t="str">
        <x:v>SAME_CANONICAL_CONCEPT</x:v>
      </x:c>
      <x:c r="E26" s="31" t="str">
        <x:v>COMPUTATIONAL_STRUCTURAL</x:v>
      </x:c>
      <x:c r="F26" s="31" t="str">
        <x:v>WITHIN_ANCHOR</x:v>
      </x:c>
      <x:c r="G26" s="31" t="str">
        <x:v>Canonical concept equality in candidate ledger</x:v>
      </x:c>
      <x:c r="H26" s="19" t="str">
        <x:v>HIGH</x:v>
      </x:c>
      <x:c r="I26" s="43" t="str">
        <x:v>Derived from controlled candidate metadata; no semantic evolution is asserted.</x:v>
      </x:c>
    </x:row>
    <x:row r="27" ht="32" customHeight="1">
      <x:c r="A27" s="40" t="str">
        <x:v>FT-REL-01FEA9E2EC884A</x:v>
      </x:c>
      <x:c r="B27" s="31" t="str">
        <x:v>FT-SEED-R1B-P-1842-01</x:v>
      </x:c>
      <x:c r="C27" s="31" t="str">
        <x:v>FT-SEED-R1B-P-1842-09</x:v>
      </x:c>
      <x:c r="D27" s="31" t="str">
        <x:v>SAME_CANONICAL_CONCEPT</x:v>
      </x:c>
      <x:c r="E27" s="31" t="str">
        <x:v>COMPUTATIONAL_STRUCTURAL</x:v>
      </x:c>
      <x:c r="F27" s="31" t="str">
        <x:v>WITHIN_ANCHOR</x:v>
      </x:c>
      <x:c r="G27" s="31" t="str">
        <x:v>Canonical concept equality in candidate ledger</x:v>
      </x:c>
      <x:c r="H27" s="19" t="str">
        <x:v>HIGH</x:v>
      </x:c>
      <x:c r="I27" s="43" t="str">
        <x:v>Derived from controlled candidate metadata; no semantic evolution is asserted.</x:v>
      </x:c>
    </x:row>
    <x:row r="28" ht="32" customHeight="1">
      <x:c r="A28" s="40" t="str">
        <x:v>FT-REL-E5A744B92B7E8F</x:v>
      </x:c>
      <x:c r="B28" s="31" t="str">
        <x:v>FT-SEED-R1B-P-1842-01</x:v>
      </x:c>
      <x:c r="C28" s="31" t="str">
        <x:v>FT-SEED-R1B-P-1842-10</x:v>
      </x:c>
      <x:c r="D28" s="31" t="str">
        <x:v>SAME_CANONICAL_CONCEPT</x:v>
      </x:c>
      <x:c r="E28" s="31" t="str">
        <x:v>COMPUTATIONAL_STRUCTURAL</x:v>
      </x:c>
      <x:c r="F28" s="31" t="str">
        <x:v>WITHIN_ANCHOR</x:v>
      </x:c>
      <x:c r="G28" s="31" t="str">
        <x:v>Canonical concept equality in candidate ledger</x:v>
      </x:c>
      <x:c r="H28" s="19" t="str">
        <x:v>HIGH</x:v>
      </x:c>
      <x:c r="I28" s="43" t="str">
        <x:v>Derived from controlled candidate metadata; no semantic evolution is asserted.</x:v>
      </x:c>
    </x:row>
    <x:row r="29" ht="32" customHeight="1">
      <x:c r="A29" s="40" t="str">
        <x:v>FT-REL-3343719D93734C</x:v>
      </x:c>
      <x:c r="B29" s="31" t="str">
        <x:v>FT-SEED-R1B-P-1842-01</x:v>
      </x:c>
      <x:c r="C29" s="31" t="str">
        <x:v>FT-SEED-R1B-P-1842-11</x:v>
      </x:c>
      <x:c r="D29" s="31" t="str">
        <x:v>SAME_CANONICAL_CONCEPT</x:v>
      </x:c>
      <x:c r="E29" s="31" t="str">
        <x:v>COMPUTATIONAL_STRUCTURAL</x:v>
      </x:c>
      <x:c r="F29" s="31" t="str">
        <x:v>WITHIN_ANCHOR</x:v>
      </x:c>
      <x:c r="G29" s="31" t="str">
        <x:v>Canonical concept equality in candidate ledger</x:v>
      </x:c>
      <x:c r="H29" s="19" t="str">
        <x:v>HIGH</x:v>
      </x:c>
      <x:c r="I29" s="43" t="str">
        <x:v>Derived from controlled candidate metadata; no semantic evolution is asserted.</x:v>
      </x:c>
    </x:row>
    <x:row r="30" ht="32" customHeight="1">
      <x:c r="A30" s="40" t="str">
        <x:v>FT-REL-B864FB28244FCB</x:v>
      </x:c>
      <x:c r="B30" s="31" t="str">
        <x:v>FT-SEED-R1B-P-1842-01</x:v>
      </x:c>
      <x:c r="C30" s="31" t="str">
        <x:v>FT-SEED-R1B-P-1842-18</x:v>
      </x:c>
      <x:c r="D30" s="31" t="str">
        <x:v>SAME_CANONICAL_CONCEPT</x:v>
      </x:c>
      <x:c r="E30" s="31" t="str">
        <x:v>COMPUTATIONAL_STRUCTURAL</x:v>
      </x:c>
      <x:c r="F30" s="31" t="str">
        <x:v>WITHIN_ANCHOR</x:v>
      </x:c>
      <x:c r="G30" s="31" t="str">
        <x:v>Canonical concept equality in candidate ledger</x:v>
      </x:c>
      <x:c r="H30" s="19" t="str">
        <x:v>HIGH</x:v>
      </x:c>
      <x:c r="I30" s="43" t="str">
        <x:v>Derived from controlled candidate metadata; no semantic evolution is asserted.</x:v>
      </x:c>
    </x:row>
    <x:row r="31" ht="32" customHeight="1">
      <x:c r="A31" s="40" t="str">
        <x:v>FT-REL-9FFE103FFDB9D8</x:v>
      </x:c>
      <x:c r="B31" s="31" t="str">
        <x:v>FT-SEED-R1B-P-1842-01</x:v>
      </x:c>
      <x:c r="C31" s="31" t="str">
        <x:v>FT-SEED-R1B-P-1938-11</x:v>
      </x:c>
      <x:c r="D31" s="31" t="str">
        <x:v>SAME_CANONICAL_CONCEPT</x:v>
      </x:c>
      <x:c r="E31" s="31" t="str">
        <x:v>COMPUTATIONAL_STRUCTURAL</x:v>
      </x:c>
      <x:c r="F31" s="31" t="str">
        <x:v>CROSS_ANCHOR</x:v>
      </x:c>
      <x:c r="G31" s="31" t="str">
        <x:v>Canonical concept equality in candidate ledger</x:v>
      </x:c>
      <x:c r="H31" s="19" t="str">
        <x:v>HIGH</x:v>
      </x:c>
      <x:c r="I31" s="43" t="str">
        <x:v>Derived from controlled candidate metadata; no semantic evolution is asserted.</x:v>
      </x:c>
    </x:row>
    <x:row r="32" ht="32" customHeight="1">
      <x:c r="A32" s="40" t="str">
        <x:v>FT-REL-899360E4F45384</x:v>
      </x:c>
      <x:c r="B32" s="31" t="str">
        <x:v>FT-SEED-R1B-P-1842-01</x:v>
      </x:c>
      <x:c r="C32" s="31" t="str">
        <x:v>FT-SEED-R1B-P-1938-15</x:v>
      </x:c>
      <x:c r="D32" s="31" t="str">
        <x:v>SAME_CANONICAL_CONCEPT</x:v>
      </x:c>
      <x:c r="E32" s="31" t="str">
        <x:v>COMPUTATIONAL_STRUCTURAL</x:v>
      </x:c>
      <x:c r="F32" s="31" t="str">
        <x:v>CROSS_ANCHOR</x:v>
      </x:c>
      <x:c r="G32" s="31" t="str">
        <x:v>Canonical concept equality in candidate ledger</x:v>
      </x:c>
      <x:c r="H32" s="19" t="str">
        <x:v>HIGH</x:v>
      </x:c>
      <x:c r="I32" s="43" t="str">
        <x:v>Derived from controlled candidate metadata; no semantic evolution is asserted.</x:v>
      </x:c>
    </x:row>
    <x:row r="33" ht="32" customHeight="1">
      <x:c r="A33" s="40" t="str">
        <x:v>FT-REL-A1F4375151FD7A</x:v>
      </x:c>
      <x:c r="B33" s="31" t="str">
        <x:v>FT-SEED-R1B-P-1842-01</x:v>
      </x:c>
      <x:c r="C33" s="31" t="str">
        <x:v>FT-SEED-R1B-P-1938-22</x:v>
      </x:c>
      <x:c r="D33" s="31" t="str">
        <x:v>SAME_CANONICAL_CONCEPT</x:v>
      </x:c>
      <x:c r="E33" s="31" t="str">
        <x:v>COMPUTATIONAL_STRUCTURAL</x:v>
      </x:c>
      <x:c r="F33" s="31" t="str">
        <x:v>CROSS_ANCHOR</x:v>
      </x:c>
      <x:c r="G33" s="31" t="str">
        <x:v>Canonical concept equality in candidate ledger</x:v>
      </x:c>
      <x:c r="H33" s="19" t="str">
        <x:v>HIGH</x:v>
      </x:c>
      <x:c r="I33" s="43" t="str">
        <x:v>Derived from controlled candidate metadata; no semantic evolution is asserted.</x:v>
      </x:c>
    </x:row>
    <x:row r="34" ht="32" customHeight="1">
      <x:c r="A34" s="40" t="str">
        <x:v>FT-REL-877FE371ED7EC0</x:v>
      </x:c>
      <x:c r="B34" s="31" t="str">
        <x:v>FT-SEED-R1B-P-1842-01</x:v>
      </x:c>
      <x:c r="C34" s="31" t="str">
        <x:v>FT-SEED-R1B-P-1988-14</x:v>
      </x:c>
      <x:c r="D34" s="31" t="str">
        <x:v>SAME_CANONICAL_CONCEPT</x:v>
      </x:c>
      <x:c r="E34" s="31" t="str">
        <x:v>COMPUTATIONAL_STRUCTURAL</x:v>
      </x:c>
      <x:c r="F34" s="31" t="str">
        <x:v>CROSS_ANCHOR</x:v>
      </x:c>
      <x:c r="G34" s="31" t="str">
        <x:v>Canonical concept equality in candidate ledger</x:v>
      </x:c>
      <x:c r="H34" s="19" t="str">
        <x:v>HIGH</x:v>
      </x:c>
      <x:c r="I34" s="43" t="str">
        <x:v>Derived from controlled candidate metadata; no semantic evolution is asserted.</x:v>
      </x:c>
    </x:row>
    <x:row r="35" ht="32" customHeight="1">
      <x:c r="A35" s="40" t="str">
        <x:v>FT-REL-0D20421696B24A</x:v>
      </x:c>
      <x:c r="B35" s="31" t="str">
        <x:v>FT-SEED-R1B-P-1842-02</x:v>
      </x:c>
      <x:c r="C35" s="31" t="str">
        <x:v>FT-SEED-R1B-P-1842-06</x:v>
      </x:c>
      <x:c r="D35" s="31" t="str">
        <x:v>SAME_CANONICAL_CONCEPT</x:v>
      </x:c>
      <x:c r="E35" s="31" t="str">
        <x:v>COMPUTATIONAL_STRUCTURAL</x:v>
      </x:c>
      <x:c r="F35" s="31" t="str">
        <x:v>WITHIN_ANCHOR</x:v>
      </x:c>
      <x:c r="G35" s="31" t="str">
        <x:v>Canonical concept equality in candidate ledger</x:v>
      </x:c>
      <x:c r="H35" s="19" t="str">
        <x:v>HIGH</x:v>
      </x:c>
      <x:c r="I35" s="43" t="str">
        <x:v>Derived from controlled candidate metadata; no semantic evolution is asserted.</x:v>
      </x:c>
    </x:row>
    <x:row r="36" ht="32" customHeight="1">
      <x:c r="A36" s="40" t="str">
        <x:v>FT-REL-58ECFE9EED71B2</x:v>
      </x:c>
      <x:c r="B36" s="31" t="str">
        <x:v>FT-SEED-R1B-P-1842-02</x:v>
      </x:c>
      <x:c r="C36" s="31" t="str">
        <x:v>FT-SEED-R1B-P-1938-09</x:v>
      </x:c>
      <x:c r="D36" s="31" t="str">
        <x:v>SAME_CANONICAL_CONCEPT</x:v>
      </x:c>
      <x:c r="E36" s="31" t="str">
        <x:v>COMPUTATIONAL_STRUCTURAL</x:v>
      </x:c>
      <x:c r="F36" s="31" t="str">
        <x:v>CROSS_ANCHOR</x:v>
      </x:c>
      <x:c r="G36" s="31" t="str">
        <x:v>Canonical concept equality in candidate ledger</x:v>
      </x:c>
      <x:c r="H36" s="19" t="str">
        <x:v>HIGH</x:v>
      </x:c>
      <x:c r="I36" s="43" t="str">
        <x:v>Derived from controlled candidate metadata; no semantic evolution is asserted.</x:v>
      </x:c>
    </x:row>
    <x:row r="37" ht="32" customHeight="1">
      <x:c r="A37" s="40" t="str">
        <x:v>FT-REL-DEB34CF14139AE</x:v>
      </x:c>
      <x:c r="B37" s="31" t="str">
        <x:v>FT-SEED-R1B-P-1842-02</x:v>
      </x:c>
      <x:c r="C37" s="31" t="str">
        <x:v>FT-SEED-R1B-P-1938-10</x:v>
      </x:c>
      <x:c r="D37" s="31" t="str">
        <x:v>SAME_CANONICAL_CONCEPT</x:v>
      </x:c>
      <x:c r="E37" s="31" t="str">
        <x:v>COMPUTATIONAL_STRUCTURAL</x:v>
      </x:c>
      <x:c r="F37" s="31" t="str">
        <x:v>CROSS_ANCHOR</x:v>
      </x:c>
      <x:c r="G37" s="31" t="str">
        <x:v>Canonical concept equality in candidate ledger</x:v>
      </x:c>
      <x:c r="H37" s="19" t="str">
        <x:v>HIGH</x:v>
      </x:c>
      <x:c r="I37" s="43" t="str">
        <x:v>Derived from controlled candidate metadata; no semantic evolution is asserted.</x:v>
      </x:c>
    </x:row>
    <x:row r="38" ht="32" customHeight="1">
      <x:c r="A38" s="40" t="str">
        <x:v>FT-REL-29044E0D0644F2</x:v>
      </x:c>
      <x:c r="B38" s="31" t="str">
        <x:v>FT-SEED-R1B-P-1842-02</x:v>
      </x:c>
      <x:c r="C38" s="31" t="str">
        <x:v>FT-SEED-R1B-P-1938-16</x:v>
      </x:c>
      <x:c r="D38" s="31" t="str">
        <x:v>SAME_CANONICAL_CONCEPT</x:v>
      </x:c>
      <x:c r="E38" s="31" t="str">
        <x:v>COMPUTATIONAL_STRUCTURAL</x:v>
      </x:c>
      <x:c r="F38" s="31" t="str">
        <x:v>CROSS_ANCHOR</x:v>
      </x:c>
      <x:c r="G38" s="31" t="str">
        <x:v>Canonical concept equality in candidate ledger</x:v>
      </x:c>
      <x:c r="H38" s="19" t="str">
        <x:v>HIGH</x:v>
      </x:c>
      <x:c r="I38" s="43" t="str">
        <x:v>Derived from controlled candidate metadata; no semantic evolution is asserted.</x:v>
      </x:c>
    </x:row>
    <x:row r="39" ht="32" customHeight="1">
      <x:c r="A39" s="40" t="str">
        <x:v>FT-REL-4F901F31D38B21</x:v>
      </x:c>
      <x:c r="B39" s="31" t="str">
        <x:v>FT-SEED-R1B-P-1842-12</x:v>
      </x:c>
      <x:c r="C39" s="31" t="str">
        <x:v>FT-SEED-R1B-P-0607-02</x:v>
      </x:c>
      <x:c r="D39" s="31" t="str">
        <x:v>SAME_CANONICAL_CONCEPT</x:v>
      </x:c>
      <x:c r="E39" s="31" t="str">
        <x:v>COMPUTATIONAL_STRUCTURAL</x:v>
      </x:c>
      <x:c r="F39" s="31" t="str">
        <x:v>CROSS_ANCHOR</x:v>
      </x:c>
      <x:c r="G39" s="31" t="str">
        <x:v>Canonical concept equality in candidate ledger</x:v>
      </x:c>
      <x:c r="H39" s="19" t="str">
        <x:v>HIGH</x:v>
      </x:c>
      <x:c r="I39" s="43" t="str">
        <x:v>Derived from controlled candidate metadata; no semantic evolution is asserted.</x:v>
      </x:c>
    </x:row>
    <x:row r="40" ht="32" customHeight="1">
      <x:c r="A40" s="40" t="str">
        <x:v>FT-REL-AC02849B040BC2</x:v>
      </x:c>
      <x:c r="B40" s="31" t="str">
        <x:v>FT-SEED-R1B-P-1842-12</x:v>
      </x:c>
      <x:c r="C40" s="31" t="str">
        <x:v>FT-SEED-R1B-P-1842-13</x:v>
      </x:c>
      <x:c r="D40" s="31" t="str">
        <x:v>SAME_CANONICAL_CONCEPT</x:v>
      </x:c>
      <x:c r="E40" s="31" t="str">
        <x:v>COMPUTATIONAL_STRUCTURAL</x:v>
      </x:c>
      <x:c r="F40" s="31" t="str">
        <x:v>WITHIN_ANCHOR</x:v>
      </x:c>
      <x:c r="G40" s="31" t="str">
        <x:v>Canonical concept equality in candidate ledger</x:v>
      </x:c>
      <x:c r="H40" s="19" t="str">
        <x:v>HIGH</x:v>
      </x:c>
      <x:c r="I40" s="43" t="str">
        <x:v>Derived from controlled candidate metadata; no semantic evolution is asserted.</x:v>
      </x:c>
    </x:row>
    <x:row r="41" ht="32" customHeight="1">
      <x:c r="A41" s="40" t="str">
        <x:v>FT-REL-7A4A236E434B7E</x:v>
      </x:c>
      <x:c r="B41" s="31" t="str">
        <x:v>FT-SEED-R1B-P-1842-12</x:v>
      </x:c>
      <x:c r="C41" s="31" t="str">
        <x:v>FT-SEED-R1B-P-1842-14</x:v>
      </x:c>
      <x:c r="D41" s="31" t="str">
        <x:v>SAME_CANONICAL_CONCEPT</x:v>
      </x:c>
      <x:c r="E41" s="31" t="str">
        <x:v>COMPUTATIONAL_STRUCTURAL</x:v>
      </x:c>
      <x:c r="F41" s="31" t="str">
        <x:v>WITHIN_ANCHOR</x:v>
      </x:c>
      <x:c r="G41" s="31" t="str">
        <x:v>Canonical concept equality in candidate ledger</x:v>
      </x:c>
      <x:c r="H41" s="19" t="str">
        <x:v>HIGH</x:v>
      </x:c>
      <x:c r="I41" s="43" t="str">
        <x:v>Derived from controlled candidate metadata; no semantic evolution is asserted.</x:v>
      </x:c>
    </x:row>
    <x:row r="42" ht="32" customHeight="1">
      <x:c r="A42" s="40" t="str">
        <x:v>FT-REL-67A423DA5FE597</x:v>
      </x:c>
      <x:c r="B42" s="31" t="str">
        <x:v>FT-SEED-R1B-P-1842-12</x:v>
      </x:c>
      <x:c r="C42" s="31" t="str">
        <x:v>FT-SEED-R1B-P-1842-15</x:v>
      </x:c>
      <x:c r="D42" s="31" t="str">
        <x:v>SAME_CANONICAL_CONCEPT</x:v>
      </x:c>
      <x:c r="E42" s="31" t="str">
        <x:v>COMPUTATIONAL_STRUCTURAL</x:v>
      </x:c>
      <x:c r="F42" s="31" t="str">
        <x:v>WITHIN_ANCHOR</x:v>
      </x:c>
      <x:c r="G42" s="31" t="str">
        <x:v>Canonical concept equality in candidate ledger</x:v>
      </x:c>
      <x:c r="H42" s="19" t="str">
        <x:v>HIGH</x:v>
      </x:c>
      <x:c r="I42" s="43" t="str">
        <x:v>Derived from controlled candidate metadata; no semantic evolution is asserted.</x:v>
      </x:c>
    </x:row>
    <x:row r="43" ht="32" customHeight="1">
      <x:c r="A43" s="40" t="str">
        <x:v>FT-REL-C838DE6B937C86</x:v>
      </x:c>
      <x:c r="B43" s="31" t="str">
        <x:v>FT-SEED-R1B-P-1842-12</x:v>
      </x:c>
      <x:c r="C43" s="31" t="str">
        <x:v>FT-SEED-R1B-P-1938-04</x:v>
      </x:c>
      <x:c r="D43" s="31" t="str">
        <x:v>SAME_CANONICAL_CONCEPT</x:v>
      </x:c>
      <x:c r="E43" s="31" t="str">
        <x:v>COMPUTATIONAL_STRUCTURAL</x:v>
      </x:c>
      <x:c r="F43" s="31" t="str">
        <x:v>CROSS_ANCHOR</x:v>
      </x:c>
      <x:c r="G43" s="31" t="str">
        <x:v>Canonical concept equality in candidate ledger</x:v>
      </x:c>
      <x:c r="H43" s="19" t="str">
        <x:v>HIGH</x:v>
      </x:c>
      <x:c r="I43" s="43" t="str">
        <x:v>Derived from controlled candidate metadata; no semantic evolution is asserted.</x:v>
      </x:c>
    </x:row>
    <x:row r="44" ht="32" customHeight="1">
      <x:c r="A44" s="40" t="str">
        <x:v>FT-REL-DD65A2A48C6F0A</x:v>
      </x:c>
      <x:c r="B44" s="31" t="str">
        <x:v>FT-SEED-R1B-P-1842-12</x:v>
      </x:c>
      <x:c r="C44" s="31" t="str">
        <x:v>FT-SEED-R1B-P-1938-05</x:v>
      </x:c>
      <x:c r="D44" s="31" t="str">
        <x:v>SAME_CANONICAL_CONCEPT</x:v>
      </x:c>
      <x:c r="E44" s="31" t="str">
        <x:v>COMPUTATIONAL_STRUCTURAL</x:v>
      </x:c>
      <x:c r="F44" s="31" t="str">
        <x:v>CROSS_ANCHOR</x:v>
      </x:c>
      <x:c r="G44" s="31" t="str">
        <x:v>Canonical concept equality in candidate ledger</x:v>
      </x:c>
      <x:c r="H44" s="19" t="str">
        <x:v>HIGH</x:v>
      </x:c>
      <x:c r="I44" s="43" t="str">
        <x:v>Derived from controlled candidate metadata; no semantic evolution is asserted.</x:v>
      </x:c>
    </x:row>
    <x:row r="45" ht="32" customHeight="1">
      <x:c r="A45" s="40" t="str">
        <x:v>FT-REL-C576790BB2E308</x:v>
      </x:c>
      <x:c r="B45" s="31" t="str">
        <x:v>FT-SEED-R1B-P-1842-12</x:v>
      </x:c>
      <x:c r="C45" s="31" t="str">
        <x:v>FT-SEED-R1B-P-1938-06</x:v>
      </x:c>
      <x:c r="D45" s="31" t="str">
        <x:v>SAME_CANONICAL_CONCEPT</x:v>
      </x:c>
      <x:c r="E45" s="31" t="str">
        <x:v>COMPUTATIONAL_STRUCTURAL</x:v>
      </x:c>
      <x:c r="F45" s="31" t="str">
        <x:v>CROSS_ANCHOR</x:v>
      </x:c>
      <x:c r="G45" s="31" t="str">
        <x:v>Canonical concept equality in candidate ledger</x:v>
      </x:c>
      <x:c r="H45" s="19" t="str">
        <x:v>HIGH</x:v>
      </x:c>
      <x:c r="I45" s="43" t="str">
        <x:v>Derived from controlled candidate metadata; no semantic evolution is asserted.</x:v>
      </x:c>
    </x:row>
    <x:row r="46" ht="32" customHeight="1">
      <x:c r="A46" s="40" t="str">
        <x:v>FT-REL-FCBF2F63C7C7CE</x:v>
      </x:c>
      <x:c r="B46" s="31" t="str">
        <x:v>FT-SEED-R1B-P-1842-12</x:v>
      </x:c>
      <x:c r="C46" s="31" t="str">
        <x:v>FT-SEED-R1B-P-1938-07</x:v>
      </x:c>
      <x:c r="D46" s="31" t="str">
        <x:v>SAME_CANONICAL_CONCEPT</x:v>
      </x:c>
      <x:c r="E46" s="31" t="str">
        <x:v>COMPUTATIONAL_STRUCTURAL</x:v>
      </x:c>
      <x:c r="F46" s="31" t="str">
        <x:v>CROSS_ANCHOR</x:v>
      </x:c>
      <x:c r="G46" s="31" t="str">
        <x:v>Canonical concept equality in candidate ledger</x:v>
      </x:c>
      <x:c r="H46" s="19" t="str">
        <x:v>HIGH</x:v>
      </x:c>
      <x:c r="I46" s="43" t="str">
        <x:v>Derived from controlled candidate metadata; no semantic evolution is asserted.</x:v>
      </x:c>
    </x:row>
    <x:row r="47" ht="32" customHeight="1">
      <x:c r="A47" s="40" t="str">
        <x:v>FT-REL-384D65C5787BFE</x:v>
      </x:c>
      <x:c r="B47" s="31" t="str">
        <x:v>FT-SEED-R1B-P-1842-12</x:v>
      </x:c>
      <x:c r="C47" s="31" t="str">
        <x:v>FT-SEED-R1B-P-1938-08</x:v>
      </x:c>
      <x:c r="D47" s="31" t="str">
        <x:v>SAME_CANONICAL_CONCEPT</x:v>
      </x:c>
      <x:c r="E47" s="31" t="str">
        <x:v>COMPUTATIONAL_STRUCTURAL</x:v>
      </x:c>
      <x:c r="F47" s="31" t="str">
        <x:v>CROSS_ANCHOR</x:v>
      </x:c>
      <x:c r="G47" s="31" t="str">
        <x:v>Canonical concept equality in candidate ledger</x:v>
      </x:c>
      <x:c r="H47" s="19" t="str">
        <x:v>HIGH</x:v>
      </x:c>
      <x:c r="I47" s="43" t="str">
        <x:v>Derived from controlled candidate metadata; no semantic evolution is asserted.</x:v>
      </x:c>
    </x:row>
    <x:row r="48" ht="32" customHeight="1">
      <x:c r="A48" s="40" t="str">
        <x:v>FT-REL-5F328AFC15F169</x:v>
      </x:c>
      <x:c r="B48" s="31" t="str">
        <x:v>FT-SEED-R1B-P-1842-12</x:v>
      </x:c>
      <x:c r="C48" s="31" t="str">
        <x:v>FT-SEED-R1B-P-1938-12</x:v>
      </x:c>
      <x:c r="D48" s="31" t="str">
        <x:v>SAME_CANONICAL_CONCEPT</x:v>
      </x:c>
      <x:c r="E48" s="31" t="str">
        <x:v>COMPUTATIONAL_STRUCTURAL</x:v>
      </x:c>
      <x:c r="F48" s="31" t="str">
        <x:v>CROSS_ANCHOR</x:v>
      </x:c>
      <x:c r="G48" s="31" t="str">
        <x:v>Canonical concept equality in candidate ledger</x:v>
      </x:c>
      <x:c r="H48" s="19" t="str">
        <x:v>HIGH</x:v>
      </x:c>
      <x:c r="I48" s="43" t="str">
        <x:v>Derived from controlled candidate metadata; no semantic evolution is asserted.</x:v>
      </x:c>
    </x:row>
    <x:row r="49" ht="32" customHeight="1">
      <x:c r="A49" s="40" t="str">
        <x:v>FT-REL-78610FBF8D88AF</x:v>
      </x:c>
      <x:c r="B49" s="31" t="str">
        <x:v>FT-SEED-R1B-P-1842-12</x:v>
      </x:c>
      <x:c r="C49" s="31" t="str">
        <x:v>FT-SEED-R1B-P-1988-04</x:v>
      </x:c>
      <x:c r="D49" s="31" t="str">
        <x:v>SAME_CANONICAL_CONCEPT</x:v>
      </x:c>
      <x:c r="E49" s="31" t="str">
        <x:v>COMPUTATIONAL_STRUCTURAL</x:v>
      </x:c>
      <x:c r="F49" s="31" t="str">
        <x:v>CROSS_ANCHOR</x:v>
      </x:c>
      <x:c r="G49" s="31" t="str">
        <x:v>Canonical concept equality in candidate ledger</x:v>
      </x:c>
      <x:c r="H49" s="19" t="str">
        <x:v>HIGH</x:v>
      </x:c>
      <x:c r="I49" s="43" t="str">
        <x:v>Derived from controlled candidate metadata; no semantic evolution is asserted.</x:v>
      </x:c>
    </x:row>
    <x:row r="50" ht="32" customHeight="1">
      <x:c r="A50" s="40" t="str">
        <x:v>FT-REL-74561D3EB099A6</x:v>
      </x:c>
      <x:c r="B50" s="31" t="str">
        <x:v>FT-SEED-R1B-P-1842-12</x:v>
      </x:c>
      <x:c r="C50" s="31" t="str">
        <x:v>FT-SEED-R1B-P-1988-13</x:v>
      </x:c>
      <x:c r="D50" s="31" t="str">
        <x:v>SAME_CANONICAL_CONCEPT</x:v>
      </x:c>
      <x:c r="E50" s="31" t="str">
        <x:v>COMPUTATIONAL_STRUCTURAL</x:v>
      </x:c>
      <x:c r="F50" s="31" t="str">
        <x:v>CROSS_ANCHOR</x:v>
      </x:c>
      <x:c r="G50" s="31" t="str">
        <x:v>Canonical concept equality in candidate ledger</x:v>
      </x:c>
      <x:c r="H50" s="19" t="str">
        <x:v>HIGH</x:v>
      </x:c>
      <x:c r="I50" s="43" t="str">
        <x:v>Derived from controlled candidate metadata; no semantic evolution is asserted.</x:v>
      </x:c>
    </x:row>
    <x:row r="51" ht="32" customHeight="1">
      <x:c r="A51" s="40" t="str">
        <x:v>FT-REL-CA2AEF70FE933F</x:v>
      </x:c>
      <x:c r="B51" s="31" t="str">
        <x:v>FT-SEED-R1B-P-1842-12</x:v>
      </x:c>
      <x:c r="C51" s="31" t="str">
        <x:v>FT-SEED-R1B-P-2015-06</x:v>
      </x:c>
      <x:c r="D51" s="31" t="str">
        <x:v>SAME_CANONICAL_CONCEPT</x:v>
      </x:c>
      <x:c r="E51" s="31" t="str">
        <x:v>COMPUTATIONAL_STRUCTURAL</x:v>
      </x:c>
      <x:c r="F51" s="31" t="str">
        <x:v>CROSS_ANCHOR</x:v>
      </x:c>
      <x:c r="G51" s="31" t="str">
        <x:v>Canonical concept equality in candidate ledger</x:v>
      </x:c>
      <x:c r="H51" s="19" t="str">
        <x:v>HIGH</x:v>
      </x:c>
      <x:c r="I51" s="43" t="str">
        <x:v>Derived from controlled candidate metadata; no semantic evolution is asserted.</x:v>
      </x:c>
    </x:row>
    <x:row r="52" ht="32" customHeight="1">
      <x:c r="A52" s="40" t="str">
        <x:v>FT-REL-565BA218C54BA9</x:v>
      </x:c>
      <x:c r="B52" s="31" t="str">
        <x:v>FT-SEED-R1B-P-1842-16</x:v>
      </x:c>
      <x:c r="C52" s="31" t="str">
        <x:v>FT-SEED-R1B-P-1842-17</x:v>
      </x:c>
      <x:c r="D52" s="31" t="str">
        <x:v>SAME_CANONICAL_CONCEPT</x:v>
      </x:c>
      <x:c r="E52" s="31" t="str">
        <x:v>COMPUTATIONAL_STRUCTURAL</x:v>
      </x:c>
      <x:c r="F52" s="31" t="str">
        <x:v>WITHIN_ANCHOR</x:v>
      </x:c>
      <x:c r="G52" s="31" t="str">
        <x:v>Canonical concept equality in candidate ledger</x:v>
      </x:c>
      <x:c r="H52" s="19" t="str">
        <x:v>HIGH</x:v>
      </x:c>
      <x:c r="I52" s="43" t="str">
        <x:v>Derived from controlled candidate metadata; no semantic evolution is asserted.</x:v>
      </x:c>
    </x:row>
    <x:row r="53" ht="32" customHeight="1">
      <x:c r="A53" s="40" t="str">
        <x:v>FT-REL-3286059DF5439F</x:v>
      </x:c>
      <x:c r="B53" s="31" t="str">
        <x:v>FT-SEED-R1B-P-1842-16</x:v>
      </x:c>
      <x:c r="C53" s="31" t="str">
        <x:v>FT-SEED-R1B-P-1842-21</x:v>
      </x:c>
      <x:c r="D53" s="31" t="str">
        <x:v>SAME_CANONICAL_CONCEPT</x:v>
      </x:c>
      <x:c r="E53" s="31" t="str">
        <x:v>COMPUTATIONAL_STRUCTURAL</x:v>
      </x:c>
      <x:c r="F53" s="31" t="str">
        <x:v>WITHIN_ANCHOR</x:v>
      </x:c>
      <x:c r="G53" s="31" t="str">
        <x:v>Canonical concept equality in candidate ledger</x:v>
      </x:c>
      <x:c r="H53" s="19" t="str">
        <x:v>HIGH</x:v>
      </x:c>
      <x:c r="I53" s="43" t="str">
        <x:v>Derived from controlled candidate metadata; no semantic evolution is asserted.</x:v>
      </x:c>
    </x:row>
    <x:row r="54" ht="32" customHeight="1">
      <x:c r="A54" s="40" t="str">
        <x:v>FT-REL-EB67FB5FCA4D9E</x:v>
      </x:c>
      <x:c r="B54" s="31" t="str">
        <x:v>FT-SEED-R1B-P-1842-16</x:v>
      </x:c>
      <x:c r="C54" s="31" t="str">
        <x:v>FT-SEED-R1B-P-1842-27</x:v>
      </x:c>
      <x:c r="D54" s="31" t="str">
        <x:v>SAME_CANONICAL_CONCEPT</x:v>
      </x:c>
      <x:c r="E54" s="31" t="str">
        <x:v>COMPUTATIONAL_STRUCTURAL</x:v>
      </x:c>
      <x:c r="F54" s="31" t="str">
        <x:v>WITHIN_ANCHOR</x:v>
      </x:c>
      <x:c r="G54" s="31" t="str">
        <x:v>Canonical concept equality in candidate ledger</x:v>
      </x:c>
      <x:c r="H54" s="19" t="str">
        <x:v>HIGH</x:v>
      </x:c>
      <x:c r="I54" s="43" t="str">
        <x:v>Derived from controlled candidate metadata; no semantic evolution is asserted.</x:v>
      </x:c>
    </x:row>
    <x:row r="55" ht="32" customHeight="1">
      <x:c r="A55" s="40" t="str">
        <x:v>FT-REL-84C0D3CBE94840</x:v>
      </x:c>
      <x:c r="B55" s="31" t="str">
        <x:v>FT-SEED-R1B-P-1842-16</x:v>
      </x:c>
      <x:c r="C55" s="31" t="str">
        <x:v>FT-SEED-R1B-P-1842-28</x:v>
      </x:c>
      <x:c r="D55" s="31" t="str">
        <x:v>SAME_CANONICAL_CONCEPT</x:v>
      </x:c>
      <x:c r="E55" s="31" t="str">
        <x:v>COMPUTATIONAL_STRUCTURAL</x:v>
      </x:c>
      <x:c r="F55" s="31" t="str">
        <x:v>WITHIN_ANCHOR</x:v>
      </x:c>
      <x:c r="G55" s="31" t="str">
        <x:v>Canonical concept equality in candidate ledger</x:v>
      </x:c>
      <x:c r="H55" s="19" t="str">
        <x:v>HIGH</x:v>
      </x:c>
      <x:c r="I55" s="43" t="str">
        <x:v>Derived from controlled candidate metadata; no semantic evolution is asserted.</x:v>
      </x:c>
    </x:row>
    <x:row r="56" ht="32" customHeight="1">
      <x:c r="A56" s="40" t="str">
        <x:v>FT-REL-0FE1C25348BFA0</x:v>
      </x:c>
      <x:c r="B56" s="31" t="str">
        <x:v>FT-SEED-R1B-P-1842-16</x:v>
      </x:c>
      <x:c r="C56" s="31" t="str">
        <x:v>FT-SEED-R1B-P-1938-24</x:v>
      </x:c>
      <x:c r="D56" s="31" t="str">
        <x:v>SAME_CANONICAL_CONCEPT</x:v>
      </x:c>
      <x:c r="E56" s="31" t="str">
        <x:v>COMPUTATIONAL_STRUCTURAL</x:v>
      </x:c>
      <x:c r="F56" s="31" t="str">
        <x:v>CROSS_ANCHOR</x:v>
      </x:c>
      <x:c r="G56" s="31" t="str">
        <x:v>Canonical concept equality in candidate ledger</x:v>
      </x:c>
      <x:c r="H56" s="19" t="str">
        <x:v>HIGH</x:v>
      </x:c>
      <x:c r="I56" s="43" t="str">
        <x:v>Derived from controlled candidate metadata; no semantic evolution is asserted.</x:v>
      </x:c>
    </x:row>
    <x:row r="57" ht="32" customHeight="1">
      <x:c r="A57" s="40" t="str">
        <x:v>FT-REL-1EBAD8C52B04DA</x:v>
      </x:c>
      <x:c r="B57" s="31" t="str">
        <x:v>FT-SEED-R1B-P-1842-16</x:v>
      </x:c>
      <x:c r="C57" s="31" t="str">
        <x:v>FT-SEED-R1B-P-1938-27</x:v>
      </x:c>
      <x:c r="D57" s="31" t="str">
        <x:v>SAME_CANONICAL_CONCEPT</x:v>
      </x:c>
      <x:c r="E57" s="31" t="str">
        <x:v>COMPUTATIONAL_STRUCTURAL</x:v>
      </x:c>
      <x:c r="F57" s="31" t="str">
        <x:v>CROSS_ANCHOR</x:v>
      </x:c>
      <x:c r="G57" s="31" t="str">
        <x:v>Canonical concept equality in candidate ledger</x:v>
      </x:c>
      <x:c r="H57" s="19" t="str">
        <x:v>HIGH</x:v>
      </x:c>
      <x:c r="I57" s="43" t="str">
        <x:v>Derived from controlled candidate metadata; no semantic evolution is asserted.</x:v>
      </x:c>
    </x:row>
    <x:row r="58" ht="32" customHeight="1">
      <x:c r="A58" s="40" t="str">
        <x:v>FT-REL-3FCC5BC0B85CFF</x:v>
      </x:c>
      <x:c r="B58" s="31" t="str">
        <x:v>FT-SEED-R1B-P-1842-19</x:v>
      </x:c>
      <x:c r="C58" s="31" t="str">
        <x:v>FT-SEED-R1B-P-1938-30</x:v>
      </x:c>
      <x:c r="D58" s="31" t="str">
        <x:v>SAME_CANONICAL_CONCEPT</x:v>
      </x:c>
      <x:c r="E58" s="31" t="str">
        <x:v>COMPUTATIONAL_STRUCTURAL</x:v>
      </x:c>
      <x:c r="F58" s="31" t="str">
        <x:v>CROSS_ANCHOR</x:v>
      </x:c>
      <x:c r="G58" s="31" t="str">
        <x:v>Canonical concept equality in candidate ledger</x:v>
      </x:c>
      <x:c r="H58" s="19" t="str">
        <x:v>HIGH</x:v>
      </x:c>
      <x:c r="I58" s="43" t="str">
        <x:v>Derived from controlled candidate metadata; no semantic evolution is asserted.</x:v>
      </x:c>
    </x:row>
    <x:row r="59" ht="32" customHeight="1">
      <x:c r="A59" s="40" t="str">
        <x:v>FT-REL-DC6A96EEE1505A</x:v>
      </x:c>
      <x:c r="B59" s="31" t="str">
        <x:v>FT-SEED-R1B-P-1842-19</x:v>
      </x:c>
      <x:c r="C59" s="31" t="str">
        <x:v>FT-SEED-R1B-P-2022-23</x:v>
      </x:c>
      <x:c r="D59" s="31" t="str">
        <x:v>SAME_CANONICAL_CONCEPT</x:v>
      </x:c>
      <x:c r="E59" s="31" t="str">
        <x:v>COMPUTATIONAL_STRUCTURAL</x:v>
      </x:c>
      <x:c r="F59" s="31" t="str">
        <x:v>CROSS_ANCHOR</x:v>
      </x:c>
      <x:c r="G59" s="31" t="str">
        <x:v>Canonical concept equality in candidate ledger</x:v>
      </x:c>
      <x:c r="H59" s="19" t="str">
        <x:v>HIGH</x:v>
      </x:c>
      <x:c r="I59" s="43" t="str">
        <x:v>Derived from controlled candidate metadata; no semantic evolution is asserted.</x:v>
      </x:c>
    </x:row>
    <x:row r="60" ht="32" customHeight="1">
      <x:c r="A60" s="40" t="str">
        <x:v>FT-REL-5E87E524C7879A</x:v>
      </x:c>
      <x:c r="B60" s="31" t="str">
        <x:v>FT-SEED-R1B-P-1842-20</x:v>
      </x:c>
      <x:c r="C60" s="31" t="str">
        <x:v>FT-SEED-R1B-P-1842-26</x:v>
      </x:c>
      <x:c r="D60" s="31" t="str">
        <x:v>SAME_CANONICAL_CONCEPT</x:v>
      </x:c>
      <x:c r="E60" s="31" t="str">
        <x:v>COMPUTATIONAL_STRUCTURAL</x:v>
      </x:c>
      <x:c r="F60" s="31" t="str">
        <x:v>WITHIN_ANCHOR</x:v>
      </x:c>
      <x:c r="G60" s="31" t="str">
        <x:v>Canonical concept equality in candidate ledger</x:v>
      </x:c>
      <x:c r="H60" s="19" t="str">
        <x:v>HIGH</x:v>
      </x:c>
      <x:c r="I60" s="43" t="str">
        <x:v>Derived from controlled candidate metadata; no semantic evolution is asserted.</x:v>
      </x:c>
    </x:row>
    <x:row r="61" ht="32" customHeight="1">
      <x:c r="A61" s="40" t="str">
        <x:v>FT-REL-D98BE9265C82C1</x:v>
      </x:c>
      <x:c r="B61" s="31" t="str">
        <x:v>FT-SEED-R1B-P-1842-22</x:v>
      </x:c>
      <x:c r="C61" s="31" t="str">
        <x:v>FT-SEED-R1B-P-0607-06</x:v>
      </x:c>
      <x:c r="D61" s="31" t="str">
        <x:v>SAME_CANONICAL_CONCEPT</x:v>
      </x:c>
      <x:c r="E61" s="31" t="str">
        <x:v>COMPUTATIONAL_STRUCTURAL</x:v>
      </x:c>
      <x:c r="F61" s="31" t="str">
        <x:v>CROSS_ANCHOR</x:v>
      </x:c>
      <x:c r="G61" s="31" t="str">
        <x:v>Canonical concept equality in candidate ledger</x:v>
      </x:c>
      <x:c r="H61" s="19" t="str">
        <x:v>HIGH</x:v>
      </x:c>
      <x:c r="I61" s="43" t="str">
        <x:v>Derived from controlled candidate metadata; no semantic evolution is asserted.</x:v>
      </x:c>
    </x:row>
    <x:row r="62" ht="32" customHeight="1">
      <x:c r="A62" s="40" t="str">
        <x:v>FT-REL-93B8892C7C51B3</x:v>
      </x:c>
      <x:c r="B62" s="31" t="str">
        <x:v>FT-SEED-R1B-P-1842-22</x:v>
      </x:c>
      <x:c r="C62" s="31" t="str">
        <x:v>FT-SEED-R1B-P-0607-07</x:v>
      </x:c>
      <x:c r="D62" s="31" t="str">
        <x:v>SAME_CANONICAL_CONCEPT</x:v>
      </x:c>
      <x:c r="E62" s="31" t="str">
        <x:v>COMPUTATIONAL_STRUCTURAL</x:v>
      </x:c>
      <x:c r="F62" s="31" t="str">
        <x:v>CROSS_ANCHOR</x:v>
      </x:c>
      <x:c r="G62" s="31" t="str">
        <x:v>Canonical concept equality in candidate ledger</x:v>
      </x:c>
      <x:c r="H62" s="19" t="str">
        <x:v>HIGH</x:v>
      </x:c>
      <x:c r="I62" s="43" t="str">
        <x:v>Derived from controlled candidate metadata; no semantic evolution is asserted.</x:v>
      </x:c>
    </x:row>
    <x:row r="63" ht="32" customHeight="1">
      <x:c r="A63" s="40" t="str">
        <x:v>FT-REL-31401BA4680006</x:v>
      </x:c>
      <x:c r="B63" s="31" t="str">
        <x:v>FT-SEED-R1B-P-1842-22</x:v>
      </x:c>
      <x:c r="C63" s="31" t="str">
        <x:v>FT-SEED-R1B-P-0607-13</x:v>
      </x:c>
      <x:c r="D63" s="31" t="str">
        <x:v>SAME_CANONICAL_CONCEPT</x:v>
      </x:c>
      <x:c r="E63" s="31" t="str">
        <x:v>COMPUTATIONAL_STRUCTURAL</x:v>
      </x:c>
      <x:c r="F63" s="31" t="str">
        <x:v>CROSS_ANCHOR</x:v>
      </x:c>
      <x:c r="G63" s="31" t="str">
        <x:v>Canonical concept equality in candidate ledger</x:v>
      </x:c>
      <x:c r="H63" s="19" t="str">
        <x:v>HIGH</x:v>
      </x:c>
      <x:c r="I63" s="43" t="str">
        <x:v>Derived from controlled candidate metadata; no semantic evolution is asserted.</x:v>
      </x:c>
    </x:row>
    <x:row r="64" ht="32" customHeight="1">
      <x:c r="A64" s="40" t="str">
        <x:v>FT-REL-1E77C577F83C6E</x:v>
      </x:c>
      <x:c r="B64" s="31" t="str">
        <x:v>FT-SEED-R1B-P-1842-22</x:v>
      </x:c>
      <x:c r="C64" s="31" t="str">
        <x:v>FT-SEED-R1B-P-0607-16</x:v>
      </x:c>
      <x:c r="D64" s="31" t="str">
        <x:v>SAME_CANONICAL_CONCEPT</x:v>
      </x:c>
      <x:c r="E64" s="31" t="str">
        <x:v>COMPUTATIONAL_STRUCTURAL</x:v>
      </x:c>
      <x:c r="F64" s="31" t="str">
        <x:v>CROSS_ANCHOR</x:v>
      </x:c>
      <x:c r="G64" s="31" t="str">
        <x:v>Canonical concept equality in candidate ledger</x:v>
      </x:c>
      <x:c r="H64" s="19" t="str">
        <x:v>HIGH</x:v>
      </x:c>
      <x:c r="I64" s="43" t="str">
        <x:v>Derived from controlled candidate metadata; no semantic evolution is asserted.</x:v>
      </x:c>
    </x:row>
    <x:row r="65" ht="32" customHeight="1">
      <x:c r="A65" s="40" t="str">
        <x:v>FT-REL-E35D47C4BA3E9B</x:v>
      </x:c>
      <x:c r="B65" s="31" t="str">
        <x:v>FT-SEED-R1B-P-1842-22</x:v>
      </x:c>
      <x:c r="C65" s="31" t="str">
        <x:v>FT-SEED-R1B-P-0607-17</x:v>
      </x:c>
      <x:c r="D65" s="31" t="str">
        <x:v>SAME_CANONICAL_CONCEPT</x:v>
      </x:c>
      <x:c r="E65" s="31" t="str">
        <x:v>COMPUTATIONAL_STRUCTURAL</x:v>
      </x:c>
      <x:c r="F65" s="31" t="str">
        <x:v>CROSS_ANCHOR</x:v>
      </x:c>
      <x:c r="G65" s="31" t="str">
        <x:v>Canonical concept equality in candidate ledger</x:v>
      </x:c>
      <x:c r="H65" s="19" t="str">
        <x:v>HIGH</x:v>
      </x:c>
      <x:c r="I65" s="43" t="str">
        <x:v>Derived from controlled candidate metadata; no semantic evolution is asserted.</x:v>
      </x:c>
    </x:row>
    <x:row r="66" ht="32" customHeight="1">
      <x:c r="A66" s="40" t="str">
        <x:v>FT-REL-86BD37326F98D6</x:v>
      </x:c>
      <x:c r="B66" s="31" t="str">
        <x:v>FT-SEED-R1B-P-1842-22</x:v>
      </x:c>
      <x:c r="C66" s="31" t="str">
        <x:v>FT-SEED-R1B-P-0607-18</x:v>
      </x:c>
      <x:c r="D66" s="31" t="str">
        <x:v>SAME_CANONICAL_CONCEPT</x:v>
      </x:c>
      <x:c r="E66" s="31" t="str">
        <x:v>COMPUTATIONAL_STRUCTURAL</x:v>
      </x:c>
      <x:c r="F66" s="31" t="str">
        <x:v>CROSS_ANCHOR</x:v>
      </x:c>
      <x:c r="G66" s="31" t="str">
        <x:v>Canonical concept equality in candidate ledger</x:v>
      </x:c>
      <x:c r="H66" s="19" t="str">
        <x:v>HIGH</x:v>
      </x:c>
      <x:c r="I66" s="43" t="str">
        <x:v>Derived from controlled candidate metadata; no semantic evolution is asserted.</x:v>
      </x:c>
    </x:row>
    <x:row r="67" ht="32" customHeight="1">
      <x:c r="A67" s="40" t="str">
        <x:v>FT-REL-DB9DCDF6354D0B</x:v>
      </x:c>
      <x:c r="B67" s="31" t="str">
        <x:v>FT-SEED-R1B-P-1842-22</x:v>
      </x:c>
      <x:c r="C67" s="31" t="str">
        <x:v>FT-SEED-R1B-P-0607-19</x:v>
      </x:c>
      <x:c r="D67" s="31" t="str">
        <x:v>SAME_CANONICAL_CONCEPT</x:v>
      </x:c>
      <x:c r="E67" s="31" t="str">
        <x:v>COMPUTATIONAL_STRUCTURAL</x:v>
      </x:c>
      <x:c r="F67" s="31" t="str">
        <x:v>CROSS_ANCHOR</x:v>
      </x:c>
      <x:c r="G67" s="31" t="str">
        <x:v>Canonical concept equality in candidate ledger</x:v>
      </x:c>
      <x:c r="H67" s="19" t="str">
        <x:v>HIGH</x:v>
      </x:c>
      <x:c r="I67" s="43" t="str">
        <x:v>Derived from controlled candidate metadata; no semantic evolution is asserted.</x:v>
      </x:c>
    </x:row>
    <x:row r="68" ht="32" customHeight="1">
      <x:c r="A68" s="40" t="str">
        <x:v>FT-REL-712A7B67ADDFFF</x:v>
      </x:c>
      <x:c r="B68" s="31" t="str">
        <x:v>FT-SEED-R1B-P-1842-22</x:v>
      </x:c>
      <x:c r="C68" s="31" t="str">
        <x:v>FT-SEED-R1B-P-0607-20</x:v>
      </x:c>
      <x:c r="D68" s="31" t="str">
        <x:v>SAME_CANONICAL_CONCEPT</x:v>
      </x:c>
      <x:c r="E68" s="31" t="str">
        <x:v>COMPUTATIONAL_STRUCTURAL</x:v>
      </x:c>
      <x:c r="F68" s="31" t="str">
        <x:v>CROSS_ANCHOR</x:v>
      </x:c>
      <x:c r="G68" s="31" t="str">
        <x:v>Canonical concept equality in candidate ledger</x:v>
      </x:c>
      <x:c r="H68" s="19" t="str">
        <x:v>HIGH</x:v>
      </x:c>
      <x:c r="I68" s="43" t="str">
        <x:v>Derived from controlled candidate metadata; no semantic evolution is asserted.</x:v>
      </x:c>
    </x:row>
    <x:row r="69" ht="32" customHeight="1">
      <x:c r="A69" s="40" t="str">
        <x:v>FT-REL-CE6F89AC07E756</x:v>
      </x:c>
      <x:c r="B69" s="31" t="str">
        <x:v>FT-SEED-R1B-P-1842-22</x:v>
      </x:c>
      <x:c r="C69" s="31" t="str">
        <x:v>FT-SEED-R1B-P-0607-24</x:v>
      </x:c>
      <x:c r="D69" s="31" t="str">
        <x:v>SAME_CANONICAL_CONCEPT</x:v>
      </x:c>
      <x:c r="E69" s="31" t="str">
        <x:v>COMPUTATIONAL_STRUCTURAL</x:v>
      </x:c>
      <x:c r="F69" s="31" t="str">
        <x:v>CROSS_ANCHOR</x:v>
      </x:c>
      <x:c r="G69" s="31" t="str">
        <x:v>Canonical concept equality in candidate ledger</x:v>
      </x:c>
      <x:c r="H69" s="19" t="str">
        <x:v>HIGH</x:v>
      </x:c>
      <x:c r="I69" s="43" t="str">
        <x:v>Derived from controlled candidate metadata; no semantic evolution is asserted.</x:v>
      </x:c>
    </x:row>
    <x:row r="70" ht="32" customHeight="1">
      <x:c r="A70" s="40" t="str">
        <x:v>FT-REL-87E3BCF8570936</x:v>
      </x:c>
      <x:c r="B70" s="31" t="str">
        <x:v>FT-SEED-R1B-P-1842-22</x:v>
      </x:c>
      <x:c r="C70" s="31" t="str">
        <x:v>FT-SEED-R1B-P-0607-28</x:v>
      </x:c>
      <x:c r="D70" s="31" t="str">
        <x:v>SAME_CANONICAL_CONCEPT</x:v>
      </x:c>
      <x:c r="E70" s="31" t="str">
        <x:v>COMPUTATIONAL_STRUCTURAL</x:v>
      </x:c>
      <x:c r="F70" s="31" t="str">
        <x:v>CROSS_ANCHOR</x:v>
      </x:c>
      <x:c r="G70" s="31" t="str">
        <x:v>Canonical concept equality in candidate ledger</x:v>
      </x:c>
      <x:c r="H70" s="19" t="str">
        <x:v>HIGH</x:v>
      </x:c>
      <x:c r="I70" s="43" t="str">
        <x:v>Derived from controlled candidate metadata; no semantic evolution is asserted.</x:v>
      </x:c>
    </x:row>
    <x:row r="71" ht="32" customHeight="1">
      <x:c r="A71" s="40" t="str">
        <x:v>FT-REL-01E81962F9D580</x:v>
      </x:c>
      <x:c r="B71" s="31" t="str">
        <x:v>FT-SEED-R1B-P-1842-22</x:v>
      </x:c>
      <x:c r="C71" s="31" t="str">
        <x:v>FT-SEED-R1B-P-1842-23</x:v>
      </x:c>
      <x:c r="D71" s="31" t="str">
        <x:v>SAME_CANONICAL_CONCEPT</x:v>
      </x:c>
      <x:c r="E71" s="31" t="str">
        <x:v>COMPUTATIONAL_STRUCTURAL</x:v>
      </x:c>
      <x:c r="F71" s="31" t="str">
        <x:v>WITHIN_ANCHOR</x:v>
      </x:c>
      <x:c r="G71" s="31" t="str">
        <x:v>Canonical concept equality in candidate ledger</x:v>
      </x:c>
      <x:c r="H71" s="19" t="str">
        <x:v>HIGH</x:v>
      </x:c>
      <x:c r="I71" s="43" t="str">
        <x:v>Derived from controlled candidate metadata; no semantic evolution is asserted.</x:v>
      </x:c>
    </x:row>
    <x:row r="72" ht="32" customHeight="1">
      <x:c r="A72" s="40" t="str">
        <x:v>FT-REL-6EA00DDC814F46</x:v>
      </x:c>
      <x:c r="B72" s="31" t="str">
        <x:v>FT-SEED-R1B-P-1842-22</x:v>
      </x:c>
      <x:c r="C72" s="31" t="str">
        <x:v>FT-SEED-R1B-P-1842-24</x:v>
      </x:c>
      <x:c r="D72" s="31" t="str">
        <x:v>SAME_CANONICAL_CONCEPT</x:v>
      </x:c>
      <x:c r="E72" s="31" t="str">
        <x:v>COMPUTATIONAL_STRUCTURAL</x:v>
      </x:c>
      <x:c r="F72" s="31" t="str">
        <x:v>WITHIN_ANCHOR</x:v>
      </x:c>
      <x:c r="G72" s="31" t="str">
        <x:v>Canonical concept equality in candidate ledger</x:v>
      </x:c>
      <x:c r="H72" s="19" t="str">
        <x:v>HIGH</x:v>
      </x:c>
      <x:c r="I72" s="43" t="str">
        <x:v>Derived from controlled candidate metadata; no semantic evolution is asserted.</x:v>
      </x:c>
    </x:row>
    <x:row r="73" ht="32" customHeight="1">
      <x:c r="A73" s="40" t="str">
        <x:v>FT-REL-324D3559A91CAD</x:v>
      </x:c>
      <x:c r="B73" s="31" t="str">
        <x:v>FT-SEED-R1B-P-1842-22</x:v>
      </x:c>
      <x:c r="C73" s="31" t="str">
        <x:v>FT-SEED-R1B-P-1938-28</x:v>
      </x:c>
      <x:c r="D73" s="31" t="str">
        <x:v>SAME_CANONICAL_CONCEPT</x:v>
      </x:c>
      <x:c r="E73" s="31" t="str">
        <x:v>COMPUTATIONAL_STRUCTURAL</x:v>
      </x:c>
      <x:c r="F73" s="31" t="str">
        <x:v>CROSS_ANCHOR</x:v>
      </x:c>
      <x:c r="G73" s="31" t="str">
        <x:v>Canonical concept equality in candidate ledger</x:v>
      </x:c>
      <x:c r="H73" s="19" t="str">
        <x:v>HIGH</x:v>
      </x:c>
      <x:c r="I73" s="43" t="str">
        <x:v>Derived from controlled candidate metadata; no semantic evolution is asserted.</x:v>
      </x:c>
    </x:row>
    <x:row r="74" ht="32" customHeight="1">
      <x:c r="A74" s="40" t="str">
        <x:v>FT-REL-402880BE4F1229</x:v>
      </x:c>
      <x:c r="B74" s="31" t="str">
        <x:v>FT-SEED-R1B-P-1842-22</x:v>
      </x:c>
      <x:c r="C74" s="31" t="str">
        <x:v>FT-SEED-R1B-P-1938-29</x:v>
      </x:c>
      <x:c r="D74" s="31" t="str">
        <x:v>SAME_CANONICAL_CONCEPT</x:v>
      </x:c>
      <x:c r="E74" s="31" t="str">
        <x:v>COMPUTATIONAL_STRUCTURAL</x:v>
      </x:c>
      <x:c r="F74" s="31" t="str">
        <x:v>CROSS_ANCHOR</x:v>
      </x:c>
      <x:c r="G74" s="31" t="str">
        <x:v>Canonical concept equality in candidate ledger</x:v>
      </x:c>
      <x:c r="H74" s="19" t="str">
        <x:v>HIGH</x:v>
      </x:c>
      <x:c r="I74" s="43" t="str">
        <x:v>Derived from controlled candidate metadata; no semantic evolution is asserted.</x:v>
      </x:c>
    </x:row>
    <x:row r="75" ht="32" customHeight="1">
      <x:c r="A75" s="40" t="str">
        <x:v>FT-REL-988FA8C6F60C40</x:v>
      </x:c>
      <x:c r="B75" s="31" t="str">
        <x:v>FT-SEED-R1B-P-1842-22</x:v>
      </x:c>
      <x:c r="C75" s="31" t="str">
        <x:v>FT-SEED-R1B-P-1988-05</x:v>
      </x:c>
      <x:c r="D75" s="31" t="str">
        <x:v>SAME_CANONICAL_CONCEPT</x:v>
      </x:c>
      <x:c r="E75" s="31" t="str">
        <x:v>COMPUTATIONAL_STRUCTURAL</x:v>
      </x:c>
      <x:c r="F75" s="31" t="str">
        <x:v>CROSS_ANCHOR</x:v>
      </x:c>
      <x:c r="G75" s="31" t="str">
        <x:v>Canonical concept equality in candidate ledger</x:v>
      </x:c>
      <x:c r="H75" s="19" t="str">
        <x:v>HIGH</x:v>
      </x:c>
      <x:c r="I75" s="43" t="str">
        <x:v>Derived from controlled candidate metadata; no semantic evolution is asserted.</x:v>
      </x:c>
    </x:row>
    <x:row r="76" ht="32" customHeight="1">
      <x:c r="A76" s="40" t="str">
        <x:v>FT-REL-51A243F5E865CD</x:v>
      </x:c>
      <x:c r="B76" s="31" t="str">
        <x:v>FT-SEED-R1B-P-1842-22</x:v>
      </x:c>
      <x:c r="C76" s="31" t="str">
        <x:v>FT-SEED-R1B-P-1988-09</x:v>
      </x:c>
      <x:c r="D76" s="31" t="str">
        <x:v>SAME_CANONICAL_CONCEPT</x:v>
      </x:c>
      <x:c r="E76" s="31" t="str">
        <x:v>COMPUTATIONAL_STRUCTURAL</x:v>
      </x:c>
      <x:c r="F76" s="31" t="str">
        <x:v>CROSS_ANCHOR</x:v>
      </x:c>
      <x:c r="G76" s="31" t="str">
        <x:v>Canonical concept equality in candidate ledger</x:v>
      </x:c>
      <x:c r="H76" s="19" t="str">
        <x:v>HIGH</x:v>
      </x:c>
      <x:c r="I76" s="43" t="str">
        <x:v>Derived from controlled candidate metadata; no semantic evolution is asserted.</x:v>
      </x:c>
    </x:row>
    <x:row r="77" ht="32" customHeight="1">
      <x:c r="A77" s="40" t="str">
        <x:v>FT-REL-74D27FB9B288F1</x:v>
      </x:c>
      <x:c r="B77" s="31" t="str">
        <x:v>FT-SEED-R1B-P-1842-22</x:v>
      </x:c>
      <x:c r="C77" s="31" t="str">
        <x:v>FT-SEED-R1B-P-1988-11</x:v>
      </x:c>
      <x:c r="D77" s="31" t="str">
        <x:v>SAME_CANONICAL_CONCEPT</x:v>
      </x:c>
      <x:c r="E77" s="31" t="str">
        <x:v>COMPUTATIONAL_STRUCTURAL</x:v>
      </x:c>
      <x:c r="F77" s="31" t="str">
        <x:v>CROSS_ANCHOR</x:v>
      </x:c>
      <x:c r="G77" s="31" t="str">
        <x:v>Canonical concept equality in candidate ledger</x:v>
      </x:c>
      <x:c r="H77" s="19" t="str">
        <x:v>HIGH</x:v>
      </x:c>
      <x:c r="I77" s="43" t="str">
        <x:v>Derived from controlled candidate metadata; no semantic evolution is asserted.</x:v>
      </x:c>
    </x:row>
    <x:row r="78" ht="32" customHeight="1">
      <x:c r="A78" s="40" t="str">
        <x:v>FT-REL-7BC56D45384BB9</x:v>
      </x:c>
      <x:c r="B78" s="31" t="str">
        <x:v>FT-SEED-R1B-P-1842-22</x:v>
      </x:c>
      <x:c r="C78" s="31" t="str">
        <x:v>FT-SEED-R1B-P-1988-18</x:v>
      </x:c>
      <x:c r="D78" s="31" t="str">
        <x:v>SAME_CANONICAL_CONCEPT</x:v>
      </x:c>
      <x:c r="E78" s="31" t="str">
        <x:v>COMPUTATIONAL_STRUCTURAL</x:v>
      </x:c>
      <x:c r="F78" s="31" t="str">
        <x:v>CROSS_ANCHOR</x:v>
      </x:c>
      <x:c r="G78" s="31" t="str">
        <x:v>Canonical concept equality in candidate ledger</x:v>
      </x:c>
      <x:c r="H78" s="19" t="str">
        <x:v>HIGH</x:v>
      </x:c>
      <x:c r="I78" s="43" t="str">
        <x:v>Derived from controlled candidate metadata; no semantic evolution is asserted.</x:v>
      </x:c>
    </x:row>
    <x:row r="79" ht="32" customHeight="1">
      <x:c r="A79" s="40" t="str">
        <x:v>FT-REL-213761D72105AF</x:v>
      </x:c>
      <x:c r="B79" s="31" t="str">
        <x:v>FT-SEED-R1B-P-1842-22</x:v>
      </x:c>
      <x:c r="C79" s="31" t="str">
        <x:v>FT-SEED-R1B-P-1988-20</x:v>
      </x:c>
      <x:c r="D79" s="31" t="str">
        <x:v>SAME_CANONICAL_CONCEPT</x:v>
      </x:c>
      <x:c r="E79" s="31" t="str">
        <x:v>COMPUTATIONAL_STRUCTURAL</x:v>
      </x:c>
      <x:c r="F79" s="31" t="str">
        <x:v>CROSS_ANCHOR</x:v>
      </x:c>
      <x:c r="G79" s="31" t="str">
        <x:v>Canonical concept equality in candidate ledger</x:v>
      </x:c>
      <x:c r="H79" s="19" t="str">
        <x:v>HIGH</x:v>
      </x:c>
      <x:c r="I79" s="43" t="str">
        <x:v>Derived from controlled candidate metadata; no semantic evolution is asserted.</x:v>
      </x:c>
    </x:row>
    <x:row r="80" ht="32" customHeight="1">
      <x:c r="A80" s="40" t="str">
        <x:v>FT-REL-495DCF1072327E</x:v>
      </x:c>
      <x:c r="B80" s="31" t="str">
        <x:v>FT-SEED-R1B-P-1842-22</x:v>
      </x:c>
      <x:c r="C80" s="31" t="str">
        <x:v>FT-SEED-R1B-P-1988-22</x:v>
      </x:c>
      <x:c r="D80" s="31" t="str">
        <x:v>SAME_CANONICAL_CONCEPT</x:v>
      </x:c>
      <x:c r="E80" s="31" t="str">
        <x:v>COMPUTATIONAL_STRUCTURAL</x:v>
      </x:c>
      <x:c r="F80" s="31" t="str">
        <x:v>CROSS_ANCHOR</x:v>
      </x:c>
      <x:c r="G80" s="31" t="str">
        <x:v>Canonical concept equality in candidate ledger</x:v>
      </x:c>
      <x:c r="H80" s="19" t="str">
        <x:v>HIGH</x:v>
      </x:c>
      <x:c r="I80" s="43" t="str">
        <x:v>Derived from controlled candidate metadata; no semantic evolution is asserted.</x:v>
      </x:c>
    </x:row>
    <x:row r="81" ht="32" customHeight="1">
      <x:c r="A81" s="40" t="str">
        <x:v>FT-REL-4AE7FDDB619C30</x:v>
      </x:c>
      <x:c r="B81" s="31" t="str">
        <x:v>FT-SEED-R1B-P-1842-22</x:v>
      </x:c>
      <x:c r="C81" s="31" t="str">
        <x:v>FT-SEED-R1B-P-1988-25</x:v>
      </x:c>
      <x:c r="D81" s="31" t="str">
        <x:v>SAME_CANONICAL_CONCEPT</x:v>
      </x:c>
      <x:c r="E81" s="31" t="str">
        <x:v>COMPUTATIONAL_STRUCTURAL</x:v>
      </x:c>
      <x:c r="F81" s="31" t="str">
        <x:v>CROSS_ANCHOR</x:v>
      </x:c>
      <x:c r="G81" s="31" t="str">
        <x:v>Canonical concept equality in candidate ledger</x:v>
      </x:c>
      <x:c r="H81" s="19" t="str">
        <x:v>HIGH</x:v>
      </x:c>
      <x:c r="I81" s="43" t="str">
        <x:v>Derived from controlled candidate metadata; no semantic evolution is asserted.</x:v>
      </x:c>
    </x:row>
    <x:row r="82" ht="32" customHeight="1">
      <x:c r="A82" s="40" t="str">
        <x:v>FT-REL-7F390C377AEA1B</x:v>
      </x:c>
      <x:c r="B82" s="31" t="str">
        <x:v>FT-SEED-R1B-P-1842-22</x:v>
      </x:c>
      <x:c r="C82" s="31" t="str">
        <x:v>FT-SEED-R1B-P-1988-26</x:v>
      </x:c>
      <x:c r="D82" s="31" t="str">
        <x:v>SAME_CANONICAL_CONCEPT</x:v>
      </x:c>
      <x:c r="E82" s="31" t="str">
        <x:v>COMPUTATIONAL_STRUCTURAL</x:v>
      </x:c>
      <x:c r="F82" s="31" t="str">
        <x:v>CROSS_ANCHOR</x:v>
      </x:c>
      <x:c r="G82" s="31" t="str">
        <x:v>Canonical concept equality in candidate ledger</x:v>
      </x:c>
      <x:c r="H82" s="19" t="str">
        <x:v>HIGH</x:v>
      </x:c>
      <x:c r="I82" s="43" t="str">
        <x:v>Derived from controlled candidate metadata; no semantic evolution is asserted.</x:v>
      </x:c>
    </x:row>
    <x:row r="83" ht="32" customHeight="1">
      <x:c r="A83" s="40" t="str">
        <x:v>FT-REL-1A3BB6D77E4013</x:v>
      </x:c>
      <x:c r="B83" s="31" t="str">
        <x:v>FT-SEED-R1B-P-1842-22</x:v>
      </x:c>
      <x:c r="C83" s="31" t="str">
        <x:v>FT-SEED-R1B-P-2015-08</x:v>
      </x:c>
      <x:c r="D83" s="31" t="str">
        <x:v>SAME_CANONICAL_CONCEPT</x:v>
      </x:c>
      <x:c r="E83" s="31" t="str">
        <x:v>COMPUTATIONAL_STRUCTURAL</x:v>
      </x:c>
      <x:c r="F83" s="31" t="str">
        <x:v>CROSS_ANCHOR</x:v>
      </x:c>
      <x:c r="G83" s="31" t="str">
        <x:v>Canonical concept equality in candidate ledger</x:v>
      </x:c>
      <x:c r="H83" s="19" t="str">
        <x:v>HIGH</x:v>
      </x:c>
      <x:c r="I83" s="43" t="str">
        <x:v>Derived from controlled candidate metadata; no semantic evolution is asserted.</x:v>
      </x:c>
    </x:row>
    <x:row r="84" ht="32" customHeight="1">
      <x:c r="A84" s="40" t="str">
        <x:v>FT-REL-F2F8BD86774213</x:v>
      </x:c>
      <x:c r="B84" s="31" t="str">
        <x:v>FT-SEED-R1B-P-1842-22</x:v>
      </x:c>
      <x:c r="C84" s="31" t="str">
        <x:v>FT-SEED-R1B-P-2015-11</x:v>
      </x:c>
      <x:c r="D84" s="31" t="str">
        <x:v>SAME_CANONICAL_CONCEPT</x:v>
      </x:c>
      <x:c r="E84" s="31" t="str">
        <x:v>COMPUTATIONAL_STRUCTURAL</x:v>
      </x:c>
      <x:c r="F84" s="31" t="str">
        <x:v>CROSS_ANCHOR</x:v>
      </x:c>
      <x:c r="G84" s="31" t="str">
        <x:v>Canonical concept equality in candidate ledger</x:v>
      </x:c>
      <x:c r="H84" s="19" t="str">
        <x:v>HIGH</x:v>
      </x:c>
      <x:c r="I84" s="43" t="str">
        <x:v>Derived from controlled candidate metadata; no semantic evolution is asserted.</x:v>
      </x:c>
    </x:row>
    <x:row r="85" ht="32" customHeight="1">
      <x:c r="A85" s="40" t="str">
        <x:v>FT-REL-0395A62E9B72DA</x:v>
      </x:c>
      <x:c r="B85" s="31" t="str">
        <x:v>FT-SEED-R1B-P-1842-22</x:v>
      </x:c>
      <x:c r="C85" s="31" t="str">
        <x:v>FT-SEED-R1B-P-2015-15</x:v>
      </x:c>
      <x:c r="D85" s="31" t="str">
        <x:v>SAME_CANONICAL_CONCEPT</x:v>
      </x:c>
      <x:c r="E85" s="31" t="str">
        <x:v>COMPUTATIONAL_STRUCTURAL</x:v>
      </x:c>
      <x:c r="F85" s="31" t="str">
        <x:v>CROSS_ANCHOR</x:v>
      </x:c>
      <x:c r="G85" s="31" t="str">
        <x:v>Canonical concept equality in candidate ledger</x:v>
      </x:c>
      <x:c r="H85" s="19" t="str">
        <x:v>HIGH</x:v>
      </x:c>
      <x:c r="I85" s="43" t="str">
        <x:v>Derived from controlled candidate metadata; no semantic evolution is asserted.</x:v>
      </x:c>
    </x:row>
    <x:row r="86" ht="32" customHeight="1">
      <x:c r="A86" s="40" t="str">
        <x:v>FT-REL-0285E80FA2A9AC</x:v>
      </x:c>
      <x:c r="B86" s="31" t="str">
        <x:v>FT-SEED-R1B-P-1842-22</x:v>
      </x:c>
      <x:c r="C86" s="31" t="str">
        <x:v>FT-SEED-R1B-P-2015-16</x:v>
      </x:c>
      <x:c r="D86" s="31" t="str">
        <x:v>SAME_CANONICAL_CONCEPT</x:v>
      </x:c>
      <x:c r="E86" s="31" t="str">
        <x:v>COMPUTATIONAL_STRUCTURAL</x:v>
      </x:c>
      <x:c r="F86" s="31" t="str">
        <x:v>CROSS_ANCHOR</x:v>
      </x:c>
      <x:c r="G86" s="31" t="str">
        <x:v>Canonical concept equality in candidate ledger</x:v>
      </x:c>
      <x:c r="H86" s="19" t="str">
        <x:v>HIGH</x:v>
      </x:c>
      <x:c r="I86" s="43" t="str">
        <x:v>Derived from controlled candidate metadata; no semantic evolution is asserted.</x:v>
      </x:c>
    </x:row>
    <x:row r="87" ht="32" customHeight="1">
      <x:c r="A87" s="40" t="str">
        <x:v>FT-REL-F32C24468FBA80</x:v>
      </x:c>
      <x:c r="B87" s="31" t="str">
        <x:v>FT-SEED-R1B-P-1842-22</x:v>
      </x:c>
      <x:c r="C87" s="31" t="str">
        <x:v>FT-SEED-R1B-P-2015-18</x:v>
      </x:c>
      <x:c r="D87" s="31" t="str">
        <x:v>SAME_CANONICAL_CONCEPT</x:v>
      </x:c>
      <x:c r="E87" s="31" t="str">
        <x:v>COMPUTATIONAL_STRUCTURAL</x:v>
      </x:c>
      <x:c r="F87" s="31" t="str">
        <x:v>CROSS_ANCHOR</x:v>
      </x:c>
      <x:c r="G87" s="31" t="str">
        <x:v>Canonical concept equality in candidate ledger</x:v>
      </x:c>
      <x:c r="H87" s="19" t="str">
        <x:v>HIGH</x:v>
      </x:c>
      <x:c r="I87" s="43" t="str">
        <x:v>Derived from controlled candidate metadata; no semantic evolution is asserted.</x:v>
      </x:c>
    </x:row>
    <x:row r="88" ht="32" customHeight="1">
      <x:c r="A88" s="40" t="str">
        <x:v>FT-REL-9DDB824FA11AB0</x:v>
      </x:c>
      <x:c r="B88" s="31" t="str">
        <x:v>FT-SEED-R1B-P-1842-22</x:v>
      </x:c>
      <x:c r="C88" s="31" t="str">
        <x:v>FT-SEED-R1B-P-2015-24</x:v>
      </x:c>
      <x:c r="D88" s="31" t="str">
        <x:v>SAME_CANONICAL_CONCEPT</x:v>
      </x:c>
      <x:c r="E88" s="31" t="str">
        <x:v>COMPUTATIONAL_STRUCTURAL</x:v>
      </x:c>
      <x:c r="F88" s="31" t="str">
        <x:v>CROSS_ANCHOR</x:v>
      </x:c>
      <x:c r="G88" s="31" t="str">
        <x:v>Canonical concept equality in candidate ledger</x:v>
      </x:c>
      <x:c r="H88" s="19" t="str">
        <x:v>HIGH</x:v>
      </x:c>
      <x:c r="I88" s="43" t="str">
        <x:v>Derived from controlled candidate metadata; no semantic evolution is asserted.</x:v>
      </x:c>
    </x:row>
    <x:row r="89" ht="32" customHeight="1">
      <x:c r="A89" s="40" t="str">
        <x:v>FT-REL-AB997E888B914B</x:v>
      </x:c>
      <x:c r="B89" s="31" t="str">
        <x:v>FT-SEED-R1B-P-1842-22</x:v>
      </x:c>
      <x:c r="C89" s="31" t="str">
        <x:v>FT-SEED-R1B-P-2015-27</x:v>
      </x:c>
      <x:c r="D89" s="31" t="str">
        <x:v>SAME_CANONICAL_CONCEPT</x:v>
      </x:c>
      <x:c r="E89" s="31" t="str">
        <x:v>COMPUTATIONAL_STRUCTURAL</x:v>
      </x:c>
      <x:c r="F89" s="31" t="str">
        <x:v>CROSS_ANCHOR</x:v>
      </x:c>
      <x:c r="G89" s="31" t="str">
        <x:v>Canonical concept equality in candidate ledger</x:v>
      </x:c>
      <x:c r="H89" s="19" t="str">
        <x:v>HIGH</x:v>
      </x:c>
      <x:c r="I89" s="43" t="str">
        <x:v>Derived from controlled candidate metadata; no semantic evolution is asserted.</x:v>
      </x:c>
    </x:row>
    <x:row r="90" ht="32" customHeight="1">
      <x:c r="A90" s="40" t="str">
        <x:v>FT-REL-D60000DF45467D</x:v>
      </x:c>
      <x:c r="B90" s="31" t="str">
        <x:v>FT-SEED-R1B-P-1842-22</x:v>
      </x:c>
      <x:c r="C90" s="31" t="str">
        <x:v>FT-SEED-R1B-P-2015-28</x:v>
      </x:c>
      <x:c r="D90" s="31" t="str">
        <x:v>SAME_CANONICAL_CONCEPT</x:v>
      </x:c>
      <x:c r="E90" s="31" t="str">
        <x:v>COMPUTATIONAL_STRUCTURAL</x:v>
      </x:c>
      <x:c r="F90" s="31" t="str">
        <x:v>CROSS_ANCHOR</x:v>
      </x:c>
      <x:c r="G90" s="31" t="str">
        <x:v>Canonical concept equality in candidate ledger</x:v>
      </x:c>
      <x:c r="H90" s="19" t="str">
        <x:v>HIGH</x:v>
      </x:c>
      <x:c r="I90" s="43" t="str">
        <x:v>Derived from controlled candidate metadata; no semantic evolution is asserted.</x:v>
      </x:c>
    </x:row>
    <x:row r="91" ht="32" customHeight="1">
      <x:c r="A91" s="40" t="str">
        <x:v>FT-REL-03E62629BFFF72</x:v>
      </x:c>
      <x:c r="B91" s="31" t="str">
        <x:v>FT-SEED-R1B-P-1842-22</x:v>
      </x:c>
      <x:c r="C91" s="31" t="str">
        <x:v>FT-SEED-R1B-P-2015-29</x:v>
      </x:c>
      <x:c r="D91" s="31" t="str">
        <x:v>SAME_CANONICAL_CONCEPT</x:v>
      </x:c>
      <x:c r="E91" s="31" t="str">
        <x:v>COMPUTATIONAL_STRUCTURAL</x:v>
      </x:c>
      <x:c r="F91" s="31" t="str">
        <x:v>CROSS_ANCHOR</x:v>
      </x:c>
      <x:c r="G91" s="31" t="str">
        <x:v>Canonical concept equality in candidate ledger</x:v>
      </x:c>
      <x:c r="H91" s="19" t="str">
        <x:v>HIGH</x:v>
      </x:c>
      <x:c r="I91" s="43" t="str">
        <x:v>Derived from controlled candidate metadata; no semantic evolution is asserted.</x:v>
      </x:c>
    </x:row>
    <x:row r="92" ht="32" customHeight="1">
      <x:c r="A92" s="40" t="str">
        <x:v>FT-REL-F456A9CABAE52A</x:v>
      </x:c>
      <x:c r="B92" s="31" t="str">
        <x:v>FT-SEED-R1B-P-1842-22</x:v>
      </x:c>
      <x:c r="C92" s="31" t="str">
        <x:v>FT-SEED-R1B-P-2022-24</x:v>
      </x:c>
      <x:c r="D92" s="31" t="str">
        <x:v>SAME_CANONICAL_CONCEPT</x:v>
      </x:c>
      <x:c r="E92" s="31" t="str">
        <x:v>COMPUTATIONAL_STRUCTURAL</x:v>
      </x:c>
      <x:c r="F92" s="31" t="str">
        <x:v>CROSS_ANCHOR</x:v>
      </x:c>
      <x:c r="G92" s="31" t="str">
        <x:v>Canonical concept equality in candidate ledger</x:v>
      </x:c>
      <x:c r="H92" s="19" t="str">
        <x:v>HIGH</x:v>
      </x:c>
      <x:c r="I92" s="43" t="str">
        <x:v>Derived from controlled candidate metadata; no semantic evolution is asserted.</x:v>
      </x:c>
    </x:row>
    <x:row r="93" ht="32" customHeight="1">
      <x:c r="A93" s="40" t="str">
        <x:v>FT-REL-753C2370ECA8DC</x:v>
      </x:c>
      <x:c r="B93" s="31" t="str">
        <x:v>FT-SEED-R1B-P-1842-22</x:v>
      </x:c>
      <x:c r="C93" s="31" t="str">
        <x:v>FT-SEED-R1B-P-2022-26</x:v>
      </x:c>
      <x:c r="D93" s="31" t="str">
        <x:v>SAME_CANONICAL_CONCEPT</x:v>
      </x:c>
      <x:c r="E93" s="31" t="str">
        <x:v>COMPUTATIONAL_STRUCTURAL</x:v>
      </x:c>
      <x:c r="F93" s="31" t="str">
        <x:v>CROSS_ANCHOR</x:v>
      </x:c>
      <x:c r="G93" s="31" t="str">
        <x:v>Canonical concept equality in candidate ledger</x:v>
      </x:c>
      <x:c r="H93" s="19" t="str">
        <x:v>HIGH</x:v>
      </x:c>
      <x:c r="I93" s="43" t="str">
        <x:v>Derived from controlled candidate metadata; no semantic evolution is asserted.</x:v>
      </x:c>
    </x:row>
    <x:row r="94" ht="32" customHeight="1">
      <x:c r="A94" s="40" t="str">
        <x:v>FT-REL-30F358CAEAD6AA</x:v>
      </x:c>
      <x:c r="B94" s="31" t="str">
        <x:v>FT-SEED-R1B-P-1842-29</x:v>
      </x:c>
      <x:c r="C94" s="31" t="str">
        <x:v>FT-SEED-R1B-P-2022-27</x:v>
      </x:c>
      <x:c r="D94" s="31" t="str">
        <x:v>SAME_CANONICAL_CONCEPT</x:v>
      </x:c>
      <x:c r="E94" s="31" t="str">
        <x:v>COMPUTATIONAL_STRUCTURAL</x:v>
      </x:c>
      <x:c r="F94" s="31" t="str">
        <x:v>CROSS_ANCHOR</x:v>
      </x:c>
      <x:c r="G94" s="31" t="str">
        <x:v>Canonical concept equality in candidate ledger</x:v>
      </x:c>
      <x:c r="H94" s="19" t="str">
        <x:v>HIGH</x:v>
      </x:c>
      <x:c r="I94" s="43" t="str">
        <x:v>Derived from controlled candidate metadata; no semantic evolution is asserted.</x:v>
      </x:c>
    </x:row>
    <x:row r="95" ht="32" customHeight="1">
      <x:c r="A95" s="40" t="str">
        <x:v>FT-REL-509E6B14E9FBA1</x:v>
      </x:c>
      <x:c r="B95" s="31" t="str">
        <x:v>FT-SEED-R1B-P-1938-01</x:v>
      </x:c>
      <x:c r="C95" s="31" t="str">
        <x:v>FT-SEED-R1B-P-0607-08</x:v>
      </x:c>
      <x:c r="D95" s="31" t="str">
        <x:v>SAME_CANONICAL_CONCEPT</x:v>
      </x:c>
      <x:c r="E95" s="31" t="str">
        <x:v>COMPUTATIONAL_STRUCTURAL</x:v>
      </x:c>
      <x:c r="F95" s="31" t="str">
        <x:v>CROSS_ANCHOR</x:v>
      </x:c>
      <x:c r="G95" s="31" t="str">
        <x:v>Canonical concept equality in candidate ledger</x:v>
      </x:c>
      <x:c r="H95" s="19" t="str">
        <x:v>HIGH</x:v>
      </x:c>
      <x:c r="I95" s="43" t="str">
        <x:v>Derived from controlled candidate metadata; no semantic evolution is asserted.</x:v>
      </x:c>
    </x:row>
    <x:row r="96" ht="32" customHeight="1">
      <x:c r="A96" s="40" t="str">
        <x:v>FT-REL-5A902FB7317637</x:v>
      </x:c>
      <x:c r="B96" s="31" t="str">
        <x:v>FT-SEED-R1B-P-1938-01</x:v>
      </x:c>
      <x:c r="C96" s="31" t="str">
        <x:v>FT-SEED-R1B-P-1938-03</x:v>
      </x:c>
      <x:c r="D96" s="31" t="str">
        <x:v>SAME_CANONICAL_CONCEPT</x:v>
      </x:c>
      <x:c r="E96" s="31" t="str">
        <x:v>COMPUTATIONAL_STRUCTURAL</x:v>
      </x:c>
      <x:c r="F96" s="31" t="str">
        <x:v>WITHIN_ANCHOR</x:v>
      </x:c>
      <x:c r="G96" s="31" t="str">
        <x:v>Canonical concept equality in candidate ledger</x:v>
      </x:c>
      <x:c r="H96" s="19" t="str">
        <x:v>HIGH</x:v>
      </x:c>
      <x:c r="I96" s="43" t="str">
        <x:v>Derived from controlled candidate metadata; no semantic evolution is asserted.</x:v>
      </x:c>
    </x:row>
    <x:row r="97" ht="32" customHeight="1">
      <x:c r="A97" s="40" t="str">
        <x:v>FT-REL-9989656250CC76</x:v>
      </x:c>
      <x:c r="B97" s="31" t="str">
        <x:v>FT-SEED-R1B-P-1938-02</x:v>
      </x:c>
      <x:c r="C97" s="31" t="str">
        <x:v>FT-SEED-R1B-P-1988-30</x:v>
      </x:c>
      <x:c r="D97" s="31" t="str">
        <x:v>SAME_CANONICAL_CONCEPT</x:v>
      </x:c>
      <x:c r="E97" s="31" t="str">
        <x:v>COMPUTATIONAL_STRUCTURAL</x:v>
      </x:c>
      <x:c r="F97" s="31" t="str">
        <x:v>CROSS_ANCHOR</x:v>
      </x:c>
      <x:c r="G97" s="31" t="str">
        <x:v>Canonical concept equality in candidate ledger</x:v>
      </x:c>
      <x:c r="H97" s="19" t="str">
        <x:v>HIGH</x:v>
      </x:c>
      <x:c r="I97" s="43" t="str">
        <x:v>Derived from controlled candidate metadata; no semantic evolution is asserted.</x:v>
      </x:c>
    </x:row>
    <x:row r="98" ht="32" customHeight="1">
      <x:c r="A98" s="40" t="str">
        <x:v>FT-REL-F019BCB456D65A</x:v>
      </x:c>
      <x:c r="B98" s="31" t="str">
        <x:v>FT-SEED-R1B-P-1938-13</x:v>
      </x:c>
      <x:c r="C98" s="31" t="str">
        <x:v>FT-SEED-R1B-P-0607-03</x:v>
      </x:c>
      <x:c r="D98" s="31" t="str">
        <x:v>SAME_CANONICAL_CONCEPT</x:v>
      </x:c>
      <x:c r="E98" s="31" t="str">
        <x:v>COMPUTATIONAL_STRUCTURAL</x:v>
      </x:c>
      <x:c r="F98" s="31" t="str">
        <x:v>CROSS_ANCHOR</x:v>
      </x:c>
      <x:c r="G98" s="31" t="str">
        <x:v>Canonical concept equality in candidate ledger</x:v>
      </x:c>
      <x:c r="H98" s="19" t="str">
        <x:v>HIGH</x:v>
      </x:c>
      <x:c r="I98" s="43" t="str">
        <x:v>Derived from controlled candidate metadata; no semantic evolution is asserted.</x:v>
      </x:c>
    </x:row>
    <x:row r="99" ht="32" customHeight="1">
      <x:c r="A99" s="40" t="str">
        <x:v>FT-REL-018C4AD4B1F10A</x:v>
      </x:c>
      <x:c r="B99" s="31" t="str">
        <x:v>FT-SEED-R1B-P-1938-13</x:v>
      </x:c>
      <x:c r="C99" s="31" t="str">
        <x:v>FT-SEED-R1B-P-0607-04</x:v>
      </x:c>
      <x:c r="D99" s="31" t="str">
        <x:v>SAME_CANONICAL_CONCEPT</x:v>
      </x:c>
      <x:c r="E99" s="31" t="str">
        <x:v>COMPUTATIONAL_STRUCTURAL</x:v>
      </x:c>
      <x:c r="F99" s="31" t="str">
        <x:v>CROSS_ANCHOR</x:v>
      </x:c>
      <x:c r="G99" s="31" t="str">
        <x:v>Canonical concept equality in candidate ledger</x:v>
      </x:c>
      <x:c r="H99" s="19" t="str">
        <x:v>HIGH</x:v>
      </x:c>
      <x:c r="I99" s="43" t="str">
        <x:v>Derived from controlled candidate metadata; no semantic evolution is asserted.</x:v>
      </x:c>
    </x:row>
    <x:row r="100" ht="32" customHeight="1">
      <x:c r="A100" s="40" t="str">
        <x:v>FT-REL-53681B38ED9365</x:v>
      </x:c>
      <x:c r="B100" s="31" t="str">
        <x:v>FT-SEED-R1B-P-1938-13</x:v>
      </x:c>
      <x:c r="C100" s="31" t="str">
        <x:v>FT-SEED-R1B-P-1988-06</x:v>
      </x:c>
      <x:c r="D100" s="31" t="str">
        <x:v>SAME_CANONICAL_CONCEPT</x:v>
      </x:c>
      <x:c r="E100" s="31" t="str">
        <x:v>COMPUTATIONAL_STRUCTURAL</x:v>
      </x:c>
      <x:c r="F100" s="31" t="str">
        <x:v>CROSS_ANCHOR</x:v>
      </x:c>
      <x:c r="G100" s="31" t="str">
        <x:v>Canonical concept equality in candidate ledger</x:v>
      </x:c>
      <x:c r="H100" s="19" t="str">
        <x:v>HIGH</x:v>
      </x:c>
      <x:c r="I100" s="43" t="str">
        <x:v>Derived from controlled candidate metadata; no semantic evolution is asserted.</x:v>
      </x:c>
    </x:row>
    <x:row r="101" ht="32" customHeight="1">
      <x:c r="A101" s="40" t="str">
        <x:v>FT-REL-47D53A55B49568</x:v>
      </x:c>
      <x:c r="B101" s="31" t="str">
        <x:v>FT-SEED-R1B-P-1938-13</x:v>
      </x:c>
      <x:c r="C101" s="31" t="str">
        <x:v>FT-SEED-R1B-P-2015-03</x:v>
      </x:c>
      <x:c r="D101" s="31" t="str">
        <x:v>SAME_CANONICAL_CONCEPT</x:v>
      </x:c>
      <x:c r="E101" s="31" t="str">
        <x:v>COMPUTATIONAL_STRUCTURAL</x:v>
      </x:c>
      <x:c r="F101" s="31" t="str">
        <x:v>CROSS_ANCHOR</x:v>
      </x:c>
      <x:c r="G101" s="31" t="str">
        <x:v>Canonical concept equality in candidate ledger</x:v>
      </x:c>
      <x:c r="H101" s="19" t="str">
        <x:v>HIGH</x:v>
      </x:c>
      <x:c r="I101" s="43" t="str">
        <x:v>Derived from controlled candidate metadata; no semantic evolution is asserted.</x:v>
      </x:c>
    </x:row>
    <x:row r="102" ht="32" customHeight="1">
      <x:c r="A102" s="40" t="str">
        <x:v>FT-REL-8A44665505E473</x:v>
      </x:c>
      <x:c r="B102" s="31" t="str">
        <x:v>FT-SEED-R1B-P-1938-14</x:v>
      </x:c>
      <x:c r="C102" s="31" t="str">
        <x:v>FT-SEED-R1B-P-0607-05</x:v>
      </x:c>
      <x:c r="D102" s="31" t="str">
        <x:v>SAME_CANONICAL_CONCEPT</x:v>
      </x:c>
      <x:c r="E102" s="31" t="str">
        <x:v>COMPUTATIONAL_STRUCTURAL</x:v>
      </x:c>
      <x:c r="F102" s="31" t="str">
        <x:v>CROSS_ANCHOR</x:v>
      </x:c>
      <x:c r="G102" s="31" t="str">
        <x:v>Canonical concept equality in candidate ledger</x:v>
      </x:c>
      <x:c r="H102" s="19" t="str">
        <x:v>HIGH</x:v>
      </x:c>
      <x:c r="I102" s="43" t="str">
        <x:v>Derived from controlled candidate metadata; no semantic evolution is asserted.</x:v>
      </x:c>
    </x:row>
    <x:row r="103" ht="32" customHeight="1">
      <x:c r="A103" s="40" t="str">
        <x:v>FT-REL-BAB1E439ED473F</x:v>
      </x:c>
      <x:c r="B103" s="31" t="str">
        <x:v>FT-SEED-R1B-P-1938-14</x:v>
      </x:c>
      <x:c r="C103" s="31" t="str">
        <x:v>FT-SEED-R1B-P-1988-03</x:v>
      </x:c>
      <x:c r="D103" s="31" t="str">
        <x:v>SAME_CANONICAL_CONCEPT</x:v>
      </x:c>
      <x:c r="E103" s="31" t="str">
        <x:v>COMPUTATIONAL_STRUCTURAL</x:v>
      </x:c>
      <x:c r="F103" s="31" t="str">
        <x:v>CROSS_ANCHOR</x:v>
      </x:c>
      <x:c r="G103" s="31" t="str">
        <x:v>Canonical concept equality in candidate ledger</x:v>
      </x:c>
      <x:c r="H103" s="19" t="str">
        <x:v>HIGH</x:v>
      </x:c>
      <x:c r="I103" s="43" t="str">
        <x:v>Derived from controlled candidate metadata; no semantic evolution is asserted.</x:v>
      </x:c>
    </x:row>
    <x:row r="104" ht="32" customHeight="1">
      <x:c r="A104" s="40" t="str">
        <x:v>FT-REL-B9C69C4837700E</x:v>
      </x:c>
      <x:c r="B104" s="31" t="str">
        <x:v>FT-SEED-R1B-P-1938-17</x:v>
      </x:c>
      <x:c r="C104" s="31" t="str">
        <x:v>FT-SEED-R1B-P-0607-12</x:v>
      </x:c>
      <x:c r="D104" s="31" t="str">
        <x:v>SAME_CANONICAL_CONCEPT</x:v>
      </x:c>
      <x:c r="E104" s="31" t="str">
        <x:v>COMPUTATIONAL_STRUCTURAL</x:v>
      </x:c>
      <x:c r="F104" s="31" t="str">
        <x:v>CROSS_ANCHOR</x:v>
      </x:c>
      <x:c r="G104" s="31" t="str">
        <x:v>Canonical concept equality in candidate ledger</x:v>
      </x:c>
      <x:c r="H104" s="19" t="str">
        <x:v>HIGH</x:v>
      </x:c>
      <x:c r="I104" s="43" t="str">
        <x:v>Derived from controlled candidate metadata; no semantic evolution is asserted.</x:v>
      </x:c>
    </x:row>
    <x:row r="105" ht="32" customHeight="1">
      <x:c r="A105" s="40" t="str">
        <x:v>FT-REL-14AEF4493E67B0</x:v>
      </x:c>
      <x:c r="B105" s="31" t="str">
        <x:v>FT-SEED-R1B-P-1938-17</x:v>
      </x:c>
      <x:c r="C105" s="31" t="str">
        <x:v>FT-SEED-R1B-P-0607-26</x:v>
      </x:c>
      <x:c r="D105" s="31" t="str">
        <x:v>SAME_CANONICAL_CONCEPT</x:v>
      </x:c>
      <x:c r="E105" s="31" t="str">
        <x:v>COMPUTATIONAL_STRUCTURAL</x:v>
      </x:c>
      <x:c r="F105" s="31" t="str">
        <x:v>CROSS_ANCHOR</x:v>
      </x:c>
      <x:c r="G105" s="31" t="str">
        <x:v>Canonical concept equality in candidate ledger</x:v>
      </x:c>
      <x:c r="H105" s="19" t="str">
        <x:v>HIGH</x:v>
      </x:c>
      <x:c r="I105" s="43" t="str">
        <x:v>Derived from controlled candidate metadata; no semantic evolution is asserted.</x:v>
      </x:c>
    </x:row>
    <x:row r="106" ht="32" customHeight="1">
      <x:c r="A106" s="40" t="str">
        <x:v>FT-REL-738C9AD14443F5</x:v>
      </x:c>
      <x:c r="B106" s="31" t="str">
        <x:v>FT-SEED-R1B-P-1938-17</x:v>
      </x:c>
      <x:c r="C106" s="31" t="str">
        <x:v>FT-SEED-R1B-P-0607-27</x:v>
      </x:c>
      <x:c r="D106" s="31" t="str">
        <x:v>SAME_CANONICAL_CONCEPT</x:v>
      </x:c>
      <x:c r="E106" s="31" t="str">
        <x:v>COMPUTATIONAL_STRUCTURAL</x:v>
      </x:c>
      <x:c r="F106" s="31" t="str">
        <x:v>CROSS_ANCHOR</x:v>
      </x:c>
      <x:c r="G106" s="31" t="str">
        <x:v>Canonical concept equality in candidate ledger</x:v>
      </x:c>
      <x:c r="H106" s="19" t="str">
        <x:v>HIGH</x:v>
      </x:c>
      <x:c r="I106" s="43" t="str">
        <x:v>Derived from controlled candidate metadata; no semantic evolution is asserted.</x:v>
      </x:c>
    </x:row>
    <x:row r="107" ht="32" customHeight="1">
      <x:c r="A107" s="40" t="str">
        <x:v>FT-REL-C66CA2BC181895</x:v>
      </x:c>
      <x:c r="B107" s="31" t="str">
        <x:v>FT-SEED-R1B-P-1938-17</x:v>
      </x:c>
      <x:c r="C107" s="31" t="str">
        <x:v>FT-SEED-R1B-P-0607-30</x:v>
      </x:c>
      <x:c r="D107" s="31" t="str">
        <x:v>SAME_CANONICAL_CONCEPT</x:v>
      </x:c>
      <x:c r="E107" s="31" t="str">
        <x:v>COMPUTATIONAL_STRUCTURAL</x:v>
      </x:c>
      <x:c r="F107" s="31" t="str">
        <x:v>CROSS_ANCHOR</x:v>
      </x:c>
      <x:c r="G107" s="31" t="str">
        <x:v>Canonical concept equality in candidate ledger</x:v>
      </x:c>
      <x:c r="H107" s="19" t="str">
        <x:v>HIGH</x:v>
      </x:c>
      <x:c r="I107" s="43" t="str">
        <x:v>Derived from controlled candidate metadata; no semantic evolution is asserted.</x:v>
      </x:c>
    </x:row>
    <x:row r="108" ht="32" customHeight="1">
      <x:c r="A108" s="40" t="str">
        <x:v>FT-REL-903451B581BF23</x:v>
      </x:c>
      <x:c r="B108" s="31" t="str">
        <x:v>FT-SEED-R1B-P-1938-17</x:v>
      </x:c>
      <x:c r="C108" s="31" t="str">
        <x:v>FT-SEED-R1B-P-1988-19</x:v>
      </x:c>
      <x:c r="D108" s="31" t="str">
        <x:v>SAME_CANONICAL_CONCEPT</x:v>
      </x:c>
      <x:c r="E108" s="31" t="str">
        <x:v>COMPUTATIONAL_STRUCTURAL</x:v>
      </x:c>
      <x:c r="F108" s="31" t="str">
        <x:v>CROSS_ANCHOR</x:v>
      </x:c>
      <x:c r="G108" s="31" t="str">
        <x:v>Canonical concept equality in candidate ledger</x:v>
      </x:c>
      <x:c r="H108" s="19" t="str">
        <x:v>HIGH</x:v>
      </x:c>
      <x:c r="I108" s="43" t="str">
        <x:v>Derived from controlled candidate metadata; no semantic evolution is asserted.</x:v>
      </x:c>
    </x:row>
    <x:row r="109" ht="32" customHeight="1">
      <x:c r="A109" s="40" t="str">
        <x:v>FT-REL-A2AA5930F65BA3</x:v>
      </x:c>
      <x:c r="B109" s="31" t="str">
        <x:v>FT-SEED-R1B-P-1938-17</x:v>
      </x:c>
      <x:c r="C109" s="31" t="str">
        <x:v>FT-SEED-R1B-P-1988-21</x:v>
      </x:c>
      <x:c r="D109" s="31" t="str">
        <x:v>SAME_CANONICAL_CONCEPT</x:v>
      </x:c>
      <x:c r="E109" s="31" t="str">
        <x:v>COMPUTATIONAL_STRUCTURAL</x:v>
      </x:c>
      <x:c r="F109" s="31" t="str">
        <x:v>CROSS_ANCHOR</x:v>
      </x:c>
      <x:c r="G109" s="31" t="str">
        <x:v>Canonical concept equality in candidate ledger</x:v>
      </x:c>
      <x:c r="H109" s="19" t="str">
        <x:v>HIGH</x:v>
      </x:c>
      <x:c r="I109" s="43" t="str">
        <x:v>Derived from controlled candidate metadata; no semantic evolution is asserted.</x:v>
      </x:c>
    </x:row>
    <x:row r="110" ht="32" customHeight="1">
      <x:c r="A110" s="40" t="str">
        <x:v>FT-REL-5DDB4F4129E744</x:v>
      </x:c>
      <x:c r="B110" s="31" t="str">
        <x:v>FT-SEED-R1B-P-1938-17</x:v>
      </x:c>
      <x:c r="C110" s="31" t="str">
        <x:v>FT-SEED-R1B-P-2022-28</x:v>
      </x:c>
      <x:c r="D110" s="31" t="str">
        <x:v>SAME_CANONICAL_CONCEPT</x:v>
      </x:c>
      <x:c r="E110" s="31" t="str">
        <x:v>COMPUTATIONAL_STRUCTURAL</x:v>
      </x:c>
      <x:c r="F110" s="31" t="str">
        <x:v>CROSS_ANCHOR</x:v>
      </x:c>
      <x:c r="G110" s="31" t="str">
        <x:v>Canonical concept equality in candidate ledger</x:v>
      </x:c>
      <x:c r="H110" s="19" t="str">
        <x:v>HIGH</x:v>
      </x:c>
      <x:c r="I110" s="43" t="str">
        <x:v>Derived from controlled candidate metadata; no semantic evolution is asserted.</x:v>
      </x:c>
    </x:row>
    <x:row r="111" ht="32" customHeight="1">
      <x:c r="A111" s="40" t="str">
        <x:v>FT-REL-9F2A09A5C9CD70</x:v>
      </x:c>
      <x:c r="B111" s="31" t="str">
        <x:v>FT-SEED-R1B-P-1938-18</x:v>
      </x:c>
      <x:c r="C111" s="31" t="str">
        <x:v>FT-SEED-R1B-P-1938-26</x:v>
      </x:c>
      <x:c r="D111" s="31" t="str">
        <x:v>SAME_CANONICAL_CONCEPT</x:v>
      </x:c>
      <x:c r="E111" s="31" t="str">
        <x:v>COMPUTATIONAL_STRUCTURAL</x:v>
      </x:c>
      <x:c r="F111" s="31" t="str">
        <x:v>WITHIN_ANCHOR</x:v>
      </x:c>
      <x:c r="G111" s="31" t="str">
        <x:v>Canonical concept equality in candidate ledger</x:v>
      </x:c>
      <x:c r="H111" s="19" t="str">
        <x:v>HIGH</x:v>
      </x:c>
      <x:c r="I111" s="43" t="str">
        <x:v>Derived from controlled candidate metadata; no semantic evolution is asserted.</x:v>
      </x:c>
    </x:row>
    <x:row r="112" ht="32" customHeight="1">
      <x:c r="A112" s="40" t="str">
        <x:v>FT-REL-3ED7203125FFA8</x:v>
      </x:c>
      <x:c r="B112" s="31" t="str">
        <x:v>FT-SEED-R1B-P-1938-18</x:v>
      </x:c>
      <x:c r="C112" s="31" t="str">
        <x:v>FT-SEED-R1B-P-1988-29</x:v>
      </x:c>
      <x:c r="D112" s="31" t="str">
        <x:v>SAME_CANONICAL_CONCEPT</x:v>
      </x:c>
      <x:c r="E112" s="31" t="str">
        <x:v>COMPUTATIONAL_STRUCTURAL</x:v>
      </x:c>
      <x:c r="F112" s="31" t="str">
        <x:v>CROSS_ANCHOR</x:v>
      </x:c>
      <x:c r="G112" s="31" t="str">
        <x:v>Canonical concept equality in candidate ledger</x:v>
      </x:c>
      <x:c r="H112" s="19" t="str">
        <x:v>HIGH</x:v>
      </x:c>
      <x:c r="I112" s="43" t="str">
        <x:v>Derived from controlled candidate metadata; no semantic evolution is asserted.</x:v>
      </x:c>
    </x:row>
    <x:row r="113" ht="32" customHeight="1">
      <x:c r="A113" s="40" t="str">
        <x:v>FT-REL-AC0AEEAC53C6BA</x:v>
      </x:c>
      <x:c r="B113" s="31" t="str">
        <x:v>FT-SEED-R1B-P-1938-18</x:v>
      </x:c>
      <x:c r="C113" s="31" t="str">
        <x:v>FT-SEED-R1B-P-2015-30</x:v>
      </x:c>
      <x:c r="D113" s="31" t="str">
        <x:v>SAME_CANONICAL_CONCEPT</x:v>
      </x:c>
      <x:c r="E113" s="31" t="str">
        <x:v>COMPUTATIONAL_STRUCTURAL</x:v>
      </x:c>
      <x:c r="F113" s="31" t="str">
        <x:v>CROSS_ANCHOR</x:v>
      </x:c>
      <x:c r="G113" s="31" t="str">
        <x:v>Canonical concept equality in candidate ledger</x:v>
      </x:c>
      <x:c r="H113" s="19" t="str">
        <x:v>HIGH</x:v>
      </x:c>
      <x:c r="I113" s="43" t="str">
        <x:v>Derived from controlled candidate metadata; no semantic evolution is asserted.</x:v>
      </x:c>
    </x:row>
    <x:row r="114" ht="32" customHeight="1">
      <x:c r="A114" s="40" t="str">
        <x:v>FT-REL-9E67FCF53C63E1</x:v>
      </x:c>
      <x:c r="B114" s="31" t="str">
        <x:v>FT-SEED-R1B-P-1938-18</x:v>
      </x:c>
      <x:c r="C114" s="31" t="str">
        <x:v>FT-SEED-R1B-P-2022-11</x:v>
      </x:c>
      <x:c r="D114" s="31" t="str">
        <x:v>SAME_CANONICAL_CONCEPT</x:v>
      </x:c>
      <x:c r="E114" s="31" t="str">
        <x:v>COMPUTATIONAL_STRUCTURAL</x:v>
      </x:c>
      <x:c r="F114" s="31" t="str">
        <x:v>CROSS_ANCHOR</x:v>
      </x:c>
      <x:c r="G114" s="31" t="str">
        <x:v>Canonical concept equality in candidate ledger</x:v>
      </x:c>
      <x:c r="H114" s="19" t="str">
        <x:v>HIGH</x:v>
      </x:c>
      <x:c r="I114" s="43" t="str">
        <x:v>Derived from controlled candidate metadata; no semantic evolution is asserted.</x:v>
      </x:c>
    </x:row>
    <x:row r="115" ht="32" customHeight="1">
      <x:c r="A115" s="40" t="str">
        <x:v>FT-REL-F44E15BC98BEE9</x:v>
      </x:c>
      <x:c r="B115" s="31" t="str">
        <x:v>FT-SEED-R1B-P-1938-19</x:v>
      </x:c>
      <x:c r="C115" s="31" t="str">
        <x:v>FT-SEED-R1B-P-1938-20</x:v>
      </x:c>
      <x:c r="D115" s="31" t="str">
        <x:v>SAME_CANONICAL_CONCEPT</x:v>
      </x:c>
      <x:c r="E115" s="31" t="str">
        <x:v>COMPUTATIONAL_STRUCTURAL</x:v>
      </x:c>
      <x:c r="F115" s="31" t="str">
        <x:v>WITHIN_ANCHOR</x:v>
      </x:c>
      <x:c r="G115" s="31" t="str">
        <x:v>Canonical concept equality in candidate ledger</x:v>
      </x:c>
      <x:c r="H115" s="19" t="str">
        <x:v>HIGH</x:v>
      </x:c>
      <x:c r="I115" s="43" t="str">
        <x:v>Derived from controlled candidate metadata; no semantic evolution is asserted.</x:v>
      </x:c>
    </x:row>
    <x:row r="116" ht="32" customHeight="1">
      <x:c r="A116" s="40" t="str">
        <x:v>FT-REL-D5BECB28A94180</x:v>
      </x:c>
      <x:c r="B116" s="31" t="str">
        <x:v>FT-SEED-R1B-P-1938-19</x:v>
      </x:c>
      <x:c r="C116" s="31" t="str">
        <x:v>FT-SEED-R1B-P-1938-21</x:v>
      </x:c>
      <x:c r="D116" s="31" t="str">
        <x:v>SAME_CANONICAL_CONCEPT</x:v>
      </x:c>
      <x:c r="E116" s="31" t="str">
        <x:v>COMPUTATIONAL_STRUCTURAL</x:v>
      </x:c>
      <x:c r="F116" s="31" t="str">
        <x:v>WITHIN_ANCHOR</x:v>
      </x:c>
      <x:c r="G116" s="31" t="str">
        <x:v>Canonical concept equality in candidate ledger</x:v>
      </x:c>
      <x:c r="H116" s="19" t="str">
        <x:v>HIGH</x:v>
      </x:c>
      <x:c r="I116" s="43" t="str">
        <x:v>Derived from controlled candidate metadata; no semantic evolution is asserted.</x:v>
      </x:c>
    </x:row>
    <x:row r="117" ht="32" customHeight="1">
      <x:c r="A117" s="40" t="str">
        <x:v>FT-REL-6F4726104286FB</x:v>
      </x:c>
      <x:c r="B117" s="31" t="str">
        <x:v>FT-SEED-R1B-P-1938-19</x:v>
      </x:c>
      <x:c r="C117" s="31" t="str">
        <x:v>FT-SEED-R1B-P-1938-23</x:v>
      </x:c>
      <x:c r="D117" s="31" t="str">
        <x:v>SAME_CANONICAL_CONCEPT</x:v>
      </x:c>
      <x:c r="E117" s="31" t="str">
        <x:v>COMPUTATIONAL_STRUCTURAL</x:v>
      </x:c>
      <x:c r="F117" s="31" t="str">
        <x:v>WITHIN_ANCHOR</x:v>
      </x:c>
      <x:c r="G117" s="31" t="str">
        <x:v>Canonical concept equality in candidate ledger</x:v>
      </x:c>
      <x:c r="H117" s="19" t="str">
        <x:v>HIGH</x:v>
      </x:c>
      <x:c r="I117" s="43" t="str">
        <x:v>Derived from controlled candidate metadata; no semantic evolution is asserted.</x:v>
      </x:c>
    </x:row>
    <x:row r="118" ht="32" customHeight="1">
      <x:c r="A118" s="40" t="str">
        <x:v>FT-REL-975ECFA2A55864</x:v>
      </x:c>
      <x:c r="B118" s="31" t="str">
        <x:v>FT-SEED-R1B-P-1938-19</x:v>
      </x:c>
      <x:c r="C118" s="31" t="str">
        <x:v>FT-SEED-R1B-P-1938-25</x:v>
      </x:c>
      <x:c r="D118" s="31" t="str">
        <x:v>SAME_CANONICAL_CONCEPT</x:v>
      </x:c>
      <x:c r="E118" s="31" t="str">
        <x:v>COMPUTATIONAL_STRUCTURAL</x:v>
      </x:c>
      <x:c r="F118" s="31" t="str">
        <x:v>WITHIN_ANCHOR</x:v>
      </x:c>
      <x:c r="G118" s="31" t="str">
        <x:v>Canonical concept equality in candidate ledger</x:v>
      </x:c>
      <x:c r="H118" s="19" t="str">
        <x:v>HIGH</x:v>
      </x:c>
      <x:c r="I118" s="43" t="str">
        <x:v>Derived from controlled candidate metadata; no semantic evolution is asserted.</x:v>
      </x:c>
    </x:row>
    <x:row r="119" ht="32" customHeight="1">
      <x:c r="A119" s="40" t="str">
        <x:v>FT-REL-323452533DEDD8</x:v>
      </x:c>
      <x:c r="B119" s="31" t="str">
        <x:v>FT-SEED-R1B-P-1938-19</x:v>
      </x:c>
      <x:c r="C119" s="31" t="str">
        <x:v>FT-SEED-R1B-P-1988-07</x:v>
      </x:c>
      <x:c r="D119" s="31" t="str">
        <x:v>SAME_CANONICAL_CONCEPT</x:v>
      </x:c>
      <x:c r="E119" s="31" t="str">
        <x:v>COMPUTATIONAL_STRUCTURAL</x:v>
      </x:c>
      <x:c r="F119" s="31" t="str">
        <x:v>CROSS_ANCHOR</x:v>
      </x:c>
      <x:c r="G119" s="31" t="str">
        <x:v>Canonical concept equality in candidate ledger</x:v>
      </x:c>
      <x:c r="H119" s="19" t="str">
        <x:v>HIGH</x:v>
      </x:c>
      <x:c r="I119" s="43" t="str">
        <x:v>Derived from controlled candidate metadata; no semantic evolution is asserted.</x:v>
      </x:c>
    </x:row>
    <x:row r="120" ht="32" customHeight="1">
      <x:c r="A120" s="40" t="str">
        <x:v>FT-REL-5E14AB31362CEE</x:v>
      </x:c>
      <x:c r="B120" s="31" t="str">
        <x:v>FT-SEED-R1B-P-1938-19</x:v>
      </x:c>
      <x:c r="C120" s="31" t="str">
        <x:v>FT-SEED-R1B-P-1988-08</x:v>
      </x:c>
      <x:c r="D120" s="31" t="str">
        <x:v>SAME_CANONICAL_CONCEPT</x:v>
      </x:c>
      <x:c r="E120" s="31" t="str">
        <x:v>COMPUTATIONAL_STRUCTURAL</x:v>
      </x:c>
      <x:c r="F120" s="31" t="str">
        <x:v>CROSS_ANCHOR</x:v>
      </x:c>
      <x:c r="G120" s="31" t="str">
        <x:v>Canonical concept equality in candidate ledger</x:v>
      </x:c>
      <x:c r="H120" s="19" t="str">
        <x:v>HIGH</x:v>
      </x:c>
      <x:c r="I120" s="43" t="str">
        <x:v>Derived from controlled candidate metadata; no semantic evolution is asserted.</x:v>
      </x:c>
    </x:row>
    <x:row r="121" ht="32" customHeight="1">
      <x:c r="A121" s="40" t="str">
        <x:v>FT-REL-7448822939B3B9</x:v>
      </x:c>
      <x:c r="B121" s="31" t="str">
        <x:v>FT-SEED-R1B-P-1938-19</x:v>
      </x:c>
      <x:c r="C121" s="31" t="str">
        <x:v>FT-SEED-R1B-P-1988-10</x:v>
      </x:c>
      <x:c r="D121" s="31" t="str">
        <x:v>SAME_CANONICAL_CONCEPT</x:v>
      </x:c>
      <x:c r="E121" s="31" t="str">
        <x:v>COMPUTATIONAL_STRUCTURAL</x:v>
      </x:c>
      <x:c r="F121" s="31" t="str">
        <x:v>CROSS_ANCHOR</x:v>
      </x:c>
      <x:c r="G121" s="31" t="str">
        <x:v>Canonical concept equality in candidate ledger</x:v>
      </x:c>
      <x:c r="H121" s="19" t="str">
        <x:v>HIGH</x:v>
      </x:c>
      <x:c r="I121" s="43" t="str">
        <x:v>Derived from controlled candidate metadata; no semantic evolution is asserted.</x:v>
      </x:c>
    </x:row>
    <x:row r="122" ht="32" customHeight="1">
      <x:c r="A122" s="40" t="str">
        <x:v>FT-REL-84585E6B145F4A</x:v>
      </x:c>
      <x:c r="B122" s="31" t="str">
        <x:v>FT-SEED-R1B-P-1938-19</x:v>
      </x:c>
      <x:c r="C122" s="31" t="str">
        <x:v>FT-SEED-R1B-P-2022-22</x:v>
      </x:c>
      <x:c r="D122" s="31" t="str">
        <x:v>SAME_CANONICAL_CONCEPT</x:v>
      </x:c>
      <x:c r="E122" s="31" t="str">
        <x:v>COMPUTATIONAL_STRUCTURAL</x:v>
      </x:c>
      <x:c r="F122" s="31" t="str">
        <x:v>CROSS_ANCHOR</x:v>
      </x:c>
      <x:c r="G122" s="31" t="str">
        <x:v>Canonical concept equality in candidate ledger</x:v>
      </x:c>
      <x:c r="H122" s="19" t="str">
        <x:v>HIGH</x:v>
      </x:c>
      <x:c r="I122" s="43" t="str">
        <x:v>Derived from controlled candidate metadata; no semantic evolution is asserted.</x:v>
      </x:c>
    </x:row>
    <x:row r="123" ht="32" customHeight="1">
      <x:c r="A123" s="40" t="str">
        <x:v>FT-REL-F45D61405A35BE</x:v>
      </x:c>
      <x:c r="B123" s="31" t="str">
        <x:v>FT-SEED-R1B-P-1988-02</x:v>
      </x:c>
      <x:c r="C123" s="31" t="str">
        <x:v>FT-SEED-R1B-P-0607-11</x:v>
      </x:c>
      <x:c r="D123" s="31" t="str">
        <x:v>SAME_CANONICAL_CONCEPT</x:v>
      </x:c>
      <x:c r="E123" s="31" t="str">
        <x:v>COMPUTATIONAL_STRUCTURAL</x:v>
      </x:c>
      <x:c r="F123" s="31" t="str">
        <x:v>CROSS_ANCHOR</x:v>
      </x:c>
      <x:c r="G123" s="31" t="str">
        <x:v>Canonical concept equality in candidate ledger</x:v>
      </x:c>
      <x:c r="H123" s="19" t="str">
        <x:v>HIGH</x:v>
      </x:c>
      <x:c r="I123" s="43" t="str">
        <x:v>Derived from controlled candidate metadata; no semantic evolution is asserted.</x:v>
      </x:c>
    </x:row>
    <x:row r="124" ht="32" customHeight="1">
      <x:c r="A124" s="40" t="str">
        <x:v>FT-REL-996A848CD06F08</x:v>
      </x:c>
      <x:c r="B124" s="31" t="str">
        <x:v>FT-SEED-R1B-P-1988-02</x:v>
      </x:c>
      <x:c r="C124" s="31" t="str">
        <x:v>FT-SEED-R1B-P-1988-28</x:v>
      </x:c>
      <x:c r="D124" s="31" t="str">
        <x:v>SAME_CANONICAL_CONCEPT</x:v>
      </x:c>
      <x:c r="E124" s="31" t="str">
        <x:v>COMPUTATIONAL_STRUCTURAL</x:v>
      </x:c>
      <x:c r="F124" s="31" t="str">
        <x:v>WITHIN_ANCHOR</x:v>
      </x:c>
      <x:c r="G124" s="31" t="str">
        <x:v>Canonical concept equality in candidate ledger</x:v>
      </x:c>
      <x:c r="H124" s="19" t="str">
        <x:v>HIGH</x:v>
      </x:c>
      <x:c r="I124" s="43" t="str">
        <x:v>Derived from controlled candidate metadata; no semantic evolution is asserted.</x:v>
      </x:c>
    </x:row>
    <x:row r="125" ht="32" customHeight="1">
      <x:c r="A125" s="40" t="str">
        <x:v>FT-REL-95D2B5F16A2D05</x:v>
      </x:c>
      <x:c r="B125" s="31" t="str">
        <x:v>FT-SEED-R1B-P-1988-02</x:v>
      </x:c>
      <x:c r="C125" s="31" t="str">
        <x:v>FT-SEED-R1B-P-2022-02</x:v>
      </x:c>
      <x:c r="D125" s="31" t="str">
        <x:v>SAME_CANONICAL_CONCEPT</x:v>
      </x:c>
      <x:c r="E125" s="31" t="str">
        <x:v>COMPUTATIONAL_STRUCTURAL</x:v>
      </x:c>
      <x:c r="F125" s="31" t="str">
        <x:v>CROSS_ANCHOR</x:v>
      </x:c>
      <x:c r="G125" s="31" t="str">
        <x:v>Canonical concept equality in candidate ledger</x:v>
      </x:c>
      <x:c r="H125" s="19" t="str">
        <x:v>HIGH</x:v>
      </x:c>
      <x:c r="I125" s="43" t="str">
        <x:v>Derived from controlled candidate metadata; no semantic evolution is asserted.</x:v>
      </x:c>
    </x:row>
    <x:row r="126" ht="32" customHeight="1">
      <x:c r="A126" s="40" t="str">
        <x:v>FT-REL-360C5E85BA103F</x:v>
      </x:c>
      <x:c r="B126" s="31" t="str">
        <x:v>FT-SEED-R1B-P-1988-17</x:v>
      </x:c>
      <x:c r="C126" s="31" t="str">
        <x:v>FT-SEED-R1B-P-0607-01</x:v>
      </x:c>
      <x:c r="D126" s="31" t="str">
        <x:v>SAME_CANONICAL_CONCEPT</x:v>
      </x:c>
      <x:c r="E126" s="31" t="str">
        <x:v>COMPUTATIONAL_STRUCTURAL</x:v>
      </x:c>
      <x:c r="F126" s="31" t="str">
        <x:v>CROSS_ANCHOR</x:v>
      </x:c>
      <x:c r="G126" s="31" t="str">
        <x:v>Canonical concept equality in candidate ledger</x:v>
      </x:c>
      <x:c r="H126" s="19" t="str">
        <x:v>HIGH</x:v>
      </x:c>
      <x:c r="I126" s="43" t="str">
        <x:v>Derived from controlled candidate metadata; no semantic evolution is asserted.</x:v>
      </x:c>
    </x:row>
    <x:row r="127" ht="32" customHeight="1">
      <x:c r="A127" s="40" t="str">
        <x:v>FT-REL-C716FA0E42FDA3</x:v>
      </x:c>
      <x:c r="B127" s="31" t="str">
        <x:v>FT-SEED-R1B-P-1988-23</x:v>
      </x:c>
      <x:c r="C127" s="31" t="str">
        <x:v>FT-SEED-R1B-P-2015-07</x:v>
      </x:c>
      <x:c r="D127" s="31" t="str">
        <x:v>SAME_CANONICAL_CONCEPT</x:v>
      </x:c>
      <x:c r="E127" s="31" t="str">
        <x:v>COMPUTATIONAL_STRUCTURAL</x:v>
      </x:c>
      <x:c r="F127" s="31" t="str">
        <x:v>CROSS_ANCHOR</x:v>
      </x:c>
      <x:c r="G127" s="31" t="str">
        <x:v>Canonical concept equality in candidate ledger</x:v>
      </x:c>
      <x:c r="H127" s="19" t="str">
        <x:v>HIGH</x:v>
      </x:c>
      <x:c r="I127" s="43" t="str">
        <x:v>Derived from controlled candidate metadata; no semantic evolution is asserted.</x:v>
      </x:c>
    </x:row>
    <x:row r="128" ht="32" customHeight="1">
      <x:c r="A128" s="40" t="str">
        <x:v>FT-REL-3EDA9089172CF6</x:v>
      </x:c>
      <x:c r="B128" s="31" t="str">
        <x:v>FT-SEED-R1B-P-1988-23</x:v>
      </x:c>
      <x:c r="C128" s="31" t="str">
        <x:v>FT-SEED-R1B-P-2015-17</x:v>
      </x:c>
      <x:c r="D128" s="31" t="str">
        <x:v>SAME_CANONICAL_CONCEPT</x:v>
      </x:c>
      <x:c r="E128" s="31" t="str">
        <x:v>COMPUTATIONAL_STRUCTURAL</x:v>
      </x:c>
      <x:c r="F128" s="31" t="str">
        <x:v>CROSS_ANCHOR</x:v>
      </x:c>
      <x:c r="G128" s="31" t="str">
        <x:v>Canonical concept equality in candidate ledger</x:v>
      </x:c>
      <x:c r="H128" s="19" t="str">
        <x:v>HIGH</x:v>
      </x:c>
      <x:c r="I128" s="43" t="str">
        <x:v>Derived from controlled candidate metadata; no semantic evolution is asserted.</x:v>
      </x:c>
    </x:row>
    <x:row r="129" ht="32" customHeight="1">
      <x:c r="A129" s="40" t="str">
        <x:v>FT-REL-A4DAA45B46EFB4</x:v>
      </x:c>
      <x:c r="B129" s="31" t="str">
        <x:v>FT-SEED-R1B-P-1988-23</x:v>
      </x:c>
      <x:c r="C129" s="31" t="str">
        <x:v>FT-SEED-R1B-P-2015-21</x:v>
      </x:c>
      <x:c r="D129" s="31" t="str">
        <x:v>SAME_CANONICAL_CONCEPT</x:v>
      </x:c>
      <x:c r="E129" s="31" t="str">
        <x:v>COMPUTATIONAL_STRUCTURAL</x:v>
      </x:c>
      <x:c r="F129" s="31" t="str">
        <x:v>CROSS_ANCHOR</x:v>
      </x:c>
      <x:c r="G129" s="31" t="str">
        <x:v>Canonical concept equality in candidate ledger</x:v>
      </x:c>
      <x:c r="H129" s="19" t="str">
        <x:v>HIGH</x:v>
      </x:c>
      <x:c r="I129" s="43" t="str">
        <x:v>Derived from controlled candidate metadata; no semantic evolution is asserted.</x:v>
      </x:c>
    </x:row>
    <x:row r="130" ht="32" customHeight="1">
      <x:c r="A130" s="40" t="str">
        <x:v>FT-REL-3747BB34D81095</x:v>
      </x:c>
      <x:c r="B130" s="31" t="str">
        <x:v>FT-SEED-R1B-P-1988-27</x:v>
      </x:c>
      <x:c r="C130" s="31" t="str">
        <x:v>FT-SEED-R1B-P-0607-09</x:v>
      </x:c>
      <x:c r="D130" s="31" t="str">
        <x:v>SAME_CANONICAL_CONCEPT</x:v>
      </x:c>
      <x:c r="E130" s="31" t="str">
        <x:v>COMPUTATIONAL_STRUCTURAL</x:v>
      </x:c>
      <x:c r="F130" s="31" t="str">
        <x:v>CROSS_ANCHOR</x:v>
      </x:c>
      <x:c r="G130" s="31" t="str">
        <x:v>Canonical concept equality in candidate ledger</x:v>
      </x:c>
      <x:c r="H130" s="19" t="str">
        <x:v>HIGH</x:v>
      </x:c>
      <x:c r="I130" s="43" t="str">
        <x:v>Derived from controlled candidate metadata; no semantic evolution is asserted.</x:v>
      </x:c>
    </x:row>
    <x:row r="131" ht="32" customHeight="1">
      <x:c r="A131" s="40" t="str">
        <x:v>FT-REL-A2AEE3E5ADC5D3</x:v>
      </x:c>
      <x:c r="B131" s="31" t="str">
        <x:v>FT-SEED-R1B-P-1988-27</x:v>
      </x:c>
      <x:c r="C131" s="31" t="str">
        <x:v>FT-SEED-R1B-P-2015-10</x:v>
      </x:c>
      <x:c r="D131" s="31" t="str">
        <x:v>SAME_CANONICAL_CONCEPT</x:v>
      </x:c>
      <x:c r="E131" s="31" t="str">
        <x:v>COMPUTATIONAL_STRUCTURAL</x:v>
      </x:c>
      <x:c r="F131" s="31" t="str">
        <x:v>CROSS_ANCHOR</x:v>
      </x:c>
      <x:c r="G131" s="31" t="str">
        <x:v>Canonical concept equality in candidate ledger</x:v>
      </x:c>
      <x:c r="H131" s="19" t="str">
        <x:v>HIGH</x:v>
      </x:c>
      <x:c r="I131" s="43" t="str">
        <x:v>Derived from controlled candidate metadata; no semantic evolution is asserted.</x:v>
      </x:c>
    </x:row>
    <x:row r="132" ht="32" customHeight="1">
      <x:c r="A132" s="40" t="str">
        <x:v>FT-REL-3CA9780EDEBA9A</x:v>
      </x:c>
      <x:c r="B132" s="31" t="str">
        <x:v>FT-SEED-R1B-P-2015-12</x:v>
      </x:c>
      <x:c r="C132" s="31" t="str">
        <x:v>FT-SEED-R1B-P-2015-13</x:v>
      </x:c>
      <x:c r="D132" s="31" t="str">
        <x:v>SAME_CANONICAL_CONCEPT</x:v>
      </x:c>
      <x:c r="E132" s="31" t="str">
        <x:v>COMPUTATIONAL_STRUCTURAL</x:v>
      </x:c>
      <x:c r="F132" s="31" t="str">
        <x:v>WITHIN_ANCHOR</x:v>
      </x:c>
      <x:c r="G132" s="31" t="str">
        <x:v>Canonical concept equality in candidate ledger</x:v>
      </x:c>
      <x:c r="H132" s="19" t="str">
        <x:v>HIGH</x:v>
      </x:c>
      <x:c r="I132" s="43" t="str">
        <x:v>Derived from controlled candidate metadata; no semantic evolution is asserted.</x:v>
      </x:c>
    </x:row>
    <x:row r="133" ht="32" customHeight="1">
      <x:c r="A133" s="40" t="str">
        <x:v>FT-REL-87C9D9AD0055E9</x:v>
      </x:c>
      <x:c r="B133" s="31" t="str">
        <x:v>FT-SEED-R1B-P-2015-14</x:v>
      </x:c>
      <x:c r="C133" s="31" t="str">
        <x:v>FT-SEED-R1B-P-2015-20</x:v>
      </x:c>
      <x:c r="D133" s="31" t="str">
        <x:v>SAME_CANONICAL_CONCEPT</x:v>
      </x:c>
      <x:c r="E133" s="31" t="str">
        <x:v>COMPUTATIONAL_STRUCTURAL</x:v>
      </x:c>
      <x:c r="F133" s="31" t="str">
        <x:v>WITHIN_ANCHOR</x:v>
      </x:c>
      <x:c r="G133" s="31" t="str">
        <x:v>Canonical concept equality in candidate ledger</x:v>
      </x:c>
      <x:c r="H133" s="19" t="str">
        <x:v>HIGH</x:v>
      </x:c>
      <x:c r="I133" s="43" t="str">
        <x:v>Derived from controlled candidate metadata; no semantic evolution is asserted.</x:v>
      </x:c>
    </x:row>
    <x:row r="134" ht="32" customHeight="1">
      <x:c r="A134" s="40" t="str">
        <x:v>FT-REL-D3D43F7C621B78</x:v>
      </x:c>
      <x:c r="B134" s="31" t="str">
        <x:v>FT-SEED-R1B-P-2015-25</x:v>
      </x:c>
      <x:c r="C134" s="31" t="str">
        <x:v>FT-SEED-R1B-P-2015-26</x:v>
      </x:c>
      <x:c r="D134" s="31" t="str">
        <x:v>SAME_CANONICAL_CONCEPT</x:v>
      </x:c>
      <x:c r="E134" s="31" t="str">
        <x:v>COMPUTATIONAL_STRUCTURAL</x:v>
      </x:c>
      <x:c r="F134" s="31" t="str">
        <x:v>WITHIN_ANCHOR</x:v>
      </x:c>
      <x:c r="G134" s="31" t="str">
        <x:v>Canonical concept equality in candidate ledger</x:v>
      </x:c>
      <x:c r="H134" s="19" t="str">
        <x:v>HIGH</x:v>
      </x:c>
      <x:c r="I134" s="43" t="str">
        <x:v>Derived from controlled candidate metadata; no semantic evolution is asserted.</x:v>
      </x:c>
    </x:row>
    <x:row r="135" ht="32" customHeight="1">
      <x:c r="A135" s="40" t="str">
        <x:v>FT-REL-748C268ECBF785</x:v>
      </x:c>
      <x:c r="B135" s="31" t="str">
        <x:v>FT-SEED-R1B-P-2015-25</x:v>
      </x:c>
      <x:c r="C135" s="31" t="str">
        <x:v>FT-SEED-R1B-P-2022-03</x:v>
      </x:c>
      <x:c r="D135" s="31" t="str">
        <x:v>SAME_CANONICAL_CONCEPT</x:v>
      </x:c>
      <x:c r="E135" s="31" t="str">
        <x:v>COMPUTATIONAL_STRUCTURAL</x:v>
      </x:c>
      <x:c r="F135" s="31" t="str">
        <x:v>CROSS_ANCHOR</x:v>
      </x:c>
      <x:c r="G135" s="31" t="str">
        <x:v>Canonical concept equality in candidate ledger</x:v>
      </x:c>
      <x:c r="H135" s="19" t="str">
        <x:v>HIGH</x:v>
      </x:c>
      <x:c r="I135" s="43" t="str">
        <x:v>Derived from controlled candidate metadata; no semantic evolution is asserted.</x:v>
      </x:c>
    </x:row>
    <x:row r="136" ht="32" customHeight="1">
      <x:c r="A136" s="40" t="str">
        <x:v>FT-REL-051585B060DD73</x:v>
      </x:c>
      <x:c r="B136" s="31" t="str">
        <x:v>FT-SEED-R1B-P-2015-25</x:v>
      </x:c>
      <x:c r="C136" s="31" t="str">
        <x:v>FT-SEED-R1B-P-2022-04</x:v>
      </x:c>
      <x:c r="D136" s="31" t="str">
        <x:v>SAME_CANONICAL_CONCEPT</x:v>
      </x:c>
      <x:c r="E136" s="31" t="str">
        <x:v>COMPUTATIONAL_STRUCTURAL</x:v>
      </x:c>
      <x:c r="F136" s="31" t="str">
        <x:v>CROSS_ANCHOR</x:v>
      </x:c>
      <x:c r="G136" s="31" t="str">
        <x:v>Canonical concept equality in candidate ledger</x:v>
      </x:c>
      <x:c r="H136" s="19" t="str">
        <x:v>HIGH</x:v>
      </x:c>
      <x:c r="I136" s="43" t="str">
        <x:v>Derived from controlled candidate metadata; no semantic evolution is asserted.</x:v>
      </x:c>
    </x:row>
    <x:row r="137" ht="32" customHeight="1">
      <x:c r="A137" s="40" t="str">
        <x:v>FT-REL-98F2AA1A473879</x:v>
      </x:c>
      <x:c r="B137" s="31" t="str">
        <x:v>FT-SEED-R1B-P-2022-07</x:v>
      </x:c>
      <x:c r="C137" s="31" t="str">
        <x:v>FT-SEED-R1B-P-2022-08</x:v>
      </x:c>
      <x:c r="D137" s="31" t="str">
        <x:v>SAME_CANONICAL_CONCEPT</x:v>
      </x:c>
      <x:c r="E137" s="31" t="str">
        <x:v>COMPUTATIONAL_STRUCTURAL</x:v>
      </x:c>
      <x:c r="F137" s="31" t="str">
        <x:v>WITHIN_ANCHOR</x:v>
      </x:c>
      <x:c r="G137" s="31" t="str">
        <x:v>Canonical concept equality in candidate ledger</x:v>
      </x:c>
      <x:c r="H137" s="19" t="str">
        <x:v>HIGH</x:v>
      </x:c>
      <x:c r="I137" s="43" t="str">
        <x:v>Derived from controlled candidate metadata; no semantic evolution is asserted.</x:v>
      </x:c>
    </x:row>
    <x:row r="138" ht="32" customHeight="1">
      <x:c r="A138" s="40" t="str">
        <x:v>FT-REL-A9D659883F9DA9</x:v>
      </x:c>
      <x:c r="B138" s="31" t="str">
        <x:v>FT-SEED-R1B-P-2022-07</x:v>
      </x:c>
      <x:c r="C138" s="31" t="str">
        <x:v>FT-SEED-R1B-P-2022-09</x:v>
      </x:c>
      <x:c r="D138" s="31" t="str">
        <x:v>SAME_CANONICAL_CONCEPT</x:v>
      </x:c>
      <x:c r="E138" s="31" t="str">
        <x:v>COMPUTATIONAL_STRUCTURAL</x:v>
      </x:c>
      <x:c r="F138" s="31" t="str">
        <x:v>WITHIN_ANCHOR</x:v>
      </x:c>
      <x:c r="G138" s="31" t="str">
        <x:v>Canonical concept equality in candidate ledger</x:v>
      </x:c>
      <x:c r="H138" s="19" t="str">
        <x:v>HIGH</x:v>
      </x:c>
      <x:c r="I138" s="43" t="str">
        <x:v>Derived from controlled candidate metadata; no semantic evolution is asserted.</x:v>
      </x:c>
    </x:row>
    <x:row r="139" ht="32" customHeight="1">
      <x:c r="A139" s="40" t="str">
        <x:v>FT-REL-E05325711D3A52</x:v>
      </x:c>
      <x:c r="B139" s="31" t="str">
        <x:v>FT-SEED-R1B-P-2022-07</x:v>
      </x:c>
      <x:c r="C139" s="31" t="str">
        <x:v>FT-SEED-R1B-P-2022-10</x:v>
      </x:c>
      <x:c r="D139" s="31" t="str">
        <x:v>SAME_CANONICAL_CONCEPT</x:v>
      </x:c>
      <x:c r="E139" s="31" t="str">
        <x:v>COMPUTATIONAL_STRUCTURAL</x:v>
      </x:c>
      <x:c r="F139" s="31" t="str">
        <x:v>WITHIN_ANCHOR</x:v>
      </x:c>
      <x:c r="G139" s="31" t="str">
        <x:v>Canonical concept equality in candidate ledger</x:v>
      </x:c>
      <x:c r="H139" s="19" t="str">
        <x:v>HIGH</x:v>
      </x:c>
      <x:c r="I139" s="43" t="str">
        <x:v>Derived from controlled candidate metadata; no semantic evolution is asserted.</x:v>
      </x:c>
    </x:row>
    <x:row r="140" ht="32" customHeight="1">
      <x:c r="A140" s="40" t="str">
        <x:v>FT-REL-A2E809D7C952EB</x:v>
      </x:c>
      <x:c r="B140" s="31" t="str">
        <x:v>FT-SEED-R1B-P-2022-07</x:v>
      </x:c>
      <x:c r="C140" s="31" t="str">
        <x:v>FT-SEED-R1B-P-2022-12</x:v>
      </x:c>
      <x:c r="D140" s="31" t="str">
        <x:v>SAME_CANONICAL_CONCEPT</x:v>
      </x:c>
      <x:c r="E140" s="31" t="str">
        <x:v>COMPUTATIONAL_STRUCTURAL</x:v>
      </x:c>
      <x:c r="F140" s="31" t="str">
        <x:v>WITHIN_ANCHOR</x:v>
      </x:c>
      <x:c r="G140" s="31" t="str">
        <x:v>Canonical concept equality in candidate ledger</x:v>
      </x:c>
      <x:c r="H140" s="19" t="str">
        <x:v>HIGH</x:v>
      </x:c>
      <x:c r="I140" s="43" t="str">
        <x:v>Derived from controlled candidate metadata; no semantic evolution is asserted.</x:v>
      </x:c>
    </x:row>
    <x:row r="141" ht="32" customHeight="1">
      <x:c r="A141" s="40" t="str">
        <x:v>FT-REL-6667DCF4438CEA</x:v>
      </x:c>
      <x:c r="B141" s="31" t="str">
        <x:v>FT-SEED-R1B-P-2022-07</x:v>
      </x:c>
      <x:c r="C141" s="31" t="str">
        <x:v>FT-SEED-R1B-P-2022-13</x:v>
      </x:c>
      <x:c r="D141" s="31" t="str">
        <x:v>SAME_CANONICAL_CONCEPT</x:v>
      </x:c>
      <x:c r="E141" s="31" t="str">
        <x:v>COMPUTATIONAL_STRUCTURAL</x:v>
      </x:c>
      <x:c r="F141" s="31" t="str">
        <x:v>WITHIN_ANCHOR</x:v>
      </x:c>
      <x:c r="G141" s="31" t="str">
        <x:v>Canonical concept equality in candidate ledger</x:v>
      </x:c>
      <x:c r="H141" s="19" t="str">
        <x:v>HIGH</x:v>
      </x:c>
      <x:c r="I141" s="43" t="str">
        <x:v>Derived from controlled candidate metadata; no semantic evolution is asserted.</x:v>
      </x:c>
    </x:row>
    <x:row r="142" ht="32" customHeight="1">
      <x:c r="A142" s="40" t="str">
        <x:v>FT-REL-D2BE6615C30DB3</x:v>
      </x:c>
      <x:c r="B142" s="31" t="str">
        <x:v>FT-SEED-R1B-P-2022-07</x:v>
      </x:c>
      <x:c r="C142" s="31" t="str">
        <x:v>FT-SEED-R1B-P-2022-14</x:v>
      </x:c>
      <x:c r="D142" s="31" t="str">
        <x:v>SAME_CANONICAL_CONCEPT</x:v>
      </x:c>
      <x:c r="E142" s="31" t="str">
        <x:v>COMPUTATIONAL_STRUCTURAL</x:v>
      </x:c>
      <x:c r="F142" s="31" t="str">
        <x:v>WITHIN_ANCHOR</x:v>
      </x:c>
      <x:c r="G142" s="31" t="str">
        <x:v>Canonical concept equality in candidate ledger</x:v>
      </x:c>
      <x:c r="H142" s="19" t="str">
        <x:v>HIGH</x:v>
      </x:c>
      <x:c r="I142" s="43" t="str">
        <x:v>Derived from controlled candidate metadata; no semantic evolution is asserted.</x:v>
      </x:c>
    </x:row>
    <x:row r="143" ht="32" customHeight="1">
      <x:c r="A143" s="40" t="str">
        <x:v>FT-REL-2ECB5B34EE434A</x:v>
      </x:c>
      <x:c r="B143" s="31" t="str">
        <x:v>FT-SEED-R1B-P-2022-07</x:v>
      </x:c>
      <x:c r="C143" s="31" t="str">
        <x:v>FT-SEED-R1B-P-2022-20</x:v>
      </x:c>
      <x:c r="D143" s="31" t="str">
        <x:v>SAME_CANONICAL_CONCEPT</x:v>
      </x:c>
      <x:c r="E143" s="31" t="str">
        <x:v>COMPUTATIONAL_STRUCTURAL</x:v>
      </x:c>
      <x:c r="F143" s="31" t="str">
        <x:v>WITHIN_ANCHOR</x:v>
      </x:c>
      <x:c r="G143" s="31" t="str">
        <x:v>Canonical concept equality in candidate ledger</x:v>
      </x:c>
      <x:c r="H143" s="19" t="str">
        <x:v>HIGH</x:v>
      </x:c>
      <x:c r="I143" s="43" t="str">
        <x:v>Derived from controlled candidate metadata; no semantic evolution is asserted.</x:v>
      </x:c>
    </x:row>
    <x:row r="144" ht="32" customHeight="1">
      <x:c r="A144" s="40" t="str">
        <x:v>FT-REL-8F759A6626BEA6</x:v>
      </x:c>
      <x:c r="B144" s="31" t="str">
        <x:v>FT-SEED-R1B-P-2022-07</x:v>
      </x:c>
      <x:c r="C144" s="31" t="str">
        <x:v>FT-SEED-R1B-P-2022-21</x:v>
      </x:c>
      <x:c r="D144" s="31" t="str">
        <x:v>SAME_CANONICAL_CONCEPT</x:v>
      </x:c>
      <x:c r="E144" s="31" t="str">
        <x:v>COMPUTATIONAL_STRUCTURAL</x:v>
      </x:c>
      <x:c r="F144" s="31" t="str">
        <x:v>WITHIN_ANCHOR</x:v>
      </x:c>
      <x:c r="G144" s="31" t="str">
        <x:v>Canonical concept equality in candidate ledger</x:v>
      </x:c>
      <x:c r="H144" s="19" t="str">
        <x:v>HIGH</x:v>
      </x:c>
      <x:c r="I144" s="43" t="str">
        <x:v>Derived from controlled candidate metadata; no semantic evolution is asserted.</x:v>
      </x:c>
    </x:row>
    <x:row r="145" ht="32" customHeight="1">
      <x:c r="A145" s="40" t="str">
        <x:v>FT-REL-CBFB81A8AC5CD1</x:v>
      </x:c>
      <x:c r="B145" s="31" t="str">
        <x:v>FT-SEED-R1B-P-2022-15</x:v>
      </x:c>
      <x:c r="C145" s="31" t="str">
        <x:v>FT-SEED-R1B-P-2022-25</x:v>
      </x:c>
      <x:c r="D145" s="31" t="str">
        <x:v>SAME_CANONICAL_CONCEPT</x:v>
      </x:c>
      <x:c r="E145" s="31" t="str">
        <x:v>COMPUTATIONAL_STRUCTURAL</x:v>
      </x:c>
      <x:c r="F145" s="31" t="str">
        <x:v>WITHIN_ANCHOR</x:v>
      </x:c>
      <x:c r="G145" s="31" t="str">
        <x:v>Canonical concept equality in candidate ledger</x:v>
      </x:c>
      <x:c r="H145" s="19" t="str">
        <x:v>HIGH</x:v>
      </x:c>
      <x:c r="I145" s="43" t="str">
        <x:v>Derived from controlled candidate metadata; no semantic evolution is asserted.</x:v>
      </x:c>
    </x:row>
    <x:row r="146" ht="32" customHeight="1">
      <x:c r="A146" s="40" t="str">
        <x:v>FT-REL-7043D034698D3E</x:v>
      </x:c>
      <x:c r="B146" s="31" t="str">
        <x:v>FT-SEED-R1B-P-2022-18</x:v>
      </x:c>
      <x:c r="C146" s="31" t="str">
        <x:v>FT-SEED-R1B-P-2022-19</x:v>
      </x:c>
      <x:c r="D146" s="31" t="str">
        <x:v>SAME_CANONICAL_CONCEPT</x:v>
      </x:c>
      <x:c r="E146" s="31" t="str">
        <x:v>COMPUTATIONAL_STRUCTURAL</x:v>
      </x:c>
      <x:c r="F146" s="31" t="str">
        <x:v>WITHIN_ANCHOR</x:v>
      </x:c>
      <x:c r="G146" s="31" t="str">
        <x:v>Canonical concept equality in candidate ledger</x:v>
      </x:c>
      <x:c r="H146" s="19" t="str">
        <x:v>HIGH</x:v>
      </x:c>
      <x:c r="I146" s="43" t="str">
        <x:v>Derived from controlled candidate metadata; no semantic evolution is asserted.</x:v>
      </x:c>
    </x:row>
    <x:row r="147" ht="32" customHeight="1">
      <x:c r="A147" s="40" t="str">
        <x:v>FT-REL-64BA69AC591FD4</x:v>
      </x:c>
      <x:c r="B147" s="31" t="str">
        <x:v>FT-SEED-R1B-P-0607-21</x:v>
      </x:c>
      <x:c r="C147" s="31" t="str">
        <x:v>FT-SEED-R1B-P-0607-22</x:v>
      </x:c>
      <x:c r="D147" s="31" t="str">
        <x:v>SAME_LEXICAL_FAMILY</x:v>
      </x:c>
      <x:c r="E147" s="31" t="str">
        <x:v>COMPUTATIONAL_STRUCTURAL</x:v>
      </x:c>
      <x:c r="F147" s="31" t="str">
        <x:v>WITHIN_ANCHOR</x:v>
      </x:c>
      <x:c r="G147" s="31" t="str">
        <x:v>Shared controlled lexical family</x:v>
      </x:c>
      <x:c r="H147" s="19" t="str">
        <x:v>HIGH</x:v>
      </x:c>
      <x:c r="I147" s="43" t="str">
        <x:v>Derived from controlled candidate metadata; no semantic evolution is asserted.</x:v>
      </x:c>
    </x:row>
    <x:row r="148" ht="32" customHeight="1">
      <x:c r="A148" s="40" t="str">
        <x:v>FT-REL-12D070A9E8B55F</x:v>
      </x:c>
      <x:c r="B148" s="31" t="str">
        <x:v>FT-SEED-R1B-P-0607-21</x:v>
      </x:c>
      <x:c r="C148" s="31" t="str">
        <x:v>FT-SEED-R1B-P-0607-23</x:v>
      </x:c>
      <x:c r="D148" s="31" t="str">
        <x:v>SAME_LEXICAL_FAMILY</x:v>
      </x:c>
      <x:c r="E148" s="31" t="str">
        <x:v>COMPUTATIONAL_STRUCTURAL</x:v>
      </x:c>
      <x:c r="F148" s="31" t="str">
        <x:v>WITHIN_ANCHOR</x:v>
      </x:c>
      <x:c r="G148" s="31" t="str">
        <x:v>Shared controlled lexical family</x:v>
      </x:c>
      <x:c r="H148" s="19" t="str">
        <x:v>HIGH</x:v>
      </x:c>
      <x:c r="I148" s="43" t="str">
        <x:v>Derived from controlled candidate metadata; no semantic evolution is asserted.</x:v>
      </x:c>
    </x:row>
    <x:row r="149" ht="32" customHeight="1">
      <x:c r="A149" s="40" t="str">
        <x:v>FT-REL-78445D1F546611</x:v>
      </x:c>
      <x:c r="B149" s="31" t="str">
        <x:v>FT-SEED-R1B-P-0607-21</x:v>
      </x:c>
      <x:c r="C149" s="31" t="str">
        <x:v>FT-SEED-R1B-P-2015-25</x:v>
      </x:c>
      <x:c r="D149" s="31" t="str">
        <x:v>SAME_LEXICAL_FAMILY</x:v>
      </x:c>
      <x:c r="E149" s="31" t="str">
        <x:v>COMPUTATIONAL_STRUCTURAL</x:v>
      </x:c>
      <x:c r="F149" s="31" t="str">
        <x:v>CROSS_ANCHOR</x:v>
      </x:c>
      <x:c r="G149" s="31" t="str">
        <x:v>Shared controlled lexical family</x:v>
      </x:c>
      <x:c r="H149" s="19" t="str">
        <x:v>HIGH</x:v>
      </x:c>
      <x:c r="I149" s="43" t="str">
        <x:v>Derived from controlled candidate metadata; no semantic evolution is asserted.</x:v>
      </x:c>
    </x:row>
    <x:row r="150" ht="32" customHeight="1">
      <x:c r="A150" s="40" t="str">
        <x:v>FT-REL-8FA74F30730166</x:v>
      </x:c>
      <x:c r="B150" s="31" t="str">
        <x:v>FT-SEED-R1B-P-0607-21</x:v>
      </x:c>
      <x:c r="C150" s="31" t="str">
        <x:v>FT-SEED-R1B-P-2015-26</x:v>
      </x:c>
      <x:c r="D150" s="31" t="str">
        <x:v>SAME_LEXICAL_FAMILY</x:v>
      </x:c>
      <x:c r="E150" s="31" t="str">
        <x:v>COMPUTATIONAL_STRUCTURAL</x:v>
      </x:c>
      <x:c r="F150" s="31" t="str">
        <x:v>CROSS_ANCHOR</x:v>
      </x:c>
      <x:c r="G150" s="31" t="str">
        <x:v>Shared controlled lexical family</x:v>
      </x:c>
      <x:c r="H150" s="19" t="str">
        <x:v>HIGH</x:v>
      </x:c>
      <x:c r="I150" s="43" t="str">
        <x:v>Derived from controlled candidate metadata; no semantic evolution is asserted.</x:v>
      </x:c>
    </x:row>
    <x:row r="151" ht="32" customHeight="1">
      <x:c r="A151" s="40" t="str">
        <x:v>FT-REL-53CAE3E0CEEC77</x:v>
      </x:c>
      <x:c r="B151" s="31" t="str">
        <x:v>FT-SEED-R1B-P-0607-21</x:v>
      </x:c>
      <x:c r="C151" s="31" t="str">
        <x:v>FT-SEED-R1B-P-2022-03</x:v>
      </x:c>
      <x:c r="D151" s="31" t="str">
        <x:v>SAME_LEXICAL_FAMILY</x:v>
      </x:c>
      <x:c r="E151" s="31" t="str">
        <x:v>COMPUTATIONAL_STRUCTURAL</x:v>
      </x:c>
      <x:c r="F151" s="31" t="str">
        <x:v>CROSS_ANCHOR</x:v>
      </x:c>
      <x:c r="G151" s="31" t="str">
        <x:v>Shared controlled lexical family</x:v>
      </x:c>
      <x:c r="H151" s="19" t="str">
        <x:v>HIGH</x:v>
      </x:c>
      <x:c r="I151" s="43" t="str">
        <x:v>Derived from controlled candidate metadata; no semantic evolution is asserted.</x:v>
      </x:c>
    </x:row>
    <x:row r="152" ht="32" customHeight="1">
      <x:c r="A152" s="40" t="str">
        <x:v>FT-REL-7B2F45A11DC05F</x:v>
      </x:c>
      <x:c r="B152" s="31" t="str">
        <x:v>FT-SEED-R1B-P-0607-21</x:v>
      </x:c>
      <x:c r="C152" s="31" t="str">
        <x:v>FT-SEED-R1B-P-2022-04</x:v>
      </x:c>
      <x:c r="D152" s="31" t="str">
        <x:v>SAME_LEXICAL_FAMILY</x:v>
      </x:c>
      <x:c r="E152" s="31" t="str">
        <x:v>COMPUTATIONAL_STRUCTURAL</x:v>
      </x:c>
      <x:c r="F152" s="31" t="str">
        <x:v>CROSS_ANCHOR</x:v>
      </x:c>
      <x:c r="G152" s="31" t="str">
        <x:v>Shared controlled lexical family</x:v>
      </x:c>
      <x:c r="H152" s="19" t="str">
        <x:v>HIGH</x:v>
      </x:c>
      <x:c r="I152" s="43" t="str">
        <x:v>Derived from controlled candidate metadata; no semantic evolution is asserted.</x:v>
      </x:c>
    </x:row>
    <x:row r="153" ht="32" customHeight="1">
      <x:c r="A153" s="40" t="str">
        <x:v>FT-REL-061BAA10E107CB</x:v>
      </x:c>
      <x:c r="B153" s="31" t="str">
        <x:v>FT-SEED-R1B-P-1842-01</x:v>
      </x:c>
      <x:c r="C153" s="31" t="str">
        <x:v>FT-SEED-R1B-P-0607-03</x:v>
      </x:c>
      <x:c r="D153" s="31" t="str">
        <x:v>SAME_LEXICAL_FAMILY</x:v>
      </x:c>
      <x:c r="E153" s="31" t="str">
        <x:v>COMPUTATIONAL_STRUCTURAL</x:v>
      </x:c>
      <x:c r="F153" s="31" t="str">
        <x:v>CROSS_ANCHOR</x:v>
      </x:c>
      <x:c r="G153" s="31" t="str">
        <x:v>Shared controlled lexical family</x:v>
      </x:c>
      <x:c r="H153" s="19" t="str">
        <x:v>HIGH</x:v>
      </x:c>
      <x:c r="I153" s="43" t="str">
        <x:v>Derived from controlled candidate metadata; no semantic evolution is asserted.</x:v>
      </x:c>
    </x:row>
    <x:row r="154" ht="32" customHeight="1">
      <x:c r="A154" s="40" t="str">
        <x:v>FT-REL-129DC14C8110C1</x:v>
      </x:c>
      <x:c r="B154" s="31" t="str">
        <x:v>FT-SEED-R1B-P-1842-01</x:v>
      </x:c>
      <x:c r="C154" s="31" t="str">
        <x:v>FT-SEED-R1B-P-0607-04</x:v>
      </x:c>
      <x:c r="D154" s="31" t="str">
        <x:v>SAME_LEXICAL_FAMILY</x:v>
      </x:c>
      <x:c r="E154" s="31" t="str">
        <x:v>COMPUTATIONAL_STRUCTURAL</x:v>
      </x:c>
      <x:c r="F154" s="31" t="str">
        <x:v>CROSS_ANCHOR</x:v>
      </x:c>
      <x:c r="G154" s="31" t="str">
        <x:v>Shared controlled lexical family</x:v>
      </x:c>
      <x:c r="H154" s="19" t="str">
        <x:v>HIGH</x:v>
      </x:c>
      <x:c r="I154" s="43" t="str">
        <x:v>Derived from controlled candidate metadata; no semantic evolution is asserted.</x:v>
      </x:c>
    </x:row>
    <x:row r="155" ht="32" customHeight="1">
      <x:c r="A155" s="40" t="str">
        <x:v>FT-REL-3A027F208EB99A</x:v>
      </x:c>
      <x:c r="B155" s="31" t="str">
        <x:v>FT-SEED-R1B-P-1842-01</x:v>
      </x:c>
      <x:c r="C155" s="31" t="str">
        <x:v>FT-SEED-R1B-P-1842-02</x:v>
      </x:c>
      <x:c r="D155" s="31" t="str">
        <x:v>SAME_LEXICAL_FAMILY</x:v>
      </x:c>
      <x:c r="E155" s="31" t="str">
        <x:v>COMPUTATIONAL_STRUCTURAL</x:v>
      </x:c>
      <x:c r="F155" s="31" t="str">
        <x:v>WITHIN_ANCHOR</x:v>
      </x:c>
      <x:c r="G155" s="31" t="str">
        <x:v>Shared controlled lexical family</x:v>
      </x:c>
      <x:c r="H155" s="19" t="str">
        <x:v>HIGH</x:v>
      </x:c>
      <x:c r="I155" s="43" t="str">
        <x:v>Derived from controlled candidate metadata; no semantic evolution is asserted.</x:v>
      </x:c>
    </x:row>
    <x:row r="156" ht="32" customHeight="1">
      <x:c r="A156" s="40" t="str">
        <x:v>FT-REL-FD6539F3B18BA1</x:v>
      </x:c>
      <x:c r="B156" s="31" t="str">
        <x:v>FT-SEED-R1B-P-1842-01</x:v>
      </x:c>
      <x:c r="C156" s="31" t="str">
        <x:v>FT-SEED-R1B-P-1842-03</x:v>
      </x:c>
      <x:c r="D156" s="31" t="str">
        <x:v>SAME_LEXICAL_FAMILY</x:v>
      </x:c>
      <x:c r="E156" s="31" t="str">
        <x:v>COMPUTATIONAL_STRUCTURAL</x:v>
      </x:c>
      <x:c r="F156" s="31" t="str">
        <x:v>WITHIN_ANCHOR</x:v>
      </x:c>
      <x:c r="G156" s="31" t="str">
        <x:v>Shared controlled lexical family</x:v>
      </x:c>
      <x:c r="H156" s="19" t="str">
        <x:v>HIGH</x:v>
      </x:c>
      <x:c r="I156" s="43" t="str">
        <x:v>Derived from controlled candidate metadata; no semantic evolution is asserted.</x:v>
      </x:c>
    </x:row>
    <x:row r="157" ht="32" customHeight="1">
      <x:c r="A157" s="40" t="str">
        <x:v>FT-REL-1F6BBC6AF5F976</x:v>
      </x:c>
      <x:c r="B157" s="31" t="str">
        <x:v>FT-SEED-R1B-P-1842-01</x:v>
      </x:c>
      <x:c r="C157" s="31" t="str">
        <x:v>FT-SEED-R1B-P-1842-04</x:v>
      </x:c>
      <x:c r="D157" s="31" t="str">
        <x:v>SAME_LEXICAL_FAMILY</x:v>
      </x:c>
      <x:c r="E157" s="31" t="str">
        <x:v>COMPUTATIONAL_STRUCTURAL</x:v>
      </x:c>
      <x:c r="F157" s="31" t="str">
        <x:v>WITHIN_ANCHOR</x:v>
      </x:c>
      <x:c r="G157" s="31" t="str">
        <x:v>Shared controlled lexical family</x:v>
      </x:c>
      <x:c r="H157" s="19" t="str">
        <x:v>HIGH</x:v>
      </x:c>
      <x:c r="I157" s="43" t="str">
        <x:v>Derived from controlled candidate metadata; no semantic evolution is asserted.</x:v>
      </x:c>
    </x:row>
    <x:row r="158" ht="32" customHeight="1">
      <x:c r="A158" s="40" t="str">
        <x:v>FT-REL-B850A2680706A8</x:v>
      </x:c>
      <x:c r="B158" s="31" t="str">
        <x:v>FT-SEED-R1B-P-1842-01</x:v>
      </x:c>
      <x:c r="C158" s="31" t="str">
        <x:v>FT-SEED-R1B-P-1842-05</x:v>
      </x:c>
      <x:c r="D158" s="31" t="str">
        <x:v>SAME_LEXICAL_FAMILY</x:v>
      </x:c>
      <x:c r="E158" s="31" t="str">
        <x:v>COMPUTATIONAL_STRUCTURAL</x:v>
      </x:c>
      <x:c r="F158" s="31" t="str">
        <x:v>WITHIN_ANCHOR</x:v>
      </x:c>
      <x:c r="G158" s="31" t="str">
        <x:v>Shared controlled lexical family</x:v>
      </x:c>
      <x:c r="H158" s="19" t="str">
        <x:v>HIGH</x:v>
      </x:c>
      <x:c r="I158" s="43" t="str">
        <x:v>Derived from controlled candidate metadata; no semantic evolution is asserted.</x:v>
      </x:c>
    </x:row>
    <x:row r="159" ht="32" customHeight="1">
      <x:c r="A159" s="40" t="str">
        <x:v>FT-REL-5FD6F8DA4C87A6</x:v>
      </x:c>
      <x:c r="B159" s="31" t="str">
        <x:v>FT-SEED-R1B-P-1842-01</x:v>
      </x:c>
      <x:c r="C159" s="31" t="str">
        <x:v>FT-SEED-R1B-P-1842-06</x:v>
      </x:c>
      <x:c r="D159" s="31" t="str">
        <x:v>SAME_LEXICAL_FAMILY</x:v>
      </x:c>
      <x:c r="E159" s="31" t="str">
        <x:v>COMPUTATIONAL_STRUCTURAL</x:v>
      </x:c>
      <x:c r="F159" s="31" t="str">
        <x:v>WITHIN_ANCHOR</x:v>
      </x:c>
      <x:c r="G159" s="31" t="str">
        <x:v>Shared controlled lexical family</x:v>
      </x:c>
      <x:c r="H159" s="19" t="str">
        <x:v>HIGH</x:v>
      </x:c>
      <x:c r="I159" s="43" t="str">
        <x:v>Derived from controlled candidate metadata; no semantic evolution is asserted.</x:v>
      </x:c>
    </x:row>
    <x:row r="160" ht="32" customHeight="1">
      <x:c r="A160" s="40" t="str">
        <x:v>FT-REL-8EC1E809ADB646</x:v>
      </x:c>
      <x:c r="B160" s="31" t="str">
        <x:v>FT-SEED-R1B-P-1842-01</x:v>
      </x:c>
      <x:c r="C160" s="31" t="str">
        <x:v>FT-SEED-R1B-P-1842-07</x:v>
      </x:c>
      <x:c r="D160" s="31" t="str">
        <x:v>SAME_LEXICAL_FAMILY</x:v>
      </x:c>
      <x:c r="E160" s="31" t="str">
        <x:v>COMPUTATIONAL_STRUCTURAL</x:v>
      </x:c>
      <x:c r="F160" s="31" t="str">
        <x:v>WITHIN_ANCHOR</x:v>
      </x:c>
      <x:c r="G160" s="31" t="str">
        <x:v>Shared controlled lexical family</x:v>
      </x:c>
      <x:c r="H160" s="19" t="str">
        <x:v>HIGH</x:v>
      </x:c>
      <x:c r="I160" s="43" t="str">
        <x:v>Derived from controlled candidate metadata; no semantic evolution is asserted.</x:v>
      </x:c>
    </x:row>
    <x:row r="161" ht="32" customHeight="1">
      <x:c r="A161" s="40" t="str">
        <x:v>FT-REL-BCF8359036F96C</x:v>
      </x:c>
      <x:c r="B161" s="31" t="str">
        <x:v>FT-SEED-R1B-P-1842-01</x:v>
      </x:c>
      <x:c r="C161" s="31" t="str">
        <x:v>FT-SEED-R1B-P-1842-08</x:v>
      </x:c>
      <x:c r="D161" s="31" t="str">
        <x:v>SAME_LEXICAL_FAMILY</x:v>
      </x:c>
      <x:c r="E161" s="31" t="str">
        <x:v>COMPUTATIONAL_STRUCTURAL</x:v>
      </x:c>
      <x:c r="F161" s="31" t="str">
        <x:v>WITHIN_ANCHOR</x:v>
      </x:c>
      <x:c r="G161" s="31" t="str">
        <x:v>Shared controlled lexical family</x:v>
      </x:c>
      <x:c r="H161" s="19" t="str">
        <x:v>HIGH</x:v>
      </x:c>
      <x:c r="I161" s="43" t="str">
        <x:v>Derived from controlled candidate metadata; no semantic evolution is asserted.</x:v>
      </x:c>
    </x:row>
    <x:row r="162" ht="32" customHeight="1">
      <x:c r="A162" s="40" t="str">
        <x:v>FT-REL-47F79FDC10CAC0</x:v>
      </x:c>
      <x:c r="B162" s="31" t="str">
        <x:v>FT-SEED-R1B-P-1842-01</x:v>
      </x:c>
      <x:c r="C162" s="31" t="str">
        <x:v>FT-SEED-R1B-P-1842-09</x:v>
      </x:c>
      <x:c r="D162" s="31" t="str">
        <x:v>SAME_LEXICAL_FAMILY</x:v>
      </x:c>
      <x:c r="E162" s="31" t="str">
        <x:v>COMPUTATIONAL_STRUCTURAL</x:v>
      </x:c>
      <x:c r="F162" s="31" t="str">
        <x:v>WITHIN_ANCHOR</x:v>
      </x:c>
      <x:c r="G162" s="31" t="str">
        <x:v>Shared controlled lexical family</x:v>
      </x:c>
      <x:c r="H162" s="19" t="str">
        <x:v>HIGH</x:v>
      </x:c>
      <x:c r="I162" s="43" t="str">
        <x:v>Derived from controlled candidate metadata; no semantic evolution is asserted.</x:v>
      </x:c>
    </x:row>
    <x:row r="163" ht="32" customHeight="1">
      <x:c r="A163" s="40" t="str">
        <x:v>FT-REL-E840D28B5AEF72</x:v>
      </x:c>
      <x:c r="B163" s="31" t="str">
        <x:v>FT-SEED-R1B-P-1842-01</x:v>
      </x:c>
      <x:c r="C163" s="31" t="str">
        <x:v>FT-SEED-R1B-P-1842-10</x:v>
      </x:c>
      <x:c r="D163" s="31" t="str">
        <x:v>SAME_LEXICAL_FAMILY</x:v>
      </x:c>
      <x:c r="E163" s="31" t="str">
        <x:v>COMPUTATIONAL_STRUCTURAL</x:v>
      </x:c>
      <x:c r="F163" s="31" t="str">
        <x:v>WITHIN_ANCHOR</x:v>
      </x:c>
      <x:c r="G163" s="31" t="str">
        <x:v>Shared controlled lexical family</x:v>
      </x:c>
      <x:c r="H163" s="19" t="str">
        <x:v>HIGH</x:v>
      </x:c>
      <x:c r="I163" s="43" t="str">
        <x:v>Derived from controlled candidate metadata; no semantic evolution is asserted.</x:v>
      </x:c>
    </x:row>
    <x:row r="164" ht="32" customHeight="1">
      <x:c r="A164" s="40" t="str">
        <x:v>FT-REL-2D1BD01E568A64</x:v>
      </x:c>
      <x:c r="B164" s="31" t="str">
        <x:v>FT-SEED-R1B-P-1842-01</x:v>
      </x:c>
      <x:c r="C164" s="31" t="str">
        <x:v>FT-SEED-R1B-P-1842-11</x:v>
      </x:c>
      <x:c r="D164" s="31" t="str">
        <x:v>SAME_LEXICAL_FAMILY</x:v>
      </x:c>
      <x:c r="E164" s="31" t="str">
        <x:v>COMPUTATIONAL_STRUCTURAL</x:v>
      </x:c>
      <x:c r="F164" s="31" t="str">
        <x:v>WITHIN_ANCHOR</x:v>
      </x:c>
      <x:c r="G164" s="31" t="str">
        <x:v>Shared controlled lexical family</x:v>
      </x:c>
      <x:c r="H164" s="19" t="str">
        <x:v>HIGH</x:v>
      </x:c>
      <x:c r="I164" s="43" t="str">
        <x:v>Derived from controlled candidate metadata; no semantic evolution is asserted.</x:v>
      </x:c>
    </x:row>
    <x:row r="165" ht="32" customHeight="1">
      <x:c r="A165" s="40" t="str">
        <x:v>FT-REL-1A7D631DC5B902</x:v>
      </x:c>
      <x:c r="B165" s="31" t="str">
        <x:v>FT-SEED-R1B-P-1842-01</x:v>
      </x:c>
      <x:c r="C165" s="31" t="str">
        <x:v>FT-SEED-R1B-P-1842-18</x:v>
      </x:c>
      <x:c r="D165" s="31" t="str">
        <x:v>SAME_LEXICAL_FAMILY</x:v>
      </x:c>
      <x:c r="E165" s="31" t="str">
        <x:v>COMPUTATIONAL_STRUCTURAL</x:v>
      </x:c>
      <x:c r="F165" s="31" t="str">
        <x:v>WITHIN_ANCHOR</x:v>
      </x:c>
      <x:c r="G165" s="31" t="str">
        <x:v>Shared controlled lexical family</x:v>
      </x:c>
      <x:c r="H165" s="19" t="str">
        <x:v>HIGH</x:v>
      </x:c>
      <x:c r="I165" s="43" t="str">
        <x:v>Derived from controlled candidate metadata; no semantic evolution is asserted.</x:v>
      </x:c>
    </x:row>
    <x:row r="166" ht="32" customHeight="1">
      <x:c r="A166" s="40" t="str">
        <x:v>FT-REL-84D09C5F212286</x:v>
      </x:c>
      <x:c r="B166" s="31" t="str">
        <x:v>FT-SEED-R1B-P-1842-01</x:v>
      </x:c>
      <x:c r="C166" s="31" t="str">
        <x:v>FT-SEED-R1B-P-1938-09</x:v>
      </x:c>
      <x:c r="D166" s="31" t="str">
        <x:v>SAME_LEXICAL_FAMILY</x:v>
      </x:c>
      <x:c r="E166" s="31" t="str">
        <x:v>COMPUTATIONAL_STRUCTURAL</x:v>
      </x:c>
      <x:c r="F166" s="31" t="str">
        <x:v>CROSS_ANCHOR</x:v>
      </x:c>
      <x:c r="G166" s="31" t="str">
        <x:v>Shared controlled lexical family</x:v>
      </x:c>
      <x:c r="H166" s="19" t="str">
        <x:v>HIGH</x:v>
      </x:c>
      <x:c r="I166" s="43" t="str">
        <x:v>Derived from controlled candidate metadata; no semantic evolution is asserted.</x:v>
      </x:c>
    </x:row>
    <x:row r="167" ht="32" customHeight="1">
      <x:c r="A167" s="40" t="str">
        <x:v>FT-REL-2A87D2ED674B5F</x:v>
      </x:c>
      <x:c r="B167" s="31" t="str">
        <x:v>FT-SEED-R1B-P-1842-01</x:v>
      </x:c>
      <x:c r="C167" s="31" t="str">
        <x:v>FT-SEED-R1B-P-1938-10</x:v>
      </x:c>
      <x:c r="D167" s="31" t="str">
        <x:v>SAME_LEXICAL_FAMILY</x:v>
      </x:c>
      <x:c r="E167" s="31" t="str">
        <x:v>COMPUTATIONAL_STRUCTURAL</x:v>
      </x:c>
      <x:c r="F167" s="31" t="str">
        <x:v>CROSS_ANCHOR</x:v>
      </x:c>
      <x:c r="G167" s="31" t="str">
        <x:v>Shared controlled lexical family</x:v>
      </x:c>
      <x:c r="H167" s="19" t="str">
        <x:v>HIGH</x:v>
      </x:c>
      <x:c r="I167" s="43" t="str">
        <x:v>Derived from controlled candidate metadata; no semantic evolution is asserted.</x:v>
      </x:c>
    </x:row>
    <x:row r="168" ht="32" customHeight="1">
      <x:c r="A168" s="40" t="str">
        <x:v>FT-REL-BFE3A70FBBF3A2</x:v>
      </x:c>
      <x:c r="B168" s="31" t="str">
        <x:v>FT-SEED-R1B-P-1842-01</x:v>
      </x:c>
      <x:c r="C168" s="31" t="str">
        <x:v>FT-SEED-R1B-P-1938-11</x:v>
      </x:c>
      <x:c r="D168" s="31" t="str">
        <x:v>SAME_LEXICAL_FAMILY</x:v>
      </x:c>
      <x:c r="E168" s="31" t="str">
        <x:v>COMPUTATIONAL_STRUCTURAL</x:v>
      </x:c>
      <x:c r="F168" s="31" t="str">
        <x:v>CROSS_ANCHOR</x:v>
      </x:c>
      <x:c r="G168" s="31" t="str">
        <x:v>Shared controlled lexical family</x:v>
      </x:c>
      <x:c r="H168" s="19" t="str">
        <x:v>HIGH</x:v>
      </x:c>
      <x:c r="I168" s="43" t="str">
        <x:v>Derived from controlled candidate metadata; no semantic evolution is asserted.</x:v>
      </x:c>
    </x:row>
    <x:row r="169" ht="32" customHeight="1">
      <x:c r="A169" s="40" t="str">
        <x:v>FT-REL-51E28C4458E836</x:v>
      </x:c>
      <x:c r="B169" s="31" t="str">
        <x:v>FT-SEED-R1B-P-1842-01</x:v>
      </x:c>
      <x:c r="C169" s="31" t="str">
        <x:v>FT-SEED-R1B-P-1938-13</x:v>
      </x:c>
      <x:c r="D169" s="31" t="str">
        <x:v>SAME_LEXICAL_FAMILY</x:v>
      </x:c>
      <x:c r="E169" s="31" t="str">
        <x:v>COMPUTATIONAL_STRUCTURAL</x:v>
      </x:c>
      <x:c r="F169" s="31" t="str">
        <x:v>CROSS_ANCHOR</x:v>
      </x:c>
      <x:c r="G169" s="31" t="str">
        <x:v>Shared controlled lexical family</x:v>
      </x:c>
      <x:c r="H169" s="19" t="str">
        <x:v>HIGH</x:v>
      </x:c>
      <x:c r="I169" s="43" t="str">
        <x:v>Derived from controlled candidate metadata; no semantic evolution is asserted.</x:v>
      </x:c>
    </x:row>
    <x:row r="170" ht="32" customHeight="1">
      <x:c r="A170" s="40" t="str">
        <x:v>FT-REL-EDF46094C75BF0</x:v>
      </x:c>
      <x:c r="B170" s="31" t="str">
        <x:v>FT-SEED-R1B-P-1842-01</x:v>
      </x:c>
      <x:c r="C170" s="31" t="str">
        <x:v>FT-SEED-R1B-P-1938-15</x:v>
      </x:c>
      <x:c r="D170" s="31" t="str">
        <x:v>SAME_LEXICAL_FAMILY</x:v>
      </x:c>
      <x:c r="E170" s="31" t="str">
        <x:v>COMPUTATIONAL_STRUCTURAL</x:v>
      </x:c>
      <x:c r="F170" s="31" t="str">
        <x:v>CROSS_ANCHOR</x:v>
      </x:c>
      <x:c r="G170" s="31" t="str">
        <x:v>Shared controlled lexical family</x:v>
      </x:c>
      <x:c r="H170" s="19" t="str">
        <x:v>HIGH</x:v>
      </x:c>
      <x:c r="I170" s="43" t="str">
        <x:v>Derived from controlled candidate metadata; no semantic evolution is asserted.</x:v>
      </x:c>
    </x:row>
    <x:row r="171" ht="32" customHeight="1">
      <x:c r="A171" s="40" t="str">
        <x:v>FT-REL-FF5CE51ECF8F62</x:v>
      </x:c>
      <x:c r="B171" s="31" t="str">
        <x:v>FT-SEED-R1B-P-1842-01</x:v>
      </x:c>
      <x:c r="C171" s="31" t="str">
        <x:v>FT-SEED-R1B-P-1938-16</x:v>
      </x:c>
      <x:c r="D171" s="31" t="str">
        <x:v>SAME_LEXICAL_FAMILY</x:v>
      </x:c>
      <x:c r="E171" s="31" t="str">
        <x:v>COMPUTATIONAL_STRUCTURAL</x:v>
      </x:c>
      <x:c r="F171" s="31" t="str">
        <x:v>CROSS_ANCHOR</x:v>
      </x:c>
      <x:c r="G171" s="31" t="str">
        <x:v>Shared controlled lexical family</x:v>
      </x:c>
      <x:c r="H171" s="19" t="str">
        <x:v>HIGH</x:v>
      </x:c>
      <x:c r="I171" s="43" t="str">
        <x:v>Derived from controlled candidate metadata; no semantic evolution is asserted.</x:v>
      </x:c>
    </x:row>
    <x:row r="172" ht="32" customHeight="1">
      <x:c r="A172" s="40" t="str">
        <x:v>FT-REL-08F08B4839F3B7</x:v>
      </x:c>
      <x:c r="B172" s="31" t="str">
        <x:v>FT-SEED-R1B-P-1842-01</x:v>
      </x:c>
      <x:c r="C172" s="31" t="str">
        <x:v>FT-SEED-R1B-P-1938-22</x:v>
      </x:c>
      <x:c r="D172" s="31" t="str">
        <x:v>SAME_LEXICAL_FAMILY</x:v>
      </x:c>
      <x:c r="E172" s="31" t="str">
        <x:v>COMPUTATIONAL_STRUCTURAL</x:v>
      </x:c>
      <x:c r="F172" s="31" t="str">
        <x:v>CROSS_ANCHOR</x:v>
      </x:c>
      <x:c r="G172" s="31" t="str">
        <x:v>Shared controlled lexical family</x:v>
      </x:c>
      <x:c r="H172" s="19" t="str">
        <x:v>HIGH</x:v>
      </x:c>
      <x:c r="I172" s="43" t="str">
        <x:v>Derived from controlled candidate metadata; no semantic evolution is asserted.</x:v>
      </x:c>
    </x:row>
    <x:row r="173" ht="32" customHeight="1">
      <x:c r="A173" s="40" t="str">
        <x:v>FT-REL-38C2A89FB570B3</x:v>
      </x:c>
      <x:c r="B173" s="31" t="str">
        <x:v>FT-SEED-R1B-P-1842-01</x:v>
      </x:c>
      <x:c r="C173" s="31" t="str">
        <x:v>FT-SEED-R1B-P-1988-06</x:v>
      </x:c>
      <x:c r="D173" s="31" t="str">
        <x:v>SAME_LEXICAL_FAMILY</x:v>
      </x:c>
      <x:c r="E173" s="31" t="str">
        <x:v>COMPUTATIONAL_STRUCTURAL</x:v>
      </x:c>
      <x:c r="F173" s="31" t="str">
        <x:v>CROSS_ANCHOR</x:v>
      </x:c>
      <x:c r="G173" s="31" t="str">
        <x:v>Shared controlled lexical family</x:v>
      </x:c>
      <x:c r="H173" s="19" t="str">
        <x:v>HIGH</x:v>
      </x:c>
      <x:c r="I173" s="43" t="str">
        <x:v>Derived from controlled candidate metadata; no semantic evolution is asserted.</x:v>
      </x:c>
    </x:row>
    <x:row r="174" ht="32" customHeight="1">
      <x:c r="A174" s="40" t="str">
        <x:v>FT-REL-4BF550A92FB913</x:v>
      </x:c>
      <x:c r="B174" s="31" t="str">
        <x:v>FT-SEED-R1B-P-1842-01</x:v>
      </x:c>
      <x:c r="C174" s="31" t="str">
        <x:v>FT-SEED-R1B-P-1988-14</x:v>
      </x:c>
      <x:c r="D174" s="31" t="str">
        <x:v>SAME_LEXICAL_FAMILY</x:v>
      </x:c>
      <x:c r="E174" s="31" t="str">
        <x:v>COMPUTATIONAL_STRUCTURAL</x:v>
      </x:c>
      <x:c r="F174" s="31" t="str">
        <x:v>CROSS_ANCHOR</x:v>
      </x:c>
      <x:c r="G174" s="31" t="str">
        <x:v>Shared controlled lexical family</x:v>
      </x:c>
      <x:c r="H174" s="19" t="str">
        <x:v>HIGH</x:v>
      </x:c>
      <x:c r="I174" s="43" t="str">
        <x:v>Derived from controlled candidate metadata; no semantic evolution is asserted.</x:v>
      </x:c>
    </x:row>
    <x:row r="175" ht="32" customHeight="1">
      <x:c r="A175" s="40" t="str">
        <x:v>FT-REL-093810C903195A</x:v>
      </x:c>
      <x:c r="B175" s="31" t="str">
        <x:v>FT-SEED-R1B-P-1842-01</x:v>
      </x:c>
      <x:c r="C175" s="31" t="str">
        <x:v>FT-SEED-R1B-P-2015-03</x:v>
      </x:c>
      <x:c r="D175" s="31" t="str">
        <x:v>SAME_LEXICAL_FAMILY</x:v>
      </x:c>
      <x:c r="E175" s="31" t="str">
        <x:v>COMPUTATIONAL_STRUCTURAL</x:v>
      </x:c>
      <x:c r="F175" s="31" t="str">
        <x:v>CROSS_ANCHOR</x:v>
      </x:c>
      <x:c r="G175" s="31" t="str">
        <x:v>Shared controlled lexical family</x:v>
      </x:c>
      <x:c r="H175" s="19" t="str">
        <x:v>HIGH</x:v>
      </x:c>
      <x:c r="I175" s="43" t="str">
        <x:v>Derived from controlled candidate metadata; no semantic evolution is asserted.</x:v>
      </x:c>
    </x:row>
    <x:row r="176" ht="32" customHeight="1">
      <x:c r="A176" s="40" t="str">
        <x:v>FT-REL-EDC200C59DC959</x:v>
      </x:c>
      <x:c r="B176" s="31" t="str">
        <x:v>FT-SEED-R1B-P-1842-01</x:v>
      </x:c>
      <x:c r="C176" s="31" t="str">
        <x:v>FT-SEED-R1B-P-2015-04</x:v>
      </x:c>
      <x:c r="D176" s="31" t="str">
        <x:v>SAME_LEXICAL_FAMILY</x:v>
      </x:c>
      <x:c r="E176" s="31" t="str">
        <x:v>COMPUTATIONAL_STRUCTURAL</x:v>
      </x:c>
      <x:c r="F176" s="31" t="str">
        <x:v>CROSS_ANCHOR</x:v>
      </x:c>
      <x:c r="G176" s="31" t="str">
        <x:v>Shared controlled lexical family</x:v>
      </x:c>
      <x:c r="H176" s="19" t="str">
        <x:v>HIGH</x:v>
      </x:c>
      <x:c r="I176" s="43" t="str">
        <x:v>Derived from controlled candidate metadata; no semantic evolution is asserted.</x:v>
      </x:c>
    </x:row>
    <x:row r="177" ht="32" customHeight="1">
      <x:c r="A177" s="40" t="str">
        <x:v>FT-REL-5FD6BFEE007654</x:v>
      </x:c>
      <x:c r="B177" s="31" t="str">
        <x:v>FT-SEED-R1B-P-1842-01</x:v>
      </x:c>
      <x:c r="C177" s="31" t="str">
        <x:v>FT-SEED-R1B-P-2015-05</x:v>
      </x:c>
      <x:c r="D177" s="31" t="str">
        <x:v>SAME_LEXICAL_FAMILY</x:v>
      </x:c>
      <x:c r="E177" s="31" t="str">
        <x:v>COMPUTATIONAL_STRUCTURAL</x:v>
      </x:c>
      <x:c r="F177" s="31" t="str">
        <x:v>CROSS_ANCHOR</x:v>
      </x:c>
      <x:c r="G177" s="31" t="str">
        <x:v>Shared controlled lexical family</x:v>
      </x:c>
      <x:c r="H177" s="19" t="str">
        <x:v>HIGH</x:v>
      </x:c>
      <x:c r="I177" s="43" t="str">
        <x:v>Derived from controlled candidate metadata; no semantic evolution is asserted.</x:v>
      </x:c>
    </x:row>
    <x:row r="178" ht="32" customHeight="1">
      <x:c r="A178" s="40" t="str">
        <x:v>FT-REL-56B02B9ADB0AE7</x:v>
      </x:c>
      <x:c r="B178" s="31" t="str">
        <x:v>FT-SEED-R1B-P-1842-12</x:v>
      </x:c>
      <x:c r="C178" s="31" t="str">
        <x:v>FT-SEED-R1B-P-0607-02</x:v>
      </x:c>
      <x:c r="D178" s="31" t="str">
        <x:v>SAME_LEXICAL_FAMILY</x:v>
      </x:c>
      <x:c r="E178" s="31" t="str">
        <x:v>COMPUTATIONAL_STRUCTURAL</x:v>
      </x:c>
      <x:c r="F178" s="31" t="str">
        <x:v>CROSS_ANCHOR</x:v>
      </x:c>
      <x:c r="G178" s="31" t="str">
        <x:v>Shared controlled lexical family</x:v>
      </x:c>
      <x:c r="H178" s="19" t="str">
        <x:v>HIGH</x:v>
      </x:c>
      <x:c r="I178" s="43" t="str">
        <x:v>Derived from controlled candidate metadata; no semantic evolution is asserted.</x:v>
      </x:c>
    </x:row>
    <x:row r="179" ht="32" customHeight="1">
      <x:c r="A179" s="40" t="str">
        <x:v>FT-REL-609C4F3CD6D515</x:v>
      </x:c>
      <x:c r="B179" s="31" t="str">
        <x:v>FT-SEED-R1B-P-1842-12</x:v>
      </x:c>
      <x:c r="C179" s="31" t="str">
        <x:v>FT-SEED-R1B-P-0607-10</x:v>
      </x:c>
      <x:c r="D179" s="31" t="str">
        <x:v>SAME_LEXICAL_FAMILY</x:v>
      </x:c>
      <x:c r="E179" s="31" t="str">
        <x:v>COMPUTATIONAL_STRUCTURAL</x:v>
      </x:c>
      <x:c r="F179" s="31" t="str">
        <x:v>CROSS_ANCHOR</x:v>
      </x:c>
      <x:c r="G179" s="31" t="str">
        <x:v>Shared controlled lexical family</x:v>
      </x:c>
      <x:c r="H179" s="19" t="str">
        <x:v>HIGH</x:v>
      </x:c>
      <x:c r="I179" s="43" t="str">
        <x:v>Derived from controlled candidate metadata; no semantic evolution is asserted.</x:v>
      </x:c>
    </x:row>
    <x:row r="180" ht="32" customHeight="1">
      <x:c r="A180" s="40" t="str">
        <x:v>FT-REL-409A9BE195E4BB</x:v>
      </x:c>
      <x:c r="B180" s="31" t="str">
        <x:v>FT-SEED-R1B-P-1842-12</x:v>
      </x:c>
      <x:c r="C180" s="31" t="str">
        <x:v>FT-SEED-R1B-P-0607-14</x:v>
      </x:c>
      <x:c r="D180" s="31" t="str">
        <x:v>SAME_LEXICAL_FAMILY</x:v>
      </x:c>
      <x:c r="E180" s="31" t="str">
        <x:v>COMPUTATIONAL_STRUCTURAL</x:v>
      </x:c>
      <x:c r="F180" s="31" t="str">
        <x:v>CROSS_ANCHOR</x:v>
      </x:c>
      <x:c r="G180" s="31" t="str">
        <x:v>Shared controlled lexical family</x:v>
      </x:c>
      <x:c r="H180" s="19" t="str">
        <x:v>HIGH</x:v>
      </x:c>
      <x:c r="I180" s="43" t="str">
        <x:v>Derived from controlled candidate metadata; no semantic evolution is asserted.</x:v>
      </x:c>
    </x:row>
    <x:row r="181" ht="32" customHeight="1">
      <x:c r="A181" s="40" t="str">
        <x:v>FT-REL-4A2718E3A5CAAC</x:v>
      </x:c>
      <x:c r="B181" s="31" t="str">
        <x:v>FT-SEED-R1B-P-1842-12</x:v>
      </x:c>
      <x:c r="C181" s="31" t="str">
        <x:v>FT-SEED-R1B-P-0607-15</x:v>
      </x:c>
      <x:c r="D181" s="31" t="str">
        <x:v>SAME_LEXICAL_FAMILY</x:v>
      </x:c>
      <x:c r="E181" s="31" t="str">
        <x:v>COMPUTATIONAL_STRUCTURAL</x:v>
      </x:c>
      <x:c r="F181" s="31" t="str">
        <x:v>CROSS_ANCHOR</x:v>
      </x:c>
      <x:c r="G181" s="31" t="str">
        <x:v>Shared controlled lexical family</x:v>
      </x:c>
      <x:c r="H181" s="19" t="str">
        <x:v>HIGH</x:v>
      </x:c>
      <x:c r="I181" s="43" t="str">
        <x:v>Derived from controlled candidate metadata; no semantic evolution is asserted.</x:v>
      </x:c>
    </x:row>
    <x:row r="182" ht="32" customHeight="1">
      <x:c r="A182" s="40" t="str">
        <x:v>FT-REL-DCCD41A08D4546</x:v>
      </x:c>
      <x:c r="B182" s="31" t="str">
        <x:v>FT-SEED-R1B-P-1842-12</x:v>
      </x:c>
      <x:c r="C182" s="31" t="str">
        <x:v>FT-SEED-R1B-P-0607-29</x:v>
      </x:c>
      <x:c r="D182" s="31" t="str">
        <x:v>SAME_LEXICAL_FAMILY</x:v>
      </x:c>
      <x:c r="E182" s="31" t="str">
        <x:v>COMPUTATIONAL_STRUCTURAL</x:v>
      </x:c>
      <x:c r="F182" s="31" t="str">
        <x:v>CROSS_ANCHOR</x:v>
      </x:c>
      <x:c r="G182" s="31" t="str">
        <x:v>Shared controlled lexical family</x:v>
      </x:c>
      <x:c r="H182" s="19" t="str">
        <x:v>HIGH</x:v>
      </x:c>
      <x:c r="I182" s="43" t="str">
        <x:v>Derived from controlled candidate metadata; no semantic evolution is asserted.</x:v>
      </x:c>
    </x:row>
    <x:row r="183" ht="32" customHeight="1">
      <x:c r="A183" s="40" t="str">
        <x:v>FT-REL-B778ED5AFB4A70</x:v>
      </x:c>
      <x:c r="B183" s="31" t="str">
        <x:v>FT-SEED-R1B-P-1842-12</x:v>
      </x:c>
      <x:c r="C183" s="31" t="str">
        <x:v>FT-SEED-R1B-P-1842-13</x:v>
      </x:c>
      <x:c r="D183" s="31" t="str">
        <x:v>SAME_LEXICAL_FAMILY</x:v>
      </x:c>
      <x:c r="E183" s="31" t="str">
        <x:v>COMPUTATIONAL_STRUCTURAL</x:v>
      </x:c>
      <x:c r="F183" s="31" t="str">
        <x:v>WITHIN_ANCHOR</x:v>
      </x:c>
      <x:c r="G183" s="31" t="str">
        <x:v>Shared controlled lexical family</x:v>
      </x:c>
      <x:c r="H183" s="19" t="str">
        <x:v>HIGH</x:v>
      </x:c>
      <x:c r="I183" s="43" t="str">
        <x:v>Derived from controlled candidate metadata; no semantic evolution is asserted.</x:v>
      </x:c>
    </x:row>
    <x:row r="184" ht="32" customHeight="1">
      <x:c r="A184" s="40" t="str">
        <x:v>FT-REL-6E8B05A19211F6</x:v>
      </x:c>
      <x:c r="B184" s="31" t="str">
        <x:v>FT-SEED-R1B-P-1842-12</x:v>
      </x:c>
      <x:c r="C184" s="31" t="str">
        <x:v>FT-SEED-R1B-P-1842-14</x:v>
      </x:c>
      <x:c r="D184" s="31" t="str">
        <x:v>SAME_LEXICAL_FAMILY</x:v>
      </x:c>
      <x:c r="E184" s="31" t="str">
        <x:v>COMPUTATIONAL_STRUCTURAL</x:v>
      </x:c>
      <x:c r="F184" s="31" t="str">
        <x:v>WITHIN_ANCHOR</x:v>
      </x:c>
      <x:c r="G184" s="31" t="str">
        <x:v>Shared controlled lexical family</x:v>
      </x:c>
      <x:c r="H184" s="19" t="str">
        <x:v>HIGH</x:v>
      </x:c>
      <x:c r="I184" s="43" t="str">
        <x:v>Derived from controlled candidate metadata; no semantic evolution is asserted.</x:v>
      </x:c>
    </x:row>
    <x:row r="185" ht="32" customHeight="1">
      <x:c r="A185" s="40" t="str">
        <x:v>FT-REL-F475892D95134B</x:v>
      </x:c>
      <x:c r="B185" s="31" t="str">
        <x:v>FT-SEED-R1B-P-1842-12</x:v>
      </x:c>
      <x:c r="C185" s="31" t="str">
        <x:v>FT-SEED-R1B-P-1842-15</x:v>
      </x:c>
      <x:c r="D185" s="31" t="str">
        <x:v>SAME_LEXICAL_FAMILY</x:v>
      </x:c>
      <x:c r="E185" s="31" t="str">
        <x:v>COMPUTATIONAL_STRUCTURAL</x:v>
      </x:c>
      <x:c r="F185" s="31" t="str">
        <x:v>WITHIN_ANCHOR</x:v>
      </x:c>
      <x:c r="G185" s="31" t="str">
        <x:v>Shared controlled lexical family</x:v>
      </x:c>
      <x:c r="H185" s="19" t="str">
        <x:v>HIGH</x:v>
      </x:c>
      <x:c r="I185" s="43" t="str">
        <x:v>Derived from controlled candidate metadata; no semantic evolution is asserted.</x:v>
      </x:c>
    </x:row>
    <x:row r="186" ht="32" customHeight="1">
      <x:c r="A186" s="40" t="str">
        <x:v>FT-REL-BCCB40C5419857</x:v>
      </x:c>
      <x:c r="B186" s="31" t="str">
        <x:v>FT-SEED-R1B-P-1842-12</x:v>
      </x:c>
      <x:c r="C186" s="31" t="str">
        <x:v>FT-SEED-R1B-P-1938-04</x:v>
      </x:c>
      <x:c r="D186" s="31" t="str">
        <x:v>SAME_LEXICAL_FAMILY</x:v>
      </x:c>
      <x:c r="E186" s="31" t="str">
        <x:v>COMPUTATIONAL_STRUCTURAL</x:v>
      </x:c>
      <x:c r="F186" s="31" t="str">
        <x:v>CROSS_ANCHOR</x:v>
      </x:c>
      <x:c r="G186" s="31" t="str">
        <x:v>Shared controlled lexical family</x:v>
      </x:c>
      <x:c r="H186" s="19" t="str">
        <x:v>HIGH</x:v>
      </x:c>
      <x:c r="I186" s="43" t="str">
        <x:v>Derived from controlled candidate metadata; no semantic evolution is asserted.</x:v>
      </x:c>
    </x:row>
    <x:row r="187" ht="32" customHeight="1">
      <x:c r="A187" s="40" t="str">
        <x:v>FT-REL-08D09A4674EAD5</x:v>
      </x:c>
      <x:c r="B187" s="31" t="str">
        <x:v>FT-SEED-R1B-P-1842-12</x:v>
      </x:c>
      <x:c r="C187" s="31" t="str">
        <x:v>FT-SEED-R1B-P-1938-05</x:v>
      </x:c>
      <x:c r="D187" s="31" t="str">
        <x:v>SAME_LEXICAL_FAMILY</x:v>
      </x:c>
      <x:c r="E187" s="31" t="str">
        <x:v>COMPUTATIONAL_STRUCTURAL</x:v>
      </x:c>
      <x:c r="F187" s="31" t="str">
        <x:v>CROSS_ANCHOR</x:v>
      </x:c>
      <x:c r="G187" s="31" t="str">
        <x:v>Shared controlled lexical family</x:v>
      </x:c>
      <x:c r="H187" s="19" t="str">
        <x:v>HIGH</x:v>
      </x:c>
      <x:c r="I187" s="43" t="str">
        <x:v>Derived from controlled candidate metadata; no semantic evolution is asserted.</x:v>
      </x:c>
    </x:row>
    <x:row r="188" ht="32" customHeight="1">
      <x:c r="A188" s="40" t="str">
        <x:v>FT-REL-3E560C1B746E96</x:v>
      </x:c>
      <x:c r="B188" s="31" t="str">
        <x:v>FT-SEED-R1B-P-1842-12</x:v>
      </x:c>
      <x:c r="C188" s="31" t="str">
        <x:v>FT-SEED-R1B-P-1938-06</x:v>
      </x:c>
      <x:c r="D188" s="31" t="str">
        <x:v>SAME_LEXICAL_FAMILY</x:v>
      </x:c>
      <x:c r="E188" s="31" t="str">
        <x:v>COMPUTATIONAL_STRUCTURAL</x:v>
      </x:c>
      <x:c r="F188" s="31" t="str">
        <x:v>CROSS_ANCHOR</x:v>
      </x:c>
      <x:c r="G188" s="31" t="str">
        <x:v>Shared controlled lexical family</x:v>
      </x:c>
      <x:c r="H188" s="19" t="str">
        <x:v>HIGH</x:v>
      </x:c>
      <x:c r="I188" s="43" t="str">
        <x:v>Derived from controlled candidate metadata; no semantic evolution is asserted.</x:v>
      </x:c>
    </x:row>
    <x:row r="189" ht="32" customHeight="1">
      <x:c r="A189" s="40" t="str">
        <x:v>FT-REL-3BB0AF02399454</x:v>
      </x:c>
      <x:c r="B189" s="31" t="str">
        <x:v>FT-SEED-R1B-P-1842-12</x:v>
      </x:c>
      <x:c r="C189" s="31" t="str">
        <x:v>FT-SEED-R1B-P-1938-07</x:v>
      </x:c>
      <x:c r="D189" s="31" t="str">
        <x:v>SAME_LEXICAL_FAMILY</x:v>
      </x:c>
      <x:c r="E189" s="31" t="str">
        <x:v>COMPUTATIONAL_STRUCTURAL</x:v>
      </x:c>
      <x:c r="F189" s="31" t="str">
        <x:v>CROSS_ANCHOR</x:v>
      </x:c>
      <x:c r="G189" s="31" t="str">
        <x:v>Shared controlled lexical family</x:v>
      </x:c>
      <x:c r="H189" s="19" t="str">
        <x:v>HIGH</x:v>
      </x:c>
      <x:c r="I189" s="43" t="str">
        <x:v>Derived from controlled candidate metadata; no semantic evolution is asserted.</x:v>
      </x:c>
    </x:row>
    <x:row r="190" ht="32" customHeight="1">
      <x:c r="A190" s="40" t="str">
        <x:v>FT-REL-72A277BA0B03F0</x:v>
      </x:c>
      <x:c r="B190" s="31" t="str">
        <x:v>FT-SEED-R1B-P-1842-12</x:v>
      </x:c>
      <x:c r="C190" s="31" t="str">
        <x:v>FT-SEED-R1B-P-1938-08</x:v>
      </x:c>
      <x:c r="D190" s="31" t="str">
        <x:v>SAME_LEXICAL_FAMILY</x:v>
      </x:c>
      <x:c r="E190" s="31" t="str">
        <x:v>COMPUTATIONAL_STRUCTURAL</x:v>
      </x:c>
      <x:c r="F190" s="31" t="str">
        <x:v>CROSS_ANCHOR</x:v>
      </x:c>
      <x:c r="G190" s="31" t="str">
        <x:v>Shared controlled lexical family</x:v>
      </x:c>
      <x:c r="H190" s="19" t="str">
        <x:v>HIGH</x:v>
      </x:c>
      <x:c r="I190" s="43" t="str">
        <x:v>Derived from controlled candidate metadata; no semantic evolution is asserted.</x:v>
      </x:c>
    </x:row>
    <x:row r="191" ht="32" customHeight="1">
      <x:c r="A191" s="40" t="str">
        <x:v>FT-REL-37F53E3B39FDE4</x:v>
      </x:c>
      <x:c r="B191" s="31" t="str">
        <x:v>FT-SEED-R1B-P-1842-12</x:v>
      </x:c>
      <x:c r="C191" s="31" t="str">
        <x:v>FT-SEED-R1B-P-1938-12</x:v>
      </x:c>
      <x:c r="D191" s="31" t="str">
        <x:v>SAME_LEXICAL_FAMILY</x:v>
      </x:c>
      <x:c r="E191" s="31" t="str">
        <x:v>COMPUTATIONAL_STRUCTURAL</x:v>
      </x:c>
      <x:c r="F191" s="31" t="str">
        <x:v>CROSS_ANCHOR</x:v>
      </x:c>
      <x:c r="G191" s="31" t="str">
        <x:v>Shared controlled lexical family</x:v>
      </x:c>
      <x:c r="H191" s="19" t="str">
        <x:v>HIGH</x:v>
      </x:c>
      <x:c r="I191" s="43" t="str">
        <x:v>Derived from controlled candidate metadata; no semantic evolution is asserted.</x:v>
      </x:c>
    </x:row>
    <x:row r="192" ht="32" customHeight="1">
      <x:c r="A192" s="40" t="str">
        <x:v>FT-REL-6F975DFF36A0AA</x:v>
      </x:c>
      <x:c r="B192" s="31" t="str">
        <x:v>FT-SEED-R1B-P-1842-12</x:v>
      </x:c>
      <x:c r="C192" s="31" t="str">
        <x:v>FT-SEED-R1B-P-1988-04</x:v>
      </x:c>
      <x:c r="D192" s="31" t="str">
        <x:v>SAME_LEXICAL_FAMILY</x:v>
      </x:c>
      <x:c r="E192" s="31" t="str">
        <x:v>COMPUTATIONAL_STRUCTURAL</x:v>
      </x:c>
      <x:c r="F192" s="31" t="str">
        <x:v>CROSS_ANCHOR</x:v>
      </x:c>
      <x:c r="G192" s="31" t="str">
        <x:v>Shared controlled lexical family</x:v>
      </x:c>
      <x:c r="H192" s="19" t="str">
        <x:v>HIGH</x:v>
      </x:c>
      <x:c r="I192" s="43" t="str">
        <x:v>Derived from controlled candidate metadata; no semantic evolution is asserted.</x:v>
      </x:c>
    </x:row>
    <x:row r="193" ht="32" customHeight="1">
      <x:c r="A193" s="40" t="str">
        <x:v>FT-REL-AC63A21A7D0912</x:v>
      </x:c>
      <x:c r="B193" s="31" t="str">
        <x:v>FT-SEED-R1B-P-1842-12</x:v>
      </x:c>
      <x:c r="C193" s="31" t="str">
        <x:v>FT-SEED-R1B-P-1988-12</x:v>
      </x:c>
      <x:c r="D193" s="31" t="str">
        <x:v>SAME_LEXICAL_FAMILY</x:v>
      </x:c>
      <x:c r="E193" s="31" t="str">
        <x:v>COMPUTATIONAL_STRUCTURAL</x:v>
      </x:c>
      <x:c r="F193" s="31" t="str">
        <x:v>CROSS_ANCHOR</x:v>
      </x:c>
      <x:c r="G193" s="31" t="str">
        <x:v>Shared controlled lexical family</x:v>
      </x:c>
      <x:c r="H193" s="19" t="str">
        <x:v>HIGH</x:v>
      </x:c>
      <x:c r="I193" s="43" t="str">
        <x:v>Derived from controlled candidate metadata; no semantic evolution is asserted.</x:v>
      </x:c>
    </x:row>
    <x:row r="194" ht="32" customHeight="1">
      <x:c r="A194" s="40" t="str">
        <x:v>FT-REL-6893643E67CFE5</x:v>
      </x:c>
      <x:c r="B194" s="31" t="str">
        <x:v>FT-SEED-R1B-P-1842-12</x:v>
      </x:c>
      <x:c r="C194" s="31" t="str">
        <x:v>FT-SEED-R1B-P-1988-13</x:v>
      </x:c>
      <x:c r="D194" s="31" t="str">
        <x:v>SAME_LEXICAL_FAMILY</x:v>
      </x:c>
      <x:c r="E194" s="31" t="str">
        <x:v>COMPUTATIONAL_STRUCTURAL</x:v>
      </x:c>
      <x:c r="F194" s="31" t="str">
        <x:v>CROSS_ANCHOR</x:v>
      </x:c>
      <x:c r="G194" s="31" t="str">
        <x:v>Shared controlled lexical family</x:v>
      </x:c>
      <x:c r="H194" s="19" t="str">
        <x:v>HIGH</x:v>
      </x:c>
      <x:c r="I194" s="43" t="str">
        <x:v>Derived from controlled candidate metadata; no semantic evolution is asserted.</x:v>
      </x:c>
    </x:row>
    <x:row r="195" ht="32" customHeight="1">
      <x:c r="A195" s="40" t="str">
        <x:v>FT-REL-026DACBDAB7BE0</x:v>
      </x:c>
      <x:c r="B195" s="31" t="str">
        <x:v>FT-SEED-R1B-P-1842-12</x:v>
      </x:c>
      <x:c r="C195" s="31" t="str">
        <x:v>FT-SEED-R1B-P-1988-15</x:v>
      </x:c>
      <x:c r="D195" s="31" t="str">
        <x:v>SAME_LEXICAL_FAMILY</x:v>
      </x:c>
      <x:c r="E195" s="31" t="str">
        <x:v>COMPUTATIONAL_STRUCTURAL</x:v>
      </x:c>
      <x:c r="F195" s="31" t="str">
        <x:v>CROSS_ANCHOR</x:v>
      </x:c>
      <x:c r="G195" s="31" t="str">
        <x:v>Shared controlled lexical family</x:v>
      </x:c>
      <x:c r="H195" s="19" t="str">
        <x:v>HIGH</x:v>
      </x:c>
      <x:c r="I195" s="43" t="str">
        <x:v>Derived from controlled candidate metadata; no semantic evolution is asserted.</x:v>
      </x:c>
    </x:row>
    <x:row r="196" ht="32" customHeight="1">
      <x:c r="A196" s="40" t="str">
        <x:v>FT-REL-A75D481E382791</x:v>
      </x:c>
      <x:c r="B196" s="31" t="str">
        <x:v>FT-SEED-R1B-P-1842-12</x:v>
      </x:c>
      <x:c r="C196" s="31" t="str">
        <x:v>FT-SEED-R1B-P-2015-01</x:v>
      </x:c>
      <x:c r="D196" s="31" t="str">
        <x:v>SAME_LEXICAL_FAMILY</x:v>
      </x:c>
      <x:c r="E196" s="31" t="str">
        <x:v>COMPUTATIONAL_STRUCTURAL</x:v>
      </x:c>
      <x:c r="F196" s="31" t="str">
        <x:v>CROSS_ANCHOR</x:v>
      </x:c>
      <x:c r="G196" s="31" t="str">
        <x:v>Shared controlled lexical family</x:v>
      </x:c>
      <x:c r="H196" s="19" t="str">
        <x:v>HIGH</x:v>
      </x:c>
      <x:c r="I196" s="43" t="str">
        <x:v>Derived from controlled candidate metadata; no semantic evolution is asserted.</x:v>
      </x:c>
    </x:row>
    <x:row r="197" ht="32" customHeight="1">
      <x:c r="A197" s="40" t="str">
        <x:v>FT-REL-191596071B8466</x:v>
      </x:c>
      <x:c r="B197" s="31" t="str">
        <x:v>FT-SEED-R1B-P-1842-12</x:v>
      </x:c>
      <x:c r="C197" s="31" t="str">
        <x:v>FT-SEED-R1B-P-2015-02</x:v>
      </x:c>
      <x:c r="D197" s="31" t="str">
        <x:v>SAME_LEXICAL_FAMILY</x:v>
      </x:c>
      <x:c r="E197" s="31" t="str">
        <x:v>COMPUTATIONAL_STRUCTURAL</x:v>
      </x:c>
      <x:c r="F197" s="31" t="str">
        <x:v>CROSS_ANCHOR</x:v>
      </x:c>
      <x:c r="G197" s="31" t="str">
        <x:v>Shared controlled lexical family</x:v>
      </x:c>
      <x:c r="H197" s="19" t="str">
        <x:v>HIGH</x:v>
      </x:c>
      <x:c r="I197" s="43" t="str">
        <x:v>Derived from controlled candidate metadata; no semantic evolution is asserted.</x:v>
      </x:c>
    </x:row>
    <x:row r="198" ht="32" customHeight="1">
      <x:c r="A198" s="40" t="str">
        <x:v>FT-REL-807D675F05DADB</x:v>
      </x:c>
      <x:c r="B198" s="31" t="str">
        <x:v>FT-SEED-R1B-P-1842-12</x:v>
      </x:c>
      <x:c r="C198" s="31" t="str">
        <x:v>FT-SEED-R1B-P-2015-06</x:v>
      </x:c>
      <x:c r="D198" s="31" t="str">
        <x:v>SAME_LEXICAL_FAMILY</x:v>
      </x:c>
      <x:c r="E198" s="31" t="str">
        <x:v>COMPUTATIONAL_STRUCTURAL</x:v>
      </x:c>
      <x:c r="F198" s="31" t="str">
        <x:v>CROSS_ANCHOR</x:v>
      </x:c>
      <x:c r="G198" s="31" t="str">
        <x:v>Shared controlled lexical family</x:v>
      </x:c>
      <x:c r="H198" s="19" t="str">
        <x:v>HIGH</x:v>
      </x:c>
      <x:c r="I198" s="43" t="str">
        <x:v>Derived from controlled candidate metadata; no semantic evolution is asserted.</x:v>
      </x:c>
    </x:row>
    <x:row r="199" ht="32" customHeight="1">
      <x:c r="A199" s="40" t="str">
        <x:v>FT-REL-73613D7618CE20</x:v>
      </x:c>
      <x:c r="B199" s="31" t="str">
        <x:v>FT-SEED-R1B-P-1842-12</x:v>
      </x:c>
      <x:c r="C199" s="31" t="str">
        <x:v>FT-SEED-R1B-P-2015-09</x:v>
      </x:c>
      <x:c r="D199" s="31" t="str">
        <x:v>SAME_LEXICAL_FAMILY</x:v>
      </x:c>
      <x:c r="E199" s="31" t="str">
        <x:v>COMPUTATIONAL_STRUCTURAL</x:v>
      </x:c>
      <x:c r="F199" s="31" t="str">
        <x:v>CROSS_ANCHOR</x:v>
      </x:c>
      <x:c r="G199" s="31" t="str">
        <x:v>Shared controlled lexical family</x:v>
      </x:c>
      <x:c r="H199" s="19" t="str">
        <x:v>HIGH</x:v>
      </x:c>
      <x:c r="I199" s="43" t="str">
        <x:v>Derived from controlled candidate metadata; no semantic evolution is asserted.</x:v>
      </x:c>
    </x:row>
    <x:row r="200" ht="32" customHeight="1">
      <x:c r="A200" s="40" t="str">
        <x:v>FT-REL-5702FE40ED17AB</x:v>
      </x:c>
      <x:c r="B200" s="31" t="str">
        <x:v>FT-SEED-R1B-P-1842-12</x:v>
      </x:c>
      <x:c r="C200" s="31" t="str">
        <x:v>FT-SEED-R1B-P-2022-01</x:v>
      </x:c>
      <x:c r="D200" s="31" t="str">
        <x:v>SAME_LEXICAL_FAMILY</x:v>
      </x:c>
      <x:c r="E200" s="31" t="str">
        <x:v>COMPUTATIONAL_STRUCTURAL</x:v>
      </x:c>
      <x:c r="F200" s="31" t="str">
        <x:v>CROSS_ANCHOR</x:v>
      </x:c>
      <x:c r="G200" s="31" t="str">
        <x:v>Shared controlled lexical family</x:v>
      </x:c>
      <x:c r="H200" s="19" t="str">
        <x:v>HIGH</x:v>
      </x:c>
      <x:c r="I200" s="43" t="str">
        <x:v>Derived from controlled candidate metadata; no semantic evolution is asserted.</x:v>
      </x:c>
    </x:row>
    <x:row r="201" ht="32" customHeight="1">
      <x:c r="A201" s="40" t="str">
        <x:v>FT-REL-1D3F17302B2E88</x:v>
      </x:c>
      <x:c r="B201" s="31" t="str">
        <x:v>FT-SEED-R1B-P-1842-16</x:v>
      </x:c>
      <x:c r="C201" s="31" t="str">
        <x:v>FT-SEED-R1B-P-1842-17</x:v>
      </x:c>
      <x:c r="D201" s="31" t="str">
        <x:v>SAME_LEXICAL_FAMILY</x:v>
      </x:c>
      <x:c r="E201" s="31" t="str">
        <x:v>COMPUTATIONAL_STRUCTURAL</x:v>
      </x:c>
      <x:c r="F201" s="31" t="str">
        <x:v>WITHIN_ANCHOR</x:v>
      </x:c>
      <x:c r="G201" s="31" t="str">
        <x:v>Shared controlled lexical family</x:v>
      </x:c>
      <x:c r="H201" s="19" t="str">
        <x:v>HIGH</x:v>
      </x:c>
      <x:c r="I201" s="43" t="str">
        <x:v>Derived from controlled candidate metadata; no semantic evolution is asserted.</x:v>
      </x:c>
    </x:row>
    <x:row r="202" ht="32" customHeight="1">
      <x:c r="A202" s="40" t="str">
        <x:v>FT-REL-AC878A2AD2AB5B</x:v>
      </x:c>
      <x:c r="B202" s="31" t="str">
        <x:v>FT-SEED-R1B-P-1842-16</x:v>
      </x:c>
      <x:c r="C202" s="31" t="str">
        <x:v>FT-SEED-R1B-P-1842-19</x:v>
      </x:c>
      <x:c r="D202" s="31" t="str">
        <x:v>SAME_LEXICAL_FAMILY</x:v>
      </x:c>
      <x:c r="E202" s="31" t="str">
        <x:v>COMPUTATIONAL_STRUCTURAL</x:v>
      </x:c>
      <x:c r="F202" s="31" t="str">
        <x:v>WITHIN_ANCHOR</x:v>
      </x:c>
      <x:c r="G202" s="31" t="str">
        <x:v>Shared controlled lexical family</x:v>
      </x:c>
      <x:c r="H202" s="19" t="str">
        <x:v>HIGH</x:v>
      </x:c>
      <x:c r="I202" s="43" t="str">
        <x:v>Derived from controlled candidate metadata; no semantic evolution is asserted.</x:v>
      </x:c>
    </x:row>
    <x:row r="203" ht="32" customHeight="1">
      <x:c r="A203" s="40" t="str">
        <x:v>FT-REL-9ABB40E3CD3D71</x:v>
      </x:c>
      <x:c r="B203" s="31" t="str">
        <x:v>FT-SEED-R1B-P-1842-16</x:v>
      </x:c>
      <x:c r="C203" s="31" t="str">
        <x:v>FT-SEED-R1B-P-1842-20</x:v>
      </x:c>
      <x:c r="D203" s="31" t="str">
        <x:v>SAME_LEXICAL_FAMILY</x:v>
      </x:c>
      <x:c r="E203" s="31" t="str">
        <x:v>COMPUTATIONAL_STRUCTURAL</x:v>
      </x:c>
      <x:c r="F203" s="31" t="str">
        <x:v>WITHIN_ANCHOR</x:v>
      </x:c>
      <x:c r="G203" s="31" t="str">
        <x:v>Shared controlled lexical family</x:v>
      </x:c>
      <x:c r="H203" s="19" t="str">
        <x:v>HIGH</x:v>
      </x:c>
      <x:c r="I203" s="43" t="str">
        <x:v>Derived from controlled candidate metadata; no semantic evolution is asserted.</x:v>
      </x:c>
    </x:row>
    <x:row r="204" ht="32" customHeight="1">
      <x:c r="A204" s="40" t="str">
        <x:v>FT-REL-13672D4CDEE5EC</x:v>
      </x:c>
      <x:c r="B204" s="31" t="str">
        <x:v>FT-SEED-R1B-P-1842-16</x:v>
      </x:c>
      <x:c r="C204" s="31" t="str">
        <x:v>FT-SEED-R1B-P-1842-21</x:v>
      </x:c>
      <x:c r="D204" s="31" t="str">
        <x:v>SAME_LEXICAL_FAMILY</x:v>
      </x:c>
      <x:c r="E204" s="31" t="str">
        <x:v>COMPUTATIONAL_STRUCTURAL</x:v>
      </x:c>
      <x:c r="F204" s="31" t="str">
        <x:v>WITHIN_ANCHOR</x:v>
      </x:c>
      <x:c r="G204" s="31" t="str">
        <x:v>Shared controlled lexical family</x:v>
      </x:c>
      <x:c r="H204" s="19" t="str">
        <x:v>HIGH</x:v>
      </x:c>
      <x:c r="I204" s="43" t="str">
        <x:v>Derived from controlled candidate metadata; no semantic evolution is asserted.</x:v>
      </x:c>
    </x:row>
    <x:row r="205" ht="32" customHeight="1">
      <x:c r="A205" s="40" t="str">
        <x:v>FT-REL-EF6FA0F3C65119</x:v>
      </x:c>
      <x:c r="B205" s="31" t="str">
        <x:v>FT-SEED-R1B-P-1842-16</x:v>
      </x:c>
      <x:c r="C205" s="31" t="str">
        <x:v>FT-SEED-R1B-P-1842-26</x:v>
      </x:c>
      <x:c r="D205" s="31" t="str">
        <x:v>SAME_LEXICAL_FAMILY</x:v>
      </x:c>
      <x:c r="E205" s="31" t="str">
        <x:v>COMPUTATIONAL_STRUCTURAL</x:v>
      </x:c>
      <x:c r="F205" s="31" t="str">
        <x:v>WITHIN_ANCHOR</x:v>
      </x:c>
      <x:c r="G205" s="31" t="str">
        <x:v>Shared controlled lexical family</x:v>
      </x:c>
      <x:c r="H205" s="19" t="str">
        <x:v>HIGH</x:v>
      </x:c>
      <x:c r="I205" s="43" t="str">
        <x:v>Derived from controlled candidate metadata; no semantic evolution is asserted.</x:v>
      </x:c>
    </x:row>
    <x:row r="206" ht="32" customHeight="1">
      <x:c r="A206" s="40" t="str">
        <x:v>FT-REL-B121077FA14353</x:v>
      </x:c>
      <x:c r="B206" s="31" t="str">
        <x:v>FT-SEED-R1B-P-1842-16</x:v>
      </x:c>
      <x:c r="C206" s="31" t="str">
        <x:v>FT-SEED-R1B-P-1842-27</x:v>
      </x:c>
      <x:c r="D206" s="31" t="str">
        <x:v>SAME_LEXICAL_FAMILY</x:v>
      </x:c>
      <x:c r="E206" s="31" t="str">
        <x:v>COMPUTATIONAL_STRUCTURAL</x:v>
      </x:c>
      <x:c r="F206" s="31" t="str">
        <x:v>WITHIN_ANCHOR</x:v>
      </x:c>
      <x:c r="G206" s="31" t="str">
        <x:v>Shared controlled lexical family</x:v>
      </x:c>
      <x:c r="H206" s="19" t="str">
        <x:v>HIGH</x:v>
      </x:c>
      <x:c r="I206" s="43" t="str">
        <x:v>Derived from controlled candidate metadata; no semantic evolution is asserted.</x:v>
      </x:c>
    </x:row>
    <x:row r="207" ht="32" customHeight="1">
      <x:c r="A207" s="40" t="str">
        <x:v>FT-REL-D006CBC6772432</x:v>
      </x:c>
      <x:c r="B207" s="31" t="str">
        <x:v>FT-SEED-R1B-P-1842-16</x:v>
      </x:c>
      <x:c r="C207" s="31" t="str">
        <x:v>FT-SEED-R1B-P-1842-28</x:v>
      </x:c>
      <x:c r="D207" s="31" t="str">
        <x:v>SAME_LEXICAL_FAMILY</x:v>
      </x:c>
      <x:c r="E207" s="31" t="str">
        <x:v>COMPUTATIONAL_STRUCTURAL</x:v>
      </x:c>
      <x:c r="F207" s="31" t="str">
        <x:v>WITHIN_ANCHOR</x:v>
      </x:c>
      <x:c r="G207" s="31" t="str">
        <x:v>Shared controlled lexical family</x:v>
      </x:c>
      <x:c r="H207" s="19" t="str">
        <x:v>HIGH</x:v>
      </x:c>
      <x:c r="I207" s="43" t="str">
        <x:v>Derived from controlled candidate metadata; no semantic evolution is asserted.</x:v>
      </x:c>
    </x:row>
    <x:row r="208" ht="32" customHeight="1">
      <x:c r="A208" s="40" t="str">
        <x:v>FT-REL-BCDCBD2E9B3885</x:v>
      </x:c>
      <x:c r="B208" s="31" t="str">
        <x:v>FT-SEED-R1B-P-1842-16</x:v>
      </x:c>
      <x:c r="C208" s="31" t="str">
        <x:v>FT-SEED-R1B-P-1938-19</x:v>
      </x:c>
      <x:c r="D208" s="31" t="str">
        <x:v>SAME_LEXICAL_FAMILY</x:v>
      </x:c>
      <x:c r="E208" s="31" t="str">
        <x:v>COMPUTATIONAL_STRUCTURAL</x:v>
      </x:c>
      <x:c r="F208" s="31" t="str">
        <x:v>CROSS_ANCHOR</x:v>
      </x:c>
      <x:c r="G208" s="31" t="str">
        <x:v>Shared controlled lexical family</x:v>
      </x:c>
      <x:c r="H208" s="19" t="str">
        <x:v>HIGH</x:v>
      </x:c>
      <x:c r="I208" s="43" t="str">
        <x:v>Derived from controlled candidate metadata; no semantic evolution is asserted.</x:v>
      </x:c>
    </x:row>
    <x:row r="209" ht="32" customHeight="1">
      <x:c r="A209" s="40" t="str">
        <x:v>FT-REL-90DA6EEBC6B2FF</x:v>
      </x:c>
      <x:c r="B209" s="31" t="str">
        <x:v>FT-SEED-R1B-P-1842-16</x:v>
      </x:c>
      <x:c r="C209" s="31" t="str">
        <x:v>FT-SEED-R1B-P-1938-20</x:v>
      </x:c>
      <x:c r="D209" s="31" t="str">
        <x:v>SAME_LEXICAL_FAMILY</x:v>
      </x:c>
      <x:c r="E209" s="31" t="str">
        <x:v>COMPUTATIONAL_STRUCTURAL</x:v>
      </x:c>
      <x:c r="F209" s="31" t="str">
        <x:v>CROSS_ANCHOR</x:v>
      </x:c>
      <x:c r="G209" s="31" t="str">
        <x:v>Shared controlled lexical family</x:v>
      </x:c>
      <x:c r="H209" s="19" t="str">
        <x:v>HIGH</x:v>
      </x:c>
      <x:c r="I209" s="43" t="str">
        <x:v>Derived from controlled candidate metadata; no semantic evolution is asserted.</x:v>
      </x:c>
    </x:row>
    <x:row r="210" ht="32" customHeight="1">
      <x:c r="A210" s="40" t="str">
        <x:v>FT-REL-63D06769F0300D</x:v>
      </x:c>
      <x:c r="B210" s="31" t="str">
        <x:v>FT-SEED-R1B-P-1842-16</x:v>
      </x:c>
      <x:c r="C210" s="31" t="str">
        <x:v>FT-SEED-R1B-P-1938-21</x:v>
      </x:c>
      <x:c r="D210" s="31" t="str">
        <x:v>SAME_LEXICAL_FAMILY</x:v>
      </x:c>
      <x:c r="E210" s="31" t="str">
        <x:v>COMPUTATIONAL_STRUCTURAL</x:v>
      </x:c>
      <x:c r="F210" s="31" t="str">
        <x:v>CROSS_ANCHOR</x:v>
      </x:c>
      <x:c r="G210" s="31" t="str">
        <x:v>Shared controlled lexical family</x:v>
      </x:c>
      <x:c r="H210" s="19" t="str">
        <x:v>HIGH</x:v>
      </x:c>
      <x:c r="I210" s="43" t="str">
        <x:v>Derived from controlled candidate metadata; no semantic evolution is asserted.</x:v>
      </x:c>
    </x:row>
    <x:row r="211" ht="32" customHeight="1">
      <x:c r="A211" s="40" t="str">
        <x:v>FT-REL-4D9C6217F59D5D</x:v>
      </x:c>
      <x:c r="B211" s="31" t="str">
        <x:v>FT-SEED-R1B-P-1842-16</x:v>
      </x:c>
      <x:c r="C211" s="31" t="str">
        <x:v>FT-SEED-R1B-P-1938-23</x:v>
      </x:c>
      <x:c r="D211" s="31" t="str">
        <x:v>SAME_LEXICAL_FAMILY</x:v>
      </x:c>
      <x:c r="E211" s="31" t="str">
        <x:v>COMPUTATIONAL_STRUCTURAL</x:v>
      </x:c>
      <x:c r="F211" s="31" t="str">
        <x:v>CROSS_ANCHOR</x:v>
      </x:c>
      <x:c r="G211" s="31" t="str">
        <x:v>Shared controlled lexical family</x:v>
      </x:c>
      <x:c r="H211" s="19" t="str">
        <x:v>HIGH</x:v>
      </x:c>
      <x:c r="I211" s="43" t="str">
        <x:v>Derived from controlled candidate metadata; no semantic evolution is asserted.</x:v>
      </x:c>
    </x:row>
    <x:row r="212" ht="32" customHeight="1">
      <x:c r="A212" s="40" t="str">
        <x:v>FT-REL-33AB9951AAAA62</x:v>
      </x:c>
      <x:c r="B212" s="31" t="str">
        <x:v>FT-SEED-R1B-P-1842-16</x:v>
      </x:c>
      <x:c r="C212" s="31" t="str">
        <x:v>FT-SEED-R1B-P-1938-24</x:v>
      </x:c>
      <x:c r="D212" s="31" t="str">
        <x:v>SAME_LEXICAL_FAMILY</x:v>
      </x:c>
      <x:c r="E212" s="31" t="str">
        <x:v>COMPUTATIONAL_STRUCTURAL</x:v>
      </x:c>
      <x:c r="F212" s="31" t="str">
        <x:v>CROSS_ANCHOR</x:v>
      </x:c>
      <x:c r="G212" s="31" t="str">
        <x:v>Shared controlled lexical family</x:v>
      </x:c>
      <x:c r="H212" s="19" t="str">
        <x:v>HIGH</x:v>
      </x:c>
      <x:c r="I212" s="43" t="str">
        <x:v>Derived from controlled candidate metadata; no semantic evolution is asserted.</x:v>
      </x:c>
    </x:row>
    <x:row r="213" ht="32" customHeight="1">
      <x:c r="A213" s="40" t="str">
        <x:v>FT-REL-1FC434D1ABB86E</x:v>
      </x:c>
      <x:c r="B213" s="31" t="str">
        <x:v>FT-SEED-R1B-P-1842-16</x:v>
      </x:c>
      <x:c r="C213" s="31" t="str">
        <x:v>FT-SEED-R1B-P-1938-25</x:v>
      </x:c>
      <x:c r="D213" s="31" t="str">
        <x:v>SAME_LEXICAL_FAMILY</x:v>
      </x:c>
      <x:c r="E213" s="31" t="str">
        <x:v>COMPUTATIONAL_STRUCTURAL</x:v>
      </x:c>
      <x:c r="F213" s="31" t="str">
        <x:v>CROSS_ANCHOR</x:v>
      </x:c>
      <x:c r="G213" s="31" t="str">
        <x:v>Shared controlled lexical family</x:v>
      </x:c>
      <x:c r="H213" s="19" t="str">
        <x:v>HIGH</x:v>
      </x:c>
      <x:c r="I213" s="43" t="str">
        <x:v>Derived from controlled candidate metadata; no semantic evolution is asserted.</x:v>
      </x:c>
    </x:row>
    <x:row r="214" ht="32" customHeight="1">
      <x:c r="A214" s="40" t="str">
        <x:v>FT-REL-87B448569A8DC5</x:v>
      </x:c>
      <x:c r="B214" s="31" t="str">
        <x:v>FT-SEED-R1B-P-1842-16</x:v>
      </x:c>
      <x:c r="C214" s="31" t="str">
        <x:v>FT-SEED-R1B-P-1938-27</x:v>
      </x:c>
      <x:c r="D214" s="31" t="str">
        <x:v>SAME_LEXICAL_FAMILY</x:v>
      </x:c>
      <x:c r="E214" s="31" t="str">
        <x:v>COMPUTATIONAL_STRUCTURAL</x:v>
      </x:c>
      <x:c r="F214" s="31" t="str">
        <x:v>CROSS_ANCHOR</x:v>
      </x:c>
      <x:c r="G214" s="31" t="str">
        <x:v>Shared controlled lexical family</x:v>
      </x:c>
      <x:c r="H214" s="19" t="str">
        <x:v>HIGH</x:v>
      </x:c>
      <x:c r="I214" s="43" t="str">
        <x:v>Derived from controlled candidate metadata; no semantic evolution is asserted.</x:v>
      </x:c>
    </x:row>
    <x:row r="215" ht="32" customHeight="1">
      <x:c r="A215" s="40" t="str">
        <x:v>FT-REL-CBD6814A47078B</x:v>
      </x:c>
      <x:c r="B215" s="31" t="str">
        <x:v>FT-SEED-R1B-P-1842-16</x:v>
      </x:c>
      <x:c r="C215" s="31" t="str">
        <x:v>FT-SEED-R1B-P-1938-30</x:v>
      </x:c>
      <x:c r="D215" s="31" t="str">
        <x:v>SAME_LEXICAL_FAMILY</x:v>
      </x:c>
      <x:c r="E215" s="31" t="str">
        <x:v>COMPUTATIONAL_STRUCTURAL</x:v>
      </x:c>
      <x:c r="F215" s="31" t="str">
        <x:v>CROSS_ANCHOR</x:v>
      </x:c>
      <x:c r="G215" s="31" t="str">
        <x:v>Shared controlled lexical family</x:v>
      </x:c>
      <x:c r="H215" s="19" t="str">
        <x:v>HIGH</x:v>
      </x:c>
      <x:c r="I215" s="43" t="str">
        <x:v>Derived from controlled candidate metadata; no semantic evolution is asserted.</x:v>
      </x:c>
    </x:row>
    <x:row r="216" ht="32" customHeight="1">
      <x:c r="A216" s="40" t="str">
        <x:v>FT-REL-5622489AA16889</x:v>
      </x:c>
      <x:c r="B216" s="31" t="str">
        <x:v>FT-SEED-R1B-P-1842-16</x:v>
      </x:c>
      <x:c r="C216" s="31" t="str">
        <x:v>FT-SEED-R1B-P-1988-07</x:v>
      </x:c>
      <x:c r="D216" s="31" t="str">
        <x:v>SAME_LEXICAL_FAMILY</x:v>
      </x:c>
      <x:c r="E216" s="31" t="str">
        <x:v>COMPUTATIONAL_STRUCTURAL</x:v>
      </x:c>
      <x:c r="F216" s="31" t="str">
        <x:v>CROSS_ANCHOR</x:v>
      </x:c>
      <x:c r="G216" s="31" t="str">
        <x:v>Shared controlled lexical family</x:v>
      </x:c>
      <x:c r="H216" s="19" t="str">
        <x:v>HIGH</x:v>
      </x:c>
      <x:c r="I216" s="43" t="str">
        <x:v>Derived from controlled candidate metadata; no semantic evolution is asserted.</x:v>
      </x:c>
    </x:row>
    <x:row r="217" ht="32" customHeight="1">
      <x:c r="A217" s="40" t="str">
        <x:v>FT-REL-415B8EEC115BD1</x:v>
      </x:c>
      <x:c r="B217" s="31" t="str">
        <x:v>FT-SEED-R1B-P-1842-16</x:v>
      </x:c>
      <x:c r="C217" s="31" t="str">
        <x:v>FT-SEED-R1B-P-1988-08</x:v>
      </x:c>
      <x:c r="D217" s="31" t="str">
        <x:v>SAME_LEXICAL_FAMILY</x:v>
      </x:c>
      <x:c r="E217" s="31" t="str">
        <x:v>COMPUTATIONAL_STRUCTURAL</x:v>
      </x:c>
      <x:c r="F217" s="31" t="str">
        <x:v>CROSS_ANCHOR</x:v>
      </x:c>
      <x:c r="G217" s="31" t="str">
        <x:v>Shared controlled lexical family</x:v>
      </x:c>
      <x:c r="H217" s="19" t="str">
        <x:v>HIGH</x:v>
      </x:c>
      <x:c r="I217" s="43" t="str">
        <x:v>Derived from controlled candidate metadata; no semantic evolution is asserted.</x:v>
      </x:c>
    </x:row>
    <x:row r="218" ht="32" customHeight="1">
      <x:c r="A218" s="40" t="str">
        <x:v>FT-REL-E6E821B6710A4E</x:v>
      </x:c>
      <x:c r="B218" s="31" t="str">
        <x:v>FT-SEED-R1B-P-1842-16</x:v>
      </x:c>
      <x:c r="C218" s="31" t="str">
        <x:v>FT-SEED-R1B-P-1988-10</x:v>
      </x:c>
      <x:c r="D218" s="31" t="str">
        <x:v>SAME_LEXICAL_FAMILY</x:v>
      </x:c>
      <x:c r="E218" s="31" t="str">
        <x:v>COMPUTATIONAL_STRUCTURAL</x:v>
      </x:c>
      <x:c r="F218" s="31" t="str">
        <x:v>CROSS_ANCHOR</x:v>
      </x:c>
      <x:c r="G218" s="31" t="str">
        <x:v>Shared controlled lexical family</x:v>
      </x:c>
      <x:c r="H218" s="19" t="str">
        <x:v>HIGH</x:v>
      </x:c>
      <x:c r="I218" s="43" t="str">
        <x:v>Derived from controlled candidate metadata; no semantic evolution is asserted.</x:v>
      </x:c>
    </x:row>
    <x:row r="219" ht="32" customHeight="1">
      <x:c r="A219" s="40" t="str">
        <x:v>FT-REL-5F0233DE590A5D</x:v>
      </x:c>
      <x:c r="B219" s="31" t="str">
        <x:v>FT-SEED-R1B-P-1842-16</x:v>
      </x:c>
      <x:c r="C219" s="31" t="str">
        <x:v>FT-SEED-R1B-P-2022-22</x:v>
      </x:c>
      <x:c r="D219" s="31" t="str">
        <x:v>SAME_LEXICAL_FAMILY</x:v>
      </x:c>
      <x:c r="E219" s="31" t="str">
        <x:v>COMPUTATIONAL_STRUCTURAL</x:v>
      </x:c>
      <x:c r="F219" s="31" t="str">
        <x:v>CROSS_ANCHOR</x:v>
      </x:c>
      <x:c r="G219" s="31" t="str">
        <x:v>Shared controlled lexical family</x:v>
      </x:c>
      <x:c r="H219" s="19" t="str">
        <x:v>HIGH</x:v>
      </x:c>
      <x:c r="I219" s="43" t="str">
        <x:v>Derived from controlled candidate metadata; no semantic evolution is asserted.</x:v>
      </x:c>
    </x:row>
    <x:row r="220" ht="32" customHeight="1">
      <x:c r="A220" s="40" t="str">
        <x:v>FT-REL-9D74CA14D0424C</x:v>
      </x:c>
      <x:c r="B220" s="31" t="str">
        <x:v>FT-SEED-R1B-P-1842-16</x:v>
      </x:c>
      <x:c r="C220" s="31" t="str">
        <x:v>FT-SEED-R1B-P-2022-23</x:v>
      </x:c>
      <x:c r="D220" s="31" t="str">
        <x:v>SAME_LEXICAL_FAMILY</x:v>
      </x:c>
      <x:c r="E220" s="31" t="str">
        <x:v>COMPUTATIONAL_STRUCTURAL</x:v>
      </x:c>
      <x:c r="F220" s="31" t="str">
        <x:v>CROSS_ANCHOR</x:v>
      </x:c>
      <x:c r="G220" s="31" t="str">
        <x:v>Shared controlled lexical family</x:v>
      </x:c>
      <x:c r="H220" s="19" t="str">
        <x:v>HIGH</x:v>
      </x:c>
      <x:c r="I220" s="43" t="str">
        <x:v>Derived from controlled candidate metadata; no semantic evolution is asserted.</x:v>
      </x:c>
    </x:row>
    <x:row r="221" ht="32" customHeight="1">
      <x:c r="A221" s="40" t="str">
        <x:v>FT-REL-293CE431435F6B</x:v>
      </x:c>
      <x:c r="B221" s="31" t="str">
        <x:v>FT-SEED-R1B-P-1842-22</x:v>
      </x:c>
      <x:c r="C221" s="31" t="str">
        <x:v>FT-SEED-R1B-P-0607-06</x:v>
      </x:c>
      <x:c r="D221" s="31" t="str">
        <x:v>SAME_LEXICAL_FAMILY</x:v>
      </x:c>
      <x:c r="E221" s="31" t="str">
        <x:v>COMPUTATIONAL_STRUCTURAL</x:v>
      </x:c>
      <x:c r="F221" s="31" t="str">
        <x:v>CROSS_ANCHOR</x:v>
      </x:c>
      <x:c r="G221" s="31" t="str">
        <x:v>Shared controlled lexical family</x:v>
      </x:c>
      <x:c r="H221" s="19" t="str">
        <x:v>HIGH</x:v>
      </x:c>
      <x:c r="I221" s="43" t="str">
        <x:v>Derived from controlled candidate metadata; no semantic evolution is asserted.</x:v>
      </x:c>
    </x:row>
    <x:row r="222" ht="32" customHeight="1">
      <x:c r="A222" s="40" t="str">
        <x:v>FT-REL-BACA9304B4BD06</x:v>
      </x:c>
      <x:c r="B222" s="31" t="str">
        <x:v>FT-SEED-R1B-P-1842-22</x:v>
      </x:c>
      <x:c r="C222" s="31" t="str">
        <x:v>FT-SEED-R1B-P-0607-07</x:v>
      </x:c>
      <x:c r="D222" s="31" t="str">
        <x:v>SAME_LEXICAL_FAMILY</x:v>
      </x:c>
      <x:c r="E222" s="31" t="str">
        <x:v>COMPUTATIONAL_STRUCTURAL</x:v>
      </x:c>
      <x:c r="F222" s="31" t="str">
        <x:v>CROSS_ANCHOR</x:v>
      </x:c>
      <x:c r="G222" s="31" t="str">
        <x:v>Shared controlled lexical family</x:v>
      </x:c>
      <x:c r="H222" s="19" t="str">
        <x:v>HIGH</x:v>
      </x:c>
      <x:c r="I222" s="43" t="str">
        <x:v>Derived from controlled candidate metadata; no semantic evolution is asserted.</x:v>
      </x:c>
    </x:row>
    <x:row r="223" ht="32" customHeight="1">
      <x:c r="A223" s="40" t="str">
        <x:v>FT-REL-5295401A2A9526</x:v>
      </x:c>
      <x:c r="B223" s="31" t="str">
        <x:v>FT-SEED-R1B-P-1842-22</x:v>
      </x:c>
      <x:c r="C223" s="31" t="str">
        <x:v>FT-SEED-R1B-P-0607-13</x:v>
      </x:c>
      <x:c r="D223" s="31" t="str">
        <x:v>SAME_LEXICAL_FAMILY</x:v>
      </x:c>
      <x:c r="E223" s="31" t="str">
        <x:v>COMPUTATIONAL_STRUCTURAL</x:v>
      </x:c>
      <x:c r="F223" s="31" t="str">
        <x:v>CROSS_ANCHOR</x:v>
      </x:c>
      <x:c r="G223" s="31" t="str">
        <x:v>Shared controlled lexical family</x:v>
      </x:c>
      <x:c r="H223" s="19" t="str">
        <x:v>HIGH</x:v>
      </x:c>
      <x:c r="I223" s="43" t="str">
        <x:v>Derived from controlled candidate metadata; no semantic evolution is asserted.</x:v>
      </x:c>
    </x:row>
    <x:row r="224" ht="32" customHeight="1">
      <x:c r="A224" s="40" t="str">
        <x:v>FT-REL-C96F43C29678B1</x:v>
      </x:c>
      <x:c r="B224" s="31" t="str">
        <x:v>FT-SEED-R1B-P-1842-22</x:v>
      </x:c>
      <x:c r="C224" s="31" t="str">
        <x:v>FT-SEED-R1B-P-0607-16</x:v>
      </x:c>
      <x:c r="D224" s="31" t="str">
        <x:v>SAME_LEXICAL_FAMILY</x:v>
      </x:c>
      <x:c r="E224" s="31" t="str">
        <x:v>COMPUTATIONAL_STRUCTURAL</x:v>
      </x:c>
      <x:c r="F224" s="31" t="str">
        <x:v>CROSS_ANCHOR</x:v>
      </x:c>
      <x:c r="G224" s="31" t="str">
        <x:v>Shared controlled lexical family</x:v>
      </x:c>
      <x:c r="H224" s="19" t="str">
        <x:v>HIGH</x:v>
      </x:c>
      <x:c r="I224" s="43" t="str">
        <x:v>Derived from controlled candidate metadata; no semantic evolution is asserted.</x:v>
      </x:c>
    </x:row>
    <x:row r="225" ht="32" customHeight="1">
      <x:c r="A225" s="40" t="str">
        <x:v>FT-REL-D404DFDC3A0047</x:v>
      </x:c>
      <x:c r="B225" s="31" t="str">
        <x:v>FT-SEED-R1B-P-1842-22</x:v>
      </x:c>
      <x:c r="C225" s="31" t="str">
        <x:v>FT-SEED-R1B-P-0607-17</x:v>
      </x:c>
      <x:c r="D225" s="31" t="str">
        <x:v>SAME_LEXICAL_FAMILY</x:v>
      </x:c>
      <x:c r="E225" s="31" t="str">
        <x:v>COMPUTATIONAL_STRUCTURAL</x:v>
      </x:c>
      <x:c r="F225" s="31" t="str">
        <x:v>CROSS_ANCHOR</x:v>
      </x:c>
      <x:c r="G225" s="31" t="str">
        <x:v>Shared controlled lexical family</x:v>
      </x:c>
      <x:c r="H225" s="19" t="str">
        <x:v>HIGH</x:v>
      </x:c>
      <x:c r="I225" s="43" t="str">
        <x:v>Derived from controlled candidate metadata; no semantic evolution is asserted.</x:v>
      </x:c>
    </x:row>
    <x:row r="226" ht="32" customHeight="1">
      <x:c r="A226" s="40" t="str">
        <x:v>FT-REL-F57001C11A4EA8</x:v>
      </x:c>
      <x:c r="B226" s="31" t="str">
        <x:v>FT-SEED-R1B-P-1842-22</x:v>
      </x:c>
      <x:c r="C226" s="31" t="str">
        <x:v>FT-SEED-R1B-P-0607-18</x:v>
      </x:c>
      <x:c r="D226" s="31" t="str">
        <x:v>SAME_LEXICAL_FAMILY</x:v>
      </x:c>
      <x:c r="E226" s="31" t="str">
        <x:v>COMPUTATIONAL_STRUCTURAL</x:v>
      </x:c>
      <x:c r="F226" s="31" t="str">
        <x:v>CROSS_ANCHOR</x:v>
      </x:c>
      <x:c r="G226" s="31" t="str">
        <x:v>Shared controlled lexical family</x:v>
      </x:c>
      <x:c r="H226" s="19" t="str">
        <x:v>HIGH</x:v>
      </x:c>
      <x:c r="I226" s="43" t="str">
        <x:v>Derived from controlled candidate metadata; no semantic evolution is asserted.</x:v>
      </x:c>
    </x:row>
    <x:row r="227" ht="32" customHeight="1">
      <x:c r="A227" s="40" t="str">
        <x:v>FT-REL-9FCBA3B958350D</x:v>
      </x:c>
      <x:c r="B227" s="31" t="str">
        <x:v>FT-SEED-R1B-P-1842-22</x:v>
      </x:c>
      <x:c r="C227" s="31" t="str">
        <x:v>FT-SEED-R1B-P-0607-19</x:v>
      </x:c>
      <x:c r="D227" s="31" t="str">
        <x:v>SAME_LEXICAL_FAMILY</x:v>
      </x:c>
      <x:c r="E227" s="31" t="str">
        <x:v>COMPUTATIONAL_STRUCTURAL</x:v>
      </x:c>
      <x:c r="F227" s="31" t="str">
        <x:v>CROSS_ANCHOR</x:v>
      </x:c>
      <x:c r="G227" s="31" t="str">
        <x:v>Shared controlled lexical family</x:v>
      </x:c>
      <x:c r="H227" s="19" t="str">
        <x:v>HIGH</x:v>
      </x:c>
      <x:c r="I227" s="43" t="str">
        <x:v>Derived from controlled candidate metadata; no semantic evolution is asserted.</x:v>
      </x:c>
    </x:row>
    <x:row r="228" ht="32" customHeight="1">
      <x:c r="A228" s="40" t="str">
        <x:v>FT-REL-3B978CF4D72AAC</x:v>
      </x:c>
      <x:c r="B228" s="31" t="str">
        <x:v>FT-SEED-R1B-P-1842-22</x:v>
      </x:c>
      <x:c r="C228" s="31" t="str">
        <x:v>FT-SEED-R1B-P-0607-20</x:v>
      </x:c>
      <x:c r="D228" s="31" t="str">
        <x:v>SAME_LEXICAL_FAMILY</x:v>
      </x:c>
      <x:c r="E228" s="31" t="str">
        <x:v>COMPUTATIONAL_STRUCTURAL</x:v>
      </x:c>
      <x:c r="F228" s="31" t="str">
        <x:v>CROSS_ANCHOR</x:v>
      </x:c>
      <x:c r="G228" s="31" t="str">
        <x:v>Shared controlled lexical family</x:v>
      </x:c>
      <x:c r="H228" s="19" t="str">
        <x:v>HIGH</x:v>
      </x:c>
      <x:c r="I228" s="43" t="str">
        <x:v>Derived from controlled candidate metadata; no semantic evolution is asserted.</x:v>
      </x:c>
    </x:row>
    <x:row r="229" ht="32" customHeight="1">
      <x:c r="A229" s="40" t="str">
        <x:v>FT-REL-678D1729938349</x:v>
      </x:c>
      <x:c r="B229" s="31" t="str">
        <x:v>FT-SEED-R1B-P-1842-22</x:v>
      </x:c>
      <x:c r="C229" s="31" t="str">
        <x:v>FT-SEED-R1B-P-0607-24</x:v>
      </x:c>
      <x:c r="D229" s="31" t="str">
        <x:v>SAME_LEXICAL_FAMILY</x:v>
      </x:c>
      <x:c r="E229" s="31" t="str">
        <x:v>COMPUTATIONAL_STRUCTURAL</x:v>
      </x:c>
      <x:c r="F229" s="31" t="str">
        <x:v>CROSS_ANCHOR</x:v>
      </x:c>
      <x:c r="G229" s="31" t="str">
        <x:v>Shared controlled lexical family</x:v>
      </x:c>
      <x:c r="H229" s="19" t="str">
        <x:v>HIGH</x:v>
      </x:c>
      <x:c r="I229" s="43" t="str">
        <x:v>Derived from controlled candidate metadata; no semantic evolution is asserted.</x:v>
      </x:c>
    </x:row>
    <x:row r="230" ht="32" customHeight="1">
      <x:c r="A230" s="40" t="str">
        <x:v>FT-REL-BC25EBF4FFD1C8</x:v>
      </x:c>
      <x:c r="B230" s="31" t="str">
        <x:v>FT-SEED-R1B-P-1842-22</x:v>
      </x:c>
      <x:c r="C230" s="31" t="str">
        <x:v>FT-SEED-R1B-P-0607-28</x:v>
      </x:c>
      <x:c r="D230" s="31" t="str">
        <x:v>SAME_LEXICAL_FAMILY</x:v>
      </x:c>
      <x:c r="E230" s="31" t="str">
        <x:v>COMPUTATIONAL_STRUCTURAL</x:v>
      </x:c>
      <x:c r="F230" s="31" t="str">
        <x:v>CROSS_ANCHOR</x:v>
      </x:c>
      <x:c r="G230" s="31" t="str">
        <x:v>Shared controlled lexical family</x:v>
      </x:c>
      <x:c r="H230" s="19" t="str">
        <x:v>HIGH</x:v>
      </x:c>
      <x:c r="I230" s="43" t="str">
        <x:v>Derived from controlled candidate metadata; no semantic evolution is asserted.</x:v>
      </x:c>
    </x:row>
    <x:row r="231" ht="32" customHeight="1">
      <x:c r="A231" s="40" t="str">
        <x:v>FT-REL-7236492AA52DD7</x:v>
      </x:c>
      <x:c r="B231" s="31" t="str">
        <x:v>FT-SEED-R1B-P-1842-22</x:v>
      </x:c>
      <x:c r="C231" s="31" t="str">
        <x:v>FT-SEED-R1B-P-1842-23</x:v>
      </x:c>
      <x:c r="D231" s="31" t="str">
        <x:v>SAME_LEXICAL_FAMILY</x:v>
      </x:c>
      <x:c r="E231" s="31" t="str">
        <x:v>COMPUTATIONAL_STRUCTURAL</x:v>
      </x:c>
      <x:c r="F231" s="31" t="str">
        <x:v>WITHIN_ANCHOR</x:v>
      </x:c>
      <x:c r="G231" s="31" t="str">
        <x:v>Shared controlled lexical family</x:v>
      </x:c>
      <x:c r="H231" s="19" t="str">
        <x:v>HIGH</x:v>
      </x:c>
      <x:c r="I231" s="43" t="str">
        <x:v>Derived from controlled candidate metadata; no semantic evolution is asserted.</x:v>
      </x:c>
    </x:row>
    <x:row r="232" ht="32" customHeight="1">
      <x:c r="A232" s="40" t="str">
        <x:v>FT-REL-26262D60A2EC7B</x:v>
      </x:c>
      <x:c r="B232" s="31" t="str">
        <x:v>FT-SEED-R1B-P-1842-22</x:v>
      </x:c>
      <x:c r="C232" s="31" t="str">
        <x:v>FT-SEED-R1B-P-1842-24</x:v>
      </x:c>
      <x:c r="D232" s="31" t="str">
        <x:v>SAME_LEXICAL_FAMILY</x:v>
      </x:c>
      <x:c r="E232" s="31" t="str">
        <x:v>COMPUTATIONAL_STRUCTURAL</x:v>
      </x:c>
      <x:c r="F232" s="31" t="str">
        <x:v>WITHIN_ANCHOR</x:v>
      </x:c>
      <x:c r="G232" s="31" t="str">
        <x:v>Shared controlled lexical family</x:v>
      </x:c>
      <x:c r="H232" s="19" t="str">
        <x:v>HIGH</x:v>
      </x:c>
      <x:c r="I232" s="43" t="str">
        <x:v>Derived from controlled candidate metadata; no semantic evolution is asserted.</x:v>
      </x:c>
    </x:row>
    <x:row r="233" ht="32" customHeight="1">
      <x:c r="A233" s="40" t="str">
        <x:v>FT-REL-D467E97753ECA2</x:v>
      </x:c>
      <x:c r="B233" s="31" t="str">
        <x:v>FT-SEED-R1B-P-1842-22</x:v>
      </x:c>
      <x:c r="C233" s="31" t="str">
        <x:v>FT-SEED-R1B-P-1842-29</x:v>
      </x:c>
      <x:c r="D233" s="31" t="str">
        <x:v>SAME_LEXICAL_FAMILY</x:v>
      </x:c>
      <x:c r="E233" s="31" t="str">
        <x:v>COMPUTATIONAL_STRUCTURAL</x:v>
      </x:c>
      <x:c r="F233" s="31" t="str">
        <x:v>WITHIN_ANCHOR</x:v>
      </x:c>
      <x:c r="G233" s="31" t="str">
        <x:v>Shared controlled lexical family</x:v>
      </x:c>
      <x:c r="H233" s="19" t="str">
        <x:v>HIGH</x:v>
      </x:c>
      <x:c r="I233" s="43" t="str">
        <x:v>Derived from controlled candidate metadata; no semantic evolution is asserted.</x:v>
      </x:c>
    </x:row>
    <x:row r="234" ht="32" customHeight="1">
      <x:c r="A234" s="40" t="str">
        <x:v>FT-REL-D481E946ECC5F8</x:v>
      </x:c>
      <x:c r="B234" s="31" t="str">
        <x:v>FT-SEED-R1B-P-1842-22</x:v>
      </x:c>
      <x:c r="C234" s="31" t="str">
        <x:v>FT-SEED-R1B-P-1938-28</x:v>
      </x:c>
      <x:c r="D234" s="31" t="str">
        <x:v>SAME_LEXICAL_FAMILY</x:v>
      </x:c>
      <x:c r="E234" s="31" t="str">
        <x:v>COMPUTATIONAL_STRUCTURAL</x:v>
      </x:c>
      <x:c r="F234" s="31" t="str">
        <x:v>CROSS_ANCHOR</x:v>
      </x:c>
      <x:c r="G234" s="31" t="str">
        <x:v>Shared controlled lexical family</x:v>
      </x:c>
      <x:c r="H234" s="19" t="str">
        <x:v>HIGH</x:v>
      </x:c>
      <x:c r="I234" s="43" t="str">
        <x:v>Derived from controlled candidate metadata; no semantic evolution is asserted.</x:v>
      </x:c>
    </x:row>
    <x:row r="235" ht="32" customHeight="1">
      <x:c r="A235" s="40" t="str">
        <x:v>FT-REL-1DC6891845723F</x:v>
      </x:c>
      <x:c r="B235" s="31" t="str">
        <x:v>FT-SEED-R1B-P-1842-22</x:v>
      </x:c>
      <x:c r="C235" s="31" t="str">
        <x:v>FT-SEED-R1B-P-1938-29</x:v>
      </x:c>
      <x:c r="D235" s="31" t="str">
        <x:v>SAME_LEXICAL_FAMILY</x:v>
      </x:c>
      <x:c r="E235" s="31" t="str">
        <x:v>COMPUTATIONAL_STRUCTURAL</x:v>
      </x:c>
      <x:c r="F235" s="31" t="str">
        <x:v>CROSS_ANCHOR</x:v>
      </x:c>
      <x:c r="G235" s="31" t="str">
        <x:v>Shared controlled lexical family</x:v>
      </x:c>
      <x:c r="H235" s="19" t="str">
        <x:v>HIGH</x:v>
      </x:c>
      <x:c r="I235" s="43" t="str">
        <x:v>Derived from controlled candidate metadata; no semantic evolution is asserted.</x:v>
      </x:c>
    </x:row>
    <x:row r="236" ht="32" customHeight="1">
      <x:c r="A236" s="40" t="str">
        <x:v>FT-REL-46389B04B58655</x:v>
      </x:c>
      <x:c r="B236" s="31" t="str">
        <x:v>FT-SEED-R1B-P-1842-22</x:v>
      </x:c>
      <x:c r="C236" s="31" t="str">
        <x:v>FT-SEED-R1B-P-1988-05</x:v>
      </x:c>
      <x:c r="D236" s="31" t="str">
        <x:v>SAME_LEXICAL_FAMILY</x:v>
      </x:c>
      <x:c r="E236" s="31" t="str">
        <x:v>COMPUTATIONAL_STRUCTURAL</x:v>
      </x:c>
      <x:c r="F236" s="31" t="str">
        <x:v>CROSS_ANCHOR</x:v>
      </x:c>
      <x:c r="G236" s="31" t="str">
        <x:v>Shared controlled lexical family</x:v>
      </x:c>
      <x:c r="H236" s="19" t="str">
        <x:v>HIGH</x:v>
      </x:c>
      <x:c r="I236" s="43" t="str">
        <x:v>Derived from controlled candidate metadata; no semantic evolution is asserted.</x:v>
      </x:c>
    </x:row>
    <x:row r="237" ht="32" customHeight="1">
      <x:c r="A237" s="40" t="str">
        <x:v>FT-REL-53AD0803FA26D3</x:v>
      </x:c>
      <x:c r="B237" s="31" t="str">
        <x:v>FT-SEED-R1B-P-1842-22</x:v>
      </x:c>
      <x:c r="C237" s="31" t="str">
        <x:v>FT-SEED-R1B-P-1988-09</x:v>
      </x:c>
      <x:c r="D237" s="31" t="str">
        <x:v>SAME_LEXICAL_FAMILY</x:v>
      </x:c>
      <x:c r="E237" s="31" t="str">
        <x:v>COMPUTATIONAL_STRUCTURAL</x:v>
      </x:c>
      <x:c r="F237" s="31" t="str">
        <x:v>CROSS_ANCHOR</x:v>
      </x:c>
      <x:c r="G237" s="31" t="str">
        <x:v>Shared controlled lexical family</x:v>
      </x:c>
      <x:c r="H237" s="19" t="str">
        <x:v>HIGH</x:v>
      </x:c>
      <x:c r="I237" s="43" t="str">
        <x:v>Derived from controlled candidate metadata; no semantic evolution is asserted.</x:v>
      </x:c>
    </x:row>
    <x:row r="238" ht="32" customHeight="1">
      <x:c r="A238" s="40" t="str">
        <x:v>FT-REL-5741FC942306B1</x:v>
      </x:c>
      <x:c r="B238" s="31" t="str">
        <x:v>FT-SEED-R1B-P-1842-22</x:v>
      </x:c>
      <x:c r="C238" s="31" t="str">
        <x:v>FT-SEED-R1B-P-1988-11</x:v>
      </x:c>
      <x:c r="D238" s="31" t="str">
        <x:v>SAME_LEXICAL_FAMILY</x:v>
      </x:c>
      <x:c r="E238" s="31" t="str">
        <x:v>COMPUTATIONAL_STRUCTURAL</x:v>
      </x:c>
      <x:c r="F238" s="31" t="str">
        <x:v>CROSS_ANCHOR</x:v>
      </x:c>
      <x:c r="G238" s="31" t="str">
        <x:v>Shared controlled lexical family</x:v>
      </x:c>
      <x:c r="H238" s="19" t="str">
        <x:v>HIGH</x:v>
      </x:c>
      <x:c r="I238" s="43" t="str">
        <x:v>Derived from controlled candidate metadata; no semantic evolution is asserted.</x:v>
      </x:c>
    </x:row>
    <x:row r="239" ht="32" customHeight="1">
      <x:c r="A239" s="40" t="str">
        <x:v>FT-REL-4A105A4F0313AA</x:v>
      </x:c>
      <x:c r="B239" s="31" t="str">
        <x:v>FT-SEED-R1B-P-1842-22</x:v>
      </x:c>
      <x:c r="C239" s="31" t="str">
        <x:v>FT-SEED-R1B-P-1988-18</x:v>
      </x:c>
      <x:c r="D239" s="31" t="str">
        <x:v>SAME_LEXICAL_FAMILY</x:v>
      </x:c>
      <x:c r="E239" s="31" t="str">
        <x:v>COMPUTATIONAL_STRUCTURAL</x:v>
      </x:c>
      <x:c r="F239" s="31" t="str">
        <x:v>CROSS_ANCHOR</x:v>
      </x:c>
      <x:c r="G239" s="31" t="str">
        <x:v>Shared controlled lexical family</x:v>
      </x:c>
      <x:c r="H239" s="19" t="str">
        <x:v>HIGH</x:v>
      </x:c>
      <x:c r="I239" s="43" t="str">
        <x:v>Derived from controlled candidate metadata; no semantic evolution is asserted.</x:v>
      </x:c>
    </x:row>
    <x:row r="240" ht="32" customHeight="1">
      <x:c r="A240" s="40" t="str">
        <x:v>FT-REL-92D53DB3605F12</x:v>
      </x:c>
      <x:c r="B240" s="31" t="str">
        <x:v>FT-SEED-R1B-P-1842-22</x:v>
      </x:c>
      <x:c r="C240" s="31" t="str">
        <x:v>FT-SEED-R1B-P-1988-20</x:v>
      </x:c>
      <x:c r="D240" s="31" t="str">
        <x:v>SAME_LEXICAL_FAMILY</x:v>
      </x:c>
      <x:c r="E240" s="31" t="str">
        <x:v>COMPUTATIONAL_STRUCTURAL</x:v>
      </x:c>
      <x:c r="F240" s="31" t="str">
        <x:v>CROSS_ANCHOR</x:v>
      </x:c>
      <x:c r="G240" s="31" t="str">
        <x:v>Shared controlled lexical family</x:v>
      </x:c>
      <x:c r="H240" s="19" t="str">
        <x:v>HIGH</x:v>
      </x:c>
      <x:c r="I240" s="43" t="str">
        <x:v>Derived from controlled candidate metadata; no semantic evolution is asserted.</x:v>
      </x:c>
    </x:row>
    <x:row r="241" ht="32" customHeight="1">
      <x:c r="A241" s="40" t="str">
        <x:v>FT-REL-AD4604149F71C0</x:v>
      </x:c>
      <x:c r="B241" s="31" t="str">
        <x:v>FT-SEED-R1B-P-1842-22</x:v>
      </x:c>
      <x:c r="C241" s="31" t="str">
        <x:v>FT-SEED-R1B-P-1988-22</x:v>
      </x:c>
      <x:c r="D241" s="31" t="str">
        <x:v>SAME_LEXICAL_FAMILY</x:v>
      </x:c>
      <x:c r="E241" s="31" t="str">
        <x:v>COMPUTATIONAL_STRUCTURAL</x:v>
      </x:c>
      <x:c r="F241" s="31" t="str">
        <x:v>CROSS_ANCHOR</x:v>
      </x:c>
      <x:c r="G241" s="31" t="str">
        <x:v>Shared controlled lexical family</x:v>
      </x:c>
      <x:c r="H241" s="19" t="str">
        <x:v>HIGH</x:v>
      </x:c>
      <x:c r="I241" s="43" t="str">
        <x:v>Derived from controlled candidate metadata; no semantic evolution is asserted.</x:v>
      </x:c>
    </x:row>
    <x:row r="242" ht="32" customHeight="1">
      <x:c r="A242" s="40" t="str">
        <x:v>FT-REL-3EE60E226DC266</x:v>
      </x:c>
      <x:c r="B242" s="31" t="str">
        <x:v>FT-SEED-R1B-P-1842-22</x:v>
      </x:c>
      <x:c r="C242" s="31" t="str">
        <x:v>FT-SEED-R1B-P-1988-25</x:v>
      </x:c>
      <x:c r="D242" s="31" t="str">
        <x:v>SAME_LEXICAL_FAMILY</x:v>
      </x:c>
      <x:c r="E242" s="31" t="str">
        <x:v>COMPUTATIONAL_STRUCTURAL</x:v>
      </x:c>
      <x:c r="F242" s="31" t="str">
        <x:v>CROSS_ANCHOR</x:v>
      </x:c>
      <x:c r="G242" s="31" t="str">
        <x:v>Shared controlled lexical family</x:v>
      </x:c>
      <x:c r="H242" s="19" t="str">
        <x:v>HIGH</x:v>
      </x:c>
      <x:c r="I242" s="43" t="str">
        <x:v>Derived from controlled candidate metadata; no semantic evolution is asserted.</x:v>
      </x:c>
    </x:row>
    <x:row r="243" ht="32" customHeight="1">
      <x:c r="A243" s="40" t="str">
        <x:v>FT-REL-75AB7EE69B6752</x:v>
      </x:c>
      <x:c r="B243" s="31" t="str">
        <x:v>FT-SEED-R1B-P-1842-22</x:v>
      </x:c>
      <x:c r="C243" s="31" t="str">
        <x:v>FT-SEED-R1B-P-1988-26</x:v>
      </x:c>
      <x:c r="D243" s="31" t="str">
        <x:v>SAME_LEXICAL_FAMILY</x:v>
      </x:c>
      <x:c r="E243" s="31" t="str">
        <x:v>COMPUTATIONAL_STRUCTURAL</x:v>
      </x:c>
      <x:c r="F243" s="31" t="str">
        <x:v>CROSS_ANCHOR</x:v>
      </x:c>
      <x:c r="G243" s="31" t="str">
        <x:v>Shared controlled lexical family</x:v>
      </x:c>
      <x:c r="H243" s="19" t="str">
        <x:v>HIGH</x:v>
      </x:c>
      <x:c r="I243" s="43" t="str">
        <x:v>Derived from controlled candidate metadata; no semantic evolution is asserted.</x:v>
      </x:c>
    </x:row>
    <x:row r="244" ht="32" customHeight="1">
      <x:c r="A244" s="40" t="str">
        <x:v>FT-REL-3A9559E6E5D272</x:v>
      </x:c>
      <x:c r="B244" s="31" t="str">
        <x:v>FT-SEED-R1B-P-1842-22</x:v>
      </x:c>
      <x:c r="C244" s="31" t="str">
        <x:v>FT-SEED-R1B-P-2015-08</x:v>
      </x:c>
      <x:c r="D244" s="31" t="str">
        <x:v>SAME_LEXICAL_FAMILY</x:v>
      </x:c>
      <x:c r="E244" s="31" t="str">
        <x:v>COMPUTATIONAL_STRUCTURAL</x:v>
      </x:c>
      <x:c r="F244" s="31" t="str">
        <x:v>CROSS_ANCHOR</x:v>
      </x:c>
      <x:c r="G244" s="31" t="str">
        <x:v>Shared controlled lexical family</x:v>
      </x:c>
      <x:c r="H244" s="19" t="str">
        <x:v>HIGH</x:v>
      </x:c>
      <x:c r="I244" s="43" t="str">
        <x:v>Derived from controlled candidate metadata; no semantic evolution is asserted.</x:v>
      </x:c>
    </x:row>
    <x:row r="245" ht="32" customHeight="1">
      <x:c r="A245" s="40" t="str">
        <x:v>FT-REL-C302E2E3AA0E71</x:v>
      </x:c>
      <x:c r="B245" s="31" t="str">
        <x:v>FT-SEED-R1B-P-1842-22</x:v>
      </x:c>
      <x:c r="C245" s="31" t="str">
        <x:v>FT-SEED-R1B-P-2015-11</x:v>
      </x:c>
      <x:c r="D245" s="31" t="str">
        <x:v>SAME_LEXICAL_FAMILY</x:v>
      </x:c>
      <x:c r="E245" s="31" t="str">
        <x:v>COMPUTATIONAL_STRUCTURAL</x:v>
      </x:c>
      <x:c r="F245" s="31" t="str">
        <x:v>CROSS_ANCHOR</x:v>
      </x:c>
      <x:c r="G245" s="31" t="str">
        <x:v>Shared controlled lexical family</x:v>
      </x:c>
      <x:c r="H245" s="19" t="str">
        <x:v>HIGH</x:v>
      </x:c>
      <x:c r="I245" s="43" t="str">
        <x:v>Derived from controlled candidate metadata; no semantic evolution is asserted.</x:v>
      </x:c>
    </x:row>
    <x:row r="246" ht="32" customHeight="1">
      <x:c r="A246" s="40" t="str">
        <x:v>FT-REL-29C06E5245651F</x:v>
      </x:c>
      <x:c r="B246" s="31" t="str">
        <x:v>FT-SEED-R1B-P-1842-22</x:v>
      </x:c>
      <x:c r="C246" s="31" t="str">
        <x:v>FT-SEED-R1B-P-2015-12</x:v>
      </x:c>
      <x:c r="D246" s="31" t="str">
        <x:v>SAME_LEXICAL_FAMILY</x:v>
      </x:c>
      <x:c r="E246" s="31" t="str">
        <x:v>COMPUTATIONAL_STRUCTURAL</x:v>
      </x:c>
      <x:c r="F246" s="31" t="str">
        <x:v>CROSS_ANCHOR</x:v>
      </x:c>
      <x:c r="G246" s="31" t="str">
        <x:v>Shared controlled lexical family</x:v>
      </x:c>
      <x:c r="H246" s="19" t="str">
        <x:v>HIGH</x:v>
      </x:c>
      <x:c r="I246" s="43" t="str">
        <x:v>Derived from controlled candidate metadata; no semantic evolution is asserted.</x:v>
      </x:c>
    </x:row>
    <x:row r="247" ht="32" customHeight="1">
      <x:c r="A247" s="40" t="str">
        <x:v>FT-REL-9B568F03B48F5B</x:v>
      </x:c>
      <x:c r="B247" s="31" t="str">
        <x:v>FT-SEED-R1B-P-1842-22</x:v>
      </x:c>
      <x:c r="C247" s="31" t="str">
        <x:v>FT-SEED-R1B-P-2015-13</x:v>
      </x:c>
      <x:c r="D247" s="31" t="str">
        <x:v>SAME_LEXICAL_FAMILY</x:v>
      </x:c>
      <x:c r="E247" s="31" t="str">
        <x:v>COMPUTATIONAL_STRUCTURAL</x:v>
      </x:c>
      <x:c r="F247" s="31" t="str">
        <x:v>CROSS_ANCHOR</x:v>
      </x:c>
      <x:c r="G247" s="31" t="str">
        <x:v>Shared controlled lexical family</x:v>
      </x:c>
      <x:c r="H247" s="19" t="str">
        <x:v>HIGH</x:v>
      </x:c>
      <x:c r="I247" s="43" t="str">
        <x:v>Derived from controlled candidate metadata; no semantic evolution is asserted.</x:v>
      </x:c>
    </x:row>
    <x:row r="248" ht="32" customHeight="1">
      <x:c r="A248" s="40" t="str">
        <x:v>FT-REL-D82A42BD58991E</x:v>
      </x:c>
      <x:c r="B248" s="31" t="str">
        <x:v>FT-SEED-R1B-P-1842-22</x:v>
      </x:c>
      <x:c r="C248" s="31" t="str">
        <x:v>FT-SEED-R1B-P-2015-14</x:v>
      </x:c>
      <x:c r="D248" s="31" t="str">
        <x:v>SAME_LEXICAL_FAMILY</x:v>
      </x:c>
      <x:c r="E248" s="31" t="str">
        <x:v>COMPUTATIONAL_STRUCTURAL</x:v>
      </x:c>
      <x:c r="F248" s="31" t="str">
        <x:v>CROSS_ANCHOR</x:v>
      </x:c>
      <x:c r="G248" s="31" t="str">
        <x:v>Shared controlled lexical family</x:v>
      </x:c>
      <x:c r="H248" s="19" t="str">
        <x:v>HIGH</x:v>
      </x:c>
      <x:c r="I248" s="43" t="str">
        <x:v>Derived from controlled candidate metadata; no semantic evolution is asserted.</x:v>
      </x:c>
    </x:row>
    <x:row r="249" ht="32" customHeight="1">
      <x:c r="A249" s="40" t="str">
        <x:v>FT-REL-A74D2EABA19F7F</x:v>
      </x:c>
      <x:c r="B249" s="31" t="str">
        <x:v>FT-SEED-R1B-P-1842-22</x:v>
      </x:c>
      <x:c r="C249" s="31" t="str">
        <x:v>FT-SEED-R1B-P-2015-15</x:v>
      </x:c>
      <x:c r="D249" s="31" t="str">
        <x:v>SAME_LEXICAL_FAMILY</x:v>
      </x:c>
      <x:c r="E249" s="31" t="str">
        <x:v>COMPUTATIONAL_STRUCTURAL</x:v>
      </x:c>
      <x:c r="F249" s="31" t="str">
        <x:v>CROSS_ANCHOR</x:v>
      </x:c>
      <x:c r="G249" s="31" t="str">
        <x:v>Shared controlled lexical family</x:v>
      </x:c>
      <x:c r="H249" s="19" t="str">
        <x:v>HIGH</x:v>
      </x:c>
      <x:c r="I249" s="43" t="str">
        <x:v>Derived from controlled candidate metadata; no semantic evolution is asserted.</x:v>
      </x:c>
    </x:row>
    <x:row r="250" ht="32" customHeight="1">
      <x:c r="A250" s="40" t="str">
        <x:v>FT-REL-D760A172A79E8F</x:v>
      </x:c>
      <x:c r="B250" s="31" t="str">
        <x:v>FT-SEED-R1B-P-1842-22</x:v>
      </x:c>
      <x:c r="C250" s="31" t="str">
        <x:v>FT-SEED-R1B-P-2015-16</x:v>
      </x:c>
      <x:c r="D250" s="31" t="str">
        <x:v>SAME_LEXICAL_FAMILY</x:v>
      </x:c>
      <x:c r="E250" s="31" t="str">
        <x:v>COMPUTATIONAL_STRUCTURAL</x:v>
      </x:c>
      <x:c r="F250" s="31" t="str">
        <x:v>CROSS_ANCHOR</x:v>
      </x:c>
      <x:c r="G250" s="31" t="str">
        <x:v>Shared controlled lexical family</x:v>
      </x:c>
      <x:c r="H250" s="19" t="str">
        <x:v>HIGH</x:v>
      </x:c>
      <x:c r="I250" s="43" t="str">
        <x:v>Derived from controlled candidate metadata; no semantic evolution is asserted.</x:v>
      </x:c>
    </x:row>
    <x:row r="251" ht="32" customHeight="1">
      <x:c r="A251" s="40" t="str">
        <x:v>FT-REL-A8CA152C846E23</x:v>
      </x:c>
      <x:c r="B251" s="31" t="str">
        <x:v>FT-SEED-R1B-P-1842-22</x:v>
      </x:c>
      <x:c r="C251" s="31" t="str">
        <x:v>FT-SEED-R1B-P-2015-18</x:v>
      </x:c>
      <x:c r="D251" s="31" t="str">
        <x:v>SAME_LEXICAL_FAMILY</x:v>
      </x:c>
      <x:c r="E251" s="31" t="str">
        <x:v>COMPUTATIONAL_STRUCTURAL</x:v>
      </x:c>
      <x:c r="F251" s="31" t="str">
        <x:v>CROSS_ANCHOR</x:v>
      </x:c>
      <x:c r="G251" s="31" t="str">
        <x:v>Shared controlled lexical family</x:v>
      </x:c>
      <x:c r="H251" s="19" t="str">
        <x:v>HIGH</x:v>
      </x:c>
      <x:c r="I251" s="43" t="str">
        <x:v>Derived from controlled candidate metadata; no semantic evolution is asserted.</x:v>
      </x:c>
    </x:row>
    <x:row r="252" ht="32" customHeight="1">
      <x:c r="A252" s="40" t="str">
        <x:v>FT-REL-BC16D91BBECA3A</x:v>
      </x:c>
      <x:c r="B252" s="31" t="str">
        <x:v>FT-SEED-R1B-P-1842-22</x:v>
      </x:c>
      <x:c r="C252" s="31" t="str">
        <x:v>FT-SEED-R1B-P-2015-20</x:v>
      </x:c>
      <x:c r="D252" s="31" t="str">
        <x:v>SAME_LEXICAL_FAMILY</x:v>
      </x:c>
      <x:c r="E252" s="31" t="str">
        <x:v>COMPUTATIONAL_STRUCTURAL</x:v>
      </x:c>
      <x:c r="F252" s="31" t="str">
        <x:v>CROSS_ANCHOR</x:v>
      </x:c>
      <x:c r="G252" s="31" t="str">
        <x:v>Shared controlled lexical family</x:v>
      </x:c>
      <x:c r="H252" s="19" t="str">
        <x:v>HIGH</x:v>
      </x:c>
      <x:c r="I252" s="43" t="str">
        <x:v>Derived from controlled candidate metadata; no semantic evolution is asserted.</x:v>
      </x:c>
    </x:row>
    <x:row r="253" ht="32" customHeight="1">
      <x:c r="A253" s="40" t="str">
        <x:v>FT-REL-22186298A46408</x:v>
      </x:c>
      <x:c r="B253" s="31" t="str">
        <x:v>FT-SEED-R1B-P-1842-22</x:v>
      </x:c>
      <x:c r="C253" s="31" t="str">
        <x:v>FT-SEED-R1B-P-2015-22</x:v>
      </x:c>
      <x:c r="D253" s="31" t="str">
        <x:v>SAME_LEXICAL_FAMILY</x:v>
      </x:c>
      <x:c r="E253" s="31" t="str">
        <x:v>COMPUTATIONAL_STRUCTURAL</x:v>
      </x:c>
      <x:c r="F253" s="31" t="str">
        <x:v>CROSS_ANCHOR</x:v>
      </x:c>
      <x:c r="G253" s="31" t="str">
        <x:v>Shared controlled lexical family</x:v>
      </x:c>
      <x:c r="H253" s="19" t="str">
        <x:v>HIGH</x:v>
      </x:c>
      <x:c r="I253" s="43" t="str">
        <x:v>Derived from controlled candidate metadata; no semantic evolution is asserted.</x:v>
      </x:c>
    </x:row>
    <x:row r="254" ht="32" customHeight="1">
      <x:c r="A254" s="40" t="str">
        <x:v>FT-REL-61178F5FDC7D4D</x:v>
      </x:c>
      <x:c r="B254" s="31" t="str">
        <x:v>FT-SEED-R1B-P-1842-22</x:v>
      </x:c>
      <x:c r="C254" s="31" t="str">
        <x:v>FT-SEED-R1B-P-2015-24</x:v>
      </x:c>
      <x:c r="D254" s="31" t="str">
        <x:v>SAME_LEXICAL_FAMILY</x:v>
      </x:c>
      <x:c r="E254" s="31" t="str">
        <x:v>COMPUTATIONAL_STRUCTURAL</x:v>
      </x:c>
      <x:c r="F254" s="31" t="str">
        <x:v>CROSS_ANCHOR</x:v>
      </x:c>
      <x:c r="G254" s="31" t="str">
        <x:v>Shared controlled lexical family</x:v>
      </x:c>
      <x:c r="H254" s="19" t="str">
        <x:v>HIGH</x:v>
      </x:c>
      <x:c r="I254" s="43" t="str">
        <x:v>Derived from controlled candidate metadata; no semantic evolution is asserted.</x:v>
      </x:c>
    </x:row>
    <x:row r="255" ht="32" customHeight="1">
      <x:c r="A255" s="40" t="str">
        <x:v>FT-REL-9B8CAFCE3FE549</x:v>
      </x:c>
      <x:c r="B255" s="31" t="str">
        <x:v>FT-SEED-R1B-P-1842-22</x:v>
      </x:c>
      <x:c r="C255" s="31" t="str">
        <x:v>FT-SEED-R1B-P-2015-27</x:v>
      </x:c>
      <x:c r="D255" s="31" t="str">
        <x:v>SAME_LEXICAL_FAMILY</x:v>
      </x:c>
      <x:c r="E255" s="31" t="str">
        <x:v>COMPUTATIONAL_STRUCTURAL</x:v>
      </x:c>
      <x:c r="F255" s="31" t="str">
        <x:v>CROSS_ANCHOR</x:v>
      </x:c>
      <x:c r="G255" s="31" t="str">
        <x:v>Shared controlled lexical family</x:v>
      </x:c>
      <x:c r="H255" s="19" t="str">
        <x:v>HIGH</x:v>
      </x:c>
      <x:c r="I255" s="43" t="str">
        <x:v>Derived from controlled candidate metadata; no semantic evolution is asserted.</x:v>
      </x:c>
    </x:row>
    <x:row r="256" ht="32" customHeight="1">
      <x:c r="A256" s="40" t="str">
        <x:v>FT-REL-81D63592FF22BD</x:v>
      </x:c>
      <x:c r="B256" s="31" t="str">
        <x:v>FT-SEED-R1B-P-1842-22</x:v>
      </x:c>
      <x:c r="C256" s="31" t="str">
        <x:v>FT-SEED-R1B-P-2015-28</x:v>
      </x:c>
      <x:c r="D256" s="31" t="str">
        <x:v>SAME_LEXICAL_FAMILY</x:v>
      </x:c>
      <x:c r="E256" s="31" t="str">
        <x:v>COMPUTATIONAL_STRUCTURAL</x:v>
      </x:c>
      <x:c r="F256" s="31" t="str">
        <x:v>CROSS_ANCHOR</x:v>
      </x:c>
      <x:c r="G256" s="31" t="str">
        <x:v>Shared controlled lexical family</x:v>
      </x:c>
      <x:c r="H256" s="19" t="str">
        <x:v>HIGH</x:v>
      </x:c>
      <x:c r="I256" s="43" t="str">
        <x:v>Derived from controlled candidate metadata; no semantic evolution is asserted.</x:v>
      </x:c>
    </x:row>
    <x:row r="257" ht="32" customHeight="1">
      <x:c r="A257" s="40" t="str">
        <x:v>FT-REL-57BAFA348C209C</x:v>
      </x:c>
      <x:c r="B257" s="31" t="str">
        <x:v>FT-SEED-R1B-P-1842-22</x:v>
      </x:c>
      <x:c r="C257" s="31" t="str">
        <x:v>FT-SEED-R1B-P-2015-29</x:v>
      </x:c>
      <x:c r="D257" s="31" t="str">
        <x:v>SAME_LEXICAL_FAMILY</x:v>
      </x:c>
      <x:c r="E257" s="31" t="str">
        <x:v>COMPUTATIONAL_STRUCTURAL</x:v>
      </x:c>
      <x:c r="F257" s="31" t="str">
        <x:v>CROSS_ANCHOR</x:v>
      </x:c>
      <x:c r="G257" s="31" t="str">
        <x:v>Shared controlled lexical family</x:v>
      </x:c>
      <x:c r="H257" s="19" t="str">
        <x:v>HIGH</x:v>
      </x:c>
      <x:c r="I257" s="43" t="str">
        <x:v>Derived from controlled candidate metadata; no semantic evolution is asserted.</x:v>
      </x:c>
    </x:row>
    <x:row r="258" ht="32" customHeight="1">
      <x:c r="A258" s="40" t="str">
        <x:v>FT-REL-52F0D2E1406796</x:v>
      </x:c>
      <x:c r="B258" s="31" t="str">
        <x:v>FT-SEED-R1B-P-1842-22</x:v>
      </x:c>
      <x:c r="C258" s="31" t="str">
        <x:v>FT-SEED-R1B-P-2022-24</x:v>
      </x:c>
      <x:c r="D258" s="31" t="str">
        <x:v>SAME_LEXICAL_FAMILY</x:v>
      </x:c>
      <x:c r="E258" s="31" t="str">
        <x:v>COMPUTATIONAL_STRUCTURAL</x:v>
      </x:c>
      <x:c r="F258" s="31" t="str">
        <x:v>CROSS_ANCHOR</x:v>
      </x:c>
      <x:c r="G258" s="31" t="str">
        <x:v>Shared controlled lexical family</x:v>
      </x:c>
      <x:c r="H258" s="19" t="str">
        <x:v>HIGH</x:v>
      </x:c>
      <x:c r="I258" s="43" t="str">
        <x:v>Derived from controlled candidate metadata; no semantic evolution is asserted.</x:v>
      </x:c>
    </x:row>
    <x:row r="259" ht="32" customHeight="1">
      <x:c r="A259" s="40" t="str">
        <x:v>FT-REL-761549C3AC15A9</x:v>
      </x:c>
      <x:c r="B259" s="31" t="str">
        <x:v>FT-SEED-R1B-P-1842-22</x:v>
      </x:c>
      <x:c r="C259" s="31" t="str">
        <x:v>FT-SEED-R1B-P-2022-26</x:v>
      </x:c>
      <x:c r="D259" s="31" t="str">
        <x:v>SAME_LEXICAL_FAMILY</x:v>
      </x:c>
      <x:c r="E259" s="31" t="str">
        <x:v>COMPUTATIONAL_STRUCTURAL</x:v>
      </x:c>
      <x:c r="F259" s="31" t="str">
        <x:v>CROSS_ANCHOR</x:v>
      </x:c>
      <x:c r="G259" s="31" t="str">
        <x:v>Shared controlled lexical family</x:v>
      </x:c>
      <x:c r="H259" s="19" t="str">
        <x:v>HIGH</x:v>
      </x:c>
      <x:c r="I259" s="43" t="str">
        <x:v>Derived from controlled candidate metadata; no semantic evolution is asserted.</x:v>
      </x:c>
    </x:row>
    <x:row r="260" ht="32" customHeight="1">
      <x:c r="A260" s="40" t="str">
        <x:v>FT-REL-4D0A3598B6BE0F</x:v>
      </x:c>
      <x:c r="B260" s="31" t="str">
        <x:v>FT-SEED-R1B-P-1842-22</x:v>
      </x:c>
      <x:c r="C260" s="31" t="str">
        <x:v>FT-SEED-R1B-P-2022-27</x:v>
      </x:c>
      <x:c r="D260" s="31" t="str">
        <x:v>SAME_LEXICAL_FAMILY</x:v>
      </x:c>
      <x:c r="E260" s="31" t="str">
        <x:v>COMPUTATIONAL_STRUCTURAL</x:v>
      </x:c>
      <x:c r="F260" s="31" t="str">
        <x:v>CROSS_ANCHOR</x:v>
      </x:c>
      <x:c r="G260" s="31" t="str">
        <x:v>Shared controlled lexical family</x:v>
      </x:c>
      <x:c r="H260" s="19" t="str">
        <x:v>HIGH</x:v>
      </x:c>
      <x:c r="I260" s="43" t="str">
        <x:v>Derived from controlled candidate metadata; no semantic evolution is asserted.</x:v>
      </x:c>
    </x:row>
    <x:row r="261" ht="32" customHeight="1">
      <x:c r="A261" s="40" t="str">
        <x:v>FT-REL-E37DAE73D8F618</x:v>
      </x:c>
      <x:c r="B261" s="31" t="str">
        <x:v>FT-SEED-R1B-P-1842-22</x:v>
      </x:c>
      <x:c r="C261" s="31" t="str">
        <x:v>FT-SEED-R1B-P-2022-29</x:v>
      </x:c>
      <x:c r="D261" s="31" t="str">
        <x:v>SAME_LEXICAL_FAMILY</x:v>
      </x:c>
      <x:c r="E261" s="31" t="str">
        <x:v>COMPUTATIONAL_STRUCTURAL</x:v>
      </x:c>
      <x:c r="F261" s="31" t="str">
        <x:v>CROSS_ANCHOR</x:v>
      </x:c>
      <x:c r="G261" s="31" t="str">
        <x:v>Shared controlled lexical family</x:v>
      </x:c>
      <x:c r="H261" s="19" t="str">
        <x:v>HIGH</x:v>
      </x:c>
      <x:c r="I261" s="43" t="str">
        <x:v>Derived from controlled candidate metadata; no semantic evolution is asserted.</x:v>
      </x:c>
    </x:row>
    <x:row r="262" ht="32" customHeight="1">
      <x:c r="A262" s="40" t="str">
        <x:v>FT-REL-F2DCC4405CE14C</x:v>
      </x:c>
      <x:c r="B262" s="31" t="str">
        <x:v>FT-SEED-R1B-P-1842-25</x:v>
      </x:c>
      <x:c r="C262" s="31" t="str">
        <x:v>FT-SEED-R1B-P-2022-07</x:v>
      </x:c>
      <x:c r="D262" s="31" t="str">
        <x:v>SAME_LEXICAL_FAMILY</x:v>
      </x:c>
      <x:c r="E262" s="31" t="str">
        <x:v>COMPUTATIONAL_STRUCTURAL</x:v>
      </x:c>
      <x:c r="F262" s="31" t="str">
        <x:v>CROSS_ANCHOR</x:v>
      </x:c>
      <x:c r="G262" s="31" t="str">
        <x:v>Shared controlled lexical family</x:v>
      </x:c>
      <x:c r="H262" s="19" t="str">
        <x:v>HIGH</x:v>
      </x:c>
      <x:c r="I262" s="43" t="str">
        <x:v>Derived from controlled candidate metadata; no semantic evolution is asserted.</x:v>
      </x:c>
    </x:row>
    <x:row r="263" ht="32" customHeight="1">
      <x:c r="A263" s="40" t="str">
        <x:v>FT-REL-2B16BF96D83F62</x:v>
      </x:c>
      <x:c r="B263" s="31" t="str">
        <x:v>FT-SEED-R1B-P-1842-25</x:v>
      </x:c>
      <x:c r="C263" s="31" t="str">
        <x:v>FT-SEED-R1B-P-2022-08</x:v>
      </x:c>
      <x:c r="D263" s="31" t="str">
        <x:v>SAME_LEXICAL_FAMILY</x:v>
      </x:c>
      <x:c r="E263" s="31" t="str">
        <x:v>COMPUTATIONAL_STRUCTURAL</x:v>
      </x:c>
      <x:c r="F263" s="31" t="str">
        <x:v>CROSS_ANCHOR</x:v>
      </x:c>
      <x:c r="G263" s="31" t="str">
        <x:v>Shared controlled lexical family</x:v>
      </x:c>
      <x:c r="H263" s="19" t="str">
        <x:v>HIGH</x:v>
      </x:c>
      <x:c r="I263" s="43" t="str">
        <x:v>Derived from controlled candidate metadata; no semantic evolution is asserted.</x:v>
      </x:c>
    </x:row>
    <x:row r="264" ht="32" customHeight="1">
      <x:c r="A264" s="40" t="str">
        <x:v>FT-REL-248427BCEE8CD0</x:v>
      </x:c>
      <x:c r="B264" s="31" t="str">
        <x:v>FT-SEED-R1B-P-1842-25</x:v>
      </x:c>
      <x:c r="C264" s="31" t="str">
        <x:v>FT-SEED-R1B-P-2022-09</x:v>
      </x:c>
      <x:c r="D264" s="31" t="str">
        <x:v>SAME_LEXICAL_FAMILY</x:v>
      </x:c>
      <x:c r="E264" s="31" t="str">
        <x:v>COMPUTATIONAL_STRUCTURAL</x:v>
      </x:c>
      <x:c r="F264" s="31" t="str">
        <x:v>CROSS_ANCHOR</x:v>
      </x:c>
      <x:c r="G264" s="31" t="str">
        <x:v>Shared controlled lexical family</x:v>
      </x:c>
      <x:c r="H264" s="19" t="str">
        <x:v>HIGH</x:v>
      </x:c>
      <x:c r="I264" s="43" t="str">
        <x:v>Derived from controlled candidate metadata; no semantic evolution is asserted.</x:v>
      </x:c>
    </x:row>
    <x:row r="265" ht="32" customHeight="1">
      <x:c r="A265" s="40" t="str">
        <x:v>FT-REL-694263C69D7110</x:v>
      </x:c>
      <x:c r="B265" s="31" t="str">
        <x:v>FT-SEED-R1B-P-1842-25</x:v>
      </x:c>
      <x:c r="C265" s="31" t="str">
        <x:v>FT-SEED-R1B-P-2022-10</x:v>
      </x:c>
      <x:c r="D265" s="31" t="str">
        <x:v>SAME_LEXICAL_FAMILY</x:v>
      </x:c>
      <x:c r="E265" s="31" t="str">
        <x:v>COMPUTATIONAL_STRUCTURAL</x:v>
      </x:c>
      <x:c r="F265" s="31" t="str">
        <x:v>CROSS_ANCHOR</x:v>
      </x:c>
      <x:c r="G265" s="31" t="str">
        <x:v>Shared controlled lexical family</x:v>
      </x:c>
      <x:c r="H265" s="19" t="str">
        <x:v>HIGH</x:v>
      </x:c>
      <x:c r="I265" s="43" t="str">
        <x:v>Derived from controlled candidate metadata; no semantic evolution is asserted.</x:v>
      </x:c>
    </x:row>
    <x:row r="266" ht="32" customHeight="1">
      <x:c r="A266" s="40" t="str">
        <x:v>FT-REL-01A122ED2F83AB</x:v>
      </x:c>
      <x:c r="B266" s="31" t="str">
        <x:v>FT-SEED-R1B-P-1842-25</x:v>
      </x:c>
      <x:c r="C266" s="31" t="str">
        <x:v>FT-SEED-R1B-P-2022-12</x:v>
      </x:c>
      <x:c r="D266" s="31" t="str">
        <x:v>SAME_LEXICAL_FAMILY</x:v>
      </x:c>
      <x:c r="E266" s="31" t="str">
        <x:v>COMPUTATIONAL_STRUCTURAL</x:v>
      </x:c>
      <x:c r="F266" s="31" t="str">
        <x:v>CROSS_ANCHOR</x:v>
      </x:c>
      <x:c r="G266" s="31" t="str">
        <x:v>Shared controlled lexical family</x:v>
      </x:c>
      <x:c r="H266" s="19" t="str">
        <x:v>HIGH</x:v>
      </x:c>
      <x:c r="I266" s="43" t="str">
        <x:v>Derived from controlled candidate metadata; no semantic evolution is asserted.</x:v>
      </x:c>
    </x:row>
    <x:row r="267" ht="32" customHeight="1">
      <x:c r="A267" s="40" t="str">
        <x:v>FT-REL-FE00BFE257E333</x:v>
      </x:c>
      <x:c r="B267" s="31" t="str">
        <x:v>FT-SEED-R1B-P-1842-25</x:v>
      </x:c>
      <x:c r="C267" s="31" t="str">
        <x:v>FT-SEED-R1B-P-2022-13</x:v>
      </x:c>
      <x:c r="D267" s="31" t="str">
        <x:v>SAME_LEXICAL_FAMILY</x:v>
      </x:c>
      <x:c r="E267" s="31" t="str">
        <x:v>COMPUTATIONAL_STRUCTURAL</x:v>
      </x:c>
      <x:c r="F267" s="31" t="str">
        <x:v>CROSS_ANCHOR</x:v>
      </x:c>
      <x:c r="G267" s="31" t="str">
        <x:v>Shared controlled lexical family</x:v>
      </x:c>
      <x:c r="H267" s="19" t="str">
        <x:v>HIGH</x:v>
      </x:c>
      <x:c r="I267" s="43" t="str">
        <x:v>Derived from controlled candidate metadata; no semantic evolution is asserted.</x:v>
      </x:c>
    </x:row>
    <x:row r="268" ht="32" customHeight="1">
      <x:c r="A268" s="40" t="str">
        <x:v>FT-REL-A97BFB1D28BC7E</x:v>
      </x:c>
      <x:c r="B268" s="31" t="str">
        <x:v>FT-SEED-R1B-P-1842-25</x:v>
      </x:c>
      <x:c r="C268" s="31" t="str">
        <x:v>FT-SEED-R1B-P-2022-14</x:v>
      </x:c>
      <x:c r="D268" s="31" t="str">
        <x:v>SAME_LEXICAL_FAMILY</x:v>
      </x:c>
      <x:c r="E268" s="31" t="str">
        <x:v>COMPUTATIONAL_STRUCTURAL</x:v>
      </x:c>
      <x:c r="F268" s="31" t="str">
        <x:v>CROSS_ANCHOR</x:v>
      </x:c>
      <x:c r="G268" s="31" t="str">
        <x:v>Shared controlled lexical family</x:v>
      </x:c>
      <x:c r="H268" s="19" t="str">
        <x:v>HIGH</x:v>
      </x:c>
      <x:c r="I268" s="43" t="str">
        <x:v>Derived from controlled candidate metadata; no semantic evolution is asserted.</x:v>
      </x:c>
    </x:row>
    <x:row r="269" ht="32" customHeight="1">
      <x:c r="A269" s="40" t="str">
        <x:v>FT-REL-FEB4FBDF864B8C</x:v>
      </x:c>
      <x:c r="B269" s="31" t="str">
        <x:v>FT-SEED-R1B-P-1842-25</x:v>
      </x:c>
      <x:c r="C269" s="31" t="str">
        <x:v>FT-SEED-R1B-P-2022-18</x:v>
      </x:c>
      <x:c r="D269" s="31" t="str">
        <x:v>SAME_LEXICAL_FAMILY</x:v>
      </x:c>
      <x:c r="E269" s="31" t="str">
        <x:v>COMPUTATIONAL_STRUCTURAL</x:v>
      </x:c>
      <x:c r="F269" s="31" t="str">
        <x:v>CROSS_ANCHOR</x:v>
      </x:c>
      <x:c r="G269" s="31" t="str">
        <x:v>Shared controlled lexical family</x:v>
      </x:c>
      <x:c r="H269" s="19" t="str">
        <x:v>HIGH</x:v>
      </x:c>
      <x:c r="I269" s="43" t="str">
        <x:v>Derived from controlled candidate metadata; no semantic evolution is asserted.</x:v>
      </x:c>
    </x:row>
    <x:row r="270" ht="32" customHeight="1">
      <x:c r="A270" s="40" t="str">
        <x:v>FT-REL-16B7205D292DB9</x:v>
      </x:c>
      <x:c r="B270" s="31" t="str">
        <x:v>FT-SEED-R1B-P-1842-25</x:v>
      </x:c>
      <x:c r="C270" s="31" t="str">
        <x:v>FT-SEED-R1B-P-2022-19</x:v>
      </x:c>
      <x:c r="D270" s="31" t="str">
        <x:v>SAME_LEXICAL_FAMILY</x:v>
      </x:c>
      <x:c r="E270" s="31" t="str">
        <x:v>COMPUTATIONAL_STRUCTURAL</x:v>
      </x:c>
      <x:c r="F270" s="31" t="str">
        <x:v>CROSS_ANCHOR</x:v>
      </x:c>
      <x:c r="G270" s="31" t="str">
        <x:v>Shared controlled lexical family</x:v>
      </x:c>
      <x:c r="H270" s="19" t="str">
        <x:v>HIGH</x:v>
      </x:c>
      <x:c r="I270" s="43" t="str">
        <x:v>Derived from controlled candidate metadata; no semantic evolution is asserted.</x:v>
      </x:c>
    </x:row>
    <x:row r="271" ht="32" customHeight="1">
      <x:c r="A271" s="40" t="str">
        <x:v>FT-REL-2F571CD5C5C954</x:v>
      </x:c>
      <x:c r="B271" s="31" t="str">
        <x:v>FT-SEED-R1B-P-1842-25</x:v>
      </x:c>
      <x:c r="C271" s="31" t="str">
        <x:v>FT-SEED-R1B-P-2022-20</x:v>
      </x:c>
      <x:c r="D271" s="31" t="str">
        <x:v>SAME_LEXICAL_FAMILY</x:v>
      </x:c>
      <x:c r="E271" s="31" t="str">
        <x:v>COMPUTATIONAL_STRUCTURAL</x:v>
      </x:c>
      <x:c r="F271" s="31" t="str">
        <x:v>CROSS_ANCHOR</x:v>
      </x:c>
      <x:c r="G271" s="31" t="str">
        <x:v>Shared controlled lexical family</x:v>
      </x:c>
      <x:c r="H271" s="19" t="str">
        <x:v>HIGH</x:v>
      </x:c>
      <x:c r="I271" s="43" t="str">
        <x:v>Derived from controlled candidate metadata; no semantic evolution is asserted.</x:v>
      </x:c>
    </x:row>
    <x:row r="272" ht="32" customHeight="1">
      <x:c r="A272" s="40" t="str">
        <x:v>FT-REL-34E634192B67B6</x:v>
      </x:c>
      <x:c r="B272" s="31" t="str">
        <x:v>FT-SEED-R1B-P-1842-25</x:v>
      </x:c>
      <x:c r="C272" s="31" t="str">
        <x:v>FT-SEED-R1B-P-2022-21</x:v>
      </x:c>
      <x:c r="D272" s="31" t="str">
        <x:v>SAME_LEXICAL_FAMILY</x:v>
      </x:c>
      <x:c r="E272" s="31" t="str">
        <x:v>COMPUTATIONAL_STRUCTURAL</x:v>
      </x:c>
      <x:c r="F272" s="31" t="str">
        <x:v>CROSS_ANCHOR</x:v>
      </x:c>
      <x:c r="G272" s="31" t="str">
        <x:v>Shared controlled lexical family</x:v>
      </x:c>
      <x:c r="H272" s="19" t="str">
        <x:v>HIGH</x:v>
      </x:c>
      <x:c r="I272" s="43" t="str">
        <x:v>Derived from controlled candidate metadata; no semantic evolution is asserted.</x:v>
      </x:c>
    </x:row>
    <x:row r="273" ht="32" customHeight="1">
      <x:c r="A273" s="40" t="str">
        <x:v>FT-REL-A8DB29B0856497</x:v>
      </x:c>
      <x:c r="B273" s="31" t="str">
        <x:v>FT-SEED-R1B-P-1842-30</x:v>
      </x:c>
      <x:c r="C273" s="31" t="str">
        <x:v>FT-SEED-R1B-P-1938-18</x:v>
      </x:c>
      <x:c r="D273" s="31" t="str">
        <x:v>SAME_LEXICAL_FAMILY</x:v>
      </x:c>
      <x:c r="E273" s="31" t="str">
        <x:v>COMPUTATIONAL_STRUCTURAL</x:v>
      </x:c>
      <x:c r="F273" s="31" t="str">
        <x:v>CROSS_ANCHOR</x:v>
      </x:c>
      <x:c r="G273" s="31" t="str">
        <x:v>Shared controlled lexical family</x:v>
      </x:c>
      <x:c r="H273" s="19" t="str">
        <x:v>HIGH</x:v>
      </x:c>
      <x:c r="I273" s="43" t="str">
        <x:v>Derived from controlled candidate metadata; no semantic evolution is asserted.</x:v>
      </x:c>
    </x:row>
    <x:row r="274" ht="32" customHeight="1">
      <x:c r="A274" s="40" t="str">
        <x:v>FT-REL-76846DBC23DB98</x:v>
      </x:c>
      <x:c r="B274" s="31" t="str">
        <x:v>FT-SEED-R1B-P-1842-30</x:v>
      </x:c>
      <x:c r="C274" s="31" t="str">
        <x:v>FT-SEED-R1B-P-1938-26</x:v>
      </x:c>
      <x:c r="D274" s="31" t="str">
        <x:v>SAME_LEXICAL_FAMILY</x:v>
      </x:c>
      <x:c r="E274" s="31" t="str">
        <x:v>COMPUTATIONAL_STRUCTURAL</x:v>
      </x:c>
      <x:c r="F274" s="31" t="str">
        <x:v>CROSS_ANCHOR</x:v>
      </x:c>
      <x:c r="G274" s="31" t="str">
        <x:v>Shared controlled lexical family</x:v>
      </x:c>
      <x:c r="H274" s="19" t="str">
        <x:v>HIGH</x:v>
      </x:c>
      <x:c r="I274" s="43" t="str">
        <x:v>Derived from controlled candidate metadata; no semantic evolution is asserted.</x:v>
      </x:c>
    </x:row>
    <x:row r="275" ht="32" customHeight="1">
      <x:c r="A275" s="40" t="str">
        <x:v>FT-REL-B0163433E4C02A</x:v>
      </x:c>
      <x:c r="B275" s="31" t="str">
        <x:v>FT-SEED-R1B-P-1842-30</x:v>
      </x:c>
      <x:c r="C275" s="31" t="str">
        <x:v>FT-SEED-R1B-P-1988-29</x:v>
      </x:c>
      <x:c r="D275" s="31" t="str">
        <x:v>SAME_LEXICAL_FAMILY</x:v>
      </x:c>
      <x:c r="E275" s="31" t="str">
        <x:v>COMPUTATIONAL_STRUCTURAL</x:v>
      </x:c>
      <x:c r="F275" s="31" t="str">
        <x:v>CROSS_ANCHOR</x:v>
      </x:c>
      <x:c r="G275" s="31" t="str">
        <x:v>Shared controlled lexical family</x:v>
      </x:c>
      <x:c r="H275" s="19" t="str">
        <x:v>HIGH</x:v>
      </x:c>
      <x:c r="I275" s="43" t="str">
        <x:v>Derived from controlled candidate metadata; no semantic evolution is asserted.</x:v>
      </x:c>
    </x:row>
    <x:row r="276" ht="32" customHeight="1">
      <x:c r="A276" s="40" t="str">
        <x:v>FT-REL-6D52503205474F</x:v>
      </x:c>
      <x:c r="B276" s="31" t="str">
        <x:v>FT-SEED-R1B-P-1842-30</x:v>
      </x:c>
      <x:c r="C276" s="31" t="str">
        <x:v>FT-SEED-R1B-P-2015-23</x:v>
      </x:c>
      <x:c r="D276" s="31" t="str">
        <x:v>SAME_LEXICAL_FAMILY</x:v>
      </x:c>
      <x:c r="E276" s="31" t="str">
        <x:v>COMPUTATIONAL_STRUCTURAL</x:v>
      </x:c>
      <x:c r="F276" s="31" t="str">
        <x:v>CROSS_ANCHOR</x:v>
      </x:c>
      <x:c r="G276" s="31" t="str">
        <x:v>Shared controlled lexical family</x:v>
      </x:c>
      <x:c r="H276" s="19" t="str">
        <x:v>HIGH</x:v>
      </x:c>
      <x:c r="I276" s="43" t="str">
        <x:v>Derived from controlled candidate metadata; no semantic evolution is asserted.</x:v>
      </x:c>
    </x:row>
    <x:row r="277" ht="32" customHeight="1">
      <x:c r="A277" s="40" t="str">
        <x:v>FT-REL-CAA5B6B20679D2</x:v>
      </x:c>
      <x:c r="B277" s="31" t="str">
        <x:v>FT-SEED-R1B-P-1842-30</x:v>
      </x:c>
      <x:c r="C277" s="31" t="str">
        <x:v>FT-SEED-R1B-P-2015-30</x:v>
      </x:c>
      <x:c r="D277" s="31" t="str">
        <x:v>SAME_LEXICAL_FAMILY</x:v>
      </x:c>
      <x:c r="E277" s="31" t="str">
        <x:v>COMPUTATIONAL_STRUCTURAL</x:v>
      </x:c>
      <x:c r="F277" s="31" t="str">
        <x:v>CROSS_ANCHOR</x:v>
      </x:c>
      <x:c r="G277" s="31" t="str">
        <x:v>Shared controlled lexical family</x:v>
      </x:c>
      <x:c r="H277" s="19" t="str">
        <x:v>HIGH</x:v>
      </x:c>
      <x:c r="I277" s="43" t="str">
        <x:v>Derived from controlled candidate metadata; no semantic evolution is asserted.</x:v>
      </x:c>
    </x:row>
    <x:row r="278" ht="32" customHeight="1">
      <x:c r="A278" s="40" t="str">
        <x:v>FT-REL-5B6E4D17C7412C</x:v>
      </x:c>
      <x:c r="B278" s="31" t="str">
        <x:v>FT-SEED-R1B-P-1842-30</x:v>
      </x:c>
      <x:c r="C278" s="31" t="str">
        <x:v>FT-SEED-R1B-P-2022-11</x:v>
      </x:c>
      <x:c r="D278" s="31" t="str">
        <x:v>SAME_LEXICAL_FAMILY</x:v>
      </x:c>
      <x:c r="E278" s="31" t="str">
        <x:v>COMPUTATIONAL_STRUCTURAL</x:v>
      </x:c>
      <x:c r="F278" s="31" t="str">
        <x:v>CROSS_ANCHOR</x:v>
      </x:c>
      <x:c r="G278" s="31" t="str">
        <x:v>Shared controlled lexical family</x:v>
      </x:c>
      <x:c r="H278" s="19" t="str">
        <x:v>HIGH</x:v>
      </x:c>
      <x:c r="I278" s="43" t="str">
        <x:v>Derived from controlled candidate metadata; no semantic evolution is asserted.</x:v>
      </x:c>
    </x:row>
    <x:row r="279" ht="32" customHeight="1">
      <x:c r="A279" s="40" t="str">
        <x:v>FT-REL-225FF1DE7A1DF2</x:v>
      </x:c>
      <x:c r="B279" s="31" t="str">
        <x:v>FT-SEED-R1B-P-1938-01</x:v>
      </x:c>
      <x:c r="C279" s="31" t="str">
        <x:v>FT-SEED-R1B-P-0607-08</x:v>
      </x:c>
      <x:c r="D279" s="31" t="str">
        <x:v>SAME_LEXICAL_FAMILY</x:v>
      </x:c>
      <x:c r="E279" s="31" t="str">
        <x:v>COMPUTATIONAL_STRUCTURAL</x:v>
      </x:c>
      <x:c r="F279" s="31" t="str">
        <x:v>CROSS_ANCHOR</x:v>
      </x:c>
      <x:c r="G279" s="31" t="str">
        <x:v>Shared controlled lexical family</x:v>
      </x:c>
      <x:c r="H279" s="19" t="str">
        <x:v>HIGH</x:v>
      </x:c>
      <x:c r="I279" s="43" t="str">
        <x:v>Derived from controlled candidate metadata; no semantic evolution is asserted.</x:v>
      </x:c>
    </x:row>
    <x:row r="280" ht="32" customHeight="1">
      <x:c r="A280" s="40" t="str">
        <x:v>FT-REL-02827C816FF07C</x:v>
      </x:c>
      <x:c r="B280" s="31" t="str">
        <x:v>FT-SEED-R1B-P-1938-01</x:v>
      </x:c>
      <x:c r="C280" s="31" t="str">
        <x:v>FT-SEED-R1B-P-0607-09</x:v>
      </x:c>
      <x:c r="D280" s="31" t="str">
        <x:v>SAME_LEXICAL_FAMILY</x:v>
      </x:c>
      <x:c r="E280" s="31" t="str">
        <x:v>COMPUTATIONAL_STRUCTURAL</x:v>
      </x:c>
      <x:c r="F280" s="31" t="str">
        <x:v>CROSS_ANCHOR</x:v>
      </x:c>
      <x:c r="G280" s="31" t="str">
        <x:v>Shared controlled lexical family</x:v>
      </x:c>
      <x:c r="H280" s="19" t="str">
        <x:v>HIGH</x:v>
      </x:c>
      <x:c r="I280" s="43" t="str">
        <x:v>Derived from controlled candidate metadata; no semantic evolution is asserted.</x:v>
      </x:c>
    </x:row>
    <x:row r="281" ht="32" customHeight="1">
      <x:c r="A281" s="40" t="str">
        <x:v>FT-REL-287053A18649AF</x:v>
      </x:c>
      <x:c r="B281" s="31" t="str">
        <x:v>FT-SEED-R1B-P-1938-01</x:v>
      </x:c>
      <x:c r="C281" s="31" t="str">
        <x:v>FT-SEED-R1B-P-1938-02</x:v>
      </x:c>
      <x:c r="D281" s="31" t="str">
        <x:v>SAME_LEXICAL_FAMILY</x:v>
      </x:c>
      <x:c r="E281" s="31" t="str">
        <x:v>COMPUTATIONAL_STRUCTURAL</x:v>
      </x:c>
      <x:c r="F281" s="31" t="str">
        <x:v>WITHIN_ANCHOR</x:v>
      </x:c>
      <x:c r="G281" s="31" t="str">
        <x:v>Shared controlled lexical family</x:v>
      </x:c>
      <x:c r="H281" s="19" t="str">
        <x:v>HIGH</x:v>
      </x:c>
      <x:c r="I281" s="43" t="str">
        <x:v>Derived from controlled candidate metadata; no semantic evolution is asserted.</x:v>
      </x:c>
    </x:row>
    <x:row r="282" ht="32" customHeight="1">
      <x:c r="A282" s="40" t="str">
        <x:v>FT-REL-D82D7E60FD826B</x:v>
      </x:c>
      <x:c r="B282" s="31" t="str">
        <x:v>FT-SEED-R1B-P-1938-01</x:v>
      </x:c>
      <x:c r="C282" s="31" t="str">
        <x:v>FT-SEED-R1B-P-1938-03</x:v>
      </x:c>
      <x:c r="D282" s="31" t="str">
        <x:v>SAME_LEXICAL_FAMILY</x:v>
      </x:c>
      <x:c r="E282" s="31" t="str">
        <x:v>COMPUTATIONAL_STRUCTURAL</x:v>
      </x:c>
      <x:c r="F282" s="31" t="str">
        <x:v>WITHIN_ANCHOR</x:v>
      </x:c>
      <x:c r="G282" s="31" t="str">
        <x:v>Shared controlled lexical family</x:v>
      </x:c>
      <x:c r="H282" s="19" t="str">
        <x:v>HIGH</x:v>
      </x:c>
      <x:c r="I282" s="43" t="str">
        <x:v>Derived from controlled candidate metadata; no semantic evolution is asserted.</x:v>
      </x:c>
    </x:row>
    <x:row r="283" ht="32" customHeight="1">
      <x:c r="A283" s="40" t="str">
        <x:v>FT-REL-75399924659C84</x:v>
      </x:c>
      <x:c r="B283" s="31" t="str">
        <x:v>FT-SEED-R1B-P-1938-01</x:v>
      </x:c>
      <x:c r="C283" s="31" t="str">
        <x:v>FT-SEED-R1B-P-1988-01</x:v>
      </x:c>
      <x:c r="D283" s="31" t="str">
        <x:v>SAME_LEXICAL_FAMILY</x:v>
      </x:c>
      <x:c r="E283" s="31" t="str">
        <x:v>COMPUTATIONAL_STRUCTURAL</x:v>
      </x:c>
      <x:c r="F283" s="31" t="str">
        <x:v>CROSS_ANCHOR</x:v>
      </x:c>
      <x:c r="G283" s="31" t="str">
        <x:v>Shared controlled lexical family</x:v>
      </x:c>
      <x:c r="H283" s="19" t="str">
        <x:v>HIGH</x:v>
      </x:c>
      <x:c r="I283" s="43" t="str">
        <x:v>Derived from controlled candidate metadata; no semantic evolution is asserted.</x:v>
      </x:c>
    </x:row>
    <x:row r="284" ht="32" customHeight="1">
      <x:c r="A284" s="40" t="str">
        <x:v>FT-REL-46A9DD89DECC77</x:v>
      </x:c>
      <x:c r="B284" s="31" t="str">
        <x:v>FT-SEED-R1B-P-1938-01</x:v>
      </x:c>
      <x:c r="C284" s="31" t="str">
        <x:v>FT-SEED-R1B-P-1988-27</x:v>
      </x:c>
      <x:c r="D284" s="31" t="str">
        <x:v>SAME_LEXICAL_FAMILY</x:v>
      </x:c>
      <x:c r="E284" s="31" t="str">
        <x:v>COMPUTATIONAL_STRUCTURAL</x:v>
      </x:c>
      <x:c r="F284" s="31" t="str">
        <x:v>CROSS_ANCHOR</x:v>
      </x:c>
      <x:c r="G284" s="31" t="str">
        <x:v>Shared controlled lexical family</x:v>
      </x:c>
      <x:c r="H284" s="19" t="str">
        <x:v>HIGH</x:v>
      </x:c>
      <x:c r="I284" s="43" t="str">
        <x:v>Derived from controlled candidate metadata; no semantic evolution is asserted.</x:v>
      </x:c>
    </x:row>
    <x:row r="285" ht="32" customHeight="1">
      <x:c r="A285" s="40" t="str">
        <x:v>FT-REL-78FA47D05AB5A0</x:v>
      </x:c>
      <x:c r="B285" s="31" t="str">
        <x:v>FT-SEED-R1B-P-1938-01</x:v>
      </x:c>
      <x:c r="C285" s="31" t="str">
        <x:v>FT-SEED-R1B-P-1988-30</x:v>
      </x:c>
      <x:c r="D285" s="31" t="str">
        <x:v>SAME_LEXICAL_FAMILY</x:v>
      </x:c>
      <x:c r="E285" s="31" t="str">
        <x:v>COMPUTATIONAL_STRUCTURAL</x:v>
      </x:c>
      <x:c r="F285" s="31" t="str">
        <x:v>CROSS_ANCHOR</x:v>
      </x:c>
      <x:c r="G285" s="31" t="str">
        <x:v>Shared controlled lexical family</x:v>
      </x:c>
      <x:c r="H285" s="19" t="str">
        <x:v>HIGH</x:v>
      </x:c>
      <x:c r="I285" s="43" t="str">
        <x:v>Derived from controlled candidate metadata; no semantic evolution is asserted.</x:v>
      </x:c>
    </x:row>
    <x:row r="286" ht="32" customHeight="1">
      <x:c r="A286" s="40" t="str">
        <x:v>FT-REL-5088FE6422DE06</x:v>
      </x:c>
      <x:c r="B286" s="31" t="str">
        <x:v>FT-SEED-R1B-P-1938-01</x:v>
      </x:c>
      <x:c r="C286" s="31" t="str">
        <x:v>FT-SEED-R1B-P-2015-10</x:v>
      </x:c>
      <x:c r="D286" s="31" t="str">
        <x:v>SAME_LEXICAL_FAMILY</x:v>
      </x:c>
      <x:c r="E286" s="31" t="str">
        <x:v>COMPUTATIONAL_STRUCTURAL</x:v>
      </x:c>
      <x:c r="F286" s="31" t="str">
        <x:v>CROSS_ANCHOR</x:v>
      </x:c>
      <x:c r="G286" s="31" t="str">
        <x:v>Shared controlled lexical family</x:v>
      </x:c>
      <x:c r="H286" s="19" t="str">
        <x:v>HIGH</x:v>
      </x:c>
      <x:c r="I286" s="43" t="str">
        <x:v>Derived from controlled candidate metadata; no semantic evolution is asserted.</x:v>
      </x:c>
    </x:row>
    <x:row r="287" ht="32" customHeight="1">
      <x:c r="A287" s="40" t="str">
        <x:v>FT-REL-8D6B0E1A061261</x:v>
      </x:c>
      <x:c r="B287" s="31" t="str">
        <x:v>FT-SEED-R1B-P-1938-14</x:v>
      </x:c>
      <x:c r="C287" s="31" t="str">
        <x:v>FT-SEED-R1B-P-0607-01</x:v>
      </x:c>
      <x:c r="D287" s="31" t="str">
        <x:v>SAME_LEXICAL_FAMILY</x:v>
      </x:c>
      <x:c r="E287" s="31" t="str">
        <x:v>COMPUTATIONAL_STRUCTURAL</x:v>
      </x:c>
      <x:c r="F287" s="31" t="str">
        <x:v>CROSS_ANCHOR</x:v>
      </x:c>
      <x:c r="G287" s="31" t="str">
        <x:v>Shared controlled lexical family</x:v>
      </x:c>
      <x:c r="H287" s="19" t="str">
        <x:v>HIGH</x:v>
      </x:c>
      <x:c r="I287" s="43" t="str">
        <x:v>Derived from controlled candidate metadata; no semantic evolution is asserted.</x:v>
      </x:c>
    </x:row>
    <x:row r="288" ht="32" customHeight="1">
      <x:c r="A288" s="40" t="str">
        <x:v>FT-REL-BB619C6C902594</x:v>
      </x:c>
      <x:c r="B288" s="31" t="str">
        <x:v>FT-SEED-R1B-P-1938-14</x:v>
      </x:c>
      <x:c r="C288" s="31" t="str">
        <x:v>FT-SEED-R1B-P-0607-05</x:v>
      </x:c>
      <x:c r="D288" s="31" t="str">
        <x:v>SAME_LEXICAL_FAMILY</x:v>
      </x:c>
      <x:c r="E288" s="31" t="str">
        <x:v>COMPUTATIONAL_STRUCTURAL</x:v>
      </x:c>
      <x:c r="F288" s="31" t="str">
        <x:v>CROSS_ANCHOR</x:v>
      </x:c>
      <x:c r="G288" s="31" t="str">
        <x:v>Shared controlled lexical family</x:v>
      </x:c>
      <x:c r="H288" s="19" t="str">
        <x:v>HIGH</x:v>
      </x:c>
      <x:c r="I288" s="43" t="str">
        <x:v>Derived from controlled candidate metadata; no semantic evolution is asserted.</x:v>
      </x:c>
    </x:row>
    <x:row r="289" ht="32" customHeight="1">
      <x:c r="A289" s="40" t="str">
        <x:v>FT-REL-DB6561E398CD93</x:v>
      </x:c>
      <x:c r="B289" s="31" t="str">
        <x:v>FT-SEED-R1B-P-1938-14</x:v>
      </x:c>
      <x:c r="C289" s="31" t="str">
        <x:v>FT-SEED-R1B-P-0607-11</x:v>
      </x:c>
      <x:c r="D289" s="31" t="str">
        <x:v>SAME_LEXICAL_FAMILY</x:v>
      </x:c>
      <x:c r="E289" s="31" t="str">
        <x:v>COMPUTATIONAL_STRUCTURAL</x:v>
      </x:c>
      <x:c r="F289" s="31" t="str">
        <x:v>CROSS_ANCHOR</x:v>
      </x:c>
      <x:c r="G289" s="31" t="str">
        <x:v>Shared controlled lexical family</x:v>
      </x:c>
      <x:c r="H289" s="19" t="str">
        <x:v>HIGH</x:v>
      </x:c>
      <x:c r="I289" s="43" t="str">
        <x:v>Derived from controlled candidate metadata; no semantic evolution is asserted.</x:v>
      </x:c>
    </x:row>
    <x:row r="290" ht="32" customHeight="1">
      <x:c r="A290" s="40" t="str">
        <x:v>FT-REL-B80394F09009EE</x:v>
      </x:c>
      <x:c r="B290" s="31" t="str">
        <x:v>FT-SEED-R1B-P-1938-14</x:v>
      </x:c>
      <x:c r="C290" s="31" t="str">
        <x:v>FT-SEED-R1B-P-1988-02</x:v>
      </x:c>
      <x:c r="D290" s="31" t="str">
        <x:v>SAME_LEXICAL_FAMILY</x:v>
      </x:c>
      <x:c r="E290" s="31" t="str">
        <x:v>COMPUTATIONAL_STRUCTURAL</x:v>
      </x:c>
      <x:c r="F290" s="31" t="str">
        <x:v>CROSS_ANCHOR</x:v>
      </x:c>
      <x:c r="G290" s="31" t="str">
        <x:v>Shared controlled lexical family</x:v>
      </x:c>
      <x:c r="H290" s="19" t="str">
        <x:v>HIGH</x:v>
      </x:c>
      <x:c r="I290" s="43" t="str">
        <x:v>Derived from controlled candidate metadata; no semantic evolution is asserted.</x:v>
      </x:c>
    </x:row>
    <x:row r="291" ht="32" customHeight="1">
      <x:c r="A291" s="40" t="str">
        <x:v>FT-REL-8C25C277A605FD</x:v>
      </x:c>
      <x:c r="B291" s="31" t="str">
        <x:v>FT-SEED-R1B-P-1938-14</x:v>
      </x:c>
      <x:c r="C291" s="31" t="str">
        <x:v>FT-SEED-R1B-P-1988-03</x:v>
      </x:c>
      <x:c r="D291" s="31" t="str">
        <x:v>SAME_LEXICAL_FAMILY</x:v>
      </x:c>
      <x:c r="E291" s="31" t="str">
        <x:v>COMPUTATIONAL_STRUCTURAL</x:v>
      </x:c>
      <x:c r="F291" s="31" t="str">
        <x:v>CROSS_ANCHOR</x:v>
      </x:c>
      <x:c r="G291" s="31" t="str">
        <x:v>Shared controlled lexical family</x:v>
      </x:c>
      <x:c r="H291" s="19" t="str">
        <x:v>HIGH</x:v>
      </x:c>
      <x:c r="I291" s="43" t="str">
        <x:v>Derived from controlled candidate metadata; no semantic evolution is asserted.</x:v>
      </x:c>
    </x:row>
    <x:row r="292" ht="32" customHeight="1">
      <x:c r="A292" s="40" t="str">
        <x:v>FT-REL-2AC7C13B711DD7</x:v>
      </x:c>
      <x:c r="B292" s="31" t="str">
        <x:v>FT-SEED-R1B-P-1938-14</x:v>
      </x:c>
      <x:c r="C292" s="31" t="str">
        <x:v>FT-SEED-R1B-P-1988-17</x:v>
      </x:c>
      <x:c r="D292" s="31" t="str">
        <x:v>SAME_LEXICAL_FAMILY</x:v>
      </x:c>
      <x:c r="E292" s="31" t="str">
        <x:v>COMPUTATIONAL_STRUCTURAL</x:v>
      </x:c>
      <x:c r="F292" s="31" t="str">
        <x:v>CROSS_ANCHOR</x:v>
      </x:c>
      <x:c r="G292" s="31" t="str">
        <x:v>Shared controlled lexical family</x:v>
      </x:c>
      <x:c r="H292" s="19" t="str">
        <x:v>HIGH</x:v>
      </x:c>
      <x:c r="I292" s="43" t="str">
        <x:v>Derived from controlled candidate metadata; no semantic evolution is asserted.</x:v>
      </x:c>
    </x:row>
    <x:row r="293" ht="32" customHeight="1">
      <x:c r="A293" s="40" t="str">
        <x:v>FT-REL-950FEC7AF7F349</x:v>
      </x:c>
      <x:c r="B293" s="31" t="str">
        <x:v>FT-SEED-R1B-P-1938-14</x:v>
      </x:c>
      <x:c r="C293" s="31" t="str">
        <x:v>FT-SEED-R1B-P-1988-28</x:v>
      </x:c>
      <x:c r="D293" s="31" t="str">
        <x:v>SAME_LEXICAL_FAMILY</x:v>
      </x:c>
      <x:c r="E293" s="31" t="str">
        <x:v>COMPUTATIONAL_STRUCTURAL</x:v>
      </x:c>
      <x:c r="F293" s="31" t="str">
        <x:v>CROSS_ANCHOR</x:v>
      </x:c>
      <x:c r="G293" s="31" t="str">
        <x:v>Shared controlled lexical family</x:v>
      </x:c>
      <x:c r="H293" s="19" t="str">
        <x:v>HIGH</x:v>
      </x:c>
      <x:c r="I293" s="43" t="str">
        <x:v>Derived from controlled candidate metadata; no semantic evolution is asserted.</x:v>
      </x:c>
    </x:row>
    <x:row r="294" ht="32" customHeight="1">
      <x:c r="A294" s="40" t="str">
        <x:v>FT-REL-11FA350B68F77F</x:v>
      </x:c>
      <x:c r="B294" s="31" t="str">
        <x:v>FT-SEED-R1B-P-1938-14</x:v>
      </x:c>
      <x:c r="C294" s="31" t="str">
        <x:v>FT-SEED-R1B-P-2022-02</x:v>
      </x:c>
      <x:c r="D294" s="31" t="str">
        <x:v>SAME_LEXICAL_FAMILY</x:v>
      </x:c>
      <x:c r="E294" s="31" t="str">
        <x:v>COMPUTATIONAL_STRUCTURAL</x:v>
      </x:c>
      <x:c r="F294" s="31" t="str">
        <x:v>CROSS_ANCHOR</x:v>
      </x:c>
      <x:c r="G294" s="31" t="str">
        <x:v>Shared controlled lexical family</x:v>
      </x:c>
      <x:c r="H294" s="19" t="str">
        <x:v>HIGH</x:v>
      </x:c>
      <x:c r="I294" s="43" t="str">
        <x:v>Derived from controlled candidate metadata; no semantic evolution is asserted.</x:v>
      </x:c>
    </x:row>
    <x:row r="295" ht="32" customHeight="1">
      <x:c r="A295" s="40" t="str">
        <x:v>FT-REL-053FC0DB5EF850</x:v>
      </x:c>
      <x:c r="B295" s="31" t="str">
        <x:v>FT-SEED-R1B-P-1938-17</x:v>
      </x:c>
      <x:c r="C295" s="31" t="str">
        <x:v>FT-SEED-R1B-P-0607-12</x:v>
      </x:c>
      <x:c r="D295" s="31" t="str">
        <x:v>SAME_LEXICAL_FAMILY</x:v>
      </x:c>
      <x:c r="E295" s="31" t="str">
        <x:v>COMPUTATIONAL_STRUCTURAL</x:v>
      </x:c>
      <x:c r="F295" s="31" t="str">
        <x:v>CROSS_ANCHOR</x:v>
      </x:c>
      <x:c r="G295" s="31" t="str">
        <x:v>Shared controlled lexical family</x:v>
      </x:c>
      <x:c r="H295" s="19" t="str">
        <x:v>HIGH</x:v>
      </x:c>
      <x:c r="I295" s="43" t="str">
        <x:v>Derived from controlled candidate metadata; no semantic evolution is asserted.</x:v>
      </x:c>
    </x:row>
    <x:row r="296" ht="32" customHeight="1">
      <x:c r="A296" s="40" t="str">
        <x:v>FT-REL-68DD7F8A853DBE</x:v>
      </x:c>
      <x:c r="B296" s="31" t="str">
        <x:v>FT-SEED-R1B-P-1938-17</x:v>
      </x:c>
      <x:c r="C296" s="31" t="str">
        <x:v>FT-SEED-R1B-P-0607-25</x:v>
      </x:c>
      <x:c r="D296" s="31" t="str">
        <x:v>SAME_LEXICAL_FAMILY</x:v>
      </x:c>
      <x:c r="E296" s="31" t="str">
        <x:v>COMPUTATIONAL_STRUCTURAL</x:v>
      </x:c>
      <x:c r="F296" s="31" t="str">
        <x:v>CROSS_ANCHOR</x:v>
      </x:c>
      <x:c r="G296" s="31" t="str">
        <x:v>Shared controlled lexical family</x:v>
      </x:c>
      <x:c r="H296" s="19" t="str">
        <x:v>HIGH</x:v>
      </x:c>
      <x:c r="I296" s="43" t="str">
        <x:v>Derived from controlled candidate metadata; no semantic evolution is asserted.</x:v>
      </x:c>
    </x:row>
    <x:row r="297" ht="32" customHeight="1">
      <x:c r="A297" s="40" t="str">
        <x:v>FT-REL-CB81606D38C132</x:v>
      </x:c>
      <x:c r="B297" s="31" t="str">
        <x:v>FT-SEED-R1B-P-1938-17</x:v>
      </x:c>
      <x:c r="C297" s="31" t="str">
        <x:v>FT-SEED-R1B-P-0607-26</x:v>
      </x:c>
      <x:c r="D297" s="31" t="str">
        <x:v>SAME_LEXICAL_FAMILY</x:v>
      </x:c>
      <x:c r="E297" s="31" t="str">
        <x:v>COMPUTATIONAL_STRUCTURAL</x:v>
      </x:c>
      <x:c r="F297" s="31" t="str">
        <x:v>CROSS_ANCHOR</x:v>
      </x:c>
      <x:c r="G297" s="31" t="str">
        <x:v>Shared controlled lexical family</x:v>
      </x:c>
      <x:c r="H297" s="19" t="str">
        <x:v>HIGH</x:v>
      </x:c>
      <x:c r="I297" s="43" t="str">
        <x:v>Derived from controlled candidate metadata; no semantic evolution is asserted.</x:v>
      </x:c>
    </x:row>
    <x:row r="298" ht="32" customHeight="1">
      <x:c r="A298" s="40" t="str">
        <x:v>FT-REL-9AA29C687C354D</x:v>
      </x:c>
      <x:c r="B298" s="31" t="str">
        <x:v>FT-SEED-R1B-P-1938-17</x:v>
      </x:c>
      <x:c r="C298" s="31" t="str">
        <x:v>FT-SEED-R1B-P-0607-27</x:v>
      </x:c>
      <x:c r="D298" s="31" t="str">
        <x:v>SAME_LEXICAL_FAMILY</x:v>
      </x:c>
      <x:c r="E298" s="31" t="str">
        <x:v>COMPUTATIONAL_STRUCTURAL</x:v>
      </x:c>
      <x:c r="F298" s="31" t="str">
        <x:v>CROSS_ANCHOR</x:v>
      </x:c>
      <x:c r="G298" s="31" t="str">
        <x:v>Shared controlled lexical family</x:v>
      </x:c>
      <x:c r="H298" s="19" t="str">
        <x:v>HIGH</x:v>
      </x:c>
      <x:c r="I298" s="43" t="str">
        <x:v>Derived from controlled candidate metadata; no semantic evolution is asserted.</x:v>
      </x:c>
    </x:row>
    <x:row r="299" ht="32" customHeight="1">
      <x:c r="A299" s="40" t="str">
        <x:v>FT-REL-BC8182CB8D36CE</x:v>
      </x:c>
      <x:c r="B299" s="31" t="str">
        <x:v>FT-SEED-R1B-P-1938-17</x:v>
      </x:c>
      <x:c r="C299" s="31" t="str">
        <x:v>FT-SEED-R1B-P-0607-30</x:v>
      </x:c>
      <x:c r="D299" s="31" t="str">
        <x:v>SAME_LEXICAL_FAMILY</x:v>
      </x:c>
      <x:c r="E299" s="31" t="str">
        <x:v>COMPUTATIONAL_STRUCTURAL</x:v>
      </x:c>
      <x:c r="F299" s="31" t="str">
        <x:v>CROSS_ANCHOR</x:v>
      </x:c>
      <x:c r="G299" s="31" t="str">
        <x:v>Shared controlled lexical family</x:v>
      </x:c>
      <x:c r="H299" s="19" t="str">
        <x:v>HIGH</x:v>
      </x:c>
      <x:c r="I299" s="43" t="str">
        <x:v>Derived from controlled candidate metadata; no semantic evolution is asserted.</x:v>
      </x:c>
    </x:row>
    <x:row r="300" ht="32" customHeight="1">
      <x:c r="A300" s="40" t="str">
        <x:v>FT-REL-A984346156430D</x:v>
      </x:c>
      <x:c r="B300" s="31" t="str">
        <x:v>FT-SEED-R1B-P-1938-17</x:v>
      </x:c>
      <x:c r="C300" s="31" t="str">
        <x:v>FT-SEED-R1B-P-1988-16</x:v>
      </x:c>
      <x:c r="D300" s="31" t="str">
        <x:v>SAME_LEXICAL_FAMILY</x:v>
      </x:c>
      <x:c r="E300" s="31" t="str">
        <x:v>COMPUTATIONAL_STRUCTURAL</x:v>
      </x:c>
      <x:c r="F300" s="31" t="str">
        <x:v>CROSS_ANCHOR</x:v>
      </x:c>
      <x:c r="G300" s="31" t="str">
        <x:v>Shared controlled lexical family</x:v>
      </x:c>
      <x:c r="H300" s="19" t="str">
        <x:v>HIGH</x:v>
      </x:c>
      <x:c r="I300" s="43" t="str">
        <x:v>Derived from controlled candidate metadata; no semantic evolution is asserted.</x:v>
      </x:c>
    </x:row>
    <x:row r="301" ht="32" customHeight="1">
      <x:c r="A301" s="40" t="str">
        <x:v>FT-REL-F72EA0C12EC39B</x:v>
      </x:c>
      <x:c r="B301" s="31" t="str">
        <x:v>FT-SEED-R1B-P-1938-17</x:v>
      </x:c>
      <x:c r="C301" s="31" t="str">
        <x:v>FT-SEED-R1B-P-1988-19</x:v>
      </x:c>
      <x:c r="D301" s="31" t="str">
        <x:v>SAME_LEXICAL_FAMILY</x:v>
      </x:c>
      <x:c r="E301" s="31" t="str">
        <x:v>COMPUTATIONAL_STRUCTURAL</x:v>
      </x:c>
      <x:c r="F301" s="31" t="str">
        <x:v>CROSS_ANCHOR</x:v>
      </x:c>
      <x:c r="G301" s="31" t="str">
        <x:v>Shared controlled lexical family</x:v>
      </x:c>
      <x:c r="H301" s="19" t="str">
        <x:v>HIGH</x:v>
      </x:c>
      <x:c r="I301" s="43" t="str">
        <x:v>Derived from controlled candidate metadata; no semantic evolution is asserted.</x:v>
      </x:c>
    </x:row>
    <x:row r="302" ht="32" customHeight="1">
      <x:c r="A302" s="40" t="str">
        <x:v>FT-REL-B6E79699587521</x:v>
      </x:c>
      <x:c r="B302" s="31" t="str">
        <x:v>FT-SEED-R1B-P-1938-17</x:v>
      </x:c>
      <x:c r="C302" s="31" t="str">
        <x:v>FT-SEED-R1B-P-1988-21</x:v>
      </x:c>
      <x:c r="D302" s="31" t="str">
        <x:v>SAME_LEXICAL_FAMILY</x:v>
      </x:c>
      <x:c r="E302" s="31" t="str">
        <x:v>COMPUTATIONAL_STRUCTURAL</x:v>
      </x:c>
      <x:c r="F302" s="31" t="str">
        <x:v>CROSS_ANCHOR</x:v>
      </x:c>
      <x:c r="G302" s="31" t="str">
        <x:v>Shared controlled lexical family</x:v>
      </x:c>
      <x:c r="H302" s="19" t="str">
        <x:v>HIGH</x:v>
      </x:c>
      <x:c r="I302" s="43" t="str">
        <x:v>Derived from controlled candidate metadata; no semantic evolution is asserted.</x:v>
      </x:c>
    </x:row>
    <x:row r="303" ht="32" customHeight="1">
      <x:c r="A303" s="40" t="str">
        <x:v>FT-REL-DEA125A7477C31</x:v>
      </x:c>
      <x:c r="B303" s="31" t="str">
        <x:v>FT-SEED-R1B-P-1938-17</x:v>
      </x:c>
      <x:c r="C303" s="31" t="str">
        <x:v>FT-SEED-R1B-P-2022-28</x:v>
      </x:c>
      <x:c r="D303" s="31" t="str">
        <x:v>SAME_LEXICAL_FAMILY</x:v>
      </x:c>
      <x:c r="E303" s="31" t="str">
        <x:v>COMPUTATIONAL_STRUCTURAL</x:v>
      </x:c>
      <x:c r="F303" s="31" t="str">
        <x:v>CROSS_ANCHOR</x:v>
      </x:c>
      <x:c r="G303" s="31" t="str">
        <x:v>Shared controlled lexical family</x:v>
      </x:c>
      <x:c r="H303" s="19" t="str">
        <x:v>HIGH</x:v>
      </x:c>
      <x:c r="I303" s="43" t="str">
        <x:v>Derived from controlled candidate metadata; no semantic evolution is asserted.</x:v>
      </x:c>
    </x:row>
    <x:row r="304" ht="32" customHeight="1">
      <x:c r="A304" s="40" t="str">
        <x:v>FT-REL-74269B127967C8</x:v>
      </x:c>
      <x:c r="B304" s="31" t="str">
        <x:v>FT-SEED-R1B-P-1988-23</x:v>
      </x:c>
      <x:c r="C304" s="31" t="str">
        <x:v>FT-SEED-R1B-P-2015-07</x:v>
      </x:c>
      <x:c r="D304" s="31" t="str">
        <x:v>SAME_LEXICAL_FAMILY</x:v>
      </x:c>
      <x:c r="E304" s="31" t="str">
        <x:v>COMPUTATIONAL_STRUCTURAL</x:v>
      </x:c>
      <x:c r="F304" s="31" t="str">
        <x:v>CROSS_ANCHOR</x:v>
      </x:c>
      <x:c r="G304" s="31" t="str">
        <x:v>Shared controlled lexical family</x:v>
      </x:c>
      <x:c r="H304" s="19" t="str">
        <x:v>HIGH</x:v>
      </x:c>
      <x:c r="I304" s="43" t="str">
        <x:v>Derived from controlled candidate metadata; no semantic evolution is asserted.</x:v>
      </x:c>
    </x:row>
    <x:row r="305" ht="32" customHeight="1">
      <x:c r="A305" s="40" t="str">
        <x:v>FT-REL-DC110469F1E53E</x:v>
      </x:c>
      <x:c r="B305" s="31" t="str">
        <x:v>FT-SEED-R1B-P-1988-23</x:v>
      </x:c>
      <x:c r="C305" s="31" t="str">
        <x:v>FT-SEED-R1B-P-2015-17</x:v>
      </x:c>
      <x:c r="D305" s="31" t="str">
        <x:v>SAME_LEXICAL_FAMILY</x:v>
      </x:c>
      <x:c r="E305" s="31" t="str">
        <x:v>COMPUTATIONAL_STRUCTURAL</x:v>
      </x:c>
      <x:c r="F305" s="31" t="str">
        <x:v>CROSS_ANCHOR</x:v>
      </x:c>
      <x:c r="G305" s="31" t="str">
        <x:v>Shared controlled lexical family</x:v>
      </x:c>
      <x:c r="H305" s="19" t="str">
        <x:v>HIGH</x:v>
      </x:c>
      <x:c r="I305" s="43" t="str">
        <x:v>Derived from controlled candidate metadata; no semantic evolution is asserted.</x:v>
      </x:c>
    </x:row>
    <x:row r="306" ht="32" customHeight="1">
      <x:c r="A306" s="40" t="str">
        <x:v>FT-REL-6B28C65F8A0F40</x:v>
      </x:c>
      <x:c r="B306" s="31" t="str">
        <x:v>FT-SEED-R1B-P-1988-23</x:v>
      </x:c>
      <x:c r="C306" s="31" t="str">
        <x:v>FT-SEED-R1B-P-2015-21</x:v>
      </x:c>
      <x:c r="D306" s="31" t="str">
        <x:v>SAME_LEXICAL_FAMILY</x:v>
      </x:c>
      <x:c r="E306" s="31" t="str">
        <x:v>COMPUTATIONAL_STRUCTURAL</x:v>
      </x:c>
      <x:c r="F306" s="31" t="str">
        <x:v>CROSS_ANCHOR</x:v>
      </x:c>
      <x:c r="G306" s="31" t="str">
        <x:v>Shared controlled lexical family</x:v>
      </x:c>
      <x:c r="H306" s="19" t="str">
        <x:v>HIGH</x:v>
      </x:c>
      <x:c r="I306" s="43" t="str">
        <x:v>Derived from controlled candidate metadata; no semantic evolution is asserted.</x:v>
      </x:c>
    </x:row>
    <x:row r="307" ht="32" customHeight="1">
      <x:c r="A307" s="40" t="str">
        <x:v>FT-REL-A8831E4DA4EA7A</x:v>
      </x:c>
      <x:c r="B307" s="31" t="str">
        <x:v>FT-SEED-R1B-P-1988-24</x:v>
      </x:c>
      <x:c r="C307" s="31" t="str">
        <x:v>FT-SEED-R1B-P-2015-19</x:v>
      </x:c>
      <x:c r="D307" s="31" t="str">
        <x:v>SAME_LEXICAL_FAMILY</x:v>
      </x:c>
      <x:c r="E307" s="31" t="str">
        <x:v>COMPUTATIONAL_STRUCTURAL</x:v>
      </x:c>
      <x:c r="F307" s="31" t="str">
        <x:v>CROSS_ANCHOR</x:v>
      </x:c>
      <x:c r="G307" s="31" t="str">
        <x:v>Shared controlled lexical family</x:v>
      </x:c>
      <x:c r="H307" s="19" t="str">
        <x:v>HIGH</x:v>
      </x:c>
      <x:c r="I307" s="43" t="str">
        <x:v>Derived from controlled candidate metadata; no semantic evolution is asserted.</x:v>
      </x:c>
    </x:row>
    <x:row r="308" ht="32" customHeight="1">
      <x:c r="A308" s="40" t="str">
        <x:v>FT-REL-9BE8B04B72CE0A</x:v>
      </x:c>
      <x:c r="B308" s="31" t="str">
        <x:v>FT-SEED-R1B-P-1988-24</x:v>
      </x:c>
      <x:c r="C308" s="31" t="str">
        <x:v>FT-SEED-R1B-P-2022-30</x:v>
      </x:c>
      <x:c r="D308" s="31" t="str">
        <x:v>SAME_LEXICAL_FAMILY</x:v>
      </x:c>
      <x:c r="E308" s="31" t="str">
        <x:v>COMPUTATIONAL_STRUCTURAL</x:v>
      </x:c>
      <x:c r="F308" s="31" t="str">
        <x:v>CROSS_ANCHOR</x:v>
      </x:c>
      <x:c r="G308" s="31" t="str">
        <x:v>Shared controlled lexical family</x:v>
      </x:c>
      <x:c r="H308" s="19" t="str">
        <x:v>HIGH</x:v>
      </x:c>
      <x:c r="I308" s="43" t="str">
        <x:v>Derived from controlled candidate metadata; no semantic evolution is asserted.</x:v>
      </x:c>
    </x:row>
    <x:row r="309" ht="32" customHeight="1">
      <x:c r="A309" s="40" t="str">
        <x:v>FT-REL-68FFC5A20F82C8</x:v>
      </x:c>
      <x:c r="B309" s="31" t="str">
        <x:v>FT-SEED-R1B-P-2022-06</x:v>
      </x:c>
      <x:c r="C309" s="31" t="str">
        <x:v>FT-SEED-R1B-P-2022-15</x:v>
      </x:c>
      <x:c r="D309" s="31" t="str">
        <x:v>SAME_LEXICAL_FAMILY</x:v>
      </x:c>
      <x:c r="E309" s="31" t="str">
        <x:v>COMPUTATIONAL_STRUCTURAL</x:v>
      </x:c>
      <x:c r="F309" s="31" t="str">
        <x:v>WITHIN_ANCHOR</x:v>
      </x:c>
      <x:c r="G309" s="31" t="str">
        <x:v>Shared controlled lexical family</x:v>
      </x:c>
      <x:c r="H309" s="19" t="str">
        <x:v>HIGH</x:v>
      </x:c>
      <x:c r="I309" s="43" t="str">
        <x:v>Derived from controlled candidate metadata; no semantic evolution is asserted.</x:v>
      </x:c>
    </x:row>
    <x:row r="310" ht="32" customHeight="1">
      <x:c r="A310" s="40" t="str">
        <x:v>FT-REL-905B94F723CAFD</x:v>
      </x:c>
      <x:c r="B310" s="31" t="str">
        <x:v>FT-SEED-R1B-P-2022-06</x:v>
      </x:c>
      <x:c r="C310" s="31" t="str">
        <x:v>FT-SEED-R1B-P-2022-16</x:v>
      </x:c>
      <x:c r="D310" s="31" t="str">
        <x:v>SAME_LEXICAL_FAMILY</x:v>
      </x:c>
      <x:c r="E310" s="31" t="str">
        <x:v>COMPUTATIONAL_STRUCTURAL</x:v>
      </x:c>
      <x:c r="F310" s="31" t="str">
        <x:v>WITHIN_ANCHOR</x:v>
      </x:c>
      <x:c r="G310" s="31" t="str">
        <x:v>Shared controlled lexical family</x:v>
      </x:c>
      <x:c r="H310" s="19" t="str">
        <x:v>HIGH</x:v>
      </x:c>
      <x:c r="I310" s="43" t="str">
        <x:v>Derived from controlled candidate metadata; no semantic evolution is asserted.</x:v>
      </x:c>
    </x:row>
    <x:row r="311" ht="32" customHeight="1">
      <x:c r="A311" s="40" t="str">
        <x:v>FT-REL-85BEB013FAAD73</x:v>
      </x:c>
      <x:c r="B311" s="31" t="str">
        <x:v>FT-SEED-R1B-P-2022-06</x:v>
      </x:c>
      <x:c r="C311" s="31" t="str">
        <x:v>FT-SEED-R1B-P-2022-17</x:v>
      </x:c>
      <x:c r="D311" s="31" t="str">
        <x:v>SAME_LEXICAL_FAMILY</x:v>
      </x:c>
      <x:c r="E311" s="31" t="str">
        <x:v>COMPUTATIONAL_STRUCTURAL</x:v>
      </x:c>
      <x:c r="F311" s="31" t="str">
        <x:v>WITHIN_ANCHOR</x:v>
      </x:c>
      <x:c r="G311" s="31" t="str">
        <x:v>Shared controlled lexical family</x:v>
      </x:c>
      <x:c r="H311" s="19" t="str">
        <x:v>HIGH</x:v>
      </x:c>
      <x:c r="I311" s="43" t="str">
        <x:v>Derived from controlled candidate metadata; no semantic evolution is asserted.</x:v>
      </x:c>
    </x:row>
    <x:row r="312" ht="32" customHeight="1">
      <x:c r="A312" s="40" t="str">
        <x:v>FT-REL-76BD5D5020726C</x:v>
      </x:c>
      <x:c r="B312" s="31" t="str">
        <x:v>FT-SEED-R1B-P-2022-06</x:v>
      </x:c>
      <x:c r="C312" s="31" t="str">
        <x:v>FT-SEED-R1B-P-2022-25</x:v>
      </x:c>
      <x:c r="D312" s="31" t="str">
        <x:v>SAME_LEXICAL_FAMILY</x:v>
      </x:c>
      <x:c r="E312" s="31" t="str">
        <x:v>COMPUTATIONAL_STRUCTURAL</x:v>
      </x:c>
      <x:c r="F312" s="31" t="str">
        <x:v>WITHIN_ANCHOR</x:v>
      </x:c>
      <x:c r="G312" s="31" t="str">
        <x:v>Shared controlled lexical family</x:v>
      </x:c>
      <x:c r="H312" s="19" t="str">
        <x:v>HIGH</x:v>
      </x:c>
      <x:c r="I312" s="43" t="str">
        <x:v>Derived from controlled candidate metadata; no semantic evolution is asserted.</x:v>
      </x:c>
    </x:row>
    <x:row r="313" ht="32" customHeight="1">
      <x:c r="A313" s="40" t="str">
        <x:v>FT-REL-F9B1A7B33FC299</x:v>
      </x:c>
      <x:c r="B313" s="31" t="str">
        <x:v>FT-SEED-R1B-P-0607-10</x:v>
      </x:c>
      <x:c r="C313" s="31" t="str">
        <x:v>FT-SEED-R1B-P-2015-01</x:v>
      </x:c>
      <x:c r="D313" s="31" t="str">
        <x:v>SAME_SURFACE_FORM</x:v>
      </x:c>
      <x:c r="E313" s="31" t="str">
        <x:v>COMPUTATIONAL_STRUCTURAL</x:v>
      </x:c>
      <x:c r="F313" s="31" t="str">
        <x:v>CROSS_ANCHOR</x:v>
      </x:c>
      <x:c r="G313" s="31" t="str">
        <x:v>Normalized lexical form equality</x:v>
      </x:c>
      <x:c r="H313" s="19" t="str">
        <x:v>HIGH</x:v>
      </x:c>
      <x:c r="I313" s="43" t="str">
        <x:v>Derived from controlled candidate metadata; no semantic evolution is asserted.</x:v>
      </x:c>
    </x:row>
    <x:row r="314" ht="32" customHeight="1">
      <x:c r="A314" s="40" t="str">
        <x:v>FT-REL-436EE11F6E593E</x:v>
      </x:c>
      <x:c r="B314" s="31" t="str">
        <x:v>FT-SEED-R1B-P-0607-10</x:v>
      </x:c>
      <x:c r="C314" s="31" t="str">
        <x:v>FT-SEED-R1B-P-2022-01</x:v>
      </x:c>
      <x:c r="D314" s="31" t="str">
        <x:v>SAME_SURFACE_FORM</x:v>
      </x:c>
      <x:c r="E314" s="31" t="str">
        <x:v>COMPUTATIONAL_STRUCTURAL</x:v>
      </x:c>
      <x:c r="F314" s="31" t="str">
        <x:v>CROSS_ANCHOR</x:v>
      </x:c>
      <x:c r="G314" s="31" t="str">
        <x:v>Normalized lexical form equality</x:v>
      </x:c>
      <x:c r="H314" s="19" t="str">
        <x:v>HIGH</x:v>
      </x:c>
      <x:c r="I314" s="43" t="str">
        <x:v>Derived from controlled candidate metadata; no semantic evolution is asserted.</x:v>
      </x:c>
    </x:row>
    <x:row r="315" ht="32" customHeight="1">
      <x:c r="A315" s="40" t="str">
        <x:v>FT-REL-C548FADAF23330</x:v>
      </x:c>
      <x:c r="B315" s="31" t="str">
        <x:v>FT-SEED-R1B-P-1842-02</x:v>
      </x:c>
      <x:c r="C315" s="31" t="str">
        <x:v>FT-SEED-R1B-P-1938-10</x:v>
      </x:c>
      <x:c r="D315" s="31" t="str">
        <x:v>SAME_SURFACE_FORM</x:v>
      </x:c>
      <x:c r="E315" s="31" t="str">
        <x:v>COMPUTATIONAL_STRUCTURAL</x:v>
      </x:c>
      <x:c r="F315" s="31" t="str">
        <x:v>CROSS_ANCHOR</x:v>
      </x:c>
      <x:c r="G315" s="31" t="str">
        <x:v>Normalized lexical form equality</x:v>
      </x:c>
      <x:c r="H315" s="19" t="str">
        <x:v>HIGH</x:v>
      </x:c>
      <x:c r="I315" s="43" t="str">
        <x:v>Derived from controlled candidate metadata; no semantic evolution is asserted.</x:v>
      </x:c>
    </x:row>
    <x:row r="316" ht="32" customHeight="1">
      <x:c r="A316" s="40" t="str">
        <x:v>FT-REL-771024166F4CE8</x:v>
      </x:c>
      <x:c r="B316" s="31" t="str">
        <x:v>FT-SEED-R1B-P-1938-21</x:v>
      </x:c>
      <x:c r="C316" s="31" t="str">
        <x:v>FT-SEED-R1B-P-1988-08</x:v>
      </x:c>
      <x:c r="D316" s="31" t="str">
        <x:v>SAME_SURFACE_FORM</x:v>
      </x:c>
      <x:c r="E316" s="31" t="str">
        <x:v>COMPUTATIONAL_STRUCTURAL</x:v>
      </x:c>
      <x:c r="F316" s="31" t="str">
        <x:v>CROSS_ANCHOR</x:v>
      </x:c>
      <x:c r="G316" s="31" t="str">
        <x:v>Normalized lexical form equality</x:v>
      </x:c>
      <x:c r="H316" s="19" t="str">
        <x:v>HIGH</x:v>
      </x:c>
      <x:c r="I316" s="43" t="str">
        <x:v>Derived from controlled candidate metadata; no semantic evolution is asserted.</x:v>
      </x:c>
    </x:row>
    <x:row r="317" ht="32" customHeight="1">
      <x:c r="A317" s="40" t="str">
        <x:v>FT-REL-F703D9C9D856AF</x:v>
      </x:c>
      <x:c r="B317" s="31" t="str">
        <x:v>FT-SEED-R1B-P-1938-28</x:v>
      </x:c>
      <x:c r="C317" s="31" t="str">
        <x:v>FT-SEED-R1B-P-1988-09</x:v>
      </x:c>
      <x:c r="D317" s="31" t="str">
        <x:v>SAME_SURFACE_FORM</x:v>
      </x:c>
      <x:c r="E317" s="31" t="str">
        <x:v>COMPUTATIONAL_STRUCTURAL</x:v>
      </x:c>
      <x:c r="F317" s="31" t="str">
        <x:v>CROSS_ANCHOR</x:v>
      </x:c>
      <x:c r="G317" s="31" t="str">
        <x:v>Normalized lexical form equality</x:v>
      </x:c>
      <x:c r="H317" s="19" t="str">
        <x:v>HIGH</x:v>
      </x:c>
      <x:c r="I317" s="43" t="str">
        <x:v>Derived from controlled candidate metadata; no semantic evolution is asserted.</x:v>
      </x:c>
    </x:row>
    <x:row r="318" ht="32" customHeight="1">
      <x:c r="A318" s="40" t="str">
        <x:v>FT-REL-1890BB46FC99CC</x:v>
      </x:c>
      <x:c r="B318" s="31" t="str">
        <x:v>FT-SEED-R1B-P-1988-02</x:v>
      </x:c>
      <x:c r="C318" s="31" t="str">
        <x:v>FT-SEED-R1B-P-0607-11</x:v>
      </x:c>
      <x:c r="D318" s="31" t="str">
        <x:v>SAME_SURFACE_FORM</x:v>
      </x:c>
      <x:c r="E318" s="31" t="str">
        <x:v>COMPUTATIONAL_STRUCTURAL</x:v>
      </x:c>
      <x:c r="F318" s="31" t="str">
        <x:v>CROSS_ANCHOR</x:v>
      </x:c>
      <x:c r="G318" s="31" t="str">
        <x:v>Normalized lexical form equality</x:v>
      </x:c>
      <x:c r="H318" s="19" t="str">
        <x:v>HIGH</x:v>
      </x:c>
      <x:c r="I318" s="43" t="str">
        <x:v>Derived from controlled candidate metadata; no semantic evolution is asserted.</x:v>
      </x:c>
    </x:row>
    <x:row r="319" ht="32" customHeight="1">
      <x:c r="A319" s="40" t="str">
        <x:v>FT-REL-A7FF8D5A1A9919</x:v>
      </x:c>
      <x:c r="B319" s="31" t="str">
        <x:v>FT-SEED-R1B-P-1988-02</x:v>
      </x:c>
      <x:c r="C319" s="31" t="str">
        <x:v>FT-SEED-R1B-P-2022-02</x:v>
      </x:c>
      <x:c r="D319" s="31" t="str">
        <x:v>SAME_SURFACE_FORM</x:v>
      </x:c>
      <x:c r="E319" s="31" t="str">
        <x:v>COMPUTATIONAL_STRUCTURAL</x:v>
      </x:c>
      <x:c r="F319" s="31" t="str">
        <x:v>CROSS_ANCHOR</x:v>
      </x:c>
      <x:c r="G319" s="31" t="str">
        <x:v>Normalized lexical form equality</x:v>
      </x:c>
      <x:c r="H319" s="19" t="str">
        <x:v>HIGH</x:v>
      </x:c>
      <x:c r="I319" s="43" t="str">
        <x:v>Derived from controlled candidate metadata; no semantic evolution is asserted.</x:v>
      </x:c>
    </x:row>
    <x:row r="320" ht="32" customHeight="1">
      <x:c r="A320" s="40" t="str">
        <x:v>FT-REL-86CA48FEA2B9A3</x:v>
      </x:c>
      <x:c r="B320" s="31" t="str">
        <x:v>FT-SEED-R1B-P-2015-25</x:v>
      </x:c>
      <x:c r="C320" s="31" t="str">
        <x:v>FT-SEED-R1B-P-2022-03</x:v>
      </x:c>
      <x:c r="D320" s="31" t="str">
        <x:v>SAME_SURFACE_FORM</x:v>
      </x:c>
      <x:c r="E320" s="31" t="str">
        <x:v>COMPUTATIONAL_STRUCTURAL</x:v>
      </x:c>
      <x:c r="F320" s="31" t="str">
        <x:v>CROSS_ANCHOR</x:v>
      </x:c>
      <x:c r="G320" s="31" t="str">
        <x:v>Normalized lexical form equality</x:v>
      </x:c>
      <x:c r="H320" s="19" t="str">
        <x:v>HIGH</x:v>
      </x:c>
      <x:c r="I320" s="43" t="str">
        <x:v>Derived from controlled candidate metadata; no semantic evolution is asserted.</x:v>
      </x:c>
    </x:row>
    <x:row r="321" ht="32" customHeight="1">
      <x:c r="A321" s="40" t="str">
        <x:v>FT-REL-351F248D94E04B</x:v>
      </x:c>
      <x:c r="B321" s="31" t="str">
        <x:v>FT-SEED-R1B-P-2015-26</x:v>
      </x:c>
      <x:c r="C321" s="31" t="str">
        <x:v>FT-SEED-R1B-P-2022-04</x:v>
      </x:c>
      <x:c r="D321" s="31" t="str">
        <x:v>SAME_SURFACE_FORM</x:v>
      </x:c>
      <x:c r="E321" s="31" t="str">
        <x:v>COMPUTATIONAL_STRUCTURAL</x:v>
      </x:c>
      <x:c r="F321" s="31" t="str">
        <x:v>CROSS_ANCHOR</x:v>
      </x:c>
      <x:c r="G321" s="31" t="str">
        <x:v>Normalized lexical form equality</x:v>
      </x:c>
      <x:c r="H321" s="19" t="str">
        <x:v>HIGH</x:v>
      </x:c>
      <x:c r="I321" s="43" t="str">
        <x:v>Derived from controlled candidate metadata; no semantic evolution is asserted.</x:v>
      </x:c>
    </x:row>
    <x:row r="322" ht="32" customHeight="1">
      <x:c r="A322" s="40" t="str">
        <x:v>FT-REL-C7955D56C11C55</x:v>
      </x:c>
      <x:c r="B322" s="31" t="str">
        <x:v>FT-SEED-R1B-P-0607-10</x:v>
      </x:c>
      <x:c r="C322" s="31" t="str">
        <x:v>FT-SEED-R1B-P-2015-01</x:v>
      </x:c>
      <x:c r="D322" s="31" t="str">
        <x:v>SHARES_NGRAM_MEASUREMENT</x:v>
      </x:c>
      <x:c r="E322" s="31" t="str">
        <x:v>COMPUTATIONAL_STRUCTURAL</x:v>
      </x:c>
      <x:c r="F322" s="31" t="str">
        <x:v>CROSS_ANCHOR</x:v>
      </x:c>
      <x:c r="G322" s="31" t="str">
        <x:v>Shared deduplicated Ngram measurement ID</x:v>
      </x:c>
      <x:c r="H322" s="19" t="str">
        <x:v>HIGH</x:v>
      </x:c>
      <x:c r="I322" s="43" t="str">
        <x:v>Derived from controlled candidate metadata; no semantic evolution is asserted.</x:v>
      </x:c>
    </x:row>
    <x:row r="323" ht="32" customHeight="1">
      <x:c r="A323" s="40" t="str">
        <x:v>FT-REL-4AC46F1A917094</x:v>
      </x:c>
      <x:c r="B323" s="31" t="str">
        <x:v>FT-SEED-R1B-P-0607-10</x:v>
      </x:c>
      <x:c r="C323" s="31" t="str">
        <x:v>FT-SEED-R1B-P-2022-01</x:v>
      </x:c>
      <x:c r="D323" s="31" t="str">
        <x:v>SHARES_NGRAM_MEASUREMENT</x:v>
      </x:c>
      <x:c r="E323" s="31" t="str">
        <x:v>COMPUTATIONAL_STRUCTURAL</x:v>
      </x:c>
      <x:c r="F323" s="31" t="str">
        <x:v>CROSS_ANCHOR</x:v>
      </x:c>
      <x:c r="G323" s="31" t="str">
        <x:v>Shared deduplicated Ngram measurement ID</x:v>
      </x:c>
      <x:c r="H323" s="19" t="str">
        <x:v>HIGH</x:v>
      </x:c>
      <x:c r="I323" s="43" t="str">
        <x:v>Derived from controlled candidate metadata; no semantic evolution is asserted.</x:v>
      </x:c>
    </x:row>
    <x:row r="324" ht="32" customHeight="1">
      <x:c r="A324" s="40" t="str">
        <x:v>FT-REL-9EF3A90A69F616</x:v>
      </x:c>
      <x:c r="B324" s="31" t="str">
        <x:v>FT-SEED-R1B-P-1842-02</x:v>
      </x:c>
      <x:c r="C324" s="31" t="str">
        <x:v>FT-SEED-R1B-P-1938-10</x:v>
      </x:c>
      <x:c r="D324" s="31" t="str">
        <x:v>SHARES_NGRAM_MEASUREMENT</x:v>
      </x:c>
      <x:c r="E324" s="31" t="str">
        <x:v>COMPUTATIONAL_STRUCTURAL</x:v>
      </x:c>
      <x:c r="F324" s="31" t="str">
        <x:v>CROSS_ANCHOR</x:v>
      </x:c>
      <x:c r="G324" s="31" t="str">
        <x:v>Shared deduplicated Ngram measurement ID</x:v>
      </x:c>
      <x:c r="H324" s="19" t="str">
        <x:v>HIGH</x:v>
      </x:c>
      <x:c r="I324" s="43" t="str">
        <x:v>Derived from controlled candidate metadata; no semantic evolution is asserted.</x:v>
      </x:c>
    </x:row>
    <x:row r="325" ht="32" customHeight="1">
      <x:c r="A325" s="40" t="str">
        <x:v>FT-REL-FE01DEBE508B3D</x:v>
      </x:c>
      <x:c r="B325" s="31" t="str">
        <x:v>FT-SEED-R1B-P-1938-21</x:v>
      </x:c>
      <x:c r="C325" s="31" t="str">
        <x:v>FT-SEED-R1B-P-1988-08</x:v>
      </x:c>
      <x:c r="D325" s="31" t="str">
        <x:v>SHARES_NGRAM_MEASUREMENT</x:v>
      </x:c>
      <x:c r="E325" s="31" t="str">
        <x:v>COMPUTATIONAL_STRUCTURAL</x:v>
      </x:c>
      <x:c r="F325" s="31" t="str">
        <x:v>CROSS_ANCHOR</x:v>
      </x:c>
      <x:c r="G325" s="31" t="str">
        <x:v>Shared deduplicated Ngram measurement ID</x:v>
      </x:c>
      <x:c r="H325" s="19" t="str">
        <x:v>HIGH</x:v>
      </x:c>
      <x:c r="I325" s="43" t="str">
        <x:v>Derived from controlled candidate metadata; no semantic evolution is asserted.</x:v>
      </x:c>
    </x:row>
    <x:row r="326" ht="32" customHeight="1">
      <x:c r="A326" s="40" t="str">
        <x:v>FT-REL-0F617D1AE75F94</x:v>
      </x:c>
      <x:c r="B326" s="31" t="str">
        <x:v>FT-SEED-R1B-P-1938-28</x:v>
      </x:c>
      <x:c r="C326" s="31" t="str">
        <x:v>FT-SEED-R1B-P-1988-09</x:v>
      </x:c>
      <x:c r="D326" s="31" t="str">
        <x:v>SHARES_NGRAM_MEASUREMENT</x:v>
      </x:c>
      <x:c r="E326" s="31" t="str">
        <x:v>COMPUTATIONAL_STRUCTURAL</x:v>
      </x:c>
      <x:c r="F326" s="31" t="str">
        <x:v>CROSS_ANCHOR</x:v>
      </x:c>
      <x:c r="G326" s="31" t="str">
        <x:v>Shared deduplicated Ngram measurement ID</x:v>
      </x:c>
      <x:c r="H326" s="19" t="str">
        <x:v>HIGH</x:v>
      </x:c>
      <x:c r="I326" s="43" t="str">
        <x:v>Derived from controlled candidate metadata; no semantic evolution is asserted.</x:v>
      </x:c>
    </x:row>
    <x:row r="327" ht="32" customHeight="1">
      <x:c r="A327" s="40" t="str">
        <x:v>FT-REL-B5BEA62FAE6B10</x:v>
      </x:c>
      <x:c r="B327" s="31" t="str">
        <x:v>FT-SEED-R1B-P-1988-02</x:v>
      </x:c>
      <x:c r="C327" s="31" t="str">
        <x:v>FT-SEED-R1B-P-0607-11</x:v>
      </x:c>
      <x:c r="D327" s="31" t="str">
        <x:v>SHARES_NGRAM_MEASUREMENT</x:v>
      </x:c>
      <x:c r="E327" s="31" t="str">
        <x:v>COMPUTATIONAL_STRUCTURAL</x:v>
      </x:c>
      <x:c r="F327" s="31" t="str">
        <x:v>CROSS_ANCHOR</x:v>
      </x:c>
      <x:c r="G327" s="31" t="str">
        <x:v>Shared deduplicated Ngram measurement ID</x:v>
      </x:c>
      <x:c r="H327" s="19" t="str">
        <x:v>HIGH</x:v>
      </x:c>
      <x:c r="I327" s="43" t="str">
        <x:v>Derived from controlled candidate metadata; no semantic evolution is asserted.</x:v>
      </x:c>
    </x:row>
    <x:row r="328" ht="32" customHeight="1">
      <x:c r="A328" s="40" t="str">
        <x:v>FT-REL-168BC492857C64</x:v>
      </x:c>
      <x:c r="B328" s="31" t="str">
        <x:v>FT-SEED-R1B-P-1988-02</x:v>
      </x:c>
      <x:c r="C328" s="31" t="str">
        <x:v>FT-SEED-R1B-P-2022-02</x:v>
      </x:c>
      <x:c r="D328" s="31" t="str">
        <x:v>SHARES_NGRAM_MEASUREMENT</x:v>
      </x:c>
      <x:c r="E328" s="31" t="str">
        <x:v>COMPUTATIONAL_STRUCTURAL</x:v>
      </x:c>
      <x:c r="F328" s="31" t="str">
        <x:v>CROSS_ANCHOR</x:v>
      </x:c>
      <x:c r="G328" s="31" t="str">
        <x:v>Shared deduplicated Ngram measurement ID</x:v>
      </x:c>
      <x:c r="H328" s="19" t="str">
        <x:v>HIGH</x:v>
      </x:c>
      <x:c r="I328" s="43" t="str">
        <x:v>Derived from controlled candidate metadata; no semantic evolution is asserted.</x:v>
      </x:c>
    </x:row>
    <x:row r="329" ht="32" customHeight="1">
      <x:c r="A329" s="40" t="str">
        <x:v>FT-REL-8B5F7094C1090F</x:v>
      </x:c>
      <x:c r="B329" s="31" t="str">
        <x:v>FT-SEED-R1B-P-2015-25</x:v>
      </x:c>
      <x:c r="C329" s="31" t="str">
        <x:v>FT-SEED-R1B-P-2022-03</x:v>
      </x:c>
      <x:c r="D329" s="31" t="str">
        <x:v>SHARES_NGRAM_MEASUREMENT</x:v>
      </x:c>
      <x:c r="E329" s="31" t="str">
        <x:v>COMPUTATIONAL_STRUCTURAL</x:v>
      </x:c>
      <x:c r="F329" s="31" t="str">
        <x:v>CROSS_ANCHOR</x:v>
      </x:c>
      <x:c r="G329" s="31" t="str">
        <x:v>Shared deduplicated Ngram measurement ID</x:v>
      </x:c>
      <x:c r="H329" s="19" t="str">
        <x:v>HIGH</x:v>
      </x:c>
      <x:c r="I329" s="43" t="str">
        <x:v>Derived from controlled candidate metadata; no semantic evolution is asserted.</x:v>
      </x:c>
    </x:row>
    <x:row r="330" ht="32" customHeight="1">
      <x:c r="A330" s="40" t="str">
        <x:v>FT-REL-75F305869380E1</x:v>
      </x:c>
      <x:c r="B330" s="31" t="str">
        <x:v>FT-SEED-R1B-P-2015-26</x:v>
      </x:c>
      <x:c r="C330" s="31" t="str">
        <x:v>FT-SEED-R1B-P-2022-04</x:v>
      </x:c>
      <x:c r="D330" s="31" t="str">
        <x:v>SHARES_NGRAM_MEASUREMENT</x:v>
      </x:c>
      <x:c r="E330" s="31" t="str">
        <x:v>COMPUTATIONAL_STRUCTURAL</x:v>
      </x:c>
      <x:c r="F330" s="31" t="str">
        <x:v>CROSS_ANCHOR</x:v>
      </x:c>
      <x:c r="G330" s="31" t="str">
        <x:v>Shared deduplicated Ngram measurement ID</x:v>
      </x:c>
      <x:c r="H330" s="19" t="str">
        <x:v>HIGH</x:v>
      </x:c>
      <x:c r="I330" s="43" t="str">
        <x:v>Derived from controlled candidate metadata; no semantic evolution is asserted.</x:v>
      </x:c>
    </x:row>
    <x:row r="331" ht="32" customHeight="1">
      <x:c r="A331" s="40" t="str">
        <x:v>FT-REL-5C1201609650D5</x:v>
      </x:c>
      <x:c r="B331" s="31" t="str">
        <x:v>FT-SEED-R1B-P-0607-10</x:v>
      </x:c>
      <x:c r="C331" s="31" t="str">
        <x:v>FT-SEED-R1B-P-2022-01</x:v>
      </x:c>
      <x:c r="D331" s="31" t="str">
        <x:v>USED_BY_MULTIPLE_VOICES</x:v>
      </x:c>
      <x:c r="E331" s="31" t="str">
        <x:v>COMPUTATIONAL_STRUCTURAL</x:v>
      </x:c>
      <x:c r="F331" s="31" t="str">
        <x:v>VOICE_COMPARISON</x:v>
      </x:c>
      <x:c r="G331" s="31" t="str">
        <x:v>Same normalized lexical form assigned to different voices</x:v>
      </x:c>
      <x:c r="H331" s="19" t="str">
        <x:v>HIGH</x:v>
      </x:c>
      <x:c r="I331" s="43" t="str">
        <x:v>Voice assignment is preserved; shared wording does not imply shared discourse function.</x:v>
      </x:c>
    </x:row>
    <x:row r="332" ht="32" customHeight="1">
      <x:c r="A332" s="40" t="str">
        <x:v>FT-REL-E17D126E097869</x:v>
      </x:c>
      <x:c r="B332" s="31" t="str">
        <x:v>FT-SEED-R1B-P-1988-02</x:v>
      </x:c>
      <x:c r="C332" s="31" t="str">
        <x:v>FT-SEED-R1B-P-0607-11</x:v>
      </x:c>
      <x:c r="D332" s="31" t="str">
        <x:v>USED_BY_MULTIPLE_VOICES</x:v>
      </x:c>
      <x:c r="E332" s="31" t="str">
        <x:v>COMPUTATIONAL_STRUCTURAL</x:v>
      </x:c>
      <x:c r="F332" s="31" t="str">
        <x:v>VOICE_COMPARISON</x:v>
      </x:c>
      <x:c r="G332" s="31" t="str">
        <x:v>Same normalized lexical form assigned to different voices</x:v>
      </x:c>
      <x:c r="H332" s="19" t="str">
        <x:v>HIGH</x:v>
      </x:c>
      <x:c r="I332" s="43" t="str">
        <x:v>Voice assignment is preserved; shared wording does not imply shared discourse function.</x:v>
      </x:c>
    </x:row>
    <x:row r="333" ht="32" customHeight="1">
      <x:c r="A333" s="40" t="str">
        <x:v>FT-REL-49F5170F170338</x:v>
      </x:c>
      <x:c r="B333" s="31" t="str">
        <x:v>FT-SEED-R1B-P-1988-02</x:v>
      </x:c>
      <x:c r="C333" s="31" t="str">
        <x:v>FT-SEED-R1B-P-2022-02</x:v>
      </x:c>
      <x:c r="D333" s="31" t="str">
        <x:v>USED_BY_MULTIPLE_VOICES</x:v>
      </x:c>
      <x:c r="E333" s="31" t="str">
        <x:v>COMPUTATIONAL_STRUCTURAL</x:v>
      </x:c>
      <x:c r="F333" s="31" t="str">
        <x:v>VOICE_COMPARISON</x:v>
      </x:c>
      <x:c r="G333" s="31" t="str">
        <x:v>Same normalized lexical form assigned to different voices</x:v>
      </x:c>
      <x:c r="H333" s="19" t="str">
        <x:v>HIGH</x:v>
      </x:c>
      <x:c r="I333" s="43" t="str">
        <x:v>Voice assignment is preserved; shared wording does not imply shared discourse function.</x:v>
      </x:c>
    </x:row>
    <x:row r="334" ht="32" customHeight="1">
      <x:c r="A334" s="40" t="str">
        <x:v>FT-REL-7507E8E39FCC90</x:v>
      </x:c>
      <x:c r="B334" s="31" t="str">
        <x:v>FT-SEED-R1B-P-1988-08</x:v>
      </x:c>
      <x:c r="C334" s="31" t="str">
        <x:v>FT-SEED-R1B-P-1938-21</x:v>
      </x:c>
      <x:c r="D334" s="31" t="str">
        <x:v>USED_BY_MULTIPLE_VOICES</x:v>
      </x:c>
      <x:c r="E334" s="31" t="str">
        <x:v>COMPUTATIONAL_STRUCTURAL</x:v>
      </x:c>
      <x:c r="F334" s="31" t="str">
        <x:v>VOICE_COMPARISON</x:v>
      </x:c>
      <x:c r="G334" s="31" t="str">
        <x:v>Same normalized lexical form assigned to different voices</x:v>
      </x:c>
      <x:c r="H334" s="19" t="str">
        <x:v>HIGH</x:v>
      </x:c>
      <x:c r="I334" s="43" t="str">
        <x:v>Voice assignment is preserved; shared wording does not imply shared discourse function.</x:v>
      </x:c>
    </x:row>
    <x:row r="335" ht="32" customHeight="1">
      <x:c r="A335" s="40" t="str">
        <x:v>FT-REL-08D80B6986F749</x:v>
      </x:c>
      <x:c r="B335" s="31" t="str">
        <x:v>FT-SEED-R1B-P-1988-09</x:v>
      </x:c>
      <x:c r="C335" s="31" t="str">
        <x:v>FT-SEED-R1B-P-1938-28</x:v>
      </x:c>
      <x:c r="D335" s="31" t="str">
        <x:v>USED_BY_MULTIPLE_VOICES</x:v>
      </x:c>
      <x:c r="E335" s="31" t="str">
        <x:v>COMPUTATIONAL_STRUCTURAL</x:v>
      </x:c>
      <x:c r="F335" s="31" t="str">
        <x:v>VOICE_COMPARISON</x:v>
      </x:c>
      <x:c r="G335" s="31" t="str">
        <x:v>Same normalized lexical form assigned to different voices</x:v>
      </x:c>
      <x:c r="H335" s="19" t="str">
        <x:v>HIGH</x:v>
      </x:c>
      <x:c r="I335" s="43" t="str">
        <x:v>Voice assignment is preserved; shared wording does not imply shared discourse function.</x:v>
      </x:c>
    </x:row>
    <x:row r="336" ht="32" customHeight="1">
      <x:c r="A336" s="40" t="str">
        <x:v>FT-REL-20CF50348B877B</x:v>
      </x:c>
      <x:c r="B336" s="31" t="str">
        <x:v>FT-SEED-R1B-P-1842-15</x:v>
      </x:c>
      <x:c r="C336" s="31" t="str">
        <x:v>FT-SEED-R1B-P-2022-16</x:v>
      </x:c>
      <x:c r="D336" s="31" t="str">
        <x:v>FALSE_CONTINUITY_RISK</x:v>
      </x:c>
      <x:c r="E336" s="31" t="str">
        <x:v>RESEARCH_SEMANTIC_CANDIDATE</x:v>
      </x:c>
      <x:c r="F336" s="31" t="str">
        <x:v>CROSS_ANCHOR</x:v>
      </x:c>
      <x:c r="G336" s="31" t="str">
        <x:v>Dictionary anchor-sense comparison</x:v>
      </x:c>
      <x:c r="H336" s="19" t="str">
        <x:v>HIGH</x:v>
      </x:c>
      <x:c r="I336" s="43" t="str">
        <x:v>Historical climatological condition cannot silently inherit modern climate-anxiety meaning.</x:v>
      </x:c>
    </x:row>
    <x:row r="337" ht="32" customHeight="1">
      <x:c r="A337" s="40" t="str">
        <x:v>FT-REL-DC210CA2F441D4</x:v>
      </x:c>
      <x:c r="B337" s="31" t="str">
        <x:v>FT-SEED-R1B-P-1988-16</x:v>
      </x:c>
      <x:c r="C337" s="31" t="str">
        <x:v>FT-SEED-R1B-P-2022-16</x:v>
      </x:c>
      <x:c r="D337" s="31" t="str">
        <x:v>RELATED_NOT_EQUIVALENT</x:v>
      </x:c>
      <x:c r="E337" s="31" t="str">
        <x:v>RESEARCH_SEMANTIC_CANDIDATE</x:v>
      </x:c>
      <x:c r="F337" s="31" t="str">
        <x:v>CROSS_ANCHOR</x:v>
      </x:c>
      <x:c r="G337" s="31" t="str">
        <x:v>FT-SR-1988-SECURITY and FT-SR-2022-ANXIETY</x:v>
      </x:c>
      <x:c r="H337" s="19" t="str">
        <x:v>HIGH</x:v>
      </x:c>
      <x:c r="I337" s="43" t="str">
        <x:v>Institutional threat/security framing is not personal affect.</x:v>
      </x:c>
    </x:row>
    <x:row r="338" ht="32" customHeight="1">
      <x:c r="A338" s="40" t="str">
        <x:v>FT-REL-12E4C149E894B1</x:v>
      </x:c>
      <x:c r="B338" s="31" t="str">
        <x:v>FT-SEED-R1B-P-2015-23</x:v>
      </x:c>
      <x:c r="C338" s="31" t="str">
        <x:v>FT-SEED-R1B-P-2015-25</x:v>
      </x:c>
      <x:c r="D338" s="31" t="str">
        <x:v>RELATED_NOT_EQUIVALENT</x:v>
      </x:c>
      <x:c r="E338" s="31" t="str">
        <x:v>RESEARCH_SEMANTIC_CANDIDATE</x:v>
      </x:c>
      <x:c r="F338" s="31" t="str">
        <x:v>WITHIN_ANCHOR</x:v>
      </x:c>
      <x:c r="G338" s="31" t="str">
        <x:v>FT-SR-2015-CONCERN and candidate dictionary audit</x:v>
      </x:c>
      <x:c r="H338" s="19" t="str">
        <x:v>HIGH</x:v>
      </x:c>
      <x:c r="I338" s="43" t="str">
        <x:v>Legal common concern is not personal emotion.</x:v>
      </x:c>
    </x:row>
    <x:row r="339" ht="32" customHeight="1">
      <x:c r="A339" s="40" t="str">
        <x:v>FT-REL-CE44800CB3D380</x:v>
      </x:c>
      <x:c r="B339" s="31" t="str">
        <x:v>FT-SEED-R1B-P-2022-16</x:v>
      </x:c>
      <x:c r="C339" s="31" t="str">
        <x:v>FT-SEED-R1B-P-2022-03</x:v>
      </x:c>
      <x:c r="D339" s="31" t="str">
        <x:v>RELATED_NOT_EQUIVALENT</x:v>
      </x:c>
      <x:c r="E339" s="31" t="str">
        <x:v>RESEARCH_SEMANTIC_CANDIDATE</x:v>
      </x:c>
      <x:c r="F339" s="31" t="str">
        <x:v>WITHIN_ANCHOR</x:v>
      </x:c>
      <x:c r="G339" s="31" t="str">
        <x:v>FT-SR-2022-ANXIETY and FT-SR-2022-WORRIED</x:v>
      </x:c>
      <x:c r="H339" s="19" t="str">
        <x:v>HIGH</x:v>
      </x:c>
      <x:c r="I339" s="43" t="str">
        <x:v>Research construct and instrument-supplied participant endorsement require separate provenance.</x:v>
      </x:c>
    </x:row>
    <x:row r="340" ht="32" customHeight="1">
      <x:c r="A340" s="40" t="str">
        <x:v>FT-REL-06E4F6F9E12567</x:v>
      </x:c>
      <x:c r="B340" s="31" t="str">
        <x:v>FT-SEED-R1B-P-0607-21</x:v>
      </x:c>
      <x:c r="C340" s="31" t="str">
        <x:v>FT-SEED-R1B-P-0607-22</x:v>
      </x:c>
      <x:c r="D340" s="31" t="str">
        <x:v>SAME_FAMILY_DIFFERENT_SENSE</x:v>
      </x:c>
      <x:c r="E340" s="31" t="str">
        <x:v>RESEARCH_SEMANTIC_CANDIDATE</x:v>
      </x:c>
      <x:c r="F340" s="31" t="str">
        <x:v>WITHIN_ANCHOR</x:v>
      </x:c>
      <x:c r="G340" s="31" t="str">
        <x:v>FT-SR-2006-WORRIED and FT-SR-2007-WORRY</x:v>
      </x:c>
      <x:c r="H340" s="19" t="str">
        <x:v>HIGH</x:v>
      </x:c>
      <x:c r="I340" s="43" t="str">
        <x:v>Media-prescribed worry differs from survey-elicited endorsement.</x:v>
      </x:c>
    </x:row>
    <x:row r="341" ht="32" customHeight="1">
      <x:c r="A341" s="41" t="str">
        <x:v>FT-REL-64C074586061EC</x:v>
      </x:c>
      <x:c r="B341" s="32" t="str">
        <x:v>FT-SEED-R1B-P-1842-25</x:v>
      </x:c>
      <x:c r="C341" s="32" t="str">
        <x:v>FT-SEED-R1B-P-2022-14</x:v>
      </x:c>
      <x:c r="D341" s="32" t="str">
        <x:v>SAME_FAMILY_DIFFERENT_SENSE</x:v>
      </x:c>
      <x:c r="E341" s="32" t="str">
        <x:v>RESEARCH_SEMANTIC_CANDIDATE</x:v>
      </x:c>
      <x:c r="F341" s="32" t="str">
        <x:v>CROSS_ANCHOR</x:v>
      </x:c>
      <x:c r="G341" s="32" t="str">
        <x:v>Dictionary sense audit and FT-SR-1842-DEPRESSING</x:v>
      </x:c>
      <x:c r="H341" s="22" t="str">
        <x:v>HIGH</x:v>
      </x:c>
      <x:c r="I341" s="44" t="str">
        <x:v>Embodied/bodily energetic meaning must not be read as modern clinical depression.</x:v>
      </x:c>
    </x:row>
  </x:sheetData>
  <x:mergeCells>
    <x:mergeCell ref="A1:I1"/>
    <x:mergeCell ref="A2:I2"/>
  </x:mergeCells>
  <x:conditionalFormatting sqref="A5:A341">
    <x:cfRule type="containsText" dxfId="0" priority="1" operator="containsText" text="COMPLETE"/>
    <x:cfRule type="containsText" dxfId="1" priority="2" operator="containsText" text="TRACEABLE"/>
    <x:cfRule type="containsText" dxfId="2" priority="3" operator="containsText" text="ZERO"/>
    <x:cfRule type="containsText" dxfId="3" priority="4" operator="containsText" text="UNRESOLVED"/>
    <x:cfRule type="containsText" dxfId="4" priority="5" operator="containsText" text="NOT_"/>
    <x:cfRule type="containsText" dxfId="5" priority="6" operator="containsText" text="PARTIAL"/>
  </x:conditionalFormatting>
  <x:conditionalFormatting sqref="D5:D341">
    <x:cfRule type="containsText" dxfId="6" priority="7" operator="containsText" text="COMPLETE"/>
    <x:cfRule type="containsText" dxfId="7" priority="8" operator="containsText" text="TRACEABLE"/>
    <x:cfRule type="containsText" dxfId="8" priority="9" operator="containsText" text="ZERO"/>
    <x:cfRule type="containsText" dxfId="9" priority="10" operator="containsText" text="UNRESOLVED"/>
    <x:cfRule type="containsText" dxfId="10" priority="11" operator="containsText" text="NOT_"/>
    <x:cfRule type="containsText" dxfId="11" priority="12" operator="containsText" text="PARTIAL"/>
  </x:conditionalFormatting>
  <x:conditionalFormatting sqref="E5:E341">
    <x:cfRule type="containsText" dxfId="12" priority="13" operator="containsText" text="COMPLETE"/>
    <x:cfRule type="containsText" dxfId="13" priority="14" operator="containsText" text="TRACEABLE"/>
    <x:cfRule type="containsText" dxfId="14" priority="15" operator="containsText" text="ZERO"/>
    <x:cfRule type="containsText" dxfId="15" priority="16" operator="containsText" text="UNRESOLVED"/>
    <x:cfRule type="containsText" dxfId="16" priority="17" operator="containsText" text="NOT_"/>
    <x:cfRule type="containsText" dxfId="17" priority="18" operator="containsText" text="PARTIAL"/>
  </x:conditionalFormatting>
  <x:conditionalFormatting sqref="F5:F341">
    <x:cfRule type="containsText" dxfId="18" priority="19" operator="containsText" text="COMPLETE"/>
    <x:cfRule type="containsText" dxfId="19" priority="20" operator="containsText" text="TRACEABLE"/>
    <x:cfRule type="containsText" dxfId="20" priority="21" operator="containsText" text="ZERO"/>
    <x:cfRule type="containsText" dxfId="21" priority="22" operator="containsText" text="UNRESOLVED"/>
    <x:cfRule type="containsText" dxfId="22" priority="23" operator="containsText" text="NOT_"/>
    <x:cfRule type="containsText" dxfId="23" priority="24" operator="containsText" text="PARTIAL"/>
  </x:conditionalFormatting>
  <x:pageMargins left="0.7" right="0.7" top="0.75" bottom="0.75" header="0.3" footer="0.3"/>
  <x:tableParts count="1">
    <x:tablePart xmlns:r="http://schemas.openxmlformats.org/officeDocument/2006/relationships" r:id="Rc16436a3c0ad41f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4" hidden="0" customWidth="1"/>
    <x:col min="2" max="2" width="32" hidden="0" customWidth="1"/>
    <x:col min="3" max="3" width="16" hidden="0" customWidth="1"/>
    <x:col min="4" max="4" width="32" hidden="0" customWidth="1"/>
    <x:col min="5" max="5" width="16" hidden="0" customWidth="1"/>
    <x:col min="6" max="6" width="23" hidden="0" customWidth="1"/>
    <x:col min="7" max="7" width="40" hidden="0" customWidth="1"/>
  </x:cols>
  <x:sheetData>
    <x:row r="1" ht="38" customHeight="1">
      <x:c r="A1" s="3" t="str">
        <x:v>Cross-Anchor Comparability</x:v>
      </x:c>
      <x:c r="B1" s="3" t="str">
        <x:v>Cross-Anchor Comparability</x:v>
      </x:c>
      <x:c r="C1" s="3" t="str">
        <x:v>Cross-Anchor Comparability</x:v>
      </x:c>
      <x:c r="D1" s="3" t="str">
        <x:v>Cross-Anchor Comparability</x:v>
      </x:c>
      <x:c r="E1" s="3" t="str">
        <x:v>Cross-Anchor Comparability</x:v>
      </x:c>
      <x:c r="F1" s="3" t="str">
        <x:v>Cross-Anchor Comparability</x:v>
      </x:c>
      <x:c r="G1" s="3" t="str">
        <x:v>Cross-Anchor Comparability</x:v>
      </x:c>
      <x:c r="H1" s="3" t="str">
        <x:v>Cross-Anchor Comparability</x:v>
      </x:c>
    </x:row>
    <x:row r="2" ht="32" customHeight="1">
      <x:c r="A2" s="7" t="str">
        <x:v>Strong, partial, invalid and unresolved comparisons remain explicit; same string does not imply same historical sense.</x:v>
      </x:c>
      <x:c r="B2" s="7" t="str">
        <x:v>Strong, partial, invalid and unresolved comparisons remain explicit; same string does not imply same historical sense.</x:v>
      </x:c>
      <x:c r="C2" s="7" t="str">
        <x:v>Strong, partial, invalid and unresolved comparisons remain explicit; same string does not imply same historical sense.</x:v>
      </x:c>
      <x:c r="D2" s="7" t="str">
        <x:v>Strong, partial, invalid and unresolved comparisons remain explicit; same string does not imply same historical sense.</x:v>
      </x:c>
      <x:c r="E2" s="7" t="str">
        <x:v>Strong, partial, invalid and unresolved comparisons remain explicit; same string does not imply same historical sense.</x:v>
      </x:c>
      <x:c r="F2" s="7" t="str">
        <x:v>Strong, partial, invalid and unresolved comparisons remain explicit; same string does not imply same historical sense.</x:v>
      </x:c>
      <x:c r="G2" s="7" t="str">
        <x:v>Strong, partial, invalid and unresolved comparisons remain explicit; same string does not imply same historical sense.</x:v>
      </x:c>
      <x:c r="H2" s="7" t="str">
        <x:v>Strong, partial, invalid and unresolved comparisons remain explicit; same string does not imply same historical sense.</x:v>
      </x:c>
    </x:row>
    <x:row r="4" ht="42" customHeight="1">
      <x:c r="A4" s="14" t="str">
        <x:v>term_or_family</x:v>
      </x:c>
      <x:c r="B4" s="14" t="str">
        <x:v>source_anchor</x:v>
      </x:c>
      <x:c r="C4" s="14" t="str">
        <x:v>target_anchor</x:v>
      </x:c>
      <x:c r="D4" s="14" t="str">
        <x:v>source_voice</x:v>
      </x:c>
      <x:c r="E4" s="14" t="str">
        <x:v>target_voice</x:v>
      </x:c>
      <x:c r="F4" s="14" t="str">
        <x:v>comparison_status</x:v>
      </x:c>
      <x:c r="G4" s="14" t="str">
        <x:v>reason</x:v>
      </x:c>
    </x:row>
    <x:row r="5" ht="34" customHeight="1">
      <x:c r="A5" s="39" t="str">
        <x:v>temperature</x:v>
      </x:c>
      <x:c r="B5" s="30" t="str">
        <x:v>1842</x:v>
      </x:c>
      <x:c r="C5" s="16" t="str">
        <x:v>1938</x:v>
      </x:c>
      <x:c r="D5" s="30" t="str">
        <x:v>V1; V2</x:v>
      </x:c>
      <x:c r="E5" s="16" t="str">
        <x:v>V1; V3</x:v>
      </x:c>
      <x:c r="F5" s="30" t="str">
        <x:v>STRONGLY_COMPARABLE</x:v>
      </x:c>
      <x:c r="G5" s="42" t="str">
        <x:v>Instrumental/aggregate referents must still be separated.</x:v>
      </x:c>
    </x:row>
    <x:row r="6" ht="34" customHeight="1">
      <x:c r="A6" s="40" t="str">
        <x:v>temperature</x:v>
      </x:c>
      <x:c r="B6" s="31" t="str">
        <x:v>1938</x:v>
      </x:c>
      <x:c r="C6" s="19" t="str">
        <x:v>1988</x:v>
      </x:c>
      <x:c r="D6" s="31" t="str">
        <x:v>V1; V3</x:v>
      </x:c>
      <x:c r="E6" s="19" t="str">
        <x:v>V1</x:v>
      </x:c>
      <x:c r="F6" s="31" t="str">
        <x:v>STRONGLY_COMPARABLE</x:v>
      </x:c>
      <x:c r="G6" s="43" t="str">
        <x:v>Instrumental/aggregate referents must still be separated.</x:v>
      </x:c>
    </x:row>
    <x:row r="7" ht="34" customHeight="1">
      <x:c r="A7" s="40" t="str">
        <x:v>temperature</x:v>
      </x:c>
      <x:c r="B7" s="31" t="str">
        <x:v>1988</x:v>
      </x:c>
      <x:c r="C7" s="19" t="str">
        <x:v>2006–2007</x:v>
      </x:c>
      <x:c r="D7" s="31" t="str">
        <x:v>V1</x:v>
      </x:c>
      <x:c r="E7" s="19" t="str">
        <x:v>V1</x:v>
      </x:c>
      <x:c r="F7" s="31" t="str">
        <x:v>STRONGLY_COMPARABLE</x:v>
      </x:c>
      <x:c r="G7" s="43" t="str">
        <x:v>Instrumental/aggregate referents must still be separated.</x:v>
      </x:c>
    </x:row>
    <x:row r="8" ht="34" customHeight="1">
      <x:c r="A8" s="40" t="str">
        <x:v>temperature</x:v>
      </x:c>
      <x:c r="B8" s="31" t="str">
        <x:v>2006–2007</x:v>
      </x:c>
      <x:c r="C8" s="19" t="str">
        <x:v>2015</x:v>
      </x:c>
      <x:c r="D8" s="31" t="str">
        <x:v>V1</x:v>
      </x:c>
      <x:c r="E8" s="19" t="str">
        <x:v>V2</x:v>
      </x:c>
      <x:c r="F8" s="31" t="str">
        <x:v>STRONGLY_COMPARABLE</x:v>
      </x:c>
      <x:c r="G8" s="43" t="str">
        <x:v>Instrumental/aggregate referents must still be separated.</x:v>
      </x:c>
    </x:row>
    <x:row r="9" ht="34" customHeight="1">
      <x:c r="A9" s="40" t="str">
        <x:v>heat</x:v>
      </x:c>
      <x:c r="B9" s="31" t="str">
        <x:v>1842</x:v>
      </x:c>
      <x:c r="C9" s="19" t="str">
        <x:v>1938</x:v>
      </x:c>
      <x:c r="D9" s="31" t="str">
        <x:v>V1; V5</x:v>
      </x:c>
      <x:c r="E9" s="19" t="str">
        <x:v>V3</x:v>
      </x:c>
      <x:c r="F9" s="31" t="str">
        <x:v>PARTIALLY_COMPARABLE</x:v>
      </x:c>
      <x:c r="G9" s="43" t="str">
        <x:v>Physical heat, embodied exposure, heatwaves and hazard framing are related but not equivalent.</x:v>
      </x:c>
    </x:row>
    <x:row r="10" ht="34" customHeight="1">
      <x:c r="A10" s="40" t="str">
        <x:v>heat</x:v>
      </x:c>
      <x:c r="B10" s="31" t="str">
        <x:v>1938</x:v>
      </x:c>
      <x:c r="C10" s="19" t="str">
        <x:v>1988</x:v>
      </x:c>
      <x:c r="D10" s="31" t="str">
        <x:v>V3</x:v>
      </x:c>
      <x:c r="E10" s="19" t="str">
        <x:v>V1</x:v>
      </x:c>
      <x:c r="F10" s="31" t="str">
        <x:v>PARTIALLY_COMPARABLE</x:v>
      </x:c>
      <x:c r="G10" s="43" t="str">
        <x:v>Physical heat, embodied exposure, heatwaves and hazard framing are related but not equivalent.</x:v>
      </x:c>
    </x:row>
    <x:row r="11" ht="34" customHeight="1">
      <x:c r="A11" s="40" t="str">
        <x:v>heat</x:v>
      </x:c>
      <x:c r="B11" s="31" t="str">
        <x:v>1988</x:v>
      </x:c>
      <x:c r="C11" s="19" t="str">
        <x:v>2022</x:v>
      </x:c>
      <x:c r="D11" s="31" t="str">
        <x:v>V1</x:v>
      </x:c>
      <x:c r="E11" s="19" t="str">
        <x:v>V1</x:v>
      </x:c>
      <x:c r="F11" s="31" t="str">
        <x:v>PARTIALLY_COMPARABLE</x:v>
      </x:c>
      <x:c r="G11" s="43" t="str">
        <x:v>Physical heat, embodied exposure, heatwaves and hazard framing are related but not equivalent.</x:v>
      </x:c>
    </x:row>
    <x:row r="12" ht="34" customHeight="1">
      <x:c r="A12" s="40" t="str">
        <x:v>climate</x:v>
      </x:c>
      <x:c r="B12" s="31" t="str">
        <x:v>1842</x:v>
      </x:c>
      <x:c r="C12" s="19" t="str">
        <x:v>1938</x:v>
      </x:c>
      <x:c r="D12" s="31" t="str">
        <x:v>V1</x:v>
      </x:c>
      <x:c r="E12" s="19" t="str">
        <x:v>V1</x:v>
      </x:c>
      <x:c r="F12" s="31" t="str">
        <x:v>NOT_COMPARABLE</x:v>
      </x:c>
      <x:c r="G12" s="43" t="str">
        <x:v>The 1842 historical climatological sense cannot be treated as modern climate-change issue language.</x:v>
      </x:c>
    </x:row>
    <x:row r="13" ht="34" customHeight="1">
      <x:c r="A13" s="40" t="str">
        <x:v>climate</x:v>
      </x:c>
      <x:c r="B13" s="31" t="str">
        <x:v>1938</x:v>
      </x:c>
      <x:c r="C13" s="19" t="str">
        <x:v>1988</x:v>
      </x:c>
      <x:c r="D13" s="31" t="str">
        <x:v>V1</x:v>
      </x:c>
      <x:c r="E13" s="19" t="str">
        <x:v>V1; V2</x:v>
      </x:c>
      <x:c r="F13" s="31" t="str">
        <x:v>NOT_COMPARABLE</x:v>
      </x:c>
      <x:c r="G13" s="43" t="str">
        <x:v>The 1842 historical climatological sense cannot be treated as modern climate-change issue language.</x:v>
      </x:c>
    </x:row>
    <x:row r="14" ht="34" customHeight="1">
      <x:c r="A14" s="40" t="str">
        <x:v>climate</x:v>
      </x:c>
      <x:c r="B14" s="31" t="str">
        <x:v>1988</x:v>
      </x:c>
      <x:c r="C14" s="19" t="str">
        <x:v>2006–2007</x:v>
      </x:c>
      <x:c r="D14" s="31" t="str">
        <x:v>V1; V2</x:v>
      </x:c>
      <x:c r="E14" s="19" t="str">
        <x:v>V1; V2; V4</x:v>
      </x:c>
      <x:c r="F14" s="31" t="str">
        <x:v>NOT_COMPARABLE</x:v>
      </x:c>
      <x:c r="G14" s="43" t="str">
        <x:v>The 1842 historical climatological sense cannot be treated as modern climate-change issue language.</x:v>
      </x:c>
    </x:row>
    <x:row r="15" ht="34" customHeight="1">
      <x:c r="A15" s="40" t="str">
        <x:v>climate</x:v>
      </x:c>
      <x:c r="B15" s="31" t="str">
        <x:v>2006–2007</x:v>
      </x:c>
      <x:c r="C15" s="19" t="str">
        <x:v>2015</x:v>
      </x:c>
      <x:c r="D15" s="31" t="str">
        <x:v>V1; V2; V4</x:v>
      </x:c>
      <x:c r="E15" s="19" t="str">
        <x:v>V2</x:v>
      </x:c>
      <x:c r="F15" s="31" t="str">
        <x:v>NOT_COMPARABLE</x:v>
      </x:c>
      <x:c r="G15" s="43" t="str">
        <x:v>The 1842 historical climatological sense cannot be treated as modern climate-change issue language.</x:v>
      </x:c>
    </x:row>
    <x:row r="16" ht="34" customHeight="1">
      <x:c r="A16" s="40" t="str">
        <x:v>climate</x:v>
      </x:c>
      <x:c r="B16" s="31" t="str">
        <x:v>2015</x:v>
      </x:c>
      <x:c r="C16" s="19" t="str">
        <x:v>2022</x:v>
      </x:c>
      <x:c r="D16" s="31" t="str">
        <x:v>V2</x:v>
      </x:c>
      <x:c r="E16" s="19" t="str">
        <x:v>V5</x:v>
      </x:c>
      <x:c r="F16" s="31" t="str">
        <x:v>NOT_COMPARABLE</x:v>
      </x:c>
      <x:c r="G16" s="43" t="str">
        <x:v>The 1842 historical climatological sense cannot be treated as modern climate-change issue language.</x:v>
      </x:c>
    </x:row>
    <x:row r="17" ht="34" customHeight="1">
      <x:c r="A17" s="40" t="str">
        <x:v>warming</x:v>
      </x:c>
      <x:c r="B17" s="31" t="str">
        <x:v>1938</x:v>
      </x:c>
      <x:c r="C17" s="19" t="str">
        <x:v>1988</x:v>
      </x:c>
      <x:c r="D17" s="31" t="str">
        <x:v>V1</x:v>
      </x:c>
      <x:c r="E17" s="19" t="str">
        <x:v>V1; V2; V3</x:v>
      </x:c>
      <x:c r="F17" s="31" t="str">
        <x:v>PARTIALLY_COMPARABLE</x:v>
      </x:c>
      <x:c r="G17" s="43" t="str">
        <x:v>Temperature increase, climate-system warming and the issue label global warming differ in scope.</x:v>
      </x:c>
    </x:row>
    <x:row r="18" ht="34" customHeight="1">
      <x:c r="A18" s="40" t="str">
        <x:v>warming</x:v>
      </x:c>
      <x:c r="B18" s="31" t="str">
        <x:v>1988</x:v>
      </x:c>
      <x:c r="C18" s="19" t="str">
        <x:v>2006–2007</x:v>
      </x:c>
      <x:c r="D18" s="31" t="str">
        <x:v>V1; V2; V3</x:v>
      </x:c>
      <x:c r="E18" s="19" t="str">
        <x:v>V1; V3</x:v>
      </x:c>
      <x:c r="F18" s="31" t="str">
        <x:v>PARTIALLY_COMPARABLE</x:v>
      </x:c>
      <x:c r="G18" s="43" t="str">
        <x:v>Temperature increase, climate-system warming and the issue label global warming differ in scope.</x:v>
      </x:c>
    </x:row>
    <x:row r="19" ht="34" customHeight="1">
      <x:c r="A19" s="40" t="str">
        <x:v>warming</x:v>
      </x:c>
      <x:c r="B19" s="31" t="str">
        <x:v>2006–2007</x:v>
      </x:c>
      <x:c r="C19" s="19" t="str">
        <x:v>2022</x:v>
      </x:c>
      <x:c r="D19" s="31" t="str">
        <x:v>V1; V3</x:v>
      </x:c>
      <x:c r="E19" s="19" t="str">
        <x:v>V5</x:v>
      </x:c>
      <x:c r="F19" s="31" t="str">
        <x:v>PARTIALLY_COMPARABLE</x:v>
      </x:c>
      <x:c r="G19" s="43" t="str">
        <x:v>Temperature increase, climate-system warming and the issue label global warming differ in scope.</x:v>
      </x:c>
    </x:row>
    <x:row r="20" ht="34" customHeight="1">
      <x:c r="A20" s="40" t="str">
        <x:v>concern</x:v>
      </x:c>
      <x:c r="B20" s="31" t="str">
        <x:v>1842</x:v>
      </x:c>
      <x:c r="C20" s="19" t="str">
        <x:v>1938</x:v>
      </x:c>
      <x:c r="D20" s="31" t="str">
        <x:v>V3</x:v>
      </x:c>
      <x:c r="E20" s="19" t="str">
        <x:v>V1; V3</x:v>
      </x:c>
      <x:c r="F20" s="31" t="str">
        <x:v>NOT_COMPARABLE</x:v>
      </x:c>
      <x:c r="G20" s="43" t="str">
        <x:v>Legal common concern, institutional concern and personal concern are different discourse functions.</x:v>
      </x:c>
    </x:row>
    <x:row r="21" ht="34" customHeight="1">
      <x:c r="A21" s="40" t="str">
        <x:v>concern</x:v>
      </x:c>
      <x:c r="B21" s="31" t="str">
        <x:v>1938</x:v>
      </x:c>
      <x:c r="C21" s="19" t="str">
        <x:v>1988</x:v>
      </x:c>
      <x:c r="D21" s="31" t="str">
        <x:v>V1; V3</x:v>
      </x:c>
      <x:c r="E21" s="19" t="str">
        <x:v>V3</x:v>
      </x:c>
      <x:c r="F21" s="31" t="str">
        <x:v>NOT_COMPARABLE</x:v>
      </x:c>
      <x:c r="G21" s="43" t="str">
        <x:v>Legal common concern, institutional concern and personal concern are different discourse functions.</x:v>
      </x:c>
    </x:row>
    <x:row r="22" ht="34" customHeight="1">
      <x:c r="A22" s="40" t="str">
        <x:v>concern</x:v>
      </x:c>
      <x:c r="B22" s="31" t="str">
        <x:v>1988</x:v>
      </x:c>
      <x:c r="C22" s="19" t="str">
        <x:v>2015</x:v>
      </x:c>
      <x:c r="D22" s="31" t="str">
        <x:v>V3</x:v>
      </x:c>
      <x:c r="E22" s="19" t="str">
        <x:v>V2; V4</x:v>
      </x:c>
      <x:c r="F22" s="31" t="str">
        <x:v>NOT_COMPARABLE</x:v>
      </x:c>
      <x:c r="G22" s="43" t="str">
        <x:v>Legal common concern, institutional concern and personal concern are different discourse functions.</x:v>
      </x:c>
    </x:row>
    <x:row r="23" ht="34" customHeight="1">
      <x:c r="A23" s="40" t="str">
        <x:v>concern</x:v>
      </x:c>
      <x:c r="B23" s="31" t="str">
        <x:v>2015</x:v>
      </x:c>
      <x:c r="C23" s="19" t="str">
        <x:v>2022</x:v>
      </x:c>
      <x:c r="D23" s="31" t="str">
        <x:v>V2; V4</x:v>
      </x:c>
      <x:c r="E23" s="19" t="str">
        <x:v>V5</x:v>
      </x:c>
      <x:c r="F23" s="31" t="str">
        <x:v>NOT_COMPARABLE</x:v>
      </x:c>
      <x:c r="G23" s="43" t="str">
        <x:v>Legal common concern, institutional concern and personal concern are different discourse functions.</x:v>
      </x:c>
    </x:row>
    <x:row r="24" ht="34" customHeight="1">
      <x:c r="A24" s="40" t="str">
        <x:v>worry</x:v>
      </x:c>
      <x:c r="B24" s="31" t="str">
        <x:v>2006–2007</x:v>
      </x:c>
      <x:c r="C24" s="19" t="str">
        <x:v>2015</x:v>
      </x:c>
      <x:c r="D24" s="31" t="str">
        <x:v>V3; V5</x:v>
      </x:c>
      <x:c r="E24" s="19" t="str">
        <x:v>V5</x:v>
      </x:c>
      <x:c r="F24" s="31" t="str">
        <x:v>PARTIALLY_COMPARABLE</x:v>
      </x:c>
      <x:c r="G24" s="43" t="str">
        <x:v>Media prescription, elicited response and participant wording require expression-mode separation.</x:v>
      </x:c>
    </x:row>
    <x:row r="25" ht="34" customHeight="1">
      <x:c r="A25" s="40" t="str">
        <x:v>worry</x:v>
      </x:c>
      <x:c r="B25" s="31" t="str">
        <x:v>2015</x:v>
      </x:c>
      <x:c r="C25" s="19" t="str">
        <x:v>2022</x:v>
      </x:c>
      <x:c r="D25" s="31" t="str">
        <x:v>V5</x:v>
      </x:c>
      <x:c r="E25" s="19" t="str">
        <x:v>V5</x:v>
      </x:c>
      <x:c r="F25" s="31" t="str">
        <x:v>PARTIALLY_COMPARABLE</x:v>
      </x:c>
      <x:c r="G25" s="43" t="str">
        <x:v>Media prescription, elicited response and participant wording require expression-mode separation.</x:v>
      </x:c>
    </x:row>
    <x:row r="26" ht="34" customHeight="1">
      <x:c r="A26" s="40" t="str">
        <x:v>fear</x:v>
      </x:c>
      <x:c r="B26" s="31" t="str">
        <x:v>2022</x:v>
      </x:c>
      <x:c r="C26" s="19" t="str">
        <x:v>NOT_LOCATED</x:v>
      </x:c>
      <x:c r="D26" s="31" t="str">
        <x:v>V5</x:v>
      </x:c>
      <x:c r="E26" s="19" t="str">
        <x:v>NOT_LOCATED</x:v>
      </x:c>
      <x:c r="F26" s="31" t="str">
        <x:v>UNRESOLVED</x:v>
      </x:c>
      <x:c r="G26" s="43" t="str">
        <x:v>Generic fear strings do not establish a stable climate/temperature referent. Cross-anchor comparison cannot be resolved from the current Priority inventory.</x:v>
      </x:c>
    </x:row>
    <x:row r="27" ht="34" customHeight="1">
      <x:c r="A27" s="40" t="str">
        <x:v>anxiety</x:v>
      </x:c>
      <x:c r="B27" s="31" t="str">
        <x:v>2022</x:v>
      </x:c>
      <x:c r="C27" s="19" t="str">
        <x:v>NOT_LOCATED</x:v>
      </x:c>
      <x:c r="D27" s="31" t="str">
        <x:v>V1; V5</x:v>
      </x:c>
      <x:c r="E27" s="19" t="str">
        <x:v>NOT_LOCATED</x:v>
      </x:c>
      <x:c r="F27" s="31" t="str">
        <x:v>UNRESOLVED</x:v>
      </x:c>
      <x:c r="G27" s="43" t="str">
        <x:v>Researcher-coded climate anxiety and lay self-description require provenance separation. Cross-anchor comparison cannot be resolved from the current Priority inventory.</x:v>
      </x:c>
    </x:row>
    <x:row r="28" ht="34" customHeight="1">
      <x:c r="A28" s="40" t="str">
        <x:v>threat</x:v>
      </x:c>
      <x:c r="B28" s="31" t="str">
        <x:v>1938</x:v>
      </x:c>
      <x:c r="C28" s="19" t="str">
        <x:v>1988</x:v>
      </x:c>
      <x:c r="D28" s="31" t="str">
        <x:v>V1</x:v>
      </x:c>
      <x:c r="E28" s="19" t="str">
        <x:v>V2</x:v>
      </x:c>
      <x:c r="F28" s="31" t="str">
        <x:v>PARTIALLY_COMPARABLE</x:v>
      </x:c>
      <x:c r="G28" s="43" t="str">
        <x:v>Institutional threat can recur, but threat is not affect and referents vary.</x:v>
      </x:c>
    </x:row>
    <x:row r="29" ht="34" customHeight="1">
      <x:c r="A29" s="40" t="str">
        <x:v>threat</x:v>
      </x:c>
      <x:c r="B29" s="31" t="str">
        <x:v>1988</x:v>
      </x:c>
      <x:c r="C29" s="19" t="str">
        <x:v>2006–2007</x:v>
      </x:c>
      <x:c r="D29" s="31" t="str">
        <x:v>V2</x:v>
      </x:c>
      <x:c r="E29" s="19" t="str">
        <x:v>V2; V4; V5</x:v>
      </x:c>
      <x:c r="F29" s="31" t="str">
        <x:v>PARTIALLY_COMPARABLE</x:v>
      </x:c>
      <x:c r="G29" s="43" t="str">
        <x:v>Institutional threat can recur, but threat is not affect and referents vary.</x:v>
      </x:c>
    </x:row>
    <x:row r="30" ht="34" customHeight="1">
      <x:c r="A30" s="40" t="str">
        <x:v>threat</x:v>
      </x:c>
      <x:c r="B30" s="31" t="str">
        <x:v>2006–2007</x:v>
      </x:c>
      <x:c r="C30" s="19" t="str">
        <x:v>2022</x:v>
      </x:c>
      <x:c r="D30" s="31" t="str">
        <x:v>V2; V4; V5</x:v>
      </x:c>
      <x:c r="E30" s="19" t="str">
        <x:v>V5</x:v>
      </x:c>
      <x:c r="F30" s="31" t="str">
        <x:v>PARTIALLY_COMPARABLE</x:v>
      </x:c>
      <x:c r="G30" s="43" t="str">
        <x:v>Institutional threat can recur, but threat is not affect and referents vary.</x:v>
      </x:c>
    </x:row>
    <x:row r="31" ht="34" customHeight="1">
      <x:c r="A31" s="40" t="str">
        <x:v>risk</x:v>
      </x:c>
      <x:c r="B31" s="31" t="str">
        <x:v>1988</x:v>
      </x:c>
      <x:c r="C31" s="19" t="str">
        <x:v>2015</x:v>
      </x:c>
      <x:c r="D31" s="31" t="str">
        <x:v>V2</x:v>
      </x:c>
      <x:c r="E31" s="19" t="str">
        <x:v>V2</x:v>
      </x:c>
      <x:c r="F31" s="31" t="str">
        <x:v>PARTIALLY_COMPARABLE</x:v>
      </x:c>
      <x:c r="G31" s="43" t="str">
        <x:v>Institutional, scientific and public risk framings are not automatically interchangeable.</x:v>
      </x:c>
    </x:row>
    <x:row r="32" ht="34" customHeight="1">
      <x:c r="A32" s="40" t="str">
        <x:v>crisis</x:v>
      </x:c>
      <x:c r="B32" s="31" t="str">
        <x:v>1988</x:v>
      </x:c>
      <x:c r="C32" s="19" t="str">
        <x:v>2015</x:v>
      </x:c>
      <x:c r="D32" s="31" t="str">
        <x:v>V2</x:v>
      </x:c>
      <x:c r="E32" s="19" t="str">
        <x:v>V2</x:v>
      </x:c>
      <x:c r="F32" s="31" t="str">
        <x:v>PARTIALLY_COMPARABLE</x:v>
      </x:c>
      <x:c r="G32" s="43" t="str">
        <x:v>Generic crisis and climate-specific crisis differ in semantic constraint.</x:v>
      </x:c>
    </x:row>
    <x:row r="33" ht="34" customHeight="1">
      <x:c r="A33" s="40" t="str">
        <x:v>crisis</x:v>
      </x:c>
      <x:c r="B33" s="31" t="str">
        <x:v>2015</x:v>
      </x:c>
      <x:c r="C33" s="19" t="str">
        <x:v>2022</x:v>
      </x:c>
      <x:c r="D33" s="31" t="str">
        <x:v>V2</x:v>
      </x:c>
      <x:c r="E33" s="19" t="str">
        <x:v>V4</x:v>
      </x:c>
      <x:c r="F33" s="31" t="str">
        <x:v>PARTIALLY_COMPARABLE</x:v>
      </x:c>
      <x:c r="G33" s="43" t="str">
        <x:v>Generic crisis and climate-specific crisis differ in semantic constraint.</x:v>
      </x:c>
    </x:row>
    <x:row r="34" ht="34" customHeight="1">
      <x:c r="A34" s="40" t="str">
        <x:v>emergency</x:v>
      </x:c>
      <x:c r="B34" s="31" t="str">
        <x:v>1988</x:v>
      </x:c>
      <x:c r="C34" s="19" t="str">
        <x:v>2015</x:v>
      </x:c>
      <x:c r="D34" s="31" t="str">
        <x:v>V2</x:v>
      </x:c>
      <x:c r="E34" s="19" t="str">
        <x:v>V2</x:v>
      </x:c>
      <x:c r="F34" s="31" t="str">
        <x:v>PARTIALLY_COMPARABLE</x:v>
      </x:c>
      <x:c r="G34" s="43" t="str">
        <x:v>Emergency declarations and generic emergency language have different institutional force.</x:v>
      </x:c>
    </x:row>
    <x:row r="35" ht="34" customHeight="1">
      <x:c r="A35" s="40" t="str">
        <x:v>emergency</x:v>
      </x:c>
      <x:c r="B35" s="31" t="str">
        <x:v>2015</x:v>
      </x:c>
      <x:c r="C35" s="19" t="str">
        <x:v>2022</x:v>
      </x:c>
      <x:c r="D35" s="31" t="str">
        <x:v>V2</x:v>
      </x:c>
      <x:c r="E35" s="19" t="str">
        <x:v>V4</x:v>
      </x:c>
      <x:c r="F35" s="31" t="str">
        <x:v>PARTIALLY_COMPARABLE</x:v>
      </x:c>
      <x:c r="G35" s="43" t="str">
        <x:v>Emergency declarations and generic emergency language have different institutional force.</x:v>
      </x:c>
    </x:row>
    <x:row r="36" ht="34" customHeight="1">
      <x:c r="A36" s="41" t="str">
        <x:v>distress/depression</x:v>
      </x:c>
      <x:c r="B36" s="32" t="str">
        <x:v>1842</x:v>
      </x:c>
      <x:c r="C36" s="22" t="str">
        <x:v>2022</x:v>
      </x:c>
      <x:c r="D36" s="32" t="str">
        <x:v>V5</x:v>
      </x:c>
      <x:c r="E36" s="22" t="str">
        <x:v>V1; V5</x:v>
      </x:c>
      <x:c r="F36" s="32" t="str">
        <x:v>NOT_COMPARABLE</x:v>
      </x:c>
      <x:c r="G36" s="44" t="str">
        <x:v>1842 depressing effect is a false friend for modern psychological depression.</x:v>
      </x:c>
    </x:row>
  </x:sheetData>
  <x:mergeCells>
    <x:mergeCell ref="A1:H1"/>
    <x:mergeCell ref="A2:H2"/>
  </x:mergeCells>
  <x:conditionalFormatting sqref="F5:F36">
    <x:cfRule type="containsText" dxfId="24" priority="1" operator="containsText" text="COMPLETE"/>
    <x:cfRule type="containsText" dxfId="25" priority="2" operator="containsText" text="TRACEABLE"/>
    <x:cfRule type="containsText" dxfId="26" priority="3" operator="containsText" text="ZERO"/>
    <x:cfRule type="containsText" dxfId="27" priority="4" operator="containsText" text="UNRESOLVED"/>
    <x:cfRule type="containsText" dxfId="28" priority="5" operator="containsText" text="NOT_"/>
    <x:cfRule type="containsText" dxfId="29" priority="6" operator="containsText" text="PARTIAL"/>
  </x:conditionalFormatting>
  <x:pageMargins left="0.7" right="0.7" top="0.75" bottom="0.75" header="0.3" footer="0.3"/>
  <x:tableParts count="1">
    <x:tablePart xmlns:r="http://schemas.openxmlformats.org/officeDocument/2006/relationships" r:id="R275a758317514b1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4"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32" hidden="0" customWidth="1"/>
    <x:col min="12" max="12" width="16" hidden="0" customWidth="1"/>
    <x:col min="13" max="13" width="16" hidden="0" customWidth="1"/>
    <x:col min="14" max="14" width="24" hidden="0" customWidth="1"/>
    <x:col min="15" max="15" width="24" hidden="0" customWidth="1"/>
    <x:col min="16" max="16" width="24" hidden="0" customWidth="1"/>
    <x:col min="17" max="17" width="16" hidden="0" customWidth="1"/>
  </x:cols>
  <x:sheetData>
    <x:row r="1" ht="38" customHeight="1">
      <x:c r="A1" s="3" t="str">
        <x:v>Climate-Framing Ngram Trajectories</x:v>
      </x:c>
      <x:c r="B1" s="3" t="str">
        <x:v>Climate-Framing Ngram Trajectories</x:v>
      </x:c>
      <x:c r="C1" s="3" t="str">
        <x:v>Climate-Framing Ngram Trajectories</x:v>
      </x:c>
      <x:c r="D1" s="3" t="str">
        <x:v>Climate-Framing Ngram Trajectories</x:v>
      </x:c>
      <x:c r="E1" s="3" t="str">
        <x:v>Climate-Framing Ngram Trajectories</x:v>
      </x:c>
      <x:c r="F1" s="3" t="str">
        <x:v>Climate-Framing Ngram Trajectories</x:v>
      </x:c>
      <x:c r="G1" s="3" t="str">
        <x:v>Climate-Framing Ngram Trajectories</x:v>
      </x:c>
      <x:c r="H1" s="3" t="str">
        <x:v>Climate-Framing Ngram Trajectories</x:v>
      </x:c>
      <x:c r="I1" s="3" t="str">
        <x:v>Climate-Framing Ngram Trajectories</x:v>
      </x:c>
      <x:c r="J1" s="3" t="str">
        <x:v>Climate-Framing Ngram Trajectories</x:v>
      </x:c>
      <x:c r="K1" s="3" t="str">
        <x:v>Climate-Framing Ngram Trajectories</x:v>
      </x:c>
      <x:c r="L1" s="3" t="str">
        <x:v>Climate-Framing Ngram Trajectories</x:v>
      </x:c>
      <x:c r="M1" s="3" t="str">
        <x:v>Climate-Framing Ngram Trajectories</x:v>
      </x:c>
      <x:c r="N1" s="3" t="str">
        <x:v>Climate-Framing Ngram Trajectories</x:v>
      </x:c>
      <x:c r="O1" s="3" t="str">
        <x:v>Climate-Framing Ngram Trajectories</x:v>
      </x:c>
      <x:c r="P1" s="3" t="str">
        <x:v>Climate-Framing Ngram Trajectories</x:v>
      </x:c>
      <x:c r="Q1" s="3" t="str">
        <x:v>Climate-Framing Ngram Trajectories</x:v>
      </x:c>
    </x:row>
    <x:row r="2" ht="32" customHeight="1">
      <x:c r="A2" s="7" t="str">
        <x:v>Unsmoothed annual Google Books series, 1842–2022. Raw normalized frequency is preserved beside per-million display values.</x:v>
      </x:c>
      <x:c r="B2" s="7" t="str">
        <x:v>Unsmoothed annual Google Books series, 1842–2022. Raw normalized frequency is preserved beside per-million display values.</x:v>
      </x:c>
      <x:c r="C2" s="7" t="str">
        <x:v>Unsmoothed annual Google Books series, 1842–2022. Raw normalized frequency is preserved beside per-million display values.</x:v>
      </x:c>
      <x:c r="D2" s="7" t="str">
        <x:v>Unsmoothed annual Google Books series, 1842–2022. Raw normalized frequency is preserved beside per-million display values.</x:v>
      </x:c>
      <x:c r="E2" s="7" t="str">
        <x:v>Unsmoothed annual Google Books series, 1842–2022. Raw normalized frequency is preserved beside per-million display values.</x:v>
      </x:c>
      <x:c r="F2" s="7" t="str">
        <x:v>Unsmoothed annual Google Books series, 1842–2022. Raw normalized frequency is preserved beside per-million display values.</x:v>
      </x:c>
      <x:c r="G2" s="7" t="str">
        <x:v>Unsmoothed annual Google Books series, 1842–2022. Raw normalized frequency is preserved beside per-million display values.</x:v>
      </x:c>
      <x:c r="H2" s="7" t="str">
        <x:v>Unsmoothed annual Google Books series, 1842–2022. Raw normalized frequency is preserved beside per-million display values.</x:v>
      </x:c>
      <x:c r="I2" s="7" t="str">
        <x:v>Unsmoothed annual Google Books series, 1842–2022. Raw normalized frequency is preserved beside per-million display values.</x:v>
      </x:c>
      <x:c r="J2" s="7" t="str">
        <x:v>Unsmoothed annual Google Books series, 1842–2022. Raw normalized frequency is preserved beside per-million display values.</x:v>
      </x:c>
      <x:c r="K2" s="7" t="str">
        <x:v>Unsmoothed annual Google Books series, 1842–2022. Raw normalized frequency is preserved beside per-million display values.</x:v>
      </x:c>
      <x:c r="L2" s="7" t="str">
        <x:v>Unsmoothed annual Google Books series, 1842–2022. Raw normalized frequency is preserved beside per-million display values.</x:v>
      </x:c>
      <x:c r="M2" s="7" t="str">
        <x:v>Unsmoothed annual Google Books series, 1842–2022. Raw normalized frequency is preserved beside per-million display values.</x:v>
      </x:c>
      <x:c r="N2" s="7" t="str">
        <x:v>Unsmoothed annual Google Books series, 1842–2022. Raw normalized frequency is preserved beside per-million display values.</x:v>
      </x:c>
      <x:c r="O2" s="7" t="str">
        <x:v>Unsmoothed annual Google Books series, 1842–2022. Raw normalized frequency is preserved beside per-million display values.</x:v>
      </x:c>
      <x:c r="P2" s="7" t="str">
        <x:v>Unsmoothed annual Google Books series, 1842–2022. Raw normalized frequency is preserved beside per-million display values.</x:v>
      </x:c>
      <x:c r="Q2" s="7" t="str">
        <x:v>Unsmoothed annual Google Books series, 1842–2022. Raw normalized frequency is preserved beside per-million display values.</x:v>
      </x:c>
    </x:row>
    <x:row r="4" ht="42" customHeight="1">
      <x:c r="A4" s="14" t="str">
        <x:v>query_id</x:v>
      </x:c>
      <x:c r="B4" s="14" t="str">
        <x:v>term</x:v>
      </x:c>
      <x:c r="C4" s="14" t="str">
        <x:v>family</x:v>
      </x:c>
      <x:c r="D4" s="14" t="str">
        <x:v>year</x:v>
      </x:c>
      <x:c r="E4" s="14" t="str">
        <x:v>normalized_frequency</x:v>
      </x:c>
      <x:c r="F4" s="14" t="str">
        <x:v>corpus</x:v>
      </x:c>
      <x:c r="G4" s="14" t="str">
        <x:v>version</x:v>
      </x:c>
      <x:c r="H4" s="14" t="str">
        <x:v>response_ngram</x:v>
      </x:c>
      <x:c r="I4" s="14" t="str">
        <x:v>retrieval_smoothing</x:v>
      </x:c>
      <x:c r="J4" s="14" t="str">
        <x:v>retrieved_at</x:v>
      </x:c>
      <x:c r="K4" s="14" t="str">
        <x:v>raw_response_path</x:v>
      </x:c>
      <x:c r="L4" s="14" t="str">
        <x:v>raw_payload_sha256</x:v>
      </x:c>
      <x:c r="M4" s="14" t="str">
        <x:v>parameter_set_hash</x:v>
      </x:c>
      <x:c r="N4" s="14" t="str">
        <x:v>lexical_form_id</x:v>
      </x:c>
      <x:c r="O4" s="14" t="str">
        <x:v>concept_id</x:v>
      </x:c>
      <x:c r="P4" s="14" t="str">
        <x:v>family_id</x:v>
      </x:c>
      <x:c r="Q4" s="14" t="str">
        <x:v>frequency_per_million</x:v>
      </x:c>
    </x:row>
    <x:row r="5" ht="20" customHeight="1">
      <x:c r="A5" s="39" t="str">
        <x:v>FT-Q-V01-041</x:v>
      </x:c>
      <x:c r="B5" s="16" t="str">
        <x:v>greenhouse effect</x:v>
      </x:c>
      <x:c r="C5" s="30" t="str">
        <x:v>carbon_greenhouse</x:v>
      </x:c>
      <x:c r="D5" s="24" t="n">
        <x:v>1842</x:v>
      </x:c>
      <x:c r="E5" s="45" t="n">
        <x:v>0</x:v>
      </x:c>
      <x:c r="F5" s="16" t="str">
        <x:v>eng</x:v>
      </x:c>
      <x:c r="G5" s="16" t="str">
        <x:v>current English corpus (July 2024 dataset; public shorthand eng; mutable current corpus)</x:v>
      </x:c>
      <x:c r="H5" s="16" t="str">
        <x:v>greenhouse effect (All)</x:v>
      </x:c>
      <x:c r="I5" s="16" t="str">
        <x:v>0</x:v>
      </x:c>
      <x:c r="J5" s="16" t="n">
        <x:v>46260.10724537037</x:v>
      </x:c>
      <x:c r="K5" s="30" t="str">
        <x:v>data/fear-temperature/ngram/raw/205959f263c8ae6824e66753a55df505e51b40905b28c4cb916bd1952aea4bdb.json</x:v>
      </x:c>
      <x:c r="L5" s="16" t="str">
        <x:v>4286ccb83770f8e9550a4b862463947b8edb637081d5f43cfee319f9d7681262</x:v>
      </x:c>
      <x:c r="M5" s="16" t="str">
        <x:v>03c6b3b7aec17c75d6066c3ad33475123246728a6d70514bc6c4b2fac975aa04</x:v>
      </x:c>
      <x:c r="N5" s="30" t="str">
        <x:v>FT-LF-GREENHOUSE_EFFECT</x:v>
      </x:c>
      <x:c r="O5" s="30" t="str">
        <x:v>FT-C-GREENHOUSE_MECHANISM</x:v>
      </x:c>
      <x:c r="P5" s="30" t="str">
        <x:v>FT-F05</x:v>
      </x:c>
      <x:c r="Q5" s="48" t="n">
        <x:v>0</x:v>
      </x:c>
    </x:row>
    <x:row r="6" ht="20" customHeight="1">
      <x:c r="A6" s="40" t="str">
        <x:v>FT-Q-V01-041</x:v>
      </x:c>
      <x:c r="B6" s="19" t="str">
        <x:v>greenhouse effect</x:v>
      </x:c>
      <x:c r="C6" s="31" t="str">
        <x:v>carbon_greenhouse</x:v>
      </x:c>
      <x:c r="D6" s="25" t="n">
        <x:v>1843</x:v>
      </x:c>
      <x:c r="E6" s="46" t="n">
        <x:v>6.429448085043532e-10</x:v>
      </x:c>
      <x:c r="F6" s="19" t="str">
        <x:v>eng</x:v>
      </x:c>
      <x:c r="G6" s="19" t="str">
        <x:v>current English corpus (July 2024 dataset; public shorthand eng; mutable current corpus)</x:v>
      </x:c>
      <x:c r="H6" s="19" t="str">
        <x:v>greenhouse effect (All)</x:v>
      </x:c>
      <x:c r="I6" s="19" t="str">
        <x:v>0</x:v>
      </x:c>
      <x:c r="J6" s="19" t="n">
        <x:v>46260.10724537037</x:v>
      </x:c>
      <x:c r="K6" s="31" t="str">
        <x:v>data/fear-temperature/ngram/raw/205959f263c8ae6824e66753a55df505e51b40905b28c4cb916bd1952aea4bdb.json</x:v>
      </x:c>
      <x:c r="L6" s="19" t="str">
        <x:v>4286ccb83770f8e9550a4b862463947b8edb637081d5f43cfee319f9d7681262</x:v>
      </x:c>
      <x:c r="M6" s="19" t="str">
        <x:v>03c6b3b7aec17c75d6066c3ad33475123246728a6d70514bc6c4b2fac975aa04</x:v>
      </x:c>
      <x:c r="N6" s="31" t="str">
        <x:v>FT-LF-GREENHOUSE_EFFECT</x:v>
      </x:c>
      <x:c r="O6" s="31" t="str">
        <x:v>FT-C-GREENHOUSE_MECHANISM</x:v>
      </x:c>
      <x:c r="P6" s="31" t="str">
        <x:v>FT-F05</x:v>
      </x:c>
      <x:c r="Q6" s="49" t="n">
        <x:v>0.0006429448085043532</x:v>
      </x:c>
    </x:row>
    <x:row r="7" ht="20" customHeight="1">
      <x:c r="A7" s="40" t="str">
        <x:v>FT-Q-V01-041</x:v>
      </x:c>
      <x:c r="B7" s="19" t="str">
        <x:v>greenhouse effect</x:v>
      </x:c>
      <x:c r="C7" s="31" t="str">
        <x:v>carbon_greenhouse</x:v>
      </x:c>
      <x:c r="D7" s="25" t="n">
        <x:v>1844</x:v>
      </x:c>
      <x:c r="E7" s="46" t="n">
        <x:v>0</x:v>
      </x:c>
      <x:c r="F7" s="19" t="str">
        <x:v>eng</x:v>
      </x:c>
      <x:c r="G7" s="19" t="str">
        <x:v>current English corpus (July 2024 dataset; public shorthand eng; mutable current corpus)</x:v>
      </x:c>
      <x:c r="H7" s="19" t="str">
        <x:v>greenhouse effect (All)</x:v>
      </x:c>
      <x:c r="I7" s="19" t="str">
        <x:v>0</x:v>
      </x:c>
      <x:c r="J7" s="19" t="n">
        <x:v>46260.10724537037</x:v>
      </x:c>
      <x:c r="K7" s="31" t="str">
        <x:v>data/fear-temperature/ngram/raw/205959f263c8ae6824e66753a55df505e51b40905b28c4cb916bd1952aea4bdb.json</x:v>
      </x:c>
      <x:c r="L7" s="19" t="str">
        <x:v>4286ccb83770f8e9550a4b862463947b8edb637081d5f43cfee319f9d7681262</x:v>
      </x:c>
      <x:c r="M7" s="19" t="str">
        <x:v>03c6b3b7aec17c75d6066c3ad33475123246728a6d70514bc6c4b2fac975aa04</x:v>
      </x:c>
      <x:c r="N7" s="31" t="str">
        <x:v>FT-LF-GREENHOUSE_EFFECT</x:v>
      </x:c>
      <x:c r="O7" s="31" t="str">
        <x:v>FT-C-GREENHOUSE_MECHANISM</x:v>
      </x:c>
      <x:c r="P7" s="31" t="str">
        <x:v>FT-F05</x:v>
      </x:c>
      <x:c r="Q7" s="49" t="n">
        <x:v>0</x:v>
      </x:c>
    </x:row>
    <x:row r="8" ht="20" customHeight="1">
      <x:c r="A8" s="40" t="str">
        <x:v>FT-Q-V01-041</x:v>
      </x:c>
      <x:c r="B8" s="19" t="str">
        <x:v>greenhouse effect</x:v>
      </x:c>
      <x:c r="C8" s="31" t="str">
        <x:v>carbon_greenhouse</x:v>
      </x:c>
      <x:c r="D8" s="25" t="n">
        <x:v>1845</x:v>
      </x:c>
      <x:c r="E8" s="46" t="n">
        <x:v>1.5025181099304064e-9</x:v>
      </x:c>
      <x:c r="F8" s="19" t="str">
        <x:v>eng</x:v>
      </x:c>
      <x:c r="G8" s="19" t="str">
        <x:v>current English corpus (July 2024 dataset; public shorthand eng; mutable current corpus)</x:v>
      </x:c>
      <x:c r="H8" s="19" t="str">
        <x:v>greenhouse effect (All)</x:v>
      </x:c>
      <x:c r="I8" s="19" t="str">
        <x:v>0</x:v>
      </x:c>
      <x:c r="J8" s="19" t="n">
        <x:v>46260.10724537037</x:v>
      </x:c>
      <x:c r="K8" s="31" t="str">
        <x:v>data/fear-temperature/ngram/raw/205959f263c8ae6824e66753a55df505e51b40905b28c4cb916bd1952aea4bdb.json</x:v>
      </x:c>
      <x:c r="L8" s="19" t="str">
        <x:v>4286ccb83770f8e9550a4b862463947b8edb637081d5f43cfee319f9d7681262</x:v>
      </x:c>
      <x:c r="M8" s="19" t="str">
        <x:v>03c6b3b7aec17c75d6066c3ad33475123246728a6d70514bc6c4b2fac975aa04</x:v>
      </x:c>
      <x:c r="N8" s="31" t="str">
        <x:v>FT-LF-GREENHOUSE_EFFECT</x:v>
      </x:c>
      <x:c r="O8" s="31" t="str">
        <x:v>FT-C-GREENHOUSE_MECHANISM</x:v>
      </x:c>
      <x:c r="P8" s="31" t="str">
        <x:v>FT-F05</x:v>
      </x:c>
      <x:c r="Q8" s="49" t="n">
        <x:v>0.0015025181099304064</x:v>
      </x:c>
    </x:row>
    <x:row r="9" ht="20" customHeight="1">
      <x:c r="A9" s="40" t="str">
        <x:v>FT-Q-V01-041</x:v>
      </x:c>
      <x:c r="B9" s="19" t="str">
        <x:v>greenhouse effect</x:v>
      </x:c>
      <x:c r="C9" s="31" t="str">
        <x:v>carbon_greenhouse</x:v>
      </x:c>
      <x:c r="D9" s="25" t="n">
        <x:v>1846</x:v>
      </x:c>
      <x:c r="E9" s="46" t="n">
        <x:v>0</x:v>
      </x:c>
      <x:c r="F9" s="19" t="str">
        <x:v>eng</x:v>
      </x:c>
      <x:c r="G9" s="19" t="str">
        <x:v>current English corpus (July 2024 dataset; public shorthand eng; mutable current corpus)</x:v>
      </x:c>
      <x:c r="H9" s="19" t="str">
        <x:v>greenhouse effect (All)</x:v>
      </x:c>
      <x:c r="I9" s="19" t="str">
        <x:v>0</x:v>
      </x:c>
      <x:c r="J9" s="19" t="n">
        <x:v>46260.10724537037</x:v>
      </x:c>
      <x:c r="K9" s="31" t="str">
        <x:v>data/fear-temperature/ngram/raw/205959f263c8ae6824e66753a55df505e51b40905b28c4cb916bd1952aea4bdb.json</x:v>
      </x:c>
      <x:c r="L9" s="19" t="str">
        <x:v>4286ccb83770f8e9550a4b862463947b8edb637081d5f43cfee319f9d7681262</x:v>
      </x:c>
      <x:c r="M9" s="19" t="str">
        <x:v>03c6b3b7aec17c75d6066c3ad33475123246728a6d70514bc6c4b2fac975aa04</x:v>
      </x:c>
      <x:c r="N9" s="31" t="str">
        <x:v>FT-LF-GREENHOUSE_EFFECT</x:v>
      </x:c>
      <x:c r="O9" s="31" t="str">
        <x:v>FT-C-GREENHOUSE_MECHANISM</x:v>
      </x:c>
      <x:c r="P9" s="31" t="str">
        <x:v>FT-F05</x:v>
      </x:c>
      <x:c r="Q9" s="49" t="n">
        <x:v>0</x:v>
      </x:c>
    </x:row>
    <x:row r="10" ht="20" customHeight="1">
      <x:c r="A10" s="40" t="str">
        <x:v>FT-Q-V01-041</x:v>
      </x:c>
      <x:c r="B10" s="19" t="str">
        <x:v>greenhouse effect</x:v>
      </x:c>
      <x:c r="C10" s="31" t="str">
        <x:v>carbon_greenhouse</x:v>
      </x:c>
      <x:c r="D10" s="25" t="n">
        <x:v>1847</x:v>
      </x:c>
      <x:c r="E10" s="46" t="n">
        <x:v>0</x:v>
      </x:c>
      <x:c r="F10" s="19" t="str">
        <x:v>eng</x:v>
      </x:c>
      <x:c r="G10" s="19" t="str">
        <x:v>current English corpus (July 2024 dataset; public shorthand eng; mutable current corpus)</x:v>
      </x:c>
      <x:c r="H10" s="19" t="str">
        <x:v>greenhouse effect (All)</x:v>
      </x:c>
      <x:c r="I10" s="19" t="str">
        <x:v>0</x:v>
      </x:c>
      <x:c r="J10" s="19" t="n">
        <x:v>46260.10724537037</x:v>
      </x:c>
      <x:c r="K10" s="31" t="str">
        <x:v>data/fear-temperature/ngram/raw/205959f263c8ae6824e66753a55df505e51b40905b28c4cb916bd1952aea4bdb.json</x:v>
      </x:c>
      <x:c r="L10" s="19" t="str">
        <x:v>4286ccb83770f8e9550a4b862463947b8edb637081d5f43cfee319f9d7681262</x:v>
      </x:c>
      <x:c r="M10" s="19" t="str">
        <x:v>03c6b3b7aec17c75d6066c3ad33475123246728a6d70514bc6c4b2fac975aa04</x:v>
      </x:c>
      <x:c r="N10" s="31" t="str">
        <x:v>FT-LF-GREENHOUSE_EFFECT</x:v>
      </x:c>
      <x:c r="O10" s="31" t="str">
        <x:v>FT-C-GREENHOUSE_MECHANISM</x:v>
      </x:c>
      <x:c r="P10" s="31" t="str">
        <x:v>FT-F05</x:v>
      </x:c>
      <x:c r="Q10" s="49" t="n">
        <x:v>0</x:v>
      </x:c>
    </x:row>
    <x:row r="11" ht="20" customHeight="1">
      <x:c r="A11" s="40" t="str">
        <x:v>FT-Q-V01-041</x:v>
      </x:c>
      <x:c r="B11" s="19" t="str">
        <x:v>greenhouse effect</x:v>
      </x:c>
      <x:c r="C11" s="31" t="str">
        <x:v>carbon_greenhouse</x:v>
      </x:c>
      <x:c r="D11" s="25" t="n">
        <x:v>1848</x:v>
      </x:c>
      <x:c r="E11" s="46" t="n">
        <x:v>0</x:v>
      </x:c>
      <x:c r="F11" s="19" t="str">
        <x:v>eng</x:v>
      </x:c>
      <x:c r="G11" s="19" t="str">
        <x:v>current English corpus (July 2024 dataset; public shorthand eng; mutable current corpus)</x:v>
      </x:c>
      <x:c r="H11" s="19" t="str">
        <x:v>greenhouse effect (All)</x:v>
      </x:c>
      <x:c r="I11" s="19" t="str">
        <x:v>0</x:v>
      </x:c>
      <x:c r="J11" s="19" t="n">
        <x:v>46260.10724537037</x:v>
      </x:c>
      <x:c r="K11" s="31" t="str">
        <x:v>data/fear-temperature/ngram/raw/205959f263c8ae6824e66753a55df505e51b40905b28c4cb916bd1952aea4bdb.json</x:v>
      </x:c>
      <x:c r="L11" s="19" t="str">
        <x:v>4286ccb83770f8e9550a4b862463947b8edb637081d5f43cfee319f9d7681262</x:v>
      </x:c>
      <x:c r="M11" s="19" t="str">
        <x:v>03c6b3b7aec17c75d6066c3ad33475123246728a6d70514bc6c4b2fac975aa04</x:v>
      </x:c>
      <x:c r="N11" s="31" t="str">
        <x:v>FT-LF-GREENHOUSE_EFFECT</x:v>
      </x:c>
      <x:c r="O11" s="31" t="str">
        <x:v>FT-C-GREENHOUSE_MECHANISM</x:v>
      </x:c>
      <x:c r="P11" s="31" t="str">
        <x:v>FT-F05</x:v>
      </x:c>
      <x:c r="Q11" s="49" t="n">
        <x:v>0</x:v>
      </x:c>
    </x:row>
    <x:row r="12" ht="20" customHeight="1">
      <x:c r="A12" s="40" t="str">
        <x:v>FT-Q-V01-041</x:v>
      </x:c>
      <x:c r="B12" s="19" t="str">
        <x:v>greenhouse effect</x:v>
      </x:c>
      <x:c r="C12" s="31" t="str">
        <x:v>carbon_greenhouse</x:v>
      </x:c>
      <x:c r="D12" s="25" t="n">
        <x:v>1849</x:v>
      </x:c>
      <x:c r="E12" s="46" t="n">
        <x:v>0</x:v>
      </x:c>
      <x:c r="F12" s="19" t="str">
        <x:v>eng</x:v>
      </x:c>
      <x:c r="G12" s="19" t="str">
        <x:v>current English corpus (July 2024 dataset; public shorthand eng; mutable current corpus)</x:v>
      </x:c>
      <x:c r="H12" s="19" t="str">
        <x:v>greenhouse effect (All)</x:v>
      </x:c>
      <x:c r="I12" s="19" t="str">
        <x:v>0</x:v>
      </x:c>
      <x:c r="J12" s="19" t="n">
        <x:v>46260.10724537037</x:v>
      </x:c>
      <x:c r="K12" s="31" t="str">
        <x:v>data/fear-temperature/ngram/raw/205959f263c8ae6824e66753a55df505e51b40905b28c4cb916bd1952aea4bdb.json</x:v>
      </x:c>
      <x:c r="L12" s="19" t="str">
        <x:v>4286ccb83770f8e9550a4b862463947b8edb637081d5f43cfee319f9d7681262</x:v>
      </x:c>
      <x:c r="M12" s="19" t="str">
        <x:v>03c6b3b7aec17c75d6066c3ad33475123246728a6d70514bc6c4b2fac975aa04</x:v>
      </x:c>
      <x:c r="N12" s="31" t="str">
        <x:v>FT-LF-GREENHOUSE_EFFECT</x:v>
      </x:c>
      <x:c r="O12" s="31" t="str">
        <x:v>FT-C-GREENHOUSE_MECHANISM</x:v>
      </x:c>
      <x:c r="P12" s="31" t="str">
        <x:v>FT-F05</x:v>
      </x:c>
      <x:c r="Q12" s="49" t="n">
        <x:v>0</x:v>
      </x:c>
    </x:row>
    <x:row r="13" ht="20" customHeight="1">
      <x:c r="A13" s="40" t="str">
        <x:v>FT-Q-V01-041</x:v>
      </x:c>
      <x:c r="B13" s="19" t="str">
        <x:v>greenhouse effect</x:v>
      </x:c>
      <x:c r="C13" s="31" t="str">
        <x:v>carbon_greenhouse</x:v>
      </x:c>
      <x:c r="D13" s="25" t="n">
        <x:v>1850</x:v>
      </x:c>
      <x:c r="E13" s="46" t="n">
        <x:v>0</x:v>
      </x:c>
      <x:c r="F13" s="19" t="str">
        <x:v>eng</x:v>
      </x:c>
      <x:c r="G13" s="19" t="str">
        <x:v>current English corpus (July 2024 dataset; public shorthand eng; mutable current corpus)</x:v>
      </x:c>
      <x:c r="H13" s="19" t="str">
        <x:v>greenhouse effect (All)</x:v>
      </x:c>
      <x:c r="I13" s="19" t="str">
        <x:v>0</x:v>
      </x:c>
      <x:c r="J13" s="19" t="n">
        <x:v>46260.10724537037</x:v>
      </x:c>
      <x:c r="K13" s="31" t="str">
        <x:v>data/fear-temperature/ngram/raw/205959f263c8ae6824e66753a55df505e51b40905b28c4cb916bd1952aea4bdb.json</x:v>
      </x:c>
      <x:c r="L13" s="19" t="str">
        <x:v>4286ccb83770f8e9550a4b862463947b8edb637081d5f43cfee319f9d7681262</x:v>
      </x:c>
      <x:c r="M13" s="19" t="str">
        <x:v>03c6b3b7aec17c75d6066c3ad33475123246728a6d70514bc6c4b2fac975aa04</x:v>
      </x:c>
      <x:c r="N13" s="31" t="str">
        <x:v>FT-LF-GREENHOUSE_EFFECT</x:v>
      </x:c>
      <x:c r="O13" s="31" t="str">
        <x:v>FT-C-GREENHOUSE_MECHANISM</x:v>
      </x:c>
      <x:c r="P13" s="31" t="str">
        <x:v>FT-F05</x:v>
      </x:c>
      <x:c r="Q13" s="49" t="n">
        <x:v>0</x:v>
      </x:c>
    </x:row>
    <x:row r="14" ht="20" customHeight="1">
      <x:c r="A14" s="40" t="str">
        <x:v>FT-Q-V01-041</x:v>
      </x:c>
      <x:c r="B14" s="19" t="str">
        <x:v>greenhouse effect</x:v>
      </x:c>
      <x:c r="C14" s="31" t="str">
        <x:v>carbon_greenhouse</x:v>
      </x:c>
      <x:c r="D14" s="25" t="n">
        <x:v>1851</x:v>
      </x:c>
      <x:c r="E14" s="46" t="n">
        <x:v>0</x:v>
      </x:c>
      <x:c r="F14" s="19" t="str">
        <x:v>eng</x:v>
      </x:c>
      <x:c r="G14" s="19" t="str">
        <x:v>current English corpus (July 2024 dataset; public shorthand eng; mutable current corpus)</x:v>
      </x:c>
      <x:c r="H14" s="19" t="str">
        <x:v>greenhouse effect (All)</x:v>
      </x:c>
      <x:c r="I14" s="19" t="str">
        <x:v>0</x:v>
      </x:c>
      <x:c r="J14" s="19" t="n">
        <x:v>46260.10724537037</x:v>
      </x:c>
      <x:c r="K14" s="31" t="str">
        <x:v>data/fear-temperature/ngram/raw/205959f263c8ae6824e66753a55df505e51b40905b28c4cb916bd1952aea4bdb.json</x:v>
      </x:c>
      <x:c r="L14" s="19" t="str">
        <x:v>4286ccb83770f8e9550a4b862463947b8edb637081d5f43cfee319f9d7681262</x:v>
      </x:c>
      <x:c r="M14" s="19" t="str">
        <x:v>03c6b3b7aec17c75d6066c3ad33475123246728a6d70514bc6c4b2fac975aa04</x:v>
      </x:c>
      <x:c r="N14" s="31" t="str">
        <x:v>FT-LF-GREENHOUSE_EFFECT</x:v>
      </x:c>
      <x:c r="O14" s="31" t="str">
        <x:v>FT-C-GREENHOUSE_MECHANISM</x:v>
      </x:c>
      <x:c r="P14" s="31" t="str">
        <x:v>FT-F05</x:v>
      </x:c>
      <x:c r="Q14" s="49" t="n">
        <x:v>0</x:v>
      </x:c>
    </x:row>
    <x:row r="15" ht="20" customHeight="1">
      <x:c r="A15" s="40" t="str">
        <x:v>FT-Q-V01-041</x:v>
      </x:c>
      <x:c r="B15" s="19" t="str">
        <x:v>greenhouse effect</x:v>
      </x:c>
      <x:c r="C15" s="31" t="str">
        <x:v>carbon_greenhouse</x:v>
      </x:c>
      <x:c r="D15" s="25" t="n">
        <x:v>1852</x:v>
      </x:c>
      <x:c r="E15" s="46" t="n">
        <x:v>0</x:v>
      </x:c>
      <x:c r="F15" s="19" t="str">
        <x:v>eng</x:v>
      </x:c>
      <x:c r="G15" s="19" t="str">
        <x:v>current English corpus (July 2024 dataset; public shorthand eng; mutable current corpus)</x:v>
      </x:c>
      <x:c r="H15" s="19" t="str">
        <x:v>greenhouse effect (All)</x:v>
      </x:c>
      <x:c r="I15" s="19" t="str">
        <x:v>0</x:v>
      </x:c>
      <x:c r="J15" s="19" t="n">
        <x:v>46260.10724537037</x:v>
      </x:c>
      <x:c r="K15" s="31" t="str">
        <x:v>data/fear-temperature/ngram/raw/205959f263c8ae6824e66753a55df505e51b40905b28c4cb916bd1952aea4bdb.json</x:v>
      </x:c>
      <x:c r="L15" s="19" t="str">
        <x:v>4286ccb83770f8e9550a4b862463947b8edb637081d5f43cfee319f9d7681262</x:v>
      </x:c>
      <x:c r="M15" s="19" t="str">
        <x:v>03c6b3b7aec17c75d6066c3ad33475123246728a6d70514bc6c4b2fac975aa04</x:v>
      </x:c>
      <x:c r="N15" s="31" t="str">
        <x:v>FT-LF-GREENHOUSE_EFFECT</x:v>
      </x:c>
      <x:c r="O15" s="31" t="str">
        <x:v>FT-C-GREENHOUSE_MECHANISM</x:v>
      </x:c>
      <x:c r="P15" s="31" t="str">
        <x:v>FT-F05</x:v>
      </x:c>
      <x:c r="Q15" s="49" t="n">
        <x:v>0</x:v>
      </x:c>
    </x:row>
    <x:row r="16" ht="20" customHeight="1">
      <x:c r="A16" s="40" t="str">
        <x:v>FT-Q-V01-041</x:v>
      </x:c>
      <x:c r="B16" s="19" t="str">
        <x:v>greenhouse effect</x:v>
      </x:c>
      <x:c r="C16" s="31" t="str">
        <x:v>carbon_greenhouse</x:v>
      </x:c>
      <x:c r="D16" s="25" t="n">
        <x:v>1853</x:v>
      </x:c>
      <x:c r="E16" s="46" t="n">
        <x:v>0</x:v>
      </x:c>
      <x:c r="F16" s="19" t="str">
        <x:v>eng</x:v>
      </x:c>
      <x:c r="G16" s="19" t="str">
        <x:v>current English corpus (July 2024 dataset; public shorthand eng; mutable current corpus)</x:v>
      </x:c>
      <x:c r="H16" s="19" t="str">
        <x:v>greenhouse effect (All)</x:v>
      </x:c>
      <x:c r="I16" s="19" t="str">
        <x:v>0</x:v>
      </x:c>
      <x:c r="J16" s="19" t="n">
        <x:v>46260.10724537037</x:v>
      </x:c>
      <x:c r="K16" s="31" t="str">
        <x:v>data/fear-temperature/ngram/raw/205959f263c8ae6824e66753a55df505e51b40905b28c4cb916bd1952aea4bdb.json</x:v>
      </x:c>
      <x:c r="L16" s="19" t="str">
        <x:v>4286ccb83770f8e9550a4b862463947b8edb637081d5f43cfee319f9d7681262</x:v>
      </x:c>
      <x:c r="M16" s="19" t="str">
        <x:v>03c6b3b7aec17c75d6066c3ad33475123246728a6d70514bc6c4b2fac975aa04</x:v>
      </x:c>
      <x:c r="N16" s="31" t="str">
        <x:v>FT-LF-GREENHOUSE_EFFECT</x:v>
      </x:c>
      <x:c r="O16" s="31" t="str">
        <x:v>FT-C-GREENHOUSE_MECHANISM</x:v>
      </x:c>
      <x:c r="P16" s="31" t="str">
        <x:v>FT-F05</x:v>
      </x:c>
      <x:c r="Q16" s="49" t="n">
        <x:v>0</x:v>
      </x:c>
    </x:row>
    <x:row r="17" ht="20" customHeight="1">
      <x:c r="A17" s="40" t="str">
        <x:v>FT-Q-V01-041</x:v>
      </x:c>
      <x:c r="B17" s="19" t="str">
        <x:v>greenhouse effect</x:v>
      </x:c>
      <x:c r="C17" s="31" t="str">
        <x:v>carbon_greenhouse</x:v>
      </x:c>
      <x:c r="D17" s="25" t="n">
        <x:v>1854</x:v>
      </x:c>
      <x:c r="E17" s="46" t="n">
        <x:v>0</x:v>
      </x:c>
      <x:c r="F17" s="19" t="str">
        <x:v>eng</x:v>
      </x:c>
      <x:c r="G17" s="19" t="str">
        <x:v>current English corpus (July 2024 dataset; public shorthand eng; mutable current corpus)</x:v>
      </x:c>
      <x:c r="H17" s="19" t="str">
        <x:v>greenhouse effect (All)</x:v>
      </x:c>
      <x:c r="I17" s="19" t="str">
        <x:v>0</x:v>
      </x:c>
      <x:c r="J17" s="19" t="n">
        <x:v>46260.10724537037</x:v>
      </x:c>
      <x:c r="K17" s="31" t="str">
        <x:v>data/fear-temperature/ngram/raw/205959f263c8ae6824e66753a55df505e51b40905b28c4cb916bd1952aea4bdb.json</x:v>
      </x:c>
      <x:c r="L17" s="19" t="str">
        <x:v>4286ccb83770f8e9550a4b862463947b8edb637081d5f43cfee319f9d7681262</x:v>
      </x:c>
      <x:c r="M17" s="19" t="str">
        <x:v>03c6b3b7aec17c75d6066c3ad33475123246728a6d70514bc6c4b2fac975aa04</x:v>
      </x:c>
      <x:c r="N17" s="31" t="str">
        <x:v>FT-LF-GREENHOUSE_EFFECT</x:v>
      </x:c>
      <x:c r="O17" s="31" t="str">
        <x:v>FT-C-GREENHOUSE_MECHANISM</x:v>
      </x:c>
      <x:c r="P17" s="31" t="str">
        <x:v>FT-F05</x:v>
      </x:c>
      <x:c r="Q17" s="49" t="n">
        <x:v>0</x:v>
      </x:c>
    </x:row>
    <x:row r="18" ht="20" customHeight="1">
      <x:c r="A18" s="40" t="str">
        <x:v>FT-Q-V01-041</x:v>
      </x:c>
      <x:c r="B18" s="19" t="str">
        <x:v>greenhouse effect</x:v>
      </x:c>
      <x:c r="C18" s="31" t="str">
        <x:v>carbon_greenhouse</x:v>
      </x:c>
      <x:c r="D18" s="25" t="n">
        <x:v>1855</x:v>
      </x:c>
      <x:c r="E18" s="46" t="n">
        <x:v>4.0485059749073566e-10</x:v>
      </x:c>
      <x:c r="F18" s="19" t="str">
        <x:v>eng</x:v>
      </x:c>
      <x:c r="G18" s="19" t="str">
        <x:v>current English corpus (July 2024 dataset; public shorthand eng; mutable current corpus)</x:v>
      </x:c>
      <x:c r="H18" s="19" t="str">
        <x:v>greenhouse effect (All)</x:v>
      </x:c>
      <x:c r="I18" s="19" t="str">
        <x:v>0</x:v>
      </x:c>
      <x:c r="J18" s="19" t="n">
        <x:v>46260.10724537037</x:v>
      </x:c>
      <x:c r="K18" s="31" t="str">
        <x:v>data/fear-temperature/ngram/raw/205959f263c8ae6824e66753a55df505e51b40905b28c4cb916bd1952aea4bdb.json</x:v>
      </x:c>
      <x:c r="L18" s="19" t="str">
        <x:v>4286ccb83770f8e9550a4b862463947b8edb637081d5f43cfee319f9d7681262</x:v>
      </x:c>
      <x:c r="M18" s="19" t="str">
        <x:v>03c6b3b7aec17c75d6066c3ad33475123246728a6d70514bc6c4b2fac975aa04</x:v>
      </x:c>
      <x:c r="N18" s="31" t="str">
        <x:v>FT-LF-GREENHOUSE_EFFECT</x:v>
      </x:c>
      <x:c r="O18" s="31" t="str">
        <x:v>FT-C-GREENHOUSE_MECHANISM</x:v>
      </x:c>
      <x:c r="P18" s="31" t="str">
        <x:v>FT-F05</x:v>
      </x:c>
      <x:c r="Q18" s="49" t="n">
        <x:v>0.00040485059749073565</x:v>
      </x:c>
    </x:row>
    <x:row r="19" ht="20" customHeight="1">
      <x:c r="A19" s="40" t="str">
        <x:v>FT-Q-V01-041</x:v>
      </x:c>
      <x:c r="B19" s="19" t="str">
        <x:v>greenhouse effect</x:v>
      </x:c>
      <x:c r="C19" s="31" t="str">
        <x:v>carbon_greenhouse</x:v>
      </x:c>
      <x:c r="D19" s="25" t="n">
        <x:v>1856</x:v>
      </x:c>
      <x:c r="E19" s="46" t="n">
        <x:v>0</x:v>
      </x:c>
      <x:c r="F19" s="19" t="str">
        <x:v>eng</x:v>
      </x:c>
      <x:c r="G19" s="19" t="str">
        <x:v>current English corpus (July 2024 dataset; public shorthand eng; mutable current corpus)</x:v>
      </x:c>
      <x:c r="H19" s="19" t="str">
        <x:v>greenhouse effect (All)</x:v>
      </x:c>
      <x:c r="I19" s="19" t="str">
        <x:v>0</x:v>
      </x:c>
      <x:c r="J19" s="19" t="n">
        <x:v>46260.10724537037</x:v>
      </x:c>
      <x:c r="K19" s="31" t="str">
        <x:v>data/fear-temperature/ngram/raw/205959f263c8ae6824e66753a55df505e51b40905b28c4cb916bd1952aea4bdb.json</x:v>
      </x:c>
      <x:c r="L19" s="19" t="str">
        <x:v>4286ccb83770f8e9550a4b862463947b8edb637081d5f43cfee319f9d7681262</x:v>
      </x:c>
      <x:c r="M19" s="19" t="str">
        <x:v>03c6b3b7aec17c75d6066c3ad33475123246728a6d70514bc6c4b2fac975aa04</x:v>
      </x:c>
      <x:c r="N19" s="31" t="str">
        <x:v>FT-LF-GREENHOUSE_EFFECT</x:v>
      </x:c>
      <x:c r="O19" s="31" t="str">
        <x:v>FT-C-GREENHOUSE_MECHANISM</x:v>
      </x:c>
      <x:c r="P19" s="31" t="str">
        <x:v>FT-F05</x:v>
      </x:c>
      <x:c r="Q19" s="49" t="n">
        <x:v>0</x:v>
      </x:c>
    </x:row>
    <x:row r="20" ht="20" customHeight="1">
      <x:c r="A20" s="40" t="str">
        <x:v>FT-Q-V01-041</x:v>
      </x:c>
      <x:c r="B20" s="19" t="str">
        <x:v>greenhouse effect</x:v>
      </x:c>
      <x:c r="C20" s="31" t="str">
        <x:v>carbon_greenhouse</x:v>
      </x:c>
      <x:c r="D20" s="25" t="n">
        <x:v>1857</x:v>
      </x:c>
      <x:c r="E20" s="46" t="n">
        <x:v>0</x:v>
      </x:c>
      <x:c r="F20" s="19" t="str">
        <x:v>eng</x:v>
      </x:c>
      <x:c r="G20" s="19" t="str">
        <x:v>current English corpus (July 2024 dataset; public shorthand eng; mutable current corpus)</x:v>
      </x:c>
      <x:c r="H20" s="19" t="str">
        <x:v>greenhouse effect (All)</x:v>
      </x:c>
      <x:c r="I20" s="19" t="str">
        <x:v>0</x:v>
      </x:c>
      <x:c r="J20" s="19" t="n">
        <x:v>46260.10724537037</x:v>
      </x:c>
      <x:c r="K20" s="31" t="str">
        <x:v>data/fear-temperature/ngram/raw/205959f263c8ae6824e66753a55df505e51b40905b28c4cb916bd1952aea4bdb.json</x:v>
      </x:c>
      <x:c r="L20" s="19" t="str">
        <x:v>4286ccb83770f8e9550a4b862463947b8edb637081d5f43cfee319f9d7681262</x:v>
      </x:c>
      <x:c r="M20" s="19" t="str">
        <x:v>03c6b3b7aec17c75d6066c3ad33475123246728a6d70514bc6c4b2fac975aa04</x:v>
      </x:c>
      <x:c r="N20" s="31" t="str">
        <x:v>FT-LF-GREENHOUSE_EFFECT</x:v>
      </x:c>
      <x:c r="O20" s="31" t="str">
        <x:v>FT-C-GREENHOUSE_MECHANISM</x:v>
      </x:c>
      <x:c r="P20" s="31" t="str">
        <x:v>FT-F05</x:v>
      </x:c>
      <x:c r="Q20" s="49" t="n">
        <x:v>0</x:v>
      </x:c>
    </x:row>
    <x:row r="21" ht="20" customHeight="1">
      <x:c r="A21" s="40" t="str">
        <x:v>FT-Q-V01-041</x:v>
      </x:c>
      <x:c r="B21" s="19" t="str">
        <x:v>greenhouse effect</x:v>
      </x:c>
      <x:c r="C21" s="31" t="str">
        <x:v>carbon_greenhouse</x:v>
      </x:c>
      <x:c r="D21" s="25" t="n">
        <x:v>1858</x:v>
      </x:c>
      <x:c r="E21" s="46" t="n">
        <x:v>0</x:v>
      </x:c>
      <x:c r="F21" s="19" t="str">
        <x:v>eng</x:v>
      </x:c>
      <x:c r="G21" s="19" t="str">
        <x:v>current English corpus (July 2024 dataset; public shorthand eng; mutable current corpus)</x:v>
      </x:c>
      <x:c r="H21" s="19" t="str">
        <x:v>greenhouse effect (All)</x:v>
      </x:c>
      <x:c r="I21" s="19" t="str">
        <x:v>0</x:v>
      </x:c>
      <x:c r="J21" s="19" t="n">
        <x:v>46260.10724537037</x:v>
      </x:c>
      <x:c r="K21" s="31" t="str">
        <x:v>data/fear-temperature/ngram/raw/205959f263c8ae6824e66753a55df505e51b40905b28c4cb916bd1952aea4bdb.json</x:v>
      </x:c>
      <x:c r="L21" s="19" t="str">
        <x:v>4286ccb83770f8e9550a4b862463947b8edb637081d5f43cfee319f9d7681262</x:v>
      </x:c>
      <x:c r="M21" s="19" t="str">
        <x:v>03c6b3b7aec17c75d6066c3ad33475123246728a6d70514bc6c4b2fac975aa04</x:v>
      </x:c>
      <x:c r="N21" s="31" t="str">
        <x:v>FT-LF-GREENHOUSE_EFFECT</x:v>
      </x:c>
      <x:c r="O21" s="31" t="str">
        <x:v>FT-C-GREENHOUSE_MECHANISM</x:v>
      </x:c>
      <x:c r="P21" s="31" t="str">
        <x:v>FT-F05</x:v>
      </x:c>
      <x:c r="Q21" s="49" t="n">
        <x:v>0</x:v>
      </x:c>
    </x:row>
    <x:row r="22" ht="20" customHeight="1">
      <x:c r="A22" s="40" t="str">
        <x:v>FT-Q-V01-041</x:v>
      </x:c>
      <x:c r="B22" s="19" t="str">
        <x:v>greenhouse effect</x:v>
      </x:c>
      <x:c r="C22" s="31" t="str">
        <x:v>carbon_greenhouse</x:v>
      </x:c>
      <x:c r="D22" s="25" t="n">
        <x:v>1859</x:v>
      </x:c>
      <x:c r="E22" s="46" t="n">
        <x:v>0</x:v>
      </x:c>
      <x:c r="F22" s="19" t="str">
        <x:v>eng</x:v>
      </x:c>
      <x:c r="G22" s="19" t="str">
        <x:v>current English corpus (July 2024 dataset; public shorthand eng; mutable current corpus)</x:v>
      </x:c>
      <x:c r="H22" s="19" t="str">
        <x:v>greenhouse effect (All)</x:v>
      </x:c>
      <x:c r="I22" s="19" t="str">
        <x:v>0</x:v>
      </x:c>
      <x:c r="J22" s="19" t="n">
        <x:v>46260.10724537037</x:v>
      </x:c>
      <x:c r="K22" s="31" t="str">
        <x:v>data/fear-temperature/ngram/raw/205959f263c8ae6824e66753a55df505e51b40905b28c4cb916bd1952aea4bdb.json</x:v>
      </x:c>
      <x:c r="L22" s="19" t="str">
        <x:v>4286ccb83770f8e9550a4b862463947b8edb637081d5f43cfee319f9d7681262</x:v>
      </x:c>
      <x:c r="M22" s="19" t="str">
        <x:v>03c6b3b7aec17c75d6066c3ad33475123246728a6d70514bc6c4b2fac975aa04</x:v>
      </x:c>
      <x:c r="N22" s="31" t="str">
        <x:v>FT-LF-GREENHOUSE_EFFECT</x:v>
      </x:c>
      <x:c r="O22" s="31" t="str">
        <x:v>FT-C-GREENHOUSE_MECHANISM</x:v>
      </x:c>
      <x:c r="P22" s="31" t="str">
        <x:v>FT-F05</x:v>
      </x:c>
      <x:c r="Q22" s="49" t="n">
        <x:v>0</x:v>
      </x:c>
    </x:row>
    <x:row r="23" ht="20" customHeight="1">
      <x:c r="A23" s="40" t="str">
        <x:v>FT-Q-V01-041</x:v>
      </x:c>
      <x:c r="B23" s="19" t="str">
        <x:v>greenhouse effect</x:v>
      </x:c>
      <x:c r="C23" s="31" t="str">
        <x:v>carbon_greenhouse</x:v>
      </x:c>
      <x:c r="D23" s="25" t="n">
        <x:v>1860</x:v>
      </x:c>
      <x:c r="E23" s="46" t="n">
        <x:v>0</x:v>
      </x:c>
      <x:c r="F23" s="19" t="str">
        <x:v>eng</x:v>
      </x:c>
      <x:c r="G23" s="19" t="str">
        <x:v>current English corpus (July 2024 dataset; public shorthand eng; mutable current corpus)</x:v>
      </x:c>
      <x:c r="H23" s="19" t="str">
        <x:v>greenhouse effect (All)</x:v>
      </x:c>
      <x:c r="I23" s="19" t="str">
        <x:v>0</x:v>
      </x:c>
      <x:c r="J23" s="19" t="n">
        <x:v>46260.10724537037</x:v>
      </x:c>
      <x:c r="K23" s="31" t="str">
        <x:v>data/fear-temperature/ngram/raw/205959f263c8ae6824e66753a55df505e51b40905b28c4cb916bd1952aea4bdb.json</x:v>
      </x:c>
      <x:c r="L23" s="19" t="str">
        <x:v>4286ccb83770f8e9550a4b862463947b8edb637081d5f43cfee319f9d7681262</x:v>
      </x:c>
      <x:c r="M23" s="19" t="str">
        <x:v>03c6b3b7aec17c75d6066c3ad33475123246728a6d70514bc6c4b2fac975aa04</x:v>
      </x:c>
      <x:c r="N23" s="31" t="str">
        <x:v>FT-LF-GREENHOUSE_EFFECT</x:v>
      </x:c>
      <x:c r="O23" s="31" t="str">
        <x:v>FT-C-GREENHOUSE_MECHANISM</x:v>
      </x:c>
      <x:c r="P23" s="31" t="str">
        <x:v>FT-F05</x:v>
      </x:c>
      <x:c r="Q23" s="49" t="n">
        <x:v>0</x:v>
      </x:c>
    </x:row>
    <x:row r="24" ht="20" customHeight="1">
      <x:c r="A24" s="40" t="str">
        <x:v>FT-Q-V01-041</x:v>
      </x:c>
      <x:c r="B24" s="19" t="str">
        <x:v>greenhouse effect</x:v>
      </x:c>
      <x:c r="C24" s="31" t="str">
        <x:v>carbon_greenhouse</x:v>
      </x:c>
      <x:c r="D24" s="25" t="n">
        <x:v>1861</x:v>
      </x:c>
      <x:c r="E24" s="46" t="n">
        <x:v>2.666653342586755e-9</x:v>
      </x:c>
      <x:c r="F24" s="19" t="str">
        <x:v>eng</x:v>
      </x:c>
      <x:c r="G24" s="19" t="str">
        <x:v>current English corpus (July 2024 dataset; public shorthand eng; mutable current corpus)</x:v>
      </x:c>
      <x:c r="H24" s="19" t="str">
        <x:v>greenhouse effect (All)</x:v>
      </x:c>
      <x:c r="I24" s="19" t="str">
        <x:v>0</x:v>
      </x:c>
      <x:c r="J24" s="19" t="n">
        <x:v>46260.10724537037</x:v>
      </x:c>
      <x:c r="K24" s="31" t="str">
        <x:v>data/fear-temperature/ngram/raw/205959f263c8ae6824e66753a55df505e51b40905b28c4cb916bd1952aea4bdb.json</x:v>
      </x:c>
      <x:c r="L24" s="19" t="str">
        <x:v>4286ccb83770f8e9550a4b862463947b8edb637081d5f43cfee319f9d7681262</x:v>
      </x:c>
      <x:c r="M24" s="19" t="str">
        <x:v>03c6b3b7aec17c75d6066c3ad33475123246728a6d70514bc6c4b2fac975aa04</x:v>
      </x:c>
      <x:c r="N24" s="31" t="str">
        <x:v>FT-LF-GREENHOUSE_EFFECT</x:v>
      </x:c>
      <x:c r="O24" s="31" t="str">
        <x:v>FT-C-GREENHOUSE_MECHANISM</x:v>
      </x:c>
      <x:c r="P24" s="31" t="str">
        <x:v>FT-F05</x:v>
      </x:c>
      <x:c r="Q24" s="49" t="n">
        <x:v>0.002666653342586755</x:v>
      </x:c>
    </x:row>
    <x:row r="25" ht="20" customHeight="1">
      <x:c r="A25" s="40" t="str">
        <x:v>FT-Q-V01-041</x:v>
      </x:c>
      <x:c r="B25" s="19" t="str">
        <x:v>greenhouse effect</x:v>
      </x:c>
      <x:c r="C25" s="31" t="str">
        <x:v>carbon_greenhouse</x:v>
      </x:c>
      <x:c r="D25" s="25" t="n">
        <x:v>1862</x:v>
      </x:c>
      <x:c r="E25" s="46" t="n">
        <x:v>0</x:v>
      </x:c>
      <x:c r="F25" s="19" t="str">
        <x:v>eng</x:v>
      </x:c>
      <x:c r="G25" s="19" t="str">
        <x:v>current English corpus (July 2024 dataset; public shorthand eng; mutable current corpus)</x:v>
      </x:c>
      <x:c r="H25" s="19" t="str">
        <x:v>greenhouse effect (All)</x:v>
      </x:c>
      <x:c r="I25" s="19" t="str">
        <x:v>0</x:v>
      </x:c>
      <x:c r="J25" s="19" t="n">
        <x:v>46260.10724537037</x:v>
      </x:c>
      <x:c r="K25" s="31" t="str">
        <x:v>data/fear-temperature/ngram/raw/205959f263c8ae6824e66753a55df505e51b40905b28c4cb916bd1952aea4bdb.json</x:v>
      </x:c>
      <x:c r="L25" s="19" t="str">
        <x:v>4286ccb83770f8e9550a4b862463947b8edb637081d5f43cfee319f9d7681262</x:v>
      </x:c>
      <x:c r="M25" s="19" t="str">
        <x:v>03c6b3b7aec17c75d6066c3ad33475123246728a6d70514bc6c4b2fac975aa04</x:v>
      </x:c>
      <x:c r="N25" s="31" t="str">
        <x:v>FT-LF-GREENHOUSE_EFFECT</x:v>
      </x:c>
      <x:c r="O25" s="31" t="str">
        <x:v>FT-C-GREENHOUSE_MECHANISM</x:v>
      </x:c>
      <x:c r="P25" s="31" t="str">
        <x:v>FT-F05</x:v>
      </x:c>
      <x:c r="Q25" s="49" t="n">
        <x:v>0</x:v>
      </x:c>
    </x:row>
    <x:row r="26" ht="20" customHeight="1">
      <x:c r="A26" s="40" t="str">
        <x:v>FT-Q-V01-041</x:v>
      </x:c>
      <x:c r="B26" s="19" t="str">
        <x:v>greenhouse effect</x:v>
      </x:c>
      <x:c r="C26" s="31" t="str">
        <x:v>carbon_greenhouse</x:v>
      </x:c>
      <x:c r="D26" s="25" t="n">
        <x:v>1863</x:v>
      </x:c>
      <x:c r="E26" s="46" t="n">
        <x:v>0</x:v>
      </x:c>
      <x:c r="F26" s="19" t="str">
        <x:v>eng</x:v>
      </x:c>
      <x:c r="G26" s="19" t="str">
        <x:v>current English corpus (July 2024 dataset; public shorthand eng; mutable current corpus)</x:v>
      </x:c>
      <x:c r="H26" s="19" t="str">
        <x:v>greenhouse effect (All)</x:v>
      </x:c>
      <x:c r="I26" s="19" t="str">
        <x:v>0</x:v>
      </x:c>
      <x:c r="J26" s="19" t="n">
        <x:v>46260.10724537037</x:v>
      </x:c>
      <x:c r="K26" s="31" t="str">
        <x:v>data/fear-temperature/ngram/raw/205959f263c8ae6824e66753a55df505e51b40905b28c4cb916bd1952aea4bdb.json</x:v>
      </x:c>
      <x:c r="L26" s="19" t="str">
        <x:v>4286ccb83770f8e9550a4b862463947b8edb637081d5f43cfee319f9d7681262</x:v>
      </x:c>
      <x:c r="M26" s="19" t="str">
        <x:v>03c6b3b7aec17c75d6066c3ad33475123246728a6d70514bc6c4b2fac975aa04</x:v>
      </x:c>
      <x:c r="N26" s="31" t="str">
        <x:v>FT-LF-GREENHOUSE_EFFECT</x:v>
      </x:c>
      <x:c r="O26" s="31" t="str">
        <x:v>FT-C-GREENHOUSE_MECHANISM</x:v>
      </x:c>
      <x:c r="P26" s="31" t="str">
        <x:v>FT-F05</x:v>
      </x:c>
      <x:c r="Q26" s="49" t="n">
        <x:v>0</x:v>
      </x:c>
    </x:row>
    <x:row r="27" ht="20" customHeight="1">
      <x:c r="A27" s="40" t="str">
        <x:v>FT-Q-V01-041</x:v>
      </x:c>
      <x:c r="B27" s="19" t="str">
        <x:v>greenhouse effect</x:v>
      </x:c>
      <x:c r="C27" s="31" t="str">
        <x:v>carbon_greenhouse</x:v>
      </x:c>
      <x:c r="D27" s="25" t="n">
        <x:v>1864</x:v>
      </x:c>
      <x:c r="E27" s="46" t="n">
        <x:v>0</x:v>
      </x:c>
      <x:c r="F27" s="19" t="str">
        <x:v>eng</x:v>
      </x:c>
      <x:c r="G27" s="19" t="str">
        <x:v>current English corpus (July 2024 dataset; public shorthand eng; mutable current corpus)</x:v>
      </x:c>
      <x:c r="H27" s="19" t="str">
        <x:v>greenhouse effect (All)</x:v>
      </x:c>
      <x:c r="I27" s="19" t="str">
        <x:v>0</x:v>
      </x:c>
      <x:c r="J27" s="19" t="n">
        <x:v>46260.10724537037</x:v>
      </x:c>
      <x:c r="K27" s="31" t="str">
        <x:v>data/fear-temperature/ngram/raw/205959f263c8ae6824e66753a55df505e51b40905b28c4cb916bd1952aea4bdb.json</x:v>
      </x:c>
      <x:c r="L27" s="19" t="str">
        <x:v>4286ccb83770f8e9550a4b862463947b8edb637081d5f43cfee319f9d7681262</x:v>
      </x:c>
      <x:c r="M27" s="19" t="str">
        <x:v>03c6b3b7aec17c75d6066c3ad33475123246728a6d70514bc6c4b2fac975aa04</x:v>
      </x:c>
      <x:c r="N27" s="31" t="str">
        <x:v>FT-LF-GREENHOUSE_EFFECT</x:v>
      </x:c>
      <x:c r="O27" s="31" t="str">
        <x:v>FT-C-GREENHOUSE_MECHANISM</x:v>
      </x:c>
      <x:c r="P27" s="31" t="str">
        <x:v>FT-F05</x:v>
      </x:c>
      <x:c r="Q27" s="49" t="n">
        <x:v>0</x:v>
      </x:c>
    </x:row>
    <x:row r="28" ht="20" customHeight="1">
      <x:c r="A28" s="40" t="str">
        <x:v>FT-Q-V01-041</x:v>
      </x:c>
      <x:c r="B28" s="19" t="str">
        <x:v>greenhouse effect</x:v>
      </x:c>
      <x:c r="C28" s="31" t="str">
        <x:v>carbon_greenhouse</x:v>
      </x:c>
      <x:c r="D28" s="25" t="n">
        <x:v>1865</x:v>
      </x:c>
      <x:c r="E28" s="46" t="n">
        <x:v>0</x:v>
      </x:c>
      <x:c r="F28" s="19" t="str">
        <x:v>eng</x:v>
      </x:c>
      <x:c r="G28" s="19" t="str">
        <x:v>current English corpus (July 2024 dataset; public shorthand eng; mutable current corpus)</x:v>
      </x:c>
      <x:c r="H28" s="19" t="str">
        <x:v>greenhouse effect (All)</x:v>
      </x:c>
      <x:c r="I28" s="19" t="str">
        <x:v>0</x:v>
      </x:c>
      <x:c r="J28" s="19" t="n">
        <x:v>46260.10724537037</x:v>
      </x:c>
      <x:c r="K28" s="31" t="str">
        <x:v>data/fear-temperature/ngram/raw/205959f263c8ae6824e66753a55df505e51b40905b28c4cb916bd1952aea4bdb.json</x:v>
      </x:c>
      <x:c r="L28" s="19" t="str">
        <x:v>4286ccb83770f8e9550a4b862463947b8edb637081d5f43cfee319f9d7681262</x:v>
      </x:c>
      <x:c r="M28" s="19" t="str">
        <x:v>03c6b3b7aec17c75d6066c3ad33475123246728a6d70514bc6c4b2fac975aa04</x:v>
      </x:c>
      <x:c r="N28" s="31" t="str">
        <x:v>FT-LF-GREENHOUSE_EFFECT</x:v>
      </x:c>
      <x:c r="O28" s="31" t="str">
        <x:v>FT-C-GREENHOUSE_MECHANISM</x:v>
      </x:c>
      <x:c r="P28" s="31" t="str">
        <x:v>FT-F05</x:v>
      </x:c>
      <x:c r="Q28" s="49" t="n">
        <x:v>0</x:v>
      </x:c>
    </x:row>
    <x:row r="29" ht="20" customHeight="1">
      <x:c r="A29" s="40" t="str">
        <x:v>FT-Q-V01-041</x:v>
      </x:c>
      <x:c r="B29" s="19" t="str">
        <x:v>greenhouse effect</x:v>
      </x:c>
      <x:c r="C29" s="31" t="str">
        <x:v>carbon_greenhouse</x:v>
      </x:c>
      <x:c r="D29" s="25" t="n">
        <x:v>1866</x:v>
      </x:c>
      <x:c r="E29" s="46" t="n">
        <x:v>0</x:v>
      </x:c>
      <x:c r="F29" s="19" t="str">
        <x:v>eng</x:v>
      </x:c>
      <x:c r="G29" s="19" t="str">
        <x:v>current English corpus (July 2024 dataset; public shorthand eng; mutable current corpus)</x:v>
      </x:c>
      <x:c r="H29" s="19" t="str">
        <x:v>greenhouse effect (All)</x:v>
      </x:c>
      <x:c r="I29" s="19" t="str">
        <x:v>0</x:v>
      </x:c>
      <x:c r="J29" s="19" t="n">
        <x:v>46260.10724537037</x:v>
      </x:c>
      <x:c r="K29" s="31" t="str">
        <x:v>data/fear-temperature/ngram/raw/205959f263c8ae6824e66753a55df505e51b40905b28c4cb916bd1952aea4bdb.json</x:v>
      </x:c>
      <x:c r="L29" s="19" t="str">
        <x:v>4286ccb83770f8e9550a4b862463947b8edb637081d5f43cfee319f9d7681262</x:v>
      </x:c>
      <x:c r="M29" s="19" t="str">
        <x:v>03c6b3b7aec17c75d6066c3ad33475123246728a6d70514bc6c4b2fac975aa04</x:v>
      </x:c>
      <x:c r="N29" s="31" t="str">
        <x:v>FT-LF-GREENHOUSE_EFFECT</x:v>
      </x:c>
      <x:c r="O29" s="31" t="str">
        <x:v>FT-C-GREENHOUSE_MECHANISM</x:v>
      </x:c>
      <x:c r="P29" s="31" t="str">
        <x:v>FT-F05</x:v>
      </x:c>
      <x:c r="Q29" s="49" t="n">
        <x:v>0</x:v>
      </x:c>
    </x:row>
    <x:row r="30" ht="20" customHeight="1">
      <x:c r="A30" s="40" t="str">
        <x:v>FT-Q-V01-041</x:v>
      </x:c>
      <x:c r="B30" s="19" t="str">
        <x:v>greenhouse effect</x:v>
      </x:c>
      <x:c r="C30" s="31" t="str">
        <x:v>carbon_greenhouse</x:v>
      </x:c>
      <x:c r="D30" s="25" t="n">
        <x:v>1867</x:v>
      </x:c>
      <x:c r="E30" s="46" t="n">
        <x:v>0</x:v>
      </x:c>
      <x:c r="F30" s="19" t="str">
        <x:v>eng</x:v>
      </x:c>
      <x:c r="G30" s="19" t="str">
        <x:v>current English corpus (July 2024 dataset; public shorthand eng; mutable current corpus)</x:v>
      </x:c>
      <x:c r="H30" s="19" t="str">
        <x:v>greenhouse effect (All)</x:v>
      </x:c>
      <x:c r="I30" s="19" t="str">
        <x:v>0</x:v>
      </x:c>
      <x:c r="J30" s="19" t="n">
        <x:v>46260.10724537037</x:v>
      </x:c>
      <x:c r="K30" s="31" t="str">
        <x:v>data/fear-temperature/ngram/raw/205959f263c8ae6824e66753a55df505e51b40905b28c4cb916bd1952aea4bdb.json</x:v>
      </x:c>
      <x:c r="L30" s="19" t="str">
        <x:v>4286ccb83770f8e9550a4b862463947b8edb637081d5f43cfee319f9d7681262</x:v>
      </x:c>
      <x:c r="M30" s="19" t="str">
        <x:v>03c6b3b7aec17c75d6066c3ad33475123246728a6d70514bc6c4b2fac975aa04</x:v>
      </x:c>
      <x:c r="N30" s="31" t="str">
        <x:v>FT-LF-GREENHOUSE_EFFECT</x:v>
      </x:c>
      <x:c r="O30" s="31" t="str">
        <x:v>FT-C-GREENHOUSE_MECHANISM</x:v>
      </x:c>
      <x:c r="P30" s="31" t="str">
        <x:v>FT-F05</x:v>
      </x:c>
      <x:c r="Q30" s="49" t="n">
        <x:v>0</x:v>
      </x:c>
    </x:row>
    <x:row r="31" ht="20" customHeight="1">
      <x:c r="A31" s="40" t="str">
        <x:v>FT-Q-V01-041</x:v>
      </x:c>
      <x:c r="B31" s="19" t="str">
        <x:v>greenhouse effect</x:v>
      </x:c>
      <x:c r="C31" s="31" t="str">
        <x:v>carbon_greenhouse</x:v>
      </x:c>
      <x:c r="D31" s="25" t="n">
        <x:v>1868</x:v>
      </x:c>
      <x:c r="E31" s="46" t="n">
        <x:v>0</x:v>
      </x:c>
      <x:c r="F31" s="19" t="str">
        <x:v>eng</x:v>
      </x:c>
      <x:c r="G31" s="19" t="str">
        <x:v>current English corpus (July 2024 dataset; public shorthand eng; mutable current corpus)</x:v>
      </x:c>
      <x:c r="H31" s="19" t="str">
        <x:v>greenhouse effect (All)</x:v>
      </x:c>
      <x:c r="I31" s="19" t="str">
        <x:v>0</x:v>
      </x:c>
      <x:c r="J31" s="19" t="n">
        <x:v>46260.10724537037</x:v>
      </x:c>
      <x:c r="K31" s="31" t="str">
        <x:v>data/fear-temperature/ngram/raw/205959f263c8ae6824e66753a55df505e51b40905b28c4cb916bd1952aea4bdb.json</x:v>
      </x:c>
      <x:c r="L31" s="19" t="str">
        <x:v>4286ccb83770f8e9550a4b862463947b8edb637081d5f43cfee319f9d7681262</x:v>
      </x:c>
      <x:c r="M31" s="19" t="str">
        <x:v>03c6b3b7aec17c75d6066c3ad33475123246728a6d70514bc6c4b2fac975aa04</x:v>
      </x:c>
      <x:c r="N31" s="31" t="str">
        <x:v>FT-LF-GREENHOUSE_EFFECT</x:v>
      </x:c>
      <x:c r="O31" s="31" t="str">
        <x:v>FT-C-GREENHOUSE_MECHANISM</x:v>
      </x:c>
      <x:c r="P31" s="31" t="str">
        <x:v>FT-F05</x:v>
      </x:c>
      <x:c r="Q31" s="49" t="n">
        <x:v>0</x:v>
      </x:c>
    </x:row>
    <x:row r="32" ht="20" customHeight="1">
      <x:c r="A32" s="40" t="str">
        <x:v>FT-Q-V01-041</x:v>
      </x:c>
      <x:c r="B32" s="19" t="str">
        <x:v>greenhouse effect</x:v>
      </x:c>
      <x:c r="C32" s="31" t="str">
        <x:v>carbon_greenhouse</x:v>
      </x:c>
      <x:c r="D32" s="25" t="n">
        <x:v>1869</x:v>
      </x:c>
      <x:c r="E32" s="46" t="n">
        <x:v>2.3225564582673996e-8</x:v>
      </x:c>
      <x:c r="F32" s="19" t="str">
        <x:v>eng</x:v>
      </x:c>
      <x:c r="G32" s="19" t="str">
        <x:v>current English corpus (July 2024 dataset; public shorthand eng; mutable current corpus)</x:v>
      </x:c>
      <x:c r="H32" s="19" t="str">
        <x:v>greenhouse effect (All)</x:v>
      </x:c>
      <x:c r="I32" s="19" t="str">
        <x:v>0</x:v>
      </x:c>
      <x:c r="J32" s="19" t="n">
        <x:v>46260.10724537037</x:v>
      </x:c>
      <x:c r="K32" s="31" t="str">
        <x:v>data/fear-temperature/ngram/raw/205959f263c8ae6824e66753a55df505e51b40905b28c4cb916bd1952aea4bdb.json</x:v>
      </x:c>
      <x:c r="L32" s="19" t="str">
        <x:v>4286ccb83770f8e9550a4b862463947b8edb637081d5f43cfee319f9d7681262</x:v>
      </x:c>
      <x:c r="M32" s="19" t="str">
        <x:v>03c6b3b7aec17c75d6066c3ad33475123246728a6d70514bc6c4b2fac975aa04</x:v>
      </x:c>
      <x:c r="N32" s="31" t="str">
        <x:v>FT-LF-GREENHOUSE_EFFECT</x:v>
      </x:c>
      <x:c r="O32" s="31" t="str">
        <x:v>FT-C-GREENHOUSE_MECHANISM</x:v>
      </x:c>
      <x:c r="P32" s="31" t="str">
        <x:v>FT-F05</x:v>
      </x:c>
      <x:c r="Q32" s="49" t="n">
        <x:v>0.023225564582673996</x:v>
      </x:c>
    </x:row>
    <x:row r="33" ht="20" customHeight="1">
      <x:c r="A33" s="40" t="str">
        <x:v>FT-Q-V01-041</x:v>
      </x:c>
      <x:c r="B33" s="19" t="str">
        <x:v>greenhouse effect</x:v>
      </x:c>
      <x:c r="C33" s="31" t="str">
        <x:v>carbon_greenhouse</x:v>
      </x:c>
      <x:c r="D33" s="25" t="n">
        <x:v>1870</x:v>
      </x:c>
      <x:c r="E33" s="46" t="n">
        <x:v>3.044025864706867e-10</x:v>
      </x:c>
      <x:c r="F33" s="19" t="str">
        <x:v>eng</x:v>
      </x:c>
      <x:c r="G33" s="19" t="str">
        <x:v>current English corpus (July 2024 dataset; public shorthand eng; mutable current corpus)</x:v>
      </x:c>
      <x:c r="H33" s="19" t="str">
        <x:v>greenhouse effect (All)</x:v>
      </x:c>
      <x:c r="I33" s="19" t="str">
        <x:v>0</x:v>
      </x:c>
      <x:c r="J33" s="19" t="n">
        <x:v>46260.10724537037</x:v>
      </x:c>
      <x:c r="K33" s="31" t="str">
        <x:v>data/fear-temperature/ngram/raw/205959f263c8ae6824e66753a55df505e51b40905b28c4cb916bd1952aea4bdb.json</x:v>
      </x:c>
      <x:c r="L33" s="19" t="str">
        <x:v>4286ccb83770f8e9550a4b862463947b8edb637081d5f43cfee319f9d7681262</x:v>
      </x:c>
      <x:c r="M33" s="19" t="str">
        <x:v>03c6b3b7aec17c75d6066c3ad33475123246728a6d70514bc6c4b2fac975aa04</x:v>
      </x:c>
      <x:c r="N33" s="31" t="str">
        <x:v>FT-LF-GREENHOUSE_EFFECT</x:v>
      </x:c>
      <x:c r="O33" s="31" t="str">
        <x:v>FT-C-GREENHOUSE_MECHANISM</x:v>
      </x:c>
      <x:c r="P33" s="31" t="str">
        <x:v>FT-F05</x:v>
      </x:c>
      <x:c r="Q33" s="49" t="n">
        <x:v>0.0003044025864706867</x:v>
      </x:c>
    </x:row>
    <x:row r="34" ht="20" customHeight="1">
      <x:c r="A34" s="40" t="str">
        <x:v>FT-Q-V01-041</x:v>
      </x:c>
      <x:c r="B34" s="19" t="str">
        <x:v>greenhouse effect</x:v>
      </x:c>
      <x:c r="C34" s="31" t="str">
        <x:v>carbon_greenhouse</x:v>
      </x:c>
      <x:c r="D34" s="25" t="n">
        <x:v>1871</x:v>
      </x:c>
      <x:c r="E34" s="46" t="n">
        <x:v>0</x:v>
      </x:c>
      <x:c r="F34" s="19" t="str">
        <x:v>eng</x:v>
      </x:c>
      <x:c r="G34" s="19" t="str">
        <x:v>current English corpus (July 2024 dataset; public shorthand eng; mutable current corpus)</x:v>
      </x:c>
      <x:c r="H34" s="19" t="str">
        <x:v>greenhouse effect (All)</x:v>
      </x:c>
      <x:c r="I34" s="19" t="str">
        <x:v>0</x:v>
      </x:c>
      <x:c r="J34" s="19" t="n">
        <x:v>46260.10724537037</x:v>
      </x:c>
      <x:c r="K34" s="31" t="str">
        <x:v>data/fear-temperature/ngram/raw/205959f263c8ae6824e66753a55df505e51b40905b28c4cb916bd1952aea4bdb.json</x:v>
      </x:c>
      <x:c r="L34" s="19" t="str">
        <x:v>4286ccb83770f8e9550a4b862463947b8edb637081d5f43cfee319f9d7681262</x:v>
      </x:c>
      <x:c r="M34" s="19" t="str">
        <x:v>03c6b3b7aec17c75d6066c3ad33475123246728a6d70514bc6c4b2fac975aa04</x:v>
      </x:c>
      <x:c r="N34" s="31" t="str">
        <x:v>FT-LF-GREENHOUSE_EFFECT</x:v>
      </x:c>
      <x:c r="O34" s="31" t="str">
        <x:v>FT-C-GREENHOUSE_MECHANISM</x:v>
      </x:c>
      <x:c r="P34" s="31" t="str">
        <x:v>FT-F05</x:v>
      </x:c>
      <x:c r="Q34" s="49" t="n">
        <x:v>0</x:v>
      </x:c>
    </x:row>
    <x:row r="35" ht="20" customHeight="1">
      <x:c r="A35" s="40" t="str">
        <x:v>FT-Q-V01-041</x:v>
      </x:c>
      <x:c r="B35" s="19" t="str">
        <x:v>greenhouse effect</x:v>
      </x:c>
      <x:c r="C35" s="31" t="str">
        <x:v>carbon_greenhouse</x:v>
      </x:c>
      <x:c r="D35" s="25" t="n">
        <x:v>1872</x:v>
      </x:c>
      <x:c r="E35" s="46" t="n">
        <x:v>0</x:v>
      </x:c>
      <x:c r="F35" s="19" t="str">
        <x:v>eng</x:v>
      </x:c>
      <x:c r="G35" s="19" t="str">
        <x:v>current English corpus (July 2024 dataset; public shorthand eng; mutable current corpus)</x:v>
      </x:c>
      <x:c r="H35" s="19" t="str">
        <x:v>greenhouse effect (All)</x:v>
      </x:c>
      <x:c r="I35" s="19" t="str">
        <x:v>0</x:v>
      </x:c>
      <x:c r="J35" s="19" t="n">
        <x:v>46260.10724537037</x:v>
      </x:c>
      <x:c r="K35" s="31" t="str">
        <x:v>data/fear-temperature/ngram/raw/205959f263c8ae6824e66753a55df505e51b40905b28c4cb916bd1952aea4bdb.json</x:v>
      </x:c>
      <x:c r="L35" s="19" t="str">
        <x:v>4286ccb83770f8e9550a4b862463947b8edb637081d5f43cfee319f9d7681262</x:v>
      </x:c>
      <x:c r="M35" s="19" t="str">
        <x:v>03c6b3b7aec17c75d6066c3ad33475123246728a6d70514bc6c4b2fac975aa04</x:v>
      </x:c>
      <x:c r="N35" s="31" t="str">
        <x:v>FT-LF-GREENHOUSE_EFFECT</x:v>
      </x:c>
      <x:c r="O35" s="31" t="str">
        <x:v>FT-C-GREENHOUSE_MECHANISM</x:v>
      </x:c>
      <x:c r="P35" s="31" t="str">
        <x:v>FT-F05</x:v>
      </x:c>
      <x:c r="Q35" s="49" t="n">
        <x:v>0</x:v>
      </x:c>
    </x:row>
    <x:row r="36" ht="20" customHeight="1">
      <x:c r="A36" s="40" t="str">
        <x:v>FT-Q-V01-041</x:v>
      </x:c>
      <x:c r="B36" s="19" t="str">
        <x:v>greenhouse effect</x:v>
      </x:c>
      <x:c r="C36" s="31" t="str">
        <x:v>carbon_greenhouse</x:v>
      </x:c>
      <x:c r="D36" s="25" t="n">
        <x:v>1873</x:v>
      </x:c>
      <x:c r="E36" s="46" t="n">
        <x:v>0</x:v>
      </x:c>
      <x:c r="F36" s="19" t="str">
        <x:v>eng</x:v>
      </x:c>
      <x:c r="G36" s="19" t="str">
        <x:v>current English corpus (July 2024 dataset; public shorthand eng; mutable current corpus)</x:v>
      </x:c>
      <x:c r="H36" s="19" t="str">
        <x:v>greenhouse effect (All)</x:v>
      </x:c>
      <x:c r="I36" s="19" t="str">
        <x:v>0</x:v>
      </x:c>
      <x:c r="J36" s="19" t="n">
        <x:v>46260.10724537037</x:v>
      </x:c>
      <x:c r="K36" s="31" t="str">
        <x:v>data/fear-temperature/ngram/raw/205959f263c8ae6824e66753a55df505e51b40905b28c4cb916bd1952aea4bdb.json</x:v>
      </x:c>
      <x:c r="L36" s="19" t="str">
        <x:v>4286ccb83770f8e9550a4b862463947b8edb637081d5f43cfee319f9d7681262</x:v>
      </x:c>
      <x:c r="M36" s="19" t="str">
        <x:v>03c6b3b7aec17c75d6066c3ad33475123246728a6d70514bc6c4b2fac975aa04</x:v>
      </x:c>
      <x:c r="N36" s="31" t="str">
        <x:v>FT-LF-GREENHOUSE_EFFECT</x:v>
      </x:c>
      <x:c r="O36" s="31" t="str">
        <x:v>FT-C-GREENHOUSE_MECHANISM</x:v>
      </x:c>
      <x:c r="P36" s="31" t="str">
        <x:v>FT-F05</x:v>
      </x:c>
      <x:c r="Q36" s="49" t="n">
        <x:v>0</x:v>
      </x:c>
    </x:row>
    <x:row r="37" ht="20" customHeight="1">
      <x:c r="A37" s="40" t="str">
        <x:v>FT-Q-V01-041</x:v>
      </x:c>
      <x:c r="B37" s="19" t="str">
        <x:v>greenhouse effect</x:v>
      </x:c>
      <x:c r="C37" s="31" t="str">
        <x:v>carbon_greenhouse</x:v>
      </x:c>
      <x:c r="D37" s="25" t="n">
        <x:v>1874</x:v>
      </x:c>
      <x:c r="E37" s="46" t="n">
        <x:v>0</x:v>
      </x:c>
      <x:c r="F37" s="19" t="str">
        <x:v>eng</x:v>
      </x:c>
      <x:c r="G37" s="19" t="str">
        <x:v>current English corpus (July 2024 dataset; public shorthand eng; mutable current corpus)</x:v>
      </x:c>
      <x:c r="H37" s="19" t="str">
        <x:v>greenhouse effect (All)</x:v>
      </x:c>
      <x:c r="I37" s="19" t="str">
        <x:v>0</x:v>
      </x:c>
      <x:c r="J37" s="19" t="n">
        <x:v>46260.10724537037</x:v>
      </x:c>
      <x:c r="K37" s="31" t="str">
        <x:v>data/fear-temperature/ngram/raw/205959f263c8ae6824e66753a55df505e51b40905b28c4cb916bd1952aea4bdb.json</x:v>
      </x:c>
      <x:c r="L37" s="19" t="str">
        <x:v>4286ccb83770f8e9550a4b862463947b8edb637081d5f43cfee319f9d7681262</x:v>
      </x:c>
      <x:c r="M37" s="19" t="str">
        <x:v>03c6b3b7aec17c75d6066c3ad33475123246728a6d70514bc6c4b2fac975aa04</x:v>
      </x:c>
      <x:c r="N37" s="31" t="str">
        <x:v>FT-LF-GREENHOUSE_EFFECT</x:v>
      </x:c>
      <x:c r="O37" s="31" t="str">
        <x:v>FT-C-GREENHOUSE_MECHANISM</x:v>
      </x:c>
      <x:c r="P37" s="31" t="str">
        <x:v>FT-F05</x:v>
      </x:c>
      <x:c r="Q37" s="49" t="n">
        <x:v>0</x:v>
      </x:c>
    </x:row>
    <x:row r="38" ht="20" customHeight="1">
      <x:c r="A38" s="40" t="str">
        <x:v>FT-Q-V01-041</x:v>
      </x:c>
      <x:c r="B38" s="19" t="str">
        <x:v>greenhouse effect</x:v>
      </x:c>
      <x:c r="C38" s="31" t="str">
        <x:v>carbon_greenhouse</x:v>
      </x:c>
      <x:c r="D38" s="25" t="n">
        <x:v>1875</x:v>
      </x:c>
      <x:c r="E38" s="46" t="n">
        <x:v>0</x:v>
      </x:c>
      <x:c r="F38" s="19" t="str">
        <x:v>eng</x:v>
      </x:c>
      <x:c r="G38" s="19" t="str">
        <x:v>current English corpus (July 2024 dataset; public shorthand eng; mutable current corpus)</x:v>
      </x:c>
      <x:c r="H38" s="19" t="str">
        <x:v>greenhouse effect (All)</x:v>
      </x:c>
      <x:c r="I38" s="19" t="str">
        <x:v>0</x:v>
      </x:c>
      <x:c r="J38" s="19" t="n">
        <x:v>46260.10724537037</x:v>
      </x:c>
      <x:c r="K38" s="31" t="str">
        <x:v>data/fear-temperature/ngram/raw/205959f263c8ae6824e66753a55df505e51b40905b28c4cb916bd1952aea4bdb.json</x:v>
      </x:c>
      <x:c r="L38" s="19" t="str">
        <x:v>4286ccb83770f8e9550a4b862463947b8edb637081d5f43cfee319f9d7681262</x:v>
      </x:c>
      <x:c r="M38" s="19" t="str">
        <x:v>03c6b3b7aec17c75d6066c3ad33475123246728a6d70514bc6c4b2fac975aa04</x:v>
      </x:c>
      <x:c r="N38" s="31" t="str">
        <x:v>FT-LF-GREENHOUSE_EFFECT</x:v>
      </x:c>
      <x:c r="O38" s="31" t="str">
        <x:v>FT-C-GREENHOUSE_MECHANISM</x:v>
      </x:c>
      <x:c r="P38" s="31" t="str">
        <x:v>FT-F05</x:v>
      </x:c>
      <x:c r="Q38" s="49" t="n">
        <x:v>0</x:v>
      </x:c>
    </x:row>
    <x:row r="39" ht="20" customHeight="1">
      <x:c r="A39" s="40" t="str">
        <x:v>FT-Q-V01-041</x:v>
      </x:c>
      <x:c r="B39" s="19" t="str">
        <x:v>greenhouse effect</x:v>
      </x:c>
      <x:c r="C39" s="31" t="str">
        <x:v>carbon_greenhouse</x:v>
      </x:c>
      <x:c r="D39" s="25" t="n">
        <x:v>1876</x:v>
      </x:c>
      <x:c r="E39" s="46" t="n">
        <x:v>0</x:v>
      </x:c>
      <x:c r="F39" s="19" t="str">
        <x:v>eng</x:v>
      </x:c>
      <x:c r="G39" s="19" t="str">
        <x:v>current English corpus (July 2024 dataset; public shorthand eng; mutable current corpus)</x:v>
      </x:c>
      <x:c r="H39" s="19" t="str">
        <x:v>greenhouse effect (All)</x:v>
      </x:c>
      <x:c r="I39" s="19" t="str">
        <x:v>0</x:v>
      </x:c>
      <x:c r="J39" s="19" t="n">
        <x:v>46260.10724537037</x:v>
      </x:c>
      <x:c r="K39" s="31" t="str">
        <x:v>data/fear-temperature/ngram/raw/205959f263c8ae6824e66753a55df505e51b40905b28c4cb916bd1952aea4bdb.json</x:v>
      </x:c>
      <x:c r="L39" s="19" t="str">
        <x:v>4286ccb83770f8e9550a4b862463947b8edb637081d5f43cfee319f9d7681262</x:v>
      </x:c>
      <x:c r="M39" s="19" t="str">
        <x:v>03c6b3b7aec17c75d6066c3ad33475123246728a6d70514bc6c4b2fac975aa04</x:v>
      </x:c>
      <x:c r="N39" s="31" t="str">
        <x:v>FT-LF-GREENHOUSE_EFFECT</x:v>
      </x:c>
      <x:c r="O39" s="31" t="str">
        <x:v>FT-C-GREENHOUSE_MECHANISM</x:v>
      </x:c>
      <x:c r="P39" s="31" t="str">
        <x:v>FT-F05</x:v>
      </x:c>
      <x:c r="Q39" s="49" t="n">
        <x:v>0</x:v>
      </x:c>
    </x:row>
    <x:row r="40" ht="20" customHeight="1">
      <x:c r="A40" s="40" t="str">
        <x:v>FT-Q-V01-041</x:v>
      </x:c>
      <x:c r="B40" s="19" t="str">
        <x:v>greenhouse effect</x:v>
      </x:c>
      <x:c r="C40" s="31" t="str">
        <x:v>carbon_greenhouse</x:v>
      </x:c>
      <x:c r="D40" s="25" t="n">
        <x:v>1877</x:v>
      </x:c>
      <x:c r="E40" s="46" t="n">
        <x:v>0</x:v>
      </x:c>
      <x:c r="F40" s="19" t="str">
        <x:v>eng</x:v>
      </x:c>
      <x:c r="G40" s="19" t="str">
        <x:v>current English corpus (July 2024 dataset; public shorthand eng; mutable current corpus)</x:v>
      </x:c>
      <x:c r="H40" s="19" t="str">
        <x:v>greenhouse effect (All)</x:v>
      </x:c>
      <x:c r="I40" s="19" t="str">
        <x:v>0</x:v>
      </x:c>
      <x:c r="J40" s="19" t="n">
        <x:v>46260.10724537037</x:v>
      </x:c>
      <x:c r="K40" s="31" t="str">
        <x:v>data/fear-temperature/ngram/raw/205959f263c8ae6824e66753a55df505e51b40905b28c4cb916bd1952aea4bdb.json</x:v>
      </x:c>
      <x:c r="L40" s="19" t="str">
        <x:v>4286ccb83770f8e9550a4b862463947b8edb637081d5f43cfee319f9d7681262</x:v>
      </x:c>
      <x:c r="M40" s="19" t="str">
        <x:v>03c6b3b7aec17c75d6066c3ad33475123246728a6d70514bc6c4b2fac975aa04</x:v>
      </x:c>
      <x:c r="N40" s="31" t="str">
        <x:v>FT-LF-GREENHOUSE_EFFECT</x:v>
      </x:c>
      <x:c r="O40" s="31" t="str">
        <x:v>FT-C-GREENHOUSE_MECHANISM</x:v>
      </x:c>
      <x:c r="P40" s="31" t="str">
        <x:v>FT-F05</x:v>
      </x:c>
      <x:c r="Q40" s="49" t="n">
        <x:v>0</x:v>
      </x:c>
    </x:row>
    <x:row r="41" ht="20" customHeight="1">
      <x:c r="A41" s="40" t="str">
        <x:v>FT-Q-V01-041</x:v>
      </x:c>
      <x:c r="B41" s="19" t="str">
        <x:v>greenhouse effect</x:v>
      </x:c>
      <x:c r="C41" s="31" t="str">
        <x:v>carbon_greenhouse</x:v>
      </x:c>
      <x:c r="D41" s="25" t="n">
        <x:v>1878</x:v>
      </x:c>
      <x:c r="E41" s="46" t="n">
        <x:v>0</x:v>
      </x:c>
      <x:c r="F41" s="19" t="str">
        <x:v>eng</x:v>
      </x:c>
      <x:c r="G41" s="19" t="str">
        <x:v>current English corpus (July 2024 dataset; public shorthand eng; mutable current corpus)</x:v>
      </x:c>
      <x:c r="H41" s="19" t="str">
        <x:v>greenhouse effect (All)</x:v>
      </x:c>
      <x:c r="I41" s="19" t="str">
        <x:v>0</x:v>
      </x:c>
      <x:c r="J41" s="19" t="n">
        <x:v>46260.10724537037</x:v>
      </x:c>
      <x:c r="K41" s="31" t="str">
        <x:v>data/fear-temperature/ngram/raw/205959f263c8ae6824e66753a55df505e51b40905b28c4cb916bd1952aea4bdb.json</x:v>
      </x:c>
      <x:c r="L41" s="19" t="str">
        <x:v>4286ccb83770f8e9550a4b862463947b8edb637081d5f43cfee319f9d7681262</x:v>
      </x:c>
      <x:c r="M41" s="19" t="str">
        <x:v>03c6b3b7aec17c75d6066c3ad33475123246728a6d70514bc6c4b2fac975aa04</x:v>
      </x:c>
      <x:c r="N41" s="31" t="str">
        <x:v>FT-LF-GREENHOUSE_EFFECT</x:v>
      </x:c>
      <x:c r="O41" s="31" t="str">
        <x:v>FT-C-GREENHOUSE_MECHANISM</x:v>
      </x:c>
      <x:c r="P41" s="31" t="str">
        <x:v>FT-F05</x:v>
      </x:c>
      <x:c r="Q41" s="49" t="n">
        <x:v>0</x:v>
      </x:c>
    </x:row>
    <x:row r="42" ht="20" customHeight="1">
      <x:c r="A42" s="40" t="str">
        <x:v>FT-Q-V01-041</x:v>
      </x:c>
      <x:c r="B42" s="19" t="str">
        <x:v>greenhouse effect</x:v>
      </x:c>
      <x:c r="C42" s="31" t="str">
        <x:v>carbon_greenhouse</x:v>
      </x:c>
      <x:c r="D42" s="25" t="n">
        <x:v>1879</x:v>
      </x:c>
      <x:c r="E42" s="46" t="n">
        <x:v>0</x:v>
      </x:c>
      <x:c r="F42" s="19" t="str">
        <x:v>eng</x:v>
      </x:c>
      <x:c r="G42" s="19" t="str">
        <x:v>current English corpus (July 2024 dataset; public shorthand eng; mutable current corpus)</x:v>
      </x:c>
      <x:c r="H42" s="19" t="str">
        <x:v>greenhouse effect (All)</x:v>
      </x:c>
      <x:c r="I42" s="19" t="str">
        <x:v>0</x:v>
      </x:c>
      <x:c r="J42" s="19" t="n">
        <x:v>46260.10724537037</x:v>
      </x:c>
      <x:c r="K42" s="31" t="str">
        <x:v>data/fear-temperature/ngram/raw/205959f263c8ae6824e66753a55df505e51b40905b28c4cb916bd1952aea4bdb.json</x:v>
      </x:c>
      <x:c r="L42" s="19" t="str">
        <x:v>4286ccb83770f8e9550a4b862463947b8edb637081d5f43cfee319f9d7681262</x:v>
      </x:c>
      <x:c r="M42" s="19" t="str">
        <x:v>03c6b3b7aec17c75d6066c3ad33475123246728a6d70514bc6c4b2fac975aa04</x:v>
      </x:c>
      <x:c r="N42" s="31" t="str">
        <x:v>FT-LF-GREENHOUSE_EFFECT</x:v>
      </x:c>
      <x:c r="O42" s="31" t="str">
        <x:v>FT-C-GREENHOUSE_MECHANISM</x:v>
      </x:c>
      <x:c r="P42" s="31" t="str">
        <x:v>FT-F05</x:v>
      </x:c>
      <x:c r="Q42" s="49" t="n">
        <x:v>0</x:v>
      </x:c>
    </x:row>
    <x:row r="43" ht="20" customHeight="1">
      <x:c r="A43" s="40" t="str">
        <x:v>FT-Q-V01-041</x:v>
      </x:c>
      <x:c r="B43" s="19" t="str">
        <x:v>greenhouse effect</x:v>
      </x:c>
      <x:c r="C43" s="31" t="str">
        <x:v>carbon_greenhouse</x:v>
      </x:c>
      <x:c r="D43" s="25" t="n">
        <x:v>1880</x:v>
      </x:c>
      <x:c r="E43" s="46" t="n">
        <x:v>3.2144837902592367e-9</x:v>
      </x:c>
      <x:c r="F43" s="19" t="str">
        <x:v>eng</x:v>
      </x:c>
      <x:c r="G43" s="19" t="str">
        <x:v>current English corpus (July 2024 dataset; public shorthand eng; mutable current corpus)</x:v>
      </x:c>
      <x:c r="H43" s="19" t="str">
        <x:v>greenhouse effect (All)</x:v>
      </x:c>
      <x:c r="I43" s="19" t="str">
        <x:v>0</x:v>
      </x:c>
      <x:c r="J43" s="19" t="n">
        <x:v>46260.10724537037</x:v>
      </x:c>
      <x:c r="K43" s="31" t="str">
        <x:v>data/fear-temperature/ngram/raw/205959f263c8ae6824e66753a55df505e51b40905b28c4cb916bd1952aea4bdb.json</x:v>
      </x:c>
      <x:c r="L43" s="19" t="str">
        <x:v>4286ccb83770f8e9550a4b862463947b8edb637081d5f43cfee319f9d7681262</x:v>
      </x:c>
      <x:c r="M43" s="19" t="str">
        <x:v>03c6b3b7aec17c75d6066c3ad33475123246728a6d70514bc6c4b2fac975aa04</x:v>
      </x:c>
      <x:c r="N43" s="31" t="str">
        <x:v>FT-LF-GREENHOUSE_EFFECT</x:v>
      </x:c>
      <x:c r="O43" s="31" t="str">
        <x:v>FT-C-GREENHOUSE_MECHANISM</x:v>
      </x:c>
      <x:c r="P43" s="31" t="str">
        <x:v>FT-F05</x:v>
      </x:c>
      <x:c r="Q43" s="49" t="n">
        <x:v>0.0032144837902592367</x:v>
      </x:c>
    </x:row>
    <x:row r="44" ht="20" customHeight="1">
      <x:c r="A44" s="40" t="str">
        <x:v>FT-Q-V01-041</x:v>
      </x:c>
      <x:c r="B44" s="19" t="str">
        <x:v>greenhouse effect</x:v>
      </x:c>
      <x:c r="C44" s="31" t="str">
        <x:v>carbon_greenhouse</x:v>
      </x:c>
      <x:c r="D44" s="25" t="n">
        <x:v>1881</x:v>
      </x:c>
      <x:c r="E44" s="46" t="n">
        <x:v>2.5660604197064174e-10</x:v>
      </x:c>
      <x:c r="F44" s="19" t="str">
        <x:v>eng</x:v>
      </x:c>
      <x:c r="G44" s="19" t="str">
        <x:v>current English corpus (July 2024 dataset; public shorthand eng; mutable current corpus)</x:v>
      </x:c>
      <x:c r="H44" s="19" t="str">
        <x:v>greenhouse effect (All)</x:v>
      </x:c>
      <x:c r="I44" s="19" t="str">
        <x:v>0</x:v>
      </x:c>
      <x:c r="J44" s="19" t="n">
        <x:v>46260.10724537037</x:v>
      </x:c>
      <x:c r="K44" s="31" t="str">
        <x:v>data/fear-temperature/ngram/raw/205959f263c8ae6824e66753a55df505e51b40905b28c4cb916bd1952aea4bdb.json</x:v>
      </x:c>
      <x:c r="L44" s="19" t="str">
        <x:v>4286ccb83770f8e9550a4b862463947b8edb637081d5f43cfee319f9d7681262</x:v>
      </x:c>
      <x:c r="M44" s="19" t="str">
        <x:v>03c6b3b7aec17c75d6066c3ad33475123246728a6d70514bc6c4b2fac975aa04</x:v>
      </x:c>
      <x:c r="N44" s="31" t="str">
        <x:v>FT-LF-GREENHOUSE_EFFECT</x:v>
      </x:c>
      <x:c r="O44" s="31" t="str">
        <x:v>FT-C-GREENHOUSE_MECHANISM</x:v>
      </x:c>
      <x:c r="P44" s="31" t="str">
        <x:v>FT-F05</x:v>
      </x:c>
      <x:c r="Q44" s="49" t="n">
        <x:v>0.00025660604197064174</x:v>
      </x:c>
    </x:row>
    <x:row r="45" ht="20" customHeight="1">
      <x:c r="A45" s="40" t="str">
        <x:v>FT-Q-V01-041</x:v>
      </x:c>
      <x:c r="B45" s="19" t="str">
        <x:v>greenhouse effect</x:v>
      </x:c>
      <x:c r="C45" s="31" t="str">
        <x:v>carbon_greenhouse</x:v>
      </x:c>
      <x:c r="D45" s="25" t="n">
        <x:v>1882</x:v>
      </x:c>
      <x:c r="E45" s="46" t="n">
        <x:v>0</x:v>
      </x:c>
      <x:c r="F45" s="19" t="str">
        <x:v>eng</x:v>
      </x:c>
      <x:c r="G45" s="19" t="str">
        <x:v>current English corpus (July 2024 dataset; public shorthand eng; mutable current corpus)</x:v>
      </x:c>
      <x:c r="H45" s="19" t="str">
        <x:v>greenhouse effect (All)</x:v>
      </x:c>
      <x:c r="I45" s="19" t="str">
        <x:v>0</x:v>
      </x:c>
      <x:c r="J45" s="19" t="n">
        <x:v>46260.10724537037</x:v>
      </x:c>
      <x:c r="K45" s="31" t="str">
        <x:v>data/fear-temperature/ngram/raw/205959f263c8ae6824e66753a55df505e51b40905b28c4cb916bd1952aea4bdb.json</x:v>
      </x:c>
      <x:c r="L45" s="19" t="str">
        <x:v>4286ccb83770f8e9550a4b862463947b8edb637081d5f43cfee319f9d7681262</x:v>
      </x:c>
      <x:c r="M45" s="19" t="str">
        <x:v>03c6b3b7aec17c75d6066c3ad33475123246728a6d70514bc6c4b2fac975aa04</x:v>
      </x:c>
      <x:c r="N45" s="31" t="str">
        <x:v>FT-LF-GREENHOUSE_EFFECT</x:v>
      </x:c>
      <x:c r="O45" s="31" t="str">
        <x:v>FT-C-GREENHOUSE_MECHANISM</x:v>
      </x:c>
      <x:c r="P45" s="31" t="str">
        <x:v>FT-F05</x:v>
      </x:c>
      <x:c r="Q45" s="49" t="n">
        <x:v>0</x:v>
      </x:c>
    </x:row>
    <x:row r="46" ht="20" customHeight="1">
      <x:c r="A46" s="40" t="str">
        <x:v>FT-Q-V01-041</x:v>
      </x:c>
      <x:c r="B46" s="19" t="str">
        <x:v>greenhouse effect</x:v>
      </x:c>
      <x:c r="C46" s="31" t="str">
        <x:v>carbon_greenhouse</x:v>
      </x:c>
      <x:c r="D46" s="25" t="n">
        <x:v>1883</x:v>
      </x:c>
      <x:c r="E46" s="46" t="n">
        <x:v>0</x:v>
      </x:c>
      <x:c r="F46" s="19" t="str">
        <x:v>eng</x:v>
      </x:c>
      <x:c r="G46" s="19" t="str">
        <x:v>current English corpus (July 2024 dataset; public shorthand eng; mutable current corpus)</x:v>
      </x:c>
      <x:c r="H46" s="19" t="str">
        <x:v>greenhouse effect (All)</x:v>
      </x:c>
      <x:c r="I46" s="19" t="str">
        <x:v>0</x:v>
      </x:c>
      <x:c r="J46" s="19" t="n">
        <x:v>46260.10724537037</x:v>
      </x:c>
      <x:c r="K46" s="31" t="str">
        <x:v>data/fear-temperature/ngram/raw/205959f263c8ae6824e66753a55df505e51b40905b28c4cb916bd1952aea4bdb.json</x:v>
      </x:c>
      <x:c r="L46" s="19" t="str">
        <x:v>4286ccb83770f8e9550a4b862463947b8edb637081d5f43cfee319f9d7681262</x:v>
      </x:c>
      <x:c r="M46" s="19" t="str">
        <x:v>03c6b3b7aec17c75d6066c3ad33475123246728a6d70514bc6c4b2fac975aa04</x:v>
      </x:c>
      <x:c r="N46" s="31" t="str">
        <x:v>FT-LF-GREENHOUSE_EFFECT</x:v>
      </x:c>
      <x:c r="O46" s="31" t="str">
        <x:v>FT-C-GREENHOUSE_MECHANISM</x:v>
      </x:c>
      <x:c r="P46" s="31" t="str">
        <x:v>FT-F05</x:v>
      </x:c>
      <x:c r="Q46" s="49" t="n">
        <x:v>0</x:v>
      </x:c>
    </x:row>
    <x:row r="47" ht="20" customHeight="1">
      <x:c r="A47" s="40" t="str">
        <x:v>FT-Q-V01-041</x:v>
      </x:c>
      <x:c r="B47" s="19" t="str">
        <x:v>greenhouse effect</x:v>
      </x:c>
      <x:c r="C47" s="31" t="str">
        <x:v>carbon_greenhouse</x:v>
      </x:c>
      <x:c r="D47" s="25" t="n">
        <x:v>1884</x:v>
      </x:c>
      <x:c r="E47" s="46" t="n">
        <x:v>0</x:v>
      </x:c>
      <x:c r="F47" s="19" t="str">
        <x:v>eng</x:v>
      </x:c>
      <x:c r="G47" s="19" t="str">
        <x:v>current English corpus (July 2024 dataset; public shorthand eng; mutable current corpus)</x:v>
      </x:c>
      <x:c r="H47" s="19" t="str">
        <x:v>greenhouse effect (All)</x:v>
      </x:c>
      <x:c r="I47" s="19" t="str">
        <x:v>0</x:v>
      </x:c>
      <x:c r="J47" s="19" t="n">
        <x:v>46260.10724537037</x:v>
      </x:c>
      <x:c r="K47" s="31" t="str">
        <x:v>data/fear-temperature/ngram/raw/205959f263c8ae6824e66753a55df505e51b40905b28c4cb916bd1952aea4bdb.json</x:v>
      </x:c>
      <x:c r="L47" s="19" t="str">
        <x:v>4286ccb83770f8e9550a4b862463947b8edb637081d5f43cfee319f9d7681262</x:v>
      </x:c>
      <x:c r="M47" s="19" t="str">
        <x:v>03c6b3b7aec17c75d6066c3ad33475123246728a6d70514bc6c4b2fac975aa04</x:v>
      </x:c>
      <x:c r="N47" s="31" t="str">
        <x:v>FT-LF-GREENHOUSE_EFFECT</x:v>
      </x:c>
      <x:c r="O47" s="31" t="str">
        <x:v>FT-C-GREENHOUSE_MECHANISM</x:v>
      </x:c>
      <x:c r="P47" s="31" t="str">
        <x:v>FT-F05</x:v>
      </x:c>
      <x:c r="Q47" s="49" t="n">
        <x:v>0</x:v>
      </x:c>
    </x:row>
    <x:row r="48" ht="20" customHeight="1">
      <x:c r="A48" s="40" t="str">
        <x:v>FT-Q-V01-041</x:v>
      </x:c>
      <x:c r="B48" s="19" t="str">
        <x:v>greenhouse effect</x:v>
      </x:c>
      <x:c r="C48" s="31" t="str">
        <x:v>carbon_greenhouse</x:v>
      </x:c>
      <x:c r="D48" s="25" t="n">
        <x:v>1885</x:v>
      </x:c>
      <x:c r="E48" s="46" t="n">
        <x:v>0</x:v>
      </x:c>
      <x:c r="F48" s="19" t="str">
        <x:v>eng</x:v>
      </x:c>
      <x:c r="G48" s="19" t="str">
        <x:v>current English corpus (July 2024 dataset; public shorthand eng; mutable current corpus)</x:v>
      </x:c>
      <x:c r="H48" s="19" t="str">
        <x:v>greenhouse effect (All)</x:v>
      </x:c>
      <x:c r="I48" s="19" t="str">
        <x:v>0</x:v>
      </x:c>
      <x:c r="J48" s="19" t="n">
        <x:v>46260.10724537037</x:v>
      </x:c>
      <x:c r="K48" s="31" t="str">
        <x:v>data/fear-temperature/ngram/raw/205959f263c8ae6824e66753a55df505e51b40905b28c4cb916bd1952aea4bdb.json</x:v>
      </x:c>
      <x:c r="L48" s="19" t="str">
        <x:v>4286ccb83770f8e9550a4b862463947b8edb637081d5f43cfee319f9d7681262</x:v>
      </x:c>
      <x:c r="M48" s="19" t="str">
        <x:v>03c6b3b7aec17c75d6066c3ad33475123246728a6d70514bc6c4b2fac975aa04</x:v>
      </x:c>
      <x:c r="N48" s="31" t="str">
        <x:v>FT-LF-GREENHOUSE_EFFECT</x:v>
      </x:c>
      <x:c r="O48" s="31" t="str">
        <x:v>FT-C-GREENHOUSE_MECHANISM</x:v>
      </x:c>
      <x:c r="P48" s="31" t="str">
        <x:v>FT-F05</x:v>
      </x:c>
      <x:c r="Q48" s="49" t="n">
        <x:v>0</x:v>
      </x:c>
    </x:row>
    <x:row r="49" ht="20" customHeight="1">
      <x:c r="A49" s="40" t="str">
        <x:v>FT-Q-V01-041</x:v>
      </x:c>
      <x:c r="B49" s="19" t="str">
        <x:v>greenhouse effect</x:v>
      </x:c>
      <x:c r="C49" s="31" t="str">
        <x:v>carbon_greenhouse</x:v>
      </x:c>
      <x:c r="D49" s="25" t="n">
        <x:v>1886</x:v>
      </x:c>
      <x:c r="E49" s="46" t="n">
        <x:v>6.695771714859687e-10</x:v>
      </x:c>
      <x:c r="F49" s="19" t="str">
        <x:v>eng</x:v>
      </x:c>
      <x:c r="G49" s="19" t="str">
        <x:v>current English corpus (July 2024 dataset; public shorthand eng; mutable current corpus)</x:v>
      </x:c>
      <x:c r="H49" s="19" t="str">
        <x:v>greenhouse effect (All)</x:v>
      </x:c>
      <x:c r="I49" s="19" t="str">
        <x:v>0</x:v>
      </x:c>
      <x:c r="J49" s="19" t="n">
        <x:v>46260.10724537037</x:v>
      </x:c>
      <x:c r="K49" s="31" t="str">
        <x:v>data/fear-temperature/ngram/raw/205959f263c8ae6824e66753a55df505e51b40905b28c4cb916bd1952aea4bdb.json</x:v>
      </x:c>
      <x:c r="L49" s="19" t="str">
        <x:v>4286ccb83770f8e9550a4b862463947b8edb637081d5f43cfee319f9d7681262</x:v>
      </x:c>
      <x:c r="M49" s="19" t="str">
        <x:v>03c6b3b7aec17c75d6066c3ad33475123246728a6d70514bc6c4b2fac975aa04</x:v>
      </x:c>
      <x:c r="N49" s="31" t="str">
        <x:v>FT-LF-GREENHOUSE_EFFECT</x:v>
      </x:c>
      <x:c r="O49" s="31" t="str">
        <x:v>FT-C-GREENHOUSE_MECHANISM</x:v>
      </x:c>
      <x:c r="P49" s="31" t="str">
        <x:v>FT-F05</x:v>
      </x:c>
      <x:c r="Q49" s="49" t="n">
        <x:v>0.0006695771714859687</x:v>
      </x:c>
    </x:row>
    <x:row r="50" ht="20" customHeight="1">
      <x:c r="A50" s="40" t="str">
        <x:v>FT-Q-V01-041</x:v>
      </x:c>
      <x:c r="B50" s="19" t="str">
        <x:v>greenhouse effect</x:v>
      </x:c>
      <x:c r="C50" s="31" t="str">
        <x:v>carbon_greenhouse</x:v>
      </x:c>
      <x:c r="D50" s="25" t="n">
        <x:v>1887</x:v>
      </x:c>
      <x:c r="E50" s="46" t="n">
        <x:v>0</x:v>
      </x:c>
      <x:c r="F50" s="19" t="str">
        <x:v>eng</x:v>
      </x:c>
      <x:c r="G50" s="19" t="str">
        <x:v>current English corpus (July 2024 dataset; public shorthand eng; mutable current corpus)</x:v>
      </x:c>
      <x:c r="H50" s="19" t="str">
        <x:v>greenhouse effect (All)</x:v>
      </x:c>
      <x:c r="I50" s="19" t="str">
        <x:v>0</x:v>
      </x:c>
      <x:c r="J50" s="19" t="n">
        <x:v>46260.10724537037</x:v>
      </x:c>
      <x:c r="K50" s="31" t="str">
        <x:v>data/fear-temperature/ngram/raw/205959f263c8ae6824e66753a55df505e51b40905b28c4cb916bd1952aea4bdb.json</x:v>
      </x:c>
      <x:c r="L50" s="19" t="str">
        <x:v>4286ccb83770f8e9550a4b862463947b8edb637081d5f43cfee319f9d7681262</x:v>
      </x:c>
      <x:c r="M50" s="19" t="str">
        <x:v>03c6b3b7aec17c75d6066c3ad33475123246728a6d70514bc6c4b2fac975aa04</x:v>
      </x:c>
      <x:c r="N50" s="31" t="str">
        <x:v>FT-LF-GREENHOUSE_EFFECT</x:v>
      </x:c>
      <x:c r="O50" s="31" t="str">
        <x:v>FT-C-GREENHOUSE_MECHANISM</x:v>
      </x:c>
      <x:c r="P50" s="31" t="str">
        <x:v>FT-F05</x:v>
      </x:c>
      <x:c r="Q50" s="49" t="n">
        <x:v>0</x:v>
      </x:c>
    </x:row>
    <x:row r="51" ht="20" customHeight="1">
      <x:c r="A51" s="40" t="str">
        <x:v>FT-Q-V01-041</x:v>
      </x:c>
      <x:c r="B51" s="19" t="str">
        <x:v>greenhouse effect</x:v>
      </x:c>
      <x:c r="C51" s="31" t="str">
        <x:v>carbon_greenhouse</x:v>
      </x:c>
      <x:c r="D51" s="25" t="n">
        <x:v>1888</x:v>
      </x:c>
      <x:c r="E51" s="46" t="n">
        <x:v>5.89033571918307e-10</x:v>
      </x:c>
      <x:c r="F51" s="19" t="str">
        <x:v>eng</x:v>
      </x:c>
      <x:c r="G51" s="19" t="str">
        <x:v>current English corpus (July 2024 dataset; public shorthand eng; mutable current corpus)</x:v>
      </x:c>
      <x:c r="H51" s="19" t="str">
        <x:v>greenhouse effect (All)</x:v>
      </x:c>
      <x:c r="I51" s="19" t="str">
        <x:v>0</x:v>
      </x:c>
      <x:c r="J51" s="19" t="n">
        <x:v>46260.10724537037</x:v>
      </x:c>
      <x:c r="K51" s="31" t="str">
        <x:v>data/fear-temperature/ngram/raw/205959f263c8ae6824e66753a55df505e51b40905b28c4cb916bd1952aea4bdb.json</x:v>
      </x:c>
      <x:c r="L51" s="19" t="str">
        <x:v>4286ccb83770f8e9550a4b862463947b8edb637081d5f43cfee319f9d7681262</x:v>
      </x:c>
      <x:c r="M51" s="19" t="str">
        <x:v>03c6b3b7aec17c75d6066c3ad33475123246728a6d70514bc6c4b2fac975aa04</x:v>
      </x:c>
      <x:c r="N51" s="31" t="str">
        <x:v>FT-LF-GREENHOUSE_EFFECT</x:v>
      </x:c>
      <x:c r="O51" s="31" t="str">
        <x:v>FT-C-GREENHOUSE_MECHANISM</x:v>
      </x:c>
      <x:c r="P51" s="31" t="str">
        <x:v>FT-F05</x:v>
      </x:c>
      <x:c r="Q51" s="49" t="n">
        <x:v>0.000589033571918307</x:v>
      </x:c>
    </x:row>
    <x:row r="52" ht="20" customHeight="1">
      <x:c r="A52" s="40" t="str">
        <x:v>FT-Q-V01-041</x:v>
      </x:c>
      <x:c r="B52" s="19" t="str">
        <x:v>greenhouse effect</x:v>
      </x:c>
      <x:c r="C52" s="31" t="str">
        <x:v>carbon_greenhouse</x:v>
      </x:c>
      <x:c r="D52" s="25" t="n">
        <x:v>1889</x:v>
      </x:c>
      <x:c r="E52" s="46" t="n">
        <x:v>1.8793132328109863e-10</x:v>
      </x:c>
      <x:c r="F52" s="19" t="str">
        <x:v>eng</x:v>
      </x:c>
      <x:c r="G52" s="19" t="str">
        <x:v>current English corpus (July 2024 dataset; public shorthand eng; mutable current corpus)</x:v>
      </x:c>
      <x:c r="H52" s="19" t="str">
        <x:v>greenhouse effect (All)</x:v>
      </x:c>
      <x:c r="I52" s="19" t="str">
        <x:v>0</x:v>
      </x:c>
      <x:c r="J52" s="19" t="n">
        <x:v>46260.10724537037</x:v>
      </x:c>
      <x:c r="K52" s="31" t="str">
        <x:v>data/fear-temperature/ngram/raw/205959f263c8ae6824e66753a55df505e51b40905b28c4cb916bd1952aea4bdb.json</x:v>
      </x:c>
      <x:c r="L52" s="19" t="str">
        <x:v>4286ccb83770f8e9550a4b862463947b8edb637081d5f43cfee319f9d7681262</x:v>
      </x:c>
      <x:c r="M52" s="19" t="str">
        <x:v>03c6b3b7aec17c75d6066c3ad33475123246728a6d70514bc6c4b2fac975aa04</x:v>
      </x:c>
      <x:c r="N52" s="31" t="str">
        <x:v>FT-LF-GREENHOUSE_EFFECT</x:v>
      </x:c>
      <x:c r="O52" s="31" t="str">
        <x:v>FT-C-GREENHOUSE_MECHANISM</x:v>
      </x:c>
      <x:c r="P52" s="31" t="str">
        <x:v>FT-F05</x:v>
      </x:c>
      <x:c r="Q52" s="49" t="n">
        <x:v>0.00018793132328109863</x:v>
      </x:c>
    </x:row>
    <x:row r="53" ht="20" customHeight="1">
      <x:c r="A53" s="40" t="str">
        <x:v>FT-Q-V01-041</x:v>
      </x:c>
      <x:c r="B53" s="19" t="str">
        <x:v>greenhouse effect</x:v>
      </x:c>
      <x:c r="C53" s="31" t="str">
        <x:v>carbon_greenhouse</x:v>
      </x:c>
      <x:c r="D53" s="25" t="n">
        <x:v>1890</x:v>
      </x:c>
      <x:c r="E53" s="46" t="n">
        <x:v>0</x:v>
      </x:c>
      <x:c r="F53" s="19" t="str">
        <x:v>eng</x:v>
      </x:c>
      <x:c r="G53" s="19" t="str">
        <x:v>current English corpus (July 2024 dataset; public shorthand eng; mutable current corpus)</x:v>
      </x:c>
      <x:c r="H53" s="19" t="str">
        <x:v>greenhouse effect (All)</x:v>
      </x:c>
      <x:c r="I53" s="19" t="str">
        <x:v>0</x:v>
      </x:c>
      <x:c r="J53" s="19" t="n">
        <x:v>46260.10724537037</x:v>
      </x:c>
      <x:c r="K53" s="31" t="str">
        <x:v>data/fear-temperature/ngram/raw/205959f263c8ae6824e66753a55df505e51b40905b28c4cb916bd1952aea4bdb.json</x:v>
      </x:c>
      <x:c r="L53" s="19" t="str">
        <x:v>4286ccb83770f8e9550a4b862463947b8edb637081d5f43cfee319f9d7681262</x:v>
      </x:c>
      <x:c r="M53" s="19" t="str">
        <x:v>03c6b3b7aec17c75d6066c3ad33475123246728a6d70514bc6c4b2fac975aa04</x:v>
      </x:c>
      <x:c r="N53" s="31" t="str">
        <x:v>FT-LF-GREENHOUSE_EFFECT</x:v>
      </x:c>
      <x:c r="O53" s="31" t="str">
        <x:v>FT-C-GREENHOUSE_MECHANISM</x:v>
      </x:c>
      <x:c r="P53" s="31" t="str">
        <x:v>FT-F05</x:v>
      </x:c>
      <x:c r="Q53" s="49" t="n">
        <x:v>0</x:v>
      </x:c>
    </x:row>
    <x:row r="54" ht="20" customHeight="1">
      <x:c r="A54" s="40" t="str">
        <x:v>FT-Q-V01-041</x:v>
      </x:c>
      <x:c r="B54" s="19" t="str">
        <x:v>greenhouse effect</x:v>
      </x:c>
      <x:c r="C54" s="31" t="str">
        <x:v>carbon_greenhouse</x:v>
      </x:c>
      <x:c r="D54" s="25" t="n">
        <x:v>1891</x:v>
      </x:c>
      <x:c r="E54" s="46" t="n">
        <x:v>0</x:v>
      </x:c>
      <x:c r="F54" s="19" t="str">
        <x:v>eng</x:v>
      </x:c>
      <x:c r="G54" s="19" t="str">
        <x:v>current English corpus (July 2024 dataset; public shorthand eng; mutable current corpus)</x:v>
      </x:c>
      <x:c r="H54" s="19" t="str">
        <x:v>greenhouse effect (All)</x:v>
      </x:c>
      <x:c r="I54" s="19" t="str">
        <x:v>0</x:v>
      </x:c>
      <x:c r="J54" s="19" t="n">
        <x:v>46260.10724537037</x:v>
      </x:c>
      <x:c r="K54" s="31" t="str">
        <x:v>data/fear-temperature/ngram/raw/205959f263c8ae6824e66753a55df505e51b40905b28c4cb916bd1952aea4bdb.json</x:v>
      </x:c>
      <x:c r="L54" s="19" t="str">
        <x:v>4286ccb83770f8e9550a4b862463947b8edb637081d5f43cfee319f9d7681262</x:v>
      </x:c>
      <x:c r="M54" s="19" t="str">
        <x:v>03c6b3b7aec17c75d6066c3ad33475123246728a6d70514bc6c4b2fac975aa04</x:v>
      </x:c>
      <x:c r="N54" s="31" t="str">
        <x:v>FT-LF-GREENHOUSE_EFFECT</x:v>
      </x:c>
      <x:c r="O54" s="31" t="str">
        <x:v>FT-C-GREENHOUSE_MECHANISM</x:v>
      </x:c>
      <x:c r="P54" s="31" t="str">
        <x:v>FT-F05</x:v>
      </x:c>
      <x:c r="Q54" s="49" t="n">
        <x:v>0</x:v>
      </x:c>
    </x:row>
    <x:row r="55" ht="20" customHeight="1">
      <x:c r="A55" s="40" t="str">
        <x:v>FT-Q-V01-041</x:v>
      </x:c>
      <x:c r="B55" s="19" t="str">
        <x:v>greenhouse effect</x:v>
      </x:c>
      <x:c r="C55" s="31" t="str">
        <x:v>carbon_greenhouse</x:v>
      </x:c>
      <x:c r="D55" s="25" t="n">
        <x:v>1892</x:v>
      </x:c>
      <x:c r="E55" s="46" t="n">
        <x:v>0</x:v>
      </x:c>
      <x:c r="F55" s="19" t="str">
        <x:v>eng</x:v>
      </x:c>
      <x:c r="G55" s="19" t="str">
        <x:v>current English corpus (July 2024 dataset; public shorthand eng; mutable current corpus)</x:v>
      </x:c>
      <x:c r="H55" s="19" t="str">
        <x:v>greenhouse effect (All)</x:v>
      </x:c>
      <x:c r="I55" s="19" t="str">
        <x:v>0</x:v>
      </x:c>
      <x:c r="J55" s="19" t="n">
        <x:v>46260.10724537037</x:v>
      </x:c>
      <x:c r="K55" s="31" t="str">
        <x:v>data/fear-temperature/ngram/raw/205959f263c8ae6824e66753a55df505e51b40905b28c4cb916bd1952aea4bdb.json</x:v>
      </x:c>
      <x:c r="L55" s="19" t="str">
        <x:v>4286ccb83770f8e9550a4b862463947b8edb637081d5f43cfee319f9d7681262</x:v>
      </x:c>
      <x:c r="M55" s="19" t="str">
        <x:v>03c6b3b7aec17c75d6066c3ad33475123246728a6d70514bc6c4b2fac975aa04</x:v>
      </x:c>
      <x:c r="N55" s="31" t="str">
        <x:v>FT-LF-GREENHOUSE_EFFECT</x:v>
      </x:c>
      <x:c r="O55" s="31" t="str">
        <x:v>FT-C-GREENHOUSE_MECHANISM</x:v>
      </x:c>
      <x:c r="P55" s="31" t="str">
        <x:v>FT-F05</x:v>
      </x:c>
      <x:c r="Q55" s="49" t="n">
        <x:v>0</x:v>
      </x:c>
    </x:row>
    <x:row r="56" ht="20" customHeight="1">
      <x:c r="A56" s="40" t="str">
        <x:v>FT-Q-V01-041</x:v>
      </x:c>
      <x:c r="B56" s="19" t="str">
        <x:v>greenhouse effect</x:v>
      </x:c>
      <x:c r="C56" s="31" t="str">
        <x:v>carbon_greenhouse</x:v>
      </x:c>
      <x:c r="D56" s="25" t="n">
        <x:v>1893</x:v>
      </x:c>
      <x:c r="E56" s="46" t="n">
        <x:v>3.422738759084609e-10</x:v>
      </x:c>
      <x:c r="F56" s="19" t="str">
        <x:v>eng</x:v>
      </x:c>
      <x:c r="G56" s="19" t="str">
        <x:v>current English corpus (July 2024 dataset; public shorthand eng; mutable current corpus)</x:v>
      </x:c>
      <x:c r="H56" s="19" t="str">
        <x:v>greenhouse effect (All)</x:v>
      </x:c>
      <x:c r="I56" s="19" t="str">
        <x:v>0</x:v>
      </x:c>
      <x:c r="J56" s="19" t="n">
        <x:v>46260.10724537037</x:v>
      </x:c>
      <x:c r="K56" s="31" t="str">
        <x:v>data/fear-temperature/ngram/raw/205959f263c8ae6824e66753a55df505e51b40905b28c4cb916bd1952aea4bdb.json</x:v>
      </x:c>
      <x:c r="L56" s="19" t="str">
        <x:v>4286ccb83770f8e9550a4b862463947b8edb637081d5f43cfee319f9d7681262</x:v>
      </x:c>
      <x:c r="M56" s="19" t="str">
        <x:v>03c6b3b7aec17c75d6066c3ad33475123246728a6d70514bc6c4b2fac975aa04</x:v>
      </x:c>
      <x:c r="N56" s="31" t="str">
        <x:v>FT-LF-GREENHOUSE_EFFECT</x:v>
      </x:c>
      <x:c r="O56" s="31" t="str">
        <x:v>FT-C-GREENHOUSE_MECHANISM</x:v>
      </x:c>
      <x:c r="P56" s="31" t="str">
        <x:v>FT-F05</x:v>
      </x:c>
      <x:c r="Q56" s="49" t="n">
        <x:v>0.0003422738759084609</x:v>
      </x:c>
    </x:row>
    <x:row r="57" ht="20" customHeight="1">
      <x:c r="A57" s="40" t="str">
        <x:v>FT-Q-V01-041</x:v>
      </x:c>
      <x:c r="B57" s="19" t="str">
        <x:v>greenhouse effect</x:v>
      </x:c>
      <x:c r="C57" s="31" t="str">
        <x:v>carbon_greenhouse</x:v>
      </x:c>
      <x:c r="D57" s="25" t="n">
        <x:v>1894</x:v>
      </x:c>
      <x:c r="E57" s="46" t="n">
        <x:v>0</x:v>
      </x:c>
      <x:c r="F57" s="19" t="str">
        <x:v>eng</x:v>
      </x:c>
      <x:c r="G57" s="19" t="str">
        <x:v>current English corpus (July 2024 dataset; public shorthand eng; mutable current corpus)</x:v>
      </x:c>
      <x:c r="H57" s="19" t="str">
        <x:v>greenhouse effect (All)</x:v>
      </x:c>
      <x:c r="I57" s="19" t="str">
        <x:v>0</x:v>
      </x:c>
      <x:c r="J57" s="19" t="n">
        <x:v>46260.10724537037</x:v>
      </x:c>
      <x:c r="K57" s="31" t="str">
        <x:v>data/fear-temperature/ngram/raw/205959f263c8ae6824e66753a55df505e51b40905b28c4cb916bd1952aea4bdb.json</x:v>
      </x:c>
      <x:c r="L57" s="19" t="str">
        <x:v>4286ccb83770f8e9550a4b862463947b8edb637081d5f43cfee319f9d7681262</x:v>
      </x:c>
      <x:c r="M57" s="19" t="str">
        <x:v>03c6b3b7aec17c75d6066c3ad33475123246728a6d70514bc6c4b2fac975aa04</x:v>
      </x:c>
      <x:c r="N57" s="31" t="str">
        <x:v>FT-LF-GREENHOUSE_EFFECT</x:v>
      </x:c>
      <x:c r="O57" s="31" t="str">
        <x:v>FT-C-GREENHOUSE_MECHANISM</x:v>
      </x:c>
      <x:c r="P57" s="31" t="str">
        <x:v>FT-F05</x:v>
      </x:c>
      <x:c r="Q57" s="49" t="n">
        <x:v>0</x:v>
      </x:c>
    </x:row>
    <x:row r="58" ht="20" customHeight="1">
      <x:c r="A58" s="40" t="str">
        <x:v>FT-Q-V01-041</x:v>
      </x:c>
      <x:c r="B58" s="19" t="str">
        <x:v>greenhouse effect</x:v>
      </x:c>
      <x:c r="C58" s="31" t="str">
        <x:v>carbon_greenhouse</x:v>
      </x:c>
      <x:c r="D58" s="25" t="n">
        <x:v>1895</x:v>
      </x:c>
      <x:c r="E58" s="46" t="n">
        <x:v>0</x:v>
      </x:c>
      <x:c r="F58" s="19" t="str">
        <x:v>eng</x:v>
      </x:c>
      <x:c r="G58" s="19" t="str">
        <x:v>current English corpus (July 2024 dataset; public shorthand eng; mutable current corpus)</x:v>
      </x:c>
      <x:c r="H58" s="19" t="str">
        <x:v>greenhouse effect (All)</x:v>
      </x:c>
      <x:c r="I58" s="19" t="str">
        <x:v>0</x:v>
      </x:c>
      <x:c r="J58" s="19" t="n">
        <x:v>46260.10724537037</x:v>
      </x:c>
      <x:c r="K58" s="31" t="str">
        <x:v>data/fear-temperature/ngram/raw/205959f263c8ae6824e66753a55df505e51b40905b28c4cb916bd1952aea4bdb.json</x:v>
      </x:c>
      <x:c r="L58" s="19" t="str">
        <x:v>4286ccb83770f8e9550a4b862463947b8edb637081d5f43cfee319f9d7681262</x:v>
      </x:c>
      <x:c r="M58" s="19" t="str">
        <x:v>03c6b3b7aec17c75d6066c3ad33475123246728a6d70514bc6c4b2fac975aa04</x:v>
      </x:c>
      <x:c r="N58" s="31" t="str">
        <x:v>FT-LF-GREENHOUSE_EFFECT</x:v>
      </x:c>
      <x:c r="O58" s="31" t="str">
        <x:v>FT-C-GREENHOUSE_MECHANISM</x:v>
      </x:c>
      <x:c r="P58" s="31" t="str">
        <x:v>FT-F05</x:v>
      </x:c>
      <x:c r="Q58" s="49" t="n">
        <x:v>0</x:v>
      </x:c>
    </x:row>
    <x:row r="59" ht="20" customHeight="1">
      <x:c r="A59" s="40" t="str">
        <x:v>FT-Q-V01-041</x:v>
      </x:c>
      <x:c r="B59" s="19" t="str">
        <x:v>greenhouse effect</x:v>
      </x:c>
      <x:c r="C59" s="31" t="str">
        <x:v>carbon_greenhouse</x:v>
      </x:c>
      <x:c r="D59" s="25" t="n">
        <x:v>1896</x:v>
      </x:c>
      <x:c r="E59" s="46" t="n">
        <x:v>0</x:v>
      </x:c>
      <x:c r="F59" s="19" t="str">
        <x:v>eng</x:v>
      </x:c>
      <x:c r="G59" s="19" t="str">
        <x:v>current English corpus (July 2024 dataset; public shorthand eng; mutable current corpus)</x:v>
      </x:c>
      <x:c r="H59" s="19" t="str">
        <x:v>greenhouse effect (All)</x:v>
      </x:c>
      <x:c r="I59" s="19" t="str">
        <x:v>0</x:v>
      </x:c>
      <x:c r="J59" s="19" t="n">
        <x:v>46260.10724537037</x:v>
      </x:c>
      <x:c r="K59" s="31" t="str">
        <x:v>data/fear-temperature/ngram/raw/205959f263c8ae6824e66753a55df505e51b40905b28c4cb916bd1952aea4bdb.json</x:v>
      </x:c>
      <x:c r="L59" s="19" t="str">
        <x:v>4286ccb83770f8e9550a4b862463947b8edb637081d5f43cfee319f9d7681262</x:v>
      </x:c>
      <x:c r="M59" s="19" t="str">
        <x:v>03c6b3b7aec17c75d6066c3ad33475123246728a6d70514bc6c4b2fac975aa04</x:v>
      </x:c>
      <x:c r="N59" s="31" t="str">
        <x:v>FT-LF-GREENHOUSE_EFFECT</x:v>
      </x:c>
      <x:c r="O59" s="31" t="str">
        <x:v>FT-C-GREENHOUSE_MECHANISM</x:v>
      </x:c>
      <x:c r="P59" s="31" t="str">
        <x:v>FT-F05</x:v>
      </x:c>
      <x:c r="Q59" s="49" t="n">
        <x:v>0</x:v>
      </x:c>
    </x:row>
    <x:row r="60" ht="20" customHeight="1">
      <x:c r="A60" s="40" t="str">
        <x:v>FT-Q-V01-041</x:v>
      </x:c>
      <x:c r="B60" s="19" t="str">
        <x:v>greenhouse effect</x:v>
      </x:c>
      <x:c r="C60" s="31" t="str">
        <x:v>carbon_greenhouse</x:v>
      </x:c>
      <x:c r="D60" s="25" t="n">
        <x:v>1897</x:v>
      </x:c>
      <x:c r="E60" s="46" t="n">
        <x:v>1.513261599361826e-10</x:v>
      </x:c>
      <x:c r="F60" s="19" t="str">
        <x:v>eng</x:v>
      </x:c>
      <x:c r="G60" s="19" t="str">
        <x:v>current English corpus (July 2024 dataset; public shorthand eng; mutable current corpus)</x:v>
      </x:c>
      <x:c r="H60" s="19" t="str">
        <x:v>greenhouse effect (All)</x:v>
      </x:c>
      <x:c r="I60" s="19" t="str">
        <x:v>0</x:v>
      </x:c>
      <x:c r="J60" s="19" t="n">
        <x:v>46260.10724537037</x:v>
      </x:c>
      <x:c r="K60" s="31" t="str">
        <x:v>data/fear-temperature/ngram/raw/205959f263c8ae6824e66753a55df505e51b40905b28c4cb916bd1952aea4bdb.json</x:v>
      </x:c>
      <x:c r="L60" s="19" t="str">
        <x:v>4286ccb83770f8e9550a4b862463947b8edb637081d5f43cfee319f9d7681262</x:v>
      </x:c>
      <x:c r="M60" s="19" t="str">
        <x:v>03c6b3b7aec17c75d6066c3ad33475123246728a6d70514bc6c4b2fac975aa04</x:v>
      </x:c>
      <x:c r="N60" s="31" t="str">
        <x:v>FT-LF-GREENHOUSE_EFFECT</x:v>
      </x:c>
      <x:c r="O60" s="31" t="str">
        <x:v>FT-C-GREENHOUSE_MECHANISM</x:v>
      </x:c>
      <x:c r="P60" s="31" t="str">
        <x:v>FT-F05</x:v>
      </x:c>
      <x:c r="Q60" s="49" t="n">
        <x:v>0.0001513261599361826</x:v>
      </x:c>
    </x:row>
    <x:row r="61" ht="20" customHeight="1">
      <x:c r="A61" s="40" t="str">
        <x:v>FT-Q-V01-041</x:v>
      </x:c>
      <x:c r="B61" s="19" t="str">
        <x:v>greenhouse effect</x:v>
      </x:c>
      <x:c r="C61" s="31" t="str">
        <x:v>carbon_greenhouse</x:v>
      </x:c>
      <x:c r="D61" s="25" t="n">
        <x:v>1898</x:v>
      </x:c>
      <x:c r="E61" s="46" t="n">
        <x:v>0</x:v>
      </x:c>
      <x:c r="F61" s="19" t="str">
        <x:v>eng</x:v>
      </x:c>
      <x:c r="G61" s="19" t="str">
        <x:v>current English corpus (July 2024 dataset; public shorthand eng; mutable current corpus)</x:v>
      </x:c>
      <x:c r="H61" s="19" t="str">
        <x:v>greenhouse effect (All)</x:v>
      </x:c>
      <x:c r="I61" s="19" t="str">
        <x:v>0</x:v>
      </x:c>
      <x:c r="J61" s="19" t="n">
        <x:v>46260.10724537037</x:v>
      </x:c>
      <x:c r="K61" s="31" t="str">
        <x:v>data/fear-temperature/ngram/raw/205959f263c8ae6824e66753a55df505e51b40905b28c4cb916bd1952aea4bdb.json</x:v>
      </x:c>
      <x:c r="L61" s="19" t="str">
        <x:v>4286ccb83770f8e9550a4b862463947b8edb637081d5f43cfee319f9d7681262</x:v>
      </x:c>
      <x:c r="M61" s="19" t="str">
        <x:v>03c6b3b7aec17c75d6066c3ad33475123246728a6d70514bc6c4b2fac975aa04</x:v>
      </x:c>
      <x:c r="N61" s="31" t="str">
        <x:v>FT-LF-GREENHOUSE_EFFECT</x:v>
      </x:c>
      <x:c r="O61" s="31" t="str">
        <x:v>FT-C-GREENHOUSE_MECHANISM</x:v>
      </x:c>
      <x:c r="P61" s="31" t="str">
        <x:v>FT-F05</x:v>
      </x:c>
      <x:c r="Q61" s="49" t="n">
        <x:v>0</x:v>
      </x:c>
    </x:row>
    <x:row r="62" ht="20" customHeight="1">
      <x:c r="A62" s="40" t="str">
        <x:v>FT-Q-V01-041</x:v>
      </x:c>
      <x:c r="B62" s="19" t="str">
        <x:v>greenhouse effect</x:v>
      </x:c>
      <x:c r="C62" s="31" t="str">
        <x:v>carbon_greenhouse</x:v>
      </x:c>
      <x:c r="D62" s="25" t="n">
        <x:v>1899</x:v>
      </x:c>
      <x:c r="E62" s="46" t="n">
        <x:v>0</x:v>
      </x:c>
      <x:c r="F62" s="19" t="str">
        <x:v>eng</x:v>
      </x:c>
      <x:c r="G62" s="19" t="str">
        <x:v>current English corpus (July 2024 dataset; public shorthand eng; mutable current corpus)</x:v>
      </x:c>
      <x:c r="H62" s="19" t="str">
        <x:v>greenhouse effect (All)</x:v>
      </x:c>
      <x:c r="I62" s="19" t="str">
        <x:v>0</x:v>
      </x:c>
      <x:c r="J62" s="19" t="n">
        <x:v>46260.10724537037</x:v>
      </x:c>
      <x:c r="K62" s="31" t="str">
        <x:v>data/fear-temperature/ngram/raw/205959f263c8ae6824e66753a55df505e51b40905b28c4cb916bd1952aea4bdb.json</x:v>
      </x:c>
      <x:c r="L62" s="19" t="str">
        <x:v>4286ccb83770f8e9550a4b862463947b8edb637081d5f43cfee319f9d7681262</x:v>
      </x:c>
      <x:c r="M62" s="19" t="str">
        <x:v>03c6b3b7aec17c75d6066c3ad33475123246728a6d70514bc6c4b2fac975aa04</x:v>
      </x:c>
      <x:c r="N62" s="31" t="str">
        <x:v>FT-LF-GREENHOUSE_EFFECT</x:v>
      </x:c>
      <x:c r="O62" s="31" t="str">
        <x:v>FT-C-GREENHOUSE_MECHANISM</x:v>
      </x:c>
      <x:c r="P62" s="31" t="str">
        <x:v>FT-F05</x:v>
      </x:c>
      <x:c r="Q62" s="49" t="n">
        <x:v>0</x:v>
      </x:c>
    </x:row>
    <x:row r="63" ht="20" customHeight="1">
      <x:c r="A63" s="40" t="str">
        <x:v>FT-Q-V01-041</x:v>
      </x:c>
      <x:c r="B63" s="19" t="str">
        <x:v>greenhouse effect</x:v>
      </x:c>
      <x:c r="C63" s="31" t="str">
        <x:v>carbon_greenhouse</x:v>
      </x:c>
      <x:c r="D63" s="25" t="n">
        <x:v>1900</x:v>
      </x:c>
      <x:c r="E63" s="46" t="n">
        <x:v>2.9354734892850227e-9</x:v>
      </x:c>
      <x:c r="F63" s="19" t="str">
        <x:v>eng</x:v>
      </x:c>
      <x:c r="G63" s="19" t="str">
        <x:v>current English corpus (July 2024 dataset; public shorthand eng; mutable current corpus)</x:v>
      </x:c>
      <x:c r="H63" s="19" t="str">
        <x:v>greenhouse effect (All)</x:v>
      </x:c>
      <x:c r="I63" s="19" t="str">
        <x:v>0</x:v>
      </x:c>
      <x:c r="J63" s="19" t="n">
        <x:v>46260.10724537037</x:v>
      </x:c>
      <x:c r="K63" s="31" t="str">
        <x:v>data/fear-temperature/ngram/raw/205959f263c8ae6824e66753a55df505e51b40905b28c4cb916bd1952aea4bdb.json</x:v>
      </x:c>
      <x:c r="L63" s="19" t="str">
        <x:v>4286ccb83770f8e9550a4b862463947b8edb637081d5f43cfee319f9d7681262</x:v>
      </x:c>
      <x:c r="M63" s="19" t="str">
        <x:v>03c6b3b7aec17c75d6066c3ad33475123246728a6d70514bc6c4b2fac975aa04</x:v>
      </x:c>
      <x:c r="N63" s="31" t="str">
        <x:v>FT-LF-GREENHOUSE_EFFECT</x:v>
      </x:c>
      <x:c r="O63" s="31" t="str">
        <x:v>FT-C-GREENHOUSE_MECHANISM</x:v>
      </x:c>
      <x:c r="P63" s="31" t="str">
        <x:v>FT-F05</x:v>
      </x:c>
      <x:c r="Q63" s="49" t="n">
        <x:v>0.0029354734892850227</x:v>
      </x:c>
    </x:row>
    <x:row r="64" ht="20" customHeight="1">
      <x:c r="A64" s="40" t="str">
        <x:v>FT-Q-V01-041</x:v>
      </x:c>
      <x:c r="B64" s="19" t="str">
        <x:v>greenhouse effect</x:v>
      </x:c>
      <x:c r="C64" s="31" t="str">
        <x:v>carbon_greenhouse</x:v>
      </x:c>
      <x:c r="D64" s="25" t="n">
        <x:v>1901</x:v>
      </x:c>
      <x:c r="E64" s="46" t="n">
        <x:v>1.2767861767848387e-9</x:v>
      </x:c>
      <x:c r="F64" s="19" t="str">
        <x:v>eng</x:v>
      </x:c>
      <x:c r="G64" s="19" t="str">
        <x:v>current English corpus (July 2024 dataset; public shorthand eng; mutable current corpus)</x:v>
      </x:c>
      <x:c r="H64" s="19" t="str">
        <x:v>greenhouse effect (All)</x:v>
      </x:c>
      <x:c r="I64" s="19" t="str">
        <x:v>0</x:v>
      </x:c>
      <x:c r="J64" s="19" t="n">
        <x:v>46260.10724537037</x:v>
      </x:c>
      <x:c r="K64" s="31" t="str">
        <x:v>data/fear-temperature/ngram/raw/205959f263c8ae6824e66753a55df505e51b40905b28c4cb916bd1952aea4bdb.json</x:v>
      </x:c>
      <x:c r="L64" s="19" t="str">
        <x:v>4286ccb83770f8e9550a4b862463947b8edb637081d5f43cfee319f9d7681262</x:v>
      </x:c>
      <x:c r="M64" s="19" t="str">
        <x:v>03c6b3b7aec17c75d6066c3ad33475123246728a6d70514bc6c4b2fac975aa04</x:v>
      </x:c>
      <x:c r="N64" s="31" t="str">
        <x:v>FT-LF-GREENHOUSE_EFFECT</x:v>
      </x:c>
      <x:c r="O64" s="31" t="str">
        <x:v>FT-C-GREENHOUSE_MECHANISM</x:v>
      </x:c>
      <x:c r="P64" s="31" t="str">
        <x:v>FT-F05</x:v>
      </x:c>
      <x:c r="Q64" s="49" t="n">
        <x:v>0.0012767861767848387</x:v>
      </x:c>
    </x:row>
    <x:row r="65" ht="20" customHeight="1">
      <x:c r="A65" s="40" t="str">
        <x:v>FT-Q-V01-041</x:v>
      </x:c>
      <x:c r="B65" s="19" t="str">
        <x:v>greenhouse effect</x:v>
      </x:c>
      <x:c r="C65" s="31" t="str">
        <x:v>carbon_greenhouse</x:v>
      </x:c>
      <x:c r="D65" s="25" t="n">
        <x:v>1902</x:v>
      </x:c>
      <x:c r="E65" s="46" t="n">
        <x:v>1.2750452083043484e-10</x:v>
      </x:c>
      <x:c r="F65" s="19" t="str">
        <x:v>eng</x:v>
      </x:c>
      <x:c r="G65" s="19" t="str">
        <x:v>current English corpus (July 2024 dataset; public shorthand eng; mutable current corpus)</x:v>
      </x:c>
      <x:c r="H65" s="19" t="str">
        <x:v>greenhouse effect (All)</x:v>
      </x:c>
      <x:c r="I65" s="19" t="str">
        <x:v>0</x:v>
      </x:c>
      <x:c r="J65" s="19" t="n">
        <x:v>46260.10724537037</x:v>
      </x:c>
      <x:c r="K65" s="31" t="str">
        <x:v>data/fear-temperature/ngram/raw/205959f263c8ae6824e66753a55df505e51b40905b28c4cb916bd1952aea4bdb.json</x:v>
      </x:c>
      <x:c r="L65" s="19" t="str">
        <x:v>4286ccb83770f8e9550a4b862463947b8edb637081d5f43cfee319f9d7681262</x:v>
      </x:c>
      <x:c r="M65" s="19" t="str">
        <x:v>03c6b3b7aec17c75d6066c3ad33475123246728a6d70514bc6c4b2fac975aa04</x:v>
      </x:c>
      <x:c r="N65" s="31" t="str">
        <x:v>FT-LF-GREENHOUSE_EFFECT</x:v>
      </x:c>
      <x:c r="O65" s="31" t="str">
        <x:v>FT-C-GREENHOUSE_MECHANISM</x:v>
      </x:c>
      <x:c r="P65" s="31" t="str">
        <x:v>FT-F05</x:v>
      </x:c>
      <x:c r="Q65" s="49" t="n">
        <x:v>0.00012750452083043484</x:v>
      </x:c>
    </x:row>
    <x:row r="66" ht="20" customHeight="1">
      <x:c r="A66" s="40" t="str">
        <x:v>FT-Q-V01-041</x:v>
      </x:c>
      <x:c r="B66" s="19" t="str">
        <x:v>greenhouse effect</x:v>
      </x:c>
      <x:c r="C66" s="31" t="str">
        <x:v>carbon_greenhouse</x:v>
      </x:c>
      <x:c r="D66" s="25" t="n">
        <x:v>1903</x:v>
      </x:c>
      <x:c r="E66" s="46" t="n">
        <x:v>0</x:v>
      </x:c>
      <x:c r="F66" s="19" t="str">
        <x:v>eng</x:v>
      </x:c>
      <x:c r="G66" s="19" t="str">
        <x:v>current English corpus (July 2024 dataset; public shorthand eng; mutable current corpus)</x:v>
      </x:c>
      <x:c r="H66" s="19" t="str">
        <x:v>greenhouse effect (All)</x:v>
      </x:c>
      <x:c r="I66" s="19" t="str">
        <x:v>0</x:v>
      </x:c>
      <x:c r="J66" s="19" t="n">
        <x:v>46260.10724537037</x:v>
      </x:c>
      <x:c r="K66" s="31" t="str">
        <x:v>data/fear-temperature/ngram/raw/205959f263c8ae6824e66753a55df505e51b40905b28c4cb916bd1952aea4bdb.json</x:v>
      </x:c>
      <x:c r="L66" s="19" t="str">
        <x:v>4286ccb83770f8e9550a4b862463947b8edb637081d5f43cfee319f9d7681262</x:v>
      </x:c>
      <x:c r="M66" s="19" t="str">
        <x:v>03c6b3b7aec17c75d6066c3ad33475123246728a6d70514bc6c4b2fac975aa04</x:v>
      </x:c>
      <x:c r="N66" s="31" t="str">
        <x:v>FT-LF-GREENHOUSE_EFFECT</x:v>
      </x:c>
      <x:c r="O66" s="31" t="str">
        <x:v>FT-C-GREENHOUSE_MECHANISM</x:v>
      </x:c>
      <x:c r="P66" s="31" t="str">
        <x:v>FT-F05</x:v>
      </x:c>
      <x:c r="Q66" s="49" t="n">
        <x:v>0</x:v>
      </x:c>
    </x:row>
    <x:row r="67" ht="20" customHeight="1">
      <x:c r="A67" s="40" t="str">
        <x:v>FT-Q-V01-041</x:v>
      </x:c>
      <x:c r="B67" s="19" t="str">
        <x:v>greenhouse effect</x:v>
      </x:c>
      <x:c r="C67" s="31" t="str">
        <x:v>carbon_greenhouse</x:v>
      </x:c>
      <x:c r="D67" s="25" t="n">
        <x:v>1904</x:v>
      </x:c>
      <x:c r="E67" s="46" t="n">
        <x:v>0</x:v>
      </x:c>
      <x:c r="F67" s="19" t="str">
        <x:v>eng</x:v>
      </x:c>
      <x:c r="G67" s="19" t="str">
        <x:v>current English corpus (July 2024 dataset; public shorthand eng; mutable current corpus)</x:v>
      </x:c>
      <x:c r="H67" s="19" t="str">
        <x:v>greenhouse effect (All)</x:v>
      </x:c>
      <x:c r="I67" s="19" t="str">
        <x:v>0</x:v>
      </x:c>
      <x:c r="J67" s="19" t="n">
        <x:v>46260.10724537037</x:v>
      </x:c>
      <x:c r="K67" s="31" t="str">
        <x:v>data/fear-temperature/ngram/raw/205959f263c8ae6824e66753a55df505e51b40905b28c4cb916bd1952aea4bdb.json</x:v>
      </x:c>
      <x:c r="L67" s="19" t="str">
        <x:v>4286ccb83770f8e9550a4b862463947b8edb637081d5f43cfee319f9d7681262</x:v>
      </x:c>
      <x:c r="M67" s="19" t="str">
        <x:v>03c6b3b7aec17c75d6066c3ad33475123246728a6d70514bc6c4b2fac975aa04</x:v>
      </x:c>
      <x:c r="N67" s="31" t="str">
        <x:v>FT-LF-GREENHOUSE_EFFECT</x:v>
      </x:c>
      <x:c r="O67" s="31" t="str">
        <x:v>FT-C-GREENHOUSE_MECHANISM</x:v>
      </x:c>
      <x:c r="P67" s="31" t="str">
        <x:v>FT-F05</x:v>
      </x:c>
      <x:c r="Q67" s="49" t="n">
        <x:v>0</x:v>
      </x:c>
    </x:row>
    <x:row r="68" ht="20" customHeight="1">
      <x:c r="A68" s="40" t="str">
        <x:v>FT-Q-V01-041</x:v>
      </x:c>
      <x:c r="B68" s="19" t="str">
        <x:v>greenhouse effect</x:v>
      </x:c>
      <x:c r="C68" s="31" t="str">
        <x:v>carbon_greenhouse</x:v>
      </x:c>
      <x:c r="D68" s="25" t="n">
        <x:v>1905</x:v>
      </x:c>
      <x:c r="E68" s="46" t="n">
        <x:v>4.701215527980196e-10</x:v>
      </x:c>
      <x:c r="F68" s="19" t="str">
        <x:v>eng</x:v>
      </x:c>
      <x:c r="G68" s="19" t="str">
        <x:v>current English corpus (July 2024 dataset; public shorthand eng; mutable current corpus)</x:v>
      </x:c>
      <x:c r="H68" s="19" t="str">
        <x:v>greenhouse effect (All)</x:v>
      </x:c>
      <x:c r="I68" s="19" t="str">
        <x:v>0</x:v>
      </x:c>
      <x:c r="J68" s="19" t="n">
        <x:v>46260.10724537037</x:v>
      </x:c>
      <x:c r="K68" s="31" t="str">
        <x:v>data/fear-temperature/ngram/raw/205959f263c8ae6824e66753a55df505e51b40905b28c4cb916bd1952aea4bdb.json</x:v>
      </x:c>
      <x:c r="L68" s="19" t="str">
        <x:v>4286ccb83770f8e9550a4b862463947b8edb637081d5f43cfee319f9d7681262</x:v>
      </x:c>
      <x:c r="M68" s="19" t="str">
        <x:v>03c6b3b7aec17c75d6066c3ad33475123246728a6d70514bc6c4b2fac975aa04</x:v>
      </x:c>
      <x:c r="N68" s="31" t="str">
        <x:v>FT-LF-GREENHOUSE_EFFECT</x:v>
      </x:c>
      <x:c r="O68" s="31" t="str">
        <x:v>FT-C-GREENHOUSE_MECHANISM</x:v>
      </x:c>
      <x:c r="P68" s="31" t="str">
        <x:v>FT-F05</x:v>
      </x:c>
      <x:c r="Q68" s="49" t="n">
        <x:v>0.0004701215527980196</x:v>
      </x:c>
    </x:row>
    <x:row r="69" ht="20" customHeight="1">
      <x:c r="A69" s="40" t="str">
        <x:v>FT-Q-V01-041</x:v>
      </x:c>
      <x:c r="B69" s="19" t="str">
        <x:v>greenhouse effect</x:v>
      </x:c>
      <x:c r="C69" s="31" t="str">
        <x:v>carbon_greenhouse</x:v>
      </x:c>
      <x:c r="D69" s="25" t="n">
        <x:v>1906</x:v>
      </x:c>
      <x:c r="E69" s="46" t="n">
        <x:v>1.0090600577328244e-9</x:v>
      </x:c>
      <x:c r="F69" s="19" t="str">
        <x:v>eng</x:v>
      </x:c>
      <x:c r="G69" s="19" t="str">
        <x:v>current English corpus (July 2024 dataset; public shorthand eng; mutable current corpus)</x:v>
      </x:c>
      <x:c r="H69" s="19" t="str">
        <x:v>greenhouse effect (All)</x:v>
      </x:c>
      <x:c r="I69" s="19" t="str">
        <x:v>0</x:v>
      </x:c>
      <x:c r="J69" s="19" t="n">
        <x:v>46260.10724537037</x:v>
      </x:c>
      <x:c r="K69" s="31" t="str">
        <x:v>data/fear-temperature/ngram/raw/205959f263c8ae6824e66753a55df505e51b40905b28c4cb916bd1952aea4bdb.json</x:v>
      </x:c>
      <x:c r="L69" s="19" t="str">
        <x:v>4286ccb83770f8e9550a4b862463947b8edb637081d5f43cfee319f9d7681262</x:v>
      </x:c>
      <x:c r="M69" s="19" t="str">
        <x:v>03c6b3b7aec17c75d6066c3ad33475123246728a6d70514bc6c4b2fac975aa04</x:v>
      </x:c>
      <x:c r="N69" s="31" t="str">
        <x:v>FT-LF-GREENHOUSE_EFFECT</x:v>
      </x:c>
      <x:c r="O69" s="31" t="str">
        <x:v>FT-C-GREENHOUSE_MECHANISM</x:v>
      </x:c>
      <x:c r="P69" s="31" t="str">
        <x:v>FT-F05</x:v>
      </x:c>
      <x:c r="Q69" s="49" t="n">
        <x:v>0.0010090600577328244</x:v>
      </x:c>
    </x:row>
    <x:row r="70" ht="20" customHeight="1">
      <x:c r="A70" s="40" t="str">
        <x:v>FT-Q-V01-041</x:v>
      </x:c>
      <x:c r="B70" s="19" t="str">
        <x:v>greenhouse effect</x:v>
      </x:c>
      <x:c r="C70" s="31" t="str">
        <x:v>carbon_greenhouse</x:v>
      </x:c>
      <x:c r="D70" s="25" t="n">
        <x:v>1907</x:v>
      </x:c>
      <x:c r="E70" s="46" t="n">
        <x:v>2.2096717788855354e-9</x:v>
      </x:c>
      <x:c r="F70" s="19" t="str">
        <x:v>eng</x:v>
      </x:c>
      <x:c r="G70" s="19" t="str">
        <x:v>current English corpus (July 2024 dataset; public shorthand eng; mutable current corpus)</x:v>
      </x:c>
      <x:c r="H70" s="19" t="str">
        <x:v>greenhouse effect (All)</x:v>
      </x:c>
      <x:c r="I70" s="19" t="str">
        <x:v>0</x:v>
      </x:c>
      <x:c r="J70" s="19" t="n">
        <x:v>46260.10724537037</x:v>
      </x:c>
      <x:c r="K70" s="31" t="str">
        <x:v>data/fear-temperature/ngram/raw/205959f263c8ae6824e66753a55df505e51b40905b28c4cb916bd1952aea4bdb.json</x:v>
      </x:c>
      <x:c r="L70" s="19" t="str">
        <x:v>4286ccb83770f8e9550a4b862463947b8edb637081d5f43cfee319f9d7681262</x:v>
      </x:c>
      <x:c r="M70" s="19" t="str">
        <x:v>03c6b3b7aec17c75d6066c3ad33475123246728a6d70514bc6c4b2fac975aa04</x:v>
      </x:c>
      <x:c r="N70" s="31" t="str">
        <x:v>FT-LF-GREENHOUSE_EFFECT</x:v>
      </x:c>
      <x:c r="O70" s="31" t="str">
        <x:v>FT-C-GREENHOUSE_MECHANISM</x:v>
      </x:c>
      <x:c r="P70" s="31" t="str">
        <x:v>FT-F05</x:v>
      </x:c>
      <x:c r="Q70" s="49" t="n">
        <x:v>0.0022096717788855354</x:v>
      </x:c>
    </x:row>
    <x:row r="71" ht="20" customHeight="1">
      <x:c r="A71" s="40" t="str">
        <x:v>FT-Q-V01-041</x:v>
      </x:c>
      <x:c r="B71" s="19" t="str">
        <x:v>greenhouse effect</x:v>
      </x:c>
      <x:c r="C71" s="31" t="str">
        <x:v>carbon_greenhouse</x:v>
      </x:c>
      <x:c r="D71" s="25" t="n">
        <x:v>1908</x:v>
      </x:c>
      <x:c r="E71" s="46" t="n">
        <x:v>2.6547868348103516e-9</x:v>
      </x:c>
      <x:c r="F71" s="19" t="str">
        <x:v>eng</x:v>
      </x:c>
      <x:c r="G71" s="19" t="str">
        <x:v>current English corpus (July 2024 dataset; public shorthand eng; mutable current corpus)</x:v>
      </x:c>
      <x:c r="H71" s="19" t="str">
        <x:v>greenhouse effect (All)</x:v>
      </x:c>
      <x:c r="I71" s="19" t="str">
        <x:v>0</x:v>
      </x:c>
      <x:c r="J71" s="19" t="n">
        <x:v>46260.10724537037</x:v>
      </x:c>
      <x:c r="K71" s="31" t="str">
        <x:v>data/fear-temperature/ngram/raw/205959f263c8ae6824e66753a55df505e51b40905b28c4cb916bd1952aea4bdb.json</x:v>
      </x:c>
      <x:c r="L71" s="19" t="str">
        <x:v>4286ccb83770f8e9550a4b862463947b8edb637081d5f43cfee319f9d7681262</x:v>
      </x:c>
      <x:c r="M71" s="19" t="str">
        <x:v>03c6b3b7aec17c75d6066c3ad33475123246728a6d70514bc6c4b2fac975aa04</x:v>
      </x:c>
      <x:c r="N71" s="31" t="str">
        <x:v>FT-LF-GREENHOUSE_EFFECT</x:v>
      </x:c>
      <x:c r="O71" s="31" t="str">
        <x:v>FT-C-GREENHOUSE_MECHANISM</x:v>
      </x:c>
      <x:c r="P71" s="31" t="str">
        <x:v>FT-F05</x:v>
      </x:c>
      <x:c r="Q71" s="49" t="n">
        <x:v>0.0026547868348103516</x:v>
      </x:c>
    </x:row>
    <x:row r="72" ht="20" customHeight="1">
      <x:c r="A72" s="40" t="str">
        <x:v>FT-Q-V01-041</x:v>
      </x:c>
      <x:c r="B72" s="19" t="str">
        <x:v>greenhouse effect</x:v>
      </x:c>
      <x:c r="C72" s="31" t="str">
        <x:v>carbon_greenhouse</x:v>
      </x:c>
      <x:c r="D72" s="25" t="n">
        <x:v>1909</x:v>
      </x:c>
      <x:c r="E72" s="46" t="n">
        <x:v>1.0979941955646663e-10</x:v>
      </x:c>
      <x:c r="F72" s="19" t="str">
        <x:v>eng</x:v>
      </x:c>
      <x:c r="G72" s="19" t="str">
        <x:v>current English corpus (July 2024 dataset; public shorthand eng; mutable current corpus)</x:v>
      </x:c>
      <x:c r="H72" s="19" t="str">
        <x:v>greenhouse effect (All)</x:v>
      </x:c>
      <x:c r="I72" s="19" t="str">
        <x:v>0</x:v>
      </x:c>
      <x:c r="J72" s="19" t="n">
        <x:v>46260.10724537037</x:v>
      </x:c>
      <x:c r="K72" s="31" t="str">
        <x:v>data/fear-temperature/ngram/raw/205959f263c8ae6824e66753a55df505e51b40905b28c4cb916bd1952aea4bdb.json</x:v>
      </x:c>
      <x:c r="L72" s="19" t="str">
        <x:v>4286ccb83770f8e9550a4b862463947b8edb637081d5f43cfee319f9d7681262</x:v>
      </x:c>
      <x:c r="M72" s="19" t="str">
        <x:v>03c6b3b7aec17c75d6066c3ad33475123246728a6d70514bc6c4b2fac975aa04</x:v>
      </x:c>
      <x:c r="N72" s="31" t="str">
        <x:v>FT-LF-GREENHOUSE_EFFECT</x:v>
      </x:c>
      <x:c r="O72" s="31" t="str">
        <x:v>FT-C-GREENHOUSE_MECHANISM</x:v>
      </x:c>
      <x:c r="P72" s="31" t="str">
        <x:v>FT-F05</x:v>
      </x:c>
      <x:c r="Q72" s="49" t="n">
        <x:v>0.00010979941955646663</x:v>
      </x:c>
    </x:row>
    <x:row r="73" ht="20" customHeight="1">
      <x:c r="A73" s="40" t="str">
        <x:v>FT-Q-V01-041</x:v>
      </x:c>
      <x:c r="B73" s="19" t="str">
        <x:v>greenhouse effect</x:v>
      </x:c>
      <x:c r="C73" s="31" t="str">
        <x:v>carbon_greenhouse</x:v>
      </x:c>
      <x:c r="D73" s="25" t="n">
        <x:v>1910</x:v>
      </x:c>
      <x:c r="E73" s="46" t="n">
        <x:v>0</x:v>
      </x:c>
      <x:c r="F73" s="19" t="str">
        <x:v>eng</x:v>
      </x:c>
      <x:c r="G73" s="19" t="str">
        <x:v>current English corpus (July 2024 dataset; public shorthand eng; mutable current corpus)</x:v>
      </x:c>
      <x:c r="H73" s="19" t="str">
        <x:v>greenhouse effect (All)</x:v>
      </x:c>
      <x:c r="I73" s="19" t="str">
        <x:v>0</x:v>
      </x:c>
      <x:c r="J73" s="19" t="n">
        <x:v>46260.10724537037</x:v>
      </x:c>
      <x:c r="K73" s="31" t="str">
        <x:v>data/fear-temperature/ngram/raw/205959f263c8ae6824e66753a55df505e51b40905b28c4cb916bd1952aea4bdb.json</x:v>
      </x:c>
      <x:c r="L73" s="19" t="str">
        <x:v>4286ccb83770f8e9550a4b862463947b8edb637081d5f43cfee319f9d7681262</x:v>
      </x:c>
      <x:c r="M73" s="19" t="str">
        <x:v>03c6b3b7aec17c75d6066c3ad33475123246728a6d70514bc6c4b2fac975aa04</x:v>
      </x:c>
      <x:c r="N73" s="31" t="str">
        <x:v>FT-LF-GREENHOUSE_EFFECT</x:v>
      </x:c>
      <x:c r="O73" s="31" t="str">
        <x:v>FT-C-GREENHOUSE_MECHANISM</x:v>
      </x:c>
      <x:c r="P73" s="31" t="str">
        <x:v>FT-F05</x:v>
      </x:c>
      <x:c r="Q73" s="49" t="n">
        <x:v>0</x:v>
      </x:c>
    </x:row>
    <x:row r="74" ht="20" customHeight="1">
      <x:c r="A74" s="40" t="str">
        <x:v>FT-Q-V01-041</x:v>
      </x:c>
      <x:c r="B74" s="19" t="str">
        <x:v>greenhouse effect</x:v>
      </x:c>
      <x:c r="C74" s="31" t="str">
        <x:v>carbon_greenhouse</x:v>
      </x:c>
      <x:c r="D74" s="25" t="n">
        <x:v>1911</x:v>
      </x:c>
      <x:c r="E74" s="46" t="n">
        <x:v>3.766752187939204e-10</x:v>
      </x:c>
      <x:c r="F74" s="19" t="str">
        <x:v>eng</x:v>
      </x:c>
      <x:c r="G74" s="19" t="str">
        <x:v>current English corpus (July 2024 dataset; public shorthand eng; mutable current corpus)</x:v>
      </x:c>
      <x:c r="H74" s="19" t="str">
        <x:v>greenhouse effect (All)</x:v>
      </x:c>
      <x:c r="I74" s="19" t="str">
        <x:v>0</x:v>
      </x:c>
      <x:c r="J74" s="19" t="n">
        <x:v>46260.10724537037</x:v>
      </x:c>
      <x:c r="K74" s="31" t="str">
        <x:v>data/fear-temperature/ngram/raw/205959f263c8ae6824e66753a55df505e51b40905b28c4cb916bd1952aea4bdb.json</x:v>
      </x:c>
      <x:c r="L74" s="19" t="str">
        <x:v>4286ccb83770f8e9550a4b862463947b8edb637081d5f43cfee319f9d7681262</x:v>
      </x:c>
      <x:c r="M74" s="19" t="str">
        <x:v>03c6b3b7aec17c75d6066c3ad33475123246728a6d70514bc6c4b2fac975aa04</x:v>
      </x:c>
      <x:c r="N74" s="31" t="str">
        <x:v>FT-LF-GREENHOUSE_EFFECT</x:v>
      </x:c>
      <x:c r="O74" s="31" t="str">
        <x:v>FT-C-GREENHOUSE_MECHANISM</x:v>
      </x:c>
      <x:c r="P74" s="31" t="str">
        <x:v>FT-F05</x:v>
      </x:c>
      <x:c r="Q74" s="49" t="n">
        <x:v>0.0003766752187939204</x:v>
      </x:c>
    </x:row>
    <x:row r="75" ht="20" customHeight="1">
      <x:c r="A75" s="40" t="str">
        <x:v>FT-Q-V01-041</x:v>
      </x:c>
      <x:c r="B75" s="19" t="str">
        <x:v>greenhouse effect</x:v>
      </x:c>
      <x:c r="C75" s="31" t="str">
        <x:v>carbon_greenhouse</x:v>
      </x:c>
      <x:c r="D75" s="25" t="n">
        <x:v>1912</x:v>
      </x:c>
      <x:c r="E75" s="46" t="n">
        <x:v>2.9632606785012783e-10</x:v>
      </x:c>
      <x:c r="F75" s="19" t="str">
        <x:v>eng</x:v>
      </x:c>
      <x:c r="G75" s="19" t="str">
        <x:v>current English corpus (July 2024 dataset; public shorthand eng; mutable current corpus)</x:v>
      </x:c>
      <x:c r="H75" s="19" t="str">
        <x:v>greenhouse effect (All)</x:v>
      </x:c>
      <x:c r="I75" s="19" t="str">
        <x:v>0</x:v>
      </x:c>
      <x:c r="J75" s="19" t="n">
        <x:v>46260.10724537037</x:v>
      </x:c>
      <x:c r="K75" s="31" t="str">
        <x:v>data/fear-temperature/ngram/raw/205959f263c8ae6824e66753a55df505e51b40905b28c4cb916bd1952aea4bdb.json</x:v>
      </x:c>
      <x:c r="L75" s="19" t="str">
        <x:v>4286ccb83770f8e9550a4b862463947b8edb637081d5f43cfee319f9d7681262</x:v>
      </x:c>
      <x:c r="M75" s="19" t="str">
        <x:v>03c6b3b7aec17c75d6066c3ad33475123246728a6d70514bc6c4b2fac975aa04</x:v>
      </x:c>
      <x:c r="N75" s="31" t="str">
        <x:v>FT-LF-GREENHOUSE_EFFECT</x:v>
      </x:c>
      <x:c r="O75" s="31" t="str">
        <x:v>FT-C-GREENHOUSE_MECHANISM</x:v>
      </x:c>
      <x:c r="P75" s="31" t="str">
        <x:v>FT-F05</x:v>
      </x:c>
      <x:c r="Q75" s="49" t="n">
        <x:v>0.00029632606785012783</x:v>
      </x:c>
    </x:row>
    <x:row r="76" ht="20" customHeight="1">
      <x:c r="A76" s="40" t="str">
        <x:v>FT-Q-V01-041</x:v>
      </x:c>
      <x:c r="B76" s="19" t="str">
        <x:v>greenhouse effect</x:v>
      </x:c>
      <x:c r="C76" s="31" t="str">
        <x:v>carbon_greenhouse</x:v>
      </x:c>
      <x:c r="D76" s="25" t="n">
        <x:v>1913</x:v>
      </x:c>
      <x:c r="E76" s="46" t="n">
        <x:v>2.892723838243682e-10</x:v>
      </x:c>
      <x:c r="F76" s="19" t="str">
        <x:v>eng</x:v>
      </x:c>
      <x:c r="G76" s="19" t="str">
        <x:v>current English corpus (July 2024 dataset; public shorthand eng; mutable current corpus)</x:v>
      </x:c>
      <x:c r="H76" s="19" t="str">
        <x:v>greenhouse effect (All)</x:v>
      </x:c>
      <x:c r="I76" s="19" t="str">
        <x:v>0</x:v>
      </x:c>
      <x:c r="J76" s="19" t="n">
        <x:v>46260.10724537037</x:v>
      </x:c>
      <x:c r="K76" s="31" t="str">
        <x:v>data/fear-temperature/ngram/raw/205959f263c8ae6824e66753a55df505e51b40905b28c4cb916bd1952aea4bdb.json</x:v>
      </x:c>
      <x:c r="L76" s="19" t="str">
        <x:v>4286ccb83770f8e9550a4b862463947b8edb637081d5f43cfee319f9d7681262</x:v>
      </x:c>
      <x:c r="M76" s="19" t="str">
        <x:v>03c6b3b7aec17c75d6066c3ad33475123246728a6d70514bc6c4b2fac975aa04</x:v>
      </x:c>
      <x:c r="N76" s="31" t="str">
        <x:v>FT-LF-GREENHOUSE_EFFECT</x:v>
      </x:c>
      <x:c r="O76" s="31" t="str">
        <x:v>FT-C-GREENHOUSE_MECHANISM</x:v>
      </x:c>
      <x:c r="P76" s="31" t="str">
        <x:v>FT-F05</x:v>
      </x:c>
      <x:c r="Q76" s="49" t="n">
        <x:v>0.0002892723838243682</x:v>
      </x:c>
    </x:row>
    <x:row r="77" ht="20" customHeight="1">
      <x:c r="A77" s="40" t="str">
        <x:v>FT-Q-V01-041</x:v>
      </x:c>
      <x:c r="B77" s="19" t="str">
        <x:v>greenhouse effect</x:v>
      </x:c>
      <x:c r="C77" s="31" t="str">
        <x:v>carbon_greenhouse</x:v>
      </x:c>
      <x:c r="D77" s="25" t="n">
        <x:v>1914</x:v>
      </x:c>
      <x:c r="E77" s="46" t="n">
        <x:v>1.030151214331809e-9</x:v>
      </x:c>
      <x:c r="F77" s="19" t="str">
        <x:v>eng</x:v>
      </x:c>
      <x:c r="G77" s="19" t="str">
        <x:v>current English corpus (July 2024 dataset; public shorthand eng; mutable current corpus)</x:v>
      </x:c>
      <x:c r="H77" s="19" t="str">
        <x:v>greenhouse effect (All)</x:v>
      </x:c>
      <x:c r="I77" s="19" t="str">
        <x:v>0</x:v>
      </x:c>
      <x:c r="J77" s="19" t="n">
        <x:v>46260.10724537037</x:v>
      </x:c>
      <x:c r="K77" s="31" t="str">
        <x:v>data/fear-temperature/ngram/raw/205959f263c8ae6824e66753a55df505e51b40905b28c4cb916bd1952aea4bdb.json</x:v>
      </x:c>
      <x:c r="L77" s="19" t="str">
        <x:v>4286ccb83770f8e9550a4b862463947b8edb637081d5f43cfee319f9d7681262</x:v>
      </x:c>
      <x:c r="M77" s="19" t="str">
        <x:v>03c6b3b7aec17c75d6066c3ad33475123246728a6d70514bc6c4b2fac975aa04</x:v>
      </x:c>
      <x:c r="N77" s="31" t="str">
        <x:v>FT-LF-GREENHOUSE_EFFECT</x:v>
      </x:c>
      <x:c r="O77" s="31" t="str">
        <x:v>FT-C-GREENHOUSE_MECHANISM</x:v>
      </x:c>
      <x:c r="P77" s="31" t="str">
        <x:v>FT-F05</x:v>
      </x:c>
      <x:c r="Q77" s="49" t="n">
        <x:v>0.001030151214331809</x:v>
      </x:c>
    </x:row>
    <x:row r="78" ht="20" customHeight="1">
      <x:c r="A78" s="40" t="str">
        <x:v>FT-Q-V01-041</x:v>
      </x:c>
      <x:c r="B78" s="19" t="str">
        <x:v>greenhouse effect</x:v>
      </x:c>
      <x:c r="C78" s="31" t="str">
        <x:v>carbon_greenhouse</x:v>
      </x:c>
      <x:c r="D78" s="25" t="n">
        <x:v>1915</x:v>
      </x:c>
      <x:c r="E78" s="46" t="n">
        <x:v>6.89427792632813e-10</x:v>
      </x:c>
      <x:c r="F78" s="19" t="str">
        <x:v>eng</x:v>
      </x:c>
      <x:c r="G78" s="19" t="str">
        <x:v>current English corpus (July 2024 dataset; public shorthand eng; mutable current corpus)</x:v>
      </x:c>
      <x:c r="H78" s="19" t="str">
        <x:v>greenhouse effect (All)</x:v>
      </x:c>
      <x:c r="I78" s="19" t="str">
        <x:v>0</x:v>
      </x:c>
      <x:c r="J78" s="19" t="n">
        <x:v>46260.10724537037</x:v>
      </x:c>
      <x:c r="K78" s="31" t="str">
        <x:v>data/fear-temperature/ngram/raw/205959f263c8ae6824e66753a55df505e51b40905b28c4cb916bd1952aea4bdb.json</x:v>
      </x:c>
      <x:c r="L78" s="19" t="str">
        <x:v>4286ccb83770f8e9550a4b862463947b8edb637081d5f43cfee319f9d7681262</x:v>
      </x:c>
      <x:c r="M78" s="19" t="str">
        <x:v>03c6b3b7aec17c75d6066c3ad33475123246728a6d70514bc6c4b2fac975aa04</x:v>
      </x:c>
      <x:c r="N78" s="31" t="str">
        <x:v>FT-LF-GREENHOUSE_EFFECT</x:v>
      </x:c>
      <x:c r="O78" s="31" t="str">
        <x:v>FT-C-GREENHOUSE_MECHANISM</x:v>
      </x:c>
      <x:c r="P78" s="31" t="str">
        <x:v>FT-F05</x:v>
      </x:c>
      <x:c r="Q78" s="49" t="n">
        <x:v>0.000689427792632813</x:v>
      </x:c>
    </x:row>
    <x:row r="79" ht="20" customHeight="1">
      <x:c r="A79" s="40" t="str">
        <x:v>FT-Q-V01-041</x:v>
      </x:c>
      <x:c r="B79" s="19" t="str">
        <x:v>greenhouse effect</x:v>
      </x:c>
      <x:c r="C79" s="31" t="str">
        <x:v>carbon_greenhouse</x:v>
      </x:c>
      <x:c r="D79" s="25" t="n">
        <x:v>1916</x:v>
      </x:c>
      <x:c r="E79" s="46" t="n">
        <x:v>3.91664672916292e-10</x:v>
      </x:c>
      <x:c r="F79" s="19" t="str">
        <x:v>eng</x:v>
      </x:c>
      <x:c r="G79" s="19" t="str">
        <x:v>current English corpus (July 2024 dataset; public shorthand eng; mutable current corpus)</x:v>
      </x:c>
      <x:c r="H79" s="19" t="str">
        <x:v>greenhouse effect (All)</x:v>
      </x:c>
      <x:c r="I79" s="19" t="str">
        <x:v>0</x:v>
      </x:c>
      <x:c r="J79" s="19" t="n">
        <x:v>46260.10724537037</x:v>
      </x:c>
      <x:c r="K79" s="31" t="str">
        <x:v>data/fear-temperature/ngram/raw/205959f263c8ae6824e66753a55df505e51b40905b28c4cb916bd1952aea4bdb.json</x:v>
      </x:c>
      <x:c r="L79" s="19" t="str">
        <x:v>4286ccb83770f8e9550a4b862463947b8edb637081d5f43cfee319f9d7681262</x:v>
      </x:c>
      <x:c r="M79" s="19" t="str">
        <x:v>03c6b3b7aec17c75d6066c3ad33475123246728a6d70514bc6c4b2fac975aa04</x:v>
      </x:c>
      <x:c r="N79" s="31" t="str">
        <x:v>FT-LF-GREENHOUSE_EFFECT</x:v>
      </x:c>
      <x:c r="O79" s="31" t="str">
        <x:v>FT-C-GREENHOUSE_MECHANISM</x:v>
      </x:c>
      <x:c r="P79" s="31" t="str">
        <x:v>FT-F05</x:v>
      </x:c>
      <x:c r="Q79" s="49" t="n">
        <x:v>0.000391664672916292</x:v>
      </x:c>
    </x:row>
    <x:row r="80" ht="20" customHeight="1">
      <x:c r="A80" s="40" t="str">
        <x:v>FT-Q-V01-041</x:v>
      </x:c>
      <x:c r="B80" s="19" t="str">
        <x:v>greenhouse effect</x:v>
      </x:c>
      <x:c r="C80" s="31" t="str">
        <x:v>carbon_greenhouse</x:v>
      </x:c>
      <x:c r="D80" s="25" t="n">
        <x:v>1917</x:v>
      </x:c>
      <x:c r="E80" s="46" t="n">
        <x:v>1.7645297445412211e-9</x:v>
      </x:c>
      <x:c r="F80" s="19" t="str">
        <x:v>eng</x:v>
      </x:c>
      <x:c r="G80" s="19" t="str">
        <x:v>current English corpus (July 2024 dataset; public shorthand eng; mutable current corpus)</x:v>
      </x:c>
      <x:c r="H80" s="19" t="str">
        <x:v>greenhouse effect (All)</x:v>
      </x:c>
      <x:c r="I80" s="19" t="str">
        <x:v>0</x:v>
      </x:c>
      <x:c r="J80" s="19" t="n">
        <x:v>46260.10724537037</x:v>
      </x:c>
      <x:c r="K80" s="31" t="str">
        <x:v>data/fear-temperature/ngram/raw/205959f263c8ae6824e66753a55df505e51b40905b28c4cb916bd1952aea4bdb.json</x:v>
      </x:c>
      <x:c r="L80" s="19" t="str">
        <x:v>4286ccb83770f8e9550a4b862463947b8edb637081d5f43cfee319f9d7681262</x:v>
      </x:c>
      <x:c r="M80" s="19" t="str">
        <x:v>03c6b3b7aec17c75d6066c3ad33475123246728a6d70514bc6c4b2fac975aa04</x:v>
      </x:c>
      <x:c r="N80" s="31" t="str">
        <x:v>FT-LF-GREENHOUSE_EFFECT</x:v>
      </x:c>
      <x:c r="O80" s="31" t="str">
        <x:v>FT-C-GREENHOUSE_MECHANISM</x:v>
      </x:c>
      <x:c r="P80" s="31" t="str">
        <x:v>FT-F05</x:v>
      </x:c>
      <x:c r="Q80" s="49" t="n">
        <x:v>0.0017645297445412211</x:v>
      </x:c>
    </x:row>
    <x:row r="81" ht="20" customHeight="1">
      <x:c r="A81" s="40" t="str">
        <x:v>FT-Q-V01-041</x:v>
      </x:c>
      <x:c r="B81" s="19" t="str">
        <x:v>greenhouse effect</x:v>
      </x:c>
      <x:c r="C81" s="31" t="str">
        <x:v>carbon_greenhouse</x:v>
      </x:c>
      <x:c r="D81" s="25" t="n">
        <x:v>1918</x:v>
      </x:c>
      <x:c r="E81" s="46" t="n">
        <x:v>5.313250950322867e-10</x:v>
      </x:c>
      <x:c r="F81" s="19" t="str">
        <x:v>eng</x:v>
      </x:c>
      <x:c r="G81" s="19" t="str">
        <x:v>current English corpus (July 2024 dataset; public shorthand eng; mutable current corpus)</x:v>
      </x:c>
      <x:c r="H81" s="19" t="str">
        <x:v>greenhouse effect (All)</x:v>
      </x:c>
      <x:c r="I81" s="19" t="str">
        <x:v>0</x:v>
      </x:c>
      <x:c r="J81" s="19" t="n">
        <x:v>46260.10724537037</x:v>
      </x:c>
      <x:c r="K81" s="31" t="str">
        <x:v>data/fear-temperature/ngram/raw/205959f263c8ae6824e66753a55df505e51b40905b28c4cb916bd1952aea4bdb.json</x:v>
      </x:c>
      <x:c r="L81" s="19" t="str">
        <x:v>4286ccb83770f8e9550a4b862463947b8edb637081d5f43cfee319f9d7681262</x:v>
      </x:c>
      <x:c r="M81" s="19" t="str">
        <x:v>03c6b3b7aec17c75d6066c3ad33475123246728a6d70514bc6c4b2fac975aa04</x:v>
      </x:c>
      <x:c r="N81" s="31" t="str">
        <x:v>FT-LF-GREENHOUSE_EFFECT</x:v>
      </x:c>
      <x:c r="O81" s="31" t="str">
        <x:v>FT-C-GREENHOUSE_MECHANISM</x:v>
      </x:c>
      <x:c r="P81" s="31" t="str">
        <x:v>FT-F05</x:v>
      </x:c>
      <x:c r="Q81" s="49" t="n">
        <x:v>0.0005313250950322866</x:v>
      </x:c>
    </x:row>
    <x:row r="82" ht="20" customHeight="1">
      <x:c r="A82" s="40" t="str">
        <x:v>FT-Q-V01-041</x:v>
      </x:c>
      <x:c r="B82" s="19" t="str">
        <x:v>greenhouse effect</x:v>
      </x:c>
      <x:c r="C82" s="31" t="str">
        <x:v>carbon_greenhouse</x:v>
      </x:c>
      <x:c r="D82" s="25" t="n">
        <x:v>1919</x:v>
      </x:c>
      <x:c r="E82" s="46" t="n">
        <x:v>1.5881951309637543e-9</x:v>
      </x:c>
      <x:c r="F82" s="19" t="str">
        <x:v>eng</x:v>
      </x:c>
      <x:c r="G82" s="19" t="str">
        <x:v>current English corpus (July 2024 dataset; public shorthand eng; mutable current corpus)</x:v>
      </x:c>
      <x:c r="H82" s="19" t="str">
        <x:v>greenhouse effect (All)</x:v>
      </x:c>
      <x:c r="I82" s="19" t="str">
        <x:v>0</x:v>
      </x:c>
      <x:c r="J82" s="19" t="n">
        <x:v>46260.10724537037</x:v>
      </x:c>
      <x:c r="K82" s="31" t="str">
        <x:v>data/fear-temperature/ngram/raw/205959f263c8ae6824e66753a55df505e51b40905b28c4cb916bd1952aea4bdb.json</x:v>
      </x:c>
      <x:c r="L82" s="19" t="str">
        <x:v>4286ccb83770f8e9550a4b862463947b8edb637081d5f43cfee319f9d7681262</x:v>
      </x:c>
      <x:c r="M82" s="19" t="str">
        <x:v>03c6b3b7aec17c75d6066c3ad33475123246728a6d70514bc6c4b2fac975aa04</x:v>
      </x:c>
      <x:c r="N82" s="31" t="str">
        <x:v>FT-LF-GREENHOUSE_EFFECT</x:v>
      </x:c>
      <x:c r="O82" s="31" t="str">
        <x:v>FT-C-GREENHOUSE_MECHANISM</x:v>
      </x:c>
      <x:c r="P82" s="31" t="str">
        <x:v>FT-F05</x:v>
      </x:c>
      <x:c r="Q82" s="49" t="n">
        <x:v>0.0015881951309637543</x:v>
      </x:c>
    </x:row>
    <x:row r="83" ht="20" customHeight="1">
      <x:c r="A83" s="40" t="str">
        <x:v>FT-Q-V01-041</x:v>
      </x:c>
      <x:c r="B83" s="19" t="str">
        <x:v>greenhouse effect</x:v>
      </x:c>
      <x:c r="C83" s="31" t="str">
        <x:v>carbon_greenhouse</x:v>
      </x:c>
      <x:c r="D83" s="25" t="n">
        <x:v>1920</x:v>
      </x:c>
      <x:c r="E83" s="46" t="n">
        <x:v>1.0415522611051384e-9</x:v>
      </x:c>
      <x:c r="F83" s="19" t="str">
        <x:v>eng</x:v>
      </x:c>
      <x:c r="G83" s="19" t="str">
        <x:v>current English corpus (July 2024 dataset; public shorthand eng; mutable current corpus)</x:v>
      </x:c>
      <x:c r="H83" s="19" t="str">
        <x:v>greenhouse effect (All)</x:v>
      </x:c>
      <x:c r="I83" s="19" t="str">
        <x:v>0</x:v>
      </x:c>
      <x:c r="J83" s="19" t="n">
        <x:v>46260.10724537037</x:v>
      </x:c>
      <x:c r="K83" s="31" t="str">
        <x:v>data/fear-temperature/ngram/raw/205959f263c8ae6824e66753a55df505e51b40905b28c4cb916bd1952aea4bdb.json</x:v>
      </x:c>
      <x:c r="L83" s="19" t="str">
        <x:v>4286ccb83770f8e9550a4b862463947b8edb637081d5f43cfee319f9d7681262</x:v>
      </x:c>
      <x:c r="M83" s="19" t="str">
        <x:v>03c6b3b7aec17c75d6066c3ad33475123246728a6d70514bc6c4b2fac975aa04</x:v>
      </x:c>
      <x:c r="N83" s="31" t="str">
        <x:v>FT-LF-GREENHOUSE_EFFECT</x:v>
      </x:c>
      <x:c r="O83" s="31" t="str">
        <x:v>FT-C-GREENHOUSE_MECHANISM</x:v>
      </x:c>
      <x:c r="P83" s="31" t="str">
        <x:v>FT-F05</x:v>
      </x:c>
      <x:c r="Q83" s="49" t="n">
        <x:v>0.0010415522611051384</x:v>
      </x:c>
    </x:row>
    <x:row r="84" ht="20" customHeight="1">
      <x:c r="A84" s="40" t="str">
        <x:v>FT-Q-V01-041</x:v>
      </x:c>
      <x:c r="B84" s="19" t="str">
        <x:v>greenhouse effect</x:v>
      </x:c>
      <x:c r="C84" s="31" t="str">
        <x:v>carbon_greenhouse</x:v>
      </x:c>
      <x:c r="D84" s="25" t="n">
        <x:v>1921</x:v>
      </x:c>
      <x:c r="E84" s="46" t="n">
        <x:v>1.5131539354840127e-9</x:v>
      </x:c>
      <x:c r="F84" s="19" t="str">
        <x:v>eng</x:v>
      </x:c>
      <x:c r="G84" s="19" t="str">
        <x:v>current English corpus (July 2024 dataset; public shorthand eng; mutable current corpus)</x:v>
      </x:c>
      <x:c r="H84" s="19" t="str">
        <x:v>greenhouse effect (All)</x:v>
      </x:c>
      <x:c r="I84" s="19" t="str">
        <x:v>0</x:v>
      </x:c>
      <x:c r="J84" s="19" t="n">
        <x:v>46260.10724537037</x:v>
      </x:c>
      <x:c r="K84" s="31" t="str">
        <x:v>data/fear-temperature/ngram/raw/205959f263c8ae6824e66753a55df505e51b40905b28c4cb916bd1952aea4bdb.json</x:v>
      </x:c>
      <x:c r="L84" s="19" t="str">
        <x:v>4286ccb83770f8e9550a4b862463947b8edb637081d5f43cfee319f9d7681262</x:v>
      </x:c>
      <x:c r="M84" s="19" t="str">
        <x:v>03c6b3b7aec17c75d6066c3ad33475123246728a6d70514bc6c4b2fac975aa04</x:v>
      </x:c>
      <x:c r="N84" s="31" t="str">
        <x:v>FT-LF-GREENHOUSE_EFFECT</x:v>
      </x:c>
      <x:c r="O84" s="31" t="str">
        <x:v>FT-C-GREENHOUSE_MECHANISM</x:v>
      </x:c>
      <x:c r="P84" s="31" t="str">
        <x:v>FT-F05</x:v>
      </x:c>
      <x:c r="Q84" s="49" t="n">
        <x:v>0.0015131539354840127</x:v>
      </x:c>
    </x:row>
    <x:row r="85" ht="20" customHeight="1">
      <x:c r="A85" s="40" t="str">
        <x:v>FT-Q-V01-041</x:v>
      </x:c>
      <x:c r="B85" s="19" t="str">
        <x:v>greenhouse effect</x:v>
      </x:c>
      <x:c r="C85" s="31" t="str">
        <x:v>carbon_greenhouse</x:v>
      </x:c>
      <x:c r="D85" s="25" t="n">
        <x:v>1922</x:v>
      </x:c>
      <x:c r="E85" s="46" t="n">
        <x:v>1.0274784079111752e-9</x:v>
      </x:c>
      <x:c r="F85" s="19" t="str">
        <x:v>eng</x:v>
      </x:c>
      <x:c r="G85" s="19" t="str">
        <x:v>current English corpus (July 2024 dataset; public shorthand eng; mutable current corpus)</x:v>
      </x:c>
      <x:c r="H85" s="19" t="str">
        <x:v>greenhouse effect (All)</x:v>
      </x:c>
      <x:c r="I85" s="19" t="str">
        <x:v>0</x:v>
      </x:c>
      <x:c r="J85" s="19" t="n">
        <x:v>46260.10724537037</x:v>
      </x:c>
      <x:c r="K85" s="31" t="str">
        <x:v>data/fear-temperature/ngram/raw/205959f263c8ae6824e66753a55df505e51b40905b28c4cb916bd1952aea4bdb.json</x:v>
      </x:c>
      <x:c r="L85" s="19" t="str">
        <x:v>4286ccb83770f8e9550a4b862463947b8edb637081d5f43cfee319f9d7681262</x:v>
      </x:c>
      <x:c r="M85" s="19" t="str">
        <x:v>03c6b3b7aec17c75d6066c3ad33475123246728a6d70514bc6c4b2fac975aa04</x:v>
      </x:c>
      <x:c r="N85" s="31" t="str">
        <x:v>FT-LF-GREENHOUSE_EFFECT</x:v>
      </x:c>
      <x:c r="O85" s="31" t="str">
        <x:v>FT-C-GREENHOUSE_MECHANISM</x:v>
      </x:c>
      <x:c r="P85" s="31" t="str">
        <x:v>FT-F05</x:v>
      </x:c>
      <x:c r="Q85" s="49" t="n">
        <x:v>0.0010274784079111752</x:v>
      </x:c>
    </x:row>
    <x:row r="86" ht="20" customHeight="1">
      <x:c r="A86" s="40" t="str">
        <x:v>FT-Q-V01-041</x:v>
      </x:c>
      <x:c r="B86" s="19" t="str">
        <x:v>greenhouse effect</x:v>
      </x:c>
      <x:c r="C86" s="31" t="str">
        <x:v>carbon_greenhouse</x:v>
      </x:c>
      <x:c r="D86" s="25" t="n">
        <x:v>1923</x:v>
      </x:c>
      <x:c r="E86" s="46" t="n">
        <x:v>6.078581527013682e-10</x:v>
      </x:c>
      <x:c r="F86" s="19" t="str">
        <x:v>eng</x:v>
      </x:c>
      <x:c r="G86" s="19" t="str">
        <x:v>current English corpus (July 2024 dataset; public shorthand eng; mutable current corpus)</x:v>
      </x:c>
      <x:c r="H86" s="19" t="str">
        <x:v>greenhouse effect (All)</x:v>
      </x:c>
      <x:c r="I86" s="19" t="str">
        <x:v>0</x:v>
      </x:c>
      <x:c r="J86" s="19" t="n">
        <x:v>46260.10724537037</x:v>
      </x:c>
      <x:c r="K86" s="31" t="str">
        <x:v>data/fear-temperature/ngram/raw/205959f263c8ae6824e66753a55df505e51b40905b28c4cb916bd1952aea4bdb.json</x:v>
      </x:c>
      <x:c r="L86" s="19" t="str">
        <x:v>4286ccb83770f8e9550a4b862463947b8edb637081d5f43cfee319f9d7681262</x:v>
      </x:c>
      <x:c r="M86" s="19" t="str">
        <x:v>03c6b3b7aec17c75d6066c3ad33475123246728a6d70514bc6c4b2fac975aa04</x:v>
      </x:c>
      <x:c r="N86" s="31" t="str">
        <x:v>FT-LF-GREENHOUSE_EFFECT</x:v>
      </x:c>
      <x:c r="O86" s="31" t="str">
        <x:v>FT-C-GREENHOUSE_MECHANISM</x:v>
      </x:c>
      <x:c r="P86" s="31" t="str">
        <x:v>FT-F05</x:v>
      </x:c>
      <x:c r="Q86" s="49" t="n">
        <x:v>0.0006078581527013682</x:v>
      </x:c>
    </x:row>
    <x:row r="87" ht="20" customHeight="1">
      <x:c r="A87" s="40" t="str">
        <x:v>FT-Q-V01-041</x:v>
      </x:c>
      <x:c r="B87" s="19" t="str">
        <x:v>greenhouse effect</x:v>
      </x:c>
      <x:c r="C87" s="31" t="str">
        <x:v>carbon_greenhouse</x:v>
      </x:c>
      <x:c r="D87" s="25" t="n">
        <x:v>1924</x:v>
      </x:c>
      <x:c r="E87" s="46" t="n">
        <x:v>2.0656522742301675e-9</x:v>
      </x:c>
      <x:c r="F87" s="19" t="str">
        <x:v>eng</x:v>
      </x:c>
      <x:c r="G87" s="19" t="str">
        <x:v>current English corpus (July 2024 dataset; public shorthand eng; mutable current corpus)</x:v>
      </x:c>
      <x:c r="H87" s="19" t="str">
        <x:v>greenhouse effect (All)</x:v>
      </x:c>
      <x:c r="I87" s="19" t="str">
        <x:v>0</x:v>
      </x:c>
      <x:c r="J87" s="19" t="n">
        <x:v>46260.10724537037</x:v>
      </x:c>
      <x:c r="K87" s="31" t="str">
        <x:v>data/fear-temperature/ngram/raw/205959f263c8ae6824e66753a55df505e51b40905b28c4cb916bd1952aea4bdb.json</x:v>
      </x:c>
      <x:c r="L87" s="19" t="str">
        <x:v>4286ccb83770f8e9550a4b862463947b8edb637081d5f43cfee319f9d7681262</x:v>
      </x:c>
      <x:c r="M87" s="19" t="str">
        <x:v>03c6b3b7aec17c75d6066c3ad33475123246728a6d70514bc6c4b2fac975aa04</x:v>
      </x:c>
      <x:c r="N87" s="31" t="str">
        <x:v>FT-LF-GREENHOUSE_EFFECT</x:v>
      </x:c>
      <x:c r="O87" s="31" t="str">
        <x:v>FT-C-GREENHOUSE_MECHANISM</x:v>
      </x:c>
      <x:c r="P87" s="31" t="str">
        <x:v>FT-F05</x:v>
      </x:c>
      <x:c r="Q87" s="49" t="n">
        <x:v>0.0020656522742301675</x:v>
      </x:c>
    </x:row>
    <x:row r="88" ht="20" customHeight="1">
      <x:c r="A88" s="40" t="str">
        <x:v>FT-Q-V01-041</x:v>
      </x:c>
      <x:c r="B88" s="19" t="str">
        <x:v>greenhouse effect</x:v>
      </x:c>
      <x:c r="C88" s="31" t="str">
        <x:v>carbon_greenhouse</x:v>
      </x:c>
      <x:c r="D88" s="25" t="n">
        <x:v>1925</x:v>
      </x:c>
      <x:c r="E88" s="46" t="n">
        <x:v>5.16986842225009e-10</x:v>
      </x:c>
      <x:c r="F88" s="19" t="str">
        <x:v>eng</x:v>
      </x:c>
      <x:c r="G88" s="19" t="str">
        <x:v>current English corpus (July 2024 dataset; public shorthand eng; mutable current corpus)</x:v>
      </x:c>
      <x:c r="H88" s="19" t="str">
        <x:v>greenhouse effect (All)</x:v>
      </x:c>
      <x:c r="I88" s="19" t="str">
        <x:v>0</x:v>
      </x:c>
      <x:c r="J88" s="19" t="n">
        <x:v>46260.10724537037</x:v>
      </x:c>
      <x:c r="K88" s="31" t="str">
        <x:v>data/fear-temperature/ngram/raw/205959f263c8ae6824e66753a55df505e51b40905b28c4cb916bd1952aea4bdb.json</x:v>
      </x:c>
      <x:c r="L88" s="19" t="str">
        <x:v>4286ccb83770f8e9550a4b862463947b8edb637081d5f43cfee319f9d7681262</x:v>
      </x:c>
      <x:c r="M88" s="19" t="str">
        <x:v>03c6b3b7aec17c75d6066c3ad33475123246728a6d70514bc6c4b2fac975aa04</x:v>
      </x:c>
      <x:c r="N88" s="31" t="str">
        <x:v>FT-LF-GREENHOUSE_EFFECT</x:v>
      </x:c>
      <x:c r="O88" s="31" t="str">
        <x:v>FT-C-GREENHOUSE_MECHANISM</x:v>
      </x:c>
      <x:c r="P88" s="31" t="str">
        <x:v>FT-F05</x:v>
      </x:c>
      <x:c r="Q88" s="49" t="n">
        <x:v>0.000516986842225009</x:v>
      </x:c>
    </x:row>
    <x:row r="89" ht="20" customHeight="1">
      <x:c r="A89" s="40" t="str">
        <x:v>FT-Q-V01-041</x:v>
      </x:c>
      <x:c r="B89" s="19" t="str">
        <x:v>greenhouse effect</x:v>
      </x:c>
      <x:c r="C89" s="31" t="str">
        <x:v>carbon_greenhouse</x:v>
      </x:c>
      <x:c r="D89" s="25" t="n">
        <x:v>1926</x:v>
      </x:c>
      <x:c r="E89" s="46" t="n">
        <x:v>5.989404250339447e-10</x:v>
      </x:c>
      <x:c r="F89" s="19" t="str">
        <x:v>eng</x:v>
      </x:c>
      <x:c r="G89" s="19" t="str">
        <x:v>current English corpus (July 2024 dataset; public shorthand eng; mutable current corpus)</x:v>
      </x:c>
      <x:c r="H89" s="19" t="str">
        <x:v>greenhouse effect (All)</x:v>
      </x:c>
      <x:c r="I89" s="19" t="str">
        <x:v>0</x:v>
      </x:c>
      <x:c r="J89" s="19" t="n">
        <x:v>46260.10724537037</x:v>
      </x:c>
      <x:c r="K89" s="31" t="str">
        <x:v>data/fear-temperature/ngram/raw/205959f263c8ae6824e66753a55df505e51b40905b28c4cb916bd1952aea4bdb.json</x:v>
      </x:c>
      <x:c r="L89" s="19" t="str">
        <x:v>4286ccb83770f8e9550a4b862463947b8edb637081d5f43cfee319f9d7681262</x:v>
      </x:c>
      <x:c r="M89" s="19" t="str">
        <x:v>03c6b3b7aec17c75d6066c3ad33475123246728a6d70514bc6c4b2fac975aa04</x:v>
      </x:c>
      <x:c r="N89" s="31" t="str">
        <x:v>FT-LF-GREENHOUSE_EFFECT</x:v>
      </x:c>
      <x:c r="O89" s="31" t="str">
        <x:v>FT-C-GREENHOUSE_MECHANISM</x:v>
      </x:c>
      <x:c r="P89" s="31" t="str">
        <x:v>FT-F05</x:v>
      </x:c>
      <x:c r="Q89" s="49" t="n">
        <x:v>0.0005989404250339447</x:v>
      </x:c>
    </x:row>
    <x:row r="90" ht="20" customHeight="1">
      <x:c r="A90" s="40" t="str">
        <x:v>FT-Q-V01-041</x:v>
      </x:c>
      <x:c r="B90" s="19" t="str">
        <x:v>greenhouse effect</x:v>
      </x:c>
      <x:c r="C90" s="31" t="str">
        <x:v>carbon_greenhouse</x:v>
      </x:c>
      <x:c r="D90" s="25" t="n">
        <x:v>1927</x:v>
      </x:c>
      <x:c r="E90" s="46" t="n">
        <x:v>4.857704349880976e-9</x:v>
      </x:c>
      <x:c r="F90" s="19" t="str">
        <x:v>eng</x:v>
      </x:c>
      <x:c r="G90" s="19" t="str">
        <x:v>current English corpus (July 2024 dataset; public shorthand eng; mutable current corpus)</x:v>
      </x:c>
      <x:c r="H90" s="19" t="str">
        <x:v>greenhouse effect (All)</x:v>
      </x:c>
      <x:c r="I90" s="19" t="str">
        <x:v>0</x:v>
      </x:c>
      <x:c r="J90" s="19" t="n">
        <x:v>46260.10724537037</x:v>
      </x:c>
      <x:c r="K90" s="31" t="str">
        <x:v>data/fear-temperature/ngram/raw/205959f263c8ae6824e66753a55df505e51b40905b28c4cb916bd1952aea4bdb.json</x:v>
      </x:c>
      <x:c r="L90" s="19" t="str">
        <x:v>4286ccb83770f8e9550a4b862463947b8edb637081d5f43cfee319f9d7681262</x:v>
      </x:c>
      <x:c r="M90" s="19" t="str">
        <x:v>03c6b3b7aec17c75d6066c3ad33475123246728a6d70514bc6c4b2fac975aa04</x:v>
      </x:c>
      <x:c r="N90" s="31" t="str">
        <x:v>FT-LF-GREENHOUSE_EFFECT</x:v>
      </x:c>
      <x:c r="O90" s="31" t="str">
        <x:v>FT-C-GREENHOUSE_MECHANISM</x:v>
      </x:c>
      <x:c r="P90" s="31" t="str">
        <x:v>FT-F05</x:v>
      </x:c>
      <x:c r="Q90" s="49" t="n">
        <x:v>0.004857704349880976</x:v>
      </x:c>
    </x:row>
    <x:row r="91" ht="20" customHeight="1">
      <x:c r="A91" s="40" t="str">
        <x:v>FT-Q-V01-041</x:v>
      </x:c>
      <x:c r="B91" s="19" t="str">
        <x:v>greenhouse effect</x:v>
      </x:c>
      <x:c r="C91" s="31" t="str">
        <x:v>carbon_greenhouse</x:v>
      </x:c>
      <x:c r="D91" s="25" t="n">
        <x:v>1928</x:v>
      </x:c>
      <x:c r="E91" s="46" t="n">
        <x:v>5.758711285608342e-10</x:v>
      </x:c>
      <x:c r="F91" s="19" t="str">
        <x:v>eng</x:v>
      </x:c>
      <x:c r="G91" s="19" t="str">
        <x:v>current English corpus (July 2024 dataset; public shorthand eng; mutable current corpus)</x:v>
      </x:c>
      <x:c r="H91" s="19" t="str">
        <x:v>greenhouse effect (All)</x:v>
      </x:c>
      <x:c r="I91" s="19" t="str">
        <x:v>0</x:v>
      </x:c>
      <x:c r="J91" s="19" t="n">
        <x:v>46260.10724537037</x:v>
      </x:c>
      <x:c r="K91" s="31" t="str">
        <x:v>data/fear-temperature/ngram/raw/205959f263c8ae6824e66753a55df505e51b40905b28c4cb916bd1952aea4bdb.json</x:v>
      </x:c>
      <x:c r="L91" s="19" t="str">
        <x:v>4286ccb83770f8e9550a4b862463947b8edb637081d5f43cfee319f9d7681262</x:v>
      </x:c>
      <x:c r="M91" s="19" t="str">
        <x:v>03c6b3b7aec17c75d6066c3ad33475123246728a6d70514bc6c4b2fac975aa04</x:v>
      </x:c>
      <x:c r="N91" s="31" t="str">
        <x:v>FT-LF-GREENHOUSE_EFFECT</x:v>
      </x:c>
      <x:c r="O91" s="31" t="str">
        <x:v>FT-C-GREENHOUSE_MECHANISM</x:v>
      </x:c>
      <x:c r="P91" s="31" t="str">
        <x:v>FT-F05</x:v>
      </x:c>
      <x:c r="Q91" s="49" t="n">
        <x:v>0.0005758711285608342</x:v>
      </x:c>
    </x:row>
    <x:row r="92" ht="20" customHeight="1">
      <x:c r="A92" s="40" t="str">
        <x:v>FT-Q-V01-041</x:v>
      </x:c>
      <x:c r="B92" s="19" t="str">
        <x:v>greenhouse effect</x:v>
      </x:c>
      <x:c r="C92" s="31" t="str">
        <x:v>carbon_greenhouse</x:v>
      </x:c>
      <x:c r="D92" s="25" t="n">
        <x:v>1929</x:v>
      </x:c>
      <x:c r="E92" s="46" t="n">
        <x:v>3.681185883896987e-9</x:v>
      </x:c>
      <x:c r="F92" s="19" t="str">
        <x:v>eng</x:v>
      </x:c>
      <x:c r="G92" s="19" t="str">
        <x:v>current English corpus (July 2024 dataset; public shorthand eng; mutable current corpus)</x:v>
      </x:c>
      <x:c r="H92" s="19" t="str">
        <x:v>greenhouse effect (All)</x:v>
      </x:c>
      <x:c r="I92" s="19" t="str">
        <x:v>0</x:v>
      </x:c>
      <x:c r="J92" s="19" t="n">
        <x:v>46260.10724537037</x:v>
      </x:c>
      <x:c r="K92" s="31" t="str">
        <x:v>data/fear-temperature/ngram/raw/205959f263c8ae6824e66753a55df505e51b40905b28c4cb916bd1952aea4bdb.json</x:v>
      </x:c>
      <x:c r="L92" s="19" t="str">
        <x:v>4286ccb83770f8e9550a4b862463947b8edb637081d5f43cfee319f9d7681262</x:v>
      </x:c>
      <x:c r="M92" s="19" t="str">
        <x:v>03c6b3b7aec17c75d6066c3ad33475123246728a6d70514bc6c4b2fac975aa04</x:v>
      </x:c>
      <x:c r="N92" s="31" t="str">
        <x:v>FT-LF-GREENHOUSE_EFFECT</x:v>
      </x:c>
      <x:c r="O92" s="31" t="str">
        <x:v>FT-C-GREENHOUSE_MECHANISM</x:v>
      </x:c>
      <x:c r="P92" s="31" t="str">
        <x:v>FT-F05</x:v>
      </x:c>
      <x:c r="Q92" s="49" t="n">
        <x:v>0.003681185883896987</x:v>
      </x:c>
    </x:row>
    <x:row r="93" ht="20" customHeight="1">
      <x:c r="A93" s="40" t="str">
        <x:v>FT-Q-V01-041</x:v>
      </x:c>
      <x:c r="B93" s="19" t="str">
        <x:v>greenhouse effect</x:v>
      </x:c>
      <x:c r="C93" s="31" t="str">
        <x:v>carbon_greenhouse</x:v>
      </x:c>
      <x:c r="D93" s="25" t="n">
        <x:v>1930</x:v>
      </x:c>
      <x:c r="E93" s="46" t="n">
        <x:v>5.66729024820134e-10</x:v>
      </x:c>
      <x:c r="F93" s="19" t="str">
        <x:v>eng</x:v>
      </x:c>
      <x:c r="G93" s="19" t="str">
        <x:v>current English corpus (July 2024 dataset; public shorthand eng; mutable current corpus)</x:v>
      </x:c>
      <x:c r="H93" s="19" t="str">
        <x:v>greenhouse effect (All)</x:v>
      </x:c>
      <x:c r="I93" s="19" t="str">
        <x:v>0</x:v>
      </x:c>
      <x:c r="J93" s="19" t="n">
        <x:v>46260.10724537037</x:v>
      </x:c>
      <x:c r="K93" s="31" t="str">
        <x:v>data/fear-temperature/ngram/raw/205959f263c8ae6824e66753a55df505e51b40905b28c4cb916bd1952aea4bdb.json</x:v>
      </x:c>
      <x:c r="L93" s="19" t="str">
        <x:v>4286ccb83770f8e9550a4b862463947b8edb637081d5f43cfee319f9d7681262</x:v>
      </x:c>
      <x:c r="M93" s="19" t="str">
        <x:v>03c6b3b7aec17c75d6066c3ad33475123246728a6d70514bc6c4b2fac975aa04</x:v>
      </x:c>
      <x:c r="N93" s="31" t="str">
        <x:v>FT-LF-GREENHOUSE_EFFECT</x:v>
      </x:c>
      <x:c r="O93" s="31" t="str">
        <x:v>FT-C-GREENHOUSE_MECHANISM</x:v>
      </x:c>
      <x:c r="P93" s="31" t="str">
        <x:v>FT-F05</x:v>
      </x:c>
      <x:c r="Q93" s="49" t="n">
        <x:v>0.000566729024820134</x:v>
      </x:c>
    </x:row>
    <x:row r="94" ht="20" customHeight="1">
      <x:c r="A94" s="40" t="str">
        <x:v>FT-Q-V01-041</x:v>
      </x:c>
      <x:c r="B94" s="19" t="str">
        <x:v>greenhouse effect</x:v>
      </x:c>
      <x:c r="C94" s="31" t="str">
        <x:v>carbon_greenhouse</x:v>
      </x:c>
      <x:c r="D94" s="25" t="n">
        <x:v>1931</x:v>
      </x:c>
      <x:c r="E94" s="46" t="n">
        <x:v>3.575980539460843e-9</x:v>
      </x:c>
      <x:c r="F94" s="19" t="str">
        <x:v>eng</x:v>
      </x:c>
      <x:c r="G94" s="19" t="str">
        <x:v>current English corpus (July 2024 dataset; public shorthand eng; mutable current corpus)</x:v>
      </x:c>
      <x:c r="H94" s="19" t="str">
        <x:v>greenhouse effect (All)</x:v>
      </x:c>
      <x:c r="I94" s="19" t="str">
        <x:v>0</x:v>
      </x:c>
      <x:c r="J94" s="19" t="n">
        <x:v>46260.10724537037</x:v>
      </x:c>
      <x:c r="K94" s="31" t="str">
        <x:v>data/fear-temperature/ngram/raw/205959f263c8ae6824e66753a55df505e51b40905b28c4cb916bd1952aea4bdb.json</x:v>
      </x:c>
      <x:c r="L94" s="19" t="str">
        <x:v>4286ccb83770f8e9550a4b862463947b8edb637081d5f43cfee319f9d7681262</x:v>
      </x:c>
      <x:c r="M94" s="19" t="str">
        <x:v>03c6b3b7aec17c75d6066c3ad33475123246728a6d70514bc6c4b2fac975aa04</x:v>
      </x:c>
      <x:c r="N94" s="31" t="str">
        <x:v>FT-LF-GREENHOUSE_EFFECT</x:v>
      </x:c>
      <x:c r="O94" s="31" t="str">
        <x:v>FT-C-GREENHOUSE_MECHANISM</x:v>
      </x:c>
      <x:c r="P94" s="31" t="str">
        <x:v>FT-F05</x:v>
      </x:c>
      <x:c r="Q94" s="49" t="n">
        <x:v>0.003575980539460843</x:v>
      </x:c>
    </x:row>
    <x:row r="95" ht="20" customHeight="1">
      <x:c r="A95" s="40" t="str">
        <x:v>FT-Q-V01-041</x:v>
      </x:c>
      <x:c r="B95" s="19" t="str">
        <x:v>greenhouse effect</x:v>
      </x:c>
      <x:c r="C95" s="31" t="str">
        <x:v>carbon_greenhouse</x:v>
      </x:c>
      <x:c r="D95" s="25" t="n">
        <x:v>1932</x:v>
      </x:c>
      <x:c r="E95" s="46" t="n">
        <x:v>1.656303288966043e-9</x:v>
      </x:c>
      <x:c r="F95" s="19" t="str">
        <x:v>eng</x:v>
      </x:c>
      <x:c r="G95" s="19" t="str">
        <x:v>current English corpus (July 2024 dataset; public shorthand eng; mutable current corpus)</x:v>
      </x:c>
      <x:c r="H95" s="19" t="str">
        <x:v>greenhouse effect (All)</x:v>
      </x:c>
      <x:c r="I95" s="19" t="str">
        <x:v>0</x:v>
      </x:c>
      <x:c r="J95" s="19" t="n">
        <x:v>46260.10724537037</x:v>
      </x:c>
      <x:c r="K95" s="31" t="str">
        <x:v>data/fear-temperature/ngram/raw/205959f263c8ae6824e66753a55df505e51b40905b28c4cb916bd1952aea4bdb.json</x:v>
      </x:c>
      <x:c r="L95" s="19" t="str">
        <x:v>4286ccb83770f8e9550a4b862463947b8edb637081d5f43cfee319f9d7681262</x:v>
      </x:c>
      <x:c r="M95" s="19" t="str">
        <x:v>03c6b3b7aec17c75d6066c3ad33475123246728a6d70514bc6c4b2fac975aa04</x:v>
      </x:c>
      <x:c r="N95" s="31" t="str">
        <x:v>FT-LF-GREENHOUSE_EFFECT</x:v>
      </x:c>
      <x:c r="O95" s="31" t="str">
        <x:v>FT-C-GREENHOUSE_MECHANISM</x:v>
      </x:c>
      <x:c r="P95" s="31" t="str">
        <x:v>FT-F05</x:v>
      </x:c>
      <x:c r="Q95" s="49" t="n">
        <x:v>0.001656303288966043</x:v>
      </x:c>
    </x:row>
    <x:row r="96" ht="20" customHeight="1">
      <x:c r="A96" s="40" t="str">
        <x:v>FT-Q-V01-041</x:v>
      </x:c>
      <x:c r="B96" s="19" t="str">
        <x:v>greenhouse effect</x:v>
      </x:c>
      <x:c r="C96" s="31" t="str">
        <x:v>carbon_greenhouse</x:v>
      </x:c>
      <x:c r="D96" s="25" t="n">
        <x:v>1933</x:v>
      </x:c>
      <x:c r="E96" s="46" t="n">
        <x:v>3.4607963161903395e-9</x:v>
      </x:c>
      <x:c r="F96" s="19" t="str">
        <x:v>eng</x:v>
      </x:c>
      <x:c r="G96" s="19" t="str">
        <x:v>current English corpus (July 2024 dataset; public shorthand eng; mutable current corpus)</x:v>
      </x:c>
      <x:c r="H96" s="19" t="str">
        <x:v>greenhouse effect (All)</x:v>
      </x:c>
      <x:c r="I96" s="19" t="str">
        <x:v>0</x:v>
      </x:c>
      <x:c r="J96" s="19" t="n">
        <x:v>46260.10724537037</x:v>
      </x:c>
      <x:c r="K96" s="31" t="str">
        <x:v>data/fear-temperature/ngram/raw/205959f263c8ae6824e66753a55df505e51b40905b28c4cb916bd1952aea4bdb.json</x:v>
      </x:c>
      <x:c r="L96" s="19" t="str">
        <x:v>4286ccb83770f8e9550a4b862463947b8edb637081d5f43cfee319f9d7681262</x:v>
      </x:c>
      <x:c r="M96" s="19" t="str">
        <x:v>03c6b3b7aec17c75d6066c3ad33475123246728a6d70514bc6c4b2fac975aa04</x:v>
      </x:c>
      <x:c r="N96" s="31" t="str">
        <x:v>FT-LF-GREENHOUSE_EFFECT</x:v>
      </x:c>
      <x:c r="O96" s="31" t="str">
        <x:v>FT-C-GREENHOUSE_MECHANISM</x:v>
      </x:c>
      <x:c r="P96" s="31" t="str">
        <x:v>FT-F05</x:v>
      </x:c>
      <x:c r="Q96" s="49" t="n">
        <x:v>0.0034607963161903395</x:v>
      </x:c>
    </x:row>
    <x:row r="97" ht="20" customHeight="1">
      <x:c r="A97" s="40" t="str">
        <x:v>FT-Q-V01-041</x:v>
      </x:c>
      <x:c r="B97" s="19" t="str">
        <x:v>greenhouse effect</x:v>
      </x:c>
      <x:c r="C97" s="31" t="str">
        <x:v>carbon_greenhouse</x:v>
      </x:c>
      <x:c r="D97" s="25" t="n">
        <x:v>1934</x:v>
      </x:c>
      <x:c r="E97" s="46" t="n">
        <x:v>2.1203218070198204e-8</x:v>
      </x:c>
      <x:c r="F97" s="19" t="str">
        <x:v>eng</x:v>
      </x:c>
      <x:c r="G97" s="19" t="str">
        <x:v>current English corpus (July 2024 dataset; public shorthand eng; mutable current corpus)</x:v>
      </x:c>
      <x:c r="H97" s="19" t="str">
        <x:v>greenhouse effect (All)</x:v>
      </x:c>
      <x:c r="I97" s="19" t="str">
        <x:v>0</x:v>
      </x:c>
      <x:c r="J97" s="19" t="n">
        <x:v>46260.10724537037</x:v>
      </x:c>
      <x:c r="K97" s="31" t="str">
        <x:v>data/fear-temperature/ngram/raw/205959f263c8ae6824e66753a55df505e51b40905b28c4cb916bd1952aea4bdb.json</x:v>
      </x:c>
      <x:c r="L97" s="19" t="str">
        <x:v>4286ccb83770f8e9550a4b862463947b8edb637081d5f43cfee319f9d7681262</x:v>
      </x:c>
      <x:c r="M97" s="19" t="str">
        <x:v>03c6b3b7aec17c75d6066c3ad33475123246728a6d70514bc6c4b2fac975aa04</x:v>
      </x:c>
      <x:c r="N97" s="31" t="str">
        <x:v>FT-LF-GREENHOUSE_EFFECT</x:v>
      </x:c>
      <x:c r="O97" s="31" t="str">
        <x:v>FT-C-GREENHOUSE_MECHANISM</x:v>
      </x:c>
      <x:c r="P97" s="31" t="str">
        <x:v>FT-F05</x:v>
      </x:c>
      <x:c r="Q97" s="49" t="n">
        <x:v>0.021203218070198204</x:v>
      </x:c>
    </x:row>
    <x:row r="98" ht="20" customHeight="1">
      <x:c r="A98" s="40" t="str">
        <x:v>FT-Q-V01-041</x:v>
      </x:c>
      <x:c r="B98" s="19" t="str">
        <x:v>greenhouse effect</x:v>
      </x:c>
      <x:c r="C98" s="31" t="str">
        <x:v>carbon_greenhouse</x:v>
      </x:c>
      <x:c r="D98" s="25" t="n">
        <x:v>1935</x:v>
      </x:c>
      <x:c r="E98" s="46" t="n">
        <x:v>1.5611048148622682e-9</x:v>
      </x:c>
      <x:c r="F98" s="19" t="str">
        <x:v>eng</x:v>
      </x:c>
      <x:c r="G98" s="19" t="str">
        <x:v>current English corpus (July 2024 dataset; public shorthand eng; mutable current corpus)</x:v>
      </x:c>
      <x:c r="H98" s="19" t="str">
        <x:v>greenhouse effect (All)</x:v>
      </x:c>
      <x:c r="I98" s="19" t="str">
        <x:v>0</x:v>
      </x:c>
      <x:c r="J98" s="19" t="n">
        <x:v>46260.10724537037</x:v>
      </x:c>
      <x:c r="K98" s="31" t="str">
        <x:v>data/fear-temperature/ngram/raw/205959f263c8ae6824e66753a55df505e51b40905b28c4cb916bd1952aea4bdb.json</x:v>
      </x:c>
      <x:c r="L98" s="19" t="str">
        <x:v>4286ccb83770f8e9550a4b862463947b8edb637081d5f43cfee319f9d7681262</x:v>
      </x:c>
      <x:c r="M98" s="19" t="str">
        <x:v>03c6b3b7aec17c75d6066c3ad33475123246728a6d70514bc6c4b2fac975aa04</x:v>
      </x:c>
      <x:c r="N98" s="31" t="str">
        <x:v>FT-LF-GREENHOUSE_EFFECT</x:v>
      </x:c>
      <x:c r="O98" s="31" t="str">
        <x:v>FT-C-GREENHOUSE_MECHANISM</x:v>
      </x:c>
      <x:c r="P98" s="31" t="str">
        <x:v>FT-F05</x:v>
      </x:c>
      <x:c r="Q98" s="49" t="n">
        <x:v>0.0015611048148622682</x:v>
      </x:c>
    </x:row>
    <x:row r="99" ht="20" customHeight="1">
      <x:c r="A99" s="40" t="str">
        <x:v>FT-Q-V01-041</x:v>
      </x:c>
      <x:c r="B99" s="19" t="str">
        <x:v>greenhouse effect</x:v>
      </x:c>
      <x:c r="C99" s="31" t="str">
        <x:v>carbon_greenhouse</x:v>
      </x:c>
      <x:c r="D99" s="25" t="n">
        <x:v>1936</x:v>
      </x:c>
      <x:c r="E99" s="46" t="n">
        <x:v>3.7054267432168327e-9</x:v>
      </x:c>
      <x:c r="F99" s="19" t="str">
        <x:v>eng</x:v>
      </x:c>
      <x:c r="G99" s="19" t="str">
        <x:v>current English corpus (July 2024 dataset; public shorthand eng; mutable current corpus)</x:v>
      </x:c>
      <x:c r="H99" s="19" t="str">
        <x:v>greenhouse effect (All)</x:v>
      </x:c>
      <x:c r="I99" s="19" t="str">
        <x:v>0</x:v>
      </x:c>
      <x:c r="J99" s="19" t="n">
        <x:v>46260.10724537037</x:v>
      </x:c>
      <x:c r="K99" s="31" t="str">
        <x:v>data/fear-temperature/ngram/raw/205959f263c8ae6824e66753a55df505e51b40905b28c4cb916bd1952aea4bdb.json</x:v>
      </x:c>
      <x:c r="L99" s="19" t="str">
        <x:v>4286ccb83770f8e9550a4b862463947b8edb637081d5f43cfee319f9d7681262</x:v>
      </x:c>
      <x:c r="M99" s="19" t="str">
        <x:v>03c6b3b7aec17c75d6066c3ad33475123246728a6d70514bc6c4b2fac975aa04</x:v>
      </x:c>
      <x:c r="N99" s="31" t="str">
        <x:v>FT-LF-GREENHOUSE_EFFECT</x:v>
      </x:c>
      <x:c r="O99" s="31" t="str">
        <x:v>FT-C-GREENHOUSE_MECHANISM</x:v>
      </x:c>
      <x:c r="P99" s="31" t="str">
        <x:v>FT-F05</x:v>
      </x:c>
      <x:c r="Q99" s="49" t="n">
        <x:v>0.0037054267432168326</x:v>
      </x:c>
    </x:row>
    <x:row r="100" ht="20" customHeight="1">
      <x:c r="A100" s="40" t="str">
        <x:v>FT-Q-V01-041</x:v>
      </x:c>
      <x:c r="B100" s="19" t="str">
        <x:v>greenhouse effect</x:v>
      </x:c>
      <x:c r="C100" s="31" t="str">
        <x:v>carbon_greenhouse</x:v>
      </x:c>
      <x:c r="D100" s="25" t="n">
        <x:v>1937</x:v>
      </x:c>
      <x:c r="E100" s="46" t="n">
        <x:v>3.566084316730666e-9</x:v>
      </x:c>
      <x:c r="F100" s="19" t="str">
        <x:v>eng</x:v>
      </x:c>
      <x:c r="G100" s="19" t="str">
        <x:v>current English corpus (July 2024 dataset; public shorthand eng; mutable current corpus)</x:v>
      </x:c>
      <x:c r="H100" s="19" t="str">
        <x:v>greenhouse effect (All)</x:v>
      </x:c>
      <x:c r="I100" s="19" t="str">
        <x:v>0</x:v>
      </x:c>
      <x:c r="J100" s="19" t="n">
        <x:v>46260.10724537037</x:v>
      </x:c>
      <x:c r="K100" s="31" t="str">
        <x:v>data/fear-temperature/ngram/raw/205959f263c8ae6824e66753a55df505e51b40905b28c4cb916bd1952aea4bdb.json</x:v>
      </x:c>
      <x:c r="L100" s="19" t="str">
        <x:v>4286ccb83770f8e9550a4b862463947b8edb637081d5f43cfee319f9d7681262</x:v>
      </x:c>
      <x:c r="M100" s="19" t="str">
        <x:v>03c6b3b7aec17c75d6066c3ad33475123246728a6d70514bc6c4b2fac975aa04</x:v>
      </x:c>
      <x:c r="N100" s="31" t="str">
        <x:v>FT-LF-GREENHOUSE_EFFECT</x:v>
      </x:c>
      <x:c r="O100" s="31" t="str">
        <x:v>FT-C-GREENHOUSE_MECHANISM</x:v>
      </x:c>
      <x:c r="P100" s="31" t="str">
        <x:v>FT-F05</x:v>
      </x:c>
      <x:c r="Q100" s="49" t="n">
        <x:v>0.003566084316730666</x:v>
      </x:c>
    </x:row>
    <x:row r="101" ht="20" customHeight="1">
      <x:c r="A101" s="40" t="str">
        <x:v>FT-Q-V01-041</x:v>
      </x:c>
      <x:c r="B101" s="19" t="str">
        <x:v>greenhouse effect</x:v>
      </x:c>
      <x:c r="C101" s="31" t="str">
        <x:v>carbon_greenhouse</x:v>
      </x:c>
      <x:c r="D101" s="25" t="n">
        <x:v>1938</x:v>
      </x:c>
      <x:c r="E101" s="46" t="n">
        <x:v>9.689360203068985e-9</x:v>
      </x:c>
      <x:c r="F101" s="19" t="str">
        <x:v>eng</x:v>
      </x:c>
      <x:c r="G101" s="19" t="str">
        <x:v>current English corpus (July 2024 dataset; public shorthand eng; mutable current corpus)</x:v>
      </x:c>
      <x:c r="H101" s="19" t="str">
        <x:v>greenhouse effect (All)</x:v>
      </x:c>
      <x:c r="I101" s="19" t="str">
        <x:v>0</x:v>
      </x:c>
      <x:c r="J101" s="19" t="n">
        <x:v>46260.10724537037</x:v>
      </x:c>
      <x:c r="K101" s="31" t="str">
        <x:v>data/fear-temperature/ngram/raw/205959f263c8ae6824e66753a55df505e51b40905b28c4cb916bd1952aea4bdb.json</x:v>
      </x:c>
      <x:c r="L101" s="19" t="str">
        <x:v>4286ccb83770f8e9550a4b862463947b8edb637081d5f43cfee319f9d7681262</x:v>
      </x:c>
      <x:c r="M101" s="19" t="str">
        <x:v>03c6b3b7aec17c75d6066c3ad33475123246728a6d70514bc6c4b2fac975aa04</x:v>
      </x:c>
      <x:c r="N101" s="31" t="str">
        <x:v>FT-LF-GREENHOUSE_EFFECT</x:v>
      </x:c>
      <x:c r="O101" s="31" t="str">
        <x:v>FT-C-GREENHOUSE_MECHANISM</x:v>
      </x:c>
      <x:c r="P101" s="31" t="str">
        <x:v>FT-F05</x:v>
      </x:c>
      <x:c r="Q101" s="49" t="n">
        <x:v>0.009689360203068985</x:v>
      </x:c>
    </x:row>
    <x:row r="102" ht="20" customHeight="1">
      <x:c r="A102" s="40" t="str">
        <x:v>FT-Q-V01-041</x:v>
      </x:c>
      <x:c r="B102" s="19" t="str">
        <x:v>greenhouse effect</x:v>
      </x:c>
      <x:c r="C102" s="31" t="str">
        <x:v>carbon_greenhouse</x:v>
      </x:c>
      <x:c r="D102" s="25" t="n">
        <x:v>1939</x:v>
      </x:c>
      <x:c r="E102" s="46" t="n">
        <x:v>3.0047506427433035e-9</x:v>
      </x:c>
      <x:c r="F102" s="19" t="str">
        <x:v>eng</x:v>
      </x:c>
      <x:c r="G102" s="19" t="str">
        <x:v>current English corpus (July 2024 dataset; public shorthand eng; mutable current corpus)</x:v>
      </x:c>
      <x:c r="H102" s="19" t="str">
        <x:v>greenhouse effect (All)</x:v>
      </x:c>
      <x:c r="I102" s="19" t="str">
        <x:v>0</x:v>
      </x:c>
      <x:c r="J102" s="19" t="n">
        <x:v>46260.10724537037</x:v>
      </x:c>
      <x:c r="K102" s="31" t="str">
        <x:v>data/fear-temperature/ngram/raw/205959f263c8ae6824e66753a55df505e51b40905b28c4cb916bd1952aea4bdb.json</x:v>
      </x:c>
      <x:c r="L102" s="19" t="str">
        <x:v>4286ccb83770f8e9550a4b862463947b8edb637081d5f43cfee319f9d7681262</x:v>
      </x:c>
      <x:c r="M102" s="19" t="str">
        <x:v>03c6b3b7aec17c75d6066c3ad33475123246728a6d70514bc6c4b2fac975aa04</x:v>
      </x:c>
      <x:c r="N102" s="31" t="str">
        <x:v>FT-LF-GREENHOUSE_EFFECT</x:v>
      </x:c>
      <x:c r="O102" s="31" t="str">
        <x:v>FT-C-GREENHOUSE_MECHANISM</x:v>
      </x:c>
      <x:c r="P102" s="31" t="str">
        <x:v>FT-F05</x:v>
      </x:c>
      <x:c r="Q102" s="49" t="n">
        <x:v>0.0030047506427433035</x:v>
      </x:c>
    </x:row>
    <x:row r="103" ht="20" customHeight="1">
      <x:c r="A103" s="40" t="str">
        <x:v>FT-Q-V01-041</x:v>
      </x:c>
      <x:c r="B103" s="19" t="str">
        <x:v>greenhouse effect</x:v>
      </x:c>
      <x:c r="C103" s="31" t="str">
        <x:v>carbon_greenhouse</x:v>
      </x:c>
      <x:c r="D103" s="25" t="n">
        <x:v>1940</x:v>
      </x:c>
      <x:c r="E103" s="46" t="n">
        <x:v>1.9745590440489735e-9</x:v>
      </x:c>
      <x:c r="F103" s="19" t="str">
        <x:v>eng</x:v>
      </x:c>
      <x:c r="G103" s="19" t="str">
        <x:v>current English corpus (July 2024 dataset; public shorthand eng; mutable current corpus)</x:v>
      </x:c>
      <x:c r="H103" s="19" t="str">
        <x:v>greenhouse effect (All)</x:v>
      </x:c>
      <x:c r="I103" s="19" t="str">
        <x:v>0</x:v>
      </x:c>
      <x:c r="J103" s="19" t="n">
        <x:v>46260.10724537037</x:v>
      </x:c>
      <x:c r="K103" s="31" t="str">
        <x:v>data/fear-temperature/ngram/raw/205959f263c8ae6824e66753a55df505e51b40905b28c4cb916bd1952aea4bdb.json</x:v>
      </x:c>
      <x:c r="L103" s="19" t="str">
        <x:v>4286ccb83770f8e9550a4b862463947b8edb637081d5f43cfee319f9d7681262</x:v>
      </x:c>
      <x:c r="M103" s="19" t="str">
        <x:v>03c6b3b7aec17c75d6066c3ad33475123246728a6d70514bc6c4b2fac975aa04</x:v>
      </x:c>
      <x:c r="N103" s="31" t="str">
        <x:v>FT-LF-GREENHOUSE_EFFECT</x:v>
      </x:c>
      <x:c r="O103" s="31" t="str">
        <x:v>FT-C-GREENHOUSE_MECHANISM</x:v>
      </x:c>
      <x:c r="P103" s="31" t="str">
        <x:v>FT-F05</x:v>
      </x:c>
      <x:c r="Q103" s="49" t="n">
        <x:v>0.0019745590440489735</x:v>
      </x:c>
    </x:row>
    <x:row r="104" ht="20" customHeight="1">
      <x:c r="A104" s="40" t="str">
        <x:v>FT-Q-V01-041</x:v>
      </x:c>
      <x:c r="B104" s="19" t="str">
        <x:v>greenhouse effect</x:v>
      </x:c>
      <x:c r="C104" s="31" t="str">
        <x:v>carbon_greenhouse</x:v>
      </x:c>
      <x:c r="D104" s="25" t="n">
        <x:v>1941</x:v>
      </x:c>
      <x:c r="E104" s="46" t="n">
        <x:v>3.2013470069314205e-9</x:v>
      </x:c>
      <x:c r="F104" s="19" t="str">
        <x:v>eng</x:v>
      </x:c>
      <x:c r="G104" s="19" t="str">
        <x:v>current English corpus (July 2024 dataset; public shorthand eng; mutable current corpus)</x:v>
      </x:c>
      <x:c r="H104" s="19" t="str">
        <x:v>greenhouse effect (All)</x:v>
      </x:c>
      <x:c r="I104" s="19" t="str">
        <x:v>0</x:v>
      </x:c>
      <x:c r="J104" s="19" t="n">
        <x:v>46260.10724537037</x:v>
      </x:c>
      <x:c r="K104" s="31" t="str">
        <x:v>data/fear-temperature/ngram/raw/205959f263c8ae6824e66753a55df505e51b40905b28c4cb916bd1952aea4bdb.json</x:v>
      </x:c>
      <x:c r="L104" s="19" t="str">
        <x:v>4286ccb83770f8e9550a4b862463947b8edb637081d5f43cfee319f9d7681262</x:v>
      </x:c>
      <x:c r="M104" s="19" t="str">
        <x:v>03c6b3b7aec17c75d6066c3ad33475123246728a6d70514bc6c4b2fac975aa04</x:v>
      </x:c>
      <x:c r="N104" s="31" t="str">
        <x:v>FT-LF-GREENHOUSE_EFFECT</x:v>
      </x:c>
      <x:c r="O104" s="31" t="str">
        <x:v>FT-C-GREENHOUSE_MECHANISM</x:v>
      </x:c>
      <x:c r="P104" s="31" t="str">
        <x:v>FT-F05</x:v>
      </x:c>
      <x:c r="Q104" s="49" t="n">
        <x:v>0.0032013470069314205</x:v>
      </x:c>
    </x:row>
    <x:row r="105" ht="20" customHeight="1">
      <x:c r="A105" s="40" t="str">
        <x:v>FT-Q-V01-041</x:v>
      </x:c>
      <x:c r="B105" s="19" t="str">
        <x:v>greenhouse effect</x:v>
      </x:c>
      <x:c r="C105" s="31" t="str">
        <x:v>carbon_greenhouse</x:v>
      </x:c>
      <x:c r="D105" s="25" t="n">
        <x:v>1942</x:v>
      </x:c>
      <x:c r="E105" s="46" t="n">
        <x:v>1.2151554484862714e-8</x:v>
      </x:c>
      <x:c r="F105" s="19" t="str">
        <x:v>eng</x:v>
      </x:c>
      <x:c r="G105" s="19" t="str">
        <x:v>current English corpus (July 2024 dataset; public shorthand eng; mutable current corpus)</x:v>
      </x:c>
      <x:c r="H105" s="19" t="str">
        <x:v>greenhouse effect (All)</x:v>
      </x:c>
      <x:c r="I105" s="19" t="str">
        <x:v>0</x:v>
      </x:c>
      <x:c r="J105" s="19" t="n">
        <x:v>46260.10724537037</x:v>
      </x:c>
      <x:c r="K105" s="31" t="str">
        <x:v>data/fear-temperature/ngram/raw/205959f263c8ae6824e66753a55df505e51b40905b28c4cb916bd1952aea4bdb.json</x:v>
      </x:c>
      <x:c r="L105" s="19" t="str">
        <x:v>4286ccb83770f8e9550a4b862463947b8edb637081d5f43cfee319f9d7681262</x:v>
      </x:c>
      <x:c r="M105" s="19" t="str">
        <x:v>03c6b3b7aec17c75d6066c3ad33475123246728a6d70514bc6c4b2fac975aa04</x:v>
      </x:c>
      <x:c r="N105" s="31" t="str">
        <x:v>FT-LF-GREENHOUSE_EFFECT</x:v>
      </x:c>
      <x:c r="O105" s="31" t="str">
        <x:v>FT-C-GREENHOUSE_MECHANISM</x:v>
      </x:c>
      <x:c r="P105" s="31" t="str">
        <x:v>FT-F05</x:v>
      </x:c>
      <x:c r="Q105" s="49" t="n">
        <x:v>0.012151554484862714</x:v>
      </x:c>
    </x:row>
    <x:row r="106" ht="20" customHeight="1">
      <x:c r="A106" s="40" t="str">
        <x:v>FT-Q-V01-041</x:v>
      </x:c>
      <x:c r="B106" s="19" t="str">
        <x:v>greenhouse effect</x:v>
      </x:c>
      <x:c r="C106" s="31" t="str">
        <x:v>carbon_greenhouse</x:v>
      </x:c>
      <x:c r="D106" s="25" t="n">
        <x:v>1943</x:v>
      </x:c>
      <x:c r="E106" s="46" t="n">
        <x:v>3.1223666152602188e-9</x:v>
      </x:c>
      <x:c r="F106" s="19" t="str">
        <x:v>eng</x:v>
      </x:c>
      <x:c r="G106" s="19" t="str">
        <x:v>current English corpus (July 2024 dataset; public shorthand eng; mutable current corpus)</x:v>
      </x:c>
      <x:c r="H106" s="19" t="str">
        <x:v>greenhouse effect (All)</x:v>
      </x:c>
      <x:c r="I106" s="19" t="str">
        <x:v>0</x:v>
      </x:c>
      <x:c r="J106" s="19" t="n">
        <x:v>46260.10724537037</x:v>
      </x:c>
      <x:c r="K106" s="31" t="str">
        <x:v>data/fear-temperature/ngram/raw/205959f263c8ae6824e66753a55df505e51b40905b28c4cb916bd1952aea4bdb.json</x:v>
      </x:c>
      <x:c r="L106" s="19" t="str">
        <x:v>4286ccb83770f8e9550a4b862463947b8edb637081d5f43cfee319f9d7681262</x:v>
      </x:c>
      <x:c r="M106" s="19" t="str">
        <x:v>03c6b3b7aec17c75d6066c3ad33475123246728a6d70514bc6c4b2fac975aa04</x:v>
      </x:c>
      <x:c r="N106" s="31" t="str">
        <x:v>FT-LF-GREENHOUSE_EFFECT</x:v>
      </x:c>
      <x:c r="O106" s="31" t="str">
        <x:v>FT-C-GREENHOUSE_MECHANISM</x:v>
      </x:c>
      <x:c r="P106" s="31" t="str">
        <x:v>FT-F05</x:v>
      </x:c>
      <x:c r="Q106" s="49" t="n">
        <x:v>0.0031223666152602188</x:v>
      </x:c>
    </x:row>
    <x:row r="107" ht="20" customHeight="1">
      <x:c r="A107" s="40" t="str">
        <x:v>FT-Q-V01-041</x:v>
      </x:c>
      <x:c r="B107" s="19" t="str">
        <x:v>greenhouse effect</x:v>
      </x:c>
      <x:c r="C107" s="31" t="str">
        <x:v>carbon_greenhouse</x:v>
      </x:c>
      <x:c r="D107" s="25" t="n">
        <x:v>1944</x:v>
      </x:c>
      <x:c r="E107" s="46" t="n">
        <x:v>4.619696153396191e-9</x:v>
      </x:c>
      <x:c r="F107" s="19" t="str">
        <x:v>eng</x:v>
      </x:c>
      <x:c r="G107" s="19" t="str">
        <x:v>current English corpus (July 2024 dataset; public shorthand eng; mutable current corpus)</x:v>
      </x:c>
      <x:c r="H107" s="19" t="str">
        <x:v>greenhouse effect (All)</x:v>
      </x:c>
      <x:c r="I107" s="19" t="str">
        <x:v>0</x:v>
      </x:c>
      <x:c r="J107" s="19" t="n">
        <x:v>46260.10724537037</x:v>
      </x:c>
      <x:c r="K107" s="31" t="str">
        <x:v>data/fear-temperature/ngram/raw/205959f263c8ae6824e66753a55df505e51b40905b28c4cb916bd1952aea4bdb.json</x:v>
      </x:c>
      <x:c r="L107" s="19" t="str">
        <x:v>4286ccb83770f8e9550a4b862463947b8edb637081d5f43cfee319f9d7681262</x:v>
      </x:c>
      <x:c r="M107" s="19" t="str">
        <x:v>03c6b3b7aec17c75d6066c3ad33475123246728a6d70514bc6c4b2fac975aa04</x:v>
      </x:c>
      <x:c r="N107" s="31" t="str">
        <x:v>FT-LF-GREENHOUSE_EFFECT</x:v>
      </x:c>
      <x:c r="O107" s="31" t="str">
        <x:v>FT-C-GREENHOUSE_MECHANISM</x:v>
      </x:c>
      <x:c r="P107" s="31" t="str">
        <x:v>FT-F05</x:v>
      </x:c>
      <x:c r="Q107" s="49" t="n">
        <x:v>0.004619696153396191</x:v>
      </x:c>
    </x:row>
    <x:row r="108" ht="20" customHeight="1">
      <x:c r="A108" s="40" t="str">
        <x:v>FT-Q-V01-041</x:v>
      </x:c>
      <x:c r="B108" s="19" t="str">
        <x:v>greenhouse effect</x:v>
      </x:c>
      <x:c r="C108" s="31" t="str">
        <x:v>carbon_greenhouse</x:v>
      </x:c>
      <x:c r="D108" s="25" t="n">
        <x:v>1945</x:v>
      </x:c>
      <x:c r="E108" s="46" t="n">
        <x:v>2.830772838358086e-9</x:v>
      </x:c>
      <x:c r="F108" s="19" t="str">
        <x:v>eng</x:v>
      </x:c>
      <x:c r="G108" s="19" t="str">
        <x:v>current English corpus (July 2024 dataset; public shorthand eng; mutable current corpus)</x:v>
      </x:c>
      <x:c r="H108" s="19" t="str">
        <x:v>greenhouse effect (All)</x:v>
      </x:c>
      <x:c r="I108" s="19" t="str">
        <x:v>0</x:v>
      </x:c>
      <x:c r="J108" s="19" t="n">
        <x:v>46260.10724537037</x:v>
      </x:c>
      <x:c r="K108" s="31" t="str">
        <x:v>data/fear-temperature/ngram/raw/205959f263c8ae6824e66753a55df505e51b40905b28c4cb916bd1952aea4bdb.json</x:v>
      </x:c>
      <x:c r="L108" s="19" t="str">
        <x:v>4286ccb83770f8e9550a4b862463947b8edb637081d5f43cfee319f9d7681262</x:v>
      </x:c>
      <x:c r="M108" s="19" t="str">
        <x:v>03c6b3b7aec17c75d6066c3ad33475123246728a6d70514bc6c4b2fac975aa04</x:v>
      </x:c>
      <x:c r="N108" s="31" t="str">
        <x:v>FT-LF-GREENHOUSE_EFFECT</x:v>
      </x:c>
      <x:c r="O108" s="31" t="str">
        <x:v>FT-C-GREENHOUSE_MECHANISM</x:v>
      </x:c>
      <x:c r="P108" s="31" t="str">
        <x:v>FT-F05</x:v>
      </x:c>
      <x:c r="Q108" s="49" t="n">
        <x:v>0.002830772838358086</x:v>
      </x:c>
    </x:row>
    <x:row r="109" ht="20" customHeight="1">
      <x:c r="A109" s="40" t="str">
        <x:v>FT-Q-V01-041</x:v>
      </x:c>
      <x:c r="B109" s="19" t="str">
        <x:v>greenhouse effect</x:v>
      </x:c>
      <x:c r="C109" s="31" t="str">
        <x:v>carbon_greenhouse</x:v>
      </x:c>
      <x:c r="D109" s="25" t="n">
        <x:v>1946</x:v>
      </x:c>
      <x:c r="E109" s="46" t="n">
        <x:v>2.6272012204620058e-8</x:v>
      </x:c>
      <x:c r="F109" s="19" t="str">
        <x:v>eng</x:v>
      </x:c>
      <x:c r="G109" s="19" t="str">
        <x:v>current English corpus (July 2024 dataset; public shorthand eng; mutable current corpus)</x:v>
      </x:c>
      <x:c r="H109" s="19" t="str">
        <x:v>greenhouse effect (All)</x:v>
      </x:c>
      <x:c r="I109" s="19" t="str">
        <x:v>0</x:v>
      </x:c>
      <x:c r="J109" s="19" t="n">
        <x:v>46260.10724537037</x:v>
      </x:c>
      <x:c r="K109" s="31" t="str">
        <x:v>data/fear-temperature/ngram/raw/205959f263c8ae6824e66753a55df505e51b40905b28c4cb916bd1952aea4bdb.json</x:v>
      </x:c>
      <x:c r="L109" s="19" t="str">
        <x:v>4286ccb83770f8e9550a4b862463947b8edb637081d5f43cfee319f9d7681262</x:v>
      </x:c>
      <x:c r="M109" s="19" t="str">
        <x:v>03c6b3b7aec17c75d6066c3ad33475123246728a6d70514bc6c4b2fac975aa04</x:v>
      </x:c>
      <x:c r="N109" s="31" t="str">
        <x:v>FT-LF-GREENHOUSE_EFFECT</x:v>
      </x:c>
      <x:c r="O109" s="31" t="str">
        <x:v>FT-C-GREENHOUSE_MECHANISM</x:v>
      </x:c>
      <x:c r="P109" s="31" t="str">
        <x:v>FT-F05</x:v>
      </x:c>
      <x:c r="Q109" s="49" t="n">
        <x:v>0.026272012204620058</x:v>
      </x:c>
    </x:row>
    <x:row r="110" ht="20" customHeight="1">
      <x:c r="A110" s="40" t="str">
        <x:v>FT-Q-V01-041</x:v>
      </x:c>
      <x:c r="B110" s="19" t="str">
        <x:v>greenhouse effect</x:v>
      </x:c>
      <x:c r="C110" s="31" t="str">
        <x:v>carbon_greenhouse</x:v>
      </x:c>
      <x:c r="D110" s="25" t="n">
        <x:v>1947</x:v>
      </x:c>
      <x:c r="E110" s="46" t="n">
        <x:v>6.3192301946735085e-9</x:v>
      </x:c>
      <x:c r="F110" s="19" t="str">
        <x:v>eng</x:v>
      </x:c>
      <x:c r="G110" s="19" t="str">
        <x:v>current English corpus (July 2024 dataset; public shorthand eng; mutable current corpus)</x:v>
      </x:c>
      <x:c r="H110" s="19" t="str">
        <x:v>greenhouse effect (All)</x:v>
      </x:c>
      <x:c r="I110" s="19" t="str">
        <x:v>0</x:v>
      </x:c>
      <x:c r="J110" s="19" t="n">
        <x:v>46260.10724537037</x:v>
      </x:c>
      <x:c r="K110" s="31" t="str">
        <x:v>data/fear-temperature/ngram/raw/205959f263c8ae6824e66753a55df505e51b40905b28c4cb916bd1952aea4bdb.json</x:v>
      </x:c>
      <x:c r="L110" s="19" t="str">
        <x:v>4286ccb83770f8e9550a4b862463947b8edb637081d5f43cfee319f9d7681262</x:v>
      </x:c>
      <x:c r="M110" s="19" t="str">
        <x:v>03c6b3b7aec17c75d6066c3ad33475123246728a6d70514bc6c4b2fac975aa04</x:v>
      </x:c>
      <x:c r="N110" s="31" t="str">
        <x:v>FT-LF-GREENHOUSE_EFFECT</x:v>
      </x:c>
      <x:c r="O110" s="31" t="str">
        <x:v>FT-C-GREENHOUSE_MECHANISM</x:v>
      </x:c>
      <x:c r="P110" s="31" t="str">
        <x:v>FT-F05</x:v>
      </x:c>
      <x:c r="Q110" s="49" t="n">
        <x:v>0.0063192301946735085</x:v>
      </x:c>
    </x:row>
    <x:row r="111" ht="20" customHeight="1">
      <x:c r="A111" s="40" t="str">
        <x:v>FT-Q-V01-041</x:v>
      </x:c>
      <x:c r="B111" s="19" t="str">
        <x:v>greenhouse effect</x:v>
      </x:c>
      <x:c r="C111" s="31" t="str">
        <x:v>carbon_greenhouse</x:v>
      </x:c>
      <x:c r="D111" s="25" t="n">
        <x:v>1948</x:v>
      </x:c>
      <x:c r="E111" s="46" t="n">
        <x:v>3.1171543540819964e-9</x:v>
      </x:c>
      <x:c r="F111" s="19" t="str">
        <x:v>eng</x:v>
      </x:c>
      <x:c r="G111" s="19" t="str">
        <x:v>current English corpus (July 2024 dataset; public shorthand eng; mutable current corpus)</x:v>
      </x:c>
      <x:c r="H111" s="19" t="str">
        <x:v>greenhouse effect (All)</x:v>
      </x:c>
      <x:c r="I111" s="19" t="str">
        <x:v>0</x:v>
      </x:c>
      <x:c r="J111" s="19" t="n">
        <x:v>46260.10724537037</x:v>
      </x:c>
      <x:c r="K111" s="31" t="str">
        <x:v>data/fear-temperature/ngram/raw/205959f263c8ae6824e66753a55df505e51b40905b28c4cb916bd1952aea4bdb.json</x:v>
      </x:c>
      <x:c r="L111" s="19" t="str">
        <x:v>4286ccb83770f8e9550a4b862463947b8edb637081d5f43cfee319f9d7681262</x:v>
      </x:c>
      <x:c r="M111" s="19" t="str">
        <x:v>03c6b3b7aec17c75d6066c3ad33475123246728a6d70514bc6c4b2fac975aa04</x:v>
      </x:c>
      <x:c r="N111" s="31" t="str">
        <x:v>FT-LF-GREENHOUSE_EFFECT</x:v>
      </x:c>
      <x:c r="O111" s="31" t="str">
        <x:v>FT-C-GREENHOUSE_MECHANISM</x:v>
      </x:c>
      <x:c r="P111" s="31" t="str">
        <x:v>FT-F05</x:v>
      </x:c>
      <x:c r="Q111" s="49" t="n">
        <x:v>0.0031171543540819964</x:v>
      </x:c>
    </x:row>
    <x:row r="112" ht="20" customHeight="1">
      <x:c r="A112" s="40" t="str">
        <x:v>FT-Q-V01-041</x:v>
      </x:c>
      <x:c r="B112" s="19" t="str">
        <x:v>greenhouse effect</x:v>
      </x:c>
      <x:c r="C112" s="31" t="str">
        <x:v>carbon_greenhouse</x:v>
      </x:c>
      <x:c r="D112" s="25" t="n">
        <x:v>1949</x:v>
      </x:c>
      <x:c r="E112" s="46" t="n">
        <x:v>5.111194356643977e-9</x:v>
      </x:c>
      <x:c r="F112" s="19" t="str">
        <x:v>eng</x:v>
      </x:c>
      <x:c r="G112" s="19" t="str">
        <x:v>current English corpus (July 2024 dataset; public shorthand eng; mutable current corpus)</x:v>
      </x:c>
      <x:c r="H112" s="19" t="str">
        <x:v>greenhouse effect (All)</x:v>
      </x:c>
      <x:c r="I112" s="19" t="str">
        <x:v>0</x:v>
      </x:c>
      <x:c r="J112" s="19" t="n">
        <x:v>46260.10724537037</x:v>
      </x:c>
      <x:c r="K112" s="31" t="str">
        <x:v>data/fear-temperature/ngram/raw/205959f263c8ae6824e66753a55df505e51b40905b28c4cb916bd1952aea4bdb.json</x:v>
      </x:c>
      <x:c r="L112" s="19" t="str">
        <x:v>4286ccb83770f8e9550a4b862463947b8edb637081d5f43cfee319f9d7681262</x:v>
      </x:c>
      <x:c r="M112" s="19" t="str">
        <x:v>03c6b3b7aec17c75d6066c3ad33475123246728a6d70514bc6c4b2fac975aa04</x:v>
      </x:c>
      <x:c r="N112" s="31" t="str">
        <x:v>FT-LF-GREENHOUSE_EFFECT</x:v>
      </x:c>
      <x:c r="O112" s="31" t="str">
        <x:v>FT-C-GREENHOUSE_MECHANISM</x:v>
      </x:c>
      <x:c r="P112" s="31" t="str">
        <x:v>FT-F05</x:v>
      </x:c>
      <x:c r="Q112" s="49" t="n">
        <x:v>0.005111194356643977</x:v>
      </x:c>
    </x:row>
    <x:row r="113" ht="20" customHeight="1">
      <x:c r="A113" s="40" t="str">
        <x:v>FT-Q-V01-041</x:v>
      </x:c>
      <x:c r="B113" s="19" t="str">
        <x:v>greenhouse effect</x:v>
      </x:c>
      <x:c r="C113" s="31" t="str">
        <x:v>carbon_greenhouse</x:v>
      </x:c>
      <x:c r="D113" s="25" t="n">
        <x:v>1950</x:v>
      </x:c>
      <x:c r="E113" s="46" t="n">
        <x:v>9.527309469126166e-9</x:v>
      </x:c>
      <x:c r="F113" s="19" t="str">
        <x:v>eng</x:v>
      </x:c>
      <x:c r="G113" s="19" t="str">
        <x:v>current English corpus (July 2024 dataset; public shorthand eng; mutable current corpus)</x:v>
      </x:c>
      <x:c r="H113" s="19" t="str">
        <x:v>greenhouse effect (All)</x:v>
      </x:c>
      <x:c r="I113" s="19" t="str">
        <x:v>0</x:v>
      </x:c>
      <x:c r="J113" s="19" t="n">
        <x:v>46260.10724537037</x:v>
      </x:c>
      <x:c r="K113" s="31" t="str">
        <x:v>data/fear-temperature/ngram/raw/205959f263c8ae6824e66753a55df505e51b40905b28c4cb916bd1952aea4bdb.json</x:v>
      </x:c>
      <x:c r="L113" s="19" t="str">
        <x:v>4286ccb83770f8e9550a4b862463947b8edb637081d5f43cfee319f9d7681262</x:v>
      </x:c>
      <x:c r="M113" s="19" t="str">
        <x:v>03c6b3b7aec17c75d6066c3ad33475123246728a6d70514bc6c4b2fac975aa04</x:v>
      </x:c>
      <x:c r="N113" s="31" t="str">
        <x:v>FT-LF-GREENHOUSE_EFFECT</x:v>
      </x:c>
      <x:c r="O113" s="31" t="str">
        <x:v>FT-C-GREENHOUSE_MECHANISM</x:v>
      </x:c>
      <x:c r="P113" s="31" t="str">
        <x:v>FT-F05</x:v>
      </x:c>
      <x:c r="Q113" s="49" t="n">
        <x:v>0.009527309469126166</x:v>
      </x:c>
    </x:row>
    <x:row r="114" ht="20" customHeight="1">
      <x:c r="A114" s="40" t="str">
        <x:v>FT-Q-V01-041</x:v>
      </x:c>
      <x:c r="B114" s="19" t="str">
        <x:v>greenhouse effect</x:v>
      </x:c>
      <x:c r="C114" s="31" t="str">
        <x:v>carbon_greenhouse</x:v>
      </x:c>
      <x:c r="D114" s="25" t="n">
        <x:v>1951</x:v>
      </x:c>
      <x:c r="E114" s="46" t="n">
        <x:v>5.525275625917202e-9</x:v>
      </x:c>
      <x:c r="F114" s="19" t="str">
        <x:v>eng</x:v>
      </x:c>
      <x:c r="G114" s="19" t="str">
        <x:v>current English corpus (July 2024 dataset; public shorthand eng; mutable current corpus)</x:v>
      </x:c>
      <x:c r="H114" s="19" t="str">
        <x:v>greenhouse effect (All)</x:v>
      </x:c>
      <x:c r="I114" s="19" t="str">
        <x:v>0</x:v>
      </x:c>
      <x:c r="J114" s="19" t="n">
        <x:v>46260.10724537037</x:v>
      </x:c>
      <x:c r="K114" s="31" t="str">
        <x:v>data/fear-temperature/ngram/raw/205959f263c8ae6824e66753a55df505e51b40905b28c4cb916bd1952aea4bdb.json</x:v>
      </x:c>
      <x:c r="L114" s="19" t="str">
        <x:v>4286ccb83770f8e9550a4b862463947b8edb637081d5f43cfee319f9d7681262</x:v>
      </x:c>
      <x:c r="M114" s="19" t="str">
        <x:v>03c6b3b7aec17c75d6066c3ad33475123246728a6d70514bc6c4b2fac975aa04</x:v>
      </x:c>
      <x:c r="N114" s="31" t="str">
        <x:v>FT-LF-GREENHOUSE_EFFECT</x:v>
      </x:c>
      <x:c r="O114" s="31" t="str">
        <x:v>FT-C-GREENHOUSE_MECHANISM</x:v>
      </x:c>
      <x:c r="P114" s="31" t="str">
        <x:v>FT-F05</x:v>
      </x:c>
      <x:c r="Q114" s="49" t="n">
        <x:v>0.005525275625917202</x:v>
      </x:c>
    </x:row>
    <x:row r="115" ht="20" customHeight="1">
      <x:c r="A115" s="40" t="str">
        <x:v>FT-Q-V01-041</x:v>
      </x:c>
      <x:c r="B115" s="19" t="str">
        <x:v>greenhouse effect</x:v>
      </x:c>
      <x:c r="C115" s="31" t="str">
        <x:v>carbon_greenhouse</x:v>
      </x:c>
      <x:c r="D115" s="25" t="n">
        <x:v>1952</x:v>
      </x:c>
      <x:c r="E115" s="46" t="n">
        <x:v>4.849483925539744e-9</x:v>
      </x:c>
      <x:c r="F115" s="19" t="str">
        <x:v>eng</x:v>
      </x:c>
      <x:c r="G115" s="19" t="str">
        <x:v>current English corpus (July 2024 dataset; public shorthand eng; mutable current corpus)</x:v>
      </x:c>
      <x:c r="H115" s="19" t="str">
        <x:v>greenhouse effect (All)</x:v>
      </x:c>
      <x:c r="I115" s="19" t="str">
        <x:v>0</x:v>
      </x:c>
      <x:c r="J115" s="19" t="n">
        <x:v>46260.10724537037</x:v>
      </x:c>
      <x:c r="K115" s="31" t="str">
        <x:v>data/fear-temperature/ngram/raw/205959f263c8ae6824e66753a55df505e51b40905b28c4cb916bd1952aea4bdb.json</x:v>
      </x:c>
      <x:c r="L115" s="19" t="str">
        <x:v>4286ccb83770f8e9550a4b862463947b8edb637081d5f43cfee319f9d7681262</x:v>
      </x:c>
      <x:c r="M115" s="19" t="str">
        <x:v>03c6b3b7aec17c75d6066c3ad33475123246728a6d70514bc6c4b2fac975aa04</x:v>
      </x:c>
      <x:c r="N115" s="31" t="str">
        <x:v>FT-LF-GREENHOUSE_EFFECT</x:v>
      </x:c>
      <x:c r="O115" s="31" t="str">
        <x:v>FT-C-GREENHOUSE_MECHANISM</x:v>
      </x:c>
      <x:c r="P115" s="31" t="str">
        <x:v>FT-F05</x:v>
      </x:c>
      <x:c r="Q115" s="49" t="n">
        <x:v>0.004849483925539744</x:v>
      </x:c>
    </x:row>
    <x:row r="116" ht="20" customHeight="1">
      <x:c r="A116" s="40" t="str">
        <x:v>FT-Q-V01-041</x:v>
      </x:c>
      <x:c r="B116" s="19" t="str">
        <x:v>greenhouse effect</x:v>
      </x:c>
      <x:c r="C116" s="31" t="str">
        <x:v>carbon_greenhouse</x:v>
      </x:c>
      <x:c r="D116" s="25" t="n">
        <x:v>1953</x:v>
      </x:c>
      <x:c r="E116" s="46" t="n">
        <x:v>6.021741771888855e-9</x:v>
      </x:c>
      <x:c r="F116" s="19" t="str">
        <x:v>eng</x:v>
      </x:c>
      <x:c r="G116" s="19" t="str">
        <x:v>current English corpus (July 2024 dataset; public shorthand eng; mutable current corpus)</x:v>
      </x:c>
      <x:c r="H116" s="19" t="str">
        <x:v>greenhouse effect (All)</x:v>
      </x:c>
      <x:c r="I116" s="19" t="str">
        <x:v>0</x:v>
      </x:c>
      <x:c r="J116" s="19" t="n">
        <x:v>46260.10724537037</x:v>
      </x:c>
      <x:c r="K116" s="31" t="str">
        <x:v>data/fear-temperature/ngram/raw/205959f263c8ae6824e66753a55df505e51b40905b28c4cb916bd1952aea4bdb.json</x:v>
      </x:c>
      <x:c r="L116" s="19" t="str">
        <x:v>4286ccb83770f8e9550a4b862463947b8edb637081d5f43cfee319f9d7681262</x:v>
      </x:c>
      <x:c r="M116" s="19" t="str">
        <x:v>03c6b3b7aec17c75d6066c3ad33475123246728a6d70514bc6c4b2fac975aa04</x:v>
      </x:c>
      <x:c r="N116" s="31" t="str">
        <x:v>FT-LF-GREENHOUSE_EFFECT</x:v>
      </x:c>
      <x:c r="O116" s="31" t="str">
        <x:v>FT-C-GREENHOUSE_MECHANISM</x:v>
      </x:c>
      <x:c r="P116" s="31" t="str">
        <x:v>FT-F05</x:v>
      </x:c>
      <x:c r="Q116" s="49" t="n">
        <x:v>0.006021741771888855</x:v>
      </x:c>
    </x:row>
    <x:row r="117" ht="20" customHeight="1">
      <x:c r="A117" s="40" t="str">
        <x:v>FT-Q-V01-041</x:v>
      </x:c>
      <x:c r="B117" s="19" t="str">
        <x:v>greenhouse effect</x:v>
      </x:c>
      <x:c r="C117" s="31" t="str">
        <x:v>carbon_greenhouse</x:v>
      </x:c>
      <x:c r="D117" s="25" t="n">
        <x:v>1954</x:v>
      </x:c>
      <x:c r="E117" s="46" t="n">
        <x:v>1.8240121135715274e-8</x:v>
      </x:c>
      <x:c r="F117" s="19" t="str">
        <x:v>eng</x:v>
      </x:c>
      <x:c r="G117" s="19" t="str">
        <x:v>current English corpus (July 2024 dataset; public shorthand eng; mutable current corpus)</x:v>
      </x:c>
      <x:c r="H117" s="19" t="str">
        <x:v>greenhouse effect (All)</x:v>
      </x:c>
      <x:c r="I117" s="19" t="str">
        <x:v>0</x:v>
      </x:c>
      <x:c r="J117" s="19" t="n">
        <x:v>46260.10724537037</x:v>
      </x:c>
      <x:c r="K117" s="31" t="str">
        <x:v>data/fear-temperature/ngram/raw/205959f263c8ae6824e66753a55df505e51b40905b28c4cb916bd1952aea4bdb.json</x:v>
      </x:c>
      <x:c r="L117" s="19" t="str">
        <x:v>4286ccb83770f8e9550a4b862463947b8edb637081d5f43cfee319f9d7681262</x:v>
      </x:c>
      <x:c r="M117" s="19" t="str">
        <x:v>03c6b3b7aec17c75d6066c3ad33475123246728a6d70514bc6c4b2fac975aa04</x:v>
      </x:c>
      <x:c r="N117" s="31" t="str">
        <x:v>FT-LF-GREENHOUSE_EFFECT</x:v>
      </x:c>
      <x:c r="O117" s="31" t="str">
        <x:v>FT-C-GREENHOUSE_MECHANISM</x:v>
      </x:c>
      <x:c r="P117" s="31" t="str">
        <x:v>FT-F05</x:v>
      </x:c>
      <x:c r="Q117" s="49" t="n">
        <x:v>0.018240121135715274</x:v>
      </x:c>
    </x:row>
    <x:row r="118" ht="20" customHeight="1">
      <x:c r="A118" s="40" t="str">
        <x:v>FT-Q-V01-041</x:v>
      </x:c>
      <x:c r="B118" s="19" t="str">
        <x:v>greenhouse effect</x:v>
      </x:c>
      <x:c r="C118" s="31" t="str">
        <x:v>carbon_greenhouse</x:v>
      </x:c>
      <x:c r="D118" s="25" t="n">
        <x:v>1955</x:v>
      </x:c>
      <x:c r="E118" s="46" t="n">
        <x:v>8.802773010518905e-9</x:v>
      </x:c>
      <x:c r="F118" s="19" t="str">
        <x:v>eng</x:v>
      </x:c>
      <x:c r="G118" s="19" t="str">
        <x:v>current English corpus (July 2024 dataset; public shorthand eng; mutable current corpus)</x:v>
      </x:c>
      <x:c r="H118" s="19" t="str">
        <x:v>greenhouse effect (All)</x:v>
      </x:c>
      <x:c r="I118" s="19" t="str">
        <x:v>0</x:v>
      </x:c>
      <x:c r="J118" s="19" t="n">
        <x:v>46260.10724537037</x:v>
      </x:c>
      <x:c r="K118" s="31" t="str">
        <x:v>data/fear-temperature/ngram/raw/205959f263c8ae6824e66753a55df505e51b40905b28c4cb916bd1952aea4bdb.json</x:v>
      </x:c>
      <x:c r="L118" s="19" t="str">
        <x:v>4286ccb83770f8e9550a4b862463947b8edb637081d5f43cfee319f9d7681262</x:v>
      </x:c>
      <x:c r="M118" s="19" t="str">
        <x:v>03c6b3b7aec17c75d6066c3ad33475123246728a6d70514bc6c4b2fac975aa04</x:v>
      </x:c>
      <x:c r="N118" s="31" t="str">
        <x:v>FT-LF-GREENHOUSE_EFFECT</x:v>
      </x:c>
      <x:c r="O118" s="31" t="str">
        <x:v>FT-C-GREENHOUSE_MECHANISM</x:v>
      </x:c>
      <x:c r="P118" s="31" t="str">
        <x:v>FT-F05</x:v>
      </x:c>
      <x:c r="Q118" s="49" t="n">
        <x:v>0.008802773010518905</x:v>
      </x:c>
    </x:row>
    <x:row r="119" ht="20" customHeight="1">
      <x:c r="A119" s="40" t="str">
        <x:v>FT-Q-V01-041</x:v>
      </x:c>
      <x:c r="B119" s="19" t="str">
        <x:v>greenhouse effect</x:v>
      </x:c>
      <x:c r="C119" s="31" t="str">
        <x:v>carbon_greenhouse</x:v>
      </x:c>
      <x:c r="D119" s="25" t="n">
        <x:v>1956</x:v>
      </x:c>
      <x:c r="E119" s="46" t="n">
        <x:v>7.503647418694024e-9</x:v>
      </x:c>
      <x:c r="F119" s="19" t="str">
        <x:v>eng</x:v>
      </x:c>
      <x:c r="G119" s="19" t="str">
        <x:v>current English corpus (July 2024 dataset; public shorthand eng; mutable current corpus)</x:v>
      </x:c>
      <x:c r="H119" s="19" t="str">
        <x:v>greenhouse effect (All)</x:v>
      </x:c>
      <x:c r="I119" s="19" t="str">
        <x:v>0</x:v>
      </x:c>
      <x:c r="J119" s="19" t="n">
        <x:v>46260.10724537037</x:v>
      </x:c>
      <x:c r="K119" s="31" t="str">
        <x:v>data/fear-temperature/ngram/raw/205959f263c8ae6824e66753a55df505e51b40905b28c4cb916bd1952aea4bdb.json</x:v>
      </x:c>
      <x:c r="L119" s="19" t="str">
        <x:v>4286ccb83770f8e9550a4b862463947b8edb637081d5f43cfee319f9d7681262</x:v>
      </x:c>
      <x:c r="M119" s="19" t="str">
        <x:v>03c6b3b7aec17c75d6066c3ad33475123246728a6d70514bc6c4b2fac975aa04</x:v>
      </x:c>
      <x:c r="N119" s="31" t="str">
        <x:v>FT-LF-GREENHOUSE_EFFECT</x:v>
      </x:c>
      <x:c r="O119" s="31" t="str">
        <x:v>FT-C-GREENHOUSE_MECHANISM</x:v>
      </x:c>
      <x:c r="P119" s="31" t="str">
        <x:v>FT-F05</x:v>
      </x:c>
      <x:c r="Q119" s="49" t="n">
        <x:v>0.007503647418694024</x:v>
      </x:c>
    </x:row>
    <x:row r="120" ht="20" customHeight="1">
      <x:c r="A120" s="40" t="str">
        <x:v>FT-Q-V01-041</x:v>
      </x:c>
      <x:c r="B120" s="19" t="str">
        <x:v>greenhouse effect</x:v>
      </x:c>
      <x:c r="C120" s="31" t="str">
        <x:v>carbon_greenhouse</x:v>
      </x:c>
      <x:c r="D120" s="25" t="n">
        <x:v>1957</x:v>
      </x:c>
      <x:c r="E120" s="46" t="n">
        <x:v>1.627533226938871e-8</x:v>
      </x:c>
      <x:c r="F120" s="19" t="str">
        <x:v>eng</x:v>
      </x:c>
      <x:c r="G120" s="19" t="str">
        <x:v>current English corpus (July 2024 dataset; public shorthand eng; mutable current corpus)</x:v>
      </x:c>
      <x:c r="H120" s="19" t="str">
        <x:v>greenhouse effect (All)</x:v>
      </x:c>
      <x:c r="I120" s="19" t="str">
        <x:v>0</x:v>
      </x:c>
      <x:c r="J120" s="19" t="n">
        <x:v>46260.10724537037</x:v>
      </x:c>
      <x:c r="K120" s="31" t="str">
        <x:v>data/fear-temperature/ngram/raw/205959f263c8ae6824e66753a55df505e51b40905b28c4cb916bd1952aea4bdb.json</x:v>
      </x:c>
      <x:c r="L120" s="19" t="str">
        <x:v>4286ccb83770f8e9550a4b862463947b8edb637081d5f43cfee319f9d7681262</x:v>
      </x:c>
      <x:c r="M120" s="19" t="str">
        <x:v>03c6b3b7aec17c75d6066c3ad33475123246728a6d70514bc6c4b2fac975aa04</x:v>
      </x:c>
      <x:c r="N120" s="31" t="str">
        <x:v>FT-LF-GREENHOUSE_EFFECT</x:v>
      </x:c>
      <x:c r="O120" s="31" t="str">
        <x:v>FT-C-GREENHOUSE_MECHANISM</x:v>
      </x:c>
      <x:c r="P120" s="31" t="str">
        <x:v>FT-F05</x:v>
      </x:c>
      <x:c r="Q120" s="49" t="n">
        <x:v>0.01627533226938871</x:v>
      </x:c>
    </x:row>
    <x:row r="121" ht="20" customHeight="1">
      <x:c r="A121" s="40" t="str">
        <x:v>FT-Q-V01-041</x:v>
      </x:c>
      <x:c r="B121" s="19" t="str">
        <x:v>greenhouse effect</x:v>
      </x:c>
      <x:c r="C121" s="31" t="str">
        <x:v>carbon_greenhouse</x:v>
      </x:c>
      <x:c r="D121" s="25" t="n">
        <x:v>1958</x:v>
      </x:c>
      <x:c r="E121" s="46" t="n">
        <x:v>1.4498581918376274e-8</x:v>
      </x:c>
      <x:c r="F121" s="19" t="str">
        <x:v>eng</x:v>
      </x:c>
      <x:c r="G121" s="19" t="str">
        <x:v>current English corpus (July 2024 dataset; public shorthand eng; mutable current corpus)</x:v>
      </x:c>
      <x:c r="H121" s="19" t="str">
        <x:v>greenhouse effect (All)</x:v>
      </x:c>
      <x:c r="I121" s="19" t="str">
        <x:v>0</x:v>
      </x:c>
      <x:c r="J121" s="19" t="n">
        <x:v>46260.10724537037</x:v>
      </x:c>
      <x:c r="K121" s="31" t="str">
        <x:v>data/fear-temperature/ngram/raw/205959f263c8ae6824e66753a55df505e51b40905b28c4cb916bd1952aea4bdb.json</x:v>
      </x:c>
      <x:c r="L121" s="19" t="str">
        <x:v>4286ccb83770f8e9550a4b862463947b8edb637081d5f43cfee319f9d7681262</x:v>
      </x:c>
      <x:c r="M121" s="19" t="str">
        <x:v>03c6b3b7aec17c75d6066c3ad33475123246728a6d70514bc6c4b2fac975aa04</x:v>
      </x:c>
      <x:c r="N121" s="31" t="str">
        <x:v>FT-LF-GREENHOUSE_EFFECT</x:v>
      </x:c>
      <x:c r="O121" s="31" t="str">
        <x:v>FT-C-GREENHOUSE_MECHANISM</x:v>
      </x:c>
      <x:c r="P121" s="31" t="str">
        <x:v>FT-F05</x:v>
      </x:c>
      <x:c r="Q121" s="49" t="n">
        <x:v>0.014498581918376274</x:v>
      </x:c>
    </x:row>
    <x:row r="122" ht="20" customHeight="1">
      <x:c r="A122" s="40" t="str">
        <x:v>FT-Q-V01-041</x:v>
      </x:c>
      <x:c r="B122" s="19" t="str">
        <x:v>greenhouse effect</x:v>
      </x:c>
      <x:c r="C122" s="31" t="str">
        <x:v>carbon_greenhouse</x:v>
      </x:c>
      <x:c r="D122" s="25" t="n">
        <x:v>1959</x:v>
      </x:c>
      <x:c r="E122" s="46" t="n">
        <x:v>2.180177523930515e-8</x:v>
      </x:c>
      <x:c r="F122" s="19" t="str">
        <x:v>eng</x:v>
      </x:c>
      <x:c r="G122" s="19" t="str">
        <x:v>current English corpus (July 2024 dataset; public shorthand eng; mutable current corpus)</x:v>
      </x:c>
      <x:c r="H122" s="19" t="str">
        <x:v>greenhouse effect (All)</x:v>
      </x:c>
      <x:c r="I122" s="19" t="str">
        <x:v>0</x:v>
      </x:c>
      <x:c r="J122" s="19" t="n">
        <x:v>46260.10724537037</x:v>
      </x:c>
      <x:c r="K122" s="31" t="str">
        <x:v>data/fear-temperature/ngram/raw/205959f263c8ae6824e66753a55df505e51b40905b28c4cb916bd1952aea4bdb.json</x:v>
      </x:c>
      <x:c r="L122" s="19" t="str">
        <x:v>4286ccb83770f8e9550a4b862463947b8edb637081d5f43cfee319f9d7681262</x:v>
      </x:c>
      <x:c r="M122" s="19" t="str">
        <x:v>03c6b3b7aec17c75d6066c3ad33475123246728a6d70514bc6c4b2fac975aa04</x:v>
      </x:c>
      <x:c r="N122" s="31" t="str">
        <x:v>FT-LF-GREENHOUSE_EFFECT</x:v>
      </x:c>
      <x:c r="O122" s="31" t="str">
        <x:v>FT-C-GREENHOUSE_MECHANISM</x:v>
      </x:c>
      <x:c r="P122" s="31" t="str">
        <x:v>FT-F05</x:v>
      </x:c>
      <x:c r="Q122" s="49" t="n">
        <x:v>0.02180177523930515</x:v>
      </x:c>
    </x:row>
    <x:row r="123" ht="20" customHeight="1">
      <x:c r="A123" s="40" t="str">
        <x:v>FT-Q-V01-041</x:v>
      </x:c>
      <x:c r="B123" s="19" t="str">
        <x:v>greenhouse effect</x:v>
      </x:c>
      <x:c r="C123" s="31" t="str">
        <x:v>carbon_greenhouse</x:v>
      </x:c>
      <x:c r="D123" s="25" t="n">
        <x:v>1960</x:v>
      </x:c>
      <x:c r="E123" s="46" t="n">
        <x:v>1.9367634496170183e-8</x:v>
      </x:c>
      <x:c r="F123" s="19" t="str">
        <x:v>eng</x:v>
      </x:c>
      <x:c r="G123" s="19" t="str">
        <x:v>current English corpus (July 2024 dataset; public shorthand eng; mutable current corpus)</x:v>
      </x:c>
      <x:c r="H123" s="19" t="str">
        <x:v>greenhouse effect (All)</x:v>
      </x:c>
      <x:c r="I123" s="19" t="str">
        <x:v>0</x:v>
      </x:c>
      <x:c r="J123" s="19" t="n">
        <x:v>46260.10724537037</x:v>
      </x:c>
      <x:c r="K123" s="31" t="str">
        <x:v>data/fear-temperature/ngram/raw/205959f263c8ae6824e66753a55df505e51b40905b28c4cb916bd1952aea4bdb.json</x:v>
      </x:c>
      <x:c r="L123" s="19" t="str">
        <x:v>4286ccb83770f8e9550a4b862463947b8edb637081d5f43cfee319f9d7681262</x:v>
      </x:c>
      <x:c r="M123" s="19" t="str">
        <x:v>03c6b3b7aec17c75d6066c3ad33475123246728a6d70514bc6c4b2fac975aa04</x:v>
      </x:c>
      <x:c r="N123" s="31" t="str">
        <x:v>FT-LF-GREENHOUSE_EFFECT</x:v>
      </x:c>
      <x:c r="O123" s="31" t="str">
        <x:v>FT-C-GREENHOUSE_MECHANISM</x:v>
      </x:c>
      <x:c r="P123" s="31" t="str">
        <x:v>FT-F05</x:v>
      </x:c>
      <x:c r="Q123" s="49" t="n">
        <x:v>0.019367634496170183</x:v>
      </x:c>
    </x:row>
    <x:row r="124" ht="20" customHeight="1">
      <x:c r="A124" s="40" t="str">
        <x:v>FT-Q-V01-041</x:v>
      </x:c>
      <x:c r="B124" s="19" t="str">
        <x:v>greenhouse effect</x:v>
      </x:c>
      <x:c r="C124" s="31" t="str">
        <x:v>carbon_greenhouse</x:v>
      </x:c>
      <x:c r="D124" s="25" t="n">
        <x:v>1961</x:v>
      </x:c>
      <x:c r="E124" s="46" t="n">
        <x:v>3.999354936112809e-8</x:v>
      </x:c>
      <x:c r="F124" s="19" t="str">
        <x:v>eng</x:v>
      </x:c>
      <x:c r="G124" s="19" t="str">
        <x:v>current English corpus (July 2024 dataset; public shorthand eng; mutable current corpus)</x:v>
      </x:c>
      <x:c r="H124" s="19" t="str">
        <x:v>greenhouse effect (All)</x:v>
      </x:c>
      <x:c r="I124" s="19" t="str">
        <x:v>0</x:v>
      </x:c>
      <x:c r="J124" s="19" t="n">
        <x:v>46260.10724537037</x:v>
      </x:c>
      <x:c r="K124" s="31" t="str">
        <x:v>data/fear-temperature/ngram/raw/205959f263c8ae6824e66753a55df505e51b40905b28c4cb916bd1952aea4bdb.json</x:v>
      </x:c>
      <x:c r="L124" s="19" t="str">
        <x:v>4286ccb83770f8e9550a4b862463947b8edb637081d5f43cfee319f9d7681262</x:v>
      </x:c>
      <x:c r="M124" s="19" t="str">
        <x:v>03c6b3b7aec17c75d6066c3ad33475123246728a6d70514bc6c4b2fac975aa04</x:v>
      </x:c>
      <x:c r="N124" s="31" t="str">
        <x:v>FT-LF-GREENHOUSE_EFFECT</x:v>
      </x:c>
      <x:c r="O124" s="31" t="str">
        <x:v>FT-C-GREENHOUSE_MECHANISM</x:v>
      </x:c>
      <x:c r="P124" s="31" t="str">
        <x:v>FT-F05</x:v>
      </x:c>
      <x:c r="Q124" s="49" t="n">
        <x:v>0.03999354936112809</x:v>
      </x:c>
    </x:row>
    <x:row r="125" ht="20" customHeight="1">
      <x:c r="A125" s="40" t="str">
        <x:v>FT-Q-V01-041</x:v>
      </x:c>
      <x:c r="B125" s="19" t="str">
        <x:v>greenhouse effect</x:v>
      </x:c>
      <x:c r="C125" s="31" t="str">
        <x:v>carbon_greenhouse</x:v>
      </x:c>
      <x:c r="D125" s="25" t="n">
        <x:v>1962</x:v>
      </x:c>
      <x:c r="E125" s="46" t="n">
        <x:v>4.4437559687526835e-8</x:v>
      </x:c>
      <x:c r="F125" s="19" t="str">
        <x:v>eng</x:v>
      </x:c>
      <x:c r="G125" s="19" t="str">
        <x:v>current English corpus (July 2024 dataset; public shorthand eng; mutable current corpus)</x:v>
      </x:c>
      <x:c r="H125" s="19" t="str">
        <x:v>greenhouse effect (All)</x:v>
      </x:c>
      <x:c r="I125" s="19" t="str">
        <x:v>0</x:v>
      </x:c>
      <x:c r="J125" s="19" t="n">
        <x:v>46260.10724537037</x:v>
      </x:c>
      <x:c r="K125" s="31" t="str">
        <x:v>data/fear-temperature/ngram/raw/205959f263c8ae6824e66753a55df505e51b40905b28c4cb916bd1952aea4bdb.json</x:v>
      </x:c>
      <x:c r="L125" s="19" t="str">
        <x:v>4286ccb83770f8e9550a4b862463947b8edb637081d5f43cfee319f9d7681262</x:v>
      </x:c>
      <x:c r="M125" s="19" t="str">
        <x:v>03c6b3b7aec17c75d6066c3ad33475123246728a6d70514bc6c4b2fac975aa04</x:v>
      </x:c>
      <x:c r="N125" s="31" t="str">
        <x:v>FT-LF-GREENHOUSE_EFFECT</x:v>
      </x:c>
      <x:c r="O125" s="31" t="str">
        <x:v>FT-C-GREENHOUSE_MECHANISM</x:v>
      </x:c>
      <x:c r="P125" s="31" t="str">
        <x:v>FT-F05</x:v>
      </x:c>
      <x:c r="Q125" s="49" t="n">
        <x:v>0.044437559687526836</x:v>
      </x:c>
    </x:row>
    <x:row r="126" ht="20" customHeight="1">
      <x:c r="A126" s="40" t="str">
        <x:v>FT-Q-V01-041</x:v>
      </x:c>
      <x:c r="B126" s="19" t="str">
        <x:v>greenhouse effect</x:v>
      </x:c>
      <x:c r="C126" s="31" t="str">
        <x:v>carbon_greenhouse</x:v>
      </x:c>
      <x:c r="D126" s="25" t="n">
        <x:v>1963</x:v>
      </x:c>
      <x:c r="E126" s="46" t="n">
        <x:v>3.701802775424312e-8</x:v>
      </x:c>
      <x:c r="F126" s="19" t="str">
        <x:v>eng</x:v>
      </x:c>
      <x:c r="G126" s="19" t="str">
        <x:v>current English corpus (July 2024 dataset; public shorthand eng; mutable current corpus)</x:v>
      </x:c>
      <x:c r="H126" s="19" t="str">
        <x:v>greenhouse effect (All)</x:v>
      </x:c>
      <x:c r="I126" s="19" t="str">
        <x:v>0</x:v>
      </x:c>
      <x:c r="J126" s="19" t="n">
        <x:v>46260.10724537037</x:v>
      </x:c>
      <x:c r="K126" s="31" t="str">
        <x:v>data/fear-temperature/ngram/raw/205959f263c8ae6824e66753a55df505e51b40905b28c4cb916bd1952aea4bdb.json</x:v>
      </x:c>
      <x:c r="L126" s="19" t="str">
        <x:v>4286ccb83770f8e9550a4b862463947b8edb637081d5f43cfee319f9d7681262</x:v>
      </x:c>
      <x:c r="M126" s="19" t="str">
        <x:v>03c6b3b7aec17c75d6066c3ad33475123246728a6d70514bc6c4b2fac975aa04</x:v>
      </x:c>
      <x:c r="N126" s="31" t="str">
        <x:v>FT-LF-GREENHOUSE_EFFECT</x:v>
      </x:c>
      <x:c r="O126" s="31" t="str">
        <x:v>FT-C-GREENHOUSE_MECHANISM</x:v>
      </x:c>
      <x:c r="P126" s="31" t="str">
        <x:v>FT-F05</x:v>
      </x:c>
      <x:c r="Q126" s="49" t="n">
        <x:v>0.03701802775424312</x:v>
      </x:c>
    </x:row>
    <x:row r="127" ht="20" customHeight="1">
      <x:c r="A127" s="40" t="str">
        <x:v>FT-Q-V01-041</x:v>
      </x:c>
      <x:c r="B127" s="19" t="str">
        <x:v>greenhouse effect</x:v>
      </x:c>
      <x:c r="C127" s="31" t="str">
        <x:v>carbon_greenhouse</x:v>
      </x:c>
      <x:c r="D127" s="25" t="n">
        <x:v>1964</x:v>
      </x:c>
      <x:c r="E127" s="46" t="n">
        <x:v>6.429269000518545e-8</x:v>
      </x:c>
      <x:c r="F127" s="19" t="str">
        <x:v>eng</x:v>
      </x:c>
      <x:c r="G127" s="19" t="str">
        <x:v>current English corpus (July 2024 dataset; public shorthand eng; mutable current corpus)</x:v>
      </x:c>
      <x:c r="H127" s="19" t="str">
        <x:v>greenhouse effect (All)</x:v>
      </x:c>
      <x:c r="I127" s="19" t="str">
        <x:v>0</x:v>
      </x:c>
      <x:c r="J127" s="19" t="n">
        <x:v>46260.10724537037</x:v>
      </x:c>
      <x:c r="K127" s="31" t="str">
        <x:v>data/fear-temperature/ngram/raw/205959f263c8ae6824e66753a55df505e51b40905b28c4cb916bd1952aea4bdb.json</x:v>
      </x:c>
      <x:c r="L127" s="19" t="str">
        <x:v>4286ccb83770f8e9550a4b862463947b8edb637081d5f43cfee319f9d7681262</x:v>
      </x:c>
      <x:c r="M127" s="19" t="str">
        <x:v>03c6b3b7aec17c75d6066c3ad33475123246728a6d70514bc6c4b2fac975aa04</x:v>
      </x:c>
      <x:c r="N127" s="31" t="str">
        <x:v>FT-LF-GREENHOUSE_EFFECT</x:v>
      </x:c>
      <x:c r="O127" s="31" t="str">
        <x:v>FT-C-GREENHOUSE_MECHANISM</x:v>
      </x:c>
      <x:c r="P127" s="31" t="str">
        <x:v>FT-F05</x:v>
      </x:c>
      <x:c r="Q127" s="49" t="n">
        <x:v>0.06429269000518545</x:v>
      </x:c>
    </x:row>
    <x:row r="128" ht="20" customHeight="1">
      <x:c r="A128" s="40" t="str">
        <x:v>FT-Q-V01-041</x:v>
      </x:c>
      <x:c r="B128" s="19" t="str">
        <x:v>greenhouse effect</x:v>
      </x:c>
      <x:c r="C128" s="31" t="str">
        <x:v>carbon_greenhouse</x:v>
      </x:c>
      <x:c r="D128" s="25" t="n">
        <x:v>1965</x:v>
      </x:c>
      <x:c r="E128" s="46" t="n">
        <x:v>9.813649037848649e-8</x:v>
      </x:c>
      <x:c r="F128" s="19" t="str">
        <x:v>eng</x:v>
      </x:c>
      <x:c r="G128" s="19" t="str">
        <x:v>current English corpus (July 2024 dataset; public shorthand eng; mutable current corpus)</x:v>
      </x:c>
      <x:c r="H128" s="19" t="str">
        <x:v>greenhouse effect (All)</x:v>
      </x:c>
      <x:c r="I128" s="19" t="str">
        <x:v>0</x:v>
      </x:c>
      <x:c r="J128" s="19" t="n">
        <x:v>46260.10724537037</x:v>
      </x:c>
      <x:c r="K128" s="31" t="str">
        <x:v>data/fear-temperature/ngram/raw/205959f263c8ae6824e66753a55df505e51b40905b28c4cb916bd1952aea4bdb.json</x:v>
      </x:c>
      <x:c r="L128" s="19" t="str">
        <x:v>4286ccb83770f8e9550a4b862463947b8edb637081d5f43cfee319f9d7681262</x:v>
      </x:c>
      <x:c r="M128" s="19" t="str">
        <x:v>03c6b3b7aec17c75d6066c3ad33475123246728a6d70514bc6c4b2fac975aa04</x:v>
      </x:c>
      <x:c r="N128" s="31" t="str">
        <x:v>FT-LF-GREENHOUSE_EFFECT</x:v>
      </x:c>
      <x:c r="O128" s="31" t="str">
        <x:v>FT-C-GREENHOUSE_MECHANISM</x:v>
      </x:c>
      <x:c r="P128" s="31" t="str">
        <x:v>FT-F05</x:v>
      </x:c>
      <x:c r="Q128" s="49" t="n">
        <x:v>0.09813649037848649</x:v>
      </x:c>
    </x:row>
    <x:row r="129" ht="20" customHeight="1">
      <x:c r="A129" s="40" t="str">
        <x:v>FT-Q-V01-041</x:v>
      </x:c>
      <x:c r="B129" s="19" t="str">
        <x:v>greenhouse effect</x:v>
      </x:c>
      <x:c r="C129" s="31" t="str">
        <x:v>carbon_greenhouse</x:v>
      </x:c>
      <x:c r="D129" s="25" t="n">
        <x:v>1966</x:v>
      </x:c>
      <x:c r="E129" s="46" t="n">
        <x:v>5.98286886699384e-8</x:v>
      </x:c>
      <x:c r="F129" s="19" t="str">
        <x:v>eng</x:v>
      </x:c>
      <x:c r="G129" s="19" t="str">
        <x:v>current English corpus (July 2024 dataset; public shorthand eng; mutable current corpus)</x:v>
      </x:c>
      <x:c r="H129" s="19" t="str">
        <x:v>greenhouse effect (All)</x:v>
      </x:c>
      <x:c r="I129" s="19" t="str">
        <x:v>0</x:v>
      </x:c>
      <x:c r="J129" s="19" t="n">
        <x:v>46260.10724537037</x:v>
      </x:c>
      <x:c r="K129" s="31" t="str">
        <x:v>data/fear-temperature/ngram/raw/205959f263c8ae6824e66753a55df505e51b40905b28c4cb916bd1952aea4bdb.json</x:v>
      </x:c>
      <x:c r="L129" s="19" t="str">
        <x:v>4286ccb83770f8e9550a4b862463947b8edb637081d5f43cfee319f9d7681262</x:v>
      </x:c>
      <x:c r="M129" s="19" t="str">
        <x:v>03c6b3b7aec17c75d6066c3ad33475123246728a6d70514bc6c4b2fac975aa04</x:v>
      </x:c>
      <x:c r="N129" s="31" t="str">
        <x:v>FT-LF-GREENHOUSE_EFFECT</x:v>
      </x:c>
      <x:c r="O129" s="31" t="str">
        <x:v>FT-C-GREENHOUSE_MECHANISM</x:v>
      </x:c>
      <x:c r="P129" s="31" t="str">
        <x:v>FT-F05</x:v>
      </x:c>
      <x:c r="Q129" s="49" t="n">
        <x:v>0.0598286886699384</x:v>
      </x:c>
    </x:row>
    <x:row r="130" ht="20" customHeight="1">
      <x:c r="A130" s="40" t="str">
        <x:v>FT-Q-V01-041</x:v>
      </x:c>
      <x:c r="B130" s="19" t="str">
        <x:v>greenhouse effect</x:v>
      </x:c>
      <x:c r="C130" s="31" t="str">
        <x:v>carbon_greenhouse</x:v>
      </x:c>
      <x:c r="D130" s="25" t="n">
        <x:v>1967</x:v>
      </x:c>
      <x:c r="E130" s="46" t="n">
        <x:v>8.329238099236136e-8</x:v>
      </x:c>
      <x:c r="F130" s="19" t="str">
        <x:v>eng</x:v>
      </x:c>
      <x:c r="G130" s="19" t="str">
        <x:v>current English corpus (July 2024 dataset; public shorthand eng; mutable current corpus)</x:v>
      </x:c>
      <x:c r="H130" s="19" t="str">
        <x:v>greenhouse effect (All)</x:v>
      </x:c>
      <x:c r="I130" s="19" t="str">
        <x:v>0</x:v>
      </x:c>
      <x:c r="J130" s="19" t="n">
        <x:v>46260.10724537037</x:v>
      </x:c>
      <x:c r="K130" s="31" t="str">
        <x:v>data/fear-temperature/ngram/raw/205959f263c8ae6824e66753a55df505e51b40905b28c4cb916bd1952aea4bdb.json</x:v>
      </x:c>
      <x:c r="L130" s="19" t="str">
        <x:v>4286ccb83770f8e9550a4b862463947b8edb637081d5f43cfee319f9d7681262</x:v>
      </x:c>
      <x:c r="M130" s="19" t="str">
        <x:v>03c6b3b7aec17c75d6066c3ad33475123246728a6d70514bc6c4b2fac975aa04</x:v>
      </x:c>
      <x:c r="N130" s="31" t="str">
        <x:v>FT-LF-GREENHOUSE_EFFECT</x:v>
      </x:c>
      <x:c r="O130" s="31" t="str">
        <x:v>FT-C-GREENHOUSE_MECHANISM</x:v>
      </x:c>
      <x:c r="P130" s="31" t="str">
        <x:v>FT-F05</x:v>
      </x:c>
      <x:c r="Q130" s="49" t="n">
        <x:v>0.08329238099236136</x:v>
      </x:c>
    </x:row>
    <x:row r="131" ht="20" customHeight="1">
      <x:c r="A131" s="40" t="str">
        <x:v>FT-Q-V01-041</x:v>
      </x:c>
      <x:c r="B131" s="19" t="str">
        <x:v>greenhouse effect</x:v>
      </x:c>
      <x:c r="C131" s="31" t="str">
        <x:v>carbon_greenhouse</x:v>
      </x:c>
      <x:c r="D131" s="25" t="n">
        <x:v>1968</x:v>
      </x:c>
      <x:c r="E131" s="46" t="n">
        <x:v>5.18859625264767e-8</x:v>
      </x:c>
      <x:c r="F131" s="19" t="str">
        <x:v>eng</x:v>
      </x:c>
      <x:c r="G131" s="19" t="str">
        <x:v>current English corpus (July 2024 dataset; public shorthand eng; mutable current corpus)</x:v>
      </x:c>
      <x:c r="H131" s="19" t="str">
        <x:v>greenhouse effect (All)</x:v>
      </x:c>
      <x:c r="I131" s="19" t="str">
        <x:v>0</x:v>
      </x:c>
      <x:c r="J131" s="19" t="n">
        <x:v>46260.10724537037</x:v>
      </x:c>
      <x:c r="K131" s="31" t="str">
        <x:v>data/fear-temperature/ngram/raw/205959f263c8ae6824e66753a55df505e51b40905b28c4cb916bd1952aea4bdb.json</x:v>
      </x:c>
      <x:c r="L131" s="19" t="str">
        <x:v>4286ccb83770f8e9550a4b862463947b8edb637081d5f43cfee319f9d7681262</x:v>
      </x:c>
      <x:c r="M131" s="19" t="str">
        <x:v>03c6b3b7aec17c75d6066c3ad33475123246728a6d70514bc6c4b2fac975aa04</x:v>
      </x:c>
      <x:c r="N131" s="31" t="str">
        <x:v>FT-LF-GREENHOUSE_EFFECT</x:v>
      </x:c>
      <x:c r="O131" s="31" t="str">
        <x:v>FT-C-GREENHOUSE_MECHANISM</x:v>
      </x:c>
      <x:c r="P131" s="31" t="str">
        <x:v>FT-F05</x:v>
      </x:c>
      <x:c r="Q131" s="49" t="n">
        <x:v>0.0518859625264767</x:v>
      </x:c>
    </x:row>
    <x:row r="132" ht="20" customHeight="1">
      <x:c r="A132" s="40" t="str">
        <x:v>FT-Q-V01-041</x:v>
      </x:c>
      <x:c r="B132" s="19" t="str">
        <x:v>greenhouse effect</x:v>
      </x:c>
      <x:c r="C132" s="31" t="str">
        <x:v>carbon_greenhouse</x:v>
      </x:c>
      <x:c r="D132" s="25" t="n">
        <x:v>1969</x:v>
      </x:c>
      <x:c r="E132" s="46" t="n">
        <x:v>6.614669745275137e-8</x:v>
      </x:c>
      <x:c r="F132" s="19" t="str">
        <x:v>eng</x:v>
      </x:c>
      <x:c r="G132" s="19" t="str">
        <x:v>current English corpus (July 2024 dataset; public shorthand eng; mutable current corpus)</x:v>
      </x:c>
      <x:c r="H132" s="19" t="str">
        <x:v>greenhouse effect (All)</x:v>
      </x:c>
      <x:c r="I132" s="19" t="str">
        <x:v>0</x:v>
      </x:c>
      <x:c r="J132" s="19" t="n">
        <x:v>46260.10724537037</x:v>
      </x:c>
      <x:c r="K132" s="31" t="str">
        <x:v>data/fear-temperature/ngram/raw/205959f263c8ae6824e66753a55df505e51b40905b28c4cb916bd1952aea4bdb.json</x:v>
      </x:c>
      <x:c r="L132" s="19" t="str">
        <x:v>4286ccb83770f8e9550a4b862463947b8edb637081d5f43cfee319f9d7681262</x:v>
      </x:c>
      <x:c r="M132" s="19" t="str">
        <x:v>03c6b3b7aec17c75d6066c3ad33475123246728a6d70514bc6c4b2fac975aa04</x:v>
      </x:c>
      <x:c r="N132" s="31" t="str">
        <x:v>FT-LF-GREENHOUSE_EFFECT</x:v>
      </x:c>
      <x:c r="O132" s="31" t="str">
        <x:v>FT-C-GREENHOUSE_MECHANISM</x:v>
      </x:c>
      <x:c r="P132" s="31" t="str">
        <x:v>FT-F05</x:v>
      </x:c>
      <x:c r="Q132" s="49" t="n">
        <x:v>0.06614669745275137</x:v>
      </x:c>
    </x:row>
    <x:row r="133" ht="20" customHeight="1">
      <x:c r="A133" s="40" t="str">
        <x:v>FT-Q-V01-041</x:v>
      </x:c>
      <x:c r="B133" s="19" t="str">
        <x:v>greenhouse effect</x:v>
      </x:c>
      <x:c r="C133" s="31" t="str">
        <x:v>carbon_greenhouse</x:v>
      </x:c>
      <x:c r="D133" s="25" t="n">
        <x:v>1970</x:v>
      </x:c>
      <x:c r="E133" s="46" t="n">
        <x:v>6.726160961534333e-8</x:v>
      </x:c>
      <x:c r="F133" s="19" t="str">
        <x:v>eng</x:v>
      </x:c>
      <x:c r="G133" s="19" t="str">
        <x:v>current English corpus (July 2024 dataset; public shorthand eng; mutable current corpus)</x:v>
      </x:c>
      <x:c r="H133" s="19" t="str">
        <x:v>greenhouse effect (All)</x:v>
      </x:c>
      <x:c r="I133" s="19" t="str">
        <x:v>0</x:v>
      </x:c>
      <x:c r="J133" s="19" t="n">
        <x:v>46260.10724537037</x:v>
      </x:c>
      <x:c r="K133" s="31" t="str">
        <x:v>data/fear-temperature/ngram/raw/205959f263c8ae6824e66753a55df505e51b40905b28c4cb916bd1952aea4bdb.json</x:v>
      </x:c>
      <x:c r="L133" s="19" t="str">
        <x:v>4286ccb83770f8e9550a4b862463947b8edb637081d5f43cfee319f9d7681262</x:v>
      </x:c>
      <x:c r="M133" s="19" t="str">
        <x:v>03c6b3b7aec17c75d6066c3ad33475123246728a6d70514bc6c4b2fac975aa04</x:v>
      </x:c>
      <x:c r="N133" s="31" t="str">
        <x:v>FT-LF-GREENHOUSE_EFFECT</x:v>
      </x:c>
      <x:c r="O133" s="31" t="str">
        <x:v>FT-C-GREENHOUSE_MECHANISM</x:v>
      </x:c>
      <x:c r="P133" s="31" t="str">
        <x:v>FT-F05</x:v>
      </x:c>
      <x:c r="Q133" s="49" t="n">
        <x:v>0.06726160961534333</x:v>
      </x:c>
    </x:row>
    <x:row r="134" ht="20" customHeight="1">
      <x:c r="A134" s="40" t="str">
        <x:v>FT-Q-V01-041</x:v>
      </x:c>
      <x:c r="B134" s="19" t="str">
        <x:v>greenhouse effect</x:v>
      </x:c>
      <x:c r="C134" s="31" t="str">
        <x:v>carbon_greenhouse</x:v>
      </x:c>
      <x:c r="D134" s="25" t="n">
        <x:v>1971</x:v>
      </x:c>
      <x:c r="E134" s="46" t="n">
        <x:v>7.304991944678818e-8</x:v>
      </x:c>
      <x:c r="F134" s="19" t="str">
        <x:v>eng</x:v>
      </x:c>
      <x:c r="G134" s="19" t="str">
        <x:v>current English corpus (July 2024 dataset; public shorthand eng; mutable current corpus)</x:v>
      </x:c>
      <x:c r="H134" s="19" t="str">
        <x:v>greenhouse effect (All)</x:v>
      </x:c>
      <x:c r="I134" s="19" t="str">
        <x:v>0</x:v>
      </x:c>
      <x:c r="J134" s="19" t="n">
        <x:v>46260.10724537037</x:v>
      </x:c>
      <x:c r="K134" s="31" t="str">
        <x:v>data/fear-temperature/ngram/raw/205959f263c8ae6824e66753a55df505e51b40905b28c4cb916bd1952aea4bdb.json</x:v>
      </x:c>
      <x:c r="L134" s="19" t="str">
        <x:v>4286ccb83770f8e9550a4b862463947b8edb637081d5f43cfee319f9d7681262</x:v>
      </x:c>
      <x:c r="M134" s="19" t="str">
        <x:v>03c6b3b7aec17c75d6066c3ad33475123246728a6d70514bc6c4b2fac975aa04</x:v>
      </x:c>
      <x:c r="N134" s="31" t="str">
        <x:v>FT-LF-GREENHOUSE_EFFECT</x:v>
      </x:c>
      <x:c r="O134" s="31" t="str">
        <x:v>FT-C-GREENHOUSE_MECHANISM</x:v>
      </x:c>
      <x:c r="P134" s="31" t="str">
        <x:v>FT-F05</x:v>
      </x:c>
      <x:c r="Q134" s="49" t="n">
        <x:v>0.07304991944678818</x:v>
      </x:c>
    </x:row>
    <x:row r="135" ht="20" customHeight="1">
      <x:c r="A135" s="40" t="str">
        <x:v>FT-Q-V01-041</x:v>
      </x:c>
      <x:c r="B135" s="19" t="str">
        <x:v>greenhouse effect</x:v>
      </x:c>
      <x:c r="C135" s="31" t="str">
        <x:v>carbon_greenhouse</x:v>
      </x:c>
      <x:c r="D135" s="25" t="n">
        <x:v>1972</x:v>
      </x:c>
      <x:c r="E135" s="46" t="n">
        <x:v>8.755486247125077e-8</x:v>
      </x:c>
      <x:c r="F135" s="19" t="str">
        <x:v>eng</x:v>
      </x:c>
      <x:c r="G135" s="19" t="str">
        <x:v>current English corpus (July 2024 dataset; public shorthand eng; mutable current corpus)</x:v>
      </x:c>
      <x:c r="H135" s="19" t="str">
        <x:v>greenhouse effect (All)</x:v>
      </x:c>
      <x:c r="I135" s="19" t="str">
        <x:v>0</x:v>
      </x:c>
      <x:c r="J135" s="19" t="n">
        <x:v>46260.10724537037</x:v>
      </x:c>
      <x:c r="K135" s="31" t="str">
        <x:v>data/fear-temperature/ngram/raw/205959f263c8ae6824e66753a55df505e51b40905b28c4cb916bd1952aea4bdb.json</x:v>
      </x:c>
      <x:c r="L135" s="19" t="str">
        <x:v>4286ccb83770f8e9550a4b862463947b8edb637081d5f43cfee319f9d7681262</x:v>
      </x:c>
      <x:c r="M135" s="19" t="str">
        <x:v>03c6b3b7aec17c75d6066c3ad33475123246728a6d70514bc6c4b2fac975aa04</x:v>
      </x:c>
      <x:c r="N135" s="31" t="str">
        <x:v>FT-LF-GREENHOUSE_EFFECT</x:v>
      </x:c>
      <x:c r="O135" s="31" t="str">
        <x:v>FT-C-GREENHOUSE_MECHANISM</x:v>
      </x:c>
      <x:c r="P135" s="31" t="str">
        <x:v>FT-F05</x:v>
      </x:c>
      <x:c r="Q135" s="49" t="n">
        <x:v>0.08755486247125077</x:v>
      </x:c>
    </x:row>
    <x:row r="136" ht="20" customHeight="1">
      <x:c r="A136" s="40" t="str">
        <x:v>FT-Q-V01-041</x:v>
      </x:c>
      <x:c r="B136" s="19" t="str">
        <x:v>greenhouse effect</x:v>
      </x:c>
      <x:c r="C136" s="31" t="str">
        <x:v>carbon_greenhouse</x:v>
      </x:c>
      <x:c r="D136" s="25" t="n">
        <x:v>1973</x:v>
      </x:c>
      <x:c r="E136" s="46" t="n">
        <x:v>7.264473869672551e-8</x:v>
      </x:c>
      <x:c r="F136" s="19" t="str">
        <x:v>eng</x:v>
      </x:c>
      <x:c r="G136" s="19" t="str">
        <x:v>current English corpus (July 2024 dataset; public shorthand eng; mutable current corpus)</x:v>
      </x:c>
      <x:c r="H136" s="19" t="str">
        <x:v>greenhouse effect (All)</x:v>
      </x:c>
      <x:c r="I136" s="19" t="str">
        <x:v>0</x:v>
      </x:c>
      <x:c r="J136" s="19" t="n">
        <x:v>46260.10724537037</x:v>
      </x:c>
      <x:c r="K136" s="31" t="str">
        <x:v>data/fear-temperature/ngram/raw/205959f263c8ae6824e66753a55df505e51b40905b28c4cb916bd1952aea4bdb.json</x:v>
      </x:c>
      <x:c r="L136" s="19" t="str">
        <x:v>4286ccb83770f8e9550a4b862463947b8edb637081d5f43cfee319f9d7681262</x:v>
      </x:c>
      <x:c r="M136" s="19" t="str">
        <x:v>03c6b3b7aec17c75d6066c3ad33475123246728a6d70514bc6c4b2fac975aa04</x:v>
      </x:c>
      <x:c r="N136" s="31" t="str">
        <x:v>FT-LF-GREENHOUSE_EFFECT</x:v>
      </x:c>
      <x:c r="O136" s="31" t="str">
        <x:v>FT-C-GREENHOUSE_MECHANISM</x:v>
      </x:c>
      <x:c r="P136" s="31" t="str">
        <x:v>FT-F05</x:v>
      </x:c>
      <x:c r="Q136" s="49" t="n">
        <x:v>0.07264473869672551</x:v>
      </x:c>
    </x:row>
    <x:row r="137" ht="20" customHeight="1">
      <x:c r="A137" s="40" t="str">
        <x:v>FT-Q-V01-041</x:v>
      </x:c>
      <x:c r="B137" s="19" t="str">
        <x:v>greenhouse effect</x:v>
      </x:c>
      <x:c r="C137" s="31" t="str">
        <x:v>carbon_greenhouse</x:v>
      </x:c>
      <x:c r="D137" s="25" t="n">
        <x:v>1974</x:v>
      </x:c>
      <x:c r="E137" s="46" t="n">
        <x:v>1.0110752857173111e-7</x:v>
      </x:c>
      <x:c r="F137" s="19" t="str">
        <x:v>eng</x:v>
      </x:c>
      <x:c r="G137" s="19" t="str">
        <x:v>current English corpus (July 2024 dataset; public shorthand eng; mutable current corpus)</x:v>
      </x:c>
      <x:c r="H137" s="19" t="str">
        <x:v>greenhouse effect (All)</x:v>
      </x:c>
      <x:c r="I137" s="19" t="str">
        <x:v>0</x:v>
      </x:c>
      <x:c r="J137" s="19" t="n">
        <x:v>46260.10724537037</x:v>
      </x:c>
      <x:c r="K137" s="31" t="str">
        <x:v>data/fear-temperature/ngram/raw/205959f263c8ae6824e66753a55df505e51b40905b28c4cb916bd1952aea4bdb.json</x:v>
      </x:c>
      <x:c r="L137" s="19" t="str">
        <x:v>4286ccb83770f8e9550a4b862463947b8edb637081d5f43cfee319f9d7681262</x:v>
      </x:c>
      <x:c r="M137" s="19" t="str">
        <x:v>03c6b3b7aec17c75d6066c3ad33475123246728a6d70514bc6c4b2fac975aa04</x:v>
      </x:c>
      <x:c r="N137" s="31" t="str">
        <x:v>FT-LF-GREENHOUSE_EFFECT</x:v>
      </x:c>
      <x:c r="O137" s="31" t="str">
        <x:v>FT-C-GREENHOUSE_MECHANISM</x:v>
      </x:c>
      <x:c r="P137" s="31" t="str">
        <x:v>FT-F05</x:v>
      </x:c>
      <x:c r="Q137" s="49" t="n">
        <x:v>0.10110752857173111</x:v>
      </x:c>
    </x:row>
    <x:row r="138" ht="20" customHeight="1">
      <x:c r="A138" s="40" t="str">
        <x:v>FT-Q-V01-041</x:v>
      </x:c>
      <x:c r="B138" s="19" t="str">
        <x:v>greenhouse effect</x:v>
      </x:c>
      <x:c r="C138" s="31" t="str">
        <x:v>carbon_greenhouse</x:v>
      </x:c>
      <x:c r="D138" s="25" t="n">
        <x:v>1975</x:v>
      </x:c>
      <x:c r="E138" s="46" t="n">
        <x:v>9.151540592000629e-8</x:v>
      </x:c>
      <x:c r="F138" s="19" t="str">
        <x:v>eng</x:v>
      </x:c>
      <x:c r="G138" s="19" t="str">
        <x:v>current English corpus (July 2024 dataset; public shorthand eng; mutable current corpus)</x:v>
      </x:c>
      <x:c r="H138" s="19" t="str">
        <x:v>greenhouse effect (All)</x:v>
      </x:c>
      <x:c r="I138" s="19" t="str">
        <x:v>0</x:v>
      </x:c>
      <x:c r="J138" s="19" t="n">
        <x:v>46260.10724537037</x:v>
      </x:c>
      <x:c r="K138" s="31" t="str">
        <x:v>data/fear-temperature/ngram/raw/205959f263c8ae6824e66753a55df505e51b40905b28c4cb916bd1952aea4bdb.json</x:v>
      </x:c>
      <x:c r="L138" s="19" t="str">
        <x:v>4286ccb83770f8e9550a4b862463947b8edb637081d5f43cfee319f9d7681262</x:v>
      </x:c>
      <x:c r="M138" s="19" t="str">
        <x:v>03c6b3b7aec17c75d6066c3ad33475123246728a6d70514bc6c4b2fac975aa04</x:v>
      </x:c>
      <x:c r="N138" s="31" t="str">
        <x:v>FT-LF-GREENHOUSE_EFFECT</x:v>
      </x:c>
      <x:c r="O138" s="31" t="str">
        <x:v>FT-C-GREENHOUSE_MECHANISM</x:v>
      </x:c>
      <x:c r="P138" s="31" t="str">
        <x:v>FT-F05</x:v>
      </x:c>
      <x:c r="Q138" s="49" t="n">
        <x:v>0.09151540592000629</x:v>
      </x:c>
    </x:row>
    <x:row r="139" ht="20" customHeight="1">
      <x:c r="A139" s="40" t="str">
        <x:v>FT-Q-V01-041</x:v>
      </x:c>
      <x:c r="B139" s="19" t="str">
        <x:v>greenhouse effect</x:v>
      </x:c>
      <x:c r="C139" s="31" t="str">
        <x:v>carbon_greenhouse</x:v>
      </x:c>
      <x:c r="D139" s="25" t="n">
        <x:v>1976</x:v>
      </x:c>
      <x:c r="E139" s="46" t="n">
        <x:v>1.2263954651814402e-7</x:v>
      </x:c>
      <x:c r="F139" s="19" t="str">
        <x:v>eng</x:v>
      </x:c>
      <x:c r="G139" s="19" t="str">
        <x:v>current English corpus (July 2024 dataset; public shorthand eng; mutable current corpus)</x:v>
      </x:c>
      <x:c r="H139" s="19" t="str">
        <x:v>greenhouse effect (All)</x:v>
      </x:c>
      <x:c r="I139" s="19" t="str">
        <x:v>0</x:v>
      </x:c>
      <x:c r="J139" s="19" t="n">
        <x:v>46260.10724537037</x:v>
      </x:c>
      <x:c r="K139" s="31" t="str">
        <x:v>data/fear-temperature/ngram/raw/205959f263c8ae6824e66753a55df505e51b40905b28c4cb916bd1952aea4bdb.json</x:v>
      </x:c>
      <x:c r="L139" s="19" t="str">
        <x:v>4286ccb83770f8e9550a4b862463947b8edb637081d5f43cfee319f9d7681262</x:v>
      </x:c>
      <x:c r="M139" s="19" t="str">
        <x:v>03c6b3b7aec17c75d6066c3ad33475123246728a6d70514bc6c4b2fac975aa04</x:v>
      </x:c>
      <x:c r="N139" s="31" t="str">
        <x:v>FT-LF-GREENHOUSE_EFFECT</x:v>
      </x:c>
      <x:c r="O139" s="31" t="str">
        <x:v>FT-C-GREENHOUSE_MECHANISM</x:v>
      </x:c>
      <x:c r="P139" s="31" t="str">
        <x:v>FT-F05</x:v>
      </x:c>
      <x:c r="Q139" s="49" t="n">
        <x:v>0.12263954651814402</x:v>
      </x:c>
    </x:row>
    <x:row r="140" ht="20" customHeight="1">
      <x:c r="A140" s="40" t="str">
        <x:v>FT-Q-V01-041</x:v>
      </x:c>
      <x:c r="B140" s="19" t="str">
        <x:v>greenhouse effect</x:v>
      </x:c>
      <x:c r="C140" s="31" t="str">
        <x:v>carbon_greenhouse</x:v>
      </x:c>
      <x:c r="D140" s="25" t="n">
        <x:v>1977</x:v>
      </x:c>
      <x:c r="E140" s="46" t="n">
        <x:v>1.2692816706710852e-7</x:v>
      </x:c>
      <x:c r="F140" s="19" t="str">
        <x:v>eng</x:v>
      </x:c>
      <x:c r="G140" s="19" t="str">
        <x:v>current English corpus (July 2024 dataset; public shorthand eng; mutable current corpus)</x:v>
      </x:c>
      <x:c r="H140" s="19" t="str">
        <x:v>greenhouse effect (All)</x:v>
      </x:c>
      <x:c r="I140" s="19" t="str">
        <x:v>0</x:v>
      </x:c>
      <x:c r="J140" s="19" t="n">
        <x:v>46260.10724537037</x:v>
      </x:c>
      <x:c r="K140" s="31" t="str">
        <x:v>data/fear-temperature/ngram/raw/205959f263c8ae6824e66753a55df505e51b40905b28c4cb916bd1952aea4bdb.json</x:v>
      </x:c>
      <x:c r="L140" s="19" t="str">
        <x:v>4286ccb83770f8e9550a4b862463947b8edb637081d5f43cfee319f9d7681262</x:v>
      </x:c>
      <x:c r="M140" s="19" t="str">
        <x:v>03c6b3b7aec17c75d6066c3ad33475123246728a6d70514bc6c4b2fac975aa04</x:v>
      </x:c>
      <x:c r="N140" s="31" t="str">
        <x:v>FT-LF-GREENHOUSE_EFFECT</x:v>
      </x:c>
      <x:c r="O140" s="31" t="str">
        <x:v>FT-C-GREENHOUSE_MECHANISM</x:v>
      </x:c>
      <x:c r="P140" s="31" t="str">
        <x:v>FT-F05</x:v>
      </x:c>
      <x:c r="Q140" s="49" t="n">
        <x:v>0.12692816706710852</x:v>
      </x:c>
    </x:row>
    <x:row r="141" ht="20" customHeight="1">
      <x:c r="A141" s="40" t="str">
        <x:v>FT-Q-V01-041</x:v>
      </x:c>
      <x:c r="B141" s="19" t="str">
        <x:v>greenhouse effect</x:v>
      </x:c>
      <x:c r="C141" s="31" t="str">
        <x:v>carbon_greenhouse</x:v>
      </x:c>
      <x:c r="D141" s="25" t="n">
        <x:v>1978</x:v>
      </x:c>
      <x:c r="E141" s="46" t="n">
        <x:v>1.4831261036657442e-7</x:v>
      </x:c>
      <x:c r="F141" s="19" t="str">
        <x:v>eng</x:v>
      </x:c>
      <x:c r="G141" s="19" t="str">
        <x:v>current English corpus (July 2024 dataset; public shorthand eng; mutable current corpus)</x:v>
      </x:c>
      <x:c r="H141" s="19" t="str">
        <x:v>greenhouse effect (All)</x:v>
      </x:c>
      <x:c r="I141" s="19" t="str">
        <x:v>0</x:v>
      </x:c>
      <x:c r="J141" s="19" t="n">
        <x:v>46260.10724537037</x:v>
      </x:c>
      <x:c r="K141" s="31" t="str">
        <x:v>data/fear-temperature/ngram/raw/205959f263c8ae6824e66753a55df505e51b40905b28c4cb916bd1952aea4bdb.json</x:v>
      </x:c>
      <x:c r="L141" s="19" t="str">
        <x:v>4286ccb83770f8e9550a4b862463947b8edb637081d5f43cfee319f9d7681262</x:v>
      </x:c>
      <x:c r="M141" s="19" t="str">
        <x:v>03c6b3b7aec17c75d6066c3ad33475123246728a6d70514bc6c4b2fac975aa04</x:v>
      </x:c>
      <x:c r="N141" s="31" t="str">
        <x:v>FT-LF-GREENHOUSE_EFFECT</x:v>
      </x:c>
      <x:c r="O141" s="31" t="str">
        <x:v>FT-C-GREENHOUSE_MECHANISM</x:v>
      </x:c>
      <x:c r="P141" s="31" t="str">
        <x:v>FT-F05</x:v>
      </x:c>
      <x:c r="Q141" s="49" t="n">
        <x:v>0.14831261036657442</x:v>
      </x:c>
    </x:row>
    <x:row r="142" ht="20" customHeight="1">
      <x:c r="A142" s="40" t="str">
        <x:v>FT-Q-V01-041</x:v>
      </x:c>
      <x:c r="B142" s="19" t="str">
        <x:v>greenhouse effect</x:v>
      </x:c>
      <x:c r="C142" s="31" t="str">
        <x:v>carbon_greenhouse</x:v>
      </x:c>
      <x:c r="D142" s="25" t="n">
        <x:v>1979</x:v>
      </x:c>
      <x:c r="E142" s="46" t="n">
        <x:v>1.7439378563466335e-7</x:v>
      </x:c>
      <x:c r="F142" s="19" t="str">
        <x:v>eng</x:v>
      </x:c>
      <x:c r="G142" s="19" t="str">
        <x:v>current English corpus (July 2024 dataset; public shorthand eng; mutable current corpus)</x:v>
      </x:c>
      <x:c r="H142" s="19" t="str">
        <x:v>greenhouse effect (All)</x:v>
      </x:c>
      <x:c r="I142" s="19" t="str">
        <x:v>0</x:v>
      </x:c>
      <x:c r="J142" s="19" t="n">
        <x:v>46260.10724537037</x:v>
      </x:c>
      <x:c r="K142" s="31" t="str">
        <x:v>data/fear-temperature/ngram/raw/205959f263c8ae6824e66753a55df505e51b40905b28c4cb916bd1952aea4bdb.json</x:v>
      </x:c>
      <x:c r="L142" s="19" t="str">
        <x:v>4286ccb83770f8e9550a4b862463947b8edb637081d5f43cfee319f9d7681262</x:v>
      </x:c>
      <x:c r="M142" s="19" t="str">
        <x:v>03c6b3b7aec17c75d6066c3ad33475123246728a6d70514bc6c4b2fac975aa04</x:v>
      </x:c>
      <x:c r="N142" s="31" t="str">
        <x:v>FT-LF-GREENHOUSE_EFFECT</x:v>
      </x:c>
      <x:c r="O142" s="31" t="str">
        <x:v>FT-C-GREENHOUSE_MECHANISM</x:v>
      </x:c>
      <x:c r="P142" s="31" t="str">
        <x:v>FT-F05</x:v>
      </x:c>
      <x:c r="Q142" s="49" t="n">
        <x:v>0.17439378563466335</x:v>
      </x:c>
    </x:row>
    <x:row r="143" ht="20" customHeight="1">
      <x:c r="A143" s="40" t="str">
        <x:v>FT-Q-V01-041</x:v>
      </x:c>
      <x:c r="B143" s="19" t="str">
        <x:v>greenhouse effect</x:v>
      </x:c>
      <x:c r="C143" s="31" t="str">
        <x:v>carbon_greenhouse</x:v>
      </x:c>
      <x:c r="D143" s="25" t="n">
        <x:v>1980</x:v>
      </x:c>
      <x:c r="E143" s="46" t="n">
        <x:v>1.8688186553816877e-7</x:v>
      </x:c>
      <x:c r="F143" s="19" t="str">
        <x:v>eng</x:v>
      </x:c>
      <x:c r="G143" s="19" t="str">
        <x:v>current English corpus (July 2024 dataset; public shorthand eng; mutable current corpus)</x:v>
      </x:c>
      <x:c r="H143" s="19" t="str">
        <x:v>greenhouse effect (All)</x:v>
      </x:c>
      <x:c r="I143" s="19" t="str">
        <x:v>0</x:v>
      </x:c>
      <x:c r="J143" s="19" t="n">
        <x:v>46260.10724537037</x:v>
      </x:c>
      <x:c r="K143" s="31" t="str">
        <x:v>data/fear-temperature/ngram/raw/205959f263c8ae6824e66753a55df505e51b40905b28c4cb916bd1952aea4bdb.json</x:v>
      </x:c>
      <x:c r="L143" s="19" t="str">
        <x:v>4286ccb83770f8e9550a4b862463947b8edb637081d5f43cfee319f9d7681262</x:v>
      </x:c>
      <x:c r="M143" s="19" t="str">
        <x:v>03c6b3b7aec17c75d6066c3ad33475123246728a6d70514bc6c4b2fac975aa04</x:v>
      </x:c>
      <x:c r="N143" s="31" t="str">
        <x:v>FT-LF-GREENHOUSE_EFFECT</x:v>
      </x:c>
      <x:c r="O143" s="31" t="str">
        <x:v>FT-C-GREENHOUSE_MECHANISM</x:v>
      </x:c>
      <x:c r="P143" s="31" t="str">
        <x:v>FT-F05</x:v>
      </x:c>
      <x:c r="Q143" s="49" t="n">
        <x:v>0.18688186553816877</x:v>
      </x:c>
    </x:row>
    <x:row r="144" ht="20" customHeight="1">
      <x:c r="A144" s="40" t="str">
        <x:v>FT-Q-V01-041</x:v>
      </x:c>
      <x:c r="B144" s="19" t="str">
        <x:v>greenhouse effect</x:v>
      </x:c>
      <x:c r="C144" s="31" t="str">
        <x:v>carbon_greenhouse</x:v>
      </x:c>
      <x:c r="D144" s="25" t="n">
        <x:v>1981</x:v>
      </x:c>
      <x:c r="E144" s="46" t="n">
        <x:v>2.0495122132757618e-7</x:v>
      </x:c>
      <x:c r="F144" s="19" t="str">
        <x:v>eng</x:v>
      </x:c>
      <x:c r="G144" s="19" t="str">
        <x:v>current English corpus (July 2024 dataset; public shorthand eng; mutable current corpus)</x:v>
      </x:c>
      <x:c r="H144" s="19" t="str">
        <x:v>greenhouse effect (All)</x:v>
      </x:c>
      <x:c r="I144" s="19" t="str">
        <x:v>0</x:v>
      </x:c>
      <x:c r="J144" s="19" t="n">
        <x:v>46260.10724537037</x:v>
      </x:c>
      <x:c r="K144" s="31" t="str">
        <x:v>data/fear-temperature/ngram/raw/205959f263c8ae6824e66753a55df505e51b40905b28c4cb916bd1952aea4bdb.json</x:v>
      </x:c>
      <x:c r="L144" s="19" t="str">
        <x:v>4286ccb83770f8e9550a4b862463947b8edb637081d5f43cfee319f9d7681262</x:v>
      </x:c>
      <x:c r="M144" s="19" t="str">
        <x:v>03c6b3b7aec17c75d6066c3ad33475123246728a6d70514bc6c4b2fac975aa04</x:v>
      </x:c>
      <x:c r="N144" s="31" t="str">
        <x:v>FT-LF-GREENHOUSE_EFFECT</x:v>
      </x:c>
      <x:c r="O144" s="31" t="str">
        <x:v>FT-C-GREENHOUSE_MECHANISM</x:v>
      </x:c>
      <x:c r="P144" s="31" t="str">
        <x:v>FT-F05</x:v>
      </x:c>
      <x:c r="Q144" s="49" t="n">
        <x:v>0.20495122132757618</x:v>
      </x:c>
    </x:row>
    <x:row r="145" ht="20" customHeight="1">
      <x:c r="A145" s="40" t="str">
        <x:v>FT-Q-V01-041</x:v>
      </x:c>
      <x:c r="B145" s="19" t="str">
        <x:v>greenhouse effect</x:v>
      </x:c>
      <x:c r="C145" s="31" t="str">
        <x:v>carbon_greenhouse</x:v>
      </x:c>
      <x:c r="D145" s="25" t="n">
        <x:v>1982</x:v>
      </x:c>
      <x:c r="E145" s="46" t="n">
        <x:v>2.356532407959966e-7</x:v>
      </x:c>
      <x:c r="F145" s="19" t="str">
        <x:v>eng</x:v>
      </x:c>
      <x:c r="G145" s="19" t="str">
        <x:v>current English corpus (July 2024 dataset; public shorthand eng; mutable current corpus)</x:v>
      </x:c>
      <x:c r="H145" s="19" t="str">
        <x:v>greenhouse effect (All)</x:v>
      </x:c>
      <x:c r="I145" s="19" t="str">
        <x:v>0</x:v>
      </x:c>
      <x:c r="J145" s="19" t="n">
        <x:v>46260.10724537037</x:v>
      </x:c>
      <x:c r="K145" s="31" t="str">
        <x:v>data/fear-temperature/ngram/raw/205959f263c8ae6824e66753a55df505e51b40905b28c4cb916bd1952aea4bdb.json</x:v>
      </x:c>
      <x:c r="L145" s="19" t="str">
        <x:v>4286ccb83770f8e9550a4b862463947b8edb637081d5f43cfee319f9d7681262</x:v>
      </x:c>
      <x:c r="M145" s="19" t="str">
        <x:v>03c6b3b7aec17c75d6066c3ad33475123246728a6d70514bc6c4b2fac975aa04</x:v>
      </x:c>
      <x:c r="N145" s="31" t="str">
        <x:v>FT-LF-GREENHOUSE_EFFECT</x:v>
      </x:c>
      <x:c r="O145" s="31" t="str">
        <x:v>FT-C-GREENHOUSE_MECHANISM</x:v>
      </x:c>
      <x:c r="P145" s="31" t="str">
        <x:v>FT-F05</x:v>
      </x:c>
      <x:c r="Q145" s="49" t="n">
        <x:v>0.2356532407959966</x:v>
      </x:c>
    </x:row>
    <x:row r="146" ht="20" customHeight="1">
      <x:c r="A146" s="40" t="str">
        <x:v>FT-Q-V01-041</x:v>
      </x:c>
      <x:c r="B146" s="19" t="str">
        <x:v>greenhouse effect</x:v>
      </x:c>
      <x:c r="C146" s="31" t="str">
        <x:v>carbon_greenhouse</x:v>
      </x:c>
      <x:c r="D146" s="25" t="n">
        <x:v>1983</x:v>
      </x:c>
      <x:c r="E146" s="46" t="n">
        <x:v>2.330274926562459e-7</x:v>
      </x:c>
      <x:c r="F146" s="19" t="str">
        <x:v>eng</x:v>
      </x:c>
      <x:c r="G146" s="19" t="str">
        <x:v>current English corpus (July 2024 dataset; public shorthand eng; mutable current corpus)</x:v>
      </x:c>
      <x:c r="H146" s="19" t="str">
        <x:v>greenhouse effect (All)</x:v>
      </x:c>
      <x:c r="I146" s="19" t="str">
        <x:v>0</x:v>
      </x:c>
      <x:c r="J146" s="19" t="n">
        <x:v>46260.10724537037</x:v>
      </x:c>
      <x:c r="K146" s="31" t="str">
        <x:v>data/fear-temperature/ngram/raw/205959f263c8ae6824e66753a55df505e51b40905b28c4cb916bd1952aea4bdb.json</x:v>
      </x:c>
      <x:c r="L146" s="19" t="str">
        <x:v>4286ccb83770f8e9550a4b862463947b8edb637081d5f43cfee319f9d7681262</x:v>
      </x:c>
      <x:c r="M146" s="19" t="str">
        <x:v>03c6b3b7aec17c75d6066c3ad33475123246728a6d70514bc6c4b2fac975aa04</x:v>
      </x:c>
      <x:c r="N146" s="31" t="str">
        <x:v>FT-LF-GREENHOUSE_EFFECT</x:v>
      </x:c>
      <x:c r="O146" s="31" t="str">
        <x:v>FT-C-GREENHOUSE_MECHANISM</x:v>
      </x:c>
      <x:c r="P146" s="31" t="str">
        <x:v>FT-F05</x:v>
      </x:c>
      <x:c r="Q146" s="49" t="n">
        <x:v>0.2330274926562459</x:v>
      </x:c>
    </x:row>
    <x:row r="147" ht="20" customHeight="1">
      <x:c r="A147" s="40" t="str">
        <x:v>FT-Q-V01-041</x:v>
      </x:c>
      <x:c r="B147" s="19" t="str">
        <x:v>greenhouse effect</x:v>
      </x:c>
      <x:c r="C147" s="31" t="str">
        <x:v>carbon_greenhouse</x:v>
      </x:c>
      <x:c r="D147" s="25" t="n">
        <x:v>1984</x:v>
      </x:c>
      <x:c r="E147" s="46" t="n">
        <x:v>2.693167844569633e-7</x:v>
      </x:c>
      <x:c r="F147" s="19" t="str">
        <x:v>eng</x:v>
      </x:c>
      <x:c r="G147" s="19" t="str">
        <x:v>current English corpus (July 2024 dataset; public shorthand eng; mutable current corpus)</x:v>
      </x:c>
      <x:c r="H147" s="19" t="str">
        <x:v>greenhouse effect (All)</x:v>
      </x:c>
      <x:c r="I147" s="19" t="str">
        <x:v>0</x:v>
      </x:c>
      <x:c r="J147" s="19" t="n">
        <x:v>46260.10724537037</x:v>
      </x:c>
      <x:c r="K147" s="31" t="str">
        <x:v>data/fear-temperature/ngram/raw/205959f263c8ae6824e66753a55df505e51b40905b28c4cb916bd1952aea4bdb.json</x:v>
      </x:c>
      <x:c r="L147" s="19" t="str">
        <x:v>4286ccb83770f8e9550a4b862463947b8edb637081d5f43cfee319f9d7681262</x:v>
      </x:c>
      <x:c r="M147" s="19" t="str">
        <x:v>03c6b3b7aec17c75d6066c3ad33475123246728a6d70514bc6c4b2fac975aa04</x:v>
      </x:c>
      <x:c r="N147" s="31" t="str">
        <x:v>FT-LF-GREENHOUSE_EFFECT</x:v>
      </x:c>
      <x:c r="O147" s="31" t="str">
        <x:v>FT-C-GREENHOUSE_MECHANISM</x:v>
      </x:c>
      <x:c r="P147" s="31" t="str">
        <x:v>FT-F05</x:v>
      </x:c>
      <x:c r="Q147" s="49" t="n">
        <x:v>0.2693167844569633</x:v>
      </x:c>
    </x:row>
    <x:row r="148" ht="20" customHeight="1">
      <x:c r="A148" s="40" t="str">
        <x:v>FT-Q-V01-041</x:v>
      </x:c>
      <x:c r="B148" s="19" t="str">
        <x:v>greenhouse effect</x:v>
      </x:c>
      <x:c r="C148" s="31" t="str">
        <x:v>carbon_greenhouse</x:v>
      </x:c>
      <x:c r="D148" s="25" t="n">
        <x:v>1985</x:v>
      </x:c>
      <x:c r="E148" s="46" t="n">
        <x:v>3.442741822387574e-7</x:v>
      </x:c>
      <x:c r="F148" s="19" t="str">
        <x:v>eng</x:v>
      </x:c>
      <x:c r="G148" s="19" t="str">
        <x:v>current English corpus (July 2024 dataset; public shorthand eng; mutable current corpus)</x:v>
      </x:c>
      <x:c r="H148" s="19" t="str">
        <x:v>greenhouse effect (All)</x:v>
      </x:c>
      <x:c r="I148" s="19" t="str">
        <x:v>0</x:v>
      </x:c>
      <x:c r="J148" s="19" t="n">
        <x:v>46260.10724537037</x:v>
      </x:c>
      <x:c r="K148" s="31" t="str">
        <x:v>data/fear-temperature/ngram/raw/205959f263c8ae6824e66753a55df505e51b40905b28c4cb916bd1952aea4bdb.json</x:v>
      </x:c>
      <x:c r="L148" s="19" t="str">
        <x:v>4286ccb83770f8e9550a4b862463947b8edb637081d5f43cfee319f9d7681262</x:v>
      </x:c>
      <x:c r="M148" s="19" t="str">
        <x:v>03c6b3b7aec17c75d6066c3ad33475123246728a6d70514bc6c4b2fac975aa04</x:v>
      </x:c>
      <x:c r="N148" s="31" t="str">
        <x:v>FT-LF-GREENHOUSE_EFFECT</x:v>
      </x:c>
      <x:c r="O148" s="31" t="str">
        <x:v>FT-C-GREENHOUSE_MECHANISM</x:v>
      </x:c>
      <x:c r="P148" s="31" t="str">
        <x:v>FT-F05</x:v>
      </x:c>
      <x:c r="Q148" s="49" t="n">
        <x:v>0.3442741822387574</x:v>
      </x:c>
    </x:row>
    <x:row r="149" ht="20" customHeight="1">
      <x:c r="A149" s="40" t="str">
        <x:v>FT-Q-V01-041</x:v>
      </x:c>
      <x:c r="B149" s="19" t="str">
        <x:v>greenhouse effect</x:v>
      </x:c>
      <x:c r="C149" s="31" t="str">
        <x:v>carbon_greenhouse</x:v>
      </x:c>
      <x:c r="D149" s="25" t="n">
        <x:v>1986</x:v>
      </x:c>
      <x:c r="E149" s="46" t="n">
        <x:v>4.086246360585078e-7</x:v>
      </x:c>
      <x:c r="F149" s="19" t="str">
        <x:v>eng</x:v>
      </x:c>
      <x:c r="G149" s="19" t="str">
        <x:v>current English corpus (July 2024 dataset; public shorthand eng; mutable current corpus)</x:v>
      </x:c>
      <x:c r="H149" s="19" t="str">
        <x:v>greenhouse effect (All)</x:v>
      </x:c>
      <x:c r="I149" s="19" t="str">
        <x:v>0</x:v>
      </x:c>
      <x:c r="J149" s="19" t="n">
        <x:v>46260.10724537037</x:v>
      </x:c>
      <x:c r="K149" s="31" t="str">
        <x:v>data/fear-temperature/ngram/raw/205959f263c8ae6824e66753a55df505e51b40905b28c4cb916bd1952aea4bdb.json</x:v>
      </x:c>
      <x:c r="L149" s="19" t="str">
        <x:v>4286ccb83770f8e9550a4b862463947b8edb637081d5f43cfee319f9d7681262</x:v>
      </x:c>
      <x:c r="M149" s="19" t="str">
        <x:v>03c6b3b7aec17c75d6066c3ad33475123246728a6d70514bc6c4b2fac975aa04</x:v>
      </x:c>
      <x:c r="N149" s="31" t="str">
        <x:v>FT-LF-GREENHOUSE_EFFECT</x:v>
      </x:c>
      <x:c r="O149" s="31" t="str">
        <x:v>FT-C-GREENHOUSE_MECHANISM</x:v>
      </x:c>
      <x:c r="P149" s="31" t="str">
        <x:v>FT-F05</x:v>
      </x:c>
      <x:c r="Q149" s="49" t="n">
        <x:v>0.4086246360585078</x:v>
      </x:c>
    </x:row>
    <x:row r="150" ht="20" customHeight="1">
      <x:c r="A150" s="40" t="str">
        <x:v>FT-Q-V01-041</x:v>
      </x:c>
      <x:c r="B150" s="19" t="str">
        <x:v>greenhouse effect</x:v>
      </x:c>
      <x:c r="C150" s="31" t="str">
        <x:v>carbon_greenhouse</x:v>
      </x:c>
      <x:c r="D150" s="25" t="n">
        <x:v>1987</x:v>
      </x:c>
      <x:c r="E150" s="46" t="n">
        <x:v>5.372673990908239e-7</x:v>
      </x:c>
      <x:c r="F150" s="19" t="str">
        <x:v>eng</x:v>
      </x:c>
      <x:c r="G150" s="19" t="str">
        <x:v>current English corpus (July 2024 dataset; public shorthand eng; mutable current corpus)</x:v>
      </x:c>
      <x:c r="H150" s="19" t="str">
        <x:v>greenhouse effect (All)</x:v>
      </x:c>
      <x:c r="I150" s="19" t="str">
        <x:v>0</x:v>
      </x:c>
      <x:c r="J150" s="19" t="n">
        <x:v>46260.10724537037</x:v>
      </x:c>
      <x:c r="K150" s="31" t="str">
        <x:v>data/fear-temperature/ngram/raw/205959f263c8ae6824e66753a55df505e51b40905b28c4cb916bd1952aea4bdb.json</x:v>
      </x:c>
      <x:c r="L150" s="19" t="str">
        <x:v>4286ccb83770f8e9550a4b862463947b8edb637081d5f43cfee319f9d7681262</x:v>
      </x:c>
      <x:c r="M150" s="19" t="str">
        <x:v>03c6b3b7aec17c75d6066c3ad33475123246728a6d70514bc6c4b2fac975aa04</x:v>
      </x:c>
      <x:c r="N150" s="31" t="str">
        <x:v>FT-LF-GREENHOUSE_EFFECT</x:v>
      </x:c>
      <x:c r="O150" s="31" t="str">
        <x:v>FT-C-GREENHOUSE_MECHANISM</x:v>
      </x:c>
      <x:c r="P150" s="31" t="str">
        <x:v>FT-F05</x:v>
      </x:c>
      <x:c r="Q150" s="49" t="n">
        <x:v>0.5372673990908239</x:v>
      </x:c>
    </x:row>
    <x:row r="151" ht="20" customHeight="1">
      <x:c r="A151" s="40" t="str">
        <x:v>FT-Q-V01-041</x:v>
      </x:c>
      <x:c r="B151" s="19" t="str">
        <x:v>greenhouse effect</x:v>
      </x:c>
      <x:c r="C151" s="31" t="str">
        <x:v>carbon_greenhouse</x:v>
      </x:c>
      <x:c r="D151" s="25" t="n">
        <x:v>1988</x:v>
      </x:c>
      <x:c r="E151" s="46" t="n">
        <x:v>0.0000010860151045330446</x:v>
      </x:c>
      <x:c r="F151" s="19" t="str">
        <x:v>eng</x:v>
      </x:c>
      <x:c r="G151" s="19" t="str">
        <x:v>current English corpus (July 2024 dataset; public shorthand eng; mutable current corpus)</x:v>
      </x:c>
      <x:c r="H151" s="19" t="str">
        <x:v>greenhouse effect (All)</x:v>
      </x:c>
      <x:c r="I151" s="19" t="str">
        <x:v>0</x:v>
      </x:c>
      <x:c r="J151" s="19" t="n">
        <x:v>46260.10724537037</x:v>
      </x:c>
      <x:c r="K151" s="31" t="str">
        <x:v>data/fear-temperature/ngram/raw/205959f263c8ae6824e66753a55df505e51b40905b28c4cb916bd1952aea4bdb.json</x:v>
      </x:c>
      <x:c r="L151" s="19" t="str">
        <x:v>4286ccb83770f8e9550a4b862463947b8edb637081d5f43cfee319f9d7681262</x:v>
      </x:c>
      <x:c r="M151" s="19" t="str">
        <x:v>03c6b3b7aec17c75d6066c3ad33475123246728a6d70514bc6c4b2fac975aa04</x:v>
      </x:c>
      <x:c r="N151" s="31" t="str">
        <x:v>FT-LF-GREENHOUSE_EFFECT</x:v>
      </x:c>
      <x:c r="O151" s="31" t="str">
        <x:v>FT-C-GREENHOUSE_MECHANISM</x:v>
      </x:c>
      <x:c r="P151" s="31" t="str">
        <x:v>FT-F05</x:v>
      </x:c>
      <x:c r="Q151" s="49" t="n">
        <x:v>1.0860151045330446</x:v>
      </x:c>
    </x:row>
    <x:row r="152" ht="20" customHeight="1">
      <x:c r="A152" s="40" t="str">
        <x:v>FT-Q-V01-041</x:v>
      </x:c>
      <x:c r="B152" s="19" t="str">
        <x:v>greenhouse effect</x:v>
      </x:c>
      <x:c r="C152" s="31" t="str">
        <x:v>carbon_greenhouse</x:v>
      </x:c>
      <x:c r="D152" s="25" t="n">
        <x:v>1989</x:v>
      </x:c>
      <x:c r="E152" s="46" t="n">
        <x:v>0.0000019142492041629433</x:v>
      </x:c>
      <x:c r="F152" s="19" t="str">
        <x:v>eng</x:v>
      </x:c>
      <x:c r="G152" s="19" t="str">
        <x:v>current English corpus (July 2024 dataset; public shorthand eng; mutable current corpus)</x:v>
      </x:c>
      <x:c r="H152" s="19" t="str">
        <x:v>greenhouse effect (All)</x:v>
      </x:c>
      <x:c r="I152" s="19" t="str">
        <x:v>0</x:v>
      </x:c>
      <x:c r="J152" s="19" t="n">
        <x:v>46260.10724537037</x:v>
      </x:c>
      <x:c r="K152" s="31" t="str">
        <x:v>data/fear-temperature/ngram/raw/205959f263c8ae6824e66753a55df505e51b40905b28c4cb916bd1952aea4bdb.json</x:v>
      </x:c>
      <x:c r="L152" s="19" t="str">
        <x:v>4286ccb83770f8e9550a4b862463947b8edb637081d5f43cfee319f9d7681262</x:v>
      </x:c>
      <x:c r="M152" s="19" t="str">
        <x:v>03c6b3b7aec17c75d6066c3ad33475123246728a6d70514bc6c4b2fac975aa04</x:v>
      </x:c>
      <x:c r="N152" s="31" t="str">
        <x:v>FT-LF-GREENHOUSE_EFFECT</x:v>
      </x:c>
      <x:c r="O152" s="31" t="str">
        <x:v>FT-C-GREENHOUSE_MECHANISM</x:v>
      </x:c>
      <x:c r="P152" s="31" t="str">
        <x:v>FT-F05</x:v>
      </x:c>
      <x:c r="Q152" s="49" t="n">
        <x:v>1.9142492041629433</x:v>
      </x:c>
    </x:row>
    <x:row r="153" ht="20" customHeight="1">
      <x:c r="A153" s="40" t="str">
        <x:v>FT-Q-V01-041</x:v>
      </x:c>
      <x:c r="B153" s="19" t="str">
        <x:v>greenhouse effect</x:v>
      </x:c>
      <x:c r="C153" s="31" t="str">
        <x:v>carbon_greenhouse</x:v>
      </x:c>
      <x:c r="D153" s="25" t="n">
        <x:v>1990</x:v>
      </x:c>
      <x:c r="E153" s="46" t="n">
        <x:v>0.0000019607200425764137</x:v>
      </x:c>
      <x:c r="F153" s="19" t="str">
        <x:v>eng</x:v>
      </x:c>
      <x:c r="G153" s="19" t="str">
        <x:v>current English corpus (July 2024 dataset; public shorthand eng; mutable current corpus)</x:v>
      </x:c>
      <x:c r="H153" s="19" t="str">
        <x:v>greenhouse effect (All)</x:v>
      </x:c>
      <x:c r="I153" s="19" t="str">
        <x:v>0</x:v>
      </x:c>
      <x:c r="J153" s="19" t="n">
        <x:v>46260.10724537037</x:v>
      </x:c>
      <x:c r="K153" s="31" t="str">
        <x:v>data/fear-temperature/ngram/raw/205959f263c8ae6824e66753a55df505e51b40905b28c4cb916bd1952aea4bdb.json</x:v>
      </x:c>
      <x:c r="L153" s="19" t="str">
        <x:v>4286ccb83770f8e9550a4b862463947b8edb637081d5f43cfee319f9d7681262</x:v>
      </x:c>
      <x:c r="M153" s="19" t="str">
        <x:v>03c6b3b7aec17c75d6066c3ad33475123246728a6d70514bc6c4b2fac975aa04</x:v>
      </x:c>
      <x:c r="N153" s="31" t="str">
        <x:v>FT-LF-GREENHOUSE_EFFECT</x:v>
      </x:c>
      <x:c r="O153" s="31" t="str">
        <x:v>FT-C-GREENHOUSE_MECHANISM</x:v>
      </x:c>
      <x:c r="P153" s="31" t="str">
        <x:v>FT-F05</x:v>
      </x:c>
      <x:c r="Q153" s="49" t="n">
        <x:v>1.9607200425764137</x:v>
      </x:c>
    </x:row>
    <x:row r="154" ht="20" customHeight="1">
      <x:c r="A154" s="40" t="str">
        <x:v>FT-Q-V01-041</x:v>
      </x:c>
      <x:c r="B154" s="19" t="str">
        <x:v>greenhouse effect</x:v>
      </x:c>
      <x:c r="C154" s="31" t="str">
        <x:v>carbon_greenhouse</x:v>
      </x:c>
      <x:c r="D154" s="25" t="n">
        <x:v>1991</x:v>
      </x:c>
      <x:c r="E154" s="46" t="n">
        <x:v>0.0000016889398075162208</x:v>
      </x:c>
      <x:c r="F154" s="19" t="str">
        <x:v>eng</x:v>
      </x:c>
      <x:c r="G154" s="19" t="str">
        <x:v>current English corpus (July 2024 dataset; public shorthand eng; mutable current corpus)</x:v>
      </x:c>
      <x:c r="H154" s="19" t="str">
        <x:v>greenhouse effect (All)</x:v>
      </x:c>
      <x:c r="I154" s="19" t="str">
        <x:v>0</x:v>
      </x:c>
      <x:c r="J154" s="19" t="n">
        <x:v>46260.10724537037</x:v>
      </x:c>
      <x:c r="K154" s="31" t="str">
        <x:v>data/fear-temperature/ngram/raw/205959f263c8ae6824e66753a55df505e51b40905b28c4cb916bd1952aea4bdb.json</x:v>
      </x:c>
      <x:c r="L154" s="19" t="str">
        <x:v>4286ccb83770f8e9550a4b862463947b8edb637081d5f43cfee319f9d7681262</x:v>
      </x:c>
      <x:c r="M154" s="19" t="str">
        <x:v>03c6b3b7aec17c75d6066c3ad33475123246728a6d70514bc6c4b2fac975aa04</x:v>
      </x:c>
      <x:c r="N154" s="31" t="str">
        <x:v>FT-LF-GREENHOUSE_EFFECT</x:v>
      </x:c>
      <x:c r="O154" s="31" t="str">
        <x:v>FT-C-GREENHOUSE_MECHANISM</x:v>
      </x:c>
      <x:c r="P154" s="31" t="str">
        <x:v>FT-F05</x:v>
      </x:c>
      <x:c r="Q154" s="49" t="n">
        <x:v>1.6889398075162207</x:v>
      </x:c>
    </x:row>
    <x:row r="155" ht="20" customHeight="1">
      <x:c r="A155" s="40" t="str">
        <x:v>FT-Q-V01-041</x:v>
      </x:c>
      <x:c r="B155" s="19" t="str">
        <x:v>greenhouse effect</x:v>
      </x:c>
      <x:c r="C155" s="31" t="str">
        <x:v>carbon_greenhouse</x:v>
      </x:c>
      <x:c r="D155" s="25" t="n">
        <x:v>1992</x:v>
      </x:c>
      <x:c r="E155" s="46" t="n">
        <x:v>0.0000016104735260785707</x:v>
      </x:c>
      <x:c r="F155" s="19" t="str">
        <x:v>eng</x:v>
      </x:c>
      <x:c r="G155" s="19" t="str">
        <x:v>current English corpus (July 2024 dataset; public shorthand eng; mutable current corpus)</x:v>
      </x:c>
      <x:c r="H155" s="19" t="str">
        <x:v>greenhouse effect (All)</x:v>
      </x:c>
      <x:c r="I155" s="19" t="str">
        <x:v>0</x:v>
      </x:c>
      <x:c r="J155" s="19" t="n">
        <x:v>46260.10724537037</x:v>
      </x:c>
      <x:c r="K155" s="31" t="str">
        <x:v>data/fear-temperature/ngram/raw/205959f263c8ae6824e66753a55df505e51b40905b28c4cb916bd1952aea4bdb.json</x:v>
      </x:c>
      <x:c r="L155" s="19" t="str">
        <x:v>4286ccb83770f8e9550a4b862463947b8edb637081d5f43cfee319f9d7681262</x:v>
      </x:c>
      <x:c r="M155" s="19" t="str">
        <x:v>03c6b3b7aec17c75d6066c3ad33475123246728a6d70514bc6c4b2fac975aa04</x:v>
      </x:c>
      <x:c r="N155" s="31" t="str">
        <x:v>FT-LF-GREENHOUSE_EFFECT</x:v>
      </x:c>
      <x:c r="O155" s="31" t="str">
        <x:v>FT-C-GREENHOUSE_MECHANISM</x:v>
      </x:c>
      <x:c r="P155" s="31" t="str">
        <x:v>FT-F05</x:v>
      </x:c>
      <x:c r="Q155" s="49" t="n">
        <x:v>1.6104735260785707</x:v>
      </x:c>
    </x:row>
    <x:row r="156" ht="20" customHeight="1">
      <x:c r="A156" s="40" t="str">
        <x:v>FT-Q-V01-041</x:v>
      </x:c>
      <x:c r="B156" s="19" t="str">
        <x:v>greenhouse effect</x:v>
      </x:c>
      <x:c r="C156" s="31" t="str">
        <x:v>carbon_greenhouse</x:v>
      </x:c>
      <x:c r="D156" s="25" t="n">
        <x:v>1993</x:v>
      </x:c>
      <x:c r="E156" s="46" t="n">
        <x:v>0.0000011294831448183107</x:v>
      </x:c>
      <x:c r="F156" s="19" t="str">
        <x:v>eng</x:v>
      </x:c>
      <x:c r="G156" s="19" t="str">
        <x:v>current English corpus (July 2024 dataset; public shorthand eng; mutable current corpus)</x:v>
      </x:c>
      <x:c r="H156" s="19" t="str">
        <x:v>greenhouse effect (All)</x:v>
      </x:c>
      <x:c r="I156" s="19" t="str">
        <x:v>0</x:v>
      </x:c>
      <x:c r="J156" s="19" t="n">
        <x:v>46260.10724537037</x:v>
      </x:c>
      <x:c r="K156" s="31" t="str">
        <x:v>data/fear-temperature/ngram/raw/205959f263c8ae6824e66753a55df505e51b40905b28c4cb916bd1952aea4bdb.json</x:v>
      </x:c>
      <x:c r="L156" s="19" t="str">
        <x:v>4286ccb83770f8e9550a4b862463947b8edb637081d5f43cfee319f9d7681262</x:v>
      </x:c>
      <x:c r="M156" s="19" t="str">
        <x:v>03c6b3b7aec17c75d6066c3ad33475123246728a6d70514bc6c4b2fac975aa04</x:v>
      </x:c>
      <x:c r="N156" s="31" t="str">
        <x:v>FT-LF-GREENHOUSE_EFFECT</x:v>
      </x:c>
      <x:c r="O156" s="31" t="str">
        <x:v>FT-C-GREENHOUSE_MECHANISM</x:v>
      </x:c>
      <x:c r="P156" s="31" t="str">
        <x:v>FT-F05</x:v>
      </x:c>
      <x:c r="Q156" s="49" t="n">
        <x:v>1.1294831448183107</x:v>
      </x:c>
    </x:row>
    <x:row r="157" ht="20" customHeight="1">
      <x:c r="A157" s="40" t="str">
        <x:v>FT-Q-V01-041</x:v>
      </x:c>
      <x:c r="B157" s="19" t="str">
        <x:v>greenhouse effect</x:v>
      </x:c>
      <x:c r="C157" s="31" t="str">
        <x:v>carbon_greenhouse</x:v>
      </x:c>
      <x:c r="D157" s="25" t="n">
        <x:v>1994</x:v>
      </x:c>
      <x:c r="E157" s="46" t="n">
        <x:v>9.918365638655893e-7</x:v>
      </x:c>
      <x:c r="F157" s="19" t="str">
        <x:v>eng</x:v>
      </x:c>
      <x:c r="G157" s="19" t="str">
        <x:v>current English corpus (July 2024 dataset; public shorthand eng; mutable current corpus)</x:v>
      </x:c>
      <x:c r="H157" s="19" t="str">
        <x:v>greenhouse effect (All)</x:v>
      </x:c>
      <x:c r="I157" s="19" t="str">
        <x:v>0</x:v>
      </x:c>
      <x:c r="J157" s="19" t="n">
        <x:v>46260.10724537037</x:v>
      </x:c>
      <x:c r="K157" s="31" t="str">
        <x:v>data/fear-temperature/ngram/raw/205959f263c8ae6824e66753a55df505e51b40905b28c4cb916bd1952aea4bdb.json</x:v>
      </x:c>
      <x:c r="L157" s="19" t="str">
        <x:v>4286ccb83770f8e9550a4b862463947b8edb637081d5f43cfee319f9d7681262</x:v>
      </x:c>
      <x:c r="M157" s="19" t="str">
        <x:v>03c6b3b7aec17c75d6066c3ad33475123246728a6d70514bc6c4b2fac975aa04</x:v>
      </x:c>
      <x:c r="N157" s="31" t="str">
        <x:v>FT-LF-GREENHOUSE_EFFECT</x:v>
      </x:c>
      <x:c r="O157" s="31" t="str">
        <x:v>FT-C-GREENHOUSE_MECHANISM</x:v>
      </x:c>
      <x:c r="P157" s="31" t="str">
        <x:v>FT-F05</x:v>
      </x:c>
      <x:c r="Q157" s="49" t="n">
        <x:v>0.9918365638655893</x:v>
      </x:c>
    </x:row>
    <x:row r="158" ht="20" customHeight="1">
      <x:c r="A158" s="40" t="str">
        <x:v>FT-Q-V01-041</x:v>
      </x:c>
      <x:c r="B158" s="19" t="str">
        <x:v>greenhouse effect</x:v>
      </x:c>
      <x:c r="C158" s="31" t="str">
        <x:v>carbon_greenhouse</x:v>
      </x:c>
      <x:c r="D158" s="25" t="n">
        <x:v>1995</x:v>
      </x:c>
      <x:c r="E158" s="46" t="n">
        <x:v>8.468794933935709e-7</x:v>
      </x:c>
      <x:c r="F158" s="19" t="str">
        <x:v>eng</x:v>
      </x:c>
      <x:c r="G158" s="19" t="str">
        <x:v>current English corpus (July 2024 dataset; public shorthand eng; mutable current corpus)</x:v>
      </x:c>
      <x:c r="H158" s="19" t="str">
        <x:v>greenhouse effect (All)</x:v>
      </x:c>
      <x:c r="I158" s="19" t="str">
        <x:v>0</x:v>
      </x:c>
      <x:c r="J158" s="19" t="n">
        <x:v>46260.10724537037</x:v>
      </x:c>
      <x:c r="K158" s="31" t="str">
        <x:v>data/fear-temperature/ngram/raw/205959f263c8ae6824e66753a55df505e51b40905b28c4cb916bd1952aea4bdb.json</x:v>
      </x:c>
      <x:c r="L158" s="19" t="str">
        <x:v>4286ccb83770f8e9550a4b862463947b8edb637081d5f43cfee319f9d7681262</x:v>
      </x:c>
      <x:c r="M158" s="19" t="str">
        <x:v>03c6b3b7aec17c75d6066c3ad33475123246728a6d70514bc6c4b2fac975aa04</x:v>
      </x:c>
      <x:c r="N158" s="31" t="str">
        <x:v>FT-LF-GREENHOUSE_EFFECT</x:v>
      </x:c>
      <x:c r="O158" s="31" t="str">
        <x:v>FT-C-GREENHOUSE_MECHANISM</x:v>
      </x:c>
      <x:c r="P158" s="31" t="str">
        <x:v>FT-F05</x:v>
      </x:c>
      <x:c r="Q158" s="49" t="n">
        <x:v>0.8468794933935709</x:v>
      </x:c>
    </x:row>
    <x:row r="159" ht="20" customHeight="1">
      <x:c r="A159" s="40" t="str">
        <x:v>FT-Q-V01-041</x:v>
      </x:c>
      <x:c r="B159" s="19" t="str">
        <x:v>greenhouse effect</x:v>
      </x:c>
      <x:c r="C159" s="31" t="str">
        <x:v>carbon_greenhouse</x:v>
      </x:c>
      <x:c r="D159" s="25" t="n">
        <x:v>1996</x:v>
      </x:c>
      <x:c r="E159" s="46" t="n">
        <x:v>7.367777380071217e-7</x:v>
      </x:c>
      <x:c r="F159" s="19" t="str">
        <x:v>eng</x:v>
      </x:c>
      <x:c r="G159" s="19" t="str">
        <x:v>current English corpus (July 2024 dataset; public shorthand eng; mutable current corpus)</x:v>
      </x:c>
      <x:c r="H159" s="19" t="str">
        <x:v>greenhouse effect (All)</x:v>
      </x:c>
      <x:c r="I159" s="19" t="str">
        <x:v>0</x:v>
      </x:c>
      <x:c r="J159" s="19" t="n">
        <x:v>46260.10724537037</x:v>
      </x:c>
      <x:c r="K159" s="31" t="str">
        <x:v>data/fear-temperature/ngram/raw/205959f263c8ae6824e66753a55df505e51b40905b28c4cb916bd1952aea4bdb.json</x:v>
      </x:c>
      <x:c r="L159" s="19" t="str">
        <x:v>4286ccb83770f8e9550a4b862463947b8edb637081d5f43cfee319f9d7681262</x:v>
      </x:c>
      <x:c r="M159" s="19" t="str">
        <x:v>03c6b3b7aec17c75d6066c3ad33475123246728a6d70514bc6c4b2fac975aa04</x:v>
      </x:c>
      <x:c r="N159" s="31" t="str">
        <x:v>FT-LF-GREENHOUSE_EFFECT</x:v>
      </x:c>
      <x:c r="O159" s="31" t="str">
        <x:v>FT-C-GREENHOUSE_MECHANISM</x:v>
      </x:c>
      <x:c r="P159" s="31" t="str">
        <x:v>FT-F05</x:v>
      </x:c>
      <x:c r="Q159" s="49" t="n">
        <x:v>0.7367777380071217</x:v>
      </x:c>
    </x:row>
    <x:row r="160" ht="20" customHeight="1">
      <x:c r="A160" s="40" t="str">
        <x:v>FT-Q-V01-041</x:v>
      </x:c>
      <x:c r="B160" s="19" t="str">
        <x:v>greenhouse effect</x:v>
      </x:c>
      <x:c r="C160" s="31" t="str">
        <x:v>carbon_greenhouse</x:v>
      </x:c>
      <x:c r="D160" s="25" t="n">
        <x:v>1997</x:v>
      </x:c>
      <x:c r="E160" s="46" t="n">
        <x:v>6.804931523655966e-7</x:v>
      </x:c>
      <x:c r="F160" s="19" t="str">
        <x:v>eng</x:v>
      </x:c>
      <x:c r="G160" s="19" t="str">
        <x:v>current English corpus (July 2024 dataset; public shorthand eng; mutable current corpus)</x:v>
      </x:c>
      <x:c r="H160" s="19" t="str">
        <x:v>greenhouse effect (All)</x:v>
      </x:c>
      <x:c r="I160" s="19" t="str">
        <x:v>0</x:v>
      </x:c>
      <x:c r="J160" s="19" t="n">
        <x:v>46260.10724537037</x:v>
      </x:c>
      <x:c r="K160" s="31" t="str">
        <x:v>data/fear-temperature/ngram/raw/205959f263c8ae6824e66753a55df505e51b40905b28c4cb916bd1952aea4bdb.json</x:v>
      </x:c>
      <x:c r="L160" s="19" t="str">
        <x:v>4286ccb83770f8e9550a4b862463947b8edb637081d5f43cfee319f9d7681262</x:v>
      </x:c>
      <x:c r="M160" s="19" t="str">
        <x:v>03c6b3b7aec17c75d6066c3ad33475123246728a6d70514bc6c4b2fac975aa04</x:v>
      </x:c>
      <x:c r="N160" s="31" t="str">
        <x:v>FT-LF-GREENHOUSE_EFFECT</x:v>
      </x:c>
      <x:c r="O160" s="31" t="str">
        <x:v>FT-C-GREENHOUSE_MECHANISM</x:v>
      </x:c>
      <x:c r="P160" s="31" t="str">
        <x:v>FT-F05</x:v>
      </x:c>
      <x:c r="Q160" s="49" t="n">
        <x:v>0.6804931523655966</x:v>
      </x:c>
    </x:row>
    <x:row r="161" ht="20" customHeight="1">
      <x:c r="A161" s="40" t="str">
        <x:v>FT-Q-V01-041</x:v>
      </x:c>
      <x:c r="B161" s="19" t="str">
        <x:v>greenhouse effect</x:v>
      </x:c>
      <x:c r="C161" s="31" t="str">
        <x:v>carbon_greenhouse</x:v>
      </x:c>
      <x:c r="D161" s="25" t="n">
        <x:v>1998</x:v>
      </x:c>
      <x:c r="E161" s="46" t="n">
        <x:v>6.876679756670502e-7</x:v>
      </x:c>
      <x:c r="F161" s="19" t="str">
        <x:v>eng</x:v>
      </x:c>
      <x:c r="G161" s="19" t="str">
        <x:v>current English corpus (July 2024 dataset; public shorthand eng; mutable current corpus)</x:v>
      </x:c>
      <x:c r="H161" s="19" t="str">
        <x:v>greenhouse effect (All)</x:v>
      </x:c>
      <x:c r="I161" s="19" t="str">
        <x:v>0</x:v>
      </x:c>
      <x:c r="J161" s="19" t="n">
        <x:v>46260.10724537037</x:v>
      </x:c>
      <x:c r="K161" s="31" t="str">
        <x:v>data/fear-temperature/ngram/raw/205959f263c8ae6824e66753a55df505e51b40905b28c4cb916bd1952aea4bdb.json</x:v>
      </x:c>
      <x:c r="L161" s="19" t="str">
        <x:v>4286ccb83770f8e9550a4b862463947b8edb637081d5f43cfee319f9d7681262</x:v>
      </x:c>
      <x:c r="M161" s="19" t="str">
        <x:v>03c6b3b7aec17c75d6066c3ad33475123246728a6d70514bc6c4b2fac975aa04</x:v>
      </x:c>
      <x:c r="N161" s="31" t="str">
        <x:v>FT-LF-GREENHOUSE_EFFECT</x:v>
      </x:c>
      <x:c r="O161" s="31" t="str">
        <x:v>FT-C-GREENHOUSE_MECHANISM</x:v>
      </x:c>
      <x:c r="P161" s="31" t="str">
        <x:v>FT-F05</x:v>
      </x:c>
      <x:c r="Q161" s="49" t="n">
        <x:v>0.6876679756670502</x:v>
      </x:c>
    </x:row>
    <x:row r="162" ht="20" customHeight="1">
      <x:c r="A162" s="40" t="str">
        <x:v>FT-Q-V01-041</x:v>
      </x:c>
      <x:c r="B162" s="19" t="str">
        <x:v>greenhouse effect</x:v>
      </x:c>
      <x:c r="C162" s="31" t="str">
        <x:v>carbon_greenhouse</x:v>
      </x:c>
      <x:c r="D162" s="25" t="n">
        <x:v>1999</x:v>
      </x:c>
      <x:c r="E162" s="46" t="n">
        <x:v>5.60514434609638e-7</x:v>
      </x:c>
      <x:c r="F162" s="19" t="str">
        <x:v>eng</x:v>
      </x:c>
      <x:c r="G162" s="19" t="str">
        <x:v>current English corpus (July 2024 dataset; public shorthand eng; mutable current corpus)</x:v>
      </x:c>
      <x:c r="H162" s="19" t="str">
        <x:v>greenhouse effect (All)</x:v>
      </x:c>
      <x:c r="I162" s="19" t="str">
        <x:v>0</x:v>
      </x:c>
      <x:c r="J162" s="19" t="n">
        <x:v>46260.10724537037</x:v>
      </x:c>
      <x:c r="K162" s="31" t="str">
        <x:v>data/fear-temperature/ngram/raw/205959f263c8ae6824e66753a55df505e51b40905b28c4cb916bd1952aea4bdb.json</x:v>
      </x:c>
      <x:c r="L162" s="19" t="str">
        <x:v>4286ccb83770f8e9550a4b862463947b8edb637081d5f43cfee319f9d7681262</x:v>
      </x:c>
      <x:c r="M162" s="19" t="str">
        <x:v>03c6b3b7aec17c75d6066c3ad33475123246728a6d70514bc6c4b2fac975aa04</x:v>
      </x:c>
      <x:c r="N162" s="31" t="str">
        <x:v>FT-LF-GREENHOUSE_EFFECT</x:v>
      </x:c>
      <x:c r="O162" s="31" t="str">
        <x:v>FT-C-GREENHOUSE_MECHANISM</x:v>
      </x:c>
      <x:c r="P162" s="31" t="str">
        <x:v>FT-F05</x:v>
      </x:c>
      <x:c r="Q162" s="49" t="n">
        <x:v>0.560514434609638</x:v>
      </x:c>
    </x:row>
    <x:row r="163" ht="20" customHeight="1">
      <x:c r="A163" s="40" t="str">
        <x:v>FT-Q-V01-041</x:v>
      </x:c>
      <x:c r="B163" s="19" t="str">
        <x:v>greenhouse effect</x:v>
      </x:c>
      <x:c r="C163" s="31" t="str">
        <x:v>carbon_greenhouse</x:v>
      </x:c>
      <x:c r="D163" s="25" t="n">
        <x:v>2000</x:v>
      </x:c>
      <x:c r="E163" s="46" t="n">
        <x:v>5.6804425125484e-7</x:v>
      </x:c>
      <x:c r="F163" s="19" t="str">
        <x:v>eng</x:v>
      </x:c>
      <x:c r="G163" s="19" t="str">
        <x:v>current English corpus (July 2024 dataset; public shorthand eng; mutable current corpus)</x:v>
      </x:c>
      <x:c r="H163" s="19" t="str">
        <x:v>greenhouse effect (All)</x:v>
      </x:c>
      <x:c r="I163" s="19" t="str">
        <x:v>0</x:v>
      </x:c>
      <x:c r="J163" s="19" t="n">
        <x:v>46260.10724537037</x:v>
      </x:c>
      <x:c r="K163" s="31" t="str">
        <x:v>data/fear-temperature/ngram/raw/205959f263c8ae6824e66753a55df505e51b40905b28c4cb916bd1952aea4bdb.json</x:v>
      </x:c>
      <x:c r="L163" s="19" t="str">
        <x:v>4286ccb83770f8e9550a4b862463947b8edb637081d5f43cfee319f9d7681262</x:v>
      </x:c>
      <x:c r="M163" s="19" t="str">
        <x:v>03c6b3b7aec17c75d6066c3ad33475123246728a6d70514bc6c4b2fac975aa04</x:v>
      </x:c>
      <x:c r="N163" s="31" t="str">
        <x:v>FT-LF-GREENHOUSE_EFFECT</x:v>
      </x:c>
      <x:c r="O163" s="31" t="str">
        <x:v>FT-C-GREENHOUSE_MECHANISM</x:v>
      </x:c>
      <x:c r="P163" s="31" t="str">
        <x:v>FT-F05</x:v>
      </x:c>
      <x:c r="Q163" s="49" t="n">
        <x:v>0.56804425125484</x:v>
      </x:c>
    </x:row>
    <x:row r="164" ht="20" customHeight="1">
      <x:c r="A164" s="40" t="str">
        <x:v>FT-Q-V01-041</x:v>
      </x:c>
      <x:c r="B164" s="19" t="str">
        <x:v>greenhouse effect</x:v>
      </x:c>
      <x:c r="C164" s="31" t="str">
        <x:v>carbon_greenhouse</x:v>
      </x:c>
      <x:c r="D164" s="25" t="n">
        <x:v>2001</x:v>
      </x:c>
      <x:c r="E164" s="46" t="n">
        <x:v>5.837854663397202e-7</x:v>
      </x:c>
      <x:c r="F164" s="19" t="str">
        <x:v>eng</x:v>
      </x:c>
      <x:c r="G164" s="19" t="str">
        <x:v>current English corpus (July 2024 dataset; public shorthand eng; mutable current corpus)</x:v>
      </x:c>
      <x:c r="H164" s="19" t="str">
        <x:v>greenhouse effect (All)</x:v>
      </x:c>
      <x:c r="I164" s="19" t="str">
        <x:v>0</x:v>
      </x:c>
      <x:c r="J164" s="19" t="n">
        <x:v>46260.10724537037</x:v>
      </x:c>
      <x:c r="K164" s="31" t="str">
        <x:v>data/fear-temperature/ngram/raw/205959f263c8ae6824e66753a55df505e51b40905b28c4cb916bd1952aea4bdb.json</x:v>
      </x:c>
      <x:c r="L164" s="19" t="str">
        <x:v>4286ccb83770f8e9550a4b862463947b8edb637081d5f43cfee319f9d7681262</x:v>
      </x:c>
      <x:c r="M164" s="19" t="str">
        <x:v>03c6b3b7aec17c75d6066c3ad33475123246728a6d70514bc6c4b2fac975aa04</x:v>
      </x:c>
      <x:c r="N164" s="31" t="str">
        <x:v>FT-LF-GREENHOUSE_EFFECT</x:v>
      </x:c>
      <x:c r="O164" s="31" t="str">
        <x:v>FT-C-GREENHOUSE_MECHANISM</x:v>
      </x:c>
      <x:c r="P164" s="31" t="str">
        <x:v>FT-F05</x:v>
      </x:c>
      <x:c r="Q164" s="49" t="n">
        <x:v>0.5837854663397202</x:v>
      </x:c>
    </x:row>
    <x:row r="165" ht="20" customHeight="1">
      <x:c r="A165" s="40" t="str">
        <x:v>FT-Q-V01-041</x:v>
      </x:c>
      <x:c r="B165" s="19" t="str">
        <x:v>greenhouse effect</x:v>
      </x:c>
      <x:c r="C165" s="31" t="str">
        <x:v>carbon_greenhouse</x:v>
      </x:c>
      <x:c r="D165" s="25" t="n">
        <x:v>2002</x:v>
      </x:c>
      <x:c r="E165" s="46" t="n">
        <x:v>5.598491702313302e-7</x:v>
      </x:c>
      <x:c r="F165" s="19" t="str">
        <x:v>eng</x:v>
      </x:c>
      <x:c r="G165" s="19" t="str">
        <x:v>current English corpus (July 2024 dataset; public shorthand eng; mutable current corpus)</x:v>
      </x:c>
      <x:c r="H165" s="19" t="str">
        <x:v>greenhouse effect (All)</x:v>
      </x:c>
      <x:c r="I165" s="19" t="str">
        <x:v>0</x:v>
      </x:c>
      <x:c r="J165" s="19" t="n">
        <x:v>46260.10724537037</x:v>
      </x:c>
      <x:c r="K165" s="31" t="str">
        <x:v>data/fear-temperature/ngram/raw/205959f263c8ae6824e66753a55df505e51b40905b28c4cb916bd1952aea4bdb.json</x:v>
      </x:c>
      <x:c r="L165" s="19" t="str">
        <x:v>4286ccb83770f8e9550a4b862463947b8edb637081d5f43cfee319f9d7681262</x:v>
      </x:c>
      <x:c r="M165" s="19" t="str">
        <x:v>03c6b3b7aec17c75d6066c3ad33475123246728a6d70514bc6c4b2fac975aa04</x:v>
      </x:c>
      <x:c r="N165" s="31" t="str">
        <x:v>FT-LF-GREENHOUSE_EFFECT</x:v>
      </x:c>
      <x:c r="O165" s="31" t="str">
        <x:v>FT-C-GREENHOUSE_MECHANISM</x:v>
      </x:c>
      <x:c r="P165" s="31" t="str">
        <x:v>FT-F05</x:v>
      </x:c>
      <x:c r="Q165" s="49" t="n">
        <x:v>0.5598491702313302</x:v>
      </x:c>
    </x:row>
    <x:row r="166" ht="20" customHeight="1">
      <x:c r="A166" s="40" t="str">
        <x:v>FT-Q-V01-041</x:v>
      </x:c>
      <x:c r="B166" s="19" t="str">
        <x:v>greenhouse effect</x:v>
      </x:c>
      <x:c r="C166" s="31" t="str">
        <x:v>carbon_greenhouse</x:v>
      </x:c>
      <x:c r="D166" s="25" t="n">
        <x:v>2003</x:v>
      </x:c>
      <x:c r="E166" s="46" t="n">
        <x:v>4.6192745631334914e-7</x:v>
      </x:c>
      <x:c r="F166" s="19" t="str">
        <x:v>eng</x:v>
      </x:c>
      <x:c r="G166" s="19" t="str">
        <x:v>current English corpus (July 2024 dataset; public shorthand eng; mutable current corpus)</x:v>
      </x:c>
      <x:c r="H166" s="19" t="str">
        <x:v>greenhouse effect (All)</x:v>
      </x:c>
      <x:c r="I166" s="19" t="str">
        <x:v>0</x:v>
      </x:c>
      <x:c r="J166" s="19" t="n">
        <x:v>46260.10724537037</x:v>
      </x:c>
      <x:c r="K166" s="31" t="str">
        <x:v>data/fear-temperature/ngram/raw/205959f263c8ae6824e66753a55df505e51b40905b28c4cb916bd1952aea4bdb.json</x:v>
      </x:c>
      <x:c r="L166" s="19" t="str">
        <x:v>4286ccb83770f8e9550a4b862463947b8edb637081d5f43cfee319f9d7681262</x:v>
      </x:c>
      <x:c r="M166" s="19" t="str">
        <x:v>03c6b3b7aec17c75d6066c3ad33475123246728a6d70514bc6c4b2fac975aa04</x:v>
      </x:c>
      <x:c r="N166" s="31" t="str">
        <x:v>FT-LF-GREENHOUSE_EFFECT</x:v>
      </x:c>
      <x:c r="O166" s="31" t="str">
        <x:v>FT-C-GREENHOUSE_MECHANISM</x:v>
      </x:c>
      <x:c r="P166" s="31" t="str">
        <x:v>FT-F05</x:v>
      </x:c>
      <x:c r="Q166" s="49" t="n">
        <x:v>0.46192745631334914</x:v>
      </x:c>
    </x:row>
    <x:row r="167" ht="20" customHeight="1">
      <x:c r="A167" s="40" t="str">
        <x:v>FT-Q-V01-041</x:v>
      </x:c>
      <x:c r="B167" s="19" t="str">
        <x:v>greenhouse effect</x:v>
      </x:c>
      <x:c r="C167" s="31" t="str">
        <x:v>carbon_greenhouse</x:v>
      </x:c>
      <x:c r="D167" s="25" t="n">
        <x:v>2004</x:v>
      </x:c>
      <x:c r="E167" s="46" t="n">
        <x:v>4.50919563022012e-7</x:v>
      </x:c>
      <x:c r="F167" s="19" t="str">
        <x:v>eng</x:v>
      </x:c>
      <x:c r="G167" s="19" t="str">
        <x:v>current English corpus (July 2024 dataset; public shorthand eng; mutable current corpus)</x:v>
      </x:c>
      <x:c r="H167" s="19" t="str">
        <x:v>greenhouse effect (All)</x:v>
      </x:c>
      <x:c r="I167" s="19" t="str">
        <x:v>0</x:v>
      </x:c>
      <x:c r="J167" s="19" t="n">
        <x:v>46260.10724537037</x:v>
      </x:c>
      <x:c r="K167" s="31" t="str">
        <x:v>data/fear-temperature/ngram/raw/205959f263c8ae6824e66753a55df505e51b40905b28c4cb916bd1952aea4bdb.json</x:v>
      </x:c>
      <x:c r="L167" s="19" t="str">
        <x:v>4286ccb83770f8e9550a4b862463947b8edb637081d5f43cfee319f9d7681262</x:v>
      </x:c>
      <x:c r="M167" s="19" t="str">
        <x:v>03c6b3b7aec17c75d6066c3ad33475123246728a6d70514bc6c4b2fac975aa04</x:v>
      </x:c>
      <x:c r="N167" s="31" t="str">
        <x:v>FT-LF-GREENHOUSE_EFFECT</x:v>
      </x:c>
      <x:c r="O167" s="31" t="str">
        <x:v>FT-C-GREENHOUSE_MECHANISM</x:v>
      </x:c>
      <x:c r="P167" s="31" t="str">
        <x:v>FT-F05</x:v>
      </x:c>
      <x:c r="Q167" s="49" t="n">
        <x:v>0.450919563022012</x:v>
      </x:c>
    </x:row>
    <x:row r="168" ht="20" customHeight="1">
      <x:c r="A168" s="40" t="str">
        <x:v>FT-Q-V01-041</x:v>
      </x:c>
      <x:c r="B168" s="19" t="str">
        <x:v>greenhouse effect</x:v>
      </x:c>
      <x:c r="C168" s="31" t="str">
        <x:v>carbon_greenhouse</x:v>
      </x:c>
      <x:c r="D168" s="25" t="n">
        <x:v>2005</x:v>
      </x:c>
      <x:c r="E168" s="46" t="n">
        <x:v>4.930681261755554e-7</x:v>
      </x:c>
      <x:c r="F168" s="19" t="str">
        <x:v>eng</x:v>
      </x:c>
      <x:c r="G168" s="19" t="str">
        <x:v>current English corpus (July 2024 dataset; public shorthand eng; mutable current corpus)</x:v>
      </x:c>
      <x:c r="H168" s="19" t="str">
        <x:v>greenhouse effect (All)</x:v>
      </x:c>
      <x:c r="I168" s="19" t="str">
        <x:v>0</x:v>
      </x:c>
      <x:c r="J168" s="19" t="n">
        <x:v>46260.10724537037</x:v>
      </x:c>
      <x:c r="K168" s="31" t="str">
        <x:v>data/fear-temperature/ngram/raw/205959f263c8ae6824e66753a55df505e51b40905b28c4cb916bd1952aea4bdb.json</x:v>
      </x:c>
      <x:c r="L168" s="19" t="str">
        <x:v>4286ccb83770f8e9550a4b862463947b8edb637081d5f43cfee319f9d7681262</x:v>
      </x:c>
      <x:c r="M168" s="19" t="str">
        <x:v>03c6b3b7aec17c75d6066c3ad33475123246728a6d70514bc6c4b2fac975aa04</x:v>
      </x:c>
      <x:c r="N168" s="31" t="str">
        <x:v>FT-LF-GREENHOUSE_EFFECT</x:v>
      </x:c>
      <x:c r="O168" s="31" t="str">
        <x:v>FT-C-GREENHOUSE_MECHANISM</x:v>
      </x:c>
      <x:c r="P168" s="31" t="str">
        <x:v>FT-F05</x:v>
      </x:c>
      <x:c r="Q168" s="49" t="n">
        <x:v>0.4930681261755554</x:v>
      </x:c>
    </x:row>
    <x:row r="169" ht="20" customHeight="1">
      <x:c r="A169" s="40" t="str">
        <x:v>FT-Q-V01-041</x:v>
      </x:c>
      <x:c r="B169" s="19" t="str">
        <x:v>greenhouse effect</x:v>
      </x:c>
      <x:c r="C169" s="31" t="str">
        <x:v>carbon_greenhouse</x:v>
      </x:c>
      <x:c r="D169" s="25" t="n">
        <x:v>2006</x:v>
      </x:c>
      <x:c r="E169" s="46" t="n">
        <x:v>4.812116740637862e-7</x:v>
      </x:c>
      <x:c r="F169" s="19" t="str">
        <x:v>eng</x:v>
      </x:c>
      <x:c r="G169" s="19" t="str">
        <x:v>current English corpus (July 2024 dataset; public shorthand eng; mutable current corpus)</x:v>
      </x:c>
      <x:c r="H169" s="19" t="str">
        <x:v>greenhouse effect (All)</x:v>
      </x:c>
      <x:c r="I169" s="19" t="str">
        <x:v>0</x:v>
      </x:c>
      <x:c r="J169" s="19" t="n">
        <x:v>46260.10724537037</x:v>
      </x:c>
      <x:c r="K169" s="31" t="str">
        <x:v>data/fear-temperature/ngram/raw/205959f263c8ae6824e66753a55df505e51b40905b28c4cb916bd1952aea4bdb.json</x:v>
      </x:c>
      <x:c r="L169" s="19" t="str">
        <x:v>4286ccb83770f8e9550a4b862463947b8edb637081d5f43cfee319f9d7681262</x:v>
      </x:c>
      <x:c r="M169" s="19" t="str">
        <x:v>03c6b3b7aec17c75d6066c3ad33475123246728a6d70514bc6c4b2fac975aa04</x:v>
      </x:c>
      <x:c r="N169" s="31" t="str">
        <x:v>FT-LF-GREENHOUSE_EFFECT</x:v>
      </x:c>
      <x:c r="O169" s="31" t="str">
        <x:v>FT-C-GREENHOUSE_MECHANISM</x:v>
      </x:c>
      <x:c r="P169" s="31" t="str">
        <x:v>FT-F05</x:v>
      </x:c>
      <x:c r="Q169" s="49" t="n">
        <x:v>0.4812116740637862</x:v>
      </x:c>
    </x:row>
    <x:row r="170" ht="20" customHeight="1">
      <x:c r="A170" s="40" t="str">
        <x:v>FT-Q-V01-041</x:v>
      </x:c>
      <x:c r="B170" s="19" t="str">
        <x:v>greenhouse effect</x:v>
      </x:c>
      <x:c r="C170" s="31" t="str">
        <x:v>carbon_greenhouse</x:v>
      </x:c>
      <x:c r="D170" s="25" t="n">
        <x:v>2007</x:v>
      </x:c>
      <x:c r="E170" s="46" t="n">
        <x:v>5.082223493886595e-7</x:v>
      </x:c>
      <x:c r="F170" s="19" t="str">
        <x:v>eng</x:v>
      </x:c>
      <x:c r="G170" s="19" t="str">
        <x:v>current English corpus (July 2024 dataset; public shorthand eng; mutable current corpus)</x:v>
      </x:c>
      <x:c r="H170" s="19" t="str">
        <x:v>greenhouse effect (All)</x:v>
      </x:c>
      <x:c r="I170" s="19" t="str">
        <x:v>0</x:v>
      </x:c>
      <x:c r="J170" s="19" t="n">
        <x:v>46260.10724537037</x:v>
      </x:c>
      <x:c r="K170" s="31" t="str">
        <x:v>data/fear-temperature/ngram/raw/205959f263c8ae6824e66753a55df505e51b40905b28c4cb916bd1952aea4bdb.json</x:v>
      </x:c>
      <x:c r="L170" s="19" t="str">
        <x:v>4286ccb83770f8e9550a4b862463947b8edb637081d5f43cfee319f9d7681262</x:v>
      </x:c>
      <x:c r="M170" s="19" t="str">
        <x:v>03c6b3b7aec17c75d6066c3ad33475123246728a6d70514bc6c4b2fac975aa04</x:v>
      </x:c>
      <x:c r="N170" s="31" t="str">
        <x:v>FT-LF-GREENHOUSE_EFFECT</x:v>
      </x:c>
      <x:c r="O170" s="31" t="str">
        <x:v>FT-C-GREENHOUSE_MECHANISM</x:v>
      </x:c>
      <x:c r="P170" s="31" t="str">
        <x:v>FT-F05</x:v>
      </x:c>
      <x:c r="Q170" s="49" t="n">
        <x:v>0.5082223493886595</x:v>
      </x:c>
    </x:row>
    <x:row r="171" ht="20" customHeight="1">
      <x:c r="A171" s="40" t="str">
        <x:v>FT-Q-V01-041</x:v>
      </x:c>
      <x:c r="B171" s="19" t="str">
        <x:v>greenhouse effect</x:v>
      </x:c>
      <x:c r="C171" s="31" t="str">
        <x:v>carbon_greenhouse</x:v>
      </x:c>
      <x:c r="D171" s="25" t="n">
        <x:v>2008</x:v>
      </x:c>
      <x:c r="E171" s="46" t="n">
        <x:v>5.751005356935402e-7</x:v>
      </x:c>
      <x:c r="F171" s="19" t="str">
        <x:v>eng</x:v>
      </x:c>
      <x:c r="G171" s="19" t="str">
        <x:v>current English corpus (July 2024 dataset; public shorthand eng; mutable current corpus)</x:v>
      </x:c>
      <x:c r="H171" s="19" t="str">
        <x:v>greenhouse effect (All)</x:v>
      </x:c>
      <x:c r="I171" s="19" t="str">
        <x:v>0</x:v>
      </x:c>
      <x:c r="J171" s="19" t="n">
        <x:v>46260.10724537037</x:v>
      </x:c>
      <x:c r="K171" s="31" t="str">
        <x:v>data/fear-temperature/ngram/raw/205959f263c8ae6824e66753a55df505e51b40905b28c4cb916bd1952aea4bdb.json</x:v>
      </x:c>
      <x:c r="L171" s="19" t="str">
        <x:v>4286ccb83770f8e9550a4b862463947b8edb637081d5f43cfee319f9d7681262</x:v>
      </x:c>
      <x:c r="M171" s="19" t="str">
        <x:v>03c6b3b7aec17c75d6066c3ad33475123246728a6d70514bc6c4b2fac975aa04</x:v>
      </x:c>
      <x:c r="N171" s="31" t="str">
        <x:v>FT-LF-GREENHOUSE_EFFECT</x:v>
      </x:c>
      <x:c r="O171" s="31" t="str">
        <x:v>FT-C-GREENHOUSE_MECHANISM</x:v>
      </x:c>
      <x:c r="P171" s="31" t="str">
        <x:v>FT-F05</x:v>
      </x:c>
      <x:c r="Q171" s="49" t="n">
        <x:v>0.5751005356935402</x:v>
      </x:c>
    </x:row>
    <x:row r="172" ht="20" customHeight="1">
      <x:c r="A172" s="40" t="str">
        <x:v>FT-Q-V01-041</x:v>
      </x:c>
      <x:c r="B172" s="19" t="str">
        <x:v>greenhouse effect</x:v>
      </x:c>
      <x:c r="C172" s="31" t="str">
        <x:v>carbon_greenhouse</x:v>
      </x:c>
      <x:c r="D172" s="25" t="n">
        <x:v>2009</x:v>
      </x:c>
      <x:c r="E172" s="46" t="n">
        <x:v>5.741983999107969e-7</x:v>
      </x:c>
      <x:c r="F172" s="19" t="str">
        <x:v>eng</x:v>
      </x:c>
      <x:c r="G172" s="19" t="str">
        <x:v>current English corpus (July 2024 dataset; public shorthand eng; mutable current corpus)</x:v>
      </x:c>
      <x:c r="H172" s="19" t="str">
        <x:v>greenhouse effect (All)</x:v>
      </x:c>
      <x:c r="I172" s="19" t="str">
        <x:v>0</x:v>
      </x:c>
      <x:c r="J172" s="19" t="n">
        <x:v>46260.10724537037</x:v>
      </x:c>
      <x:c r="K172" s="31" t="str">
        <x:v>data/fear-temperature/ngram/raw/205959f263c8ae6824e66753a55df505e51b40905b28c4cb916bd1952aea4bdb.json</x:v>
      </x:c>
      <x:c r="L172" s="19" t="str">
        <x:v>4286ccb83770f8e9550a4b862463947b8edb637081d5f43cfee319f9d7681262</x:v>
      </x:c>
      <x:c r="M172" s="19" t="str">
        <x:v>03c6b3b7aec17c75d6066c3ad33475123246728a6d70514bc6c4b2fac975aa04</x:v>
      </x:c>
      <x:c r="N172" s="31" t="str">
        <x:v>FT-LF-GREENHOUSE_EFFECT</x:v>
      </x:c>
      <x:c r="O172" s="31" t="str">
        <x:v>FT-C-GREENHOUSE_MECHANISM</x:v>
      </x:c>
      <x:c r="P172" s="31" t="str">
        <x:v>FT-F05</x:v>
      </x:c>
      <x:c r="Q172" s="49" t="n">
        <x:v>0.5741983999107969</x:v>
      </x:c>
    </x:row>
    <x:row r="173" ht="20" customHeight="1">
      <x:c r="A173" s="40" t="str">
        <x:v>FT-Q-V01-041</x:v>
      </x:c>
      <x:c r="B173" s="19" t="str">
        <x:v>greenhouse effect</x:v>
      </x:c>
      <x:c r="C173" s="31" t="str">
        <x:v>carbon_greenhouse</x:v>
      </x:c>
      <x:c r="D173" s="25" t="n">
        <x:v>2010</x:v>
      </x:c>
      <x:c r="E173" s="46" t="n">
        <x:v>5.216905094584945e-7</x:v>
      </x:c>
      <x:c r="F173" s="19" t="str">
        <x:v>eng</x:v>
      </x:c>
      <x:c r="G173" s="19" t="str">
        <x:v>current English corpus (July 2024 dataset; public shorthand eng; mutable current corpus)</x:v>
      </x:c>
      <x:c r="H173" s="19" t="str">
        <x:v>greenhouse effect (All)</x:v>
      </x:c>
      <x:c r="I173" s="19" t="str">
        <x:v>0</x:v>
      </x:c>
      <x:c r="J173" s="19" t="n">
        <x:v>46260.10724537037</x:v>
      </x:c>
      <x:c r="K173" s="31" t="str">
        <x:v>data/fear-temperature/ngram/raw/205959f263c8ae6824e66753a55df505e51b40905b28c4cb916bd1952aea4bdb.json</x:v>
      </x:c>
      <x:c r="L173" s="19" t="str">
        <x:v>4286ccb83770f8e9550a4b862463947b8edb637081d5f43cfee319f9d7681262</x:v>
      </x:c>
      <x:c r="M173" s="19" t="str">
        <x:v>03c6b3b7aec17c75d6066c3ad33475123246728a6d70514bc6c4b2fac975aa04</x:v>
      </x:c>
      <x:c r="N173" s="31" t="str">
        <x:v>FT-LF-GREENHOUSE_EFFECT</x:v>
      </x:c>
      <x:c r="O173" s="31" t="str">
        <x:v>FT-C-GREENHOUSE_MECHANISM</x:v>
      </x:c>
      <x:c r="P173" s="31" t="str">
        <x:v>FT-F05</x:v>
      </x:c>
      <x:c r="Q173" s="49" t="n">
        <x:v>0.5216905094584945</x:v>
      </x:c>
    </x:row>
    <x:row r="174" ht="20" customHeight="1">
      <x:c r="A174" s="40" t="str">
        <x:v>FT-Q-V01-041</x:v>
      </x:c>
      <x:c r="B174" s="19" t="str">
        <x:v>greenhouse effect</x:v>
      </x:c>
      <x:c r="C174" s="31" t="str">
        <x:v>carbon_greenhouse</x:v>
      </x:c>
      <x:c r="D174" s="25" t="n">
        <x:v>2011</x:v>
      </x:c>
      <x:c r="E174" s="46" t="n">
        <x:v>4.67492398126268e-7</x:v>
      </x:c>
      <x:c r="F174" s="19" t="str">
        <x:v>eng</x:v>
      </x:c>
      <x:c r="G174" s="19" t="str">
        <x:v>current English corpus (July 2024 dataset; public shorthand eng; mutable current corpus)</x:v>
      </x:c>
      <x:c r="H174" s="19" t="str">
        <x:v>greenhouse effect (All)</x:v>
      </x:c>
      <x:c r="I174" s="19" t="str">
        <x:v>0</x:v>
      </x:c>
      <x:c r="J174" s="19" t="n">
        <x:v>46260.10724537037</x:v>
      </x:c>
      <x:c r="K174" s="31" t="str">
        <x:v>data/fear-temperature/ngram/raw/205959f263c8ae6824e66753a55df505e51b40905b28c4cb916bd1952aea4bdb.json</x:v>
      </x:c>
      <x:c r="L174" s="19" t="str">
        <x:v>4286ccb83770f8e9550a4b862463947b8edb637081d5f43cfee319f9d7681262</x:v>
      </x:c>
      <x:c r="M174" s="19" t="str">
        <x:v>03c6b3b7aec17c75d6066c3ad33475123246728a6d70514bc6c4b2fac975aa04</x:v>
      </x:c>
      <x:c r="N174" s="31" t="str">
        <x:v>FT-LF-GREENHOUSE_EFFECT</x:v>
      </x:c>
      <x:c r="O174" s="31" t="str">
        <x:v>FT-C-GREENHOUSE_MECHANISM</x:v>
      </x:c>
      <x:c r="P174" s="31" t="str">
        <x:v>FT-F05</x:v>
      </x:c>
      <x:c r="Q174" s="49" t="n">
        <x:v>0.467492398126268</x:v>
      </x:c>
    </x:row>
    <x:row r="175" ht="20" customHeight="1">
      <x:c r="A175" s="40" t="str">
        <x:v>FT-Q-V01-041</x:v>
      </x:c>
      <x:c r="B175" s="19" t="str">
        <x:v>greenhouse effect</x:v>
      </x:c>
      <x:c r="C175" s="31" t="str">
        <x:v>carbon_greenhouse</x:v>
      </x:c>
      <x:c r="D175" s="25" t="n">
        <x:v>2012</x:v>
      </x:c>
      <x:c r="E175" s="46" t="n">
        <x:v>5.632256728713148e-7</x:v>
      </x:c>
      <x:c r="F175" s="19" t="str">
        <x:v>eng</x:v>
      </x:c>
      <x:c r="G175" s="19" t="str">
        <x:v>current English corpus (July 2024 dataset; public shorthand eng; mutable current corpus)</x:v>
      </x:c>
      <x:c r="H175" s="19" t="str">
        <x:v>greenhouse effect (All)</x:v>
      </x:c>
      <x:c r="I175" s="19" t="str">
        <x:v>0</x:v>
      </x:c>
      <x:c r="J175" s="19" t="n">
        <x:v>46260.10724537037</x:v>
      </x:c>
      <x:c r="K175" s="31" t="str">
        <x:v>data/fear-temperature/ngram/raw/205959f263c8ae6824e66753a55df505e51b40905b28c4cb916bd1952aea4bdb.json</x:v>
      </x:c>
      <x:c r="L175" s="19" t="str">
        <x:v>4286ccb83770f8e9550a4b862463947b8edb637081d5f43cfee319f9d7681262</x:v>
      </x:c>
      <x:c r="M175" s="19" t="str">
        <x:v>03c6b3b7aec17c75d6066c3ad33475123246728a6d70514bc6c4b2fac975aa04</x:v>
      </x:c>
      <x:c r="N175" s="31" t="str">
        <x:v>FT-LF-GREENHOUSE_EFFECT</x:v>
      </x:c>
      <x:c r="O175" s="31" t="str">
        <x:v>FT-C-GREENHOUSE_MECHANISM</x:v>
      </x:c>
      <x:c r="P175" s="31" t="str">
        <x:v>FT-F05</x:v>
      </x:c>
      <x:c r="Q175" s="49" t="n">
        <x:v>0.5632256728713148</x:v>
      </x:c>
    </x:row>
    <x:row r="176" ht="20" customHeight="1">
      <x:c r="A176" s="40" t="str">
        <x:v>FT-Q-V01-041</x:v>
      </x:c>
      <x:c r="B176" s="19" t="str">
        <x:v>greenhouse effect</x:v>
      </x:c>
      <x:c r="C176" s="31" t="str">
        <x:v>carbon_greenhouse</x:v>
      </x:c>
      <x:c r="D176" s="25" t="n">
        <x:v>2013</x:v>
      </x:c>
      <x:c r="E176" s="46" t="n">
        <x:v>6.012640681035686e-7</x:v>
      </x:c>
      <x:c r="F176" s="19" t="str">
        <x:v>eng</x:v>
      </x:c>
      <x:c r="G176" s="19" t="str">
        <x:v>current English corpus (July 2024 dataset; public shorthand eng; mutable current corpus)</x:v>
      </x:c>
      <x:c r="H176" s="19" t="str">
        <x:v>greenhouse effect (All)</x:v>
      </x:c>
      <x:c r="I176" s="19" t="str">
        <x:v>0</x:v>
      </x:c>
      <x:c r="J176" s="19" t="n">
        <x:v>46260.10724537037</x:v>
      </x:c>
      <x:c r="K176" s="31" t="str">
        <x:v>data/fear-temperature/ngram/raw/205959f263c8ae6824e66753a55df505e51b40905b28c4cb916bd1952aea4bdb.json</x:v>
      </x:c>
      <x:c r="L176" s="19" t="str">
        <x:v>4286ccb83770f8e9550a4b862463947b8edb637081d5f43cfee319f9d7681262</x:v>
      </x:c>
      <x:c r="M176" s="19" t="str">
        <x:v>03c6b3b7aec17c75d6066c3ad33475123246728a6d70514bc6c4b2fac975aa04</x:v>
      </x:c>
      <x:c r="N176" s="31" t="str">
        <x:v>FT-LF-GREENHOUSE_EFFECT</x:v>
      </x:c>
      <x:c r="O176" s="31" t="str">
        <x:v>FT-C-GREENHOUSE_MECHANISM</x:v>
      </x:c>
      <x:c r="P176" s="31" t="str">
        <x:v>FT-F05</x:v>
      </x:c>
      <x:c r="Q176" s="49" t="n">
        <x:v>0.6012640681035686</x:v>
      </x:c>
    </x:row>
    <x:row r="177" ht="20" customHeight="1">
      <x:c r="A177" s="40" t="str">
        <x:v>FT-Q-V01-041</x:v>
      </x:c>
      <x:c r="B177" s="19" t="str">
        <x:v>greenhouse effect</x:v>
      </x:c>
      <x:c r="C177" s="31" t="str">
        <x:v>carbon_greenhouse</x:v>
      </x:c>
      <x:c r="D177" s="25" t="n">
        <x:v>2014</x:v>
      </x:c>
      <x:c r="E177" s="46" t="n">
        <x:v>4.960226897068876e-7</x:v>
      </x:c>
      <x:c r="F177" s="19" t="str">
        <x:v>eng</x:v>
      </x:c>
      <x:c r="G177" s="19" t="str">
        <x:v>current English corpus (July 2024 dataset; public shorthand eng; mutable current corpus)</x:v>
      </x:c>
      <x:c r="H177" s="19" t="str">
        <x:v>greenhouse effect (All)</x:v>
      </x:c>
      <x:c r="I177" s="19" t="str">
        <x:v>0</x:v>
      </x:c>
      <x:c r="J177" s="19" t="n">
        <x:v>46260.10724537037</x:v>
      </x:c>
      <x:c r="K177" s="31" t="str">
        <x:v>data/fear-temperature/ngram/raw/205959f263c8ae6824e66753a55df505e51b40905b28c4cb916bd1952aea4bdb.json</x:v>
      </x:c>
      <x:c r="L177" s="19" t="str">
        <x:v>4286ccb83770f8e9550a4b862463947b8edb637081d5f43cfee319f9d7681262</x:v>
      </x:c>
      <x:c r="M177" s="19" t="str">
        <x:v>03c6b3b7aec17c75d6066c3ad33475123246728a6d70514bc6c4b2fac975aa04</x:v>
      </x:c>
      <x:c r="N177" s="31" t="str">
        <x:v>FT-LF-GREENHOUSE_EFFECT</x:v>
      </x:c>
      <x:c r="O177" s="31" t="str">
        <x:v>FT-C-GREENHOUSE_MECHANISM</x:v>
      </x:c>
      <x:c r="P177" s="31" t="str">
        <x:v>FT-F05</x:v>
      </x:c>
      <x:c r="Q177" s="49" t="n">
        <x:v>0.49602268970688757</x:v>
      </x:c>
    </x:row>
    <x:row r="178" ht="20" customHeight="1">
      <x:c r="A178" s="40" t="str">
        <x:v>FT-Q-V01-041</x:v>
      </x:c>
      <x:c r="B178" s="19" t="str">
        <x:v>greenhouse effect</x:v>
      </x:c>
      <x:c r="C178" s="31" t="str">
        <x:v>carbon_greenhouse</x:v>
      </x:c>
      <x:c r="D178" s="25" t="n">
        <x:v>2015</x:v>
      </x:c>
      <x:c r="E178" s="46" t="n">
        <x:v>4.1616425027965476e-7</x:v>
      </x:c>
      <x:c r="F178" s="19" t="str">
        <x:v>eng</x:v>
      </x:c>
      <x:c r="G178" s="19" t="str">
        <x:v>current English corpus (July 2024 dataset; public shorthand eng; mutable current corpus)</x:v>
      </x:c>
      <x:c r="H178" s="19" t="str">
        <x:v>greenhouse effect (All)</x:v>
      </x:c>
      <x:c r="I178" s="19" t="str">
        <x:v>0</x:v>
      </x:c>
      <x:c r="J178" s="19" t="n">
        <x:v>46260.10724537037</x:v>
      </x:c>
      <x:c r="K178" s="31" t="str">
        <x:v>data/fear-temperature/ngram/raw/205959f263c8ae6824e66753a55df505e51b40905b28c4cb916bd1952aea4bdb.json</x:v>
      </x:c>
      <x:c r="L178" s="19" t="str">
        <x:v>4286ccb83770f8e9550a4b862463947b8edb637081d5f43cfee319f9d7681262</x:v>
      </x:c>
      <x:c r="M178" s="19" t="str">
        <x:v>03c6b3b7aec17c75d6066c3ad33475123246728a6d70514bc6c4b2fac975aa04</x:v>
      </x:c>
      <x:c r="N178" s="31" t="str">
        <x:v>FT-LF-GREENHOUSE_EFFECT</x:v>
      </x:c>
      <x:c r="O178" s="31" t="str">
        <x:v>FT-C-GREENHOUSE_MECHANISM</x:v>
      </x:c>
      <x:c r="P178" s="31" t="str">
        <x:v>FT-F05</x:v>
      </x:c>
      <x:c r="Q178" s="49" t="n">
        <x:v>0.41616425027965476</x:v>
      </x:c>
    </x:row>
    <x:row r="179" ht="20" customHeight="1">
      <x:c r="A179" s="40" t="str">
        <x:v>FT-Q-V01-041</x:v>
      </x:c>
      <x:c r="B179" s="19" t="str">
        <x:v>greenhouse effect</x:v>
      </x:c>
      <x:c r="C179" s="31" t="str">
        <x:v>carbon_greenhouse</x:v>
      </x:c>
      <x:c r="D179" s="25" t="n">
        <x:v>2016</x:v>
      </x:c>
      <x:c r="E179" s="46" t="n">
        <x:v>4.341486428138808e-7</x:v>
      </x:c>
      <x:c r="F179" s="19" t="str">
        <x:v>eng</x:v>
      </x:c>
      <x:c r="G179" s="19" t="str">
        <x:v>current English corpus (July 2024 dataset; public shorthand eng; mutable current corpus)</x:v>
      </x:c>
      <x:c r="H179" s="19" t="str">
        <x:v>greenhouse effect (All)</x:v>
      </x:c>
      <x:c r="I179" s="19" t="str">
        <x:v>0</x:v>
      </x:c>
      <x:c r="J179" s="19" t="n">
        <x:v>46260.10724537037</x:v>
      </x:c>
      <x:c r="K179" s="31" t="str">
        <x:v>data/fear-temperature/ngram/raw/205959f263c8ae6824e66753a55df505e51b40905b28c4cb916bd1952aea4bdb.json</x:v>
      </x:c>
      <x:c r="L179" s="19" t="str">
        <x:v>4286ccb83770f8e9550a4b862463947b8edb637081d5f43cfee319f9d7681262</x:v>
      </x:c>
      <x:c r="M179" s="19" t="str">
        <x:v>03c6b3b7aec17c75d6066c3ad33475123246728a6d70514bc6c4b2fac975aa04</x:v>
      </x:c>
      <x:c r="N179" s="31" t="str">
        <x:v>FT-LF-GREENHOUSE_EFFECT</x:v>
      </x:c>
      <x:c r="O179" s="31" t="str">
        <x:v>FT-C-GREENHOUSE_MECHANISM</x:v>
      </x:c>
      <x:c r="P179" s="31" t="str">
        <x:v>FT-F05</x:v>
      </x:c>
      <x:c r="Q179" s="49" t="n">
        <x:v>0.4341486428138808</x:v>
      </x:c>
    </x:row>
    <x:row r="180" ht="20" customHeight="1">
      <x:c r="A180" s="40" t="str">
        <x:v>FT-Q-V01-041</x:v>
      </x:c>
      <x:c r="B180" s="19" t="str">
        <x:v>greenhouse effect</x:v>
      </x:c>
      <x:c r="C180" s="31" t="str">
        <x:v>carbon_greenhouse</x:v>
      </x:c>
      <x:c r="D180" s="25" t="n">
        <x:v>2017</x:v>
      </x:c>
      <x:c r="E180" s="46" t="n">
        <x:v>4.4403999810427313e-7</x:v>
      </x:c>
      <x:c r="F180" s="19" t="str">
        <x:v>eng</x:v>
      </x:c>
      <x:c r="G180" s="19" t="str">
        <x:v>current English corpus (July 2024 dataset; public shorthand eng; mutable current corpus)</x:v>
      </x:c>
      <x:c r="H180" s="19" t="str">
        <x:v>greenhouse effect (All)</x:v>
      </x:c>
      <x:c r="I180" s="19" t="str">
        <x:v>0</x:v>
      </x:c>
      <x:c r="J180" s="19" t="n">
        <x:v>46260.10724537037</x:v>
      </x:c>
      <x:c r="K180" s="31" t="str">
        <x:v>data/fear-temperature/ngram/raw/205959f263c8ae6824e66753a55df505e51b40905b28c4cb916bd1952aea4bdb.json</x:v>
      </x:c>
      <x:c r="L180" s="19" t="str">
        <x:v>4286ccb83770f8e9550a4b862463947b8edb637081d5f43cfee319f9d7681262</x:v>
      </x:c>
      <x:c r="M180" s="19" t="str">
        <x:v>03c6b3b7aec17c75d6066c3ad33475123246728a6d70514bc6c4b2fac975aa04</x:v>
      </x:c>
      <x:c r="N180" s="31" t="str">
        <x:v>FT-LF-GREENHOUSE_EFFECT</x:v>
      </x:c>
      <x:c r="O180" s="31" t="str">
        <x:v>FT-C-GREENHOUSE_MECHANISM</x:v>
      </x:c>
      <x:c r="P180" s="31" t="str">
        <x:v>FT-F05</x:v>
      </x:c>
      <x:c r="Q180" s="49" t="n">
        <x:v>0.44403999810427314</x:v>
      </x:c>
    </x:row>
    <x:row r="181" ht="20" customHeight="1">
      <x:c r="A181" s="40" t="str">
        <x:v>FT-Q-V01-041</x:v>
      </x:c>
      <x:c r="B181" s="19" t="str">
        <x:v>greenhouse effect</x:v>
      </x:c>
      <x:c r="C181" s="31" t="str">
        <x:v>carbon_greenhouse</x:v>
      </x:c>
      <x:c r="D181" s="25" t="n">
        <x:v>2018</x:v>
      </x:c>
      <x:c r="E181" s="46" t="n">
        <x:v>4.0455461070010307e-7</x:v>
      </x:c>
      <x:c r="F181" s="19" t="str">
        <x:v>eng</x:v>
      </x:c>
      <x:c r="G181" s="19" t="str">
        <x:v>current English corpus (July 2024 dataset; public shorthand eng; mutable current corpus)</x:v>
      </x:c>
      <x:c r="H181" s="19" t="str">
        <x:v>greenhouse effect (All)</x:v>
      </x:c>
      <x:c r="I181" s="19" t="str">
        <x:v>0</x:v>
      </x:c>
      <x:c r="J181" s="19" t="n">
        <x:v>46260.10724537037</x:v>
      </x:c>
      <x:c r="K181" s="31" t="str">
        <x:v>data/fear-temperature/ngram/raw/205959f263c8ae6824e66753a55df505e51b40905b28c4cb916bd1952aea4bdb.json</x:v>
      </x:c>
      <x:c r="L181" s="19" t="str">
        <x:v>4286ccb83770f8e9550a4b862463947b8edb637081d5f43cfee319f9d7681262</x:v>
      </x:c>
      <x:c r="M181" s="19" t="str">
        <x:v>03c6b3b7aec17c75d6066c3ad33475123246728a6d70514bc6c4b2fac975aa04</x:v>
      </x:c>
      <x:c r="N181" s="31" t="str">
        <x:v>FT-LF-GREENHOUSE_EFFECT</x:v>
      </x:c>
      <x:c r="O181" s="31" t="str">
        <x:v>FT-C-GREENHOUSE_MECHANISM</x:v>
      </x:c>
      <x:c r="P181" s="31" t="str">
        <x:v>FT-F05</x:v>
      </x:c>
      <x:c r="Q181" s="49" t="n">
        <x:v>0.40455461070010307</x:v>
      </x:c>
    </x:row>
    <x:row r="182" ht="20" customHeight="1">
      <x:c r="A182" s="40" t="str">
        <x:v>FT-Q-V01-041</x:v>
      </x:c>
      <x:c r="B182" s="19" t="str">
        <x:v>greenhouse effect</x:v>
      </x:c>
      <x:c r="C182" s="31" t="str">
        <x:v>carbon_greenhouse</x:v>
      </x:c>
      <x:c r="D182" s="25" t="n">
        <x:v>2019</x:v>
      </x:c>
      <x:c r="E182" s="46" t="n">
        <x:v>4.4917042929526474e-7</x:v>
      </x:c>
      <x:c r="F182" s="19" t="str">
        <x:v>eng</x:v>
      </x:c>
      <x:c r="G182" s="19" t="str">
        <x:v>current English corpus (July 2024 dataset; public shorthand eng; mutable current corpus)</x:v>
      </x:c>
      <x:c r="H182" s="19" t="str">
        <x:v>greenhouse effect (All)</x:v>
      </x:c>
      <x:c r="I182" s="19" t="str">
        <x:v>0</x:v>
      </x:c>
      <x:c r="J182" s="19" t="n">
        <x:v>46260.10724537037</x:v>
      </x:c>
      <x:c r="K182" s="31" t="str">
        <x:v>data/fear-temperature/ngram/raw/205959f263c8ae6824e66753a55df505e51b40905b28c4cb916bd1952aea4bdb.json</x:v>
      </x:c>
      <x:c r="L182" s="19" t="str">
        <x:v>4286ccb83770f8e9550a4b862463947b8edb637081d5f43cfee319f9d7681262</x:v>
      </x:c>
      <x:c r="M182" s="19" t="str">
        <x:v>03c6b3b7aec17c75d6066c3ad33475123246728a6d70514bc6c4b2fac975aa04</x:v>
      </x:c>
      <x:c r="N182" s="31" t="str">
        <x:v>FT-LF-GREENHOUSE_EFFECT</x:v>
      </x:c>
      <x:c r="O182" s="31" t="str">
        <x:v>FT-C-GREENHOUSE_MECHANISM</x:v>
      </x:c>
      <x:c r="P182" s="31" t="str">
        <x:v>FT-F05</x:v>
      </x:c>
      <x:c r="Q182" s="49" t="n">
        <x:v>0.44917042929526474</x:v>
      </x:c>
    </x:row>
    <x:row r="183" ht="20" customHeight="1">
      <x:c r="A183" s="40" t="str">
        <x:v>FT-Q-V01-041</x:v>
      </x:c>
      <x:c r="B183" s="19" t="str">
        <x:v>greenhouse effect</x:v>
      </x:c>
      <x:c r="C183" s="31" t="str">
        <x:v>carbon_greenhouse</x:v>
      </x:c>
      <x:c r="D183" s="25" t="n">
        <x:v>2020</x:v>
      </x:c>
      <x:c r="E183" s="46" t="n">
        <x:v>4.1697520547501204e-7</x:v>
      </x:c>
      <x:c r="F183" s="19" t="str">
        <x:v>eng</x:v>
      </x:c>
      <x:c r="G183" s="19" t="str">
        <x:v>current English corpus (July 2024 dataset; public shorthand eng; mutable current corpus)</x:v>
      </x:c>
      <x:c r="H183" s="19" t="str">
        <x:v>greenhouse effect (All)</x:v>
      </x:c>
      <x:c r="I183" s="19" t="str">
        <x:v>0</x:v>
      </x:c>
      <x:c r="J183" s="19" t="n">
        <x:v>46260.10724537037</x:v>
      </x:c>
      <x:c r="K183" s="31" t="str">
        <x:v>data/fear-temperature/ngram/raw/205959f263c8ae6824e66753a55df505e51b40905b28c4cb916bd1952aea4bdb.json</x:v>
      </x:c>
      <x:c r="L183" s="19" t="str">
        <x:v>4286ccb83770f8e9550a4b862463947b8edb637081d5f43cfee319f9d7681262</x:v>
      </x:c>
      <x:c r="M183" s="19" t="str">
        <x:v>03c6b3b7aec17c75d6066c3ad33475123246728a6d70514bc6c4b2fac975aa04</x:v>
      </x:c>
      <x:c r="N183" s="31" t="str">
        <x:v>FT-LF-GREENHOUSE_EFFECT</x:v>
      </x:c>
      <x:c r="O183" s="31" t="str">
        <x:v>FT-C-GREENHOUSE_MECHANISM</x:v>
      </x:c>
      <x:c r="P183" s="31" t="str">
        <x:v>FT-F05</x:v>
      </x:c>
      <x:c r="Q183" s="49" t="n">
        <x:v>0.41697520547501205</x:v>
      </x:c>
    </x:row>
    <x:row r="184" ht="20" customHeight="1">
      <x:c r="A184" s="40" t="str">
        <x:v>FT-Q-V01-041</x:v>
      </x:c>
      <x:c r="B184" s="19" t="str">
        <x:v>greenhouse effect</x:v>
      </x:c>
      <x:c r="C184" s="31" t="str">
        <x:v>carbon_greenhouse</x:v>
      </x:c>
      <x:c r="D184" s="25" t="n">
        <x:v>2021</x:v>
      </x:c>
      <x:c r="E184" s="46" t="n">
        <x:v>5.840631519711538e-7</x:v>
      </x:c>
      <x:c r="F184" s="19" t="str">
        <x:v>eng</x:v>
      </x:c>
      <x:c r="G184" s="19" t="str">
        <x:v>current English corpus (July 2024 dataset; public shorthand eng; mutable current corpus)</x:v>
      </x:c>
      <x:c r="H184" s="19" t="str">
        <x:v>greenhouse effect (All)</x:v>
      </x:c>
      <x:c r="I184" s="19" t="str">
        <x:v>0</x:v>
      </x:c>
      <x:c r="J184" s="19" t="n">
        <x:v>46260.10724537037</x:v>
      </x:c>
      <x:c r="K184" s="31" t="str">
        <x:v>data/fear-temperature/ngram/raw/205959f263c8ae6824e66753a55df505e51b40905b28c4cb916bd1952aea4bdb.json</x:v>
      </x:c>
      <x:c r="L184" s="19" t="str">
        <x:v>4286ccb83770f8e9550a4b862463947b8edb637081d5f43cfee319f9d7681262</x:v>
      </x:c>
      <x:c r="M184" s="19" t="str">
        <x:v>03c6b3b7aec17c75d6066c3ad33475123246728a6d70514bc6c4b2fac975aa04</x:v>
      </x:c>
      <x:c r="N184" s="31" t="str">
        <x:v>FT-LF-GREENHOUSE_EFFECT</x:v>
      </x:c>
      <x:c r="O184" s="31" t="str">
        <x:v>FT-C-GREENHOUSE_MECHANISM</x:v>
      </x:c>
      <x:c r="P184" s="31" t="str">
        <x:v>FT-F05</x:v>
      </x:c>
      <x:c r="Q184" s="49" t="n">
        <x:v>0.5840631519711538</x:v>
      </x:c>
    </x:row>
    <x:row r="185" ht="20" customHeight="1">
      <x:c r="A185" s="40" t="str">
        <x:v>FT-Q-V01-041</x:v>
      </x:c>
      <x:c r="B185" s="19" t="str">
        <x:v>greenhouse effect</x:v>
      </x:c>
      <x:c r="C185" s="31" t="str">
        <x:v>carbon_greenhouse</x:v>
      </x:c>
      <x:c r="D185" s="25" t="n">
        <x:v>2022</x:v>
      </x:c>
      <x:c r="E185" s="46" t="n">
        <x:v>4.531046594036248e-7</x:v>
      </x:c>
      <x:c r="F185" s="19" t="str">
        <x:v>eng</x:v>
      </x:c>
      <x:c r="G185" s="19" t="str">
        <x:v>current English corpus (July 2024 dataset; public shorthand eng; mutable current corpus)</x:v>
      </x:c>
      <x:c r="H185" s="19" t="str">
        <x:v>greenhouse effect (All)</x:v>
      </x:c>
      <x:c r="I185" s="19" t="str">
        <x:v>0</x:v>
      </x:c>
      <x:c r="J185" s="19" t="n">
        <x:v>46260.10724537037</x:v>
      </x:c>
      <x:c r="K185" s="31" t="str">
        <x:v>data/fear-temperature/ngram/raw/205959f263c8ae6824e66753a55df505e51b40905b28c4cb916bd1952aea4bdb.json</x:v>
      </x:c>
      <x:c r="L185" s="19" t="str">
        <x:v>4286ccb83770f8e9550a4b862463947b8edb637081d5f43cfee319f9d7681262</x:v>
      </x:c>
      <x:c r="M185" s="19" t="str">
        <x:v>03c6b3b7aec17c75d6066c3ad33475123246728a6d70514bc6c4b2fac975aa04</x:v>
      </x:c>
      <x:c r="N185" s="31" t="str">
        <x:v>FT-LF-GREENHOUSE_EFFECT</x:v>
      </x:c>
      <x:c r="O185" s="31" t="str">
        <x:v>FT-C-GREENHOUSE_MECHANISM</x:v>
      </x:c>
      <x:c r="P185" s="31" t="str">
        <x:v>FT-F05</x:v>
      </x:c>
      <x:c r="Q185" s="49" t="n">
        <x:v>0.4531046594036248</x:v>
      </x:c>
    </x:row>
    <x:row r="186" ht="20" customHeight="1">
      <x:c r="A186" s="40" t="str">
        <x:v>FT-Q-V01-042</x:v>
      </x:c>
      <x:c r="B186" s="19" t="str">
        <x:v>global warming</x:v>
      </x:c>
      <x:c r="C186" s="31" t="str">
        <x:v>warming</x:v>
      </x:c>
      <x:c r="D186" s="25" t="n">
        <x:v>1842</x:v>
      </x:c>
      <x:c r="E186" s="46" t="n">
        <x:v>0</x:v>
      </x:c>
      <x:c r="F186" s="19" t="str">
        <x:v>eng</x:v>
      </x:c>
      <x:c r="G186" s="19" t="str">
        <x:v>current English corpus (July 2024 dataset; public shorthand eng; mutable current corpus)</x:v>
      </x:c>
      <x:c r="H186" s="19" t="str">
        <x:v>global warming (All)</x:v>
      </x:c>
      <x:c r="I186" s="19" t="str">
        <x:v>0</x:v>
      </x:c>
      <x:c r="J186" s="19" t="n">
        <x:v>46260.107256944444</x:v>
      </x:c>
      <x:c r="K186" s="31" t="str">
        <x:v>data/fear-temperature/ngram/raw/e982c3b5d6e77fc759f19bb2931d892bfaa9221ade4a44977579a8d5a8afab71.json</x:v>
      </x:c>
      <x:c r="L186" s="19" t="str">
        <x:v>edd5437f92999c829c0fea3e5822ab6cb22f6b319b6eab7bc697d0dc4f6023f9</x:v>
      </x:c>
      <x:c r="M186" s="19" t="str">
        <x:v>03c6b3b7aec17c75d6066c3ad33475123246728a6d70514bc6c4b2fac975aa04</x:v>
      </x:c>
      <x:c r="N186" s="31" t="str">
        <x:v>FT-LF-GLOBAL_WARMING</x:v>
      </x:c>
      <x:c r="O186" s="31" t="str">
        <x:v>FT-C-GLOBAL_WARMING_ISSUE_LABEL</x:v>
      </x:c>
      <x:c r="P186" s="31" t="str">
        <x:v>FT-F03</x:v>
      </x:c>
      <x:c r="Q186" s="49" t="n">
        <x:v>0</x:v>
      </x:c>
    </x:row>
    <x:row r="187" ht="20" customHeight="1">
      <x:c r="A187" s="40" t="str">
        <x:v>FT-Q-V01-042</x:v>
      </x:c>
      <x:c r="B187" s="19" t="str">
        <x:v>global warming</x:v>
      </x:c>
      <x:c r="C187" s="31" t="str">
        <x:v>warming</x:v>
      </x:c>
      <x:c r="D187" s="25" t="n">
        <x:v>1843</x:v>
      </x:c>
      <x:c r="E187" s="46" t="n">
        <x:v>3.0861350364119744e-8</x:v>
      </x:c>
      <x:c r="F187" s="19" t="str">
        <x:v>eng</x:v>
      </x:c>
      <x:c r="G187" s="19" t="str">
        <x:v>current English corpus (July 2024 dataset; public shorthand eng; mutable current corpus)</x:v>
      </x:c>
      <x:c r="H187" s="19" t="str">
        <x:v>global warming (All)</x:v>
      </x:c>
      <x:c r="I187" s="19" t="str">
        <x:v>0</x:v>
      </x:c>
      <x:c r="J187" s="19" t="n">
        <x:v>46260.107256944444</x:v>
      </x:c>
      <x:c r="K187" s="31" t="str">
        <x:v>data/fear-temperature/ngram/raw/e982c3b5d6e77fc759f19bb2931d892bfaa9221ade4a44977579a8d5a8afab71.json</x:v>
      </x:c>
      <x:c r="L187" s="19" t="str">
        <x:v>edd5437f92999c829c0fea3e5822ab6cb22f6b319b6eab7bc697d0dc4f6023f9</x:v>
      </x:c>
      <x:c r="M187" s="19" t="str">
        <x:v>03c6b3b7aec17c75d6066c3ad33475123246728a6d70514bc6c4b2fac975aa04</x:v>
      </x:c>
      <x:c r="N187" s="31" t="str">
        <x:v>FT-LF-GLOBAL_WARMING</x:v>
      </x:c>
      <x:c r="O187" s="31" t="str">
        <x:v>FT-C-GLOBAL_WARMING_ISSUE_LABEL</x:v>
      </x:c>
      <x:c r="P187" s="31" t="str">
        <x:v>FT-F03</x:v>
      </x:c>
      <x:c r="Q187" s="49" t="n">
        <x:v>0.030861350364119744</x:v>
      </x:c>
    </x:row>
    <x:row r="188" ht="20" customHeight="1">
      <x:c r="A188" s="40" t="str">
        <x:v>FT-Q-V01-042</x:v>
      </x:c>
      <x:c r="B188" s="19" t="str">
        <x:v>global warming</x:v>
      </x:c>
      <x:c r="C188" s="31" t="str">
        <x:v>warming</x:v>
      </x:c>
      <x:c r="D188" s="25" t="n">
        <x:v>1844</x:v>
      </x:c>
      <x:c r="E188" s="46" t="n">
        <x:v>0</x:v>
      </x:c>
      <x:c r="F188" s="19" t="str">
        <x:v>eng</x:v>
      </x:c>
      <x:c r="G188" s="19" t="str">
        <x:v>current English corpus (July 2024 dataset; public shorthand eng; mutable current corpus)</x:v>
      </x:c>
      <x:c r="H188" s="19" t="str">
        <x:v>global warming (All)</x:v>
      </x:c>
      <x:c r="I188" s="19" t="str">
        <x:v>0</x:v>
      </x:c>
      <x:c r="J188" s="19" t="n">
        <x:v>46260.107256944444</x:v>
      </x:c>
      <x:c r="K188" s="31" t="str">
        <x:v>data/fear-temperature/ngram/raw/e982c3b5d6e77fc759f19bb2931d892bfaa9221ade4a44977579a8d5a8afab71.json</x:v>
      </x:c>
      <x:c r="L188" s="19" t="str">
        <x:v>edd5437f92999c829c0fea3e5822ab6cb22f6b319b6eab7bc697d0dc4f6023f9</x:v>
      </x:c>
      <x:c r="M188" s="19" t="str">
        <x:v>03c6b3b7aec17c75d6066c3ad33475123246728a6d70514bc6c4b2fac975aa04</x:v>
      </x:c>
      <x:c r="N188" s="31" t="str">
        <x:v>FT-LF-GLOBAL_WARMING</x:v>
      </x:c>
      <x:c r="O188" s="31" t="str">
        <x:v>FT-C-GLOBAL_WARMING_ISSUE_LABEL</x:v>
      </x:c>
      <x:c r="P188" s="31" t="str">
        <x:v>FT-F03</x:v>
      </x:c>
      <x:c r="Q188" s="49" t="n">
        <x:v>0</x:v>
      </x:c>
    </x:row>
    <x:row r="189" ht="20" customHeight="1">
      <x:c r="A189" s="40" t="str">
        <x:v>FT-Q-V01-042</x:v>
      </x:c>
      <x:c r="B189" s="19" t="str">
        <x:v>global warming</x:v>
      </x:c>
      <x:c r="C189" s="31" t="str">
        <x:v>warming</x:v>
      </x:c>
      <x:c r="D189" s="25" t="n">
        <x:v>1845</x:v>
      </x:c>
      <x:c r="E189" s="46" t="n">
        <x:v>0</x:v>
      </x:c>
      <x:c r="F189" s="19" t="str">
        <x:v>eng</x:v>
      </x:c>
      <x:c r="G189" s="19" t="str">
        <x:v>current English corpus (July 2024 dataset; public shorthand eng; mutable current corpus)</x:v>
      </x:c>
      <x:c r="H189" s="19" t="str">
        <x:v>global warming (All)</x:v>
      </x:c>
      <x:c r="I189" s="19" t="str">
        <x:v>0</x:v>
      </x:c>
      <x:c r="J189" s="19" t="n">
        <x:v>46260.107256944444</x:v>
      </x:c>
      <x:c r="K189" s="31" t="str">
        <x:v>data/fear-temperature/ngram/raw/e982c3b5d6e77fc759f19bb2931d892bfaa9221ade4a44977579a8d5a8afab71.json</x:v>
      </x:c>
      <x:c r="L189" s="19" t="str">
        <x:v>edd5437f92999c829c0fea3e5822ab6cb22f6b319b6eab7bc697d0dc4f6023f9</x:v>
      </x:c>
      <x:c r="M189" s="19" t="str">
        <x:v>03c6b3b7aec17c75d6066c3ad33475123246728a6d70514bc6c4b2fac975aa04</x:v>
      </x:c>
      <x:c r="N189" s="31" t="str">
        <x:v>FT-LF-GLOBAL_WARMING</x:v>
      </x:c>
      <x:c r="O189" s="31" t="str">
        <x:v>FT-C-GLOBAL_WARMING_ISSUE_LABEL</x:v>
      </x:c>
      <x:c r="P189" s="31" t="str">
        <x:v>FT-F03</x:v>
      </x:c>
      <x:c r="Q189" s="49" t="n">
        <x:v>0</x:v>
      </x:c>
    </x:row>
    <x:row r="190" ht="20" customHeight="1">
      <x:c r="A190" s="40" t="str">
        <x:v>FT-Q-V01-042</x:v>
      </x:c>
      <x:c r="B190" s="19" t="str">
        <x:v>global warming</x:v>
      </x:c>
      <x:c r="C190" s="31" t="str">
        <x:v>warming</x:v>
      </x:c>
      <x:c r="D190" s="25" t="n">
        <x:v>1846</x:v>
      </x:c>
      <x:c r="E190" s="46" t="n">
        <x:v>0</x:v>
      </x:c>
      <x:c r="F190" s="19" t="str">
        <x:v>eng</x:v>
      </x:c>
      <x:c r="G190" s="19" t="str">
        <x:v>current English corpus (July 2024 dataset; public shorthand eng; mutable current corpus)</x:v>
      </x:c>
      <x:c r="H190" s="19" t="str">
        <x:v>global warming (All)</x:v>
      </x:c>
      <x:c r="I190" s="19" t="str">
        <x:v>0</x:v>
      </x:c>
      <x:c r="J190" s="19" t="n">
        <x:v>46260.107256944444</x:v>
      </x:c>
      <x:c r="K190" s="31" t="str">
        <x:v>data/fear-temperature/ngram/raw/e982c3b5d6e77fc759f19bb2931d892bfaa9221ade4a44977579a8d5a8afab71.json</x:v>
      </x:c>
      <x:c r="L190" s="19" t="str">
        <x:v>edd5437f92999c829c0fea3e5822ab6cb22f6b319b6eab7bc697d0dc4f6023f9</x:v>
      </x:c>
      <x:c r="M190" s="19" t="str">
        <x:v>03c6b3b7aec17c75d6066c3ad33475123246728a6d70514bc6c4b2fac975aa04</x:v>
      </x:c>
      <x:c r="N190" s="31" t="str">
        <x:v>FT-LF-GLOBAL_WARMING</x:v>
      </x:c>
      <x:c r="O190" s="31" t="str">
        <x:v>FT-C-GLOBAL_WARMING_ISSUE_LABEL</x:v>
      </x:c>
      <x:c r="P190" s="31" t="str">
        <x:v>FT-F03</x:v>
      </x:c>
      <x:c r="Q190" s="49" t="n">
        <x:v>0</x:v>
      </x:c>
    </x:row>
    <x:row r="191" ht="20" customHeight="1">
      <x:c r="A191" s="40" t="str">
        <x:v>FT-Q-V01-042</x:v>
      </x:c>
      <x:c r="B191" s="19" t="str">
        <x:v>global warming</x:v>
      </x:c>
      <x:c r="C191" s="31" t="str">
        <x:v>warming</x:v>
      </x:c>
      <x:c r="D191" s="25" t="n">
        <x:v>1847</x:v>
      </x:c>
      <x:c r="E191" s="46" t="n">
        <x:v>0</x:v>
      </x:c>
      <x:c r="F191" s="19" t="str">
        <x:v>eng</x:v>
      </x:c>
      <x:c r="G191" s="19" t="str">
        <x:v>current English corpus (July 2024 dataset; public shorthand eng; mutable current corpus)</x:v>
      </x:c>
      <x:c r="H191" s="19" t="str">
        <x:v>global warming (All)</x:v>
      </x:c>
      <x:c r="I191" s="19" t="str">
        <x:v>0</x:v>
      </x:c>
      <x:c r="J191" s="19" t="n">
        <x:v>46260.107256944444</x:v>
      </x:c>
      <x:c r="K191" s="31" t="str">
        <x:v>data/fear-temperature/ngram/raw/e982c3b5d6e77fc759f19bb2931d892bfaa9221ade4a44977579a8d5a8afab71.json</x:v>
      </x:c>
      <x:c r="L191" s="19" t="str">
        <x:v>edd5437f92999c829c0fea3e5822ab6cb22f6b319b6eab7bc697d0dc4f6023f9</x:v>
      </x:c>
      <x:c r="M191" s="19" t="str">
        <x:v>03c6b3b7aec17c75d6066c3ad33475123246728a6d70514bc6c4b2fac975aa04</x:v>
      </x:c>
      <x:c r="N191" s="31" t="str">
        <x:v>FT-LF-GLOBAL_WARMING</x:v>
      </x:c>
      <x:c r="O191" s="31" t="str">
        <x:v>FT-C-GLOBAL_WARMING_ISSUE_LABEL</x:v>
      </x:c>
      <x:c r="P191" s="31" t="str">
        <x:v>FT-F03</x:v>
      </x:c>
      <x:c r="Q191" s="49" t="n">
        <x:v>0</x:v>
      </x:c>
    </x:row>
    <x:row r="192" ht="20" customHeight="1">
      <x:c r="A192" s="40" t="str">
        <x:v>FT-Q-V01-042</x:v>
      </x:c>
      <x:c r="B192" s="19" t="str">
        <x:v>global warming</x:v>
      </x:c>
      <x:c r="C192" s="31" t="str">
        <x:v>warming</x:v>
      </x:c>
      <x:c r="D192" s="25" t="n">
        <x:v>1848</x:v>
      </x:c>
      <x:c r="E192" s="46" t="n">
        <x:v>0</x:v>
      </x:c>
      <x:c r="F192" s="19" t="str">
        <x:v>eng</x:v>
      </x:c>
      <x:c r="G192" s="19" t="str">
        <x:v>current English corpus (July 2024 dataset; public shorthand eng; mutable current corpus)</x:v>
      </x:c>
      <x:c r="H192" s="19" t="str">
        <x:v>global warming (All)</x:v>
      </x:c>
      <x:c r="I192" s="19" t="str">
        <x:v>0</x:v>
      </x:c>
      <x:c r="J192" s="19" t="n">
        <x:v>46260.107256944444</x:v>
      </x:c>
      <x:c r="K192" s="31" t="str">
        <x:v>data/fear-temperature/ngram/raw/e982c3b5d6e77fc759f19bb2931d892bfaa9221ade4a44977579a8d5a8afab71.json</x:v>
      </x:c>
      <x:c r="L192" s="19" t="str">
        <x:v>edd5437f92999c829c0fea3e5822ab6cb22f6b319b6eab7bc697d0dc4f6023f9</x:v>
      </x:c>
      <x:c r="M192" s="19" t="str">
        <x:v>03c6b3b7aec17c75d6066c3ad33475123246728a6d70514bc6c4b2fac975aa04</x:v>
      </x:c>
      <x:c r="N192" s="31" t="str">
        <x:v>FT-LF-GLOBAL_WARMING</x:v>
      </x:c>
      <x:c r="O192" s="31" t="str">
        <x:v>FT-C-GLOBAL_WARMING_ISSUE_LABEL</x:v>
      </x:c>
      <x:c r="P192" s="31" t="str">
        <x:v>FT-F03</x:v>
      </x:c>
      <x:c r="Q192" s="49" t="n">
        <x:v>0</x:v>
      </x:c>
    </x:row>
    <x:row r="193" ht="20" customHeight="1">
      <x:c r="A193" s="40" t="str">
        <x:v>FT-Q-V01-042</x:v>
      </x:c>
      <x:c r="B193" s="19" t="str">
        <x:v>global warming</x:v>
      </x:c>
      <x:c r="C193" s="31" t="str">
        <x:v>warming</x:v>
      </x:c>
      <x:c r="D193" s="25" t="n">
        <x:v>1849</x:v>
      </x:c>
      <x:c r="E193" s="46" t="n">
        <x:v>0</x:v>
      </x:c>
      <x:c r="F193" s="19" t="str">
        <x:v>eng</x:v>
      </x:c>
      <x:c r="G193" s="19" t="str">
        <x:v>current English corpus (July 2024 dataset; public shorthand eng; mutable current corpus)</x:v>
      </x:c>
      <x:c r="H193" s="19" t="str">
        <x:v>global warming (All)</x:v>
      </x:c>
      <x:c r="I193" s="19" t="str">
        <x:v>0</x:v>
      </x:c>
      <x:c r="J193" s="19" t="n">
        <x:v>46260.107256944444</x:v>
      </x:c>
      <x:c r="K193" s="31" t="str">
        <x:v>data/fear-temperature/ngram/raw/e982c3b5d6e77fc759f19bb2931d892bfaa9221ade4a44977579a8d5a8afab71.json</x:v>
      </x:c>
      <x:c r="L193" s="19" t="str">
        <x:v>edd5437f92999c829c0fea3e5822ab6cb22f6b319b6eab7bc697d0dc4f6023f9</x:v>
      </x:c>
      <x:c r="M193" s="19" t="str">
        <x:v>03c6b3b7aec17c75d6066c3ad33475123246728a6d70514bc6c4b2fac975aa04</x:v>
      </x:c>
      <x:c r="N193" s="31" t="str">
        <x:v>FT-LF-GLOBAL_WARMING</x:v>
      </x:c>
      <x:c r="O193" s="31" t="str">
        <x:v>FT-C-GLOBAL_WARMING_ISSUE_LABEL</x:v>
      </x:c>
      <x:c r="P193" s="31" t="str">
        <x:v>FT-F03</x:v>
      </x:c>
      <x:c r="Q193" s="49" t="n">
        <x:v>0</x:v>
      </x:c>
    </x:row>
    <x:row r="194" ht="20" customHeight="1">
      <x:c r="A194" s="40" t="str">
        <x:v>FT-Q-V01-042</x:v>
      </x:c>
      <x:c r="B194" s="19" t="str">
        <x:v>global warming</x:v>
      </x:c>
      <x:c r="C194" s="31" t="str">
        <x:v>warming</x:v>
      </x:c>
      <x:c r="D194" s="25" t="n">
        <x:v>1850</x:v>
      </x:c>
      <x:c r="E194" s="46" t="n">
        <x:v>0</x:v>
      </x:c>
      <x:c r="F194" s="19" t="str">
        <x:v>eng</x:v>
      </x:c>
      <x:c r="G194" s="19" t="str">
        <x:v>current English corpus (July 2024 dataset; public shorthand eng; mutable current corpus)</x:v>
      </x:c>
      <x:c r="H194" s="19" t="str">
        <x:v>global warming (All)</x:v>
      </x:c>
      <x:c r="I194" s="19" t="str">
        <x:v>0</x:v>
      </x:c>
      <x:c r="J194" s="19" t="n">
        <x:v>46260.107256944444</x:v>
      </x:c>
      <x:c r="K194" s="31" t="str">
        <x:v>data/fear-temperature/ngram/raw/e982c3b5d6e77fc759f19bb2931d892bfaa9221ade4a44977579a8d5a8afab71.json</x:v>
      </x:c>
      <x:c r="L194" s="19" t="str">
        <x:v>edd5437f92999c829c0fea3e5822ab6cb22f6b319b6eab7bc697d0dc4f6023f9</x:v>
      </x:c>
      <x:c r="M194" s="19" t="str">
        <x:v>03c6b3b7aec17c75d6066c3ad33475123246728a6d70514bc6c4b2fac975aa04</x:v>
      </x:c>
      <x:c r="N194" s="31" t="str">
        <x:v>FT-LF-GLOBAL_WARMING</x:v>
      </x:c>
      <x:c r="O194" s="31" t="str">
        <x:v>FT-C-GLOBAL_WARMING_ISSUE_LABEL</x:v>
      </x:c>
      <x:c r="P194" s="31" t="str">
        <x:v>FT-F03</x:v>
      </x:c>
      <x:c r="Q194" s="49" t="n">
        <x:v>0</x:v>
      </x:c>
    </x:row>
    <x:row r="195" ht="20" customHeight="1">
      <x:c r="A195" s="40" t="str">
        <x:v>FT-Q-V01-042</x:v>
      </x:c>
      <x:c r="B195" s="19" t="str">
        <x:v>global warming</x:v>
      </x:c>
      <x:c r="C195" s="31" t="str">
        <x:v>warming</x:v>
      </x:c>
      <x:c r="D195" s="25" t="n">
        <x:v>1851</x:v>
      </x:c>
      <x:c r="E195" s="46" t="n">
        <x:v>0</x:v>
      </x:c>
      <x:c r="F195" s="19" t="str">
        <x:v>eng</x:v>
      </x:c>
      <x:c r="G195" s="19" t="str">
        <x:v>current English corpus (July 2024 dataset; public shorthand eng; mutable current corpus)</x:v>
      </x:c>
      <x:c r="H195" s="19" t="str">
        <x:v>global warming (All)</x:v>
      </x:c>
      <x:c r="I195" s="19" t="str">
        <x:v>0</x:v>
      </x:c>
      <x:c r="J195" s="19" t="n">
        <x:v>46260.107256944444</x:v>
      </x:c>
      <x:c r="K195" s="31" t="str">
        <x:v>data/fear-temperature/ngram/raw/e982c3b5d6e77fc759f19bb2931d892bfaa9221ade4a44977579a8d5a8afab71.json</x:v>
      </x:c>
      <x:c r="L195" s="19" t="str">
        <x:v>edd5437f92999c829c0fea3e5822ab6cb22f6b319b6eab7bc697d0dc4f6023f9</x:v>
      </x:c>
      <x:c r="M195" s="19" t="str">
        <x:v>03c6b3b7aec17c75d6066c3ad33475123246728a6d70514bc6c4b2fac975aa04</x:v>
      </x:c>
      <x:c r="N195" s="31" t="str">
        <x:v>FT-LF-GLOBAL_WARMING</x:v>
      </x:c>
      <x:c r="O195" s="31" t="str">
        <x:v>FT-C-GLOBAL_WARMING_ISSUE_LABEL</x:v>
      </x:c>
      <x:c r="P195" s="31" t="str">
        <x:v>FT-F03</x:v>
      </x:c>
      <x:c r="Q195" s="49" t="n">
        <x:v>0</x:v>
      </x:c>
    </x:row>
    <x:row r="196" ht="20" customHeight="1">
      <x:c r="A196" s="40" t="str">
        <x:v>FT-Q-V01-042</x:v>
      </x:c>
      <x:c r="B196" s="19" t="str">
        <x:v>global warming</x:v>
      </x:c>
      <x:c r="C196" s="31" t="str">
        <x:v>warming</x:v>
      </x:c>
      <x:c r="D196" s="25" t="n">
        <x:v>1852</x:v>
      </x:c>
      <x:c r="E196" s="46" t="n">
        <x:v>0</x:v>
      </x:c>
      <x:c r="F196" s="19" t="str">
        <x:v>eng</x:v>
      </x:c>
      <x:c r="G196" s="19" t="str">
        <x:v>current English corpus (July 2024 dataset; public shorthand eng; mutable current corpus)</x:v>
      </x:c>
      <x:c r="H196" s="19" t="str">
        <x:v>global warming (All)</x:v>
      </x:c>
      <x:c r="I196" s="19" t="str">
        <x:v>0</x:v>
      </x:c>
      <x:c r="J196" s="19" t="n">
        <x:v>46260.107256944444</x:v>
      </x:c>
      <x:c r="K196" s="31" t="str">
        <x:v>data/fear-temperature/ngram/raw/e982c3b5d6e77fc759f19bb2931d892bfaa9221ade4a44977579a8d5a8afab71.json</x:v>
      </x:c>
      <x:c r="L196" s="19" t="str">
        <x:v>edd5437f92999c829c0fea3e5822ab6cb22f6b319b6eab7bc697d0dc4f6023f9</x:v>
      </x:c>
      <x:c r="M196" s="19" t="str">
        <x:v>03c6b3b7aec17c75d6066c3ad33475123246728a6d70514bc6c4b2fac975aa04</x:v>
      </x:c>
      <x:c r="N196" s="31" t="str">
        <x:v>FT-LF-GLOBAL_WARMING</x:v>
      </x:c>
      <x:c r="O196" s="31" t="str">
        <x:v>FT-C-GLOBAL_WARMING_ISSUE_LABEL</x:v>
      </x:c>
      <x:c r="P196" s="31" t="str">
        <x:v>FT-F03</x:v>
      </x:c>
      <x:c r="Q196" s="49" t="n">
        <x:v>0</x:v>
      </x:c>
    </x:row>
    <x:row r="197" ht="20" customHeight="1">
      <x:c r="A197" s="40" t="str">
        <x:v>FT-Q-V01-042</x:v>
      </x:c>
      <x:c r="B197" s="19" t="str">
        <x:v>global warming</x:v>
      </x:c>
      <x:c r="C197" s="31" t="str">
        <x:v>warming</x:v>
      </x:c>
      <x:c r="D197" s="25" t="n">
        <x:v>1853</x:v>
      </x:c>
      <x:c r="E197" s="46" t="n">
        <x:v>0</x:v>
      </x:c>
      <x:c r="F197" s="19" t="str">
        <x:v>eng</x:v>
      </x:c>
      <x:c r="G197" s="19" t="str">
        <x:v>current English corpus (July 2024 dataset; public shorthand eng; mutable current corpus)</x:v>
      </x:c>
      <x:c r="H197" s="19" t="str">
        <x:v>global warming (All)</x:v>
      </x:c>
      <x:c r="I197" s="19" t="str">
        <x:v>0</x:v>
      </x:c>
      <x:c r="J197" s="19" t="n">
        <x:v>46260.107256944444</x:v>
      </x:c>
      <x:c r="K197" s="31" t="str">
        <x:v>data/fear-temperature/ngram/raw/e982c3b5d6e77fc759f19bb2931d892bfaa9221ade4a44977579a8d5a8afab71.json</x:v>
      </x:c>
      <x:c r="L197" s="19" t="str">
        <x:v>edd5437f92999c829c0fea3e5822ab6cb22f6b319b6eab7bc697d0dc4f6023f9</x:v>
      </x:c>
      <x:c r="M197" s="19" t="str">
        <x:v>03c6b3b7aec17c75d6066c3ad33475123246728a6d70514bc6c4b2fac975aa04</x:v>
      </x:c>
      <x:c r="N197" s="31" t="str">
        <x:v>FT-LF-GLOBAL_WARMING</x:v>
      </x:c>
      <x:c r="O197" s="31" t="str">
        <x:v>FT-C-GLOBAL_WARMING_ISSUE_LABEL</x:v>
      </x:c>
      <x:c r="P197" s="31" t="str">
        <x:v>FT-F03</x:v>
      </x:c>
      <x:c r="Q197" s="49" t="n">
        <x:v>0</x:v>
      </x:c>
    </x:row>
    <x:row r="198" ht="20" customHeight="1">
      <x:c r="A198" s="40" t="str">
        <x:v>FT-Q-V01-042</x:v>
      </x:c>
      <x:c r="B198" s="19" t="str">
        <x:v>global warming</x:v>
      </x:c>
      <x:c r="C198" s="31" t="str">
        <x:v>warming</x:v>
      </x:c>
      <x:c r="D198" s="25" t="n">
        <x:v>1854</x:v>
      </x:c>
      <x:c r="E198" s="46" t="n">
        <x:v>0</x:v>
      </x:c>
      <x:c r="F198" s="19" t="str">
        <x:v>eng</x:v>
      </x:c>
      <x:c r="G198" s="19" t="str">
        <x:v>current English corpus (July 2024 dataset; public shorthand eng; mutable current corpus)</x:v>
      </x:c>
      <x:c r="H198" s="19" t="str">
        <x:v>global warming (All)</x:v>
      </x:c>
      <x:c r="I198" s="19" t="str">
        <x:v>0</x:v>
      </x:c>
      <x:c r="J198" s="19" t="n">
        <x:v>46260.107256944444</x:v>
      </x:c>
      <x:c r="K198" s="31" t="str">
        <x:v>data/fear-temperature/ngram/raw/e982c3b5d6e77fc759f19bb2931d892bfaa9221ade4a44977579a8d5a8afab71.json</x:v>
      </x:c>
      <x:c r="L198" s="19" t="str">
        <x:v>edd5437f92999c829c0fea3e5822ab6cb22f6b319b6eab7bc697d0dc4f6023f9</x:v>
      </x:c>
      <x:c r="M198" s="19" t="str">
        <x:v>03c6b3b7aec17c75d6066c3ad33475123246728a6d70514bc6c4b2fac975aa04</x:v>
      </x:c>
      <x:c r="N198" s="31" t="str">
        <x:v>FT-LF-GLOBAL_WARMING</x:v>
      </x:c>
      <x:c r="O198" s="31" t="str">
        <x:v>FT-C-GLOBAL_WARMING_ISSUE_LABEL</x:v>
      </x:c>
      <x:c r="P198" s="31" t="str">
        <x:v>FT-F03</x:v>
      </x:c>
      <x:c r="Q198" s="49" t="n">
        <x:v>0</x:v>
      </x:c>
    </x:row>
    <x:row r="199" ht="20" customHeight="1">
      <x:c r="A199" s="40" t="str">
        <x:v>FT-Q-V01-042</x:v>
      </x:c>
      <x:c r="B199" s="19" t="str">
        <x:v>global warming</x:v>
      </x:c>
      <x:c r="C199" s="31" t="str">
        <x:v>warming</x:v>
      </x:c>
      <x:c r="D199" s="25" t="n">
        <x:v>1855</x:v>
      </x:c>
      <x:c r="E199" s="46" t="n">
        <x:v>0</x:v>
      </x:c>
      <x:c r="F199" s="19" t="str">
        <x:v>eng</x:v>
      </x:c>
      <x:c r="G199" s="19" t="str">
        <x:v>current English corpus (July 2024 dataset; public shorthand eng; mutable current corpus)</x:v>
      </x:c>
      <x:c r="H199" s="19" t="str">
        <x:v>global warming (All)</x:v>
      </x:c>
      <x:c r="I199" s="19" t="str">
        <x:v>0</x:v>
      </x:c>
      <x:c r="J199" s="19" t="n">
        <x:v>46260.107256944444</x:v>
      </x:c>
      <x:c r="K199" s="31" t="str">
        <x:v>data/fear-temperature/ngram/raw/e982c3b5d6e77fc759f19bb2931d892bfaa9221ade4a44977579a8d5a8afab71.json</x:v>
      </x:c>
      <x:c r="L199" s="19" t="str">
        <x:v>edd5437f92999c829c0fea3e5822ab6cb22f6b319b6eab7bc697d0dc4f6023f9</x:v>
      </x:c>
      <x:c r="M199" s="19" t="str">
        <x:v>03c6b3b7aec17c75d6066c3ad33475123246728a6d70514bc6c4b2fac975aa04</x:v>
      </x:c>
      <x:c r="N199" s="31" t="str">
        <x:v>FT-LF-GLOBAL_WARMING</x:v>
      </x:c>
      <x:c r="O199" s="31" t="str">
        <x:v>FT-C-GLOBAL_WARMING_ISSUE_LABEL</x:v>
      </x:c>
      <x:c r="P199" s="31" t="str">
        <x:v>FT-F03</x:v>
      </x:c>
      <x:c r="Q199" s="49" t="n">
        <x:v>0</x:v>
      </x:c>
    </x:row>
    <x:row r="200" ht="20" customHeight="1">
      <x:c r="A200" s="40" t="str">
        <x:v>FT-Q-V01-042</x:v>
      </x:c>
      <x:c r="B200" s="19" t="str">
        <x:v>global warming</x:v>
      </x:c>
      <x:c r="C200" s="31" t="str">
        <x:v>warming</x:v>
      </x:c>
      <x:c r="D200" s="25" t="n">
        <x:v>1856</x:v>
      </x:c>
      <x:c r="E200" s="46" t="n">
        <x:v>0</x:v>
      </x:c>
      <x:c r="F200" s="19" t="str">
        <x:v>eng</x:v>
      </x:c>
      <x:c r="G200" s="19" t="str">
        <x:v>current English corpus (July 2024 dataset; public shorthand eng; mutable current corpus)</x:v>
      </x:c>
      <x:c r="H200" s="19" t="str">
        <x:v>global warming (All)</x:v>
      </x:c>
      <x:c r="I200" s="19" t="str">
        <x:v>0</x:v>
      </x:c>
      <x:c r="J200" s="19" t="n">
        <x:v>46260.107256944444</x:v>
      </x:c>
      <x:c r="K200" s="31" t="str">
        <x:v>data/fear-temperature/ngram/raw/e982c3b5d6e77fc759f19bb2931d892bfaa9221ade4a44977579a8d5a8afab71.json</x:v>
      </x:c>
      <x:c r="L200" s="19" t="str">
        <x:v>edd5437f92999c829c0fea3e5822ab6cb22f6b319b6eab7bc697d0dc4f6023f9</x:v>
      </x:c>
      <x:c r="M200" s="19" t="str">
        <x:v>03c6b3b7aec17c75d6066c3ad33475123246728a6d70514bc6c4b2fac975aa04</x:v>
      </x:c>
      <x:c r="N200" s="31" t="str">
        <x:v>FT-LF-GLOBAL_WARMING</x:v>
      </x:c>
      <x:c r="O200" s="31" t="str">
        <x:v>FT-C-GLOBAL_WARMING_ISSUE_LABEL</x:v>
      </x:c>
      <x:c r="P200" s="31" t="str">
        <x:v>FT-F03</x:v>
      </x:c>
      <x:c r="Q200" s="49" t="n">
        <x:v>0</x:v>
      </x:c>
    </x:row>
    <x:row r="201" ht="20" customHeight="1">
      <x:c r="A201" s="40" t="str">
        <x:v>FT-Q-V01-042</x:v>
      </x:c>
      <x:c r="B201" s="19" t="str">
        <x:v>global warming</x:v>
      </x:c>
      <x:c r="C201" s="31" t="str">
        <x:v>warming</x:v>
      </x:c>
      <x:c r="D201" s="25" t="n">
        <x:v>1857</x:v>
      </x:c>
      <x:c r="E201" s="46" t="n">
        <x:v>0</x:v>
      </x:c>
      <x:c r="F201" s="19" t="str">
        <x:v>eng</x:v>
      </x:c>
      <x:c r="G201" s="19" t="str">
        <x:v>current English corpus (July 2024 dataset; public shorthand eng; mutable current corpus)</x:v>
      </x:c>
      <x:c r="H201" s="19" t="str">
        <x:v>global warming (All)</x:v>
      </x:c>
      <x:c r="I201" s="19" t="str">
        <x:v>0</x:v>
      </x:c>
      <x:c r="J201" s="19" t="n">
        <x:v>46260.107256944444</x:v>
      </x:c>
      <x:c r="K201" s="31" t="str">
        <x:v>data/fear-temperature/ngram/raw/e982c3b5d6e77fc759f19bb2931d892bfaa9221ade4a44977579a8d5a8afab71.json</x:v>
      </x:c>
      <x:c r="L201" s="19" t="str">
        <x:v>edd5437f92999c829c0fea3e5822ab6cb22f6b319b6eab7bc697d0dc4f6023f9</x:v>
      </x:c>
      <x:c r="M201" s="19" t="str">
        <x:v>03c6b3b7aec17c75d6066c3ad33475123246728a6d70514bc6c4b2fac975aa04</x:v>
      </x:c>
      <x:c r="N201" s="31" t="str">
        <x:v>FT-LF-GLOBAL_WARMING</x:v>
      </x:c>
      <x:c r="O201" s="31" t="str">
        <x:v>FT-C-GLOBAL_WARMING_ISSUE_LABEL</x:v>
      </x:c>
      <x:c r="P201" s="31" t="str">
        <x:v>FT-F03</x:v>
      </x:c>
      <x:c r="Q201" s="49" t="n">
        <x:v>0</x:v>
      </x:c>
    </x:row>
    <x:row r="202" ht="20" customHeight="1">
      <x:c r="A202" s="40" t="str">
        <x:v>FT-Q-V01-042</x:v>
      </x:c>
      <x:c r="B202" s="19" t="str">
        <x:v>global warming</x:v>
      </x:c>
      <x:c r="C202" s="31" t="str">
        <x:v>warming</x:v>
      </x:c>
      <x:c r="D202" s="25" t="n">
        <x:v>1858</x:v>
      </x:c>
      <x:c r="E202" s="46" t="n">
        <x:v>0</x:v>
      </x:c>
      <x:c r="F202" s="19" t="str">
        <x:v>eng</x:v>
      </x:c>
      <x:c r="G202" s="19" t="str">
        <x:v>current English corpus (July 2024 dataset; public shorthand eng; mutable current corpus)</x:v>
      </x:c>
      <x:c r="H202" s="19" t="str">
        <x:v>global warming (All)</x:v>
      </x:c>
      <x:c r="I202" s="19" t="str">
        <x:v>0</x:v>
      </x:c>
      <x:c r="J202" s="19" t="n">
        <x:v>46260.107256944444</x:v>
      </x:c>
      <x:c r="K202" s="31" t="str">
        <x:v>data/fear-temperature/ngram/raw/e982c3b5d6e77fc759f19bb2931d892bfaa9221ade4a44977579a8d5a8afab71.json</x:v>
      </x:c>
      <x:c r="L202" s="19" t="str">
        <x:v>edd5437f92999c829c0fea3e5822ab6cb22f6b319b6eab7bc697d0dc4f6023f9</x:v>
      </x:c>
      <x:c r="M202" s="19" t="str">
        <x:v>03c6b3b7aec17c75d6066c3ad33475123246728a6d70514bc6c4b2fac975aa04</x:v>
      </x:c>
      <x:c r="N202" s="31" t="str">
        <x:v>FT-LF-GLOBAL_WARMING</x:v>
      </x:c>
      <x:c r="O202" s="31" t="str">
        <x:v>FT-C-GLOBAL_WARMING_ISSUE_LABEL</x:v>
      </x:c>
      <x:c r="P202" s="31" t="str">
        <x:v>FT-F03</x:v>
      </x:c>
      <x:c r="Q202" s="49" t="n">
        <x:v>0</x:v>
      </x:c>
    </x:row>
    <x:row r="203" ht="20" customHeight="1">
      <x:c r="A203" s="40" t="str">
        <x:v>FT-Q-V01-042</x:v>
      </x:c>
      <x:c r="B203" s="19" t="str">
        <x:v>global warming</x:v>
      </x:c>
      <x:c r="C203" s="31" t="str">
        <x:v>warming</x:v>
      </x:c>
      <x:c r="D203" s="25" t="n">
        <x:v>1859</x:v>
      </x:c>
      <x:c r="E203" s="46" t="n">
        <x:v>0</x:v>
      </x:c>
      <x:c r="F203" s="19" t="str">
        <x:v>eng</x:v>
      </x:c>
      <x:c r="G203" s="19" t="str">
        <x:v>current English corpus (July 2024 dataset; public shorthand eng; mutable current corpus)</x:v>
      </x:c>
      <x:c r="H203" s="19" t="str">
        <x:v>global warming (All)</x:v>
      </x:c>
      <x:c r="I203" s="19" t="str">
        <x:v>0</x:v>
      </x:c>
      <x:c r="J203" s="19" t="n">
        <x:v>46260.107256944444</x:v>
      </x:c>
      <x:c r="K203" s="31" t="str">
        <x:v>data/fear-temperature/ngram/raw/e982c3b5d6e77fc759f19bb2931d892bfaa9221ade4a44977579a8d5a8afab71.json</x:v>
      </x:c>
      <x:c r="L203" s="19" t="str">
        <x:v>edd5437f92999c829c0fea3e5822ab6cb22f6b319b6eab7bc697d0dc4f6023f9</x:v>
      </x:c>
      <x:c r="M203" s="19" t="str">
        <x:v>03c6b3b7aec17c75d6066c3ad33475123246728a6d70514bc6c4b2fac975aa04</x:v>
      </x:c>
      <x:c r="N203" s="31" t="str">
        <x:v>FT-LF-GLOBAL_WARMING</x:v>
      </x:c>
      <x:c r="O203" s="31" t="str">
        <x:v>FT-C-GLOBAL_WARMING_ISSUE_LABEL</x:v>
      </x:c>
      <x:c r="P203" s="31" t="str">
        <x:v>FT-F03</x:v>
      </x:c>
      <x:c r="Q203" s="49" t="n">
        <x:v>0</x:v>
      </x:c>
    </x:row>
    <x:row r="204" ht="20" customHeight="1">
      <x:c r="A204" s="40" t="str">
        <x:v>FT-Q-V01-042</x:v>
      </x:c>
      <x:c r="B204" s="19" t="str">
        <x:v>global warming</x:v>
      </x:c>
      <x:c r="C204" s="31" t="str">
        <x:v>warming</x:v>
      </x:c>
      <x:c r="D204" s="25" t="n">
        <x:v>1860</x:v>
      </x:c>
      <x:c r="E204" s="46" t="n">
        <x:v>0</x:v>
      </x:c>
      <x:c r="F204" s="19" t="str">
        <x:v>eng</x:v>
      </x:c>
      <x:c r="G204" s="19" t="str">
        <x:v>current English corpus (July 2024 dataset; public shorthand eng; mutable current corpus)</x:v>
      </x:c>
      <x:c r="H204" s="19" t="str">
        <x:v>global warming (All)</x:v>
      </x:c>
      <x:c r="I204" s="19" t="str">
        <x:v>0</x:v>
      </x:c>
      <x:c r="J204" s="19" t="n">
        <x:v>46260.107256944444</x:v>
      </x:c>
      <x:c r="K204" s="31" t="str">
        <x:v>data/fear-temperature/ngram/raw/e982c3b5d6e77fc759f19bb2931d892bfaa9221ade4a44977579a8d5a8afab71.json</x:v>
      </x:c>
      <x:c r="L204" s="19" t="str">
        <x:v>edd5437f92999c829c0fea3e5822ab6cb22f6b319b6eab7bc697d0dc4f6023f9</x:v>
      </x:c>
      <x:c r="M204" s="19" t="str">
        <x:v>03c6b3b7aec17c75d6066c3ad33475123246728a6d70514bc6c4b2fac975aa04</x:v>
      </x:c>
      <x:c r="N204" s="31" t="str">
        <x:v>FT-LF-GLOBAL_WARMING</x:v>
      </x:c>
      <x:c r="O204" s="31" t="str">
        <x:v>FT-C-GLOBAL_WARMING_ISSUE_LABEL</x:v>
      </x:c>
      <x:c r="P204" s="31" t="str">
        <x:v>FT-F03</x:v>
      </x:c>
      <x:c r="Q204" s="49" t="n">
        <x:v>0</x:v>
      </x:c>
    </x:row>
    <x:row r="205" ht="20" customHeight="1">
      <x:c r="A205" s="40" t="str">
        <x:v>FT-Q-V01-042</x:v>
      </x:c>
      <x:c r="B205" s="19" t="str">
        <x:v>global warming</x:v>
      </x:c>
      <x:c r="C205" s="31" t="str">
        <x:v>warming</x:v>
      </x:c>
      <x:c r="D205" s="25" t="n">
        <x:v>1861</x:v>
      </x:c>
      <x:c r="E205" s="46" t="n">
        <x:v>2.666653342586755e-9</x:v>
      </x:c>
      <x:c r="F205" s="19" t="str">
        <x:v>eng</x:v>
      </x:c>
      <x:c r="G205" s="19" t="str">
        <x:v>current English corpus (July 2024 dataset; public shorthand eng; mutable current corpus)</x:v>
      </x:c>
      <x:c r="H205" s="19" t="str">
        <x:v>global warming (All)</x:v>
      </x:c>
      <x:c r="I205" s="19" t="str">
        <x:v>0</x:v>
      </x:c>
      <x:c r="J205" s="19" t="n">
        <x:v>46260.107256944444</x:v>
      </x:c>
      <x:c r="K205" s="31" t="str">
        <x:v>data/fear-temperature/ngram/raw/e982c3b5d6e77fc759f19bb2931d892bfaa9221ade4a44977579a8d5a8afab71.json</x:v>
      </x:c>
      <x:c r="L205" s="19" t="str">
        <x:v>edd5437f92999c829c0fea3e5822ab6cb22f6b319b6eab7bc697d0dc4f6023f9</x:v>
      </x:c>
      <x:c r="M205" s="19" t="str">
        <x:v>03c6b3b7aec17c75d6066c3ad33475123246728a6d70514bc6c4b2fac975aa04</x:v>
      </x:c>
      <x:c r="N205" s="31" t="str">
        <x:v>FT-LF-GLOBAL_WARMING</x:v>
      </x:c>
      <x:c r="O205" s="31" t="str">
        <x:v>FT-C-GLOBAL_WARMING_ISSUE_LABEL</x:v>
      </x:c>
      <x:c r="P205" s="31" t="str">
        <x:v>FT-F03</x:v>
      </x:c>
      <x:c r="Q205" s="49" t="n">
        <x:v>0.002666653342586755</x:v>
      </x:c>
    </x:row>
    <x:row r="206" ht="20" customHeight="1">
      <x:c r="A206" s="40" t="str">
        <x:v>FT-Q-V01-042</x:v>
      </x:c>
      <x:c r="B206" s="19" t="str">
        <x:v>global warming</x:v>
      </x:c>
      <x:c r="C206" s="31" t="str">
        <x:v>warming</x:v>
      </x:c>
      <x:c r="D206" s="25" t="n">
        <x:v>1862</x:v>
      </x:c>
      <x:c r="E206" s="46" t="n">
        <x:v>0</x:v>
      </x:c>
      <x:c r="F206" s="19" t="str">
        <x:v>eng</x:v>
      </x:c>
      <x:c r="G206" s="19" t="str">
        <x:v>current English corpus (July 2024 dataset; public shorthand eng; mutable current corpus)</x:v>
      </x:c>
      <x:c r="H206" s="19" t="str">
        <x:v>global warming (All)</x:v>
      </x:c>
      <x:c r="I206" s="19" t="str">
        <x:v>0</x:v>
      </x:c>
      <x:c r="J206" s="19" t="n">
        <x:v>46260.107256944444</x:v>
      </x:c>
      <x:c r="K206" s="31" t="str">
        <x:v>data/fear-temperature/ngram/raw/e982c3b5d6e77fc759f19bb2931d892bfaa9221ade4a44977579a8d5a8afab71.json</x:v>
      </x:c>
      <x:c r="L206" s="19" t="str">
        <x:v>edd5437f92999c829c0fea3e5822ab6cb22f6b319b6eab7bc697d0dc4f6023f9</x:v>
      </x:c>
      <x:c r="M206" s="19" t="str">
        <x:v>03c6b3b7aec17c75d6066c3ad33475123246728a6d70514bc6c4b2fac975aa04</x:v>
      </x:c>
      <x:c r="N206" s="31" t="str">
        <x:v>FT-LF-GLOBAL_WARMING</x:v>
      </x:c>
      <x:c r="O206" s="31" t="str">
        <x:v>FT-C-GLOBAL_WARMING_ISSUE_LABEL</x:v>
      </x:c>
      <x:c r="P206" s="31" t="str">
        <x:v>FT-F03</x:v>
      </x:c>
      <x:c r="Q206" s="49" t="n">
        <x:v>0</x:v>
      </x:c>
    </x:row>
    <x:row r="207" ht="20" customHeight="1">
      <x:c r="A207" s="40" t="str">
        <x:v>FT-Q-V01-042</x:v>
      </x:c>
      <x:c r="B207" s="19" t="str">
        <x:v>global warming</x:v>
      </x:c>
      <x:c r="C207" s="31" t="str">
        <x:v>warming</x:v>
      </x:c>
      <x:c r="D207" s="25" t="n">
        <x:v>1863</x:v>
      </x:c>
      <x:c r="E207" s="46" t="n">
        <x:v>2.3390154257896252e-9</x:v>
      </x:c>
      <x:c r="F207" s="19" t="str">
        <x:v>eng</x:v>
      </x:c>
      <x:c r="G207" s="19" t="str">
        <x:v>current English corpus (July 2024 dataset; public shorthand eng; mutable current corpus)</x:v>
      </x:c>
      <x:c r="H207" s="19" t="str">
        <x:v>global warming (All)</x:v>
      </x:c>
      <x:c r="I207" s="19" t="str">
        <x:v>0</x:v>
      </x:c>
      <x:c r="J207" s="19" t="n">
        <x:v>46260.107256944444</x:v>
      </x:c>
      <x:c r="K207" s="31" t="str">
        <x:v>data/fear-temperature/ngram/raw/e982c3b5d6e77fc759f19bb2931d892bfaa9221ade4a44977579a8d5a8afab71.json</x:v>
      </x:c>
      <x:c r="L207" s="19" t="str">
        <x:v>edd5437f92999c829c0fea3e5822ab6cb22f6b319b6eab7bc697d0dc4f6023f9</x:v>
      </x:c>
      <x:c r="M207" s="19" t="str">
        <x:v>03c6b3b7aec17c75d6066c3ad33475123246728a6d70514bc6c4b2fac975aa04</x:v>
      </x:c>
      <x:c r="N207" s="31" t="str">
        <x:v>FT-LF-GLOBAL_WARMING</x:v>
      </x:c>
      <x:c r="O207" s="31" t="str">
        <x:v>FT-C-GLOBAL_WARMING_ISSUE_LABEL</x:v>
      </x:c>
      <x:c r="P207" s="31" t="str">
        <x:v>FT-F03</x:v>
      </x:c>
      <x:c r="Q207" s="49" t="n">
        <x:v>0.002339015425789625</x:v>
      </x:c>
    </x:row>
    <x:row r="208" ht="20" customHeight="1">
      <x:c r="A208" s="40" t="str">
        <x:v>FT-Q-V01-042</x:v>
      </x:c>
      <x:c r="B208" s="19" t="str">
        <x:v>global warming</x:v>
      </x:c>
      <x:c r="C208" s="31" t="str">
        <x:v>warming</x:v>
      </x:c>
      <x:c r="D208" s="25" t="n">
        <x:v>1864</x:v>
      </x:c>
      <x:c r="E208" s="46" t="n">
        <x:v>4.189870395077122e-10</x:v>
      </x:c>
      <x:c r="F208" s="19" t="str">
        <x:v>eng</x:v>
      </x:c>
      <x:c r="G208" s="19" t="str">
        <x:v>current English corpus (July 2024 dataset; public shorthand eng; mutable current corpus)</x:v>
      </x:c>
      <x:c r="H208" s="19" t="str">
        <x:v>global warming (All)</x:v>
      </x:c>
      <x:c r="I208" s="19" t="str">
        <x:v>0</x:v>
      </x:c>
      <x:c r="J208" s="19" t="n">
        <x:v>46260.107256944444</x:v>
      </x:c>
      <x:c r="K208" s="31" t="str">
        <x:v>data/fear-temperature/ngram/raw/e982c3b5d6e77fc759f19bb2931d892bfaa9221ade4a44977579a8d5a8afab71.json</x:v>
      </x:c>
      <x:c r="L208" s="19" t="str">
        <x:v>edd5437f92999c829c0fea3e5822ab6cb22f6b319b6eab7bc697d0dc4f6023f9</x:v>
      </x:c>
      <x:c r="M208" s="19" t="str">
        <x:v>03c6b3b7aec17c75d6066c3ad33475123246728a6d70514bc6c4b2fac975aa04</x:v>
      </x:c>
      <x:c r="N208" s="31" t="str">
        <x:v>FT-LF-GLOBAL_WARMING</x:v>
      </x:c>
      <x:c r="O208" s="31" t="str">
        <x:v>FT-C-GLOBAL_WARMING_ISSUE_LABEL</x:v>
      </x:c>
      <x:c r="P208" s="31" t="str">
        <x:v>FT-F03</x:v>
      </x:c>
      <x:c r="Q208" s="49" t="n">
        <x:v>0.0004189870395077122</x:v>
      </x:c>
    </x:row>
    <x:row r="209" ht="20" customHeight="1">
      <x:c r="A209" s="40" t="str">
        <x:v>FT-Q-V01-042</x:v>
      </x:c>
      <x:c r="B209" s="19" t="str">
        <x:v>global warming</x:v>
      </x:c>
      <x:c r="C209" s="31" t="str">
        <x:v>warming</x:v>
      </x:c>
      <x:c r="D209" s="25" t="n">
        <x:v>1865</x:v>
      </x:c>
      <x:c r="E209" s="46" t="n">
        <x:v>4.2348924367274776e-10</x:v>
      </x:c>
      <x:c r="F209" s="19" t="str">
        <x:v>eng</x:v>
      </x:c>
      <x:c r="G209" s="19" t="str">
        <x:v>current English corpus (July 2024 dataset; public shorthand eng; mutable current corpus)</x:v>
      </x:c>
      <x:c r="H209" s="19" t="str">
        <x:v>global warming (All)</x:v>
      </x:c>
      <x:c r="I209" s="19" t="str">
        <x:v>0</x:v>
      </x:c>
      <x:c r="J209" s="19" t="n">
        <x:v>46260.107256944444</x:v>
      </x:c>
      <x:c r="K209" s="31" t="str">
        <x:v>data/fear-temperature/ngram/raw/e982c3b5d6e77fc759f19bb2931d892bfaa9221ade4a44977579a8d5a8afab71.json</x:v>
      </x:c>
      <x:c r="L209" s="19" t="str">
        <x:v>edd5437f92999c829c0fea3e5822ab6cb22f6b319b6eab7bc697d0dc4f6023f9</x:v>
      </x:c>
      <x:c r="M209" s="19" t="str">
        <x:v>03c6b3b7aec17c75d6066c3ad33475123246728a6d70514bc6c4b2fac975aa04</x:v>
      </x:c>
      <x:c r="N209" s="31" t="str">
        <x:v>FT-LF-GLOBAL_WARMING</x:v>
      </x:c>
      <x:c r="O209" s="31" t="str">
        <x:v>FT-C-GLOBAL_WARMING_ISSUE_LABEL</x:v>
      </x:c>
      <x:c r="P209" s="31" t="str">
        <x:v>FT-F03</x:v>
      </x:c>
      <x:c r="Q209" s="49" t="n">
        <x:v>0.00042348924367274776</x:v>
      </x:c>
    </x:row>
    <x:row r="210" ht="20" customHeight="1">
      <x:c r="A210" s="40" t="str">
        <x:v>FT-Q-V01-042</x:v>
      </x:c>
      <x:c r="B210" s="19" t="str">
        <x:v>global warming</x:v>
      </x:c>
      <x:c r="C210" s="31" t="str">
        <x:v>warming</x:v>
      </x:c>
      <x:c r="D210" s="25" t="n">
        <x:v>1866</x:v>
      </x:c>
      <x:c r="E210" s="46" t="n">
        <x:v>0</x:v>
      </x:c>
      <x:c r="F210" s="19" t="str">
        <x:v>eng</x:v>
      </x:c>
      <x:c r="G210" s="19" t="str">
        <x:v>current English corpus (July 2024 dataset; public shorthand eng; mutable current corpus)</x:v>
      </x:c>
      <x:c r="H210" s="19" t="str">
        <x:v>global warming (All)</x:v>
      </x:c>
      <x:c r="I210" s="19" t="str">
        <x:v>0</x:v>
      </x:c>
      <x:c r="J210" s="19" t="n">
        <x:v>46260.107256944444</x:v>
      </x:c>
      <x:c r="K210" s="31" t="str">
        <x:v>data/fear-temperature/ngram/raw/e982c3b5d6e77fc759f19bb2931d892bfaa9221ade4a44977579a8d5a8afab71.json</x:v>
      </x:c>
      <x:c r="L210" s="19" t="str">
        <x:v>edd5437f92999c829c0fea3e5822ab6cb22f6b319b6eab7bc697d0dc4f6023f9</x:v>
      </x:c>
      <x:c r="M210" s="19" t="str">
        <x:v>03c6b3b7aec17c75d6066c3ad33475123246728a6d70514bc6c4b2fac975aa04</x:v>
      </x:c>
      <x:c r="N210" s="31" t="str">
        <x:v>FT-LF-GLOBAL_WARMING</x:v>
      </x:c>
      <x:c r="O210" s="31" t="str">
        <x:v>FT-C-GLOBAL_WARMING_ISSUE_LABEL</x:v>
      </x:c>
      <x:c r="P210" s="31" t="str">
        <x:v>FT-F03</x:v>
      </x:c>
      <x:c r="Q210" s="49" t="n">
        <x:v>0</x:v>
      </x:c>
    </x:row>
    <x:row r="211" ht="20" customHeight="1">
      <x:c r="A211" s="40" t="str">
        <x:v>FT-Q-V01-042</x:v>
      </x:c>
      <x:c r="B211" s="19" t="str">
        <x:v>global warming</x:v>
      </x:c>
      <x:c r="C211" s="31" t="str">
        <x:v>warming</x:v>
      </x:c>
      <x:c r="D211" s="25" t="n">
        <x:v>1867</x:v>
      </x:c>
      <x:c r="E211" s="46" t="n">
        <x:v>6.416814635201717e-9</x:v>
      </x:c>
      <x:c r="F211" s="19" t="str">
        <x:v>eng</x:v>
      </x:c>
      <x:c r="G211" s="19" t="str">
        <x:v>current English corpus (July 2024 dataset; public shorthand eng; mutable current corpus)</x:v>
      </x:c>
      <x:c r="H211" s="19" t="str">
        <x:v>global warming (All)</x:v>
      </x:c>
      <x:c r="I211" s="19" t="str">
        <x:v>0</x:v>
      </x:c>
      <x:c r="J211" s="19" t="n">
        <x:v>46260.107256944444</x:v>
      </x:c>
      <x:c r="K211" s="31" t="str">
        <x:v>data/fear-temperature/ngram/raw/e982c3b5d6e77fc759f19bb2931d892bfaa9221ade4a44977579a8d5a8afab71.json</x:v>
      </x:c>
      <x:c r="L211" s="19" t="str">
        <x:v>edd5437f92999c829c0fea3e5822ab6cb22f6b319b6eab7bc697d0dc4f6023f9</x:v>
      </x:c>
      <x:c r="M211" s="19" t="str">
        <x:v>03c6b3b7aec17c75d6066c3ad33475123246728a6d70514bc6c4b2fac975aa04</x:v>
      </x:c>
      <x:c r="N211" s="31" t="str">
        <x:v>FT-LF-GLOBAL_WARMING</x:v>
      </x:c>
      <x:c r="O211" s="31" t="str">
        <x:v>FT-C-GLOBAL_WARMING_ISSUE_LABEL</x:v>
      </x:c>
      <x:c r="P211" s="31" t="str">
        <x:v>FT-F03</x:v>
      </x:c>
      <x:c r="Q211" s="49" t="n">
        <x:v>0.006416814635201717</x:v>
      </x:c>
    </x:row>
    <x:row r="212" ht="20" customHeight="1">
      <x:c r="A212" s="40" t="str">
        <x:v>FT-Q-V01-042</x:v>
      </x:c>
      <x:c r="B212" s="19" t="str">
        <x:v>global warming</x:v>
      </x:c>
      <x:c r="C212" s="31" t="str">
        <x:v>warming</x:v>
      </x:c>
      <x:c r="D212" s="25" t="n">
        <x:v>1868</x:v>
      </x:c>
      <x:c r="E212" s="46" t="n">
        <x:v>3.1567382041686187e-10</x:v>
      </x:c>
      <x:c r="F212" s="19" t="str">
        <x:v>eng</x:v>
      </x:c>
      <x:c r="G212" s="19" t="str">
        <x:v>current English corpus (July 2024 dataset; public shorthand eng; mutable current corpus)</x:v>
      </x:c>
      <x:c r="H212" s="19" t="str">
        <x:v>global warming (All)</x:v>
      </x:c>
      <x:c r="I212" s="19" t="str">
        <x:v>0</x:v>
      </x:c>
      <x:c r="J212" s="19" t="n">
        <x:v>46260.107256944444</x:v>
      </x:c>
      <x:c r="K212" s="31" t="str">
        <x:v>data/fear-temperature/ngram/raw/e982c3b5d6e77fc759f19bb2931d892bfaa9221ade4a44977579a8d5a8afab71.json</x:v>
      </x:c>
      <x:c r="L212" s="19" t="str">
        <x:v>edd5437f92999c829c0fea3e5822ab6cb22f6b319b6eab7bc697d0dc4f6023f9</x:v>
      </x:c>
      <x:c r="M212" s="19" t="str">
        <x:v>03c6b3b7aec17c75d6066c3ad33475123246728a6d70514bc6c4b2fac975aa04</x:v>
      </x:c>
      <x:c r="N212" s="31" t="str">
        <x:v>FT-LF-GLOBAL_WARMING</x:v>
      </x:c>
      <x:c r="O212" s="31" t="str">
        <x:v>FT-C-GLOBAL_WARMING_ISSUE_LABEL</x:v>
      </x:c>
      <x:c r="P212" s="31" t="str">
        <x:v>FT-F03</x:v>
      </x:c>
      <x:c r="Q212" s="49" t="n">
        <x:v>0.00031567382041686187</x:v>
      </x:c>
    </x:row>
    <x:row r="213" ht="20" customHeight="1">
      <x:c r="A213" s="40" t="str">
        <x:v>FT-Q-V01-042</x:v>
      </x:c>
      <x:c r="B213" s="19" t="str">
        <x:v>global warming</x:v>
      </x:c>
      <x:c r="C213" s="31" t="str">
        <x:v>warming</x:v>
      </x:c>
      <x:c r="D213" s="25" t="n">
        <x:v>1869</x:v>
      </x:c>
      <x:c r="E213" s="46" t="n">
        <x:v>6.791718476506503e-8</x:v>
      </x:c>
      <x:c r="F213" s="19" t="str">
        <x:v>eng</x:v>
      </x:c>
      <x:c r="G213" s="19" t="str">
        <x:v>current English corpus (July 2024 dataset; public shorthand eng; mutable current corpus)</x:v>
      </x:c>
      <x:c r="H213" s="19" t="str">
        <x:v>global warming (All)</x:v>
      </x:c>
      <x:c r="I213" s="19" t="str">
        <x:v>0</x:v>
      </x:c>
      <x:c r="J213" s="19" t="n">
        <x:v>46260.107256944444</x:v>
      </x:c>
      <x:c r="K213" s="31" t="str">
        <x:v>data/fear-temperature/ngram/raw/e982c3b5d6e77fc759f19bb2931d892bfaa9221ade4a44977579a8d5a8afab71.json</x:v>
      </x:c>
      <x:c r="L213" s="19" t="str">
        <x:v>edd5437f92999c829c0fea3e5822ab6cb22f6b319b6eab7bc697d0dc4f6023f9</x:v>
      </x:c>
      <x:c r="M213" s="19" t="str">
        <x:v>03c6b3b7aec17c75d6066c3ad33475123246728a6d70514bc6c4b2fac975aa04</x:v>
      </x:c>
      <x:c r="N213" s="31" t="str">
        <x:v>FT-LF-GLOBAL_WARMING</x:v>
      </x:c>
      <x:c r="O213" s="31" t="str">
        <x:v>FT-C-GLOBAL_WARMING_ISSUE_LABEL</x:v>
      </x:c>
      <x:c r="P213" s="31" t="str">
        <x:v>FT-F03</x:v>
      </x:c>
      <x:c r="Q213" s="49" t="n">
        <x:v>0.06791718476506503</x:v>
      </x:c>
    </x:row>
    <x:row r="214" ht="20" customHeight="1">
      <x:c r="A214" s="40" t="str">
        <x:v>FT-Q-V01-042</x:v>
      </x:c>
      <x:c r="B214" s="19" t="str">
        <x:v>global warming</x:v>
      </x:c>
      <x:c r="C214" s="31" t="str">
        <x:v>warming</x:v>
      </x:c>
      <x:c r="D214" s="25" t="n">
        <x:v>1870</x:v>
      </x:c>
      <x:c r="E214" s="46" t="n">
        <x:v>0</x:v>
      </x:c>
      <x:c r="F214" s="19" t="str">
        <x:v>eng</x:v>
      </x:c>
      <x:c r="G214" s="19" t="str">
        <x:v>current English corpus (July 2024 dataset; public shorthand eng; mutable current corpus)</x:v>
      </x:c>
      <x:c r="H214" s="19" t="str">
        <x:v>global warming (All)</x:v>
      </x:c>
      <x:c r="I214" s="19" t="str">
        <x:v>0</x:v>
      </x:c>
      <x:c r="J214" s="19" t="n">
        <x:v>46260.107256944444</x:v>
      </x:c>
      <x:c r="K214" s="31" t="str">
        <x:v>data/fear-temperature/ngram/raw/e982c3b5d6e77fc759f19bb2931d892bfaa9221ade4a44977579a8d5a8afab71.json</x:v>
      </x:c>
      <x:c r="L214" s="19" t="str">
        <x:v>edd5437f92999c829c0fea3e5822ab6cb22f6b319b6eab7bc697d0dc4f6023f9</x:v>
      </x:c>
      <x:c r="M214" s="19" t="str">
        <x:v>03c6b3b7aec17c75d6066c3ad33475123246728a6d70514bc6c4b2fac975aa04</x:v>
      </x:c>
      <x:c r="N214" s="31" t="str">
        <x:v>FT-LF-GLOBAL_WARMING</x:v>
      </x:c>
      <x:c r="O214" s="31" t="str">
        <x:v>FT-C-GLOBAL_WARMING_ISSUE_LABEL</x:v>
      </x:c>
      <x:c r="P214" s="31" t="str">
        <x:v>FT-F03</x:v>
      </x:c>
      <x:c r="Q214" s="49" t="n">
        <x:v>0</x:v>
      </x:c>
    </x:row>
    <x:row r="215" ht="20" customHeight="1">
      <x:c r="A215" s="40" t="str">
        <x:v>FT-Q-V01-042</x:v>
      </x:c>
      <x:c r="B215" s="19" t="str">
        <x:v>global warming</x:v>
      </x:c>
      <x:c r="C215" s="31" t="str">
        <x:v>warming</x:v>
      </x:c>
      <x:c r="D215" s="25" t="n">
        <x:v>1871</x:v>
      </x:c>
      <x:c r="E215" s="46" t="n">
        <x:v>0</x:v>
      </x:c>
      <x:c r="F215" s="19" t="str">
        <x:v>eng</x:v>
      </x:c>
      <x:c r="G215" s="19" t="str">
        <x:v>current English corpus (July 2024 dataset; public shorthand eng; mutable current corpus)</x:v>
      </x:c>
      <x:c r="H215" s="19" t="str">
        <x:v>global warming (All)</x:v>
      </x:c>
      <x:c r="I215" s="19" t="str">
        <x:v>0</x:v>
      </x:c>
      <x:c r="J215" s="19" t="n">
        <x:v>46260.107256944444</x:v>
      </x:c>
      <x:c r="K215" s="31" t="str">
        <x:v>data/fear-temperature/ngram/raw/e982c3b5d6e77fc759f19bb2931d892bfaa9221ade4a44977579a8d5a8afab71.json</x:v>
      </x:c>
      <x:c r="L215" s="19" t="str">
        <x:v>edd5437f92999c829c0fea3e5822ab6cb22f6b319b6eab7bc697d0dc4f6023f9</x:v>
      </x:c>
      <x:c r="M215" s="19" t="str">
        <x:v>03c6b3b7aec17c75d6066c3ad33475123246728a6d70514bc6c4b2fac975aa04</x:v>
      </x:c>
      <x:c r="N215" s="31" t="str">
        <x:v>FT-LF-GLOBAL_WARMING</x:v>
      </x:c>
      <x:c r="O215" s="31" t="str">
        <x:v>FT-C-GLOBAL_WARMING_ISSUE_LABEL</x:v>
      </x:c>
      <x:c r="P215" s="31" t="str">
        <x:v>FT-F03</x:v>
      </x:c>
      <x:c r="Q215" s="49" t="n">
        <x:v>0</x:v>
      </x:c>
    </x:row>
    <x:row r="216" ht="20" customHeight="1">
      <x:c r="A216" s="40" t="str">
        <x:v>FT-Q-V01-042</x:v>
      </x:c>
      <x:c r="B216" s="19" t="str">
        <x:v>global warming</x:v>
      </x:c>
      <x:c r="C216" s="31" t="str">
        <x:v>warming</x:v>
      </x:c>
      <x:c r="D216" s="25" t="n">
        <x:v>1872</x:v>
      </x:c>
      <x:c r="E216" s="46" t="n">
        <x:v>0</x:v>
      </x:c>
      <x:c r="F216" s="19" t="str">
        <x:v>eng</x:v>
      </x:c>
      <x:c r="G216" s="19" t="str">
        <x:v>current English corpus (July 2024 dataset; public shorthand eng; mutable current corpus)</x:v>
      </x:c>
      <x:c r="H216" s="19" t="str">
        <x:v>global warming (All)</x:v>
      </x:c>
      <x:c r="I216" s="19" t="str">
        <x:v>0</x:v>
      </x:c>
      <x:c r="J216" s="19" t="n">
        <x:v>46260.107256944444</x:v>
      </x:c>
      <x:c r="K216" s="31" t="str">
        <x:v>data/fear-temperature/ngram/raw/e982c3b5d6e77fc759f19bb2931d892bfaa9221ade4a44977579a8d5a8afab71.json</x:v>
      </x:c>
      <x:c r="L216" s="19" t="str">
        <x:v>edd5437f92999c829c0fea3e5822ab6cb22f6b319b6eab7bc697d0dc4f6023f9</x:v>
      </x:c>
      <x:c r="M216" s="19" t="str">
        <x:v>03c6b3b7aec17c75d6066c3ad33475123246728a6d70514bc6c4b2fac975aa04</x:v>
      </x:c>
      <x:c r="N216" s="31" t="str">
        <x:v>FT-LF-GLOBAL_WARMING</x:v>
      </x:c>
      <x:c r="O216" s="31" t="str">
        <x:v>FT-C-GLOBAL_WARMING_ISSUE_LABEL</x:v>
      </x:c>
      <x:c r="P216" s="31" t="str">
        <x:v>FT-F03</x:v>
      </x:c>
      <x:c r="Q216" s="49" t="n">
        <x:v>0</x:v>
      </x:c>
    </x:row>
    <x:row r="217" ht="20" customHeight="1">
      <x:c r="A217" s="40" t="str">
        <x:v>FT-Q-V01-042</x:v>
      </x:c>
      <x:c r="B217" s="19" t="str">
        <x:v>global warming</x:v>
      </x:c>
      <x:c r="C217" s="31" t="str">
        <x:v>warming</x:v>
      </x:c>
      <x:c r="D217" s="25" t="n">
        <x:v>1873</x:v>
      </x:c>
      <x:c r="E217" s="46" t="n">
        <x:v>0</x:v>
      </x:c>
      <x:c r="F217" s="19" t="str">
        <x:v>eng</x:v>
      </x:c>
      <x:c r="G217" s="19" t="str">
        <x:v>current English corpus (July 2024 dataset; public shorthand eng; mutable current corpus)</x:v>
      </x:c>
      <x:c r="H217" s="19" t="str">
        <x:v>global warming (All)</x:v>
      </x:c>
      <x:c r="I217" s="19" t="str">
        <x:v>0</x:v>
      </x:c>
      <x:c r="J217" s="19" t="n">
        <x:v>46260.107256944444</x:v>
      </x:c>
      <x:c r="K217" s="31" t="str">
        <x:v>data/fear-temperature/ngram/raw/e982c3b5d6e77fc759f19bb2931d892bfaa9221ade4a44977579a8d5a8afab71.json</x:v>
      </x:c>
      <x:c r="L217" s="19" t="str">
        <x:v>edd5437f92999c829c0fea3e5822ab6cb22f6b319b6eab7bc697d0dc4f6023f9</x:v>
      </x:c>
      <x:c r="M217" s="19" t="str">
        <x:v>03c6b3b7aec17c75d6066c3ad33475123246728a6d70514bc6c4b2fac975aa04</x:v>
      </x:c>
      <x:c r="N217" s="31" t="str">
        <x:v>FT-LF-GLOBAL_WARMING</x:v>
      </x:c>
      <x:c r="O217" s="31" t="str">
        <x:v>FT-C-GLOBAL_WARMING_ISSUE_LABEL</x:v>
      </x:c>
      <x:c r="P217" s="31" t="str">
        <x:v>FT-F03</x:v>
      </x:c>
      <x:c r="Q217" s="49" t="n">
        <x:v>0</x:v>
      </x:c>
    </x:row>
    <x:row r="218" ht="20" customHeight="1">
      <x:c r="A218" s="40" t="str">
        <x:v>FT-Q-V01-042</x:v>
      </x:c>
      <x:c r="B218" s="19" t="str">
        <x:v>global warming</x:v>
      </x:c>
      <x:c r="C218" s="31" t="str">
        <x:v>warming</x:v>
      </x:c>
      <x:c r="D218" s="25" t="n">
        <x:v>1874</x:v>
      </x:c>
      <x:c r="E218" s="46" t="n">
        <x:v>2.713245128571628e-9</x:v>
      </x:c>
      <x:c r="F218" s="19" t="str">
        <x:v>eng</x:v>
      </x:c>
      <x:c r="G218" s="19" t="str">
        <x:v>current English corpus (July 2024 dataset; public shorthand eng; mutable current corpus)</x:v>
      </x:c>
      <x:c r="H218" s="19" t="str">
        <x:v>global warming (All)</x:v>
      </x:c>
      <x:c r="I218" s="19" t="str">
        <x:v>0</x:v>
      </x:c>
      <x:c r="J218" s="19" t="n">
        <x:v>46260.107256944444</x:v>
      </x:c>
      <x:c r="K218" s="31" t="str">
        <x:v>data/fear-temperature/ngram/raw/e982c3b5d6e77fc759f19bb2931d892bfaa9221ade4a44977579a8d5a8afab71.json</x:v>
      </x:c>
      <x:c r="L218" s="19" t="str">
        <x:v>edd5437f92999c829c0fea3e5822ab6cb22f6b319b6eab7bc697d0dc4f6023f9</x:v>
      </x:c>
      <x:c r="M218" s="19" t="str">
        <x:v>03c6b3b7aec17c75d6066c3ad33475123246728a6d70514bc6c4b2fac975aa04</x:v>
      </x:c>
      <x:c r="N218" s="31" t="str">
        <x:v>FT-LF-GLOBAL_WARMING</x:v>
      </x:c>
      <x:c r="O218" s="31" t="str">
        <x:v>FT-C-GLOBAL_WARMING_ISSUE_LABEL</x:v>
      </x:c>
      <x:c r="P218" s="31" t="str">
        <x:v>FT-F03</x:v>
      </x:c>
      <x:c r="Q218" s="49" t="n">
        <x:v>0.002713245128571628</x:v>
      </x:c>
    </x:row>
    <x:row r="219" ht="20" customHeight="1">
      <x:c r="A219" s="40" t="str">
        <x:v>FT-Q-V01-042</x:v>
      </x:c>
      <x:c r="B219" s="19" t="str">
        <x:v>global warming</x:v>
      </x:c>
      <x:c r="C219" s="31" t="str">
        <x:v>warming</x:v>
      </x:c>
      <x:c r="D219" s="25" t="n">
        <x:v>1875</x:v>
      </x:c>
      <x:c r="E219" s="46" t="n">
        <x:v>0</x:v>
      </x:c>
      <x:c r="F219" s="19" t="str">
        <x:v>eng</x:v>
      </x:c>
      <x:c r="G219" s="19" t="str">
        <x:v>current English corpus (July 2024 dataset; public shorthand eng; mutable current corpus)</x:v>
      </x:c>
      <x:c r="H219" s="19" t="str">
        <x:v>global warming (All)</x:v>
      </x:c>
      <x:c r="I219" s="19" t="str">
        <x:v>0</x:v>
      </x:c>
      <x:c r="J219" s="19" t="n">
        <x:v>46260.107256944444</x:v>
      </x:c>
      <x:c r="K219" s="31" t="str">
        <x:v>data/fear-temperature/ngram/raw/e982c3b5d6e77fc759f19bb2931d892bfaa9221ade4a44977579a8d5a8afab71.json</x:v>
      </x:c>
      <x:c r="L219" s="19" t="str">
        <x:v>edd5437f92999c829c0fea3e5822ab6cb22f6b319b6eab7bc697d0dc4f6023f9</x:v>
      </x:c>
      <x:c r="M219" s="19" t="str">
        <x:v>03c6b3b7aec17c75d6066c3ad33475123246728a6d70514bc6c4b2fac975aa04</x:v>
      </x:c>
      <x:c r="N219" s="31" t="str">
        <x:v>FT-LF-GLOBAL_WARMING</x:v>
      </x:c>
      <x:c r="O219" s="31" t="str">
        <x:v>FT-C-GLOBAL_WARMING_ISSUE_LABEL</x:v>
      </x:c>
      <x:c r="P219" s="31" t="str">
        <x:v>FT-F03</x:v>
      </x:c>
      <x:c r="Q219" s="49" t="n">
        <x:v>0</x:v>
      </x:c>
    </x:row>
    <x:row r="220" ht="20" customHeight="1">
      <x:c r="A220" s="40" t="str">
        <x:v>FT-Q-V01-042</x:v>
      </x:c>
      <x:c r="B220" s="19" t="str">
        <x:v>global warming</x:v>
      </x:c>
      <x:c r="C220" s="31" t="str">
        <x:v>warming</x:v>
      </x:c>
      <x:c r="D220" s="25" t="n">
        <x:v>1876</x:v>
      </x:c>
      <x:c r="E220" s="46" t="n">
        <x:v>0</x:v>
      </x:c>
      <x:c r="F220" s="19" t="str">
        <x:v>eng</x:v>
      </x:c>
      <x:c r="G220" s="19" t="str">
        <x:v>current English corpus (July 2024 dataset; public shorthand eng; mutable current corpus)</x:v>
      </x:c>
      <x:c r="H220" s="19" t="str">
        <x:v>global warming (All)</x:v>
      </x:c>
      <x:c r="I220" s="19" t="str">
        <x:v>0</x:v>
      </x:c>
      <x:c r="J220" s="19" t="n">
        <x:v>46260.107256944444</x:v>
      </x:c>
      <x:c r="K220" s="31" t="str">
        <x:v>data/fear-temperature/ngram/raw/e982c3b5d6e77fc759f19bb2931d892bfaa9221ade4a44977579a8d5a8afab71.json</x:v>
      </x:c>
      <x:c r="L220" s="19" t="str">
        <x:v>edd5437f92999c829c0fea3e5822ab6cb22f6b319b6eab7bc697d0dc4f6023f9</x:v>
      </x:c>
      <x:c r="M220" s="19" t="str">
        <x:v>03c6b3b7aec17c75d6066c3ad33475123246728a6d70514bc6c4b2fac975aa04</x:v>
      </x:c>
      <x:c r="N220" s="31" t="str">
        <x:v>FT-LF-GLOBAL_WARMING</x:v>
      </x:c>
      <x:c r="O220" s="31" t="str">
        <x:v>FT-C-GLOBAL_WARMING_ISSUE_LABEL</x:v>
      </x:c>
      <x:c r="P220" s="31" t="str">
        <x:v>FT-F03</x:v>
      </x:c>
      <x:c r="Q220" s="49" t="n">
        <x:v>0</x:v>
      </x:c>
    </x:row>
    <x:row r="221" ht="20" customHeight="1">
      <x:c r="A221" s="40" t="str">
        <x:v>FT-Q-V01-042</x:v>
      </x:c>
      <x:c r="B221" s="19" t="str">
        <x:v>global warming</x:v>
      </x:c>
      <x:c r="C221" s="31" t="str">
        <x:v>warming</x:v>
      </x:c>
      <x:c r="D221" s="25" t="n">
        <x:v>1877</x:v>
      </x:c>
      <x:c r="E221" s="46" t="n">
        <x:v>2.9215560526374413e-10</x:v>
      </x:c>
      <x:c r="F221" s="19" t="str">
        <x:v>eng</x:v>
      </x:c>
      <x:c r="G221" s="19" t="str">
        <x:v>current English corpus (July 2024 dataset; public shorthand eng; mutable current corpus)</x:v>
      </x:c>
      <x:c r="H221" s="19" t="str">
        <x:v>global warming (All)</x:v>
      </x:c>
      <x:c r="I221" s="19" t="str">
        <x:v>0</x:v>
      </x:c>
      <x:c r="J221" s="19" t="n">
        <x:v>46260.107256944444</x:v>
      </x:c>
      <x:c r="K221" s="31" t="str">
        <x:v>data/fear-temperature/ngram/raw/e982c3b5d6e77fc759f19bb2931d892bfaa9221ade4a44977579a8d5a8afab71.json</x:v>
      </x:c>
      <x:c r="L221" s="19" t="str">
        <x:v>edd5437f92999c829c0fea3e5822ab6cb22f6b319b6eab7bc697d0dc4f6023f9</x:v>
      </x:c>
      <x:c r="M221" s="19" t="str">
        <x:v>03c6b3b7aec17c75d6066c3ad33475123246728a6d70514bc6c4b2fac975aa04</x:v>
      </x:c>
      <x:c r="N221" s="31" t="str">
        <x:v>FT-LF-GLOBAL_WARMING</x:v>
      </x:c>
      <x:c r="O221" s="31" t="str">
        <x:v>FT-C-GLOBAL_WARMING_ISSUE_LABEL</x:v>
      </x:c>
      <x:c r="P221" s="31" t="str">
        <x:v>FT-F03</x:v>
      </x:c>
      <x:c r="Q221" s="49" t="n">
        <x:v>0.0002921556052637441</x:v>
      </x:c>
    </x:row>
    <x:row r="222" ht="20" customHeight="1">
      <x:c r="A222" s="40" t="str">
        <x:v>FT-Q-V01-042</x:v>
      </x:c>
      <x:c r="B222" s="19" t="str">
        <x:v>global warming</x:v>
      </x:c>
      <x:c r="C222" s="31" t="str">
        <x:v>warming</x:v>
      </x:c>
      <x:c r="D222" s="25" t="n">
        <x:v>1878</x:v>
      </x:c>
      <x:c r="E222" s="46" t="n">
        <x:v>0</x:v>
      </x:c>
      <x:c r="F222" s="19" t="str">
        <x:v>eng</x:v>
      </x:c>
      <x:c r="G222" s="19" t="str">
        <x:v>current English corpus (July 2024 dataset; public shorthand eng; mutable current corpus)</x:v>
      </x:c>
      <x:c r="H222" s="19" t="str">
        <x:v>global warming (All)</x:v>
      </x:c>
      <x:c r="I222" s="19" t="str">
        <x:v>0</x:v>
      </x:c>
      <x:c r="J222" s="19" t="n">
        <x:v>46260.107256944444</x:v>
      </x:c>
      <x:c r="K222" s="31" t="str">
        <x:v>data/fear-temperature/ngram/raw/e982c3b5d6e77fc759f19bb2931d892bfaa9221ade4a44977579a8d5a8afab71.json</x:v>
      </x:c>
      <x:c r="L222" s="19" t="str">
        <x:v>edd5437f92999c829c0fea3e5822ab6cb22f6b319b6eab7bc697d0dc4f6023f9</x:v>
      </x:c>
      <x:c r="M222" s="19" t="str">
        <x:v>03c6b3b7aec17c75d6066c3ad33475123246728a6d70514bc6c4b2fac975aa04</x:v>
      </x:c>
      <x:c r="N222" s="31" t="str">
        <x:v>FT-LF-GLOBAL_WARMING</x:v>
      </x:c>
      <x:c r="O222" s="31" t="str">
        <x:v>FT-C-GLOBAL_WARMING_ISSUE_LABEL</x:v>
      </x:c>
      <x:c r="P222" s="31" t="str">
        <x:v>FT-F03</x:v>
      </x:c>
      <x:c r="Q222" s="49" t="n">
        <x:v>0</x:v>
      </x:c>
    </x:row>
    <x:row r="223" ht="20" customHeight="1">
      <x:c r="A223" s="40" t="str">
        <x:v>FT-Q-V01-042</x:v>
      </x:c>
      <x:c r="B223" s="19" t="str">
        <x:v>global warming</x:v>
      </x:c>
      <x:c r="C223" s="31" t="str">
        <x:v>warming</x:v>
      </x:c>
      <x:c r="D223" s="25" t="n">
        <x:v>1879</x:v>
      </x:c>
      <x:c r="E223" s="46" t="n">
        <x:v>0</x:v>
      </x:c>
      <x:c r="F223" s="19" t="str">
        <x:v>eng</x:v>
      </x:c>
      <x:c r="G223" s="19" t="str">
        <x:v>current English corpus (July 2024 dataset; public shorthand eng; mutable current corpus)</x:v>
      </x:c>
      <x:c r="H223" s="19" t="str">
        <x:v>global warming (All)</x:v>
      </x:c>
      <x:c r="I223" s="19" t="str">
        <x:v>0</x:v>
      </x:c>
      <x:c r="J223" s="19" t="n">
        <x:v>46260.107256944444</x:v>
      </x:c>
      <x:c r="K223" s="31" t="str">
        <x:v>data/fear-temperature/ngram/raw/e982c3b5d6e77fc759f19bb2931d892bfaa9221ade4a44977579a8d5a8afab71.json</x:v>
      </x:c>
      <x:c r="L223" s="19" t="str">
        <x:v>edd5437f92999c829c0fea3e5822ab6cb22f6b319b6eab7bc697d0dc4f6023f9</x:v>
      </x:c>
      <x:c r="M223" s="19" t="str">
        <x:v>03c6b3b7aec17c75d6066c3ad33475123246728a6d70514bc6c4b2fac975aa04</x:v>
      </x:c>
      <x:c r="N223" s="31" t="str">
        <x:v>FT-LF-GLOBAL_WARMING</x:v>
      </x:c>
      <x:c r="O223" s="31" t="str">
        <x:v>FT-C-GLOBAL_WARMING_ISSUE_LABEL</x:v>
      </x:c>
      <x:c r="P223" s="31" t="str">
        <x:v>FT-F03</x:v>
      </x:c>
      <x:c r="Q223" s="49" t="n">
        <x:v>0</x:v>
      </x:c>
    </x:row>
    <x:row r="224" ht="20" customHeight="1">
      <x:c r="A224" s="40" t="str">
        <x:v>FT-Q-V01-042</x:v>
      </x:c>
      <x:c r="B224" s="19" t="str">
        <x:v>global warming</x:v>
      </x:c>
      <x:c r="C224" s="31" t="str">
        <x:v>warming</x:v>
      </x:c>
      <x:c r="D224" s="25" t="n">
        <x:v>1880</x:v>
      </x:c>
      <x:c r="E224" s="46" t="n">
        <x:v>1.2363399193304756e-9</x:v>
      </x:c>
      <x:c r="F224" s="19" t="str">
        <x:v>eng</x:v>
      </x:c>
      <x:c r="G224" s="19" t="str">
        <x:v>current English corpus (July 2024 dataset; public shorthand eng; mutable current corpus)</x:v>
      </x:c>
      <x:c r="H224" s="19" t="str">
        <x:v>global warming (All)</x:v>
      </x:c>
      <x:c r="I224" s="19" t="str">
        <x:v>0</x:v>
      </x:c>
      <x:c r="J224" s="19" t="n">
        <x:v>46260.107256944444</x:v>
      </x:c>
      <x:c r="K224" s="31" t="str">
        <x:v>data/fear-temperature/ngram/raw/e982c3b5d6e77fc759f19bb2931d892bfaa9221ade4a44977579a8d5a8afab71.json</x:v>
      </x:c>
      <x:c r="L224" s="19" t="str">
        <x:v>edd5437f92999c829c0fea3e5822ab6cb22f6b319b6eab7bc697d0dc4f6023f9</x:v>
      </x:c>
      <x:c r="M224" s="19" t="str">
        <x:v>03c6b3b7aec17c75d6066c3ad33475123246728a6d70514bc6c4b2fac975aa04</x:v>
      </x:c>
      <x:c r="N224" s="31" t="str">
        <x:v>FT-LF-GLOBAL_WARMING</x:v>
      </x:c>
      <x:c r="O224" s="31" t="str">
        <x:v>FT-C-GLOBAL_WARMING_ISSUE_LABEL</x:v>
      </x:c>
      <x:c r="P224" s="31" t="str">
        <x:v>FT-F03</x:v>
      </x:c>
      <x:c r="Q224" s="49" t="n">
        <x:v>0.0012363399193304756</x:v>
      </x:c>
    </x:row>
    <x:row r="225" ht="20" customHeight="1">
      <x:c r="A225" s="40" t="str">
        <x:v>FT-Q-V01-042</x:v>
      </x:c>
      <x:c r="B225" s="19" t="str">
        <x:v>global warming</x:v>
      </x:c>
      <x:c r="C225" s="31" t="str">
        <x:v>warming</x:v>
      </x:c>
      <x:c r="D225" s="25" t="n">
        <x:v>1881</x:v>
      </x:c>
      <x:c r="E225" s="46" t="n">
        <x:v>4.3366420038326574e-8</x:v>
      </x:c>
      <x:c r="F225" s="19" t="str">
        <x:v>eng</x:v>
      </x:c>
      <x:c r="G225" s="19" t="str">
        <x:v>current English corpus (July 2024 dataset; public shorthand eng; mutable current corpus)</x:v>
      </x:c>
      <x:c r="H225" s="19" t="str">
        <x:v>global warming (All)</x:v>
      </x:c>
      <x:c r="I225" s="19" t="str">
        <x:v>0</x:v>
      </x:c>
      <x:c r="J225" s="19" t="n">
        <x:v>46260.107256944444</x:v>
      </x:c>
      <x:c r="K225" s="31" t="str">
        <x:v>data/fear-temperature/ngram/raw/e982c3b5d6e77fc759f19bb2931d892bfaa9221ade4a44977579a8d5a8afab71.json</x:v>
      </x:c>
      <x:c r="L225" s="19" t="str">
        <x:v>edd5437f92999c829c0fea3e5822ab6cb22f6b319b6eab7bc697d0dc4f6023f9</x:v>
      </x:c>
      <x:c r="M225" s="19" t="str">
        <x:v>03c6b3b7aec17c75d6066c3ad33475123246728a6d70514bc6c4b2fac975aa04</x:v>
      </x:c>
      <x:c r="N225" s="31" t="str">
        <x:v>FT-LF-GLOBAL_WARMING</x:v>
      </x:c>
      <x:c r="O225" s="31" t="str">
        <x:v>FT-C-GLOBAL_WARMING_ISSUE_LABEL</x:v>
      </x:c>
      <x:c r="P225" s="31" t="str">
        <x:v>FT-F03</x:v>
      </x:c>
      <x:c r="Q225" s="49" t="n">
        <x:v>0.043366420038326574</x:v>
      </x:c>
    </x:row>
    <x:row r="226" ht="20" customHeight="1">
      <x:c r="A226" s="40" t="str">
        <x:v>FT-Q-V01-042</x:v>
      </x:c>
      <x:c r="B226" s="19" t="str">
        <x:v>global warming</x:v>
      </x:c>
      <x:c r="C226" s="31" t="str">
        <x:v>warming</x:v>
      </x:c>
      <x:c r="D226" s="25" t="n">
        <x:v>1882</x:v>
      </x:c>
      <x:c r="E226" s="46" t="n">
        <x:v>0</x:v>
      </x:c>
      <x:c r="F226" s="19" t="str">
        <x:v>eng</x:v>
      </x:c>
      <x:c r="G226" s="19" t="str">
        <x:v>current English corpus (July 2024 dataset; public shorthand eng; mutable current corpus)</x:v>
      </x:c>
      <x:c r="H226" s="19" t="str">
        <x:v>global warming (All)</x:v>
      </x:c>
      <x:c r="I226" s="19" t="str">
        <x:v>0</x:v>
      </x:c>
      <x:c r="J226" s="19" t="n">
        <x:v>46260.107256944444</x:v>
      </x:c>
      <x:c r="K226" s="31" t="str">
        <x:v>data/fear-temperature/ngram/raw/e982c3b5d6e77fc759f19bb2931d892bfaa9221ade4a44977579a8d5a8afab71.json</x:v>
      </x:c>
      <x:c r="L226" s="19" t="str">
        <x:v>edd5437f92999c829c0fea3e5822ab6cb22f6b319b6eab7bc697d0dc4f6023f9</x:v>
      </x:c>
      <x:c r="M226" s="19" t="str">
        <x:v>03c6b3b7aec17c75d6066c3ad33475123246728a6d70514bc6c4b2fac975aa04</x:v>
      </x:c>
      <x:c r="N226" s="31" t="str">
        <x:v>FT-LF-GLOBAL_WARMING</x:v>
      </x:c>
      <x:c r="O226" s="31" t="str">
        <x:v>FT-C-GLOBAL_WARMING_ISSUE_LABEL</x:v>
      </x:c>
      <x:c r="P226" s="31" t="str">
        <x:v>FT-F03</x:v>
      </x:c>
      <x:c r="Q226" s="49" t="n">
        <x:v>0</x:v>
      </x:c>
    </x:row>
    <x:row r="227" ht="20" customHeight="1">
      <x:c r="A227" s="40" t="str">
        <x:v>FT-Q-V01-042</x:v>
      </x:c>
      <x:c r="B227" s="19" t="str">
        <x:v>global warming</x:v>
      </x:c>
      <x:c r="C227" s="31" t="str">
        <x:v>warming</x:v>
      </x:c>
      <x:c r="D227" s="25" t="n">
        <x:v>1883</x:v>
      </x:c>
      <x:c r="E227" s="46" t="n">
        <x:v>1.4130255576727535e-9</x:v>
      </x:c>
      <x:c r="F227" s="19" t="str">
        <x:v>eng</x:v>
      </x:c>
      <x:c r="G227" s="19" t="str">
        <x:v>current English corpus (July 2024 dataset; public shorthand eng; mutable current corpus)</x:v>
      </x:c>
      <x:c r="H227" s="19" t="str">
        <x:v>global warming (All)</x:v>
      </x:c>
      <x:c r="I227" s="19" t="str">
        <x:v>0</x:v>
      </x:c>
      <x:c r="J227" s="19" t="n">
        <x:v>46260.107256944444</x:v>
      </x:c>
      <x:c r="K227" s="31" t="str">
        <x:v>data/fear-temperature/ngram/raw/e982c3b5d6e77fc759f19bb2931d892bfaa9221ade4a44977579a8d5a8afab71.json</x:v>
      </x:c>
      <x:c r="L227" s="19" t="str">
        <x:v>edd5437f92999c829c0fea3e5822ab6cb22f6b319b6eab7bc697d0dc4f6023f9</x:v>
      </x:c>
      <x:c r="M227" s="19" t="str">
        <x:v>03c6b3b7aec17c75d6066c3ad33475123246728a6d70514bc6c4b2fac975aa04</x:v>
      </x:c>
      <x:c r="N227" s="31" t="str">
        <x:v>FT-LF-GLOBAL_WARMING</x:v>
      </x:c>
      <x:c r="O227" s="31" t="str">
        <x:v>FT-C-GLOBAL_WARMING_ISSUE_LABEL</x:v>
      </x:c>
      <x:c r="P227" s="31" t="str">
        <x:v>FT-F03</x:v>
      </x:c>
      <x:c r="Q227" s="49" t="n">
        <x:v>0.0014130255576727535</x:v>
      </x:c>
    </x:row>
    <x:row r="228" ht="20" customHeight="1">
      <x:c r="A228" s="40" t="str">
        <x:v>FT-Q-V01-042</x:v>
      </x:c>
      <x:c r="B228" s="19" t="str">
        <x:v>global warming</x:v>
      </x:c>
      <x:c r="C228" s="31" t="str">
        <x:v>warming</x:v>
      </x:c>
      <x:c r="D228" s="25" t="n">
        <x:v>1884</x:v>
      </x:c>
      <x:c r="E228" s="46" t="n">
        <x:v>4.305448497721187e-10</x:v>
      </x:c>
      <x:c r="F228" s="19" t="str">
        <x:v>eng</x:v>
      </x:c>
      <x:c r="G228" s="19" t="str">
        <x:v>current English corpus (July 2024 dataset; public shorthand eng; mutable current corpus)</x:v>
      </x:c>
      <x:c r="H228" s="19" t="str">
        <x:v>global warming (All)</x:v>
      </x:c>
      <x:c r="I228" s="19" t="str">
        <x:v>0</x:v>
      </x:c>
      <x:c r="J228" s="19" t="n">
        <x:v>46260.107256944444</x:v>
      </x:c>
      <x:c r="K228" s="31" t="str">
        <x:v>data/fear-temperature/ngram/raw/e982c3b5d6e77fc759f19bb2931d892bfaa9221ade4a44977579a8d5a8afab71.json</x:v>
      </x:c>
      <x:c r="L228" s="19" t="str">
        <x:v>edd5437f92999c829c0fea3e5822ab6cb22f6b319b6eab7bc697d0dc4f6023f9</x:v>
      </x:c>
      <x:c r="M228" s="19" t="str">
        <x:v>03c6b3b7aec17c75d6066c3ad33475123246728a6d70514bc6c4b2fac975aa04</x:v>
      </x:c>
      <x:c r="N228" s="31" t="str">
        <x:v>FT-LF-GLOBAL_WARMING</x:v>
      </x:c>
      <x:c r="O228" s="31" t="str">
        <x:v>FT-C-GLOBAL_WARMING_ISSUE_LABEL</x:v>
      </x:c>
      <x:c r="P228" s="31" t="str">
        <x:v>FT-F03</x:v>
      </x:c>
      <x:c r="Q228" s="49" t="n">
        <x:v>0.0004305448497721187</x:v>
      </x:c>
    </x:row>
    <x:row r="229" ht="20" customHeight="1">
      <x:c r="A229" s="40" t="str">
        <x:v>FT-Q-V01-042</x:v>
      </x:c>
      <x:c r="B229" s="19" t="str">
        <x:v>global warming</x:v>
      </x:c>
      <x:c r="C229" s="31" t="str">
        <x:v>warming</x:v>
      </x:c>
      <x:c r="D229" s="25" t="n">
        <x:v>1885</x:v>
      </x:c>
      <x:c r="E229" s="46" t="n">
        <x:v>0</x:v>
      </x:c>
      <x:c r="F229" s="19" t="str">
        <x:v>eng</x:v>
      </x:c>
      <x:c r="G229" s="19" t="str">
        <x:v>current English corpus (July 2024 dataset; public shorthand eng; mutable current corpus)</x:v>
      </x:c>
      <x:c r="H229" s="19" t="str">
        <x:v>global warming (All)</x:v>
      </x:c>
      <x:c r="I229" s="19" t="str">
        <x:v>0</x:v>
      </x:c>
      <x:c r="J229" s="19" t="n">
        <x:v>46260.107256944444</x:v>
      </x:c>
      <x:c r="K229" s="31" t="str">
        <x:v>data/fear-temperature/ngram/raw/e982c3b5d6e77fc759f19bb2931d892bfaa9221ade4a44977579a8d5a8afab71.json</x:v>
      </x:c>
      <x:c r="L229" s="19" t="str">
        <x:v>edd5437f92999c829c0fea3e5822ab6cb22f6b319b6eab7bc697d0dc4f6023f9</x:v>
      </x:c>
      <x:c r="M229" s="19" t="str">
        <x:v>03c6b3b7aec17c75d6066c3ad33475123246728a6d70514bc6c4b2fac975aa04</x:v>
      </x:c>
      <x:c r="N229" s="31" t="str">
        <x:v>FT-LF-GLOBAL_WARMING</x:v>
      </x:c>
      <x:c r="O229" s="31" t="str">
        <x:v>FT-C-GLOBAL_WARMING_ISSUE_LABEL</x:v>
      </x:c>
      <x:c r="P229" s="31" t="str">
        <x:v>FT-F03</x:v>
      </x:c>
      <x:c r="Q229" s="49" t="n">
        <x:v>0</x:v>
      </x:c>
    </x:row>
    <x:row r="230" ht="20" customHeight="1">
      <x:c r="A230" s="40" t="str">
        <x:v>FT-Q-V01-042</x:v>
      </x:c>
      <x:c r="B230" s="19" t="str">
        <x:v>global warming</x:v>
      </x:c>
      <x:c r="C230" s="31" t="str">
        <x:v>warming</x:v>
      </x:c>
      <x:c r="D230" s="25" t="n">
        <x:v>1886</x:v>
      </x:c>
      <x:c r="E230" s="46" t="n">
        <x:v>2.231923951212522e-10</x:v>
      </x:c>
      <x:c r="F230" s="19" t="str">
        <x:v>eng</x:v>
      </x:c>
      <x:c r="G230" s="19" t="str">
        <x:v>current English corpus (July 2024 dataset; public shorthand eng; mutable current corpus)</x:v>
      </x:c>
      <x:c r="H230" s="19" t="str">
        <x:v>global warming (All)</x:v>
      </x:c>
      <x:c r="I230" s="19" t="str">
        <x:v>0</x:v>
      </x:c>
      <x:c r="J230" s="19" t="n">
        <x:v>46260.107256944444</x:v>
      </x:c>
      <x:c r="K230" s="31" t="str">
        <x:v>data/fear-temperature/ngram/raw/e982c3b5d6e77fc759f19bb2931d892bfaa9221ade4a44977579a8d5a8afab71.json</x:v>
      </x:c>
      <x:c r="L230" s="19" t="str">
        <x:v>edd5437f92999c829c0fea3e5822ab6cb22f6b319b6eab7bc697d0dc4f6023f9</x:v>
      </x:c>
      <x:c r="M230" s="19" t="str">
        <x:v>03c6b3b7aec17c75d6066c3ad33475123246728a6d70514bc6c4b2fac975aa04</x:v>
      </x:c>
      <x:c r="N230" s="31" t="str">
        <x:v>FT-LF-GLOBAL_WARMING</x:v>
      </x:c>
      <x:c r="O230" s="31" t="str">
        <x:v>FT-C-GLOBAL_WARMING_ISSUE_LABEL</x:v>
      </x:c>
      <x:c r="P230" s="31" t="str">
        <x:v>FT-F03</x:v>
      </x:c>
      <x:c r="Q230" s="49" t="n">
        <x:v>0.0002231923951212522</x:v>
      </x:c>
    </x:row>
    <x:row r="231" ht="20" customHeight="1">
      <x:c r="A231" s="40" t="str">
        <x:v>FT-Q-V01-042</x:v>
      </x:c>
      <x:c r="B231" s="19" t="str">
        <x:v>global warming</x:v>
      </x:c>
      <x:c r="C231" s="31" t="str">
        <x:v>warming</x:v>
      </x:c>
      <x:c r="D231" s="25" t="n">
        <x:v>1887</x:v>
      </x:c>
      <x:c r="E231" s="46" t="n">
        <x:v>0</x:v>
      </x:c>
      <x:c r="F231" s="19" t="str">
        <x:v>eng</x:v>
      </x:c>
      <x:c r="G231" s="19" t="str">
        <x:v>current English corpus (July 2024 dataset; public shorthand eng; mutable current corpus)</x:v>
      </x:c>
      <x:c r="H231" s="19" t="str">
        <x:v>global warming (All)</x:v>
      </x:c>
      <x:c r="I231" s="19" t="str">
        <x:v>0</x:v>
      </x:c>
      <x:c r="J231" s="19" t="n">
        <x:v>46260.107256944444</x:v>
      </x:c>
      <x:c r="K231" s="31" t="str">
        <x:v>data/fear-temperature/ngram/raw/e982c3b5d6e77fc759f19bb2931d892bfaa9221ade4a44977579a8d5a8afab71.json</x:v>
      </x:c>
      <x:c r="L231" s="19" t="str">
        <x:v>edd5437f92999c829c0fea3e5822ab6cb22f6b319b6eab7bc697d0dc4f6023f9</x:v>
      </x:c>
      <x:c r="M231" s="19" t="str">
        <x:v>03c6b3b7aec17c75d6066c3ad33475123246728a6d70514bc6c4b2fac975aa04</x:v>
      </x:c>
      <x:c r="N231" s="31" t="str">
        <x:v>FT-LF-GLOBAL_WARMING</x:v>
      </x:c>
      <x:c r="O231" s="31" t="str">
        <x:v>FT-C-GLOBAL_WARMING_ISSUE_LABEL</x:v>
      </x:c>
      <x:c r="P231" s="31" t="str">
        <x:v>FT-F03</x:v>
      </x:c>
      <x:c r="Q231" s="49" t="n">
        <x:v>0</x:v>
      </x:c>
    </x:row>
    <x:row r="232" ht="20" customHeight="1">
      <x:c r="A232" s="40" t="str">
        <x:v>FT-Q-V01-042</x:v>
      </x:c>
      <x:c r="B232" s="19" t="str">
        <x:v>global warming</x:v>
      </x:c>
      <x:c r="C232" s="31" t="str">
        <x:v>warming</x:v>
      </x:c>
      <x:c r="D232" s="25" t="n">
        <x:v>1888</x:v>
      </x:c>
      <x:c r="E232" s="46" t="n">
        <x:v>0</x:v>
      </x:c>
      <x:c r="F232" s="19" t="str">
        <x:v>eng</x:v>
      </x:c>
      <x:c r="G232" s="19" t="str">
        <x:v>current English corpus (July 2024 dataset; public shorthand eng; mutable current corpus)</x:v>
      </x:c>
      <x:c r="H232" s="19" t="str">
        <x:v>global warming (All)</x:v>
      </x:c>
      <x:c r="I232" s="19" t="str">
        <x:v>0</x:v>
      </x:c>
      <x:c r="J232" s="19" t="n">
        <x:v>46260.107256944444</x:v>
      </x:c>
      <x:c r="K232" s="31" t="str">
        <x:v>data/fear-temperature/ngram/raw/e982c3b5d6e77fc759f19bb2931d892bfaa9221ade4a44977579a8d5a8afab71.json</x:v>
      </x:c>
      <x:c r="L232" s="19" t="str">
        <x:v>edd5437f92999c829c0fea3e5822ab6cb22f6b319b6eab7bc697d0dc4f6023f9</x:v>
      </x:c>
      <x:c r="M232" s="19" t="str">
        <x:v>03c6b3b7aec17c75d6066c3ad33475123246728a6d70514bc6c4b2fac975aa04</x:v>
      </x:c>
      <x:c r="N232" s="31" t="str">
        <x:v>FT-LF-GLOBAL_WARMING</x:v>
      </x:c>
      <x:c r="O232" s="31" t="str">
        <x:v>FT-C-GLOBAL_WARMING_ISSUE_LABEL</x:v>
      </x:c>
      <x:c r="P232" s="31" t="str">
        <x:v>FT-F03</x:v>
      </x:c>
      <x:c r="Q232" s="49" t="n">
        <x:v>0</x:v>
      </x:c>
    </x:row>
    <x:row r="233" ht="20" customHeight="1">
      <x:c r="A233" s="40" t="str">
        <x:v>FT-Q-V01-042</x:v>
      </x:c>
      <x:c r="B233" s="19" t="str">
        <x:v>global warming</x:v>
      </x:c>
      <x:c r="C233" s="31" t="str">
        <x:v>warming</x:v>
      </x:c>
      <x:c r="D233" s="25" t="n">
        <x:v>1889</x:v>
      </x:c>
      <x:c r="E233" s="46" t="n">
        <x:v>1.8793132328109863e-10</x:v>
      </x:c>
      <x:c r="F233" s="19" t="str">
        <x:v>eng</x:v>
      </x:c>
      <x:c r="G233" s="19" t="str">
        <x:v>current English corpus (July 2024 dataset; public shorthand eng; mutable current corpus)</x:v>
      </x:c>
      <x:c r="H233" s="19" t="str">
        <x:v>global warming (All)</x:v>
      </x:c>
      <x:c r="I233" s="19" t="str">
        <x:v>0</x:v>
      </x:c>
      <x:c r="J233" s="19" t="n">
        <x:v>46260.107256944444</x:v>
      </x:c>
      <x:c r="K233" s="31" t="str">
        <x:v>data/fear-temperature/ngram/raw/e982c3b5d6e77fc759f19bb2931d892bfaa9221ade4a44977579a8d5a8afab71.json</x:v>
      </x:c>
      <x:c r="L233" s="19" t="str">
        <x:v>edd5437f92999c829c0fea3e5822ab6cb22f6b319b6eab7bc697d0dc4f6023f9</x:v>
      </x:c>
      <x:c r="M233" s="19" t="str">
        <x:v>03c6b3b7aec17c75d6066c3ad33475123246728a6d70514bc6c4b2fac975aa04</x:v>
      </x:c>
      <x:c r="N233" s="31" t="str">
        <x:v>FT-LF-GLOBAL_WARMING</x:v>
      </x:c>
      <x:c r="O233" s="31" t="str">
        <x:v>FT-C-GLOBAL_WARMING_ISSUE_LABEL</x:v>
      </x:c>
      <x:c r="P233" s="31" t="str">
        <x:v>FT-F03</x:v>
      </x:c>
      <x:c r="Q233" s="49" t="n">
        <x:v>0.00018793132328109863</x:v>
      </x:c>
    </x:row>
    <x:row r="234" ht="20" customHeight="1">
      <x:c r="A234" s="40" t="str">
        <x:v>FT-Q-V01-042</x:v>
      </x:c>
      <x:c r="B234" s="19" t="str">
        <x:v>global warming</x:v>
      </x:c>
      <x:c r="C234" s="31" t="str">
        <x:v>warming</x:v>
      </x:c>
      <x:c r="D234" s="25" t="n">
        <x:v>1890</x:v>
      </x:c>
      <x:c r="E234" s="46" t="n">
        <x:v>9.556582469816277e-10</x:v>
      </x:c>
      <x:c r="F234" s="19" t="str">
        <x:v>eng</x:v>
      </x:c>
      <x:c r="G234" s="19" t="str">
        <x:v>current English corpus (July 2024 dataset; public shorthand eng; mutable current corpus)</x:v>
      </x:c>
      <x:c r="H234" s="19" t="str">
        <x:v>global warming (All)</x:v>
      </x:c>
      <x:c r="I234" s="19" t="str">
        <x:v>0</x:v>
      </x:c>
      <x:c r="J234" s="19" t="n">
        <x:v>46260.107256944444</x:v>
      </x:c>
      <x:c r="K234" s="31" t="str">
        <x:v>data/fear-temperature/ngram/raw/e982c3b5d6e77fc759f19bb2931d892bfaa9221ade4a44977579a8d5a8afab71.json</x:v>
      </x:c>
      <x:c r="L234" s="19" t="str">
        <x:v>edd5437f92999c829c0fea3e5822ab6cb22f6b319b6eab7bc697d0dc4f6023f9</x:v>
      </x:c>
      <x:c r="M234" s="19" t="str">
        <x:v>03c6b3b7aec17c75d6066c3ad33475123246728a6d70514bc6c4b2fac975aa04</x:v>
      </x:c>
      <x:c r="N234" s="31" t="str">
        <x:v>FT-LF-GLOBAL_WARMING</x:v>
      </x:c>
      <x:c r="O234" s="31" t="str">
        <x:v>FT-C-GLOBAL_WARMING_ISSUE_LABEL</x:v>
      </x:c>
      <x:c r="P234" s="31" t="str">
        <x:v>FT-F03</x:v>
      </x:c>
      <x:c r="Q234" s="49" t="n">
        <x:v>0.0009556582469816277</x:v>
      </x:c>
    </x:row>
    <x:row r="235" ht="20" customHeight="1">
      <x:c r="A235" s="40" t="str">
        <x:v>FT-Q-V01-042</x:v>
      </x:c>
      <x:c r="B235" s="19" t="str">
        <x:v>global warming</x:v>
      </x:c>
      <x:c r="C235" s="31" t="str">
        <x:v>warming</x:v>
      </x:c>
      <x:c r="D235" s="25" t="n">
        <x:v>1891</x:v>
      </x:c>
      <x:c r="E235" s="46" t="n">
        <x:v>9.252848487406596e-10</x:v>
      </x:c>
      <x:c r="F235" s="19" t="str">
        <x:v>eng</x:v>
      </x:c>
      <x:c r="G235" s="19" t="str">
        <x:v>current English corpus (July 2024 dataset; public shorthand eng; mutable current corpus)</x:v>
      </x:c>
      <x:c r="H235" s="19" t="str">
        <x:v>global warming (All)</x:v>
      </x:c>
      <x:c r="I235" s="19" t="str">
        <x:v>0</x:v>
      </x:c>
      <x:c r="J235" s="19" t="n">
        <x:v>46260.107256944444</x:v>
      </x:c>
      <x:c r="K235" s="31" t="str">
        <x:v>data/fear-temperature/ngram/raw/e982c3b5d6e77fc759f19bb2931d892bfaa9221ade4a44977579a8d5a8afab71.json</x:v>
      </x:c>
      <x:c r="L235" s="19" t="str">
        <x:v>edd5437f92999c829c0fea3e5822ab6cb22f6b319b6eab7bc697d0dc4f6023f9</x:v>
      </x:c>
      <x:c r="M235" s="19" t="str">
        <x:v>03c6b3b7aec17c75d6066c3ad33475123246728a6d70514bc6c4b2fac975aa04</x:v>
      </x:c>
      <x:c r="N235" s="31" t="str">
        <x:v>FT-LF-GLOBAL_WARMING</x:v>
      </x:c>
      <x:c r="O235" s="31" t="str">
        <x:v>FT-C-GLOBAL_WARMING_ISSUE_LABEL</x:v>
      </x:c>
      <x:c r="P235" s="31" t="str">
        <x:v>FT-F03</x:v>
      </x:c>
      <x:c r="Q235" s="49" t="n">
        <x:v>0.0009252848487406596</x:v>
      </x:c>
    </x:row>
    <x:row r="236" ht="20" customHeight="1">
      <x:c r="A236" s="40" t="str">
        <x:v>FT-Q-V01-042</x:v>
      </x:c>
      <x:c r="B236" s="19" t="str">
        <x:v>global warming</x:v>
      </x:c>
      <x:c r="C236" s="31" t="str">
        <x:v>warming</x:v>
      </x:c>
      <x:c r="D236" s="25" t="n">
        <x:v>1892</x:v>
      </x:c>
      <x:c r="E236" s="46" t="n">
        <x:v>1.8153521741393064e-10</x:v>
      </x:c>
      <x:c r="F236" s="19" t="str">
        <x:v>eng</x:v>
      </x:c>
      <x:c r="G236" s="19" t="str">
        <x:v>current English corpus (July 2024 dataset; public shorthand eng; mutable current corpus)</x:v>
      </x:c>
      <x:c r="H236" s="19" t="str">
        <x:v>global warming (All)</x:v>
      </x:c>
      <x:c r="I236" s="19" t="str">
        <x:v>0</x:v>
      </x:c>
      <x:c r="J236" s="19" t="n">
        <x:v>46260.107256944444</x:v>
      </x:c>
      <x:c r="K236" s="31" t="str">
        <x:v>data/fear-temperature/ngram/raw/e982c3b5d6e77fc759f19bb2931d892bfaa9221ade4a44977579a8d5a8afab71.json</x:v>
      </x:c>
      <x:c r="L236" s="19" t="str">
        <x:v>edd5437f92999c829c0fea3e5822ab6cb22f6b319b6eab7bc697d0dc4f6023f9</x:v>
      </x:c>
      <x:c r="M236" s="19" t="str">
        <x:v>03c6b3b7aec17c75d6066c3ad33475123246728a6d70514bc6c4b2fac975aa04</x:v>
      </x:c>
      <x:c r="N236" s="31" t="str">
        <x:v>FT-LF-GLOBAL_WARMING</x:v>
      </x:c>
      <x:c r="O236" s="31" t="str">
        <x:v>FT-C-GLOBAL_WARMING_ISSUE_LABEL</x:v>
      </x:c>
      <x:c r="P236" s="31" t="str">
        <x:v>FT-F03</x:v>
      </x:c>
      <x:c r="Q236" s="49" t="n">
        <x:v>0.00018153521741393064</x:v>
      </x:c>
    </x:row>
    <x:row r="237" ht="20" customHeight="1">
      <x:c r="A237" s="40" t="str">
        <x:v>FT-Q-V01-042</x:v>
      </x:c>
      <x:c r="B237" s="19" t="str">
        <x:v>global warming</x:v>
      </x:c>
      <x:c r="C237" s="31" t="str">
        <x:v>warming</x:v>
      </x:c>
      <x:c r="D237" s="25" t="n">
        <x:v>1893</x:v>
      </x:c>
      <x:c r="E237" s="46" t="n">
        <x:v>3.422738759084609e-10</x:v>
      </x:c>
      <x:c r="F237" s="19" t="str">
        <x:v>eng</x:v>
      </x:c>
      <x:c r="G237" s="19" t="str">
        <x:v>current English corpus (July 2024 dataset; public shorthand eng; mutable current corpus)</x:v>
      </x:c>
      <x:c r="H237" s="19" t="str">
        <x:v>global warming (All)</x:v>
      </x:c>
      <x:c r="I237" s="19" t="str">
        <x:v>0</x:v>
      </x:c>
      <x:c r="J237" s="19" t="n">
        <x:v>46260.107256944444</x:v>
      </x:c>
      <x:c r="K237" s="31" t="str">
        <x:v>data/fear-temperature/ngram/raw/e982c3b5d6e77fc759f19bb2931d892bfaa9221ade4a44977579a8d5a8afab71.json</x:v>
      </x:c>
      <x:c r="L237" s="19" t="str">
        <x:v>edd5437f92999c829c0fea3e5822ab6cb22f6b319b6eab7bc697d0dc4f6023f9</x:v>
      </x:c>
      <x:c r="M237" s="19" t="str">
        <x:v>03c6b3b7aec17c75d6066c3ad33475123246728a6d70514bc6c4b2fac975aa04</x:v>
      </x:c>
      <x:c r="N237" s="31" t="str">
        <x:v>FT-LF-GLOBAL_WARMING</x:v>
      </x:c>
      <x:c r="O237" s="31" t="str">
        <x:v>FT-C-GLOBAL_WARMING_ISSUE_LABEL</x:v>
      </x:c>
      <x:c r="P237" s="31" t="str">
        <x:v>FT-F03</x:v>
      </x:c>
      <x:c r="Q237" s="49" t="n">
        <x:v>0.0003422738759084609</x:v>
      </x:c>
    </x:row>
    <x:row r="238" ht="20" customHeight="1">
      <x:c r="A238" s="40" t="str">
        <x:v>FT-Q-V01-042</x:v>
      </x:c>
      <x:c r="B238" s="19" t="str">
        <x:v>global warming</x:v>
      </x:c>
      <x:c r="C238" s="31" t="str">
        <x:v>warming</x:v>
      </x:c>
      <x:c r="D238" s="25" t="n">
        <x:v>1894</x:v>
      </x:c>
      <x:c r="E238" s="46" t="n">
        <x:v>0</x:v>
      </x:c>
      <x:c r="F238" s="19" t="str">
        <x:v>eng</x:v>
      </x:c>
      <x:c r="G238" s="19" t="str">
        <x:v>current English corpus (July 2024 dataset; public shorthand eng; mutable current corpus)</x:v>
      </x:c>
      <x:c r="H238" s="19" t="str">
        <x:v>global warming (All)</x:v>
      </x:c>
      <x:c r="I238" s="19" t="str">
        <x:v>0</x:v>
      </x:c>
      <x:c r="J238" s="19" t="n">
        <x:v>46260.107256944444</x:v>
      </x:c>
      <x:c r="K238" s="31" t="str">
        <x:v>data/fear-temperature/ngram/raw/e982c3b5d6e77fc759f19bb2931d892bfaa9221ade4a44977579a8d5a8afab71.json</x:v>
      </x:c>
      <x:c r="L238" s="19" t="str">
        <x:v>edd5437f92999c829c0fea3e5822ab6cb22f6b319b6eab7bc697d0dc4f6023f9</x:v>
      </x:c>
      <x:c r="M238" s="19" t="str">
        <x:v>03c6b3b7aec17c75d6066c3ad33475123246728a6d70514bc6c4b2fac975aa04</x:v>
      </x:c>
      <x:c r="N238" s="31" t="str">
        <x:v>FT-LF-GLOBAL_WARMING</x:v>
      </x:c>
      <x:c r="O238" s="31" t="str">
        <x:v>FT-C-GLOBAL_WARMING_ISSUE_LABEL</x:v>
      </x:c>
      <x:c r="P238" s="31" t="str">
        <x:v>FT-F03</x:v>
      </x:c>
      <x:c r="Q238" s="49" t="n">
        <x:v>0</x:v>
      </x:c>
    </x:row>
    <x:row r="239" ht="20" customHeight="1">
      <x:c r="A239" s="40" t="str">
        <x:v>FT-Q-V01-042</x:v>
      </x:c>
      <x:c r="B239" s="19" t="str">
        <x:v>global warming</x:v>
      </x:c>
      <x:c r="C239" s="31" t="str">
        <x:v>warming</x:v>
      </x:c>
      <x:c r="D239" s="25" t="n">
        <x:v>1895</x:v>
      </x:c>
      <x:c r="E239" s="46" t="n">
        <x:v>0</x:v>
      </x:c>
      <x:c r="F239" s="19" t="str">
        <x:v>eng</x:v>
      </x:c>
      <x:c r="G239" s="19" t="str">
        <x:v>current English corpus (July 2024 dataset; public shorthand eng; mutable current corpus)</x:v>
      </x:c>
      <x:c r="H239" s="19" t="str">
        <x:v>global warming (All)</x:v>
      </x:c>
      <x:c r="I239" s="19" t="str">
        <x:v>0</x:v>
      </x:c>
      <x:c r="J239" s="19" t="n">
        <x:v>46260.107256944444</x:v>
      </x:c>
      <x:c r="K239" s="31" t="str">
        <x:v>data/fear-temperature/ngram/raw/e982c3b5d6e77fc759f19bb2931d892bfaa9221ade4a44977579a8d5a8afab71.json</x:v>
      </x:c>
      <x:c r="L239" s="19" t="str">
        <x:v>edd5437f92999c829c0fea3e5822ab6cb22f6b319b6eab7bc697d0dc4f6023f9</x:v>
      </x:c>
      <x:c r="M239" s="19" t="str">
        <x:v>03c6b3b7aec17c75d6066c3ad33475123246728a6d70514bc6c4b2fac975aa04</x:v>
      </x:c>
      <x:c r="N239" s="31" t="str">
        <x:v>FT-LF-GLOBAL_WARMING</x:v>
      </x:c>
      <x:c r="O239" s="31" t="str">
        <x:v>FT-C-GLOBAL_WARMING_ISSUE_LABEL</x:v>
      </x:c>
      <x:c r="P239" s="31" t="str">
        <x:v>FT-F03</x:v>
      </x:c>
      <x:c r="Q239" s="49" t="n">
        <x:v>0</x:v>
      </x:c>
    </x:row>
    <x:row r="240" ht="20" customHeight="1">
      <x:c r="A240" s="40" t="str">
        <x:v>FT-Q-V01-042</x:v>
      </x:c>
      <x:c r="B240" s="19" t="str">
        <x:v>global warming</x:v>
      </x:c>
      <x:c r="C240" s="31" t="str">
        <x:v>warming</x:v>
      </x:c>
      <x:c r="D240" s="25" t="n">
        <x:v>1896</x:v>
      </x:c>
      <x:c r="E240" s="46" t="n">
        <x:v>0</x:v>
      </x:c>
      <x:c r="F240" s="19" t="str">
        <x:v>eng</x:v>
      </x:c>
      <x:c r="G240" s="19" t="str">
        <x:v>current English corpus (July 2024 dataset; public shorthand eng; mutable current corpus)</x:v>
      </x:c>
      <x:c r="H240" s="19" t="str">
        <x:v>global warming (All)</x:v>
      </x:c>
      <x:c r="I240" s="19" t="str">
        <x:v>0</x:v>
      </x:c>
      <x:c r="J240" s="19" t="n">
        <x:v>46260.107256944444</x:v>
      </x:c>
      <x:c r="K240" s="31" t="str">
        <x:v>data/fear-temperature/ngram/raw/e982c3b5d6e77fc759f19bb2931d892bfaa9221ade4a44977579a8d5a8afab71.json</x:v>
      </x:c>
      <x:c r="L240" s="19" t="str">
        <x:v>edd5437f92999c829c0fea3e5822ab6cb22f6b319b6eab7bc697d0dc4f6023f9</x:v>
      </x:c>
      <x:c r="M240" s="19" t="str">
        <x:v>03c6b3b7aec17c75d6066c3ad33475123246728a6d70514bc6c4b2fac975aa04</x:v>
      </x:c>
      <x:c r="N240" s="31" t="str">
        <x:v>FT-LF-GLOBAL_WARMING</x:v>
      </x:c>
      <x:c r="O240" s="31" t="str">
        <x:v>FT-C-GLOBAL_WARMING_ISSUE_LABEL</x:v>
      </x:c>
      <x:c r="P240" s="31" t="str">
        <x:v>FT-F03</x:v>
      </x:c>
      <x:c r="Q240" s="49" t="n">
        <x:v>0</x:v>
      </x:c>
    </x:row>
    <x:row r="241" ht="20" customHeight="1">
      <x:c r="A241" s="40" t="str">
        <x:v>FT-Q-V01-042</x:v>
      </x:c>
      <x:c r="B241" s="19" t="str">
        <x:v>global warming</x:v>
      </x:c>
      <x:c r="C241" s="31" t="str">
        <x:v>warming</x:v>
      </x:c>
      <x:c r="D241" s="25" t="n">
        <x:v>1897</x:v>
      </x:c>
      <x:c r="E241" s="46" t="n">
        <x:v>4.5397846593075997e-10</x:v>
      </x:c>
      <x:c r="F241" s="19" t="str">
        <x:v>eng</x:v>
      </x:c>
      <x:c r="G241" s="19" t="str">
        <x:v>current English corpus (July 2024 dataset; public shorthand eng; mutable current corpus)</x:v>
      </x:c>
      <x:c r="H241" s="19" t="str">
        <x:v>global warming (All)</x:v>
      </x:c>
      <x:c r="I241" s="19" t="str">
        <x:v>0</x:v>
      </x:c>
      <x:c r="J241" s="19" t="n">
        <x:v>46260.107256944444</x:v>
      </x:c>
      <x:c r="K241" s="31" t="str">
        <x:v>data/fear-temperature/ngram/raw/e982c3b5d6e77fc759f19bb2931d892bfaa9221ade4a44977579a8d5a8afab71.json</x:v>
      </x:c>
      <x:c r="L241" s="19" t="str">
        <x:v>edd5437f92999c829c0fea3e5822ab6cb22f6b319b6eab7bc697d0dc4f6023f9</x:v>
      </x:c>
      <x:c r="M241" s="19" t="str">
        <x:v>03c6b3b7aec17c75d6066c3ad33475123246728a6d70514bc6c4b2fac975aa04</x:v>
      </x:c>
      <x:c r="N241" s="31" t="str">
        <x:v>FT-LF-GLOBAL_WARMING</x:v>
      </x:c>
      <x:c r="O241" s="31" t="str">
        <x:v>FT-C-GLOBAL_WARMING_ISSUE_LABEL</x:v>
      </x:c>
      <x:c r="P241" s="31" t="str">
        <x:v>FT-F03</x:v>
      </x:c>
      <x:c r="Q241" s="49" t="n">
        <x:v>0.00045397846593075997</x:v>
      </x:c>
    </x:row>
    <x:row r="242" ht="20" customHeight="1">
      <x:c r="A242" s="40" t="str">
        <x:v>FT-Q-V01-042</x:v>
      </x:c>
      <x:c r="B242" s="19" t="str">
        <x:v>global warming</x:v>
      </x:c>
      <x:c r="C242" s="31" t="str">
        <x:v>warming</x:v>
      </x:c>
      <x:c r="D242" s="25" t="n">
        <x:v>1898</x:v>
      </x:c>
      <x:c r="E242" s="46" t="n">
        <x:v>1.4743128939898043e-10</x:v>
      </x:c>
      <x:c r="F242" s="19" t="str">
        <x:v>eng</x:v>
      </x:c>
      <x:c r="G242" s="19" t="str">
        <x:v>current English corpus (July 2024 dataset; public shorthand eng; mutable current corpus)</x:v>
      </x:c>
      <x:c r="H242" s="19" t="str">
        <x:v>global warming (All)</x:v>
      </x:c>
      <x:c r="I242" s="19" t="str">
        <x:v>0</x:v>
      </x:c>
      <x:c r="J242" s="19" t="n">
        <x:v>46260.107256944444</x:v>
      </x:c>
      <x:c r="K242" s="31" t="str">
        <x:v>data/fear-temperature/ngram/raw/e982c3b5d6e77fc759f19bb2931d892bfaa9221ade4a44977579a8d5a8afab71.json</x:v>
      </x:c>
      <x:c r="L242" s="19" t="str">
        <x:v>edd5437f92999c829c0fea3e5822ab6cb22f6b319b6eab7bc697d0dc4f6023f9</x:v>
      </x:c>
      <x:c r="M242" s="19" t="str">
        <x:v>03c6b3b7aec17c75d6066c3ad33475123246728a6d70514bc6c4b2fac975aa04</x:v>
      </x:c>
      <x:c r="N242" s="31" t="str">
        <x:v>FT-LF-GLOBAL_WARMING</x:v>
      </x:c>
      <x:c r="O242" s="31" t="str">
        <x:v>FT-C-GLOBAL_WARMING_ISSUE_LABEL</x:v>
      </x:c>
      <x:c r="P242" s="31" t="str">
        <x:v>FT-F03</x:v>
      </x:c>
      <x:c r="Q242" s="49" t="n">
        <x:v>0.00014743128939898043</x:v>
      </x:c>
    </x:row>
    <x:row r="243" ht="20" customHeight="1">
      <x:c r="A243" s="40" t="str">
        <x:v>FT-Q-V01-042</x:v>
      </x:c>
      <x:c r="B243" s="19" t="str">
        <x:v>global warming</x:v>
      </x:c>
      <x:c r="C243" s="31" t="str">
        <x:v>warming</x:v>
      </x:c>
      <x:c r="D243" s="25" t="n">
        <x:v>1899</x:v>
      </x:c>
      <x:c r="E243" s="46" t="n">
        <x:v>0</x:v>
      </x:c>
      <x:c r="F243" s="19" t="str">
        <x:v>eng</x:v>
      </x:c>
      <x:c r="G243" s="19" t="str">
        <x:v>current English corpus (July 2024 dataset; public shorthand eng; mutable current corpus)</x:v>
      </x:c>
      <x:c r="H243" s="19" t="str">
        <x:v>global warming (All)</x:v>
      </x:c>
      <x:c r="I243" s="19" t="str">
        <x:v>0</x:v>
      </x:c>
      <x:c r="J243" s="19" t="n">
        <x:v>46260.107256944444</x:v>
      </x:c>
      <x:c r="K243" s="31" t="str">
        <x:v>data/fear-temperature/ngram/raw/e982c3b5d6e77fc759f19bb2931d892bfaa9221ade4a44977579a8d5a8afab71.json</x:v>
      </x:c>
      <x:c r="L243" s="19" t="str">
        <x:v>edd5437f92999c829c0fea3e5822ab6cb22f6b319b6eab7bc697d0dc4f6023f9</x:v>
      </x:c>
      <x:c r="M243" s="19" t="str">
        <x:v>03c6b3b7aec17c75d6066c3ad33475123246728a6d70514bc6c4b2fac975aa04</x:v>
      </x:c>
      <x:c r="N243" s="31" t="str">
        <x:v>FT-LF-GLOBAL_WARMING</x:v>
      </x:c>
      <x:c r="O243" s="31" t="str">
        <x:v>FT-C-GLOBAL_WARMING_ISSUE_LABEL</x:v>
      </x:c>
      <x:c r="P243" s="31" t="str">
        <x:v>FT-F03</x:v>
      </x:c>
      <x:c r="Q243" s="49" t="n">
        <x:v>0</x:v>
      </x:c>
    </x:row>
    <x:row r="244" ht="20" customHeight="1">
      <x:c r="A244" s="40" t="str">
        <x:v>FT-Q-V01-042</x:v>
      </x:c>
      <x:c r="B244" s="19" t="str">
        <x:v>global warming</x:v>
      </x:c>
      <x:c r="C244" s="31" t="str">
        <x:v>warming</x:v>
      </x:c>
      <x:c r="D244" s="25" t="n">
        <x:v>1900</x:v>
      </x:c>
      <x:c r="E244" s="46" t="n">
        <x:v>1.988116171691701e-8</x:v>
      </x:c>
      <x:c r="F244" s="19" t="str">
        <x:v>eng</x:v>
      </x:c>
      <x:c r="G244" s="19" t="str">
        <x:v>current English corpus (July 2024 dataset; public shorthand eng; mutable current corpus)</x:v>
      </x:c>
      <x:c r="H244" s="19" t="str">
        <x:v>global warming (All)</x:v>
      </x:c>
      <x:c r="I244" s="19" t="str">
        <x:v>0</x:v>
      </x:c>
      <x:c r="J244" s="19" t="n">
        <x:v>46260.107256944444</x:v>
      </x:c>
      <x:c r="K244" s="31" t="str">
        <x:v>data/fear-temperature/ngram/raw/e982c3b5d6e77fc759f19bb2931d892bfaa9221ade4a44977579a8d5a8afab71.json</x:v>
      </x:c>
      <x:c r="L244" s="19" t="str">
        <x:v>edd5437f92999c829c0fea3e5822ab6cb22f6b319b6eab7bc697d0dc4f6023f9</x:v>
      </x:c>
      <x:c r="M244" s="19" t="str">
        <x:v>03c6b3b7aec17c75d6066c3ad33475123246728a6d70514bc6c4b2fac975aa04</x:v>
      </x:c>
      <x:c r="N244" s="31" t="str">
        <x:v>FT-LF-GLOBAL_WARMING</x:v>
      </x:c>
      <x:c r="O244" s="31" t="str">
        <x:v>FT-C-GLOBAL_WARMING_ISSUE_LABEL</x:v>
      </x:c>
      <x:c r="P244" s="31" t="str">
        <x:v>FT-F03</x:v>
      </x:c>
      <x:c r="Q244" s="49" t="n">
        <x:v>0.01988116171691701</x:v>
      </x:c>
    </x:row>
    <x:row r="245" ht="20" customHeight="1">
      <x:c r="A245" s="40" t="str">
        <x:v>FT-Q-V01-042</x:v>
      </x:c>
      <x:c r="B245" s="19" t="str">
        <x:v>global warming</x:v>
      </x:c>
      <x:c r="C245" s="31" t="str">
        <x:v>warming</x:v>
      </x:c>
      <x:c r="D245" s="25" t="n">
        <x:v>1901</x:v>
      </x:c>
      <x:c r="E245" s="46" t="n">
        <x:v>1.7491970649707866e-8</x:v>
      </x:c>
      <x:c r="F245" s="19" t="str">
        <x:v>eng</x:v>
      </x:c>
      <x:c r="G245" s="19" t="str">
        <x:v>current English corpus (July 2024 dataset; public shorthand eng; mutable current corpus)</x:v>
      </x:c>
      <x:c r="H245" s="19" t="str">
        <x:v>global warming (All)</x:v>
      </x:c>
      <x:c r="I245" s="19" t="str">
        <x:v>0</x:v>
      </x:c>
      <x:c r="J245" s="19" t="n">
        <x:v>46260.107256944444</x:v>
      </x:c>
      <x:c r="K245" s="31" t="str">
        <x:v>data/fear-temperature/ngram/raw/e982c3b5d6e77fc759f19bb2931d892bfaa9221ade4a44977579a8d5a8afab71.json</x:v>
      </x:c>
      <x:c r="L245" s="19" t="str">
        <x:v>edd5437f92999c829c0fea3e5822ab6cb22f6b319b6eab7bc697d0dc4f6023f9</x:v>
      </x:c>
      <x:c r="M245" s="19" t="str">
        <x:v>03c6b3b7aec17c75d6066c3ad33475123246728a6d70514bc6c4b2fac975aa04</x:v>
      </x:c>
      <x:c r="N245" s="31" t="str">
        <x:v>FT-LF-GLOBAL_WARMING</x:v>
      </x:c>
      <x:c r="O245" s="31" t="str">
        <x:v>FT-C-GLOBAL_WARMING_ISSUE_LABEL</x:v>
      </x:c>
      <x:c r="P245" s="31" t="str">
        <x:v>FT-F03</x:v>
      </x:c>
      <x:c r="Q245" s="49" t="n">
        <x:v>0.017491970649707866</x:v>
      </x:c>
    </x:row>
    <x:row r="246" ht="20" customHeight="1">
      <x:c r="A246" s="40" t="str">
        <x:v>FT-Q-V01-042</x:v>
      </x:c>
      <x:c r="B246" s="19" t="str">
        <x:v>global warming</x:v>
      </x:c>
      <x:c r="C246" s="31" t="str">
        <x:v>warming</x:v>
      </x:c>
      <x:c r="D246" s="25" t="n">
        <x:v>1902</x:v>
      </x:c>
      <x:c r="E246" s="46" t="n">
        <x:v>3.825135624913045e-10</x:v>
      </x:c>
      <x:c r="F246" s="19" t="str">
        <x:v>eng</x:v>
      </x:c>
      <x:c r="G246" s="19" t="str">
        <x:v>current English corpus (July 2024 dataset; public shorthand eng; mutable current corpus)</x:v>
      </x:c>
      <x:c r="H246" s="19" t="str">
        <x:v>global warming (All)</x:v>
      </x:c>
      <x:c r="I246" s="19" t="str">
        <x:v>0</x:v>
      </x:c>
      <x:c r="J246" s="19" t="n">
        <x:v>46260.107256944444</x:v>
      </x:c>
      <x:c r="K246" s="31" t="str">
        <x:v>data/fear-temperature/ngram/raw/e982c3b5d6e77fc759f19bb2931d892bfaa9221ade4a44977579a8d5a8afab71.json</x:v>
      </x:c>
      <x:c r="L246" s="19" t="str">
        <x:v>edd5437f92999c829c0fea3e5822ab6cb22f6b319b6eab7bc697d0dc4f6023f9</x:v>
      </x:c>
      <x:c r="M246" s="19" t="str">
        <x:v>03c6b3b7aec17c75d6066c3ad33475123246728a6d70514bc6c4b2fac975aa04</x:v>
      </x:c>
      <x:c r="N246" s="31" t="str">
        <x:v>FT-LF-GLOBAL_WARMING</x:v>
      </x:c>
      <x:c r="O246" s="31" t="str">
        <x:v>FT-C-GLOBAL_WARMING_ISSUE_LABEL</x:v>
      </x:c>
      <x:c r="P246" s="31" t="str">
        <x:v>FT-F03</x:v>
      </x:c>
      <x:c r="Q246" s="49" t="n">
        <x:v>0.00038251356249130447</x:v>
      </x:c>
    </x:row>
    <x:row r="247" ht="20" customHeight="1">
      <x:c r="A247" s="40" t="str">
        <x:v>FT-Q-V01-042</x:v>
      </x:c>
      <x:c r="B247" s="19" t="str">
        <x:v>global warming</x:v>
      </x:c>
      <x:c r="C247" s="31" t="str">
        <x:v>warming</x:v>
      </x:c>
      <x:c r="D247" s="25" t="n">
        <x:v>1903</x:v>
      </x:c>
      <x:c r="E247" s="46" t="n">
        <x:v>0</x:v>
      </x:c>
      <x:c r="F247" s="19" t="str">
        <x:v>eng</x:v>
      </x:c>
      <x:c r="G247" s="19" t="str">
        <x:v>current English corpus (July 2024 dataset; public shorthand eng; mutable current corpus)</x:v>
      </x:c>
      <x:c r="H247" s="19" t="str">
        <x:v>global warming (All)</x:v>
      </x:c>
      <x:c r="I247" s="19" t="str">
        <x:v>0</x:v>
      </x:c>
      <x:c r="J247" s="19" t="n">
        <x:v>46260.107256944444</x:v>
      </x:c>
      <x:c r="K247" s="31" t="str">
        <x:v>data/fear-temperature/ngram/raw/e982c3b5d6e77fc759f19bb2931d892bfaa9221ade4a44977579a8d5a8afab71.json</x:v>
      </x:c>
      <x:c r="L247" s="19" t="str">
        <x:v>edd5437f92999c829c0fea3e5822ab6cb22f6b319b6eab7bc697d0dc4f6023f9</x:v>
      </x:c>
      <x:c r="M247" s="19" t="str">
        <x:v>03c6b3b7aec17c75d6066c3ad33475123246728a6d70514bc6c4b2fac975aa04</x:v>
      </x:c>
      <x:c r="N247" s="31" t="str">
        <x:v>FT-LF-GLOBAL_WARMING</x:v>
      </x:c>
      <x:c r="O247" s="31" t="str">
        <x:v>FT-C-GLOBAL_WARMING_ISSUE_LABEL</x:v>
      </x:c>
      <x:c r="P247" s="31" t="str">
        <x:v>FT-F03</x:v>
      </x:c>
      <x:c r="Q247" s="49" t="n">
        <x:v>0</x:v>
      </x:c>
    </x:row>
    <x:row r="248" ht="20" customHeight="1">
      <x:c r="A248" s="40" t="str">
        <x:v>FT-Q-V01-042</x:v>
      </x:c>
      <x:c r="B248" s="19" t="str">
        <x:v>global warming</x:v>
      </x:c>
      <x:c r="C248" s="31" t="str">
        <x:v>warming</x:v>
      </x:c>
      <x:c r="D248" s="25" t="n">
        <x:v>1904</x:v>
      </x:c>
      <x:c r="E248" s="46" t="n">
        <x:v>0</x:v>
      </x:c>
      <x:c r="F248" s="19" t="str">
        <x:v>eng</x:v>
      </x:c>
      <x:c r="G248" s="19" t="str">
        <x:v>current English corpus (July 2024 dataset; public shorthand eng; mutable current corpus)</x:v>
      </x:c>
      <x:c r="H248" s="19" t="str">
        <x:v>global warming (All)</x:v>
      </x:c>
      <x:c r="I248" s="19" t="str">
        <x:v>0</x:v>
      </x:c>
      <x:c r="J248" s="19" t="n">
        <x:v>46260.107256944444</x:v>
      </x:c>
      <x:c r="K248" s="31" t="str">
        <x:v>data/fear-temperature/ngram/raw/e982c3b5d6e77fc759f19bb2931d892bfaa9221ade4a44977579a8d5a8afab71.json</x:v>
      </x:c>
      <x:c r="L248" s="19" t="str">
        <x:v>edd5437f92999c829c0fea3e5822ab6cb22f6b319b6eab7bc697d0dc4f6023f9</x:v>
      </x:c>
      <x:c r="M248" s="19" t="str">
        <x:v>03c6b3b7aec17c75d6066c3ad33475123246728a6d70514bc6c4b2fac975aa04</x:v>
      </x:c>
      <x:c r="N248" s="31" t="str">
        <x:v>FT-LF-GLOBAL_WARMING</x:v>
      </x:c>
      <x:c r="O248" s="31" t="str">
        <x:v>FT-C-GLOBAL_WARMING_ISSUE_LABEL</x:v>
      </x:c>
      <x:c r="P248" s="31" t="str">
        <x:v>FT-F03</x:v>
      </x:c>
      <x:c r="Q248" s="49" t="n">
        <x:v>0</x:v>
      </x:c>
    </x:row>
    <x:row r="249" ht="20" customHeight="1">
      <x:c r="A249" s="40" t="str">
        <x:v>FT-Q-V01-042</x:v>
      </x:c>
      <x:c r="B249" s="19" t="str">
        <x:v>global warming</x:v>
      </x:c>
      <x:c r="C249" s="31" t="str">
        <x:v>warming</x:v>
      </x:c>
      <x:c r="D249" s="25" t="n">
        <x:v>1905</x:v>
      </x:c>
      <x:c r="E249" s="46" t="n">
        <x:v>1.1753038819950487e-10</x:v>
      </x:c>
      <x:c r="F249" s="19" t="str">
        <x:v>eng</x:v>
      </x:c>
      <x:c r="G249" s="19" t="str">
        <x:v>current English corpus (July 2024 dataset; public shorthand eng; mutable current corpus)</x:v>
      </x:c>
      <x:c r="H249" s="19" t="str">
        <x:v>global warming (All)</x:v>
      </x:c>
      <x:c r="I249" s="19" t="str">
        <x:v>0</x:v>
      </x:c>
      <x:c r="J249" s="19" t="n">
        <x:v>46260.107256944444</x:v>
      </x:c>
      <x:c r="K249" s="31" t="str">
        <x:v>data/fear-temperature/ngram/raw/e982c3b5d6e77fc759f19bb2931d892bfaa9221ade4a44977579a8d5a8afab71.json</x:v>
      </x:c>
      <x:c r="L249" s="19" t="str">
        <x:v>edd5437f92999c829c0fea3e5822ab6cb22f6b319b6eab7bc697d0dc4f6023f9</x:v>
      </x:c>
      <x:c r="M249" s="19" t="str">
        <x:v>03c6b3b7aec17c75d6066c3ad33475123246728a6d70514bc6c4b2fac975aa04</x:v>
      </x:c>
      <x:c r="N249" s="31" t="str">
        <x:v>FT-LF-GLOBAL_WARMING</x:v>
      </x:c>
      <x:c r="O249" s="31" t="str">
        <x:v>FT-C-GLOBAL_WARMING_ISSUE_LABEL</x:v>
      </x:c>
      <x:c r="P249" s="31" t="str">
        <x:v>FT-F03</x:v>
      </x:c>
      <x:c r="Q249" s="49" t="n">
        <x:v>0.00011753038819950487</x:v>
      </x:c>
    </x:row>
    <x:row r="250" ht="20" customHeight="1">
      <x:c r="A250" s="40" t="str">
        <x:v>FT-Q-V01-042</x:v>
      </x:c>
      <x:c r="B250" s="19" t="str">
        <x:v>global warming</x:v>
      </x:c>
      <x:c r="C250" s="31" t="str">
        <x:v>warming</x:v>
      </x:c>
      <x:c r="D250" s="25" t="n">
        <x:v>1906</x:v>
      </x:c>
      <x:c r="E250" s="46" t="n">
        <x:v>4.4847114910595565e-10</x:v>
      </x:c>
      <x:c r="F250" s="19" t="str">
        <x:v>eng</x:v>
      </x:c>
      <x:c r="G250" s="19" t="str">
        <x:v>current English corpus (July 2024 dataset; public shorthand eng; mutable current corpus)</x:v>
      </x:c>
      <x:c r="H250" s="19" t="str">
        <x:v>global warming (All)</x:v>
      </x:c>
      <x:c r="I250" s="19" t="str">
        <x:v>0</x:v>
      </x:c>
      <x:c r="J250" s="19" t="n">
        <x:v>46260.107256944444</x:v>
      </x:c>
      <x:c r="K250" s="31" t="str">
        <x:v>data/fear-temperature/ngram/raw/e982c3b5d6e77fc759f19bb2931d892bfaa9221ade4a44977579a8d5a8afab71.json</x:v>
      </x:c>
      <x:c r="L250" s="19" t="str">
        <x:v>edd5437f92999c829c0fea3e5822ab6cb22f6b319b6eab7bc697d0dc4f6023f9</x:v>
      </x:c>
      <x:c r="M250" s="19" t="str">
        <x:v>03c6b3b7aec17c75d6066c3ad33475123246728a6d70514bc6c4b2fac975aa04</x:v>
      </x:c>
      <x:c r="N250" s="31" t="str">
        <x:v>FT-LF-GLOBAL_WARMING</x:v>
      </x:c>
      <x:c r="O250" s="31" t="str">
        <x:v>FT-C-GLOBAL_WARMING_ISSUE_LABEL</x:v>
      </x:c>
      <x:c r="P250" s="31" t="str">
        <x:v>FT-F03</x:v>
      </x:c>
      <x:c r="Q250" s="49" t="n">
        <x:v>0.00044847114910595565</x:v>
      </x:c>
    </x:row>
    <x:row r="251" ht="20" customHeight="1">
      <x:c r="A251" s="40" t="str">
        <x:v>FT-Q-V01-042</x:v>
      </x:c>
      <x:c r="B251" s="19" t="str">
        <x:v>global warming</x:v>
      </x:c>
      <x:c r="C251" s="31" t="str">
        <x:v>warming</x:v>
      </x:c>
      <x:c r="D251" s="25" t="n">
        <x:v>1907</x:v>
      </x:c>
      <x:c r="E251" s="46" t="n">
        <x:v>1.8607763108136055e-9</x:v>
      </x:c>
      <x:c r="F251" s="19" t="str">
        <x:v>eng</x:v>
      </x:c>
      <x:c r="G251" s="19" t="str">
        <x:v>current English corpus (July 2024 dataset; public shorthand eng; mutable current corpus)</x:v>
      </x:c>
      <x:c r="H251" s="19" t="str">
        <x:v>global warming (All)</x:v>
      </x:c>
      <x:c r="I251" s="19" t="str">
        <x:v>0</x:v>
      </x:c>
      <x:c r="J251" s="19" t="n">
        <x:v>46260.107256944444</x:v>
      </x:c>
      <x:c r="K251" s="31" t="str">
        <x:v>data/fear-temperature/ngram/raw/e982c3b5d6e77fc759f19bb2931d892bfaa9221ade4a44977579a8d5a8afab71.json</x:v>
      </x:c>
      <x:c r="L251" s="19" t="str">
        <x:v>edd5437f92999c829c0fea3e5822ab6cb22f6b319b6eab7bc697d0dc4f6023f9</x:v>
      </x:c>
      <x:c r="M251" s="19" t="str">
        <x:v>03c6b3b7aec17c75d6066c3ad33475123246728a6d70514bc6c4b2fac975aa04</x:v>
      </x:c>
      <x:c r="N251" s="31" t="str">
        <x:v>FT-LF-GLOBAL_WARMING</x:v>
      </x:c>
      <x:c r="O251" s="31" t="str">
        <x:v>FT-C-GLOBAL_WARMING_ISSUE_LABEL</x:v>
      </x:c>
      <x:c r="P251" s="31" t="str">
        <x:v>FT-F03</x:v>
      </x:c>
      <x:c r="Q251" s="49" t="n">
        <x:v>0.0018607763108136055</x:v>
      </x:c>
    </x:row>
    <x:row r="252" ht="20" customHeight="1">
      <x:c r="A252" s="40" t="str">
        <x:v>FT-Q-V01-042</x:v>
      </x:c>
      <x:c r="B252" s="19" t="str">
        <x:v>global warming</x:v>
      </x:c>
      <x:c r="C252" s="31" t="str">
        <x:v>warming</x:v>
      </x:c>
      <x:c r="D252" s="25" t="n">
        <x:v>1908</x:v>
      </x:c>
      <x:c r="E252" s="46" t="n">
        <x:v>0</x:v>
      </x:c>
      <x:c r="F252" s="19" t="str">
        <x:v>eng</x:v>
      </x:c>
      <x:c r="G252" s="19" t="str">
        <x:v>current English corpus (July 2024 dataset; public shorthand eng; mutable current corpus)</x:v>
      </x:c>
      <x:c r="H252" s="19" t="str">
        <x:v>global warming (All)</x:v>
      </x:c>
      <x:c r="I252" s="19" t="str">
        <x:v>0</x:v>
      </x:c>
      <x:c r="J252" s="19" t="n">
        <x:v>46260.107256944444</x:v>
      </x:c>
      <x:c r="K252" s="31" t="str">
        <x:v>data/fear-temperature/ngram/raw/e982c3b5d6e77fc759f19bb2931d892bfaa9221ade4a44977579a8d5a8afab71.json</x:v>
      </x:c>
      <x:c r="L252" s="19" t="str">
        <x:v>edd5437f92999c829c0fea3e5822ab6cb22f6b319b6eab7bc697d0dc4f6023f9</x:v>
      </x:c>
      <x:c r="M252" s="19" t="str">
        <x:v>03c6b3b7aec17c75d6066c3ad33475123246728a6d70514bc6c4b2fac975aa04</x:v>
      </x:c>
      <x:c r="N252" s="31" t="str">
        <x:v>FT-LF-GLOBAL_WARMING</x:v>
      </x:c>
      <x:c r="O252" s="31" t="str">
        <x:v>FT-C-GLOBAL_WARMING_ISSUE_LABEL</x:v>
      </x:c>
      <x:c r="P252" s="31" t="str">
        <x:v>FT-F03</x:v>
      </x:c>
      <x:c r="Q252" s="49" t="n">
        <x:v>0</x:v>
      </x:c>
    </x:row>
    <x:row r="253" ht="20" customHeight="1">
      <x:c r="A253" s="40" t="str">
        <x:v>FT-Q-V01-042</x:v>
      </x:c>
      <x:c r="B253" s="19" t="str">
        <x:v>global warming</x:v>
      </x:c>
      <x:c r="C253" s="31" t="str">
        <x:v>warming</x:v>
      </x:c>
      <x:c r="D253" s="25" t="n">
        <x:v>1909</x:v>
      </x:c>
      <x:c r="E253" s="46" t="n">
        <x:v>1.0979941955646663e-10</x:v>
      </x:c>
      <x:c r="F253" s="19" t="str">
        <x:v>eng</x:v>
      </x:c>
      <x:c r="G253" s="19" t="str">
        <x:v>current English corpus (July 2024 dataset; public shorthand eng; mutable current corpus)</x:v>
      </x:c>
      <x:c r="H253" s="19" t="str">
        <x:v>global warming (All)</x:v>
      </x:c>
      <x:c r="I253" s="19" t="str">
        <x:v>0</x:v>
      </x:c>
      <x:c r="J253" s="19" t="n">
        <x:v>46260.107256944444</x:v>
      </x:c>
      <x:c r="K253" s="31" t="str">
        <x:v>data/fear-temperature/ngram/raw/e982c3b5d6e77fc759f19bb2931d892bfaa9221ade4a44977579a8d5a8afab71.json</x:v>
      </x:c>
      <x:c r="L253" s="19" t="str">
        <x:v>edd5437f92999c829c0fea3e5822ab6cb22f6b319b6eab7bc697d0dc4f6023f9</x:v>
      </x:c>
      <x:c r="M253" s="19" t="str">
        <x:v>03c6b3b7aec17c75d6066c3ad33475123246728a6d70514bc6c4b2fac975aa04</x:v>
      </x:c>
      <x:c r="N253" s="31" t="str">
        <x:v>FT-LF-GLOBAL_WARMING</x:v>
      </x:c>
      <x:c r="O253" s="31" t="str">
        <x:v>FT-C-GLOBAL_WARMING_ISSUE_LABEL</x:v>
      </x:c>
      <x:c r="P253" s="31" t="str">
        <x:v>FT-F03</x:v>
      </x:c>
      <x:c r="Q253" s="49" t="n">
        <x:v>0.00010979941955646663</x:v>
      </x:c>
    </x:row>
    <x:row r="254" ht="20" customHeight="1">
      <x:c r="A254" s="40" t="str">
        <x:v>FT-Q-V01-042</x:v>
      </x:c>
      <x:c r="B254" s="19" t="str">
        <x:v>global warming</x:v>
      </x:c>
      <x:c r="C254" s="31" t="str">
        <x:v>warming</x:v>
      </x:c>
      <x:c r="D254" s="25" t="n">
        <x:v>1910</x:v>
      </x:c>
      <x:c r="E254" s="46" t="n">
        <x:v>1.0218487167534815e-10</x:v>
      </x:c>
      <x:c r="F254" s="19" t="str">
        <x:v>eng</x:v>
      </x:c>
      <x:c r="G254" s="19" t="str">
        <x:v>current English corpus (July 2024 dataset; public shorthand eng; mutable current corpus)</x:v>
      </x:c>
      <x:c r="H254" s="19" t="str">
        <x:v>global warming (All)</x:v>
      </x:c>
      <x:c r="I254" s="19" t="str">
        <x:v>0</x:v>
      </x:c>
      <x:c r="J254" s="19" t="n">
        <x:v>46260.107256944444</x:v>
      </x:c>
      <x:c r="K254" s="31" t="str">
        <x:v>data/fear-temperature/ngram/raw/e982c3b5d6e77fc759f19bb2931d892bfaa9221ade4a44977579a8d5a8afab71.json</x:v>
      </x:c>
      <x:c r="L254" s="19" t="str">
        <x:v>edd5437f92999c829c0fea3e5822ab6cb22f6b319b6eab7bc697d0dc4f6023f9</x:v>
      </x:c>
      <x:c r="M254" s="19" t="str">
        <x:v>03c6b3b7aec17c75d6066c3ad33475123246728a6d70514bc6c4b2fac975aa04</x:v>
      </x:c>
      <x:c r="N254" s="31" t="str">
        <x:v>FT-LF-GLOBAL_WARMING</x:v>
      </x:c>
      <x:c r="O254" s="31" t="str">
        <x:v>FT-C-GLOBAL_WARMING_ISSUE_LABEL</x:v>
      </x:c>
      <x:c r="P254" s="31" t="str">
        <x:v>FT-F03</x:v>
      </x:c>
      <x:c r="Q254" s="49" t="n">
        <x:v>0.00010218487167534815</x:v>
      </x:c>
    </x:row>
    <x:row r="255" ht="20" customHeight="1">
      <x:c r="A255" s="40" t="str">
        <x:v>FT-Q-V01-042</x:v>
      </x:c>
      <x:c r="B255" s="19" t="str">
        <x:v>global warming</x:v>
      </x:c>
      <x:c r="C255" s="31" t="str">
        <x:v>warming</x:v>
      </x:c>
      <x:c r="D255" s="25" t="n">
        <x:v>1911</x:v>
      </x:c>
      <x:c r="E255" s="46" t="n">
        <x:v>0</x:v>
      </x:c>
      <x:c r="F255" s="19" t="str">
        <x:v>eng</x:v>
      </x:c>
      <x:c r="G255" s="19" t="str">
        <x:v>current English corpus (July 2024 dataset; public shorthand eng; mutable current corpus)</x:v>
      </x:c>
      <x:c r="H255" s="19" t="str">
        <x:v>global warming (All)</x:v>
      </x:c>
      <x:c r="I255" s="19" t="str">
        <x:v>0</x:v>
      </x:c>
      <x:c r="J255" s="19" t="n">
        <x:v>46260.107256944444</x:v>
      </x:c>
      <x:c r="K255" s="31" t="str">
        <x:v>data/fear-temperature/ngram/raw/e982c3b5d6e77fc759f19bb2931d892bfaa9221ade4a44977579a8d5a8afab71.json</x:v>
      </x:c>
      <x:c r="L255" s="19" t="str">
        <x:v>edd5437f92999c829c0fea3e5822ab6cb22f6b319b6eab7bc697d0dc4f6023f9</x:v>
      </x:c>
      <x:c r="M255" s="19" t="str">
        <x:v>03c6b3b7aec17c75d6066c3ad33475123246728a6d70514bc6c4b2fac975aa04</x:v>
      </x:c>
      <x:c r="N255" s="31" t="str">
        <x:v>FT-LF-GLOBAL_WARMING</x:v>
      </x:c>
      <x:c r="O255" s="31" t="str">
        <x:v>FT-C-GLOBAL_WARMING_ISSUE_LABEL</x:v>
      </x:c>
      <x:c r="P255" s="31" t="str">
        <x:v>FT-F03</x:v>
      </x:c>
      <x:c r="Q255" s="49" t="n">
        <x:v>0</x:v>
      </x:c>
    </x:row>
    <x:row r="256" ht="20" customHeight="1">
      <x:c r="A256" s="40" t="str">
        <x:v>FT-Q-V01-042</x:v>
      </x:c>
      <x:c r="B256" s="19" t="str">
        <x:v>global warming</x:v>
      </x:c>
      <x:c r="C256" s="31" t="str">
        <x:v>warming</x:v>
      </x:c>
      <x:c r="D256" s="25" t="n">
        <x:v>1912</x:v>
      </x:c>
      <x:c r="E256" s="46" t="n">
        <x:v>0</x:v>
      </x:c>
      <x:c r="F256" s="19" t="str">
        <x:v>eng</x:v>
      </x:c>
      <x:c r="G256" s="19" t="str">
        <x:v>current English corpus (July 2024 dataset; public shorthand eng; mutable current corpus)</x:v>
      </x:c>
      <x:c r="H256" s="19" t="str">
        <x:v>global warming (All)</x:v>
      </x:c>
      <x:c r="I256" s="19" t="str">
        <x:v>0</x:v>
      </x:c>
      <x:c r="J256" s="19" t="n">
        <x:v>46260.107256944444</x:v>
      </x:c>
      <x:c r="K256" s="31" t="str">
        <x:v>data/fear-temperature/ngram/raw/e982c3b5d6e77fc759f19bb2931d892bfaa9221ade4a44977579a8d5a8afab71.json</x:v>
      </x:c>
      <x:c r="L256" s="19" t="str">
        <x:v>edd5437f92999c829c0fea3e5822ab6cb22f6b319b6eab7bc697d0dc4f6023f9</x:v>
      </x:c>
      <x:c r="M256" s="19" t="str">
        <x:v>03c6b3b7aec17c75d6066c3ad33475123246728a6d70514bc6c4b2fac975aa04</x:v>
      </x:c>
      <x:c r="N256" s="31" t="str">
        <x:v>FT-LF-GLOBAL_WARMING</x:v>
      </x:c>
      <x:c r="O256" s="31" t="str">
        <x:v>FT-C-GLOBAL_WARMING_ISSUE_LABEL</x:v>
      </x:c>
      <x:c r="P256" s="31" t="str">
        <x:v>FT-F03</x:v>
      </x:c>
      <x:c r="Q256" s="49" t="n">
        <x:v>0</x:v>
      </x:c>
    </x:row>
    <x:row r="257" ht="20" customHeight="1">
      <x:c r="A257" s="40" t="str">
        <x:v>FT-Q-V01-042</x:v>
      </x:c>
      <x:c r="B257" s="19" t="str">
        <x:v>global warming</x:v>
      </x:c>
      <x:c r="C257" s="31" t="str">
        <x:v>warming</x:v>
      </x:c>
      <x:c r="D257" s="25" t="n">
        <x:v>1913</x:v>
      </x:c>
      <x:c r="E257" s="46" t="n">
        <x:v>2.892723838243682e-10</x:v>
      </x:c>
      <x:c r="F257" s="19" t="str">
        <x:v>eng</x:v>
      </x:c>
      <x:c r="G257" s="19" t="str">
        <x:v>current English corpus (July 2024 dataset; public shorthand eng; mutable current corpus)</x:v>
      </x:c>
      <x:c r="H257" s="19" t="str">
        <x:v>global warming (All)</x:v>
      </x:c>
      <x:c r="I257" s="19" t="str">
        <x:v>0</x:v>
      </x:c>
      <x:c r="J257" s="19" t="n">
        <x:v>46260.107256944444</x:v>
      </x:c>
      <x:c r="K257" s="31" t="str">
        <x:v>data/fear-temperature/ngram/raw/e982c3b5d6e77fc759f19bb2931d892bfaa9221ade4a44977579a8d5a8afab71.json</x:v>
      </x:c>
      <x:c r="L257" s="19" t="str">
        <x:v>edd5437f92999c829c0fea3e5822ab6cb22f6b319b6eab7bc697d0dc4f6023f9</x:v>
      </x:c>
      <x:c r="M257" s="19" t="str">
        <x:v>03c6b3b7aec17c75d6066c3ad33475123246728a6d70514bc6c4b2fac975aa04</x:v>
      </x:c>
      <x:c r="N257" s="31" t="str">
        <x:v>FT-LF-GLOBAL_WARMING</x:v>
      </x:c>
      <x:c r="O257" s="31" t="str">
        <x:v>FT-C-GLOBAL_WARMING_ISSUE_LABEL</x:v>
      </x:c>
      <x:c r="P257" s="31" t="str">
        <x:v>FT-F03</x:v>
      </x:c>
      <x:c r="Q257" s="49" t="n">
        <x:v>0.0002892723838243682</x:v>
      </x:c>
    </x:row>
    <x:row r="258" ht="20" customHeight="1">
      <x:c r="A258" s="40" t="str">
        <x:v>FT-Q-V01-042</x:v>
      </x:c>
      <x:c r="B258" s="19" t="str">
        <x:v>global warming</x:v>
      </x:c>
      <x:c r="C258" s="31" t="str">
        <x:v>warming</x:v>
      </x:c>
      <x:c r="D258" s="25" t="n">
        <x:v>1914</x:v>
      </x:c>
      <x:c r="E258" s="46" t="n">
        <x:v>1.8730023088053824e-10</x:v>
      </x:c>
      <x:c r="F258" s="19" t="str">
        <x:v>eng</x:v>
      </x:c>
      <x:c r="G258" s="19" t="str">
        <x:v>current English corpus (July 2024 dataset; public shorthand eng; mutable current corpus)</x:v>
      </x:c>
      <x:c r="H258" s="19" t="str">
        <x:v>global warming (All)</x:v>
      </x:c>
      <x:c r="I258" s="19" t="str">
        <x:v>0</x:v>
      </x:c>
      <x:c r="J258" s="19" t="n">
        <x:v>46260.107256944444</x:v>
      </x:c>
      <x:c r="K258" s="31" t="str">
        <x:v>data/fear-temperature/ngram/raw/e982c3b5d6e77fc759f19bb2931d892bfaa9221ade4a44977579a8d5a8afab71.json</x:v>
      </x:c>
      <x:c r="L258" s="19" t="str">
        <x:v>edd5437f92999c829c0fea3e5822ab6cb22f6b319b6eab7bc697d0dc4f6023f9</x:v>
      </x:c>
      <x:c r="M258" s="19" t="str">
        <x:v>03c6b3b7aec17c75d6066c3ad33475123246728a6d70514bc6c4b2fac975aa04</x:v>
      </x:c>
      <x:c r="N258" s="31" t="str">
        <x:v>FT-LF-GLOBAL_WARMING</x:v>
      </x:c>
      <x:c r="O258" s="31" t="str">
        <x:v>FT-C-GLOBAL_WARMING_ISSUE_LABEL</x:v>
      </x:c>
      <x:c r="P258" s="31" t="str">
        <x:v>FT-F03</x:v>
      </x:c>
      <x:c r="Q258" s="49" t="n">
        <x:v>0.00018730023088053824</x:v>
      </x:c>
    </x:row>
    <x:row r="259" ht="20" customHeight="1">
      <x:c r="A259" s="40" t="str">
        <x:v>FT-Q-V01-042</x:v>
      </x:c>
      <x:c r="B259" s="19" t="str">
        <x:v>global warming</x:v>
      </x:c>
      <x:c r="C259" s="31" t="str">
        <x:v>warming</x:v>
      </x:c>
      <x:c r="D259" s="25" t="n">
        <x:v>1915</x:v>
      </x:c>
      <x:c r="E259" s="46" t="n">
        <x:v>9.848968168801875e-11</x:v>
      </x:c>
      <x:c r="F259" s="19" t="str">
        <x:v>eng</x:v>
      </x:c>
      <x:c r="G259" s="19" t="str">
        <x:v>current English corpus (July 2024 dataset; public shorthand eng; mutable current corpus)</x:v>
      </x:c>
      <x:c r="H259" s="19" t="str">
        <x:v>global warming (All)</x:v>
      </x:c>
      <x:c r="I259" s="19" t="str">
        <x:v>0</x:v>
      </x:c>
      <x:c r="J259" s="19" t="n">
        <x:v>46260.107256944444</x:v>
      </x:c>
      <x:c r="K259" s="31" t="str">
        <x:v>data/fear-temperature/ngram/raw/e982c3b5d6e77fc759f19bb2931d892bfaa9221ade4a44977579a8d5a8afab71.json</x:v>
      </x:c>
      <x:c r="L259" s="19" t="str">
        <x:v>edd5437f92999c829c0fea3e5822ab6cb22f6b319b6eab7bc697d0dc4f6023f9</x:v>
      </x:c>
      <x:c r="M259" s="19" t="str">
        <x:v>03c6b3b7aec17c75d6066c3ad33475123246728a6d70514bc6c4b2fac975aa04</x:v>
      </x:c>
      <x:c r="N259" s="31" t="str">
        <x:v>FT-LF-GLOBAL_WARMING</x:v>
      </x:c>
      <x:c r="O259" s="31" t="str">
        <x:v>FT-C-GLOBAL_WARMING_ISSUE_LABEL</x:v>
      </x:c>
      <x:c r="P259" s="31" t="str">
        <x:v>FT-F03</x:v>
      </x:c>
      <x:c r="Q259" s="49" t="n">
        <x:v>0.00009848968168801875</x:v>
      </x:c>
    </x:row>
    <x:row r="260" ht="20" customHeight="1">
      <x:c r="A260" s="40" t="str">
        <x:v>FT-Q-V01-042</x:v>
      </x:c>
      <x:c r="B260" s="19" t="str">
        <x:v>global warming</x:v>
      </x:c>
      <x:c r="C260" s="31" t="str">
        <x:v>warming</x:v>
      </x:c>
      <x:c r="D260" s="25" t="n">
        <x:v>1916</x:v>
      </x:c>
      <x:c r="E260" s="46" t="n">
        <x:v>0</x:v>
      </x:c>
      <x:c r="F260" s="19" t="str">
        <x:v>eng</x:v>
      </x:c>
      <x:c r="G260" s="19" t="str">
        <x:v>current English corpus (July 2024 dataset; public shorthand eng; mutable current corpus)</x:v>
      </x:c>
      <x:c r="H260" s="19" t="str">
        <x:v>global warming (All)</x:v>
      </x:c>
      <x:c r="I260" s="19" t="str">
        <x:v>0</x:v>
      </x:c>
      <x:c r="J260" s="19" t="n">
        <x:v>46260.107256944444</x:v>
      </x:c>
      <x:c r="K260" s="31" t="str">
        <x:v>data/fear-temperature/ngram/raw/e982c3b5d6e77fc759f19bb2931d892bfaa9221ade4a44977579a8d5a8afab71.json</x:v>
      </x:c>
      <x:c r="L260" s="19" t="str">
        <x:v>edd5437f92999c829c0fea3e5822ab6cb22f6b319b6eab7bc697d0dc4f6023f9</x:v>
      </x:c>
      <x:c r="M260" s="19" t="str">
        <x:v>03c6b3b7aec17c75d6066c3ad33475123246728a6d70514bc6c4b2fac975aa04</x:v>
      </x:c>
      <x:c r="N260" s="31" t="str">
        <x:v>FT-LF-GLOBAL_WARMING</x:v>
      </x:c>
      <x:c r="O260" s="31" t="str">
        <x:v>FT-C-GLOBAL_WARMING_ISSUE_LABEL</x:v>
      </x:c>
      <x:c r="P260" s="31" t="str">
        <x:v>FT-F03</x:v>
      </x:c>
      <x:c r="Q260" s="49" t="n">
        <x:v>0</x:v>
      </x:c>
    </x:row>
    <x:row r="261" ht="20" customHeight="1">
      <x:c r="A261" s="40" t="str">
        <x:v>FT-Q-V01-042</x:v>
      </x:c>
      <x:c r="B261" s="19" t="str">
        <x:v>global warming</x:v>
      </x:c>
      <x:c r="C261" s="31" t="str">
        <x:v>warming</x:v>
      </x:c>
      <x:c r="D261" s="25" t="n">
        <x:v>1917</x:v>
      </x:c>
      <x:c r="E261" s="46" t="n">
        <x:v>1.9605886358853295e-10</x:v>
      </x:c>
      <x:c r="F261" s="19" t="str">
        <x:v>eng</x:v>
      </x:c>
      <x:c r="G261" s="19" t="str">
        <x:v>current English corpus (July 2024 dataset; public shorthand eng; mutable current corpus)</x:v>
      </x:c>
      <x:c r="H261" s="19" t="str">
        <x:v>global warming (All)</x:v>
      </x:c>
      <x:c r="I261" s="19" t="str">
        <x:v>0</x:v>
      </x:c>
      <x:c r="J261" s="19" t="n">
        <x:v>46260.107256944444</x:v>
      </x:c>
      <x:c r="K261" s="31" t="str">
        <x:v>data/fear-temperature/ngram/raw/e982c3b5d6e77fc759f19bb2931d892bfaa9221ade4a44977579a8d5a8afab71.json</x:v>
      </x:c>
      <x:c r="L261" s="19" t="str">
        <x:v>edd5437f92999c829c0fea3e5822ab6cb22f6b319b6eab7bc697d0dc4f6023f9</x:v>
      </x:c>
      <x:c r="M261" s="19" t="str">
        <x:v>03c6b3b7aec17c75d6066c3ad33475123246728a6d70514bc6c4b2fac975aa04</x:v>
      </x:c>
      <x:c r="N261" s="31" t="str">
        <x:v>FT-LF-GLOBAL_WARMING</x:v>
      </x:c>
      <x:c r="O261" s="31" t="str">
        <x:v>FT-C-GLOBAL_WARMING_ISSUE_LABEL</x:v>
      </x:c>
      <x:c r="P261" s="31" t="str">
        <x:v>FT-F03</x:v>
      </x:c>
      <x:c r="Q261" s="49" t="n">
        <x:v>0.00019605886358853295</x:v>
      </x:c>
    </x:row>
    <x:row r="262" ht="20" customHeight="1">
      <x:c r="A262" s="40" t="str">
        <x:v>FT-Q-V01-042</x:v>
      </x:c>
      <x:c r="B262" s="19" t="str">
        <x:v>global warming</x:v>
      </x:c>
      <x:c r="C262" s="31" t="str">
        <x:v>warming</x:v>
      </x:c>
      <x:c r="D262" s="25" t="n">
        <x:v>1918</x:v>
      </x:c>
      <x:c r="E262" s="46" t="n">
        <x:v>0</x:v>
      </x:c>
      <x:c r="F262" s="19" t="str">
        <x:v>eng</x:v>
      </x:c>
      <x:c r="G262" s="19" t="str">
        <x:v>current English corpus (July 2024 dataset; public shorthand eng; mutable current corpus)</x:v>
      </x:c>
      <x:c r="H262" s="19" t="str">
        <x:v>global warming (All)</x:v>
      </x:c>
      <x:c r="I262" s="19" t="str">
        <x:v>0</x:v>
      </x:c>
      <x:c r="J262" s="19" t="n">
        <x:v>46260.107256944444</x:v>
      </x:c>
      <x:c r="K262" s="31" t="str">
        <x:v>data/fear-temperature/ngram/raw/e982c3b5d6e77fc759f19bb2931d892bfaa9221ade4a44977579a8d5a8afab71.json</x:v>
      </x:c>
      <x:c r="L262" s="19" t="str">
        <x:v>edd5437f92999c829c0fea3e5822ab6cb22f6b319b6eab7bc697d0dc4f6023f9</x:v>
      </x:c>
      <x:c r="M262" s="19" t="str">
        <x:v>03c6b3b7aec17c75d6066c3ad33475123246728a6d70514bc6c4b2fac975aa04</x:v>
      </x:c>
      <x:c r="N262" s="31" t="str">
        <x:v>FT-LF-GLOBAL_WARMING</x:v>
      </x:c>
      <x:c r="O262" s="31" t="str">
        <x:v>FT-C-GLOBAL_WARMING_ISSUE_LABEL</x:v>
      </x:c>
      <x:c r="P262" s="31" t="str">
        <x:v>FT-F03</x:v>
      </x:c>
      <x:c r="Q262" s="49" t="n">
        <x:v>0</x:v>
      </x:c>
    </x:row>
    <x:row r="263" ht="20" customHeight="1">
      <x:c r="A263" s="40" t="str">
        <x:v>FT-Q-V01-042</x:v>
      </x:c>
      <x:c r="B263" s="19" t="str">
        <x:v>global warming</x:v>
      </x:c>
      <x:c r="C263" s="31" t="str">
        <x:v>warming</x:v>
      </x:c>
      <x:c r="D263" s="25" t="n">
        <x:v>1919</x:v>
      </x:c>
      <x:c r="E263" s="46" t="n">
        <x:v>2.03487494354615e-8</x:v>
      </x:c>
      <x:c r="F263" s="19" t="str">
        <x:v>eng</x:v>
      </x:c>
      <x:c r="G263" s="19" t="str">
        <x:v>current English corpus (July 2024 dataset; public shorthand eng; mutable current corpus)</x:v>
      </x:c>
      <x:c r="H263" s="19" t="str">
        <x:v>global warming (All)</x:v>
      </x:c>
      <x:c r="I263" s="19" t="str">
        <x:v>0</x:v>
      </x:c>
      <x:c r="J263" s="19" t="n">
        <x:v>46260.107256944444</x:v>
      </x:c>
      <x:c r="K263" s="31" t="str">
        <x:v>data/fear-temperature/ngram/raw/e982c3b5d6e77fc759f19bb2931d892bfaa9221ade4a44977579a8d5a8afab71.json</x:v>
      </x:c>
      <x:c r="L263" s="19" t="str">
        <x:v>edd5437f92999c829c0fea3e5822ab6cb22f6b319b6eab7bc697d0dc4f6023f9</x:v>
      </x:c>
      <x:c r="M263" s="19" t="str">
        <x:v>03c6b3b7aec17c75d6066c3ad33475123246728a6d70514bc6c4b2fac975aa04</x:v>
      </x:c>
      <x:c r="N263" s="31" t="str">
        <x:v>FT-LF-GLOBAL_WARMING</x:v>
      </x:c>
      <x:c r="O263" s="31" t="str">
        <x:v>FT-C-GLOBAL_WARMING_ISSUE_LABEL</x:v>
      </x:c>
      <x:c r="P263" s="31" t="str">
        <x:v>FT-F03</x:v>
      </x:c>
      <x:c r="Q263" s="49" t="n">
        <x:v>0.0203487494354615</x:v>
      </x:c>
    </x:row>
    <x:row r="264" ht="20" customHeight="1">
      <x:c r="A264" s="40" t="str">
        <x:v>FT-Q-V01-042</x:v>
      </x:c>
      <x:c r="B264" s="19" t="str">
        <x:v>global warming</x:v>
      </x:c>
      <x:c r="C264" s="31" t="str">
        <x:v>warming</x:v>
      </x:c>
      <x:c r="D264" s="25" t="n">
        <x:v>1920</x:v>
      </x:c>
      <x:c r="E264" s="46" t="n">
        <x:v>1.8937312828981587e-10</x:v>
      </x:c>
      <x:c r="F264" s="19" t="str">
        <x:v>eng</x:v>
      </x:c>
      <x:c r="G264" s="19" t="str">
        <x:v>current English corpus (July 2024 dataset; public shorthand eng; mutable current corpus)</x:v>
      </x:c>
      <x:c r="H264" s="19" t="str">
        <x:v>global warming (All)</x:v>
      </x:c>
      <x:c r="I264" s="19" t="str">
        <x:v>0</x:v>
      </x:c>
      <x:c r="J264" s="19" t="n">
        <x:v>46260.107256944444</x:v>
      </x:c>
      <x:c r="K264" s="31" t="str">
        <x:v>data/fear-temperature/ngram/raw/e982c3b5d6e77fc759f19bb2931d892bfaa9221ade4a44977579a8d5a8afab71.json</x:v>
      </x:c>
      <x:c r="L264" s="19" t="str">
        <x:v>edd5437f92999c829c0fea3e5822ab6cb22f6b319b6eab7bc697d0dc4f6023f9</x:v>
      </x:c>
      <x:c r="M264" s="19" t="str">
        <x:v>03c6b3b7aec17c75d6066c3ad33475123246728a6d70514bc6c4b2fac975aa04</x:v>
      </x:c>
      <x:c r="N264" s="31" t="str">
        <x:v>FT-LF-GLOBAL_WARMING</x:v>
      </x:c>
      <x:c r="O264" s="31" t="str">
        <x:v>FT-C-GLOBAL_WARMING_ISSUE_LABEL</x:v>
      </x:c>
      <x:c r="P264" s="31" t="str">
        <x:v>FT-F03</x:v>
      </x:c>
      <x:c r="Q264" s="49" t="n">
        <x:v>0.00018937312828981587</x:v>
      </x:c>
    </x:row>
    <x:row r="265" ht="20" customHeight="1">
      <x:c r="A265" s="40" t="str">
        <x:v>FT-Q-V01-042</x:v>
      </x:c>
      <x:c r="B265" s="19" t="str">
        <x:v>global warming</x:v>
      </x:c>
      <x:c r="C265" s="31" t="str">
        <x:v>warming</x:v>
      </x:c>
      <x:c r="D265" s="25" t="n">
        <x:v>1921</x:v>
      </x:c>
      <x:c r="E265" s="46" t="n">
        <x:v>1.8914424193550159e-10</x:v>
      </x:c>
      <x:c r="F265" s="19" t="str">
        <x:v>eng</x:v>
      </x:c>
      <x:c r="G265" s="19" t="str">
        <x:v>current English corpus (July 2024 dataset; public shorthand eng; mutable current corpus)</x:v>
      </x:c>
      <x:c r="H265" s="19" t="str">
        <x:v>global warming (All)</x:v>
      </x:c>
      <x:c r="I265" s="19" t="str">
        <x:v>0</x:v>
      </x:c>
      <x:c r="J265" s="19" t="n">
        <x:v>46260.107256944444</x:v>
      </x:c>
      <x:c r="K265" s="31" t="str">
        <x:v>data/fear-temperature/ngram/raw/e982c3b5d6e77fc759f19bb2931d892bfaa9221ade4a44977579a8d5a8afab71.json</x:v>
      </x:c>
      <x:c r="L265" s="19" t="str">
        <x:v>edd5437f92999c829c0fea3e5822ab6cb22f6b319b6eab7bc697d0dc4f6023f9</x:v>
      </x:c>
      <x:c r="M265" s="19" t="str">
        <x:v>03c6b3b7aec17c75d6066c3ad33475123246728a6d70514bc6c4b2fac975aa04</x:v>
      </x:c>
      <x:c r="N265" s="31" t="str">
        <x:v>FT-LF-GLOBAL_WARMING</x:v>
      </x:c>
      <x:c r="O265" s="31" t="str">
        <x:v>FT-C-GLOBAL_WARMING_ISSUE_LABEL</x:v>
      </x:c>
      <x:c r="P265" s="31" t="str">
        <x:v>FT-F03</x:v>
      </x:c>
      <x:c r="Q265" s="49" t="n">
        <x:v>0.00018914424193550158</x:v>
      </x:c>
    </x:row>
    <x:row r="266" ht="20" customHeight="1">
      <x:c r="A266" s="40" t="str">
        <x:v>FT-Q-V01-042</x:v>
      </x:c>
      <x:c r="B266" s="19" t="str">
        <x:v>global warming</x:v>
      </x:c>
      <x:c r="C266" s="31" t="str">
        <x:v>warming</x:v>
      </x:c>
      <x:c r="D266" s="25" t="n">
        <x:v>1922</x:v>
      </x:c>
      <x:c r="E266" s="46" t="n">
        <x:v>1.868142585070842e-10</x:v>
      </x:c>
      <x:c r="F266" s="19" t="str">
        <x:v>eng</x:v>
      </x:c>
      <x:c r="G266" s="19" t="str">
        <x:v>current English corpus (July 2024 dataset; public shorthand eng; mutable current corpus)</x:v>
      </x:c>
      <x:c r="H266" s="19" t="str">
        <x:v>global warming (All)</x:v>
      </x:c>
      <x:c r="I266" s="19" t="str">
        <x:v>0</x:v>
      </x:c>
      <x:c r="J266" s="19" t="n">
        <x:v>46260.107256944444</x:v>
      </x:c>
      <x:c r="K266" s="31" t="str">
        <x:v>data/fear-temperature/ngram/raw/e982c3b5d6e77fc759f19bb2931d892bfaa9221ade4a44977579a8d5a8afab71.json</x:v>
      </x:c>
      <x:c r="L266" s="19" t="str">
        <x:v>edd5437f92999c829c0fea3e5822ab6cb22f6b319b6eab7bc697d0dc4f6023f9</x:v>
      </x:c>
      <x:c r="M266" s="19" t="str">
        <x:v>03c6b3b7aec17c75d6066c3ad33475123246728a6d70514bc6c4b2fac975aa04</x:v>
      </x:c>
      <x:c r="N266" s="31" t="str">
        <x:v>FT-LF-GLOBAL_WARMING</x:v>
      </x:c>
      <x:c r="O266" s="31" t="str">
        <x:v>FT-C-GLOBAL_WARMING_ISSUE_LABEL</x:v>
      </x:c>
      <x:c r="P266" s="31" t="str">
        <x:v>FT-F03</x:v>
      </x:c>
      <x:c r="Q266" s="49" t="n">
        <x:v>0.0001868142585070842</x:v>
      </x:c>
    </x:row>
    <x:row r="267" ht="20" customHeight="1">
      <x:c r="A267" s="40" t="str">
        <x:v>FT-Q-V01-042</x:v>
      </x:c>
      <x:c r="B267" s="19" t="str">
        <x:v>global warming</x:v>
      </x:c>
      <x:c r="C267" s="31" t="str">
        <x:v>warming</x:v>
      </x:c>
      <x:c r="D267" s="25" t="n">
        <x:v>1923</x:v>
      </x:c>
      <x:c r="E267" s="46" t="n">
        <x:v>4.862865110588643e-10</x:v>
      </x:c>
      <x:c r="F267" s="19" t="str">
        <x:v>eng</x:v>
      </x:c>
      <x:c r="G267" s="19" t="str">
        <x:v>current English corpus (July 2024 dataset; public shorthand eng; mutable current corpus)</x:v>
      </x:c>
      <x:c r="H267" s="19" t="str">
        <x:v>global warming (All)</x:v>
      </x:c>
      <x:c r="I267" s="19" t="str">
        <x:v>0</x:v>
      </x:c>
      <x:c r="J267" s="19" t="n">
        <x:v>46260.107256944444</x:v>
      </x:c>
      <x:c r="K267" s="31" t="str">
        <x:v>data/fear-temperature/ngram/raw/e982c3b5d6e77fc759f19bb2931d892bfaa9221ade4a44977579a8d5a8afab71.json</x:v>
      </x:c>
      <x:c r="L267" s="19" t="str">
        <x:v>edd5437f92999c829c0fea3e5822ab6cb22f6b319b6eab7bc697d0dc4f6023f9</x:v>
      </x:c>
      <x:c r="M267" s="19" t="str">
        <x:v>03c6b3b7aec17c75d6066c3ad33475123246728a6d70514bc6c4b2fac975aa04</x:v>
      </x:c>
      <x:c r="N267" s="31" t="str">
        <x:v>FT-LF-GLOBAL_WARMING</x:v>
      </x:c>
      <x:c r="O267" s="31" t="str">
        <x:v>FT-C-GLOBAL_WARMING_ISSUE_LABEL</x:v>
      </x:c>
      <x:c r="P267" s="31" t="str">
        <x:v>FT-F03</x:v>
      </x:c>
      <x:c r="Q267" s="49" t="n">
        <x:v>0.00048628651105886433</x:v>
      </x:c>
    </x:row>
    <x:row r="268" ht="20" customHeight="1">
      <x:c r="A268" s="40" t="str">
        <x:v>FT-Q-V01-042</x:v>
      </x:c>
      <x:c r="B268" s="19" t="str">
        <x:v>global warming</x:v>
      </x:c>
      <x:c r="C268" s="31" t="str">
        <x:v>warming</x:v>
      </x:c>
      <x:c r="D268" s="25" t="n">
        <x:v>1924</x:v>
      </x:c>
      <x:c r="E268" s="46" t="n">
        <x:v>6.455163625851411e-10</x:v>
      </x:c>
      <x:c r="F268" s="19" t="str">
        <x:v>eng</x:v>
      </x:c>
      <x:c r="G268" s="19" t="str">
        <x:v>current English corpus (July 2024 dataset; public shorthand eng; mutable current corpus)</x:v>
      </x:c>
      <x:c r="H268" s="19" t="str">
        <x:v>global warming (All)</x:v>
      </x:c>
      <x:c r="I268" s="19" t="str">
        <x:v>0</x:v>
      </x:c>
      <x:c r="J268" s="19" t="n">
        <x:v>46260.107256944444</x:v>
      </x:c>
      <x:c r="K268" s="31" t="str">
        <x:v>data/fear-temperature/ngram/raw/e982c3b5d6e77fc759f19bb2931d892bfaa9221ade4a44977579a8d5a8afab71.json</x:v>
      </x:c>
      <x:c r="L268" s="19" t="str">
        <x:v>edd5437f92999c829c0fea3e5822ab6cb22f6b319b6eab7bc697d0dc4f6023f9</x:v>
      </x:c>
      <x:c r="M268" s="19" t="str">
        <x:v>03c6b3b7aec17c75d6066c3ad33475123246728a6d70514bc6c4b2fac975aa04</x:v>
      </x:c>
      <x:c r="N268" s="31" t="str">
        <x:v>FT-LF-GLOBAL_WARMING</x:v>
      </x:c>
      <x:c r="O268" s="31" t="str">
        <x:v>FT-C-GLOBAL_WARMING_ISSUE_LABEL</x:v>
      </x:c>
      <x:c r="P268" s="31" t="str">
        <x:v>FT-F03</x:v>
      </x:c>
      <x:c r="Q268" s="49" t="n">
        <x:v>0.0006455163625851411</x:v>
      </x:c>
    </x:row>
    <x:row r="269" ht="20" customHeight="1">
      <x:c r="A269" s="40" t="str">
        <x:v>FT-Q-V01-042</x:v>
      </x:c>
      <x:c r="B269" s="19" t="str">
        <x:v>global warming</x:v>
      </x:c>
      <x:c r="C269" s="31" t="str">
        <x:v>warming</x:v>
      </x:c>
      <x:c r="D269" s="25" t="n">
        <x:v>1925</x:v>
      </x:c>
      <x:c r="E269" s="46" t="n">
        <x:v>1.2924671055625223e-10</x:v>
      </x:c>
      <x:c r="F269" s="19" t="str">
        <x:v>eng</x:v>
      </x:c>
      <x:c r="G269" s="19" t="str">
        <x:v>current English corpus (July 2024 dataset; public shorthand eng; mutable current corpus)</x:v>
      </x:c>
      <x:c r="H269" s="19" t="str">
        <x:v>global warming (All)</x:v>
      </x:c>
      <x:c r="I269" s="19" t="str">
        <x:v>0</x:v>
      </x:c>
      <x:c r="J269" s="19" t="n">
        <x:v>46260.107256944444</x:v>
      </x:c>
      <x:c r="K269" s="31" t="str">
        <x:v>data/fear-temperature/ngram/raw/e982c3b5d6e77fc759f19bb2931d892bfaa9221ade4a44977579a8d5a8afab71.json</x:v>
      </x:c>
      <x:c r="L269" s="19" t="str">
        <x:v>edd5437f92999c829c0fea3e5822ab6cb22f6b319b6eab7bc697d0dc4f6023f9</x:v>
      </x:c>
      <x:c r="M269" s="19" t="str">
        <x:v>03c6b3b7aec17c75d6066c3ad33475123246728a6d70514bc6c4b2fac975aa04</x:v>
      </x:c>
      <x:c r="N269" s="31" t="str">
        <x:v>FT-LF-GLOBAL_WARMING</x:v>
      </x:c>
      <x:c r="O269" s="31" t="str">
        <x:v>FT-C-GLOBAL_WARMING_ISSUE_LABEL</x:v>
      </x:c>
      <x:c r="P269" s="31" t="str">
        <x:v>FT-F03</x:v>
      </x:c>
      <x:c r="Q269" s="49" t="n">
        <x:v>0.00012924671055625223</x:v>
      </x:c>
    </x:row>
    <x:row r="270" ht="20" customHeight="1">
      <x:c r="A270" s="40" t="str">
        <x:v>FT-Q-V01-042</x:v>
      </x:c>
      <x:c r="B270" s="19" t="str">
        <x:v>global warming</x:v>
      </x:c>
      <x:c r="C270" s="31" t="str">
        <x:v>warming</x:v>
      </x:c>
      <x:c r="D270" s="25" t="n">
        <x:v>1926</x:v>
      </x:c>
      <x:c r="E270" s="46" t="n">
        <x:v>3.953006713630636e-9</x:v>
      </x:c>
      <x:c r="F270" s="19" t="str">
        <x:v>eng</x:v>
      </x:c>
      <x:c r="G270" s="19" t="str">
        <x:v>current English corpus (July 2024 dataset; public shorthand eng; mutable current corpus)</x:v>
      </x:c>
      <x:c r="H270" s="19" t="str">
        <x:v>global warming (All)</x:v>
      </x:c>
      <x:c r="I270" s="19" t="str">
        <x:v>0</x:v>
      </x:c>
      <x:c r="J270" s="19" t="n">
        <x:v>46260.107256944444</x:v>
      </x:c>
      <x:c r="K270" s="31" t="str">
        <x:v>data/fear-temperature/ngram/raw/e982c3b5d6e77fc759f19bb2931d892bfaa9221ade4a44977579a8d5a8afab71.json</x:v>
      </x:c>
      <x:c r="L270" s="19" t="str">
        <x:v>edd5437f92999c829c0fea3e5822ab6cb22f6b319b6eab7bc697d0dc4f6023f9</x:v>
      </x:c>
      <x:c r="M270" s="19" t="str">
        <x:v>03c6b3b7aec17c75d6066c3ad33475123246728a6d70514bc6c4b2fac975aa04</x:v>
      </x:c>
      <x:c r="N270" s="31" t="str">
        <x:v>FT-LF-GLOBAL_WARMING</x:v>
      </x:c>
      <x:c r="O270" s="31" t="str">
        <x:v>FT-C-GLOBAL_WARMING_ISSUE_LABEL</x:v>
      </x:c>
      <x:c r="P270" s="31" t="str">
        <x:v>FT-F03</x:v>
      </x:c>
      <x:c r="Q270" s="49" t="n">
        <x:v>0.003953006713630636</x:v>
      </x:c>
    </x:row>
    <x:row r="271" ht="20" customHeight="1">
      <x:c r="A271" s="40" t="str">
        <x:v>FT-Q-V01-042</x:v>
      </x:c>
      <x:c r="B271" s="19" t="str">
        <x:v>global warming</x:v>
      </x:c>
      <x:c r="C271" s="31" t="str">
        <x:v>warming</x:v>
      </x:c>
      <x:c r="D271" s="25" t="n">
        <x:v>1927</x:v>
      </x:c>
      <x:c r="E271" s="46" t="n">
        <x:v>3.643278234655156e-9</x:v>
      </x:c>
      <x:c r="F271" s="19" t="str">
        <x:v>eng</x:v>
      </x:c>
      <x:c r="G271" s="19" t="str">
        <x:v>current English corpus (July 2024 dataset; public shorthand eng; mutable current corpus)</x:v>
      </x:c>
      <x:c r="H271" s="19" t="str">
        <x:v>global warming (All)</x:v>
      </x:c>
      <x:c r="I271" s="19" t="str">
        <x:v>0</x:v>
      </x:c>
      <x:c r="J271" s="19" t="n">
        <x:v>46260.107256944444</x:v>
      </x:c>
      <x:c r="K271" s="31" t="str">
        <x:v>data/fear-temperature/ngram/raw/e982c3b5d6e77fc759f19bb2931d892bfaa9221ade4a44977579a8d5a8afab71.json</x:v>
      </x:c>
      <x:c r="L271" s="19" t="str">
        <x:v>edd5437f92999c829c0fea3e5822ab6cb22f6b319b6eab7bc697d0dc4f6023f9</x:v>
      </x:c>
      <x:c r="M271" s="19" t="str">
        <x:v>03c6b3b7aec17c75d6066c3ad33475123246728a6d70514bc6c4b2fac975aa04</x:v>
      </x:c>
      <x:c r="N271" s="31" t="str">
        <x:v>FT-LF-GLOBAL_WARMING</x:v>
      </x:c>
      <x:c r="O271" s="31" t="str">
        <x:v>FT-C-GLOBAL_WARMING_ISSUE_LABEL</x:v>
      </x:c>
      <x:c r="P271" s="31" t="str">
        <x:v>FT-F03</x:v>
      </x:c>
      <x:c r="Q271" s="49" t="n">
        <x:v>0.0036432782346551558</x:v>
      </x:c>
    </x:row>
    <x:row r="272" ht="20" customHeight="1">
      <x:c r="A272" s="40" t="str">
        <x:v>FT-Q-V01-042</x:v>
      </x:c>
      <x:c r="B272" s="19" t="str">
        <x:v>global warming</x:v>
      </x:c>
      <x:c r="C272" s="31" t="str">
        <x:v>warming</x:v>
      </x:c>
      <x:c r="D272" s="25" t="n">
        <x:v>1928</x:v>
      </x:c>
      <x:c r="E272" s="46" t="n">
        <x:v>3.5704010303838625e-9</x:v>
      </x:c>
      <x:c r="F272" s="19" t="str">
        <x:v>eng</x:v>
      </x:c>
      <x:c r="G272" s="19" t="str">
        <x:v>current English corpus (July 2024 dataset; public shorthand eng; mutable current corpus)</x:v>
      </x:c>
      <x:c r="H272" s="19" t="str">
        <x:v>global warming (All)</x:v>
      </x:c>
      <x:c r="I272" s="19" t="str">
        <x:v>0</x:v>
      </x:c>
      <x:c r="J272" s="19" t="n">
        <x:v>46260.107256944444</x:v>
      </x:c>
      <x:c r="K272" s="31" t="str">
        <x:v>data/fear-temperature/ngram/raw/e982c3b5d6e77fc759f19bb2931d892bfaa9221ade4a44977579a8d5a8afab71.json</x:v>
      </x:c>
      <x:c r="L272" s="19" t="str">
        <x:v>edd5437f92999c829c0fea3e5822ab6cb22f6b319b6eab7bc697d0dc4f6023f9</x:v>
      </x:c>
      <x:c r="M272" s="19" t="str">
        <x:v>03c6b3b7aec17c75d6066c3ad33475123246728a6d70514bc6c4b2fac975aa04</x:v>
      </x:c>
      <x:c r="N272" s="31" t="str">
        <x:v>FT-LF-GLOBAL_WARMING</x:v>
      </x:c>
      <x:c r="O272" s="31" t="str">
        <x:v>FT-C-GLOBAL_WARMING_ISSUE_LABEL</x:v>
      </x:c>
      <x:c r="P272" s="31" t="str">
        <x:v>FT-F03</x:v>
      </x:c>
      <x:c r="Q272" s="49" t="n">
        <x:v>0.0035704010303838625</x:v>
      </x:c>
    </x:row>
    <x:row r="273" ht="20" customHeight="1">
      <x:c r="A273" s="40" t="str">
        <x:v>FT-Q-V01-042</x:v>
      </x:c>
      <x:c r="B273" s="19" t="str">
        <x:v>global warming</x:v>
      </x:c>
      <x:c r="C273" s="31" t="str">
        <x:v>warming</x:v>
      </x:c>
      <x:c r="D273" s="25" t="n">
        <x:v>1929</x:v>
      </x:c>
      <x:c r="E273" s="46" t="n">
        <x:v>4.015839091819905e-9</x:v>
      </x:c>
      <x:c r="F273" s="19" t="str">
        <x:v>eng</x:v>
      </x:c>
      <x:c r="G273" s="19" t="str">
        <x:v>current English corpus (July 2024 dataset; public shorthand eng; mutable current corpus)</x:v>
      </x:c>
      <x:c r="H273" s="19" t="str">
        <x:v>global warming (All)</x:v>
      </x:c>
      <x:c r="I273" s="19" t="str">
        <x:v>0</x:v>
      </x:c>
      <x:c r="J273" s="19" t="n">
        <x:v>46260.107256944444</x:v>
      </x:c>
      <x:c r="K273" s="31" t="str">
        <x:v>data/fear-temperature/ngram/raw/e982c3b5d6e77fc759f19bb2931d892bfaa9221ade4a44977579a8d5a8afab71.json</x:v>
      </x:c>
      <x:c r="L273" s="19" t="str">
        <x:v>edd5437f92999c829c0fea3e5822ab6cb22f6b319b6eab7bc697d0dc4f6023f9</x:v>
      </x:c>
      <x:c r="M273" s="19" t="str">
        <x:v>03c6b3b7aec17c75d6066c3ad33475123246728a6d70514bc6c4b2fac975aa04</x:v>
      </x:c>
      <x:c r="N273" s="31" t="str">
        <x:v>FT-LF-GLOBAL_WARMING</x:v>
      </x:c>
      <x:c r="O273" s="31" t="str">
        <x:v>FT-C-GLOBAL_WARMING_ISSUE_LABEL</x:v>
      </x:c>
      <x:c r="P273" s="31" t="str">
        <x:v>FT-F03</x:v>
      </x:c>
      <x:c r="Q273" s="49" t="n">
        <x:v>0.004015839091819905</x:v>
      </x:c>
    </x:row>
    <x:row r="274" ht="20" customHeight="1">
      <x:c r="A274" s="40" t="str">
        <x:v>FT-Q-V01-042</x:v>
      </x:c>
      <x:c r="B274" s="19" t="str">
        <x:v>global warming</x:v>
      </x:c>
      <x:c r="C274" s="31" t="str">
        <x:v>warming</x:v>
      </x:c>
      <x:c r="D274" s="25" t="n">
        <x:v>1930</x:v>
      </x:c>
      <x:c r="E274" s="46" t="n">
        <x:v>5.66729024820134e-10</x:v>
      </x:c>
      <x:c r="F274" s="19" t="str">
        <x:v>eng</x:v>
      </x:c>
      <x:c r="G274" s="19" t="str">
        <x:v>current English corpus (July 2024 dataset; public shorthand eng; mutable current corpus)</x:v>
      </x:c>
      <x:c r="H274" s="19" t="str">
        <x:v>global warming (All)</x:v>
      </x:c>
      <x:c r="I274" s="19" t="str">
        <x:v>0</x:v>
      </x:c>
      <x:c r="J274" s="19" t="n">
        <x:v>46260.107256944444</x:v>
      </x:c>
      <x:c r="K274" s="31" t="str">
        <x:v>data/fear-temperature/ngram/raw/e982c3b5d6e77fc759f19bb2931d892bfaa9221ade4a44977579a8d5a8afab71.json</x:v>
      </x:c>
      <x:c r="L274" s="19" t="str">
        <x:v>edd5437f92999c829c0fea3e5822ab6cb22f6b319b6eab7bc697d0dc4f6023f9</x:v>
      </x:c>
      <x:c r="M274" s="19" t="str">
        <x:v>03c6b3b7aec17c75d6066c3ad33475123246728a6d70514bc6c4b2fac975aa04</x:v>
      </x:c>
      <x:c r="N274" s="31" t="str">
        <x:v>FT-LF-GLOBAL_WARMING</x:v>
      </x:c>
      <x:c r="O274" s="31" t="str">
        <x:v>FT-C-GLOBAL_WARMING_ISSUE_LABEL</x:v>
      </x:c>
      <x:c r="P274" s="31" t="str">
        <x:v>FT-F03</x:v>
      </x:c>
      <x:c r="Q274" s="49" t="n">
        <x:v>0.000566729024820134</x:v>
      </x:c>
    </x:row>
    <x:row r="275" ht="20" customHeight="1">
      <x:c r="A275" s="40" t="str">
        <x:v>FT-Q-V01-042</x:v>
      </x:c>
      <x:c r="B275" s="19" t="str">
        <x:v>global warming</x:v>
      </x:c>
      <x:c r="C275" s="31" t="str">
        <x:v>warming</x:v>
      </x:c>
      <x:c r="D275" s="25" t="n">
        <x:v>1931</x:v>
      </x:c>
      <x:c r="E275" s="46" t="n">
        <x:v>8.66904388552303e-10</x:v>
      </x:c>
      <x:c r="F275" s="19" t="str">
        <x:v>eng</x:v>
      </x:c>
      <x:c r="G275" s="19" t="str">
        <x:v>current English corpus (July 2024 dataset; public shorthand eng; mutable current corpus)</x:v>
      </x:c>
      <x:c r="H275" s="19" t="str">
        <x:v>global warming (All)</x:v>
      </x:c>
      <x:c r="I275" s="19" t="str">
        <x:v>0</x:v>
      </x:c>
      <x:c r="J275" s="19" t="n">
        <x:v>46260.107256944444</x:v>
      </x:c>
      <x:c r="K275" s="31" t="str">
        <x:v>data/fear-temperature/ngram/raw/e982c3b5d6e77fc759f19bb2931d892bfaa9221ade4a44977579a8d5a8afab71.json</x:v>
      </x:c>
      <x:c r="L275" s="19" t="str">
        <x:v>edd5437f92999c829c0fea3e5822ab6cb22f6b319b6eab7bc697d0dc4f6023f9</x:v>
      </x:c>
      <x:c r="M275" s="19" t="str">
        <x:v>03c6b3b7aec17c75d6066c3ad33475123246728a6d70514bc6c4b2fac975aa04</x:v>
      </x:c>
      <x:c r="N275" s="31" t="str">
        <x:v>FT-LF-GLOBAL_WARMING</x:v>
      </x:c>
      <x:c r="O275" s="31" t="str">
        <x:v>FT-C-GLOBAL_WARMING_ISSUE_LABEL</x:v>
      </x:c>
      <x:c r="P275" s="31" t="str">
        <x:v>FT-F03</x:v>
      </x:c>
      <x:c r="Q275" s="49" t="n">
        <x:v>0.000866904388552303</x:v>
      </x:c>
    </x:row>
    <x:row r="276" ht="20" customHeight="1">
      <x:c r="A276" s="40" t="str">
        <x:v>FT-Q-V01-042</x:v>
      </x:c>
      <x:c r="B276" s="19" t="str">
        <x:v>global warming</x:v>
      </x:c>
      <x:c r="C276" s="31" t="str">
        <x:v>warming</x:v>
      </x:c>
      <x:c r="D276" s="25" t="n">
        <x:v>1932</x:v>
      </x:c>
      <x:c r="E276" s="46" t="n">
        <x:v>1.6563032612104674e-9</x:v>
      </x:c>
      <x:c r="F276" s="19" t="str">
        <x:v>eng</x:v>
      </x:c>
      <x:c r="G276" s="19" t="str">
        <x:v>current English corpus (July 2024 dataset; public shorthand eng; mutable current corpus)</x:v>
      </x:c>
      <x:c r="H276" s="19" t="str">
        <x:v>global warming (All)</x:v>
      </x:c>
      <x:c r="I276" s="19" t="str">
        <x:v>0</x:v>
      </x:c>
      <x:c r="J276" s="19" t="n">
        <x:v>46260.107256944444</x:v>
      </x:c>
      <x:c r="K276" s="31" t="str">
        <x:v>data/fear-temperature/ngram/raw/e982c3b5d6e77fc759f19bb2931d892bfaa9221ade4a44977579a8d5a8afab71.json</x:v>
      </x:c>
      <x:c r="L276" s="19" t="str">
        <x:v>edd5437f92999c829c0fea3e5822ab6cb22f6b319b6eab7bc697d0dc4f6023f9</x:v>
      </x:c>
      <x:c r="M276" s="19" t="str">
        <x:v>03c6b3b7aec17c75d6066c3ad33475123246728a6d70514bc6c4b2fac975aa04</x:v>
      </x:c>
      <x:c r="N276" s="31" t="str">
        <x:v>FT-LF-GLOBAL_WARMING</x:v>
      </x:c>
      <x:c r="O276" s="31" t="str">
        <x:v>FT-C-GLOBAL_WARMING_ISSUE_LABEL</x:v>
      </x:c>
      <x:c r="P276" s="31" t="str">
        <x:v>FT-F03</x:v>
      </x:c>
      <x:c r="Q276" s="49" t="n">
        <x:v>0.0016563032612104673</x:v>
      </x:c>
    </x:row>
    <x:row r="277" ht="20" customHeight="1">
      <x:c r="A277" s="40" t="str">
        <x:v>FT-Q-V01-042</x:v>
      </x:c>
      <x:c r="B277" s="19" t="str">
        <x:v>global warming</x:v>
      </x:c>
      <x:c r="C277" s="31" t="str">
        <x:v>warming</x:v>
      </x:c>
      <x:c r="D277" s="25" t="n">
        <x:v>1933</x:v>
      </x:c>
      <x:c r="E277" s="46" t="n">
        <x:v>2.2628283968817438e-9</x:v>
      </x:c>
      <x:c r="F277" s="19" t="str">
        <x:v>eng</x:v>
      </x:c>
      <x:c r="G277" s="19" t="str">
        <x:v>current English corpus (July 2024 dataset; public shorthand eng; mutable current corpus)</x:v>
      </x:c>
      <x:c r="H277" s="19" t="str">
        <x:v>global warming (All)</x:v>
      </x:c>
      <x:c r="I277" s="19" t="str">
        <x:v>0</x:v>
      </x:c>
      <x:c r="J277" s="19" t="n">
        <x:v>46260.107256944444</x:v>
      </x:c>
      <x:c r="K277" s="31" t="str">
        <x:v>data/fear-temperature/ngram/raw/e982c3b5d6e77fc759f19bb2931d892bfaa9221ade4a44977579a8d5a8afab71.json</x:v>
      </x:c>
      <x:c r="L277" s="19" t="str">
        <x:v>edd5437f92999c829c0fea3e5822ab6cb22f6b319b6eab7bc697d0dc4f6023f9</x:v>
      </x:c>
      <x:c r="M277" s="19" t="str">
        <x:v>03c6b3b7aec17c75d6066c3ad33475123246728a6d70514bc6c4b2fac975aa04</x:v>
      </x:c>
      <x:c r="N277" s="31" t="str">
        <x:v>FT-LF-GLOBAL_WARMING</x:v>
      </x:c>
      <x:c r="O277" s="31" t="str">
        <x:v>FT-C-GLOBAL_WARMING_ISSUE_LABEL</x:v>
      </x:c>
      <x:c r="P277" s="31" t="str">
        <x:v>FT-F03</x:v>
      </x:c>
      <x:c r="Q277" s="49" t="n">
        <x:v>0.0022628283968817438</x:v>
      </x:c>
    </x:row>
    <x:row r="278" ht="20" customHeight="1">
      <x:c r="A278" s="40" t="str">
        <x:v>FT-Q-V01-042</x:v>
      </x:c>
      <x:c r="B278" s="19" t="str">
        <x:v>global warming</x:v>
      </x:c>
      <x:c r="C278" s="31" t="str">
        <x:v>warming</x:v>
      </x:c>
      <x:c r="D278" s="25" t="n">
        <x:v>1934</x:v>
      </x:c>
      <x:c r="E278" s="46" t="n">
        <x:v>1.6124603208211852e-8</x:v>
      </x:c>
      <x:c r="F278" s="19" t="str">
        <x:v>eng</x:v>
      </x:c>
      <x:c r="G278" s="19" t="str">
        <x:v>current English corpus (July 2024 dataset; public shorthand eng; mutable current corpus)</x:v>
      </x:c>
      <x:c r="H278" s="19" t="str">
        <x:v>global warming (All)</x:v>
      </x:c>
      <x:c r="I278" s="19" t="str">
        <x:v>0</x:v>
      </x:c>
      <x:c r="J278" s="19" t="n">
        <x:v>46260.107256944444</x:v>
      </x:c>
      <x:c r="K278" s="31" t="str">
        <x:v>data/fear-temperature/ngram/raw/e982c3b5d6e77fc759f19bb2931d892bfaa9221ade4a44977579a8d5a8afab71.json</x:v>
      </x:c>
      <x:c r="L278" s="19" t="str">
        <x:v>edd5437f92999c829c0fea3e5822ab6cb22f6b319b6eab7bc697d0dc4f6023f9</x:v>
      </x:c>
      <x:c r="M278" s="19" t="str">
        <x:v>03c6b3b7aec17c75d6066c3ad33475123246728a6d70514bc6c4b2fac975aa04</x:v>
      </x:c>
      <x:c r="N278" s="31" t="str">
        <x:v>FT-LF-GLOBAL_WARMING</x:v>
      </x:c>
      <x:c r="O278" s="31" t="str">
        <x:v>FT-C-GLOBAL_WARMING_ISSUE_LABEL</x:v>
      </x:c>
      <x:c r="P278" s="31" t="str">
        <x:v>FT-F03</x:v>
      </x:c>
      <x:c r="Q278" s="49" t="n">
        <x:v>0.016124603208211852</x:v>
      </x:c>
    </x:row>
    <x:row r="279" ht="20" customHeight="1">
      <x:c r="A279" s="40" t="str">
        <x:v>FT-Q-V01-042</x:v>
      </x:c>
      <x:c r="B279" s="19" t="str">
        <x:v>global warming</x:v>
      </x:c>
      <x:c r="C279" s="31" t="str">
        <x:v>warming</x:v>
      </x:c>
      <x:c r="D279" s="25" t="n">
        <x:v>1935</x:v>
      </x:c>
      <x:c r="E279" s="46" t="n">
        <x:v>3.8427194065659975e-9</x:v>
      </x:c>
      <x:c r="F279" s="19" t="str">
        <x:v>eng</x:v>
      </x:c>
      <x:c r="G279" s="19" t="str">
        <x:v>current English corpus (July 2024 dataset; public shorthand eng; mutable current corpus)</x:v>
      </x:c>
      <x:c r="H279" s="19" t="str">
        <x:v>global warming (All)</x:v>
      </x:c>
      <x:c r="I279" s="19" t="str">
        <x:v>0</x:v>
      </x:c>
      <x:c r="J279" s="19" t="n">
        <x:v>46260.107256944444</x:v>
      </x:c>
      <x:c r="K279" s="31" t="str">
        <x:v>data/fear-temperature/ngram/raw/e982c3b5d6e77fc759f19bb2931d892bfaa9221ade4a44977579a8d5a8afab71.json</x:v>
      </x:c>
      <x:c r="L279" s="19" t="str">
        <x:v>edd5437f92999c829c0fea3e5822ab6cb22f6b319b6eab7bc697d0dc4f6023f9</x:v>
      </x:c>
      <x:c r="M279" s="19" t="str">
        <x:v>03c6b3b7aec17c75d6066c3ad33475123246728a6d70514bc6c4b2fac975aa04</x:v>
      </x:c>
      <x:c r="N279" s="31" t="str">
        <x:v>FT-LF-GLOBAL_WARMING</x:v>
      </x:c>
      <x:c r="O279" s="31" t="str">
        <x:v>FT-C-GLOBAL_WARMING_ISSUE_LABEL</x:v>
      </x:c>
      <x:c r="P279" s="31" t="str">
        <x:v>FT-F03</x:v>
      </x:c>
      <x:c r="Q279" s="49" t="n">
        <x:v>0.0038427194065659975</x:v>
      </x:c>
    </x:row>
    <x:row r="280" ht="20" customHeight="1">
      <x:c r="A280" s="40" t="str">
        <x:v>FT-Q-V01-042</x:v>
      </x:c>
      <x:c r="B280" s="19" t="str">
        <x:v>global warming</x:v>
      </x:c>
      <x:c r="C280" s="31" t="str">
        <x:v>warming</x:v>
      </x:c>
      <x:c r="D280" s="25" t="n">
        <x:v>1936</x:v>
      </x:c>
      <x:c r="E280" s="46" t="n">
        <x:v>2.9743560503447952e-8</x:v>
      </x:c>
      <x:c r="F280" s="19" t="str">
        <x:v>eng</x:v>
      </x:c>
      <x:c r="G280" s="19" t="str">
        <x:v>current English corpus (July 2024 dataset; public shorthand eng; mutable current corpus)</x:v>
      </x:c>
      <x:c r="H280" s="19" t="str">
        <x:v>global warming (All)</x:v>
      </x:c>
      <x:c r="I280" s="19" t="str">
        <x:v>0</x:v>
      </x:c>
      <x:c r="J280" s="19" t="n">
        <x:v>46260.107256944444</x:v>
      </x:c>
      <x:c r="K280" s="31" t="str">
        <x:v>data/fear-temperature/ngram/raw/e982c3b5d6e77fc759f19bb2931d892bfaa9221ade4a44977579a8d5a8afab71.json</x:v>
      </x:c>
      <x:c r="L280" s="19" t="str">
        <x:v>edd5437f92999c829c0fea3e5822ab6cb22f6b319b6eab7bc697d0dc4f6023f9</x:v>
      </x:c>
      <x:c r="M280" s="19" t="str">
        <x:v>03c6b3b7aec17c75d6066c3ad33475123246728a6d70514bc6c4b2fac975aa04</x:v>
      </x:c>
      <x:c r="N280" s="31" t="str">
        <x:v>FT-LF-GLOBAL_WARMING</x:v>
      </x:c>
      <x:c r="O280" s="31" t="str">
        <x:v>FT-C-GLOBAL_WARMING_ISSUE_LABEL</x:v>
      </x:c>
      <x:c r="P280" s="31" t="str">
        <x:v>FT-F03</x:v>
      </x:c>
      <x:c r="Q280" s="49" t="n">
        <x:v>0.029743560503447952</x:v>
      </x:c>
    </x:row>
    <x:row r="281" ht="20" customHeight="1">
      <x:c r="A281" s="40" t="str">
        <x:v>FT-Q-V01-042</x:v>
      </x:c>
      <x:c r="B281" s="19" t="str">
        <x:v>global warming</x:v>
      </x:c>
      <x:c r="C281" s="31" t="str">
        <x:v>warming</x:v>
      </x:c>
      <x:c r="D281" s="25" t="n">
        <x:v>1937</x:v>
      </x:c>
      <x:c r="E281" s="46" t="n">
        <x:v>1.0029612140805e-9</x:v>
      </x:c>
      <x:c r="F281" s="19" t="str">
        <x:v>eng</x:v>
      </x:c>
      <x:c r="G281" s="19" t="str">
        <x:v>current English corpus (July 2024 dataset; public shorthand eng; mutable current corpus)</x:v>
      </x:c>
      <x:c r="H281" s="19" t="str">
        <x:v>global warming (All)</x:v>
      </x:c>
      <x:c r="I281" s="19" t="str">
        <x:v>0</x:v>
      </x:c>
      <x:c r="J281" s="19" t="n">
        <x:v>46260.107256944444</x:v>
      </x:c>
      <x:c r="K281" s="31" t="str">
        <x:v>data/fear-temperature/ngram/raw/e982c3b5d6e77fc759f19bb2931d892bfaa9221ade4a44977579a8d5a8afab71.json</x:v>
      </x:c>
      <x:c r="L281" s="19" t="str">
        <x:v>edd5437f92999c829c0fea3e5822ab6cb22f6b319b6eab7bc697d0dc4f6023f9</x:v>
      </x:c>
      <x:c r="M281" s="19" t="str">
        <x:v>03c6b3b7aec17c75d6066c3ad33475123246728a6d70514bc6c4b2fac975aa04</x:v>
      </x:c>
      <x:c r="N281" s="31" t="str">
        <x:v>FT-LF-GLOBAL_WARMING</x:v>
      </x:c>
      <x:c r="O281" s="31" t="str">
        <x:v>FT-C-GLOBAL_WARMING_ISSUE_LABEL</x:v>
      </x:c>
      <x:c r="P281" s="31" t="str">
        <x:v>FT-F03</x:v>
      </x:c>
      <x:c r="Q281" s="49" t="n">
        <x:v>0.0010029612140805</x:v>
      </x:c>
    </x:row>
    <x:row r="282" ht="20" customHeight="1">
      <x:c r="A282" s="40" t="str">
        <x:v>FT-Q-V01-042</x:v>
      </x:c>
      <x:c r="B282" s="19" t="str">
        <x:v>global warming</x:v>
      </x:c>
      <x:c r="C282" s="31" t="str">
        <x:v>warming</x:v>
      </x:c>
      <x:c r="D282" s="25" t="n">
        <x:v>1938</x:v>
      </x:c>
      <x:c r="E282" s="46" t="n">
        <x:v>2.00469511824064e-9</x:v>
      </x:c>
      <x:c r="F282" s="19" t="str">
        <x:v>eng</x:v>
      </x:c>
      <x:c r="G282" s="19" t="str">
        <x:v>current English corpus (July 2024 dataset; public shorthand eng; mutable current corpus)</x:v>
      </x:c>
      <x:c r="H282" s="19" t="str">
        <x:v>global warming (All)</x:v>
      </x:c>
      <x:c r="I282" s="19" t="str">
        <x:v>0</x:v>
      </x:c>
      <x:c r="J282" s="19" t="n">
        <x:v>46260.107256944444</x:v>
      </x:c>
      <x:c r="K282" s="31" t="str">
        <x:v>data/fear-temperature/ngram/raw/e982c3b5d6e77fc759f19bb2931d892bfaa9221ade4a44977579a8d5a8afab71.json</x:v>
      </x:c>
      <x:c r="L282" s="19" t="str">
        <x:v>edd5437f92999c829c0fea3e5822ab6cb22f6b319b6eab7bc697d0dc4f6023f9</x:v>
      </x:c>
      <x:c r="M282" s="19" t="str">
        <x:v>03c6b3b7aec17c75d6066c3ad33475123246728a6d70514bc6c4b2fac975aa04</x:v>
      </x:c>
      <x:c r="N282" s="31" t="str">
        <x:v>FT-LF-GLOBAL_WARMING</x:v>
      </x:c>
      <x:c r="O282" s="31" t="str">
        <x:v>FT-C-GLOBAL_WARMING_ISSUE_LABEL</x:v>
      </x:c>
      <x:c r="P282" s="31" t="str">
        <x:v>FT-F03</x:v>
      </x:c>
      <x:c r="Q282" s="49" t="n">
        <x:v>0.00200469511824064</x:v>
      </x:c>
    </x:row>
    <x:row r="283" ht="20" customHeight="1">
      <x:c r="A283" s="40" t="str">
        <x:v>FT-Q-V01-042</x:v>
      </x:c>
      <x:c r="B283" s="19" t="str">
        <x:v>global warming</x:v>
      </x:c>
      <x:c r="C283" s="31" t="str">
        <x:v>warming</x:v>
      </x:c>
      <x:c r="D283" s="25" t="n">
        <x:v>1939</x:v>
      </x:c>
      <x:c r="E283" s="46" t="n">
        <x:v>1.1375126757195984e-8</x:v>
      </x:c>
      <x:c r="F283" s="19" t="str">
        <x:v>eng</x:v>
      </x:c>
      <x:c r="G283" s="19" t="str">
        <x:v>current English corpus (July 2024 dataset; public shorthand eng; mutable current corpus)</x:v>
      </x:c>
      <x:c r="H283" s="19" t="str">
        <x:v>global warming (All)</x:v>
      </x:c>
      <x:c r="I283" s="19" t="str">
        <x:v>0</x:v>
      </x:c>
      <x:c r="J283" s="19" t="n">
        <x:v>46260.107256944444</x:v>
      </x:c>
      <x:c r="K283" s="31" t="str">
        <x:v>data/fear-temperature/ngram/raw/e982c3b5d6e77fc759f19bb2931d892bfaa9221ade4a44977579a8d5a8afab71.json</x:v>
      </x:c>
      <x:c r="L283" s="19" t="str">
        <x:v>edd5437f92999c829c0fea3e5822ab6cb22f6b319b6eab7bc697d0dc4f6023f9</x:v>
      </x:c>
      <x:c r="M283" s="19" t="str">
        <x:v>03c6b3b7aec17c75d6066c3ad33475123246728a6d70514bc6c4b2fac975aa04</x:v>
      </x:c>
      <x:c r="N283" s="31" t="str">
        <x:v>FT-LF-GLOBAL_WARMING</x:v>
      </x:c>
      <x:c r="O283" s="31" t="str">
        <x:v>FT-C-GLOBAL_WARMING_ISSUE_LABEL</x:v>
      </x:c>
      <x:c r="P283" s="31" t="str">
        <x:v>FT-F03</x:v>
      </x:c>
      <x:c r="Q283" s="49" t="n">
        <x:v>0.011375126757195984</x:v>
      </x:c>
    </x:row>
    <x:row r="284" ht="20" customHeight="1">
      <x:c r="A284" s="40" t="str">
        <x:v>FT-Q-V01-042</x:v>
      </x:c>
      <x:c r="B284" s="19" t="str">
        <x:v>global warming</x:v>
      </x:c>
      <x:c r="C284" s="31" t="str">
        <x:v>warming</x:v>
      </x:c>
      <x:c r="D284" s="25" t="n">
        <x:v>1940</x:v>
      </x:c>
      <x:c r="E284" s="46" t="n">
        <x:v>3.949118143609098e-9</x:v>
      </x:c>
      <x:c r="F284" s="19" t="str">
        <x:v>eng</x:v>
      </x:c>
      <x:c r="G284" s="19" t="str">
        <x:v>current English corpus (July 2024 dataset; public shorthand eng; mutable current corpus)</x:v>
      </x:c>
      <x:c r="H284" s="19" t="str">
        <x:v>global warming (All)</x:v>
      </x:c>
      <x:c r="I284" s="19" t="str">
        <x:v>0</x:v>
      </x:c>
      <x:c r="J284" s="19" t="n">
        <x:v>46260.107256944444</x:v>
      </x:c>
      <x:c r="K284" s="31" t="str">
        <x:v>data/fear-temperature/ngram/raw/e982c3b5d6e77fc759f19bb2931d892bfaa9221ade4a44977579a8d5a8afab71.json</x:v>
      </x:c>
      <x:c r="L284" s="19" t="str">
        <x:v>edd5437f92999c829c0fea3e5822ab6cb22f6b319b6eab7bc697d0dc4f6023f9</x:v>
      </x:c>
      <x:c r="M284" s="19" t="str">
        <x:v>03c6b3b7aec17c75d6066c3ad33475123246728a6d70514bc6c4b2fac975aa04</x:v>
      </x:c>
      <x:c r="N284" s="31" t="str">
        <x:v>FT-LF-GLOBAL_WARMING</x:v>
      </x:c>
      <x:c r="O284" s="31" t="str">
        <x:v>FT-C-GLOBAL_WARMING_ISSUE_LABEL</x:v>
      </x:c>
      <x:c r="P284" s="31" t="str">
        <x:v>FT-F03</x:v>
      </x:c>
      <x:c r="Q284" s="49" t="n">
        <x:v>0.003949118143609098</x:v>
      </x:c>
    </x:row>
    <x:row r="285" ht="20" customHeight="1">
      <x:c r="A285" s="40" t="str">
        <x:v>FT-Q-V01-042</x:v>
      </x:c>
      <x:c r="B285" s="19" t="str">
        <x:v>global warming</x:v>
      </x:c>
      <x:c r="C285" s="31" t="str">
        <x:v>warming</x:v>
      </x:c>
      <x:c r="D285" s="25" t="n">
        <x:v>1941</x:v>
      </x:c>
      <x:c r="E285" s="46" t="n">
        <x:v>6.844259103910843e-9</x:v>
      </x:c>
      <x:c r="F285" s="19" t="str">
        <x:v>eng</x:v>
      </x:c>
      <x:c r="G285" s="19" t="str">
        <x:v>current English corpus (July 2024 dataset; public shorthand eng; mutable current corpus)</x:v>
      </x:c>
      <x:c r="H285" s="19" t="str">
        <x:v>global warming (All)</x:v>
      </x:c>
      <x:c r="I285" s="19" t="str">
        <x:v>0</x:v>
      </x:c>
      <x:c r="J285" s="19" t="n">
        <x:v>46260.107256944444</x:v>
      </x:c>
      <x:c r="K285" s="31" t="str">
        <x:v>data/fear-temperature/ngram/raw/e982c3b5d6e77fc759f19bb2931d892bfaa9221ade4a44977579a8d5a8afab71.json</x:v>
      </x:c>
      <x:c r="L285" s="19" t="str">
        <x:v>edd5437f92999c829c0fea3e5822ab6cb22f6b319b6eab7bc697d0dc4f6023f9</x:v>
      </x:c>
      <x:c r="M285" s="19" t="str">
        <x:v>03c6b3b7aec17c75d6066c3ad33475123246728a6d70514bc6c4b2fac975aa04</x:v>
      </x:c>
      <x:c r="N285" s="31" t="str">
        <x:v>FT-LF-GLOBAL_WARMING</x:v>
      </x:c>
      <x:c r="O285" s="31" t="str">
        <x:v>FT-C-GLOBAL_WARMING_ISSUE_LABEL</x:v>
      </x:c>
      <x:c r="P285" s="31" t="str">
        <x:v>FT-F03</x:v>
      </x:c>
      <x:c r="Q285" s="49" t="n">
        <x:v>0.006844259103910843</x:v>
      </x:c>
    </x:row>
    <x:row r="286" ht="20" customHeight="1">
      <x:c r="A286" s="40" t="str">
        <x:v>FT-Q-V01-042</x:v>
      </x:c>
      <x:c r="B286" s="19" t="str">
        <x:v>global warming</x:v>
      </x:c>
      <x:c r="C286" s="31" t="str">
        <x:v>warming</x:v>
      </x:c>
      <x:c r="D286" s="25" t="n">
        <x:v>1942</x:v>
      </x:c>
      <x:c r="E286" s="46" t="n">
        <x:v>1.7814414637884468e-8</x:v>
      </x:c>
      <x:c r="F286" s="19" t="str">
        <x:v>eng</x:v>
      </x:c>
      <x:c r="G286" s="19" t="str">
        <x:v>current English corpus (July 2024 dataset; public shorthand eng; mutable current corpus)</x:v>
      </x:c>
      <x:c r="H286" s="19" t="str">
        <x:v>global warming (All)</x:v>
      </x:c>
      <x:c r="I286" s="19" t="str">
        <x:v>0</x:v>
      </x:c>
      <x:c r="J286" s="19" t="n">
        <x:v>46260.107256944444</x:v>
      </x:c>
      <x:c r="K286" s="31" t="str">
        <x:v>data/fear-temperature/ngram/raw/e982c3b5d6e77fc759f19bb2931d892bfaa9221ade4a44977579a8d5a8afab71.json</x:v>
      </x:c>
      <x:c r="L286" s="19" t="str">
        <x:v>edd5437f92999c829c0fea3e5822ab6cb22f6b319b6eab7bc697d0dc4f6023f9</x:v>
      </x:c>
      <x:c r="M286" s="19" t="str">
        <x:v>03c6b3b7aec17c75d6066c3ad33475123246728a6d70514bc6c4b2fac975aa04</x:v>
      </x:c>
      <x:c r="N286" s="31" t="str">
        <x:v>FT-LF-GLOBAL_WARMING</x:v>
      </x:c>
      <x:c r="O286" s="31" t="str">
        <x:v>FT-C-GLOBAL_WARMING_ISSUE_LABEL</x:v>
      </x:c>
      <x:c r="P286" s="31" t="str">
        <x:v>FT-F03</x:v>
      </x:c>
      <x:c r="Q286" s="49" t="n">
        <x:v>0.017814414637884468</x:v>
      </x:c>
    </x:row>
    <x:row r="287" ht="20" customHeight="1">
      <x:c r="A287" s="40" t="str">
        <x:v>FT-Q-V01-042</x:v>
      </x:c>
      <x:c r="B287" s="19" t="str">
        <x:v>global warming</x:v>
      </x:c>
      <x:c r="C287" s="31" t="str">
        <x:v>warming</x:v>
      </x:c>
      <x:c r="D287" s="25" t="n">
        <x:v>1943</x:v>
      </x:c>
      <x:c r="E287" s="46" t="n">
        <x:v>2.8725773149052e-9</x:v>
      </x:c>
      <x:c r="F287" s="19" t="str">
        <x:v>eng</x:v>
      </x:c>
      <x:c r="G287" s="19" t="str">
        <x:v>current English corpus (July 2024 dataset; public shorthand eng; mutable current corpus)</x:v>
      </x:c>
      <x:c r="H287" s="19" t="str">
        <x:v>global warming (All)</x:v>
      </x:c>
      <x:c r="I287" s="19" t="str">
        <x:v>0</x:v>
      </x:c>
      <x:c r="J287" s="19" t="n">
        <x:v>46260.107256944444</x:v>
      </x:c>
      <x:c r="K287" s="31" t="str">
        <x:v>data/fear-temperature/ngram/raw/e982c3b5d6e77fc759f19bb2931d892bfaa9221ade4a44977579a8d5a8afab71.json</x:v>
      </x:c>
      <x:c r="L287" s="19" t="str">
        <x:v>edd5437f92999c829c0fea3e5822ab6cb22f6b319b6eab7bc697d0dc4f6023f9</x:v>
      </x:c>
      <x:c r="M287" s="19" t="str">
        <x:v>03c6b3b7aec17c75d6066c3ad33475123246728a6d70514bc6c4b2fac975aa04</x:v>
      </x:c>
      <x:c r="N287" s="31" t="str">
        <x:v>FT-LF-GLOBAL_WARMING</x:v>
      </x:c>
      <x:c r="O287" s="31" t="str">
        <x:v>FT-C-GLOBAL_WARMING_ISSUE_LABEL</x:v>
      </x:c>
      <x:c r="P287" s="31" t="str">
        <x:v>FT-F03</x:v>
      </x:c>
      <x:c r="Q287" s="49" t="n">
        <x:v>0.0028725773149052</x:v>
      </x:c>
    </x:row>
    <x:row r="288" ht="20" customHeight="1">
      <x:c r="A288" s="40" t="str">
        <x:v>FT-Q-V01-042</x:v>
      </x:c>
      <x:c r="B288" s="19" t="str">
        <x:v>global warming</x:v>
      </x:c>
      <x:c r="C288" s="31" t="str">
        <x:v>warming</x:v>
      </x:c>
      <x:c r="D288" s="25" t="n">
        <x:v>1944</x:v>
      </x:c>
      <x:c r="E288" s="46" t="n">
        <x:v>2.0531982503069197e-9</x:v>
      </x:c>
      <x:c r="F288" s="19" t="str">
        <x:v>eng</x:v>
      </x:c>
      <x:c r="G288" s="19" t="str">
        <x:v>current English corpus (July 2024 dataset; public shorthand eng; mutable current corpus)</x:v>
      </x:c>
      <x:c r="H288" s="19" t="str">
        <x:v>global warming (All)</x:v>
      </x:c>
      <x:c r="I288" s="19" t="str">
        <x:v>0</x:v>
      </x:c>
      <x:c r="J288" s="19" t="n">
        <x:v>46260.107256944444</x:v>
      </x:c>
      <x:c r="K288" s="31" t="str">
        <x:v>data/fear-temperature/ngram/raw/e982c3b5d6e77fc759f19bb2931d892bfaa9221ade4a44977579a8d5a8afab71.json</x:v>
      </x:c>
      <x:c r="L288" s="19" t="str">
        <x:v>edd5437f92999c829c0fea3e5822ab6cb22f6b319b6eab7bc697d0dc4f6023f9</x:v>
      </x:c>
      <x:c r="M288" s="19" t="str">
        <x:v>03c6b3b7aec17c75d6066c3ad33475123246728a6d70514bc6c4b2fac975aa04</x:v>
      </x:c>
      <x:c r="N288" s="31" t="str">
        <x:v>FT-LF-GLOBAL_WARMING</x:v>
      </x:c>
      <x:c r="O288" s="31" t="str">
        <x:v>FT-C-GLOBAL_WARMING_ISSUE_LABEL</x:v>
      </x:c>
      <x:c r="P288" s="31" t="str">
        <x:v>FT-F03</x:v>
      </x:c>
      <x:c r="Q288" s="49" t="n">
        <x:v>0.0020531982503069197</x:v>
      </x:c>
    </x:row>
    <x:row r="289" ht="20" customHeight="1">
      <x:c r="A289" s="40" t="str">
        <x:v>FT-Q-V01-042</x:v>
      </x:c>
      <x:c r="B289" s="19" t="str">
        <x:v>global warming</x:v>
      </x:c>
      <x:c r="C289" s="31" t="str">
        <x:v>warming</x:v>
      </x:c>
      <x:c r="D289" s="25" t="n">
        <x:v>1945</x:v>
      </x:c>
      <x:c r="E289" s="46" t="n">
        <x:v>1.353847811635944e-9</x:v>
      </x:c>
      <x:c r="F289" s="19" t="str">
        <x:v>eng</x:v>
      </x:c>
      <x:c r="G289" s="19" t="str">
        <x:v>current English corpus (July 2024 dataset; public shorthand eng; mutable current corpus)</x:v>
      </x:c>
      <x:c r="H289" s="19" t="str">
        <x:v>global warming (All)</x:v>
      </x:c>
      <x:c r="I289" s="19" t="str">
        <x:v>0</x:v>
      </x:c>
      <x:c r="J289" s="19" t="n">
        <x:v>46260.107256944444</x:v>
      </x:c>
      <x:c r="K289" s="31" t="str">
        <x:v>data/fear-temperature/ngram/raw/e982c3b5d6e77fc759f19bb2931d892bfaa9221ade4a44977579a8d5a8afab71.json</x:v>
      </x:c>
      <x:c r="L289" s="19" t="str">
        <x:v>edd5437f92999c829c0fea3e5822ab6cb22f6b319b6eab7bc697d0dc4f6023f9</x:v>
      </x:c>
      <x:c r="M289" s="19" t="str">
        <x:v>03c6b3b7aec17c75d6066c3ad33475123246728a6d70514bc6c4b2fac975aa04</x:v>
      </x:c>
      <x:c r="N289" s="31" t="str">
        <x:v>FT-LF-GLOBAL_WARMING</x:v>
      </x:c>
      <x:c r="O289" s="31" t="str">
        <x:v>FT-C-GLOBAL_WARMING_ISSUE_LABEL</x:v>
      </x:c>
      <x:c r="P289" s="31" t="str">
        <x:v>FT-F03</x:v>
      </x:c>
      <x:c r="Q289" s="49" t="n">
        <x:v>0.001353847811635944</x:v>
      </x:c>
    </x:row>
    <x:row r="290" ht="20" customHeight="1">
      <x:c r="A290" s="40" t="str">
        <x:v>FT-Q-V01-042</x:v>
      </x:c>
      <x:c r="B290" s="19" t="str">
        <x:v>global warming</x:v>
      </x:c>
      <x:c r="C290" s="31" t="str">
        <x:v>warming</x:v>
      </x:c>
      <x:c r="D290" s="25" t="n">
        <x:v>1946</x:v>
      </x:c>
      <x:c r="E290" s="46" t="n">
        <x:v>5.172302275369134e-8</x:v>
      </x:c>
      <x:c r="F290" s="19" t="str">
        <x:v>eng</x:v>
      </x:c>
      <x:c r="G290" s="19" t="str">
        <x:v>current English corpus (July 2024 dataset; public shorthand eng; mutable current corpus)</x:v>
      </x:c>
      <x:c r="H290" s="19" t="str">
        <x:v>global warming (All)</x:v>
      </x:c>
      <x:c r="I290" s="19" t="str">
        <x:v>0</x:v>
      </x:c>
      <x:c r="J290" s="19" t="n">
        <x:v>46260.107256944444</x:v>
      </x:c>
      <x:c r="K290" s="31" t="str">
        <x:v>data/fear-temperature/ngram/raw/e982c3b5d6e77fc759f19bb2931d892bfaa9221ade4a44977579a8d5a8afab71.json</x:v>
      </x:c>
      <x:c r="L290" s="19" t="str">
        <x:v>edd5437f92999c829c0fea3e5822ab6cb22f6b319b6eab7bc697d0dc4f6023f9</x:v>
      </x:c>
      <x:c r="M290" s="19" t="str">
        <x:v>03c6b3b7aec17c75d6066c3ad33475123246728a6d70514bc6c4b2fac975aa04</x:v>
      </x:c>
      <x:c r="N290" s="31" t="str">
        <x:v>FT-LF-GLOBAL_WARMING</x:v>
      </x:c>
      <x:c r="O290" s="31" t="str">
        <x:v>FT-C-GLOBAL_WARMING_ISSUE_LABEL</x:v>
      </x:c>
      <x:c r="P290" s="31" t="str">
        <x:v>FT-F03</x:v>
      </x:c>
      <x:c r="Q290" s="49" t="n">
        <x:v>0.05172302275369134</x:v>
      </x:c>
    </x:row>
    <x:row r="291" ht="20" customHeight="1">
      <x:c r="A291" s="40" t="str">
        <x:v>FT-Q-V01-042</x:v>
      </x:c>
      <x:c r="B291" s="19" t="str">
        <x:v>global warming</x:v>
      </x:c>
      <x:c r="C291" s="31" t="str">
        <x:v>warming</x:v>
      </x:c>
      <x:c r="D291" s="25" t="n">
        <x:v>1947</x:v>
      </x:c>
      <x:c r="E291" s="46" t="n">
        <x:v>2.96812330269347e-9</x:v>
      </x:c>
      <x:c r="F291" s="19" t="str">
        <x:v>eng</x:v>
      </x:c>
      <x:c r="G291" s="19" t="str">
        <x:v>current English corpus (July 2024 dataset; public shorthand eng; mutable current corpus)</x:v>
      </x:c>
      <x:c r="H291" s="19" t="str">
        <x:v>global warming (All)</x:v>
      </x:c>
      <x:c r="I291" s="19" t="str">
        <x:v>0</x:v>
      </x:c>
      <x:c r="J291" s="19" t="n">
        <x:v>46260.107256944444</x:v>
      </x:c>
      <x:c r="K291" s="31" t="str">
        <x:v>data/fear-temperature/ngram/raw/e982c3b5d6e77fc759f19bb2931d892bfaa9221ade4a44977579a8d5a8afab71.json</x:v>
      </x:c>
      <x:c r="L291" s="19" t="str">
        <x:v>edd5437f92999c829c0fea3e5822ab6cb22f6b319b6eab7bc697d0dc4f6023f9</x:v>
      </x:c>
      <x:c r="M291" s="19" t="str">
        <x:v>03c6b3b7aec17c75d6066c3ad33475123246728a6d70514bc6c4b2fac975aa04</x:v>
      </x:c>
      <x:c r="N291" s="31" t="str">
        <x:v>FT-LF-GLOBAL_WARMING</x:v>
      </x:c>
      <x:c r="O291" s="31" t="str">
        <x:v>FT-C-GLOBAL_WARMING_ISSUE_LABEL</x:v>
      </x:c>
      <x:c r="P291" s="31" t="str">
        <x:v>FT-F03</x:v>
      </x:c>
      <x:c r="Q291" s="49" t="n">
        <x:v>0.00296812330269347</x:v>
      </x:c>
    </x:row>
    <x:row r="292" ht="20" customHeight="1">
      <x:c r="A292" s="40" t="str">
        <x:v>FT-Q-V01-042</x:v>
      </x:c>
      <x:c r="B292" s="19" t="str">
        <x:v>global warming</x:v>
      </x:c>
      <x:c r="C292" s="31" t="str">
        <x:v>warming</x:v>
      </x:c>
      <x:c r="D292" s="25" t="n">
        <x:v>1948</x:v>
      </x:c>
      <x:c r="E292" s="46" t="n">
        <x:v>2.5212277932062932e-8</x:v>
      </x:c>
      <x:c r="F292" s="19" t="str">
        <x:v>eng</x:v>
      </x:c>
      <x:c r="G292" s="19" t="str">
        <x:v>current English corpus (July 2024 dataset; public shorthand eng; mutable current corpus)</x:v>
      </x:c>
      <x:c r="H292" s="19" t="str">
        <x:v>global warming (All)</x:v>
      </x:c>
      <x:c r="I292" s="19" t="str">
        <x:v>0</x:v>
      </x:c>
      <x:c r="J292" s="19" t="n">
        <x:v>46260.107256944444</x:v>
      </x:c>
      <x:c r="K292" s="31" t="str">
        <x:v>data/fear-temperature/ngram/raw/e982c3b5d6e77fc759f19bb2931d892bfaa9221ade4a44977579a8d5a8afab71.json</x:v>
      </x:c>
      <x:c r="L292" s="19" t="str">
        <x:v>edd5437f92999c829c0fea3e5822ab6cb22f6b319b6eab7bc697d0dc4f6023f9</x:v>
      </x:c>
      <x:c r="M292" s="19" t="str">
        <x:v>03c6b3b7aec17c75d6066c3ad33475123246728a6d70514bc6c4b2fac975aa04</x:v>
      </x:c>
      <x:c r="N292" s="31" t="str">
        <x:v>FT-LF-GLOBAL_WARMING</x:v>
      </x:c>
      <x:c r="O292" s="31" t="str">
        <x:v>FT-C-GLOBAL_WARMING_ISSUE_LABEL</x:v>
      </x:c>
      <x:c r="P292" s="31" t="str">
        <x:v>FT-F03</x:v>
      </x:c>
      <x:c r="Q292" s="49" t="n">
        <x:v>0.025212277932062932</x:v>
      </x:c>
    </x:row>
    <x:row r="293" ht="20" customHeight="1">
      <x:c r="A293" s="40" t="str">
        <x:v>FT-Q-V01-042</x:v>
      </x:c>
      <x:c r="B293" s="19" t="str">
        <x:v>global warming</x:v>
      </x:c>
      <x:c r="C293" s="31" t="str">
        <x:v>warming</x:v>
      </x:c>
      <x:c r="D293" s="25" t="n">
        <x:v>1949</x:v>
      </x:c>
      <x:c r="E293" s="46" t="n">
        <x:v>9.796456069965931e-9</x:v>
      </x:c>
      <x:c r="F293" s="19" t="str">
        <x:v>eng</x:v>
      </x:c>
      <x:c r="G293" s="19" t="str">
        <x:v>current English corpus (July 2024 dataset; public shorthand eng; mutable current corpus)</x:v>
      </x:c>
      <x:c r="H293" s="19" t="str">
        <x:v>global warming (All)</x:v>
      </x:c>
      <x:c r="I293" s="19" t="str">
        <x:v>0</x:v>
      </x:c>
      <x:c r="J293" s="19" t="n">
        <x:v>46260.107256944444</x:v>
      </x:c>
      <x:c r="K293" s="31" t="str">
        <x:v>data/fear-temperature/ngram/raw/e982c3b5d6e77fc759f19bb2931d892bfaa9221ade4a44977579a8d5a8afab71.json</x:v>
      </x:c>
      <x:c r="L293" s="19" t="str">
        <x:v>edd5437f92999c829c0fea3e5822ab6cb22f6b319b6eab7bc697d0dc4f6023f9</x:v>
      </x:c>
      <x:c r="M293" s="19" t="str">
        <x:v>03c6b3b7aec17c75d6066c3ad33475123246728a6d70514bc6c4b2fac975aa04</x:v>
      </x:c>
      <x:c r="N293" s="31" t="str">
        <x:v>FT-LF-GLOBAL_WARMING</x:v>
      </x:c>
      <x:c r="O293" s="31" t="str">
        <x:v>FT-C-GLOBAL_WARMING_ISSUE_LABEL</x:v>
      </x:c>
      <x:c r="P293" s="31" t="str">
        <x:v>FT-F03</x:v>
      </x:c>
      <x:c r="Q293" s="49" t="n">
        <x:v>0.009796456069965931</x:v>
      </x:c>
    </x:row>
    <x:row r="294" ht="20" customHeight="1">
      <x:c r="A294" s="40" t="str">
        <x:v>FT-Q-V01-042</x:v>
      </x:c>
      <x:c r="B294" s="19" t="str">
        <x:v>global warming</x:v>
      </x:c>
      <x:c r="C294" s="31" t="str">
        <x:v>warming</x:v>
      </x:c>
      <x:c r="D294" s="25" t="n">
        <x:v>1950</x:v>
      </x:c>
      <x:c r="E294" s="46" t="n">
        <x:v>2.7587773565596052e-8</x:v>
      </x:c>
      <x:c r="F294" s="19" t="str">
        <x:v>eng</x:v>
      </x:c>
      <x:c r="G294" s="19" t="str">
        <x:v>current English corpus (July 2024 dataset; public shorthand eng; mutable current corpus)</x:v>
      </x:c>
      <x:c r="H294" s="19" t="str">
        <x:v>global warming (All)</x:v>
      </x:c>
      <x:c r="I294" s="19" t="str">
        <x:v>0</x:v>
      </x:c>
      <x:c r="J294" s="19" t="n">
        <x:v>46260.107256944444</x:v>
      </x:c>
      <x:c r="K294" s="31" t="str">
        <x:v>data/fear-temperature/ngram/raw/e982c3b5d6e77fc759f19bb2931d892bfaa9221ade4a44977579a8d5a8afab71.json</x:v>
      </x:c>
      <x:c r="L294" s="19" t="str">
        <x:v>edd5437f92999c829c0fea3e5822ab6cb22f6b319b6eab7bc697d0dc4f6023f9</x:v>
      </x:c>
      <x:c r="M294" s="19" t="str">
        <x:v>03c6b3b7aec17c75d6066c3ad33475123246728a6d70514bc6c4b2fac975aa04</x:v>
      </x:c>
      <x:c r="N294" s="31" t="str">
        <x:v>FT-LF-GLOBAL_WARMING</x:v>
      </x:c>
      <x:c r="O294" s="31" t="str">
        <x:v>FT-C-GLOBAL_WARMING_ISSUE_LABEL</x:v>
      </x:c>
      <x:c r="P294" s="31" t="str">
        <x:v>FT-F03</x:v>
      </x:c>
      <x:c r="Q294" s="49" t="n">
        <x:v>0.027587773565596052</x:v>
      </x:c>
    </x:row>
    <x:row r="295" ht="20" customHeight="1">
      <x:c r="A295" s="40" t="str">
        <x:v>FT-Q-V01-042</x:v>
      </x:c>
      <x:c r="B295" s="19" t="str">
        <x:v>global warming</x:v>
      </x:c>
      <x:c r="C295" s="31" t="str">
        <x:v>warming</x:v>
      </x:c>
      <x:c r="D295" s="25" t="n">
        <x:v>1951</x:v>
      </x:c>
      <x:c r="E295" s="46" t="n">
        <x:v>9.775488016283695e-9</x:v>
      </x:c>
      <x:c r="F295" s="19" t="str">
        <x:v>eng</x:v>
      </x:c>
      <x:c r="G295" s="19" t="str">
        <x:v>current English corpus (July 2024 dataset; public shorthand eng; mutable current corpus)</x:v>
      </x:c>
      <x:c r="H295" s="19" t="str">
        <x:v>global warming (All)</x:v>
      </x:c>
      <x:c r="I295" s="19" t="str">
        <x:v>0</x:v>
      </x:c>
      <x:c r="J295" s="19" t="n">
        <x:v>46260.107256944444</x:v>
      </x:c>
      <x:c r="K295" s="31" t="str">
        <x:v>data/fear-temperature/ngram/raw/e982c3b5d6e77fc759f19bb2931d892bfaa9221ade4a44977579a8d5a8afab71.json</x:v>
      </x:c>
      <x:c r="L295" s="19" t="str">
        <x:v>edd5437f92999c829c0fea3e5822ab6cb22f6b319b6eab7bc697d0dc4f6023f9</x:v>
      </x:c>
      <x:c r="M295" s="19" t="str">
        <x:v>03c6b3b7aec17c75d6066c3ad33475123246728a6d70514bc6c4b2fac975aa04</x:v>
      </x:c>
      <x:c r="N295" s="31" t="str">
        <x:v>FT-LF-GLOBAL_WARMING</x:v>
      </x:c>
      <x:c r="O295" s="31" t="str">
        <x:v>FT-C-GLOBAL_WARMING_ISSUE_LABEL</x:v>
      </x:c>
      <x:c r="P295" s="31" t="str">
        <x:v>FT-F03</x:v>
      </x:c>
      <x:c r="Q295" s="49" t="n">
        <x:v>0.009775488016283695</x:v>
      </x:c>
    </x:row>
    <x:row r="296" ht="20" customHeight="1">
      <x:c r="A296" s="40" t="str">
        <x:v>FT-Q-V01-042</x:v>
      </x:c>
      <x:c r="B296" s="19" t="str">
        <x:v>global warming</x:v>
      </x:c>
      <x:c r="C296" s="31" t="str">
        <x:v>warming</x:v>
      </x:c>
      <x:c r="D296" s="25" t="n">
        <x:v>1952</x:v>
      </x:c>
      <x:c r="E296" s="46" t="n">
        <x:v>2.552359990026787e-10</x:v>
      </x:c>
      <x:c r="F296" s="19" t="str">
        <x:v>eng</x:v>
      </x:c>
      <x:c r="G296" s="19" t="str">
        <x:v>current English corpus (July 2024 dataset; public shorthand eng; mutable current corpus)</x:v>
      </x:c>
      <x:c r="H296" s="19" t="str">
        <x:v>global warming (All)</x:v>
      </x:c>
      <x:c r="I296" s="19" t="str">
        <x:v>0</x:v>
      </x:c>
      <x:c r="J296" s="19" t="n">
        <x:v>46260.107256944444</x:v>
      </x:c>
      <x:c r="K296" s="31" t="str">
        <x:v>data/fear-temperature/ngram/raw/e982c3b5d6e77fc759f19bb2931d892bfaa9221ade4a44977579a8d5a8afab71.json</x:v>
      </x:c>
      <x:c r="L296" s="19" t="str">
        <x:v>edd5437f92999c829c0fea3e5822ab6cb22f6b319b6eab7bc697d0dc4f6023f9</x:v>
      </x:c>
      <x:c r="M296" s="19" t="str">
        <x:v>03c6b3b7aec17c75d6066c3ad33475123246728a6d70514bc6c4b2fac975aa04</x:v>
      </x:c>
      <x:c r="N296" s="31" t="str">
        <x:v>FT-LF-GLOBAL_WARMING</x:v>
      </x:c>
      <x:c r="O296" s="31" t="str">
        <x:v>FT-C-GLOBAL_WARMING_ISSUE_LABEL</x:v>
      </x:c>
      <x:c r="P296" s="31" t="str">
        <x:v>FT-F03</x:v>
      </x:c>
      <x:c r="Q296" s="49" t="n">
        <x:v>0.0002552359990026787</x:v>
      </x:c>
    </x:row>
    <x:row r="297" ht="20" customHeight="1">
      <x:c r="A297" s="40" t="str">
        <x:v>FT-Q-V01-042</x:v>
      </x:c>
      <x:c r="B297" s="19" t="str">
        <x:v>global warming</x:v>
      </x:c>
      <x:c r="C297" s="31" t="str">
        <x:v>warming</x:v>
      </x:c>
      <x:c r="D297" s="25" t="n">
        <x:v>1953</x:v>
      </x:c>
      <x:c r="E297" s="46" t="n">
        <x:v>3.051016037036724e-9</x:v>
      </x:c>
      <x:c r="F297" s="19" t="str">
        <x:v>eng</x:v>
      </x:c>
      <x:c r="G297" s="19" t="str">
        <x:v>current English corpus (July 2024 dataset; public shorthand eng; mutable current corpus)</x:v>
      </x:c>
      <x:c r="H297" s="19" t="str">
        <x:v>global warming (All)</x:v>
      </x:c>
      <x:c r="I297" s="19" t="str">
        <x:v>0</x:v>
      </x:c>
      <x:c r="J297" s="19" t="n">
        <x:v>46260.107256944444</x:v>
      </x:c>
      <x:c r="K297" s="31" t="str">
        <x:v>data/fear-temperature/ngram/raw/e982c3b5d6e77fc759f19bb2931d892bfaa9221ade4a44977579a8d5a8afab71.json</x:v>
      </x:c>
      <x:c r="L297" s="19" t="str">
        <x:v>edd5437f92999c829c0fea3e5822ab6cb22f6b319b6eab7bc697d0dc4f6023f9</x:v>
      </x:c>
      <x:c r="M297" s="19" t="str">
        <x:v>03c6b3b7aec17c75d6066c3ad33475123246728a6d70514bc6c4b2fac975aa04</x:v>
      </x:c>
      <x:c r="N297" s="31" t="str">
        <x:v>FT-LF-GLOBAL_WARMING</x:v>
      </x:c>
      <x:c r="O297" s="31" t="str">
        <x:v>FT-C-GLOBAL_WARMING_ISSUE_LABEL</x:v>
      </x:c>
      <x:c r="P297" s="31" t="str">
        <x:v>FT-F03</x:v>
      </x:c>
      <x:c r="Q297" s="49" t="n">
        <x:v>0.003051016037036724</x:v>
      </x:c>
    </x:row>
    <x:row r="298" ht="20" customHeight="1">
      <x:c r="A298" s="40" t="str">
        <x:v>FT-Q-V01-042</x:v>
      </x:c>
      <x:c r="B298" s="19" t="str">
        <x:v>global warming</x:v>
      </x:c>
      <x:c r="C298" s="31" t="str">
        <x:v>warming</x:v>
      </x:c>
      <x:c r="D298" s="25" t="n">
        <x:v>1954</x:v>
      </x:c>
      <x:c r="E298" s="46" t="n">
        <x:v>2.2172623181937468e-8</x:v>
      </x:c>
      <x:c r="F298" s="19" t="str">
        <x:v>eng</x:v>
      </x:c>
      <x:c r="G298" s="19" t="str">
        <x:v>current English corpus (July 2024 dataset; public shorthand eng; mutable current corpus)</x:v>
      </x:c>
      <x:c r="H298" s="19" t="str">
        <x:v>global warming (All)</x:v>
      </x:c>
      <x:c r="I298" s="19" t="str">
        <x:v>0</x:v>
      </x:c>
      <x:c r="J298" s="19" t="n">
        <x:v>46260.107256944444</x:v>
      </x:c>
      <x:c r="K298" s="31" t="str">
        <x:v>data/fear-temperature/ngram/raw/e982c3b5d6e77fc759f19bb2931d892bfaa9221ade4a44977579a8d5a8afab71.json</x:v>
      </x:c>
      <x:c r="L298" s="19" t="str">
        <x:v>edd5437f92999c829c0fea3e5822ab6cb22f6b319b6eab7bc697d0dc4f6023f9</x:v>
      </x:c>
      <x:c r="M298" s="19" t="str">
        <x:v>03c6b3b7aec17c75d6066c3ad33475123246728a6d70514bc6c4b2fac975aa04</x:v>
      </x:c>
      <x:c r="N298" s="31" t="str">
        <x:v>FT-LF-GLOBAL_WARMING</x:v>
      </x:c>
      <x:c r="O298" s="31" t="str">
        <x:v>FT-C-GLOBAL_WARMING_ISSUE_LABEL</x:v>
      </x:c>
      <x:c r="P298" s="31" t="str">
        <x:v>FT-F03</x:v>
      </x:c>
      <x:c r="Q298" s="49" t="n">
        <x:v>0.022172623181937468</x:v>
      </x:c>
    </x:row>
    <x:row r="299" ht="20" customHeight="1">
      <x:c r="A299" s="40" t="str">
        <x:v>FT-Q-V01-042</x:v>
      </x:c>
      <x:c r="B299" s="19" t="str">
        <x:v>global warming</x:v>
      </x:c>
      <x:c r="C299" s="31" t="str">
        <x:v>warming</x:v>
      </x:c>
      <x:c r="D299" s="25" t="n">
        <x:v>1955</x:v>
      </x:c>
      <x:c r="E299" s="46" t="n">
        <x:v>9.588734584120571e-9</x:v>
      </x:c>
      <x:c r="F299" s="19" t="str">
        <x:v>eng</x:v>
      </x:c>
      <x:c r="G299" s="19" t="str">
        <x:v>current English corpus (July 2024 dataset; public shorthand eng; mutable current corpus)</x:v>
      </x:c>
      <x:c r="H299" s="19" t="str">
        <x:v>global warming (All)</x:v>
      </x:c>
      <x:c r="I299" s="19" t="str">
        <x:v>0</x:v>
      </x:c>
      <x:c r="J299" s="19" t="n">
        <x:v>46260.107256944444</x:v>
      </x:c>
      <x:c r="K299" s="31" t="str">
        <x:v>data/fear-temperature/ngram/raw/e982c3b5d6e77fc759f19bb2931d892bfaa9221ade4a44977579a8d5a8afab71.json</x:v>
      </x:c>
      <x:c r="L299" s="19" t="str">
        <x:v>edd5437f92999c829c0fea3e5822ab6cb22f6b319b6eab7bc697d0dc4f6023f9</x:v>
      </x:c>
      <x:c r="M299" s="19" t="str">
        <x:v>03c6b3b7aec17c75d6066c3ad33475123246728a6d70514bc6c4b2fac975aa04</x:v>
      </x:c>
      <x:c r="N299" s="31" t="str">
        <x:v>FT-LF-GLOBAL_WARMING</x:v>
      </x:c>
      <x:c r="O299" s="31" t="str">
        <x:v>FT-C-GLOBAL_WARMING_ISSUE_LABEL</x:v>
      </x:c>
      <x:c r="P299" s="31" t="str">
        <x:v>FT-F03</x:v>
      </x:c>
      <x:c r="Q299" s="49" t="n">
        <x:v>0.009588734584120571</x:v>
      </x:c>
    </x:row>
    <x:row r="300" ht="20" customHeight="1">
      <x:c r="A300" s="40" t="str">
        <x:v>FT-Q-V01-042</x:v>
      </x:c>
      <x:c r="B300" s="19" t="str">
        <x:v>global warming</x:v>
      </x:c>
      <x:c r="C300" s="31" t="str">
        <x:v>warming</x:v>
      </x:c>
      <x:c r="D300" s="25" t="n">
        <x:v>1956</x:v>
      </x:c>
      <x:c r="E300" s="46" t="n">
        <x:v>2.577010313475902e-9</x:v>
      </x:c>
      <x:c r="F300" s="19" t="str">
        <x:v>eng</x:v>
      </x:c>
      <x:c r="G300" s="19" t="str">
        <x:v>current English corpus (July 2024 dataset; public shorthand eng; mutable current corpus)</x:v>
      </x:c>
      <x:c r="H300" s="19" t="str">
        <x:v>global warming (All)</x:v>
      </x:c>
      <x:c r="I300" s="19" t="str">
        <x:v>0</x:v>
      </x:c>
      <x:c r="J300" s="19" t="n">
        <x:v>46260.107256944444</x:v>
      </x:c>
      <x:c r="K300" s="31" t="str">
        <x:v>data/fear-temperature/ngram/raw/e982c3b5d6e77fc759f19bb2931d892bfaa9221ade4a44977579a8d5a8afab71.json</x:v>
      </x:c>
      <x:c r="L300" s="19" t="str">
        <x:v>edd5437f92999c829c0fea3e5822ab6cb22f6b319b6eab7bc697d0dc4f6023f9</x:v>
      </x:c>
      <x:c r="M300" s="19" t="str">
        <x:v>03c6b3b7aec17c75d6066c3ad33475123246728a6d70514bc6c4b2fac975aa04</x:v>
      </x:c>
      <x:c r="N300" s="31" t="str">
        <x:v>FT-LF-GLOBAL_WARMING</x:v>
      </x:c>
      <x:c r="O300" s="31" t="str">
        <x:v>FT-C-GLOBAL_WARMING_ISSUE_LABEL</x:v>
      </x:c>
      <x:c r="P300" s="31" t="str">
        <x:v>FT-F03</x:v>
      </x:c>
      <x:c r="Q300" s="49" t="n">
        <x:v>0.002577010313475902</x:v>
      </x:c>
    </x:row>
    <x:row r="301" ht="20" customHeight="1">
      <x:c r="A301" s="40" t="str">
        <x:v>FT-Q-V01-042</x:v>
      </x:c>
      <x:c r="B301" s="19" t="str">
        <x:v>global warming</x:v>
      </x:c>
      <x:c r="C301" s="31" t="str">
        <x:v>warming</x:v>
      </x:c>
      <x:c r="D301" s="25" t="n">
        <x:v>1957</x:v>
      </x:c>
      <x:c r="E301" s="46" t="n">
        <x:v>1.583938558091802e-8</x:v>
      </x:c>
      <x:c r="F301" s="19" t="str">
        <x:v>eng</x:v>
      </x:c>
      <x:c r="G301" s="19" t="str">
        <x:v>current English corpus (July 2024 dataset; public shorthand eng; mutable current corpus)</x:v>
      </x:c>
      <x:c r="H301" s="19" t="str">
        <x:v>global warming (All)</x:v>
      </x:c>
      <x:c r="I301" s="19" t="str">
        <x:v>0</x:v>
      </x:c>
      <x:c r="J301" s="19" t="n">
        <x:v>46260.107256944444</x:v>
      </x:c>
      <x:c r="K301" s="31" t="str">
        <x:v>data/fear-temperature/ngram/raw/e982c3b5d6e77fc759f19bb2931d892bfaa9221ade4a44977579a8d5a8afab71.json</x:v>
      </x:c>
      <x:c r="L301" s="19" t="str">
        <x:v>edd5437f92999c829c0fea3e5822ab6cb22f6b319b6eab7bc697d0dc4f6023f9</x:v>
      </x:c>
      <x:c r="M301" s="19" t="str">
        <x:v>03c6b3b7aec17c75d6066c3ad33475123246728a6d70514bc6c4b2fac975aa04</x:v>
      </x:c>
      <x:c r="N301" s="31" t="str">
        <x:v>FT-LF-GLOBAL_WARMING</x:v>
      </x:c>
      <x:c r="O301" s="31" t="str">
        <x:v>FT-C-GLOBAL_WARMING_ISSUE_LABEL</x:v>
      </x:c>
      <x:c r="P301" s="31" t="str">
        <x:v>FT-F03</x:v>
      </x:c>
      <x:c r="Q301" s="49" t="n">
        <x:v>0.01583938558091802</x:v>
      </x:c>
    </x:row>
    <x:row r="302" ht="20" customHeight="1">
      <x:c r="A302" s="40" t="str">
        <x:v>FT-Q-V01-042</x:v>
      </x:c>
      <x:c r="B302" s="19" t="str">
        <x:v>global warming</x:v>
      </x:c>
      <x:c r="C302" s="31" t="str">
        <x:v>warming</x:v>
      </x:c>
      <x:c r="D302" s="25" t="n">
        <x:v>1958</x:v>
      </x:c>
      <x:c r="E302" s="46" t="n">
        <x:v>4.956147964252366e-9</x:v>
      </x:c>
      <x:c r="F302" s="19" t="str">
        <x:v>eng</x:v>
      </x:c>
      <x:c r="G302" s="19" t="str">
        <x:v>current English corpus (July 2024 dataset; public shorthand eng; mutable current corpus)</x:v>
      </x:c>
      <x:c r="H302" s="19" t="str">
        <x:v>global warming (All)</x:v>
      </x:c>
      <x:c r="I302" s="19" t="str">
        <x:v>0</x:v>
      </x:c>
      <x:c r="J302" s="19" t="n">
        <x:v>46260.107256944444</x:v>
      </x:c>
      <x:c r="K302" s="31" t="str">
        <x:v>data/fear-temperature/ngram/raw/e982c3b5d6e77fc759f19bb2931d892bfaa9221ade4a44977579a8d5a8afab71.json</x:v>
      </x:c>
      <x:c r="L302" s="19" t="str">
        <x:v>edd5437f92999c829c0fea3e5822ab6cb22f6b319b6eab7bc697d0dc4f6023f9</x:v>
      </x:c>
      <x:c r="M302" s="19" t="str">
        <x:v>03c6b3b7aec17c75d6066c3ad33475123246728a6d70514bc6c4b2fac975aa04</x:v>
      </x:c>
      <x:c r="N302" s="31" t="str">
        <x:v>FT-LF-GLOBAL_WARMING</x:v>
      </x:c>
      <x:c r="O302" s="31" t="str">
        <x:v>FT-C-GLOBAL_WARMING_ISSUE_LABEL</x:v>
      </x:c>
      <x:c r="P302" s="31" t="str">
        <x:v>FT-F03</x:v>
      </x:c>
      <x:c r="Q302" s="49" t="n">
        <x:v>0.004956147964252366</x:v>
      </x:c>
    </x:row>
    <x:row r="303" ht="20" customHeight="1">
      <x:c r="A303" s="40" t="str">
        <x:v>FT-Q-V01-042</x:v>
      </x:c>
      <x:c r="B303" s="19" t="str">
        <x:v>global warming</x:v>
      </x:c>
      <x:c r="C303" s="31" t="str">
        <x:v>warming</x:v>
      </x:c>
      <x:c r="D303" s="25" t="n">
        <x:v>1959</x:v>
      </x:c>
      <x:c r="E303" s="46" t="n">
        <x:v>2.3092222994902656e-9</x:v>
      </x:c>
      <x:c r="F303" s="19" t="str">
        <x:v>eng</x:v>
      </x:c>
      <x:c r="G303" s="19" t="str">
        <x:v>current English corpus (July 2024 dataset; public shorthand eng; mutable current corpus)</x:v>
      </x:c>
      <x:c r="H303" s="19" t="str">
        <x:v>global warming (All)</x:v>
      </x:c>
      <x:c r="I303" s="19" t="str">
        <x:v>0</x:v>
      </x:c>
      <x:c r="J303" s="19" t="n">
        <x:v>46260.107256944444</x:v>
      </x:c>
      <x:c r="K303" s="31" t="str">
        <x:v>data/fear-temperature/ngram/raw/e982c3b5d6e77fc759f19bb2931d892bfaa9221ade4a44977579a8d5a8afab71.json</x:v>
      </x:c>
      <x:c r="L303" s="19" t="str">
        <x:v>edd5437f92999c829c0fea3e5822ab6cb22f6b319b6eab7bc697d0dc4f6023f9</x:v>
      </x:c>
      <x:c r="M303" s="19" t="str">
        <x:v>03c6b3b7aec17c75d6066c3ad33475123246728a6d70514bc6c4b2fac975aa04</x:v>
      </x:c>
      <x:c r="N303" s="31" t="str">
        <x:v>FT-LF-GLOBAL_WARMING</x:v>
      </x:c>
      <x:c r="O303" s="31" t="str">
        <x:v>FT-C-GLOBAL_WARMING_ISSUE_LABEL</x:v>
      </x:c>
      <x:c r="P303" s="31" t="str">
        <x:v>FT-F03</x:v>
      </x:c>
      <x:c r="Q303" s="49" t="n">
        <x:v>0.0023092222994902656</x:v>
      </x:c>
    </x:row>
    <x:row r="304" ht="20" customHeight="1">
      <x:c r="A304" s="40" t="str">
        <x:v>FT-Q-V01-042</x:v>
      </x:c>
      <x:c r="B304" s="19" t="str">
        <x:v>global warming</x:v>
      </x:c>
      <x:c r="C304" s="31" t="str">
        <x:v>warming</x:v>
      </x:c>
      <x:c r="D304" s="25" t="n">
        <x:v>1960</x:v>
      </x:c>
      <x:c r="E304" s="46" t="n">
        <x:v>1.550697633495579e-8</x:v>
      </x:c>
      <x:c r="F304" s="19" t="str">
        <x:v>eng</x:v>
      </x:c>
      <x:c r="G304" s="19" t="str">
        <x:v>current English corpus (July 2024 dataset; public shorthand eng; mutable current corpus)</x:v>
      </x:c>
      <x:c r="H304" s="19" t="str">
        <x:v>global warming (All)</x:v>
      </x:c>
      <x:c r="I304" s="19" t="str">
        <x:v>0</x:v>
      </x:c>
      <x:c r="J304" s="19" t="n">
        <x:v>46260.107256944444</x:v>
      </x:c>
      <x:c r="K304" s="31" t="str">
        <x:v>data/fear-temperature/ngram/raw/e982c3b5d6e77fc759f19bb2931d892bfaa9221ade4a44977579a8d5a8afab71.json</x:v>
      </x:c>
      <x:c r="L304" s="19" t="str">
        <x:v>edd5437f92999c829c0fea3e5822ab6cb22f6b319b6eab7bc697d0dc4f6023f9</x:v>
      </x:c>
      <x:c r="M304" s="19" t="str">
        <x:v>03c6b3b7aec17c75d6066c3ad33475123246728a6d70514bc6c4b2fac975aa04</x:v>
      </x:c>
      <x:c r="N304" s="31" t="str">
        <x:v>FT-LF-GLOBAL_WARMING</x:v>
      </x:c>
      <x:c r="O304" s="31" t="str">
        <x:v>FT-C-GLOBAL_WARMING_ISSUE_LABEL</x:v>
      </x:c>
      <x:c r="P304" s="31" t="str">
        <x:v>FT-F03</x:v>
      </x:c>
      <x:c r="Q304" s="49" t="n">
        <x:v>0.015506976334955791</x:v>
      </x:c>
    </x:row>
    <x:row r="305" ht="20" customHeight="1">
      <x:c r="A305" s="40" t="str">
        <x:v>FT-Q-V01-042</x:v>
      </x:c>
      <x:c r="B305" s="19" t="str">
        <x:v>global warming</x:v>
      </x:c>
      <x:c r="C305" s="31" t="str">
        <x:v>warming</x:v>
      </x:c>
      <x:c r="D305" s="25" t="n">
        <x:v>1961</x:v>
      </x:c>
      <x:c r="E305" s="46" t="n">
        <x:v>1.1899921270597247e-8</x:v>
      </x:c>
      <x:c r="F305" s="19" t="str">
        <x:v>eng</x:v>
      </x:c>
      <x:c r="G305" s="19" t="str">
        <x:v>current English corpus (July 2024 dataset; public shorthand eng; mutable current corpus)</x:v>
      </x:c>
      <x:c r="H305" s="19" t="str">
        <x:v>global warming (All)</x:v>
      </x:c>
      <x:c r="I305" s="19" t="str">
        <x:v>0</x:v>
      </x:c>
      <x:c r="J305" s="19" t="n">
        <x:v>46260.107256944444</x:v>
      </x:c>
      <x:c r="K305" s="31" t="str">
        <x:v>data/fear-temperature/ngram/raw/e982c3b5d6e77fc759f19bb2931d892bfaa9221ade4a44977579a8d5a8afab71.json</x:v>
      </x:c>
      <x:c r="L305" s="19" t="str">
        <x:v>edd5437f92999c829c0fea3e5822ab6cb22f6b319b6eab7bc697d0dc4f6023f9</x:v>
      </x:c>
      <x:c r="M305" s="19" t="str">
        <x:v>03c6b3b7aec17c75d6066c3ad33475123246728a6d70514bc6c4b2fac975aa04</x:v>
      </x:c>
      <x:c r="N305" s="31" t="str">
        <x:v>FT-LF-GLOBAL_WARMING</x:v>
      </x:c>
      <x:c r="O305" s="31" t="str">
        <x:v>FT-C-GLOBAL_WARMING_ISSUE_LABEL</x:v>
      </x:c>
      <x:c r="P305" s="31" t="str">
        <x:v>FT-F03</x:v>
      </x:c>
      <x:c r="Q305" s="49" t="n">
        <x:v>0.011899921270597247</x:v>
      </x:c>
    </x:row>
    <x:row r="306" ht="20" customHeight="1">
      <x:c r="A306" s="40" t="str">
        <x:v>FT-Q-V01-042</x:v>
      </x:c>
      <x:c r="B306" s="19" t="str">
        <x:v>global warming</x:v>
      </x:c>
      <x:c r="C306" s="31" t="str">
        <x:v>warming</x:v>
      </x:c>
      <x:c r="D306" s="25" t="n">
        <x:v>1962</x:v>
      </x:c>
      <x:c r="E306" s="46" t="n">
        <x:v>3.3903316543071327e-9</x:v>
      </x:c>
      <x:c r="F306" s="19" t="str">
        <x:v>eng</x:v>
      </x:c>
      <x:c r="G306" s="19" t="str">
        <x:v>current English corpus (July 2024 dataset; public shorthand eng; mutable current corpus)</x:v>
      </x:c>
      <x:c r="H306" s="19" t="str">
        <x:v>global warming (All)</x:v>
      </x:c>
      <x:c r="I306" s="19" t="str">
        <x:v>0</x:v>
      </x:c>
      <x:c r="J306" s="19" t="n">
        <x:v>46260.107256944444</x:v>
      </x:c>
      <x:c r="K306" s="31" t="str">
        <x:v>data/fear-temperature/ngram/raw/e982c3b5d6e77fc759f19bb2931d892bfaa9221ade4a44977579a8d5a8afab71.json</x:v>
      </x:c>
      <x:c r="L306" s="19" t="str">
        <x:v>edd5437f92999c829c0fea3e5822ab6cb22f6b319b6eab7bc697d0dc4f6023f9</x:v>
      </x:c>
      <x:c r="M306" s="19" t="str">
        <x:v>03c6b3b7aec17c75d6066c3ad33475123246728a6d70514bc6c4b2fac975aa04</x:v>
      </x:c>
      <x:c r="N306" s="31" t="str">
        <x:v>FT-LF-GLOBAL_WARMING</x:v>
      </x:c>
      <x:c r="O306" s="31" t="str">
        <x:v>FT-C-GLOBAL_WARMING_ISSUE_LABEL</x:v>
      </x:c>
      <x:c r="P306" s="31" t="str">
        <x:v>FT-F03</x:v>
      </x:c>
      <x:c r="Q306" s="49" t="n">
        <x:v>0.0033903316543071327</x:v>
      </x:c>
    </x:row>
    <x:row r="307" ht="20" customHeight="1">
      <x:c r="A307" s="40" t="str">
        <x:v>FT-Q-V01-042</x:v>
      </x:c>
      <x:c r="B307" s="19" t="str">
        <x:v>global warming</x:v>
      </x:c>
      <x:c r="C307" s="31" t="str">
        <x:v>warming</x:v>
      </x:c>
      <x:c r="D307" s="25" t="n">
        <x:v>1963</x:v>
      </x:c>
      <x:c r="E307" s="46" t="n">
        <x:v>6.443011041357138e-9</x:v>
      </x:c>
      <x:c r="F307" s="19" t="str">
        <x:v>eng</x:v>
      </x:c>
      <x:c r="G307" s="19" t="str">
        <x:v>current English corpus (July 2024 dataset; public shorthand eng; mutable current corpus)</x:v>
      </x:c>
      <x:c r="H307" s="19" t="str">
        <x:v>global warming (All)</x:v>
      </x:c>
      <x:c r="I307" s="19" t="str">
        <x:v>0</x:v>
      </x:c>
      <x:c r="J307" s="19" t="n">
        <x:v>46260.107256944444</x:v>
      </x:c>
      <x:c r="K307" s="31" t="str">
        <x:v>data/fear-temperature/ngram/raw/e982c3b5d6e77fc759f19bb2931d892bfaa9221ade4a44977579a8d5a8afab71.json</x:v>
      </x:c>
      <x:c r="L307" s="19" t="str">
        <x:v>edd5437f92999c829c0fea3e5822ab6cb22f6b319b6eab7bc697d0dc4f6023f9</x:v>
      </x:c>
      <x:c r="M307" s="19" t="str">
        <x:v>03c6b3b7aec17c75d6066c3ad33475123246728a6d70514bc6c4b2fac975aa04</x:v>
      </x:c>
      <x:c r="N307" s="31" t="str">
        <x:v>FT-LF-GLOBAL_WARMING</x:v>
      </x:c>
      <x:c r="O307" s="31" t="str">
        <x:v>FT-C-GLOBAL_WARMING_ISSUE_LABEL</x:v>
      </x:c>
      <x:c r="P307" s="31" t="str">
        <x:v>FT-F03</x:v>
      </x:c>
      <x:c r="Q307" s="49" t="n">
        <x:v>0.0064430110413571376</x:v>
      </x:c>
    </x:row>
    <x:row r="308" ht="20" customHeight="1">
      <x:c r="A308" s="40" t="str">
        <x:v>FT-Q-V01-042</x:v>
      </x:c>
      <x:c r="B308" s="19" t="str">
        <x:v>global warming</x:v>
      </x:c>
      <x:c r="C308" s="31" t="str">
        <x:v>warming</x:v>
      </x:c>
      <x:c r="D308" s="25" t="n">
        <x:v>1964</x:v>
      </x:c>
      <x:c r="E308" s="46" t="n">
        <x:v>1.0117488111194284e-8</x:v>
      </x:c>
      <x:c r="F308" s="19" t="str">
        <x:v>eng</x:v>
      </x:c>
      <x:c r="G308" s="19" t="str">
        <x:v>current English corpus (July 2024 dataset; public shorthand eng; mutable current corpus)</x:v>
      </x:c>
      <x:c r="H308" s="19" t="str">
        <x:v>global warming (All)</x:v>
      </x:c>
      <x:c r="I308" s="19" t="str">
        <x:v>0</x:v>
      </x:c>
      <x:c r="J308" s="19" t="n">
        <x:v>46260.107256944444</x:v>
      </x:c>
      <x:c r="K308" s="31" t="str">
        <x:v>data/fear-temperature/ngram/raw/e982c3b5d6e77fc759f19bb2931d892bfaa9221ade4a44977579a8d5a8afab71.json</x:v>
      </x:c>
      <x:c r="L308" s="19" t="str">
        <x:v>edd5437f92999c829c0fea3e5822ab6cb22f6b319b6eab7bc697d0dc4f6023f9</x:v>
      </x:c>
      <x:c r="M308" s="19" t="str">
        <x:v>03c6b3b7aec17c75d6066c3ad33475123246728a6d70514bc6c4b2fac975aa04</x:v>
      </x:c>
      <x:c r="N308" s="31" t="str">
        <x:v>FT-LF-GLOBAL_WARMING</x:v>
      </x:c>
      <x:c r="O308" s="31" t="str">
        <x:v>FT-C-GLOBAL_WARMING_ISSUE_LABEL</x:v>
      </x:c>
      <x:c r="P308" s="31" t="str">
        <x:v>FT-F03</x:v>
      </x:c>
      <x:c r="Q308" s="49" t="n">
        <x:v>0.010117488111194284</x:v>
      </x:c>
    </x:row>
    <x:row r="309" ht="20" customHeight="1">
      <x:c r="A309" s="40" t="str">
        <x:v>FT-Q-V01-042</x:v>
      </x:c>
      <x:c r="B309" s="19" t="str">
        <x:v>global warming</x:v>
      </x:c>
      <x:c r="C309" s="31" t="str">
        <x:v>warming</x:v>
      </x:c>
      <x:c r="D309" s="25" t="n">
        <x:v>1965</x:v>
      </x:c>
      <x:c r="E309" s="46" t="n">
        <x:v>2.268893829066032e-8</x:v>
      </x:c>
      <x:c r="F309" s="19" t="str">
        <x:v>eng</x:v>
      </x:c>
      <x:c r="G309" s="19" t="str">
        <x:v>current English corpus (July 2024 dataset; public shorthand eng; mutable current corpus)</x:v>
      </x:c>
      <x:c r="H309" s="19" t="str">
        <x:v>global warming (All)</x:v>
      </x:c>
      <x:c r="I309" s="19" t="str">
        <x:v>0</x:v>
      </x:c>
      <x:c r="J309" s="19" t="n">
        <x:v>46260.107256944444</x:v>
      </x:c>
      <x:c r="K309" s="31" t="str">
        <x:v>data/fear-temperature/ngram/raw/e982c3b5d6e77fc759f19bb2931d892bfaa9221ade4a44977579a8d5a8afab71.json</x:v>
      </x:c>
      <x:c r="L309" s="19" t="str">
        <x:v>edd5437f92999c829c0fea3e5822ab6cb22f6b319b6eab7bc697d0dc4f6023f9</x:v>
      </x:c>
      <x:c r="M309" s="19" t="str">
        <x:v>03c6b3b7aec17c75d6066c3ad33475123246728a6d70514bc6c4b2fac975aa04</x:v>
      </x:c>
      <x:c r="N309" s="31" t="str">
        <x:v>FT-LF-GLOBAL_WARMING</x:v>
      </x:c>
      <x:c r="O309" s="31" t="str">
        <x:v>FT-C-GLOBAL_WARMING_ISSUE_LABEL</x:v>
      </x:c>
      <x:c r="P309" s="31" t="str">
        <x:v>FT-F03</x:v>
      </x:c>
      <x:c r="Q309" s="49" t="n">
        <x:v>0.02268893829066032</x:v>
      </x:c>
    </x:row>
    <x:row r="310" ht="20" customHeight="1">
      <x:c r="A310" s="40" t="str">
        <x:v>FT-Q-V01-042</x:v>
      </x:c>
      <x:c r="B310" s="19" t="str">
        <x:v>global warming</x:v>
      </x:c>
      <x:c r="C310" s="31" t="str">
        <x:v>warming</x:v>
      </x:c>
      <x:c r="D310" s="25" t="n">
        <x:v>1966</x:v>
      </x:c>
      <x:c r="E310" s="46" t="n">
        <x:v>3.1979698889017527e-9</x:v>
      </x:c>
      <x:c r="F310" s="19" t="str">
        <x:v>eng</x:v>
      </x:c>
      <x:c r="G310" s="19" t="str">
        <x:v>current English corpus (July 2024 dataset; public shorthand eng; mutable current corpus)</x:v>
      </x:c>
      <x:c r="H310" s="19" t="str">
        <x:v>global warming (All)</x:v>
      </x:c>
      <x:c r="I310" s="19" t="str">
        <x:v>0</x:v>
      </x:c>
      <x:c r="J310" s="19" t="n">
        <x:v>46260.107256944444</x:v>
      </x:c>
      <x:c r="K310" s="31" t="str">
        <x:v>data/fear-temperature/ngram/raw/e982c3b5d6e77fc759f19bb2931d892bfaa9221ade4a44977579a8d5a8afab71.json</x:v>
      </x:c>
      <x:c r="L310" s="19" t="str">
        <x:v>edd5437f92999c829c0fea3e5822ab6cb22f6b319b6eab7bc697d0dc4f6023f9</x:v>
      </x:c>
      <x:c r="M310" s="19" t="str">
        <x:v>03c6b3b7aec17c75d6066c3ad33475123246728a6d70514bc6c4b2fac975aa04</x:v>
      </x:c>
      <x:c r="N310" s="31" t="str">
        <x:v>FT-LF-GLOBAL_WARMING</x:v>
      </x:c>
      <x:c r="O310" s="31" t="str">
        <x:v>FT-C-GLOBAL_WARMING_ISSUE_LABEL</x:v>
      </x:c>
      <x:c r="P310" s="31" t="str">
        <x:v>FT-F03</x:v>
      </x:c>
      <x:c r="Q310" s="49" t="n">
        <x:v>0.0031979698889017527</x:v>
      </x:c>
    </x:row>
    <x:row r="311" ht="20" customHeight="1">
      <x:c r="A311" s="40" t="str">
        <x:v>FT-Q-V01-042</x:v>
      </x:c>
      <x:c r="B311" s="19" t="str">
        <x:v>global warming</x:v>
      </x:c>
      <x:c r="C311" s="31" t="str">
        <x:v>warming</x:v>
      </x:c>
      <x:c r="D311" s="25" t="n">
        <x:v>1967</x:v>
      </x:c>
      <x:c r="E311" s="46" t="n">
        <x:v>4.472349512951723e-8</x:v>
      </x:c>
      <x:c r="F311" s="19" t="str">
        <x:v>eng</x:v>
      </x:c>
      <x:c r="G311" s="19" t="str">
        <x:v>current English corpus (July 2024 dataset; public shorthand eng; mutable current corpus)</x:v>
      </x:c>
      <x:c r="H311" s="19" t="str">
        <x:v>global warming (All)</x:v>
      </x:c>
      <x:c r="I311" s="19" t="str">
        <x:v>0</x:v>
      </x:c>
      <x:c r="J311" s="19" t="n">
        <x:v>46260.107256944444</x:v>
      </x:c>
      <x:c r="K311" s="31" t="str">
        <x:v>data/fear-temperature/ngram/raw/e982c3b5d6e77fc759f19bb2931d892bfaa9221ade4a44977579a8d5a8afab71.json</x:v>
      </x:c>
      <x:c r="L311" s="19" t="str">
        <x:v>edd5437f92999c829c0fea3e5822ab6cb22f6b319b6eab7bc697d0dc4f6023f9</x:v>
      </x:c>
      <x:c r="M311" s="19" t="str">
        <x:v>03c6b3b7aec17c75d6066c3ad33475123246728a6d70514bc6c4b2fac975aa04</x:v>
      </x:c>
      <x:c r="N311" s="31" t="str">
        <x:v>FT-LF-GLOBAL_WARMING</x:v>
      </x:c>
      <x:c r="O311" s="31" t="str">
        <x:v>FT-C-GLOBAL_WARMING_ISSUE_LABEL</x:v>
      </x:c>
      <x:c r="P311" s="31" t="str">
        <x:v>FT-F03</x:v>
      </x:c>
      <x:c r="Q311" s="49" t="n">
        <x:v>0.04472349512951723</x:v>
      </x:c>
    </x:row>
    <x:row r="312" ht="20" customHeight="1">
      <x:c r="A312" s="40" t="str">
        <x:v>FT-Q-V01-042</x:v>
      </x:c>
      <x:c r="B312" s="19" t="str">
        <x:v>global warming</x:v>
      </x:c>
      <x:c r="C312" s="31" t="str">
        <x:v>warming</x:v>
      </x:c>
      <x:c r="D312" s="25" t="n">
        <x:v>1968</x:v>
      </x:c>
      <x:c r="E312" s="46" t="n">
        <x:v>7.1665694212352796e-9</x:v>
      </x:c>
      <x:c r="F312" s="19" t="str">
        <x:v>eng</x:v>
      </x:c>
      <x:c r="G312" s="19" t="str">
        <x:v>current English corpus (July 2024 dataset; public shorthand eng; mutable current corpus)</x:v>
      </x:c>
      <x:c r="H312" s="19" t="str">
        <x:v>global warming (All)</x:v>
      </x:c>
      <x:c r="I312" s="19" t="str">
        <x:v>0</x:v>
      </x:c>
      <x:c r="J312" s="19" t="n">
        <x:v>46260.107256944444</x:v>
      </x:c>
      <x:c r="K312" s="31" t="str">
        <x:v>data/fear-temperature/ngram/raw/e982c3b5d6e77fc759f19bb2931d892bfaa9221ade4a44977579a8d5a8afab71.json</x:v>
      </x:c>
      <x:c r="L312" s="19" t="str">
        <x:v>edd5437f92999c829c0fea3e5822ab6cb22f6b319b6eab7bc697d0dc4f6023f9</x:v>
      </x:c>
      <x:c r="M312" s="19" t="str">
        <x:v>03c6b3b7aec17c75d6066c3ad33475123246728a6d70514bc6c4b2fac975aa04</x:v>
      </x:c>
      <x:c r="N312" s="31" t="str">
        <x:v>FT-LF-GLOBAL_WARMING</x:v>
      </x:c>
      <x:c r="O312" s="31" t="str">
        <x:v>FT-C-GLOBAL_WARMING_ISSUE_LABEL</x:v>
      </x:c>
      <x:c r="P312" s="31" t="str">
        <x:v>FT-F03</x:v>
      </x:c>
      <x:c r="Q312" s="49" t="n">
        <x:v>0.0071665694212352795</x:v>
      </x:c>
    </x:row>
    <x:row r="313" ht="20" customHeight="1">
      <x:c r="A313" s="40" t="str">
        <x:v>FT-Q-V01-042</x:v>
      </x:c>
      <x:c r="B313" s="19" t="str">
        <x:v>global warming</x:v>
      </x:c>
      <x:c r="C313" s="31" t="str">
        <x:v>warming</x:v>
      </x:c>
      <x:c r="D313" s="25" t="n">
        <x:v>1969</x:v>
      </x:c>
      <x:c r="E313" s="46" t="n">
        <x:v>9.65989183782101e-9</x:v>
      </x:c>
      <x:c r="F313" s="19" t="str">
        <x:v>eng</x:v>
      </x:c>
      <x:c r="G313" s="19" t="str">
        <x:v>current English corpus (July 2024 dataset; public shorthand eng; mutable current corpus)</x:v>
      </x:c>
      <x:c r="H313" s="19" t="str">
        <x:v>global warming (All)</x:v>
      </x:c>
      <x:c r="I313" s="19" t="str">
        <x:v>0</x:v>
      </x:c>
      <x:c r="J313" s="19" t="n">
        <x:v>46260.107256944444</x:v>
      </x:c>
      <x:c r="K313" s="31" t="str">
        <x:v>data/fear-temperature/ngram/raw/e982c3b5d6e77fc759f19bb2931d892bfaa9221ade4a44977579a8d5a8afab71.json</x:v>
      </x:c>
      <x:c r="L313" s="19" t="str">
        <x:v>edd5437f92999c829c0fea3e5822ab6cb22f6b319b6eab7bc697d0dc4f6023f9</x:v>
      </x:c>
      <x:c r="M313" s="19" t="str">
        <x:v>03c6b3b7aec17c75d6066c3ad33475123246728a6d70514bc6c4b2fac975aa04</x:v>
      </x:c>
      <x:c r="N313" s="31" t="str">
        <x:v>FT-LF-GLOBAL_WARMING</x:v>
      </x:c>
      <x:c r="O313" s="31" t="str">
        <x:v>FT-C-GLOBAL_WARMING_ISSUE_LABEL</x:v>
      </x:c>
      <x:c r="P313" s="31" t="str">
        <x:v>FT-F03</x:v>
      </x:c>
      <x:c r="Q313" s="49" t="n">
        <x:v>0.00965989183782101</x:v>
      </x:c>
    </x:row>
    <x:row r="314" ht="20" customHeight="1">
      <x:c r="A314" s="40" t="str">
        <x:v>FT-Q-V01-042</x:v>
      </x:c>
      <x:c r="B314" s="19" t="str">
        <x:v>global warming</x:v>
      </x:c>
      <x:c r="C314" s="31" t="str">
        <x:v>warming</x:v>
      </x:c>
      <x:c r="D314" s="25" t="n">
        <x:v>1970</x:v>
      </x:c>
      <x:c r="E314" s="46" t="n">
        <x:v>2.073171667671403e-8</x:v>
      </x:c>
      <x:c r="F314" s="19" t="str">
        <x:v>eng</x:v>
      </x:c>
      <x:c r="G314" s="19" t="str">
        <x:v>current English corpus (July 2024 dataset; public shorthand eng; mutable current corpus)</x:v>
      </x:c>
      <x:c r="H314" s="19" t="str">
        <x:v>global warming (All)</x:v>
      </x:c>
      <x:c r="I314" s="19" t="str">
        <x:v>0</x:v>
      </x:c>
      <x:c r="J314" s="19" t="n">
        <x:v>46260.107256944444</x:v>
      </x:c>
      <x:c r="K314" s="31" t="str">
        <x:v>data/fear-temperature/ngram/raw/e982c3b5d6e77fc759f19bb2931d892bfaa9221ade4a44977579a8d5a8afab71.json</x:v>
      </x:c>
      <x:c r="L314" s="19" t="str">
        <x:v>edd5437f92999c829c0fea3e5822ab6cb22f6b319b6eab7bc697d0dc4f6023f9</x:v>
      </x:c>
      <x:c r="M314" s="19" t="str">
        <x:v>03c6b3b7aec17c75d6066c3ad33475123246728a6d70514bc6c4b2fac975aa04</x:v>
      </x:c>
      <x:c r="N314" s="31" t="str">
        <x:v>FT-LF-GLOBAL_WARMING</x:v>
      </x:c>
      <x:c r="O314" s="31" t="str">
        <x:v>FT-C-GLOBAL_WARMING_ISSUE_LABEL</x:v>
      </x:c>
      <x:c r="P314" s="31" t="str">
        <x:v>FT-F03</x:v>
      </x:c>
      <x:c r="Q314" s="49" t="n">
        <x:v>0.02073171667671403</x:v>
      </x:c>
    </x:row>
    <x:row r="315" ht="20" customHeight="1">
      <x:c r="A315" s="40" t="str">
        <x:v>FT-Q-V01-042</x:v>
      </x:c>
      <x:c r="B315" s="19" t="str">
        <x:v>global warming</x:v>
      </x:c>
      <x:c r="C315" s="31" t="str">
        <x:v>warming</x:v>
      </x:c>
      <x:c r="D315" s="25" t="n">
        <x:v>1971</x:v>
      </x:c>
      <x:c r="E315" s="46" t="n">
        <x:v>2.825135003020618e-8</x:v>
      </x:c>
      <x:c r="F315" s="19" t="str">
        <x:v>eng</x:v>
      </x:c>
      <x:c r="G315" s="19" t="str">
        <x:v>current English corpus (July 2024 dataset; public shorthand eng; mutable current corpus)</x:v>
      </x:c>
      <x:c r="H315" s="19" t="str">
        <x:v>global warming (All)</x:v>
      </x:c>
      <x:c r="I315" s="19" t="str">
        <x:v>0</x:v>
      </x:c>
      <x:c r="J315" s="19" t="n">
        <x:v>46260.107256944444</x:v>
      </x:c>
      <x:c r="K315" s="31" t="str">
        <x:v>data/fear-temperature/ngram/raw/e982c3b5d6e77fc759f19bb2931d892bfaa9221ade4a44977579a8d5a8afab71.json</x:v>
      </x:c>
      <x:c r="L315" s="19" t="str">
        <x:v>edd5437f92999c829c0fea3e5822ab6cb22f6b319b6eab7bc697d0dc4f6023f9</x:v>
      </x:c>
      <x:c r="M315" s="19" t="str">
        <x:v>03c6b3b7aec17c75d6066c3ad33475123246728a6d70514bc6c4b2fac975aa04</x:v>
      </x:c>
      <x:c r="N315" s="31" t="str">
        <x:v>FT-LF-GLOBAL_WARMING</x:v>
      </x:c>
      <x:c r="O315" s="31" t="str">
        <x:v>FT-C-GLOBAL_WARMING_ISSUE_LABEL</x:v>
      </x:c>
      <x:c r="P315" s="31" t="str">
        <x:v>FT-F03</x:v>
      </x:c>
      <x:c r="Q315" s="49" t="n">
        <x:v>0.02825135003020618</x:v>
      </x:c>
    </x:row>
    <x:row r="316" ht="20" customHeight="1">
      <x:c r="A316" s="40" t="str">
        <x:v>FT-Q-V01-042</x:v>
      </x:c>
      <x:c r="B316" s="19" t="str">
        <x:v>global warming</x:v>
      </x:c>
      <x:c r="C316" s="31" t="str">
        <x:v>warming</x:v>
      </x:c>
      <x:c r="D316" s="25" t="n">
        <x:v>1972</x:v>
      </x:c>
      <x:c r="E316" s="46" t="n">
        <x:v>2.0032741132602894e-8</x:v>
      </x:c>
      <x:c r="F316" s="19" t="str">
        <x:v>eng</x:v>
      </x:c>
      <x:c r="G316" s="19" t="str">
        <x:v>current English corpus (July 2024 dataset; public shorthand eng; mutable current corpus)</x:v>
      </x:c>
      <x:c r="H316" s="19" t="str">
        <x:v>global warming (All)</x:v>
      </x:c>
      <x:c r="I316" s="19" t="str">
        <x:v>0</x:v>
      </x:c>
      <x:c r="J316" s="19" t="n">
        <x:v>46260.107256944444</x:v>
      </x:c>
      <x:c r="K316" s="31" t="str">
        <x:v>data/fear-temperature/ngram/raw/e982c3b5d6e77fc759f19bb2931d892bfaa9221ade4a44977579a8d5a8afab71.json</x:v>
      </x:c>
      <x:c r="L316" s="19" t="str">
        <x:v>edd5437f92999c829c0fea3e5822ab6cb22f6b319b6eab7bc697d0dc4f6023f9</x:v>
      </x:c>
      <x:c r="M316" s="19" t="str">
        <x:v>03c6b3b7aec17c75d6066c3ad33475123246728a6d70514bc6c4b2fac975aa04</x:v>
      </x:c>
      <x:c r="N316" s="31" t="str">
        <x:v>FT-LF-GLOBAL_WARMING</x:v>
      </x:c>
      <x:c r="O316" s="31" t="str">
        <x:v>FT-C-GLOBAL_WARMING_ISSUE_LABEL</x:v>
      </x:c>
      <x:c r="P316" s="31" t="str">
        <x:v>FT-F03</x:v>
      </x:c>
      <x:c r="Q316" s="49" t="n">
        <x:v>0.020032741132602894</x:v>
      </x:c>
    </x:row>
    <x:row r="317" ht="20" customHeight="1">
      <x:c r="A317" s="40" t="str">
        <x:v>FT-Q-V01-042</x:v>
      </x:c>
      <x:c r="B317" s="19" t="str">
        <x:v>global warming</x:v>
      </x:c>
      <x:c r="C317" s="31" t="str">
        <x:v>warming</x:v>
      </x:c>
      <x:c r="D317" s="25" t="n">
        <x:v>1973</x:v>
      </x:c>
      <x:c r="E317" s="46" t="n">
        <x:v>1.8876192053873808e-8</x:v>
      </x:c>
      <x:c r="F317" s="19" t="str">
        <x:v>eng</x:v>
      </x:c>
      <x:c r="G317" s="19" t="str">
        <x:v>current English corpus (July 2024 dataset; public shorthand eng; mutable current corpus)</x:v>
      </x:c>
      <x:c r="H317" s="19" t="str">
        <x:v>global warming (All)</x:v>
      </x:c>
      <x:c r="I317" s="19" t="str">
        <x:v>0</x:v>
      </x:c>
      <x:c r="J317" s="19" t="n">
        <x:v>46260.107256944444</x:v>
      </x:c>
      <x:c r="K317" s="31" t="str">
        <x:v>data/fear-temperature/ngram/raw/e982c3b5d6e77fc759f19bb2931d892bfaa9221ade4a44977579a8d5a8afab71.json</x:v>
      </x:c>
      <x:c r="L317" s="19" t="str">
        <x:v>edd5437f92999c829c0fea3e5822ab6cb22f6b319b6eab7bc697d0dc4f6023f9</x:v>
      </x:c>
      <x:c r="M317" s="19" t="str">
        <x:v>03c6b3b7aec17c75d6066c3ad33475123246728a6d70514bc6c4b2fac975aa04</x:v>
      </x:c>
      <x:c r="N317" s="31" t="str">
        <x:v>FT-LF-GLOBAL_WARMING</x:v>
      </x:c>
      <x:c r="O317" s="31" t="str">
        <x:v>FT-C-GLOBAL_WARMING_ISSUE_LABEL</x:v>
      </x:c>
      <x:c r="P317" s="31" t="str">
        <x:v>FT-F03</x:v>
      </x:c>
      <x:c r="Q317" s="49" t="n">
        <x:v>0.018876192053873808</x:v>
      </x:c>
    </x:row>
    <x:row r="318" ht="20" customHeight="1">
      <x:c r="A318" s="40" t="str">
        <x:v>FT-Q-V01-042</x:v>
      </x:c>
      <x:c r="B318" s="19" t="str">
        <x:v>global warming</x:v>
      </x:c>
      <x:c r="C318" s="31" t="str">
        <x:v>warming</x:v>
      </x:c>
      <x:c r="D318" s="25" t="n">
        <x:v>1974</x:v>
      </x:c>
      <x:c r="E318" s="46" t="n">
        <x:v>2.6219508258984447e-8</x:v>
      </x:c>
      <x:c r="F318" s="19" t="str">
        <x:v>eng</x:v>
      </x:c>
      <x:c r="G318" s="19" t="str">
        <x:v>current English corpus (July 2024 dataset; public shorthand eng; mutable current corpus)</x:v>
      </x:c>
      <x:c r="H318" s="19" t="str">
        <x:v>global warming (All)</x:v>
      </x:c>
      <x:c r="I318" s="19" t="str">
        <x:v>0</x:v>
      </x:c>
      <x:c r="J318" s="19" t="n">
        <x:v>46260.107256944444</x:v>
      </x:c>
      <x:c r="K318" s="31" t="str">
        <x:v>data/fear-temperature/ngram/raw/e982c3b5d6e77fc759f19bb2931d892bfaa9221ade4a44977579a8d5a8afab71.json</x:v>
      </x:c>
      <x:c r="L318" s="19" t="str">
        <x:v>edd5437f92999c829c0fea3e5822ab6cb22f6b319b6eab7bc697d0dc4f6023f9</x:v>
      </x:c>
      <x:c r="M318" s="19" t="str">
        <x:v>03c6b3b7aec17c75d6066c3ad33475123246728a6d70514bc6c4b2fac975aa04</x:v>
      </x:c>
      <x:c r="N318" s="31" t="str">
        <x:v>FT-LF-GLOBAL_WARMING</x:v>
      </x:c>
      <x:c r="O318" s="31" t="str">
        <x:v>FT-C-GLOBAL_WARMING_ISSUE_LABEL</x:v>
      </x:c>
      <x:c r="P318" s="31" t="str">
        <x:v>FT-F03</x:v>
      </x:c>
      <x:c r="Q318" s="49" t="n">
        <x:v>0.026219508258984447</x:v>
      </x:c>
    </x:row>
    <x:row r="319" ht="20" customHeight="1">
      <x:c r="A319" s="40" t="str">
        <x:v>FT-Q-V01-042</x:v>
      </x:c>
      <x:c r="B319" s="19" t="str">
        <x:v>global warming</x:v>
      </x:c>
      <x:c r="C319" s="31" t="str">
        <x:v>warming</x:v>
      </x:c>
      <x:c r="D319" s="25" t="n">
        <x:v>1975</x:v>
      </x:c>
      <x:c r="E319" s="46" t="n">
        <x:v>1.6192923557589722e-8</x:v>
      </x:c>
      <x:c r="F319" s="19" t="str">
        <x:v>eng</x:v>
      </x:c>
      <x:c r="G319" s="19" t="str">
        <x:v>current English corpus (July 2024 dataset; public shorthand eng; mutable current corpus)</x:v>
      </x:c>
      <x:c r="H319" s="19" t="str">
        <x:v>global warming (All)</x:v>
      </x:c>
      <x:c r="I319" s="19" t="str">
        <x:v>0</x:v>
      </x:c>
      <x:c r="J319" s="19" t="n">
        <x:v>46260.107256944444</x:v>
      </x:c>
      <x:c r="K319" s="31" t="str">
        <x:v>data/fear-temperature/ngram/raw/e982c3b5d6e77fc759f19bb2931d892bfaa9221ade4a44977579a8d5a8afab71.json</x:v>
      </x:c>
      <x:c r="L319" s="19" t="str">
        <x:v>edd5437f92999c829c0fea3e5822ab6cb22f6b319b6eab7bc697d0dc4f6023f9</x:v>
      </x:c>
      <x:c r="M319" s="19" t="str">
        <x:v>03c6b3b7aec17c75d6066c3ad33475123246728a6d70514bc6c4b2fac975aa04</x:v>
      </x:c>
      <x:c r="N319" s="31" t="str">
        <x:v>FT-LF-GLOBAL_WARMING</x:v>
      </x:c>
      <x:c r="O319" s="31" t="str">
        <x:v>FT-C-GLOBAL_WARMING_ISSUE_LABEL</x:v>
      </x:c>
      <x:c r="P319" s="31" t="str">
        <x:v>FT-F03</x:v>
      </x:c>
      <x:c r="Q319" s="49" t="n">
        <x:v>0.016192923557589722</x:v>
      </x:c>
    </x:row>
    <x:row r="320" ht="20" customHeight="1">
      <x:c r="A320" s="40" t="str">
        <x:v>FT-Q-V01-042</x:v>
      </x:c>
      <x:c r="B320" s="19" t="str">
        <x:v>global warming</x:v>
      </x:c>
      <x:c r="C320" s="31" t="str">
        <x:v>warming</x:v>
      </x:c>
      <x:c r="D320" s="25" t="n">
        <x:v>1976</x:v>
      </x:c>
      <x:c r="E320" s="46" t="n">
        <x:v>3.7088354831738e-8</x:v>
      </x:c>
      <x:c r="F320" s="19" t="str">
        <x:v>eng</x:v>
      </x:c>
      <x:c r="G320" s="19" t="str">
        <x:v>current English corpus (July 2024 dataset; public shorthand eng; mutable current corpus)</x:v>
      </x:c>
      <x:c r="H320" s="19" t="str">
        <x:v>global warming (All)</x:v>
      </x:c>
      <x:c r="I320" s="19" t="str">
        <x:v>0</x:v>
      </x:c>
      <x:c r="J320" s="19" t="n">
        <x:v>46260.107256944444</x:v>
      </x:c>
      <x:c r="K320" s="31" t="str">
        <x:v>data/fear-temperature/ngram/raw/e982c3b5d6e77fc759f19bb2931d892bfaa9221ade4a44977579a8d5a8afab71.json</x:v>
      </x:c>
      <x:c r="L320" s="19" t="str">
        <x:v>edd5437f92999c829c0fea3e5822ab6cb22f6b319b6eab7bc697d0dc4f6023f9</x:v>
      </x:c>
      <x:c r="M320" s="19" t="str">
        <x:v>03c6b3b7aec17c75d6066c3ad33475123246728a6d70514bc6c4b2fac975aa04</x:v>
      </x:c>
      <x:c r="N320" s="31" t="str">
        <x:v>FT-LF-GLOBAL_WARMING</x:v>
      </x:c>
      <x:c r="O320" s="31" t="str">
        <x:v>FT-C-GLOBAL_WARMING_ISSUE_LABEL</x:v>
      </x:c>
      <x:c r="P320" s="31" t="str">
        <x:v>FT-F03</x:v>
      </x:c>
      <x:c r="Q320" s="49" t="n">
        <x:v>0.037088354831738</x:v>
      </x:c>
    </x:row>
    <x:row r="321" ht="20" customHeight="1">
      <x:c r="A321" s="40" t="str">
        <x:v>FT-Q-V01-042</x:v>
      </x:c>
      <x:c r="B321" s="19" t="str">
        <x:v>global warming</x:v>
      </x:c>
      <x:c r="C321" s="31" t="str">
        <x:v>warming</x:v>
      </x:c>
      <x:c r="D321" s="25" t="n">
        <x:v>1977</x:v>
      </x:c>
      <x:c r="E321" s="46" t="n">
        <x:v>4.8501440974568766e-8</x:v>
      </x:c>
      <x:c r="F321" s="19" t="str">
        <x:v>eng</x:v>
      </x:c>
      <x:c r="G321" s="19" t="str">
        <x:v>current English corpus (July 2024 dataset; public shorthand eng; mutable current corpus)</x:v>
      </x:c>
      <x:c r="H321" s="19" t="str">
        <x:v>global warming (All)</x:v>
      </x:c>
      <x:c r="I321" s="19" t="str">
        <x:v>0</x:v>
      </x:c>
      <x:c r="J321" s="19" t="n">
        <x:v>46260.107256944444</x:v>
      </x:c>
      <x:c r="K321" s="31" t="str">
        <x:v>data/fear-temperature/ngram/raw/e982c3b5d6e77fc759f19bb2931d892bfaa9221ade4a44977579a8d5a8afab71.json</x:v>
      </x:c>
      <x:c r="L321" s="19" t="str">
        <x:v>edd5437f92999c829c0fea3e5822ab6cb22f6b319b6eab7bc697d0dc4f6023f9</x:v>
      </x:c>
      <x:c r="M321" s="19" t="str">
        <x:v>03c6b3b7aec17c75d6066c3ad33475123246728a6d70514bc6c4b2fac975aa04</x:v>
      </x:c>
      <x:c r="N321" s="31" t="str">
        <x:v>FT-LF-GLOBAL_WARMING</x:v>
      </x:c>
      <x:c r="O321" s="31" t="str">
        <x:v>FT-C-GLOBAL_WARMING_ISSUE_LABEL</x:v>
      </x:c>
      <x:c r="P321" s="31" t="str">
        <x:v>FT-F03</x:v>
      </x:c>
      <x:c r="Q321" s="49" t="n">
        <x:v>0.048501440974568766</x:v>
      </x:c>
    </x:row>
    <x:row r="322" ht="20" customHeight="1">
      <x:c r="A322" s="40" t="str">
        <x:v>FT-Q-V01-042</x:v>
      </x:c>
      <x:c r="B322" s="19" t="str">
        <x:v>global warming</x:v>
      </x:c>
      <x:c r="C322" s="31" t="str">
        <x:v>warming</x:v>
      </x:c>
      <x:c r="D322" s="25" t="n">
        <x:v>1978</x:v>
      </x:c>
      <x:c r="E322" s="46" t="n">
        <x:v>5.2887072138352316e-8</x:v>
      </x:c>
      <x:c r="F322" s="19" t="str">
        <x:v>eng</x:v>
      </x:c>
      <x:c r="G322" s="19" t="str">
        <x:v>current English corpus (July 2024 dataset; public shorthand eng; mutable current corpus)</x:v>
      </x:c>
      <x:c r="H322" s="19" t="str">
        <x:v>global warming (All)</x:v>
      </x:c>
      <x:c r="I322" s="19" t="str">
        <x:v>0</x:v>
      </x:c>
      <x:c r="J322" s="19" t="n">
        <x:v>46260.107256944444</x:v>
      </x:c>
      <x:c r="K322" s="31" t="str">
        <x:v>data/fear-temperature/ngram/raw/e982c3b5d6e77fc759f19bb2931d892bfaa9221ade4a44977579a8d5a8afab71.json</x:v>
      </x:c>
      <x:c r="L322" s="19" t="str">
        <x:v>edd5437f92999c829c0fea3e5822ab6cb22f6b319b6eab7bc697d0dc4f6023f9</x:v>
      </x:c>
      <x:c r="M322" s="19" t="str">
        <x:v>03c6b3b7aec17c75d6066c3ad33475123246728a6d70514bc6c4b2fac975aa04</x:v>
      </x:c>
      <x:c r="N322" s="31" t="str">
        <x:v>FT-LF-GLOBAL_WARMING</x:v>
      </x:c>
      <x:c r="O322" s="31" t="str">
        <x:v>FT-C-GLOBAL_WARMING_ISSUE_LABEL</x:v>
      </x:c>
      <x:c r="P322" s="31" t="str">
        <x:v>FT-F03</x:v>
      </x:c>
      <x:c r="Q322" s="49" t="n">
        <x:v>0.052887072138352316</x:v>
      </x:c>
    </x:row>
    <x:row r="323" ht="20" customHeight="1">
      <x:c r="A323" s="40" t="str">
        <x:v>FT-Q-V01-042</x:v>
      </x:c>
      <x:c r="B323" s="19" t="str">
        <x:v>global warming</x:v>
      </x:c>
      <x:c r="C323" s="31" t="str">
        <x:v>warming</x:v>
      </x:c>
      <x:c r="D323" s="25" t="n">
        <x:v>1979</x:v>
      </x:c>
      <x:c r="E323" s="46" t="n">
        <x:v>8.445733468143146e-8</x:v>
      </x:c>
      <x:c r="F323" s="19" t="str">
        <x:v>eng</x:v>
      </x:c>
      <x:c r="G323" s="19" t="str">
        <x:v>current English corpus (July 2024 dataset; public shorthand eng; mutable current corpus)</x:v>
      </x:c>
      <x:c r="H323" s="19" t="str">
        <x:v>global warming (All)</x:v>
      </x:c>
      <x:c r="I323" s="19" t="str">
        <x:v>0</x:v>
      </x:c>
      <x:c r="J323" s="19" t="n">
        <x:v>46260.107256944444</x:v>
      </x:c>
      <x:c r="K323" s="31" t="str">
        <x:v>data/fear-temperature/ngram/raw/e982c3b5d6e77fc759f19bb2931d892bfaa9221ade4a44977579a8d5a8afab71.json</x:v>
      </x:c>
      <x:c r="L323" s="19" t="str">
        <x:v>edd5437f92999c829c0fea3e5822ab6cb22f6b319b6eab7bc697d0dc4f6023f9</x:v>
      </x:c>
      <x:c r="M323" s="19" t="str">
        <x:v>03c6b3b7aec17c75d6066c3ad33475123246728a6d70514bc6c4b2fac975aa04</x:v>
      </x:c>
      <x:c r="N323" s="31" t="str">
        <x:v>FT-LF-GLOBAL_WARMING</x:v>
      </x:c>
      <x:c r="O323" s="31" t="str">
        <x:v>FT-C-GLOBAL_WARMING_ISSUE_LABEL</x:v>
      </x:c>
      <x:c r="P323" s="31" t="str">
        <x:v>FT-F03</x:v>
      </x:c>
      <x:c r="Q323" s="49" t="n">
        <x:v>0.08445733468143146</x:v>
      </x:c>
    </x:row>
    <x:row r="324" ht="20" customHeight="1">
      <x:c r="A324" s="40" t="str">
        <x:v>FT-Q-V01-042</x:v>
      </x:c>
      <x:c r="B324" s="19" t="str">
        <x:v>global warming</x:v>
      </x:c>
      <x:c r="C324" s="31" t="str">
        <x:v>warming</x:v>
      </x:c>
      <x:c r="D324" s="25" t="n">
        <x:v>1980</x:v>
      </x:c>
      <x:c r="E324" s="46" t="n">
        <x:v>7.300321192005299e-8</x:v>
      </x:c>
      <x:c r="F324" s="19" t="str">
        <x:v>eng</x:v>
      </x:c>
      <x:c r="G324" s="19" t="str">
        <x:v>current English corpus (July 2024 dataset; public shorthand eng; mutable current corpus)</x:v>
      </x:c>
      <x:c r="H324" s="19" t="str">
        <x:v>global warming (All)</x:v>
      </x:c>
      <x:c r="I324" s="19" t="str">
        <x:v>0</x:v>
      </x:c>
      <x:c r="J324" s="19" t="n">
        <x:v>46260.107256944444</x:v>
      </x:c>
      <x:c r="K324" s="31" t="str">
        <x:v>data/fear-temperature/ngram/raw/e982c3b5d6e77fc759f19bb2931d892bfaa9221ade4a44977579a8d5a8afab71.json</x:v>
      </x:c>
      <x:c r="L324" s="19" t="str">
        <x:v>edd5437f92999c829c0fea3e5822ab6cb22f6b319b6eab7bc697d0dc4f6023f9</x:v>
      </x:c>
      <x:c r="M324" s="19" t="str">
        <x:v>03c6b3b7aec17c75d6066c3ad33475123246728a6d70514bc6c4b2fac975aa04</x:v>
      </x:c>
      <x:c r="N324" s="31" t="str">
        <x:v>FT-LF-GLOBAL_WARMING</x:v>
      </x:c>
      <x:c r="O324" s="31" t="str">
        <x:v>FT-C-GLOBAL_WARMING_ISSUE_LABEL</x:v>
      </x:c>
      <x:c r="P324" s="31" t="str">
        <x:v>FT-F03</x:v>
      </x:c>
      <x:c r="Q324" s="49" t="n">
        <x:v>0.07300321192005299</x:v>
      </x:c>
    </x:row>
    <x:row r="325" ht="20" customHeight="1">
      <x:c r="A325" s="40" t="str">
        <x:v>FT-Q-V01-042</x:v>
      </x:c>
      <x:c r="B325" s="19" t="str">
        <x:v>global warming</x:v>
      </x:c>
      <x:c r="C325" s="31" t="str">
        <x:v>warming</x:v>
      </x:c>
      <x:c r="D325" s="25" t="n">
        <x:v>1981</x:v>
      </x:c>
      <x:c r="E325" s="46" t="n">
        <x:v>9.485172203227421e-8</x:v>
      </x:c>
      <x:c r="F325" s="19" t="str">
        <x:v>eng</x:v>
      </x:c>
      <x:c r="G325" s="19" t="str">
        <x:v>current English corpus (July 2024 dataset; public shorthand eng; mutable current corpus)</x:v>
      </x:c>
      <x:c r="H325" s="19" t="str">
        <x:v>global warming (All)</x:v>
      </x:c>
      <x:c r="I325" s="19" t="str">
        <x:v>0</x:v>
      </x:c>
      <x:c r="J325" s="19" t="n">
        <x:v>46260.107256944444</x:v>
      </x:c>
      <x:c r="K325" s="31" t="str">
        <x:v>data/fear-temperature/ngram/raw/e982c3b5d6e77fc759f19bb2931d892bfaa9221ade4a44977579a8d5a8afab71.json</x:v>
      </x:c>
      <x:c r="L325" s="19" t="str">
        <x:v>edd5437f92999c829c0fea3e5822ab6cb22f6b319b6eab7bc697d0dc4f6023f9</x:v>
      </x:c>
      <x:c r="M325" s="19" t="str">
        <x:v>03c6b3b7aec17c75d6066c3ad33475123246728a6d70514bc6c4b2fac975aa04</x:v>
      </x:c>
      <x:c r="N325" s="31" t="str">
        <x:v>FT-LF-GLOBAL_WARMING</x:v>
      </x:c>
      <x:c r="O325" s="31" t="str">
        <x:v>FT-C-GLOBAL_WARMING_ISSUE_LABEL</x:v>
      </x:c>
      <x:c r="P325" s="31" t="str">
        <x:v>FT-F03</x:v>
      </x:c>
      <x:c r="Q325" s="49" t="n">
        <x:v>0.09485172203227421</x:v>
      </x:c>
    </x:row>
    <x:row r="326" ht="20" customHeight="1">
      <x:c r="A326" s="40" t="str">
        <x:v>FT-Q-V01-042</x:v>
      </x:c>
      <x:c r="B326" s="19" t="str">
        <x:v>global warming</x:v>
      </x:c>
      <x:c r="C326" s="31" t="str">
        <x:v>warming</x:v>
      </x:c>
      <x:c r="D326" s="25" t="n">
        <x:v>1982</x:v>
      </x:c>
      <x:c r="E326" s="46" t="n">
        <x:v>1.0112383974636428e-7</x:v>
      </x:c>
      <x:c r="F326" s="19" t="str">
        <x:v>eng</x:v>
      </x:c>
      <x:c r="G326" s="19" t="str">
        <x:v>current English corpus (July 2024 dataset; public shorthand eng; mutable current corpus)</x:v>
      </x:c>
      <x:c r="H326" s="19" t="str">
        <x:v>global warming (All)</x:v>
      </x:c>
      <x:c r="I326" s="19" t="str">
        <x:v>0</x:v>
      </x:c>
      <x:c r="J326" s="19" t="n">
        <x:v>46260.107256944444</x:v>
      </x:c>
      <x:c r="K326" s="31" t="str">
        <x:v>data/fear-temperature/ngram/raw/e982c3b5d6e77fc759f19bb2931d892bfaa9221ade4a44977579a8d5a8afab71.json</x:v>
      </x:c>
      <x:c r="L326" s="19" t="str">
        <x:v>edd5437f92999c829c0fea3e5822ab6cb22f6b319b6eab7bc697d0dc4f6023f9</x:v>
      </x:c>
      <x:c r="M326" s="19" t="str">
        <x:v>03c6b3b7aec17c75d6066c3ad33475123246728a6d70514bc6c4b2fac975aa04</x:v>
      </x:c>
      <x:c r="N326" s="31" t="str">
        <x:v>FT-LF-GLOBAL_WARMING</x:v>
      </x:c>
      <x:c r="O326" s="31" t="str">
        <x:v>FT-C-GLOBAL_WARMING_ISSUE_LABEL</x:v>
      </x:c>
      <x:c r="P326" s="31" t="str">
        <x:v>FT-F03</x:v>
      </x:c>
      <x:c r="Q326" s="49" t="n">
        <x:v>0.10112383974636428</x:v>
      </x:c>
    </x:row>
    <x:row r="327" ht="20" customHeight="1">
      <x:c r="A327" s="40" t="str">
        <x:v>FT-Q-V01-042</x:v>
      </x:c>
      <x:c r="B327" s="19" t="str">
        <x:v>global warming</x:v>
      </x:c>
      <x:c r="C327" s="31" t="str">
        <x:v>warming</x:v>
      </x:c>
      <x:c r="D327" s="25" t="n">
        <x:v>1983</x:v>
      </x:c>
      <x:c r="E327" s="46" t="n">
        <x:v>7.714857952478837e-8</x:v>
      </x:c>
      <x:c r="F327" s="19" t="str">
        <x:v>eng</x:v>
      </x:c>
      <x:c r="G327" s="19" t="str">
        <x:v>current English corpus (July 2024 dataset; public shorthand eng; mutable current corpus)</x:v>
      </x:c>
      <x:c r="H327" s="19" t="str">
        <x:v>global warming (All)</x:v>
      </x:c>
      <x:c r="I327" s="19" t="str">
        <x:v>0</x:v>
      </x:c>
      <x:c r="J327" s="19" t="n">
        <x:v>46260.107256944444</x:v>
      </x:c>
      <x:c r="K327" s="31" t="str">
        <x:v>data/fear-temperature/ngram/raw/e982c3b5d6e77fc759f19bb2931d892bfaa9221ade4a44977579a8d5a8afab71.json</x:v>
      </x:c>
      <x:c r="L327" s="19" t="str">
        <x:v>edd5437f92999c829c0fea3e5822ab6cb22f6b319b6eab7bc697d0dc4f6023f9</x:v>
      </x:c>
      <x:c r="M327" s="19" t="str">
        <x:v>03c6b3b7aec17c75d6066c3ad33475123246728a6d70514bc6c4b2fac975aa04</x:v>
      </x:c>
      <x:c r="N327" s="31" t="str">
        <x:v>FT-LF-GLOBAL_WARMING</x:v>
      </x:c>
      <x:c r="O327" s="31" t="str">
        <x:v>FT-C-GLOBAL_WARMING_ISSUE_LABEL</x:v>
      </x:c>
      <x:c r="P327" s="31" t="str">
        <x:v>FT-F03</x:v>
      </x:c>
      <x:c r="Q327" s="49" t="n">
        <x:v>0.07714857952478837</x:v>
      </x:c>
    </x:row>
    <x:row r="328" ht="20" customHeight="1">
      <x:c r="A328" s="40" t="str">
        <x:v>FT-Q-V01-042</x:v>
      </x:c>
      <x:c r="B328" s="19" t="str">
        <x:v>global warming</x:v>
      </x:c>
      <x:c r="C328" s="31" t="str">
        <x:v>warming</x:v>
      </x:c>
      <x:c r="D328" s="25" t="n">
        <x:v>1984</x:v>
      </x:c>
      <x:c r="E328" s="46" t="n">
        <x:v>1.069888586613388e-7</x:v>
      </x:c>
      <x:c r="F328" s="19" t="str">
        <x:v>eng</x:v>
      </x:c>
      <x:c r="G328" s="19" t="str">
        <x:v>current English corpus (July 2024 dataset; public shorthand eng; mutable current corpus)</x:v>
      </x:c>
      <x:c r="H328" s="19" t="str">
        <x:v>global warming (All)</x:v>
      </x:c>
      <x:c r="I328" s="19" t="str">
        <x:v>0</x:v>
      </x:c>
      <x:c r="J328" s="19" t="n">
        <x:v>46260.107256944444</x:v>
      </x:c>
      <x:c r="K328" s="31" t="str">
        <x:v>data/fear-temperature/ngram/raw/e982c3b5d6e77fc759f19bb2931d892bfaa9221ade4a44977579a8d5a8afab71.json</x:v>
      </x:c>
      <x:c r="L328" s="19" t="str">
        <x:v>edd5437f92999c829c0fea3e5822ab6cb22f6b319b6eab7bc697d0dc4f6023f9</x:v>
      </x:c>
      <x:c r="M328" s="19" t="str">
        <x:v>03c6b3b7aec17c75d6066c3ad33475123246728a6d70514bc6c4b2fac975aa04</x:v>
      </x:c>
      <x:c r="N328" s="31" t="str">
        <x:v>FT-LF-GLOBAL_WARMING</x:v>
      </x:c>
      <x:c r="O328" s="31" t="str">
        <x:v>FT-C-GLOBAL_WARMING_ISSUE_LABEL</x:v>
      </x:c>
      <x:c r="P328" s="31" t="str">
        <x:v>FT-F03</x:v>
      </x:c>
      <x:c r="Q328" s="49" t="n">
        <x:v>0.1069888586613388</x:v>
      </x:c>
    </x:row>
    <x:row r="329" ht="20" customHeight="1">
      <x:c r="A329" s="40" t="str">
        <x:v>FT-Q-V01-042</x:v>
      </x:c>
      <x:c r="B329" s="19" t="str">
        <x:v>global warming</x:v>
      </x:c>
      <x:c r="C329" s="31" t="str">
        <x:v>warming</x:v>
      </x:c>
      <x:c r="D329" s="25" t="n">
        <x:v>1985</x:v>
      </x:c>
      <x:c r="E329" s="46" t="n">
        <x:v>1.2500431889606034e-7</x:v>
      </x:c>
      <x:c r="F329" s="19" t="str">
        <x:v>eng</x:v>
      </x:c>
      <x:c r="G329" s="19" t="str">
        <x:v>current English corpus (July 2024 dataset; public shorthand eng; mutable current corpus)</x:v>
      </x:c>
      <x:c r="H329" s="19" t="str">
        <x:v>global warming (All)</x:v>
      </x:c>
      <x:c r="I329" s="19" t="str">
        <x:v>0</x:v>
      </x:c>
      <x:c r="J329" s="19" t="n">
        <x:v>46260.107256944444</x:v>
      </x:c>
      <x:c r="K329" s="31" t="str">
        <x:v>data/fear-temperature/ngram/raw/e982c3b5d6e77fc759f19bb2931d892bfaa9221ade4a44977579a8d5a8afab71.json</x:v>
      </x:c>
      <x:c r="L329" s="19" t="str">
        <x:v>edd5437f92999c829c0fea3e5822ab6cb22f6b319b6eab7bc697d0dc4f6023f9</x:v>
      </x:c>
      <x:c r="M329" s="19" t="str">
        <x:v>03c6b3b7aec17c75d6066c3ad33475123246728a6d70514bc6c4b2fac975aa04</x:v>
      </x:c>
      <x:c r="N329" s="31" t="str">
        <x:v>FT-LF-GLOBAL_WARMING</x:v>
      </x:c>
      <x:c r="O329" s="31" t="str">
        <x:v>FT-C-GLOBAL_WARMING_ISSUE_LABEL</x:v>
      </x:c>
      <x:c r="P329" s="31" t="str">
        <x:v>FT-F03</x:v>
      </x:c>
      <x:c r="Q329" s="49" t="n">
        <x:v>0.12500431889606034</x:v>
      </x:c>
    </x:row>
    <x:row r="330" ht="20" customHeight="1">
      <x:c r="A330" s="40" t="str">
        <x:v>FT-Q-V01-042</x:v>
      </x:c>
      <x:c r="B330" s="19" t="str">
        <x:v>global warming</x:v>
      </x:c>
      <x:c r="C330" s="31" t="str">
        <x:v>warming</x:v>
      </x:c>
      <x:c r="D330" s="25" t="n">
        <x:v>1986</x:v>
      </x:c>
      <x:c r="E330" s="46" t="n">
        <x:v>2.0353584410590098e-7</x:v>
      </x:c>
      <x:c r="F330" s="19" t="str">
        <x:v>eng</x:v>
      </x:c>
      <x:c r="G330" s="19" t="str">
        <x:v>current English corpus (July 2024 dataset; public shorthand eng; mutable current corpus)</x:v>
      </x:c>
      <x:c r="H330" s="19" t="str">
        <x:v>global warming (All)</x:v>
      </x:c>
      <x:c r="I330" s="19" t="str">
        <x:v>0</x:v>
      </x:c>
      <x:c r="J330" s="19" t="n">
        <x:v>46260.107256944444</x:v>
      </x:c>
      <x:c r="K330" s="31" t="str">
        <x:v>data/fear-temperature/ngram/raw/e982c3b5d6e77fc759f19bb2931d892bfaa9221ade4a44977579a8d5a8afab71.json</x:v>
      </x:c>
      <x:c r="L330" s="19" t="str">
        <x:v>edd5437f92999c829c0fea3e5822ab6cb22f6b319b6eab7bc697d0dc4f6023f9</x:v>
      </x:c>
      <x:c r="M330" s="19" t="str">
        <x:v>03c6b3b7aec17c75d6066c3ad33475123246728a6d70514bc6c4b2fac975aa04</x:v>
      </x:c>
      <x:c r="N330" s="31" t="str">
        <x:v>FT-LF-GLOBAL_WARMING</x:v>
      </x:c>
      <x:c r="O330" s="31" t="str">
        <x:v>FT-C-GLOBAL_WARMING_ISSUE_LABEL</x:v>
      </x:c>
      <x:c r="P330" s="31" t="str">
        <x:v>FT-F03</x:v>
      </x:c>
      <x:c r="Q330" s="49" t="n">
        <x:v>0.20353584410590098</x:v>
      </x:c>
    </x:row>
    <x:row r="331" ht="20" customHeight="1">
      <x:c r="A331" s="40" t="str">
        <x:v>FT-Q-V01-042</x:v>
      </x:c>
      <x:c r="B331" s="19" t="str">
        <x:v>global warming</x:v>
      </x:c>
      <x:c r="C331" s="31" t="str">
        <x:v>warming</x:v>
      </x:c>
      <x:c r="D331" s="25" t="n">
        <x:v>1987</x:v>
      </x:c>
      <x:c r="E331" s="46" t="n">
        <x:v>3.127174412753675e-7</x:v>
      </x:c>
      <x:c r="F331" s="19" t="str">
        <x:v>eng</x:v>
      </x:c>
      <x:c r="G331" s="19" t="str">
        <x:v>current English corpus (July 2024 dataset; public shorthand eng; mutable current corpus)</x:v>
      </x:c>
      <x:c r="H331" s="19" t="str">
        <x:v>global warming (All)</x:v>
      </x:c>
      <x:c r="I331" s="19" t="str">
        <x:v>0</x:v>
      </x:c>
      <x:c r="J331" s="19" t="n">
        <x:v>46260.107256944444</x:v>
      </x:c>
      <x:c r="K331" s="31" t="str">
        <x:v>data/fear-temperature/ngram/raw/e982c3b5d6e77fc759f19bb2931d892bfaa9221ade4a44977579a8d5a8afab71.json</x:v>
      </x:c>
      <x:c r="L331" s="19" t="str">
        <x:v>edd5437f92999c829c0fea3e5822ab6cb22f6b319b6eab7bc697d0dc4f6023f9</x:v>
      </x:c>
      <x:c r="M331" s="19" t="str">
        <x:v>03c6b3b7aec17c75d6066c3ad33475123246728a6d70514bc6c4b2fac975aa04</x:v>
      </x:c>
      <x:c r="N331" s="31" t="str">
        <x:v>FT-LF-GLOBAL_WARMING</x:v>
      </x:c>
      <x:c r="O331" s="31" t="str">
        <x:v>FT-C-GLOBAL_WARMING_ISSUE_LABEL</x:v>
      </x:c>
      <x:c r="P331" s="31" t="str">
        <x:v>FT-F03</x:v>
      </x:c>
      <x:c r="Q331" s="49" t="n">
        <x:v>0.3127174412753675</x:v>
      </x:c>
    </x:row>
    <x:row r="332" ht="20" customHeight="1">
      <x:c r="A332" s="40" t="str">
        <x:v>FT-Q-V01-042</x:v>
      </x:c>
      <x:c r="B332" s="19" t="str">
        <x:v>global warming</x:v>
      </x:c>
      <x:c r="C332" s="31" t="str">
        <x:v>warming</x:v>
      </x:c>
      <x:c r="D332" s="25" t="n">
        <x:v>1988</x:v>
      </x:c>
      <x:c r="E332" s="46" t="n">
        <x:v>6.400895369296223e-7</x:v>
      </x:c>
      <x:c r="F332" s="19" t="str">
        <x:v>eng</x:v>
      </x:c>
      <x:c r="G332" s="19" t="str">
        <x:v>current English corpus (July 2024 dataset; public shorthand eng; mutable current corpus)</x:v>
      </x:c>
      <x:c r="H332" s="19" t="str">
        <x:v>global warming (All)</x:v>
      </x:c>
      <x:c r="I332" s="19" t="str">
        <x:v>0</x:v>
      </x:c>
      <x:c r="J332" s="19" t="n">
        <x:v>46260.107256944444</x:v>
      </x:c>
      <x:c r="K332" s="31" t="str">
        <x:v>data/fear-temperature/ngram/raw/e982c3b5d6e77fc759f19bb2931d892bfaa9221ade4a44977579a8d5a8afab71.json</x:v>
      </x:c>
      <x:c r="L332" s="19" t="str">
        <x:v>edd5437f92999c829c0fea3e5822ab6cb22f6b319b6eab7bc697d0dc4f6023f9</x:v>
      </x:c>
      <x:c r="M332" s="19" t="str">
        <x:v>03c6b3b7aec17c75d6066c3ad33475123246728a6d70514bc6c4b2fac975aa04</x:v>
      </x:c>
      <x:c r="N332" s="31" t="str">
        <x:v>FT-LF-GLOBAL_WARMING</x:v>
      </x:c>
      <x:c r="O332" s="31" t="str">
        <x:v>FT-C-GLOBAL_WARMING_ISSUE_LABEL</x:v>
      </x:c>
      <x:c r="P332" s="31" t="str">
        <x:v>FT-F03</x:v>
      </x:c>
      <x:c r="Q332" s="49" t="n">
        <x:v>0.6400895369296223</x:v>
      </x:c>
    </x:row>
    <x:row r="333" ht="20" customHeight="1">
      <x:c r="A333" s="40" t="str">
        <x:v>FT-Q-V01-042</x:v>
      </x:c>
      <x:c r="B333" s="19" t="str">
        <x:v>global warming</x:v>
      </x:c>
      <x:c r="C333" s="31" t="str">
        <x:v>warming</x:v>
      </x:c>
      <x:c r="D333" s="25" t="n">
        <x:v>1989</x:v>
      </x:c>
      <x:c r="E333" s="46" t="n">
        <x:v>0.000001911870034322638</x:v>
      </x:c>
      <x:c r="F333" s="19" t="str">
        <x:v>eng</x:v>
      </x:c>
      <x:c r="G333" s="19" t="str">
        <x:v>current English corpus (July 2024 dataset; public shorthand eng; mutable current corpus)</x:v>
      </x:c>
      <x:c r="H333" s="19" t="str">
        <x:v>global warming (All)</x:v>
      </x:c>
      <x:c r="I333" s="19" t="str">
        <x:v>0</x:v>
      </x:c>
      <x:c r="J333" s="19" t="n">
        <x:v>46260.107256944444</x:v>
      </x:c>
      <x:c r="K333" s="31" t="str">
        <x:v>data/fear-temperature/ngram/raw/e982c3b5d6e77fc759f19bb2931d892bfaa9221ade4a44977579a8d5a8afab71.json</x:v>
      </x:c>
      <x:c r="L333" s="19" t="str">
        <x:v>edd5437f92999c829c0fea3e5822ab6cb22f6b319b6eab7bc697d0dc4f6023f9</x:v>
      </x:c>
      <x:c r="M333" s="19" t="str">
        <x:v>03c6b3b7aec17c75d6066c3ad33475123246728a6d70514bc6c4b2fac975aa04</x:v>
      </x:c>
      <x:c r="N333" s="31" t="str">
        <x:v>FT-LF-GLOBAL_WARMING</x:v>
      </x:c>
      <x:c r="O333" s="31" t="str">
        <x:v>FT-C-GLOBAL_WARMING_ISSUE_LABEL</x:v>
      </x:c>
      <x:c r="P333" s="31" t="str">
        <x:v>FT-F03</x:v>
      </x:c>
      <x:c r="Q333" s="49" t="n">
        <x:v>1.911870034322638</x:v>
      </x:c>
    </x:row>
    <x:row r="334" ht="20" customHeight="1">
      <x:c r="A334" s="40" t="str">
        <x:v>FT-Q-V01-042</x:v>
      </x:c>
      <x:c r="B334" s="19" t="str">
        <x:v>global warming</x:v>
      </x:c>
      <x:c r="C334" s="31" t="str">
        <x:v>warming</x:v>
      </x:c>
      <x:c r="D334" s="25" t="n">
        <x:v>1990</x:v>
      </x:c>
      <x:c r="E334" s="46" t="n">
        <x:v>0.000002645472821902195</x:v>
      </x:c>
      <x:c r="F334" s="19" t="str">
        <x:v>eng</x:v>
      </x:c>
      <x:c r="G334" s="19" t="str">
        <x:v>current English corpus (July 2024 dataset; public shorthand eng; mutable current corpus)</x:v>
      </x:c>
      <x:c r="H334" s="19" t="str">
        <x:v>global warming (All)</x:v>
      </x:c>
      <x:c r="I334" s="19" t="str">
        <x:v>0</x:v>
      </x:c>
      <x:c r="J334" s="19" t="n">
        <x:v>46260.107256944444</x:v>
      </x:c>
      <x:c r="K334" s="31" t="str">
        <x:v>data/fear-temperature/ngram/raw/e982c3b5d6e77fc759f19bb2931d892bfaa9221ade4a44977579a8d5a8afab71.json</x:v>
      </x:c>
      <x:c r="L334" s="19" t="str">
        <x:v>edd5437f92999c829c0fea3e5822ab6cb22f6b319b6eab7bc697d0dc4f6023f9</x:v>
      </x:c>
      <x:c r="M334" s="19" t="str">
        <x:v>03c6b3b7aec17c75d6066c3ad33475123246728a6d70514bc6c4b2fac975aa04</x:v>
      </x:c>
      <x:c r="N334" s="31" t="str">
        <x:v>FT-LF-GLOBAL_WARMING</x:v>
      </x:c>
      <x:c r="O334" s="31" t="str">
        <x:v>FT-C-GLOBAL_WARMING_ISSUE_LABEL</x:v>
      </x:c>
      <x:c r="P334" s="31" t="str">
        <x:v>FT-F03</x:v>
      </x:c>
      <x:c r="Q334" s="49" t="n">
        <x:v>2.645472821902195</x:v>
      </x:c>
    </x:row>
    <x:row r="335" ht="20" customHeight="1">
      <x:c r="A335" s="40" t="str">
        <x:v>FT-Q-V01-042</x:v>
      </x:c>
      <x:c r="B335" s="19" t="str">
        <x:v>global warming</x:v>
      </x:c>
      <x:c r="C335" s="31" t="str">
        <x:v>warming</x:v>
      </x:c>
      <x:c r="D335" s="25" t="n">
        <x:v>1991</x:v>
      </x:c>
      <x:c r="E335" s="46" t="n">
        <x:v>0.000002749260911268092</x:v>
      </x:c>
      <x:c r="F335" s="19" t="str">
        <x:v>eng</x:v>
      </x:c>
      <x:c r="G335" s="19" t="str">
        <x:v>current English corpus (July 2024 dataset; public shorthand eng; mutable current corpus)</x:v>
      </x:c>
      <x:c r="H335" s="19" t="str">
        <x:v>global warming (All)</x:v>
      </x:c>
      <x:c r="I335" s="19" t="str">
        <x:v>0</x:v>
      </x:c>
      <x:c r="J335" s="19" t="n">
        <x:v>46260.107256944444</x:v>
      </x:c>
      <x:c r="K335" s="31" t="str">
        <x:v>data/fear-temperature/ngram/raw/e982c3b5d6e77fc759f19bb2931d892bfaa9221ade4a44977579a8d5a8afab71.json</x:v>
      </x:c>
      <x:c r="L335" s="19" t="str">
        <x:v>edd5437f92999c829c0fea3e5822ab6cb22f6b319b6eab7bc697d0dc4f6023f9</x:v>
      </x:c>
      <x:c r="M335" s="19" t="str">
        <x:v>03c6b3b7aec17c75d6066c3ad33475123246728a6d70514bc6c4b2fac975aa04</x:v>
      </x:c>
      <x:c r="N335" s="31" t="str">
        <x:v>FT-LF-GLOBAL_WARMING</x:v>
      </x:c>
      <x:c r="O335" s="31" t="str">
        <x:v>FT-C-GLOBAL_WARMING_ISSUE_LABEL</x:v>
      </x:c>
      <x:c r="P335" s="31" t="str">
        <x:v>FT-F03</x:v>
      </x:c>
      <x:c r="Q335" s="49" t="n">
        <x:v>2.749260911268092</x:v>
      </x:c>
    </x:row>
    <x:row r="336" ht="20" customHeight="1">
      <x:c r="A336" s="40" t="str">
        <x:v>FT-Q-V01-042</x:v>
      </x:c>
      <x:c r="B336" s="19" t="str">
        <x:v>global warming</x:v>
      </x:c>
      <x:c r="C336" s="31" t="str">
        <x:v>warming</x:v>
      </x:c>
      <x:c r="D336" s="25" t="n">
        <x:v>1992</x:v>
      </x:c>
      <x:c r="E336" s="46" t="n">
        <x:v>0.0000032433147077182145</x:v>
      </x:c>
      <x:c r="F336" s="19" t="str">
        <x:v>eng</x:v>
      </x:c>
      <x:c r="G336" s="19" t="str">
        <x:v>current English corpus (July 2024 dataset; public shorthand eng; mutable current corpus)</x:v>
      </x:c>
      <x:c r="H336" s="19" t="str">
        <x:v>global warming (All)</x:v>
      </x:c>
      <x:c r="I336" s="19" t="str">
        <x:v>0</x:v>
      </x:c>
      <x:c r="J336" s="19" t="n">
        <x:v>46260.107256944444</x:v>
      </x:c>
      <x:c r="K336" s="31" t="str">
        <x:v>data/fear-temperature/ngram/raw/e982c3b5d6e77fc759f19bb2931d892bfaa9221ade4a44977579a8d5a8afab71.json</x:v>
      </x:c>
      <x:c r="L336" s="19" t="str">
        <x:v>edd5437f92999c829c0fea3e5822ab6cb22f6b319b6eab7bc697d0dc4f6023f9</x:v>
      </x:c>
      <x:c r="M336" s="19" t="str">
        <x:v>03c6b3b7aec17c75d6066c3ad33475123246728a6d70514bc6c4b2fac975aa04</x:v>
      </x:c>
      <x:c r="N336" s="31" t="str">
        <x:v>FT-LF-GLOBAL_WARMING</x:v>
      </x:c>
      <x:c r="O336" s="31" t="str">
        <x:v>FT-C-GLOBAL_WARMING_ISSUE_LABEL</x:v>
      </x:c>
      <x:c r="P336" s="31" t="str">
        <x:v>FT-F03</x:v>
      </x:c>
      <x:c r="Q336" s="49" t="n">
        <x:v>3.2433147077182145</x:v>
      </x:c>
    </x:row>
    <x:row r="337" ht="20" customHeight="1">
      <x:c r="A337" s="40" t="str">
        <x:v>FT-Q-V01-042</x:v>
      </x:c>
      <x:c r="B337" s="19" t="str">
        <x:v>global warming</x:v>
      </x:c>
      <x:c r="C337" s="31" t="str">
        <x:v>warming</x:v>
      </x:c>
      <x:c r="D337" s="25" t="n">
        <x:v>1993</x:v>
      </x:c>
      <x:c r="E337" s="46" t="n">
        <x:v>0.000002362886821566379</x:v>
      </x:c>
      <x:c r="F337" s="19" t="str">
        <x:v>eng</x:v>
      </x:c>
      <x:c r="G337" s="19" t="str">
        <x:v>current English corpus (July 2024 dataset; public shorthand eng; mutable current corpus)</x:v>
      </x:c>
      <x:c r="H337" s="19" t="str">
        <x:v>global warming (All)</x:v>
      </x:c>
      <x:c r="I337" s="19" t="str">
        <x:v>0</x:v>
      </x:c>
      <x:c r="J337" s="19" t="n">
        <x:v>46260.107256944444</x:v>
      </x:c>
      <x:c r="K337" s="31" t="str">
        <x:v>data/fear-temperature/ngram/raw/e982c3b5d6e77fc759f19bb2931d892bfaa9221ade4a44977579a8d5a8afab71.json</x:v>
      </x:c>
      <x:c r="L337" s="19" t="str">
        <x:v>edd5437f92999c829c0fea3e5822ab6cb22f6b319b6eab7bc697d0dc4f6023f9</x:v>
      </x:c>
      <x:c r="M337" s="19" t="str">
        <x:v>03c6b3b7aec17c75d6066c3ad33475123246728a6d70514bc6c4b2fac975aa04</x:v>
      </x:c>
      <x:c r="N337" s="31" t="str">
        <x:v>FT-LF-GLOBAL_WARMING</x:v>
      </x:c>
      <x:c r="O337" s="31" t="str">
        <x:v>FT-C-GLOBAL_WARMING_ISSUE_LABEL</x:v>
      </x:c>
      <x:c r="P337" s="31" t="str">
        <x:v>FT-F03</x:v>
      </x:c>
      <x:c r="Q337" s="49" t="n">
        <x:v>2.362886821566379</x:v>
      </x:c>
    </x:row>
    <x:row r="338" ht="20" customHeight="1">
      <x:c r="A338" s="40" t="str">
        <x:v>FT-Q-V01-042</x:v>
      </x:c>
      <x:c r="B338" s="19" t="str">
        <x:v>global warming</x:v>
      </x:c>
      <x:c r="C338" s="31" t="str">
        <x:v>warming</x:v>
      </x:c>
      <x:c r="D338" s="25" t="n">
        <x:v>1994</x:v>
      </x:c>
      <x:c r="E338" s="46" t="n">
        <x:v>0.00000211020020277064</x:v>
      </x:c>
      <x:c r="F338" s="19" t="str">
        <x:v>eng</x:v>
      </x:c>
      <x:c r="G338" s="19" t="str">
        <x:v>current English corpus (July 2024 dataset; public shorthand eng; mutable current corpus)</x:v>
      </x:c>
      <x:c r="H338" s="19" t="str">
        <x:v>global warming (All)</x:v>
      </x:c>
      <x:c r="I338" s="19" t="str">
        <x:v>0</x:v>
      </x:c>
      <x:c r="J338" s="19" t="n">
        <x:v>46260.107256944444</x:v>
      </x:c>
      <x:c r="K338" s="31" t="str">
        <x:v>data/fear-temperature/ngram/raw/e982c3b5d6e77fc759f19bb2931d892bfaa9221ade4a44977579a8d5a8afab71.json</x:v>
      </x:c>
      <x:c r="L338" s="19" t="str">
        <x:v>edd5437f92999c829c0fea3e5822ab6cb22f6b319b6eab7bc697d0dc4f6023f9</x:v>
      </x:c>
      <x:c r="M338" s="19" t="str">
        <x:v>03c6b3b7aec17c75d6066c3ad33475123246728a6d70514bc6c4b2fac975aa04</x:v>
      </x:c>
      <x:c r="N338" s="31" t="str">
        <x:v>FT-LF-GLOBAL_WARMING</x:v>
      </x:c>
      <x:c r="O338" s="31" t="str">
        <x:v>FT-C-GLOBAL_WARMING_ISSUE_LABEL</x:v>
      </x:c>
      <x:c r="P338" s="31" t="str">
        <x:v>FT-F03</x:v>
      </x:c>
      <x:c r="Q338" s="49" t="n">
        <x:v>2.11020020277064</x:v>
      </x:c>
    </x:row>
    <x:row r="339" ht="20" customHeight="1">
      <x:c r="A339" s="40" t="str">
        <x:v>FT-Q-V01-042</x:v>
      </x:c>
      <x:c r="B339" s="19" t="str">
        <x:v>global warming</x:v>
      </x:c>
      <x:c r="C339" s="31" t="str">
        <x:v>warming</x:v>
      </x:c>
      <x:c r="D339" s="25" t="n">
        <x:v>1995</x:v>
      </x:c>
      <x:c r="E339" s="46" t="n">
        <x:v>0.0000021335647748255138</x:v>
      </x:c>
      <x:c r="F339" s="19" t="str">
        <x:v>eng</x:v>
      </x:c>
      <x:c r="G339" s="19" t="str">
        <x:v>current English corpus (July 2024 dataset; public shorthand eng; mutable current corpus)</x:v>
      </x:c>
      <x:c r="H339" s="19" t="str">
        <x:v>global warming (All)</x:v>
      </x:c>
      <x:c r="I339" s="19" t="str">
        <x:v>0</x:v>
      </x:c>
      <x:c r="J339" s="19" t="n">
        <x:v>46260.107256944444</x:v>
      </x:c>
      <x:c r="K339" s="31" t="str">
        <x:v>data/fear-temperature/ngram/raw/e982c3b5d6e77fc759f19bb2931d892bfaa9221ade4a44977579a8d5a8afab71.json</x:v>
      </x:c>
      <x:c r="L339" s="19" t="str">
        <x:v>edd5437f92999c829c0fea3e5822ab6cb22f6b319b6eab7bc697d0dc4f6023f9</x:v>
      </x:c>
      <x:c r="M339" s="19" t="str">
        <x:v>03c6b3b7aec17c75d6066c3ad33475123246728a6d70514bc6c4b2fac975aa04</x:v>
      </x:c>
      <x:c r="N339" s="31" t="str">
        <x:v>FT-LF-GLOBAL_WARMING</x:v>
      </x:c>
      <x:c r="O339" s="31" t="str">
        <x:v>FT-C-GLOBAL_WARMING_ISSUE_LABEL</x:v>
      </x:c>
      <x:c r="P339" s="31" t="str">
        <x:v>FT-F03</x:v>
      </x:c>
      <x:c r="Q339" s="49" t="n">
        <x:v>2.1335647748255138</x:v>
      </x:c>
    </x:row>
    <x:row r="340" ht="20" customHeight="1">
      <x:c r="A340" s="40" t="str">
        <x:v>FT-Q-V01-042</x:v>
      </x:c>
      <x:c r="B340" s="19" t="str">
        <x:v>global warming</x:v>
      </x:c>
      <x:c r="C340" s="31" t="str">
        <x:v>warming</x:v>
      </x:c>
      <x:c r="D340" s="25" t="n">
        <x:v>1996</x:v>
      </x:c>
      <x:c r="E340" s="46" t="n">
        <x:v>0.0000019359739210841886</x:v>
      </x:c>
      <x:c r="F340" s="19" t="str">
        <x:v>eng</x:v>
      </x:c>
      <x:c r="G340" s="19" t="str">
        <x:v>current English corpus (July 2024 dataset; public shorthand eng; mutable current corpus)</x:v>
      </x:c>
      <x:c r="H340" s="19" t="str">
        <x:v>global warming (All)</x:v>
      </x:c>
      <x:c r="I340" s="19" t="str">
        <x:v>0</x:v>
      </x:c>
      <x:c r="J340" s="19" t="n">
        <x:v>46260.107256944444</x:v>
      </x:c>
      <x:c r="K340" s="31" t="str">
        <x:v>data/fear-temperature/ngram/raw/e982c3b5d6e77fc759f19bb2931d892bfaa9221ade4a44977579a8d5a8afab71.json</x:v>
      </x:c>
      <x:c r="L340" s="19" t="str">
        <x:v>edd5437f92999c829c0fea3e5822ab6cb22f6b319b6eab7bc697d0dc4f6023f9</x:v>
      </x:c>
      <x:c r="M340" s="19" t="str">
        <x:v>03c6b3b7aec17c75d6066c3ad33475123246728a6d70514bc6c4b2fac975aa04</x:v>
      </x:c>
      <x:c r="N340" s="31" t="str">
        <x:v>FT-LF-GLOBAL_WARMING</x:v>
      </x:c>
      <x:c r="O340" s="31" t="str">
        <x:v>FT-C-GLOBAL_WARMING_ISSUE_LABEL</x:v>
      </x:c>
      <x:c r="P340" s="31" t="str">
        <x:v>FT-F03</x:v>
      </x:c>
      <x:c r="Q340" s="49" t="n">
        <x:v>1.9359739210841886</x:v>
      </x:c>
    </x:row>
    <x:row r="341" ht="20" customHeight="1">
      <x:c r="A341" s="40" t="str">
        <x:v>FT-Q-V01-042</x:v>
      </x:c>
      <x:c r="B341" s="19" t="str">
        <x:v>global warming</x:v>
      </x:c>
      <x:c r="C341" s="31" t="str">
        <x:v>warming</x:v>
      </x:c>
      <x:c r="D341" s="25" t="n">
        <x:v>1997</x:v>
      </x:c>
      <x:c r="E341" s="46" t="n">
        <x:v>0.0000021912010532143533</x:v>
      </x:c>
      <x:c r="F341" s="19" t="str">
        <x:v>eng</x:v>
      </x:c>
      <x:c r="G341" s="19" t="str">
        <x:v>current English corpus (July 2024 dataset; public shorthand eng; mutable current corpus)</x:v>
      </x:c>
      <x:c r="H341" s="19" t="str">
        <x:v>global warming (All)</x:v>
      </x:c>
      <x:c r="I341" s="19" t="str">
        <x:v>0</x:v>
      </x:c>
      <x:c r="J341" s="19" t="n">
        <x:v>46260.107256944444</x:v>
      </x:c>
      <x:c r="K341" s="31" t="str">
        <x:v>data/fear-temperature/ngram/raw/e982c3b5d6e77fc759f19bb2931d892bfaa9221ade4a44977579a8d5a8afab71.json</x:v>
      </x:c>
      <x:c r="L341" s="19" t="str">
        <x:v>edd5437f92999c829c0fea3e5822ab6cb22f6b319b6eab7bc697d0dc4f6023f9</x:v>
      </x:c>
      <x:c r="M341" s="19" t="str">
        <x:v>03c6b3b7aec17c75d6066c3ad33475123246728a6d70514bc6c4b2fac975aa04</x:v>
      </x:c>
      <x:c r="N341" s="31" t="str">
        <x:v>FT-LF-GLOBAL_WARMING</x:v>
      </x:c>
      <x:c r="O341" s="31" t="str">
        <x:v>FT-C-GLOBAL_WARMING_ISSUE_LABEL</x:v>
      </x:c>
      <x:c r="P341" s="31" t="str">
        <x:v>FT-F03</x:v>
      </x:c>
      <x:c r="Q341" s="49" t="n">
        <x:v>2.1912010532143533</x:v>
      </x:c>
    </x:row>
    <x:row r="342" ht="20" customHeight="1">
      <x:c r="A342" s="40" t="str">
        <x:v>FT-Q-V01-042</x:v>
      </x:c>
      <x:c r="B342" s="19" t="str">
        <x:v>global warming</x:v>
      </x:c>
      <x:c r="C342" s="31" t="str">
        <x:v>warming</x:v>
      </x:c>
      <x:c r="D342" s="25" t="n">
        <x:v>1998</x:v>
      </x:c>
      <x:c r="E342" s="46" t="n">
        <x:v>0.0000022984513421281383</x:v>
      </x:c>
      <x:c r="F342" s="19" t="str">
        <x:v>eng</x:v>
      </x:c>
      <x:c r="G342" s="19" t="str">
        <x:v>current English corpus (July 2024 dataset; public shorthand eng; mutable current corpus)</x:v>
      </x:c>
      <x:c r="H342" s="19" t="str">
        <x:v>global warming (All)</x:v>
      </x:c>
      <x:c r="I342" s="19" t="str">
        <x:v>0</x:v>
      </x:c>
      <x:c r="J342" s="19" t="n">
        <x:v>46260.107256944444</x:v>
      </x:c>
      <x:c r="K342" s="31" t="str">
        <x:v>data/fear-temperature/ngram/raw/e982c3b5d6e77fc759f19bb2931d892bfaa9221ade4a44977579a8d5a8afab71.json</x:v>
      </x:c>
      <x:c r="L342" s="19" t="str">
        <x:v>edd5437f92999c829c0fea3e5822ab6cb22f6b319b6eab7bc697d0dc4f6023f9</x:v>
      </x:c>
      <x:c r="M342" s="19" t="str">
        <x:v>03c6b3b7aec17c75d6066c3ad33475123246728a6d70514bc6c4b2fac975aa04</x:v>
      </x:c>
      <x:c r="N342" s="31" t="str">
        <x:v>FT-LF-GLOBAL_WARMING</x:v>
      </x:c>
      <x:c r="O342" s="31" t="str">
        <x:v>FT-C-GLOBAL_WARMING_ISSUE_LABEL</x:v>
      </x:c>
      <x:c r="P342" s="31" t="str">
        <x:v>FT-F03</x:v>
      </x:c>
      <x:c r="Q342" s="49" t="n">
        <x:v>2.2984513421281383</x:v>
      </x:c>
    </x:row>
    <x:row r="343" ht="20" customHeight="1">
      <x:c r="A343" s="40" t="str">
        <x:v>FT-Q-V01-042</x:v>
      </x:c>
      <x:c r="B343" s="19" t="str">
        <x:v>global warming</x:v>
      </x:c>
      <x:c r="C343" s="31" t="str">
        <x:v>warming</x:v>
      </x:c>
      <x:c r="D343" s="25" t="n">
        <x:v>1999</x:v>
      </x:c>
      <x:c r="E343" s="46" t="n">
        <x:v>0.0000022604504976916906</x:v>
      </x:c>
      <x:c r="F343" s="19" t="str">
        <x:v>eng</x:v>
      </x:c>
      <x:c r="G343" s="19" t="str">
        <x:v>current English corpus (July 2024 dataset; public shorthand eng; mutable current corpus)</x:v>
      </x:c>
      <x:c r="H343" s="19" t="str">
        <x:v>global warming (All)</x:v>
      </x:c>
      <x:c r="I343" s="19" t="str">
        <x:v>0</x:v>
      </x:c>
      <x:c r="J343" s="19" t="n">
        <x:v>46260.107256944444</x:v>
      </x:c>
      <x:c r="K343" s="31" t="str">
        <x:v>data/fear-temperature/ngram/raw/e982c3b5d6e77fc759f19bb2931d892bfaa9221ade4a44977579a8d5a8afab71.json</x:v>
      </x:c>
      <x:c r="L343" s="19" t="str">
        <x:v>edd5437f92999c829c0fea3e5822ab6cb22f6b319b6eab7bc697d0dc4f6023f9</x:v>
      </x:c>
      <x:c r="M343" s="19" t="str">
        <x:v>03c6b3b7aec17c75d6066c3ad33475123246728a6d70514bc6c4b2fac975aa04</x:v>
      </x:c>
      <x:c r="N343" s="31" t="str">
        <x:v>FT-LF-GLOBAL_WARMING</x:v>
      </x:c>
      <x:c r="O343" s="31" t="str">
        <x:v>FT-C-GLOBAL_WARMING_ISSUE_LABEL</x:v>
      </x:c>
      <x:c r="P343" s="31" t="str">
        <x:v>FT-F03</x:v>
      </x:c>
      <x:c r="Q343" s="49" t="n">
        <x:v>2.2604504976916906</x:v>
      </x:c>
    </x:row>
    <x:row r="344" ht="20" customHeight="1">
      <x:c r="A344" s="40" t="str">
        <x:v>FT-Q-V01-042</x:v>
      </x:c>
      <x:c r="B344" s="19" t="str">
        <x:v>global warming</x:v>
      </x:c>
      <x:c r="C344" s="31" t="str">
        <x:v>warming</x:v>
      </x:c>
      <x:c r="D344" s="25" t="n">
        <x:v>2000</x:v>
      </x:c>
      <x:c r="E344" s="46" t="n">
        <x:v>0.0000023035744632360355</x:v>
      </x:c>
      <x:c r="F344" s="19" t="str">
        <x:v>eng</x:v>
      </x:c>
      <x:c r="G344" s="19" t="str">
        <x:v>current English corpus (July 2024 dataset; public shorthand eng; mutable current corpus)</x:v>
      </x:c>
      <x:c r="H344" s="19" t="str">
        <x:v>global warming (All)</x:v>
      </x:c>
      <x:c r="I344" s="19" t="str">
        <x:v>0</x:v>
      </x:c>
      <x:c r="J344" s="19" t="n">
        <x:v>46260.107256944444</x:v>
      </x:c>
      <x:c r="K344" s="31" t="str">
        <x:v>data/fear-temperature/ngram/raw/e982c3b5d6e77fc759f19bb2931d892bfaa9221ade4a44977579a8d5a8afab71.json</x:v>
      </x:c>
      <x:c r="L344" s="19" t="str">
        <x:v>edd5437f92999c829c0fea3e5822ab6cb22f6b319b6eab7bc697d0dc4f6023f9</x:v>
      </x:c>
      <x:c r="M344" s="19" t="str">
        <x:v>03c6b3b7aec17c75d6066c3ad33475123246728a6d70514bc6c4b2fac975aa04</x:v>
      </x:c>
      <x:c r="N344" s="31" t="str">
        <x:v>FT-LF-GLOBAL_WARMING</x:v>
      </x:c>
      <x:c r="O344" s="31" t="str">
        <x:v>FT-C-GLOBAL_WARMING_ISSUE_LABEL</x:v>
      </x:c>
      <x:c r="P344" s="31" t="str">
        <x:v>FT-F03</x:v>
      </x:c>
      <x:c r="Q344" s="49" t="n">
        <x:v>2.3035744632360355</x:v>
      </x:c>
    </x:row>
    <x:row r="345" ht="20" customHeight="1">
      <x:c r="A345" s="40" t="str">
        <x:v>FT-Q-V01-042</x:v>
      </x:c>
      <x:c r="B345" s="19" t="str">
        <x:v>global warming</x:v>
      </x:c>
      <x:c r="C345" s="31" t="str">
        <x:v>warming</x:v>
      </x:c>
      <x:c r="D345" s="25" t="n">
        <x:v>2001</x:v>
      </x:c>
      <x:c r="E345" s="46" t="n">
        <x:v>0.000002565281604954145</x:v>
      </x:c>
      <x:c r="F345" s="19" t="str">
        <x:v>eng</x:v>
      </x:c>
      <x:c r="G345" s="19" t="str">
        <x:v>current English corpus (July 2024 dataset; public shorthand eng; mutable current corpus)</x:v>
      </x:c>
      <x:c r="H345" s="19" t="str">
        <x:v>global warming (All)</x:v>
      </x:c>
      <x:c r="I345" s="19" t="str">
        <x:v>0</x:v>
      </x:c>
      <x:c r="J345" s="19" t="n">
        <x:v>46260.107256944444</x:v>
      </x:c>
      <x:c r="K345" s="31" t="str">
        <x:v>data/fear-temperature/ngram/raw/e982c3b5d6e77fc759f19bb2931d892bfaa9221ade4a44977579a8d5a8afab71.json</x:v>
      </x:c>
      <x:c r="L345" s="19" t="str">
        <x:v>edd5437f92999c829c0fea3e5822ab6cb22f6b319b6eab7bc697d0dc4f6023f9</x:v>
      </x:c>
      <x:c r="M345" s="19" t="str">
        <x:v>03c6b3b7aec17c75d6066c3ad33475123246728a6d70514bc6c4b2fac975aa04</x:v>
      </x:c>
      <x:c r="N345" s="31" t="str">
        <x:v>FT-LF-GLOBAL_WARMING</x:v>
      </x:c>
      <x:c r="O345" s="31" t="str">
        <x:v>FT-C-GLOBAL_WARMING_ISSUE_LABEL</x:v>
      </x:c>
      <x:c r="P345" s="31" t="str">
        <x:v>FT-F03</x:v>
      </x:c>
      <x:c r="Q345" s="49" t="n">
        <x:v>2.565281604954145</x:v>
      </x:c>
    </x:row>
    <x:row r="346" ht="20" customHeight="1">
      <x:c r="A346" s="40" t="str">
        <x:v>FT-Q-V01-042</x:v>
      </x:c>
      <x:c r="B346" s="19" t="str">
        <x:v>global warming</x:v>
      </x:c>
      <x:c r="C346" s="31" t="str">
        <x:v>warming</x:v>
      </x:c>
      <x:c r="D346" s="25" t="n">
        <x:v>2002</x:v>
      </x:c>
      <x:c r="E346" s="46" t="n">
        <x:v>0.0000025663636838979542</x:v>
      </x:c>
      <x:c r="F346" s="19" t="str">
        <x:v>eng</x:v>
      </x:c>
      <x:c r="G346" s="19" t="str">
        <x:v>current English corpus (July 2024 dataset; public shorthand eng; mutable current corpus)</x:v>
      </x:c>
      <x:c r="H346" s="19" t="str">
        <x:v>global warming (All)</x:v>
      </x:c>
      <x:c r="I346" s="19" t="str">
        <x:v>0</x:v>
      </x:c>
      <x:c r="J346" s="19" t="n">
        <x:v>46260.107256944444</x:v>
      </x:c>
      <x:c r="K346" s="31" t="str">
        <x:v>data/fear-temperature/ngram/raw/e982c3b5d6e77fc759f19bb2931d892bfaa9221ade4a44977579a8d5a8afab71.json</x:v>
      </x:c>
      <x:c r="L346" s="19" t="str">
        <x:v>edd5437f92999c829c0fea3e5822ab6cb22f6b319b6eab7bc697d0dc4f6023f9</x:v>
      </x:c>
      <x:c r="M346" s="19" t="str">
        <x:v>03c6b3b7aec17c75d6066c3ad33475123246728a6d70514bc6c4b2fac975aa04</x:v>
      </x:c>
      <x:c r="N346" s="31" t="str">
        <x:v>FT-LF-GLOBAL_WARMING</x:v>
      </x:c>
      <x:c r="O346" s="31" t="str">
        <x:v>FT-C-GLOBAL_WARMING_ISSUE_LABEL</x:v>
      </x:c>
      <x:c r="P346" s="31" t="str">
        <x:v>FT-F03</x:v>
      </x:c>
      <x:c r="Q346" s="49" t="n">
        <x:v>2.566363683897954</x:v>
      </x:c>
    </x:row>
    <x:row r="347" ht="20" customHeight="1">
      <x:c r="A347" s="40" t="str">
        <x:v>FT-Q-V01-042</x:v>
      </x:c>
      <x:c r="B347" s="19" t="str">
        <x:v>global warming</x:v>
      </x:c>
      <x:c r="C347" s="31" t="str">
        <x:v>warming</x:v>
      </x:c>
      <x:c r="D347" s="25" t="n">
        <x:v>2003</x:v>
      </x:c>
      <x:c r="E347" s="46" t="n">
        <x:v>0.00000220859607348578</x:v>
      </x:c>
      <x:c r="F347" s="19" t="str">
        <x:v>eng</x:v>
      </x:c>
      <x:c r="G347" s="19" t="str">
        <x:v>current English corpus (July 2024 dataset; public shorthand eng; mutable current corpus)</x:v>
      </x:c>
      <x:c r="H347" s="19" t="str">
        <x:v>global warming (All)</x:v>
      </x:c>
      <x:c r="I347" s="19" t="str">
        <x:v>0</x:v>
      </x:c>
      <x:c r="J347" s="19" t="n">
        <x:v>46260.107256944444</x:v>
      </x:c>
      <x:c r="K347" s="31" t="str">
        <x:v>data/fear-temperature/ngram/raw/e982c3b5d6e77fc759f19bb2931d892bfaa9221ade4a44977579a8d5a8afab71.json</x:v>
      </x:c>
      <x:c r="L347" s="19" t="str">
        <x:v>edd5437f92999c829c0fea3e5822ab6cb22f6b319b6eab7bc697d0dc4f6023f9</x:v>
      </x:c>
      <x:c r="M347" s="19" t="str">
        <x:v>03c6b3b7aec17c75d6066c3ad33475123246728a6d70514bc6c4b2fac975aa04</x:v>
      </x:c>
      <x:c r="N347" s="31" t="str">
        <x:v>FT-LF-GLOBAL_WARMING</x:v>
      </x:c>
      <x:c r="O347" s="31" t="str">
        <x:v>FT-C-GLOBAL_WARMING_ISSUE_LABEL</x:v>
      </x:c>
      <x:c r="P347" s="31" t="str">
        <x:v>FT-F03</x:v>
      </x:c>
      <x:c r="Q347" s="49" t="n">
        <x:v>2.20859607348578</x:v>
      </x:c>
    </x:row>
    <x:row r="348" ht="20" customHeight="1">
      <x:c r="A348" s="40" t="str">
        <x:v>FT-Q-V01-042</x:v>
      </x:c>
      <x:c r="B348" s="19" t="str">
        <x:v>global warming</x:v>
      </x:c>
      <x:c r="C348" s="31" t="str">
        <x:v>warming</x:v>
      </x:c>
      <x:c r="D348" s="25" t="n">
        <x:v>2004</x:v>
      </x:c>
      <x:c r="E348" s="46" t="n">
        <x:v>0.000002439459908007424</x:v>
      </x:c>
      <x:c r="F348" s="19" t="str">
        <x:v>eng</x:v>
      </x:c>
      <x:c r="G348" s="19" t="str">
        <x:v>current English corpus (July 2024 dataset; public shorthand eng; mutable current corpus)</x:v>
      </x:c>
      <x:c r="H348" s="19" t="str">
        <x:v>global warming (All)</x:v>
      </x:c>
      <x:c r="I348" s="19" t="str">
        <x:v>0</x:v>
      </x:c>
      <x:c r="J348" s="19" t="n">
        <x:v>46260.107256944444</x:v>
      </x:c>
      <x:c r="K348" s="31" t="str">
        <x:v>data/fear-temperature/ngram/raw/e982c3b5d6e77fc759f19bb2931d892bfaa9221ade4a44977579a8d5a8afab71.json</x:v>
      </x:c>
      <x:c r="L348" s="19" t="str">
        <x:v>edd5437f92999c829c0fea3e5822ab6cb22f6b319b6eab7bc697d0dc4f6023f9</x:v>
      </x:c>
      <x:c r="M348" s="19" t="str">
        <x:v>03c6b3b7aec17c75d6066c3ad33475123246728a6d70514bc6c4b2fac975aa04</x:v>
      </x:c>
      <x:c r="N348" s="31" t="str">
        <x:v>FT-LF-GLOBAL_WARMING</x:v>
      </x:c>
      <x:c r="O348" s="31" t="str">
        <x:v>FT-C-GLOBAL_WARMING_ISSUE_LABEL</x:v>
      </x:c>
      <x:c r="P348" s="31" t="str">
        <x:v>FT-F03</x:v>
      </x:c>
      <x:c r="Q348" s="49" t="n">
        <x:v>2.439459908007424</x:v>
      </x:c>
    </x:row>
    <x:row r="349" ht="20" customHeight="1">
      <x:c r="A349" s="40" t="str">
        <x:v>FT-Q-V01-042</x:v>
      </x:c>
      <x:c r="B349" s="19" t="str">
        <x:v>global warming</x:v>
      </x:c>
      <x:c r="C349" s="31" t="str">
        <x:v>warming</x:v>
      </x:c>
      <x:c r="D349" s="25" t="n">
        <x:v>2005</x:v>
      </x:c>
      <x:c r="E349" s="46" t="n">
        <x:v>0.000002907075551186744</x:v>
      </x:c>
      <x:c r="F349" s="19" t="str">
        <x:v>eng</x:v>
      </x:c>
      <x:c r="G349" s="19" t="str">
        <x:v>current English corpus (July 2024 dataset; public shorthand eng; mutable current corpus)</x:v>
      </x:c>
      <x:c r="H349" s="19" t="str">
        <x:v>global warming (All)</x:v>
      </x:c>
      <x:c r="I349" s="19" t="str">
        <x:v>0</x:v>
      </x:c>
      <x:c r="J349" s="19" t="n">
        <x:v>46260.107256944444</x:v>
      </x:c>
      <x:c r="K349" s="31" t="str">
        <x:v>data/fear-temperature/ngram/raw/e982c3b5d6e77fc759f19bb2931d892bfaa9221ade4a44977579a8d5a8afab71.json</x:v>
      </x:c>
      <x:c r="L349" s="19" t="str">
        <x:v>edd5437f92999c829c0fea3e5822ab6cb22f6b319b6eab7bc697d0dc4f6023f9</x:v>
      </x:c>
      <x:c r="M349" s="19" t="str">
        <x:v>03c6b3b7aec17c75d6066c3ad33475123246728a6d70514bc6c4b2fac975aa04</x:v>
      </x:c>
      <x:c r="N349" s="31" t="str">
        <x:v>FT-LF-GLOBAL_WARMING</x:v>
      </x:c>
      <x:c r="O349" s="31" t="str">
        <x:v>FT-C-GLOBAL_WARMING_ISSUE_LABEL</x:v>
      </x:c>
      <x:c r="P349" s="31" t="str">
        <x:v>FT-F03</x:v>
      </x:c>
      <x:c r="Q349" s="49" t="n">
        <x:v>2.907075551186744</x:v>
      </x:c>
    </x:row>
    <x:row r="350" ht="20" customHeight="1">
      <x:c r="A350" s="40" t="str">
        <x:v>FT-Q-V01-042</x:v>
      </x:c>
      <x:c r="B350" s="19" t="str">
        <x:v>global warming</x:v>
      </x:c>
      <x:c r="C350" s="31" t="str">
        <x:v>warming</x:v>
      </x:c>
      <x:c r="D350" s="25" t="n">
        <x:v>2006</x:v>
      </x:c>
      <x:c r="E350" s="46" t="n">
        <x:v>0.00000339393631278162</x:v>
      </x:c>
      <x:c r="F350" s="19" t="str">
        <x:v>eng</x:v>
      </x:c>
      <x:c r="G350" s="19" t="str">
        <x:v>current English corpus (July 2024 dataset; public shorthand eng; mutable current corpus)</x:v>
      </x:c>
      <x:c r="H350" s="19" t="str">
        <x:v>global warming (All)</x:v>
      </x:c>
      <x:c r="I350" s="19" t="str">
        <x:v>0</x:v>
      </x:c>
      <x:c r="J350" s="19" t="n">
        <x:v>46260.107256944444</x:v>
      </x:c>
      <x:c r="K350" s="31" t="str">
        <x:v>data/fear-temperature/ngram/raw/e982c3b5d6e77fc759f19bb2931d892bfaa9221ade4a44977579a8d5a8afab71.json</x:v>
      </x:c>
      <x:c r="L350" s="19" t="str">
        <x:v>edd5437f92999c829c0fea3e5822ab6cb22f6b319b6eab7bc697d0dc4f6023f9</x:v>
      </x:c>
      <x:c r="M350" s="19" t="str">
        <x:v>03c6b3b7aec17c75d6066c3ad33475123246728a6d70514bc6c4b2fac975aa04</x:v>
      </x:c>
      <x:c r="N350" s="31" t="str">
        <x:v>FT-LF-GLOBAL_WARMING</x:v>
      </x:c>
      <x:c r="O350" s="31" t="str">
        <x:v>FT-C-GLOBAL_WARMING_ISSUE_LABEL</x:v>
      </x:c>
      <x:c r="P350" s="31" t="str">
        <x:v>FT-F03</x:v>
      </x:c>
      <x:c r="Q350" s="49" t="n">
        <x:v>3.39393631278162</x:v>
      </x:c>
    </x:row>
    <x:row r="351" ht="20" customHeight="1">
      <x:c r="A351" s="40" t="str">
        <x:v>FT-Q-V01-042</x:v>
      </x:c>
      <x:c r="B351" s="19" t="str">
        <x:v>global warming</x:v>
      </x:c>
      <x:c r="C351" s="31" t="str">
        <x:v>warming</x:v>
      </x:c>
      <x:c r="D351" s="25" t="n">
        <x:v>2007</x:v>
      </x:c>
      <x:c r="E351" s="46" t="n">
        <x:v>0.0000049616444240396795</x:v>
      </x:c>
      <x:c r="F351" s="19" t="str">
        <x:v>eng</x:v>
      </x:c>
      <x:c r="G351" s="19" t="str">
        <x:v>current English corpus (July 2024 dataset; public shorthand eng; mutable current corpus)</x:v>
      </x:c>
      <x:c r="H351" s="19" t="str">
        <x:v>global warming (All)</x:v>
      </x:c>
      <x:c r="I351" s="19" t="str">
        <x:v>0</x:v>
      </x:c>
      <x:c r="J351" s="19" t="n">
        <x:v>46260.107256944444</x:v>
      </x:c>
      <x:c r="K351" s="31" t="str">
        <x:v>data/fear-temperature/ngram/raw/e982c3b5d6e77fc759f19bb2931d892bfaa9221ade4a44977579a8d5a8afab71.json</x:v>
      </x:c>
      <x:c r="L351" s="19" t="str">
        <x:v>edd5437f92999c829c0fea3e5822ab6cb22f6b319b6eab7bc697d0dc4f6023f9</x:v>
      </x:c>
      <x:c r="M351" s="19" t="str">
        <x:v>03c6b3b7aec17c75d6066c3ad33475123246728a6d70514bc6c4b2fac975aa04</x:v>
      </x:c>
      <x:c r="N351" s="31" t="str">
        <x:v>FT-LF-GLOBAL_WARMING</x:v>
      </x:c>
      <x:c r="O351" s="31" t="str">
        <x:v>FT-C-GLOBAL_WARMING_ISSUE_LABEL</x:v>
      </x:c>
      <x:c r="P351" s="31" t="str">
        <x:v>FT-F03</x:v>
      </x:c>
      <x:c r="Q351" s="49" t="n">
        <x:v>4.9616444240396795</x:v>
      </x:c>
    </x:row>
    <x:row r="352" ht="20" customHeight="1">
      <x:c r="A352" s="40" t="str">
        <x:v>FT-Q-V01-042</x:v>
      </x:c>
      <x:c r="B352" s="19" t="str">
        <x:v>global warming</x:v>
      </x:c>
      <x:c r="C352" s="31" t="str">
        <x:v>warming</x:v>
      </x:c>
      <x:c r="D352" s="25" t="n">
        <x:v>2008</x:v>
      </x:c>
      <x:c r="E352" s="46" t="n">
        <x:v>0.000005431204078656937</x:v>
      </x:c>
      <x:c r="F352" s="19" t="str">
        <x:v>eng</x:v>
      </x:c>
      <x:c r="G352" s="19" t="str">
        <x:v>current English corpus (July 2024 dataset; public shorthand eng; mutable current corpus)</x:v>
      </x:c>
      <x:c r="H352" s="19" t="str">
        <x:v>global warming (All)</x:v>
      </x:c>
      <x:c r="I352" s="19" t="str">
        <x:v>0</x:v>
      </x:c>
      <x:c r="J352" s="19" t="n">
        <x:v>46260.107256944444</x:v>
      </x:c>
      <x:c r="K352" s="31" t="str">
        <x:v>data/fear-temperature/ngram/raw/e982c3b5d6e77fc759f19bb2931d892bfaa9221ade4a44977579a8d5a8afab71.json</x:v>
      </x:c>
      <x:c r="L352" s="19" t="str">
        <x:v>edd5437f92999c829c0fea3e5822ab6cb22f6b319b6eab7bc697d0dc4f6023f9</x:v>
      </x:c>
      <x:c r="M352" s="19" t="str">
        <x:v>03c6b3b7aec17c75d6066c3ad33475123246728a6d70514bc6c4b2fac975aa04</x:v>
      </x:c>
      <x:c r="N352" s="31" t="str">
        <x:v>FT-LF-GLOBAL_WARMING</x:v>
      </x:c>
      <x:c r="O352" s="31" t="str">
        <x:v>FT-C-GLOBAL_WARMING_ISSUE_LABEL</x:v>
      </x:c>
      <x:c r="P352" s="31" t="str">
        <x:v>FT-F03</x:v>
      </x:c>
      <x:c r="Q352" s="49" t="n">
        <x:v>5.431204078656937</x:v>
      </x:c>
    </x:row>
    <x:row r="353" ht="20" customHeight="1">
      <x:c r="A353" s="40" t="str">
        <x:v>FT-Q-V01-042</x:v>
      </x:c>
      <x:c r="B353" s="19" t="str">
        <x:v>global warming</x:v>
      </x:c>
      <x:c r="C353" s="31" t="str">
        <x:v>warming</x:v>
      </x:c>
      <x:c r="D353" s="25" t="n">
        <x:v>2009</x:v>
      </x:c>
      <x:c r="E353" s="46" t="n">
        <x:v>0.000005445639571555194</x:v>
      </x:c>
      <x:c r="F353" s="19" t="str">
        <x:v>eng</x:v>
      </x:c>
      <x:c r="G353" s="19" t="str">
        <x:v>current English corpus (July 2024 dataset; public shorthand eng; mutable current corpus)</x:v>
      </x:c>
      <x:c r="H353" s="19" t="str">
        <x:v>global warming (All)</x:v>
      </x:c>
      <x:c r="I353" s="19" t="str">
        <x:v>0</x:v>
      </x:c>
      <x:c r="J353" s="19" t="n">
        <x:v>46260.107256944444</x:v>
      </x:c>
      <x:c r="K353" s="31" t="str">
        <x:v>data/fear-temperature/ngram/raw/e982c3b5d6e77fc759f19bb2931d892bfaa9221ade4a44977579a8d5a8afab71.json</x:v>
      </x:c>
      <x:c r="L353" s="19" t="str">
        <x:v>edd5437f92999c829c0fea3e5822ab6cb22f6b319b6eab7bc697d0dc4f6023f9</x:v>
      </x:c>
      <x:c r="M353" s="19" t="str">
        <x:v>03c6b3b7aec17c75d6066c3ad33475123246728a6d70514bc6c4b2fac975aa04</x:v>
      </x:c>
      <x:c r="N353" s="31" t="str">
        <x:v>FT-LF-GLOBAL_WARMING</x:v>
      </x:c>
      <x:c r="O353" s="31" t="str">
        <x:v>FT-C-GLOBAL_WARMING_ISSUE_LABEL</x:v>
      </x:c>
      <x:c r="P353" s="31" t="str">
        <x:v>FT-F03</x:v>
      </x:c>
      <x:c r="Q353" s="49" t="n">
        <x:v>5.445639571555194</x:v>
      </x:c>
    </x:row>
    <x:row r="354" ht="20" customHeight="1">
      <x:c r="A354" s="40" t="str">
        <x:v>FT-Q-V01-042</x:v>
      </x:c>
      <x:c r="B354" s="19" t="str">
        <x:v>global warming</x:v>
      </x:c>
      <x:c r="C354" s="31" t="str">
        <x:v>warming</x:v>
      </x:c>
      <x:c r="D354" s="25" t="n">
        <x:v>2010</x:v>
      </x:c>
      <x:c r="E354" s="46" t="n">
        <x:v>0.0000050158260368471375</x:v>
      </x:c>
      <x:c r="F354" s="19" t="str">
        <x:v>eng</x:v>
      </x:c>
      <x:c r="G354" s="19" t="str">
        <x:v>current English corpus (July 2024 dataset; public shorthand eng; mutable current corpus)</x:v>
      </x:c>
      <x:c r="H354" s="19" t="str">
        <x:v>global warming (All)</x:v>
      </x:c>
      <x:c r="I354" s="19" t="str">
        <x:v>0</x:v>
      </x:c>
      <x:c r="J354" s="19" t="n">
        <x:v>46260.107256944444</x:v>
      </x:c>
      <x:c r="K354" s="31" t="str">
        <x:v>data/fear-temperature/ngram/raw/e982c3b5d6e77fc759f19bb2931d892bfaa9221ade4a44977579a8d5a8afab71.json</x:v>
      </x:c>
      <x:c r="L354" s="19" t="str">
        <x:v>edd5437f92999c829c0fea3e5822ab6cb22f6b319b6eab7bc697d0dc4f6023f9</x:v>
      </x:c>
      <x:c r="M354" s="19" t="str">
        <x:v>03c6b3b7aec17c75d6066c3ad33475123246728a6d70514bc6c4b2fac975aa04</x:v>
      </x:c>
      <x:c r="N354" s="31" t="str">
        <x:v>FT-LF-GLOBAL_WARMING</x:v>
      </x:c>
      <x:c r="O354" s="31" t="str">
        <x:v>FT-C-GLOBAL_WARMING_ISSUE_LABEL</x:v>
      </x:c>
      <x:c r="P354" s="31" t="str">
        <x:v>FT-F03</x:v>
      </x:c>
      <x:c r="Q354" s="49" t="n">
        <x:v>5.0158260368471375</x:v>
      </x:c>
    </x:row>
    <x:row r="355" ht="20" customHeight="1">
      <x:c r="A355" s="40" t="str">
        <x:v>FT-Q-V01-042</x:v>
      </x:c>
      <x:c r="B355" s="19" t="str">
        <x:v>global warming</x:v>
      </x:c>
      <x:c r="C355" s="31" t="str">
        <x:v>warming</x:v>
      </x:c>
      <x:c r="D355" s="25" t="n">
        <x:v>2011</x:v>
      </x:c>
      <x:c r="E355" s="46" t="n">
        <x:v>0.000004036103777360633</x:v>
      </x:c>
      <x:c r="F355" s="19" t="str">
        <x:v>eng</x:v>
      </x:c>
      <x:c r="G355" s="19" t="str">
        <x:v>current English corpus (July 2024 dataset; public shorthand eng; mutable current corpus)</x:v>
      </x:c>
      <x:c r="H355" s="19" t="str">
        <x:v>global warming (All)</x:v>
      </x:c>
      <x:c r="I355" s="19" t="str">
        <x:v>0</x:v>
      </x:c>
      <x:c r="J355" s="19" t="n">
        <x:v>46260.107256944444</x:v>
      </x:c>
      <x:c r="K355" s="31" t="str">
        <x:v>data/fear-temperature/ngram/raw/e982c3b5d6e77fc759f19bb2931d892bfaa9221ade4a44977579a8d5a8afab71.json</x:v>
      </x:c>
      <x:c r="L355" s="19" t="str">
        <x:v>edd5437f92999c829c0fea3e5822ab6cb22f6b319b6eab7bc697d0dc4f6023f9</x:v>
      </x:c>
      <x:c r="M355" s="19" t="str">
        <x:v>03c6b3b7aec17c75d6066c3ad33475123246728a6d70514bc6c4b2fac975aa04</x:v>
      </x:c>
      <x:c r="N355" s="31" t="str">
        <x:v>FT-LF-GLOBAL_WARMING</x:v>
      </x:c>
      <x:c r="O355" s="31" t="str">
        <x:v>FT-C-GLOBAL_WARMING_ISSUE_LABEL</x:v>
      </x:c>
      <x:c r="P355" s="31" t="str">
        <x:v>FT-F03</x:v>
      </x:c>
      <x:c r="Q355" s="49" t="n">
        <x:v>4.036103777360633</x:v>
      </x:c>
    </x:row>
    <x:row r="356" ht="20" customHeight="1">
      <x:c r="A356" s="40" t="str">
        <x:v>FT-Q-V01-042</x:v>
      </x:c>
      <x:c r="B356" s="19" t="str">
        <x:v>global warming</x:v>
      </x:c>
      <x:c r="C356" s="31" t="str">
        <x:v>warming</x:v>
      </x:c>
      <x:c r="D356" s="25" t="n">
        <x:v>2012</x:v>
      </x:c>
      <x:c r="E356" s="46" t="n">
        <x:v>0.0000033320224192140424</x:v>
      </x:c>
      <x:c r="F356" s="19" t="str">
        <x:v>eng</x:v>
      </x:c>
      <x:c r="G356" s="19" t="str">
        <x:v>current English corpus (July 2024 dataset; public shorthand eng; mutable current corpus)</x:v>
      </x:c>
      <x:c r="H356" s="19" t="str">
        <x:v>global warming (All)</x:v>
      </x:c>
      <x:c r="I356" s="19" t="str">
        <x:v>0</x:v>
      </x:c>
      <x:c r="J356" s="19" t="n">
        <x:v>46260.107256944444</x:v>
      </x:c>
      <x:c r="K356" s="31" t="str">
        <x:v>data/fear-temperature/ngram/raw/e982c3b5d6e77fc759f19bb2931d892bfaa9221ade4a44977579a8d5a8afab71.json</x:v>
      </x:c>
      <x:c r="L356" s="19" t="str">
        <x:v>edd5437f92999c829c0fea3e5822ab6cb22f6b319b6eab7bc697d0dc4f6023f9</x:v>
      </x:c>
      <x:c r="M356" s="19" t="str">
        <x:v>03c6b3b7aec17c75d6066c3ad33475123246728a6d70514bc6c4b2fac975aa04</x:v>
      </x:c>
      <x:c r="N356" s="31" t="str">
        <x:v>FT-LF-GLOBAL_WARMING</x:v>
      </x:c>
      <x:c r="O356" s="31" t="str">
        <x:v>FT-C-GLOBAL_WARMING_ISSUE_LABEL</x:v>
      </x:c>
      <x:c r="P356" s="31" t="str">
        <x:v>FT-F03</x:v>
      </x:c>
      <x:c r="Q356" s="49" t="n">
        <x:v>3.3320224192140424</x:v>
      </x:c>
    </x:row>
    <x:row r="357" ht="20" customHeight="1">
      <x:c r="A357" s="40" t="str">
        <x:v>FT-Q-V01-042</x:v>
      </x:c>
      <x:c r="B357" s="19" t="str">
        <x:v>global warming</x:v>
      </x:c>
      <x:c r="C357" s="31" t="str">
        <x:v>warming</x:v>
      </x:c>
      <x:c r="D357" s="25" t="n">
        <x:v>2013</x:v>
      </x:c>
      <x:c r="E357" s="46" t="n">
        <x:v>0.000003432937957369153</x:v>
      </x:c>
      <x:c r="F357" s="19" t="str">
        <x:v>eng</x:v>
      </x:c>
      <x:c r="G357" s="19" t="str">
        <x:v>current English corpus (July 2024 dataset; public shorthand eng; mutable current corpus)</x:v>
      </x:c>
      <x:c r="H357" s="19" t="str">
        <x:v>global warming (All)</x:v>
      </x:c>
      <x:c r="I357" s="19" t="str">
        <x:v>0</x:v>
      </x:c>
      <x:c r="J357" s="19" t="n">
        <x:v>46260.107256944444</x:v>
      </x:c>
      <x:c r="K357" s="31" t="str">
        <x:v>data/fear-temperature/ngram/raw/e982c3b5d6e77fc759f19bb2931d892bfaa9221ade4a44977579a8d5a8afab71.json</x:v>
      </x:c>
      <x:c r="L357" s="19" t="str">
        <x:v>edd5437f92999c829c0fea3e5822ab6cb22f6b319b6eab7bc697d0dc4f6023f9</x:v>
      </x:c>
      <x:c r="M357" s="19" t="str">
        <x:v>03c6b3b7aec17c75d6066c3ad33475123246728a6d70514bc6c4b2fac975aa04</x:v>
      </x:c>
      <x:c r="N357" s="31" t="str">
        <x:v>FT-LF-GLOBAL_WARMING</x:v>
      </x:c>
      <x:c r="O357" s="31" t="str">
        <x:v>FT-C-GLOBAL_WARMING_ISSUE_LABEL</x:v>
      </x:c>
      <x:c r="P357" s="31" t="str">
        <x:v>FT-F03</x:v>
      </x:c>
      <x:c r="Q357" s="49" t="n">
        <x:v>3.432937957369153</x:v>
      </x:c>
    </x:row>
    <x:row r="358" ht="20" customHeight="1">
      <x:c r="A358" s="40" t="str">
        <x:v>FT-Q-V01-042</x:v>
      </x:c>
      <x:c r="B358" s="19" t="str">
        <x:v>global warming</x:v>
      </x:c>
      <x:c r="C358" s="31" t="str">
        <x:v>warming</x:v>
      </x:c>
      <x:c r="D358" s="25" t="n">
        <x:v>2014</x:v>
      </x:c>
      <x:c r="E358" s="46" t="n">
        <x:v>0.000003140219677025269</x:v>
      </x:c>
      <x:c r="F358" s="19" t="str">
        <x:v>eng</x:v>
      </x:c>
      <x:c r="G358" s="19" t="str">
        <x:v>current English corpus (July 2024 dataset; public shorthand eng; mutable current corpus)</x:v>
      </x:c>
      <x:c r="H358" s="19" t="str">
        <x:v>global warming (All)</x:v>
      </x:c>
      <x:c r="I358" s="19" t="str">
        <x:v>0</x:v>
      </x:c>
      <x:c r="J358" s="19" t="n">
        <x:v>46260.107256944444</x:v>
      </x:c>
      <x:c r="K358" s="31" t="str">
        <x:v>data/fear-temperature/ngram/raw/e982c3b5d6e77fc759f19bb2931d892bfaa9221ade4a44977579a8d5a8afab71.json</x:v>
      </x:c>
      <x:c r="L358" s="19" t="str">
        <x:v>edd5437f92999c829c0fea3e5822ab6cb22f6b319b6eab7bc697d0dc4f6023f9</x:v>
      </x:c>
      <x:c r="M358" s="19" t="str">
        <x:v>03c6b3b7aec17c75d6066c3ad33475123246728a6d70514bc6c4b2fac975aa04</x:v>
      </x:c>
      <x:c r="N358" s="31" t="str">
        <x:v>FT-LF-GLOBAL_WARMING</x:v>
      </x:c>
      <x:c r="O358" s="31" t="str">
        <x:v>FT-C-GLOBAL_WARMING_ISSUE_LABEL</x:v>
      </x:c>
      <x:c r="P358" s="31" t="str">
        <x:v>FT-F03</x:v>
      </x:c>
      <x:c r="Q358" s="49" t="n">
        <x:v>3.140219677025269</x:v>
      </x:c>
    </x:row>
    <x:row r="359" ht="20" customHeight="1">
      <x:c r="A359" s="40" t="str">
        <x:v>FT-Q-V01-042</x:v>
      </x:c>
      <x:c r="B359" s="19" t="str">
        <x:v>global warming</x:v>
      </x:c>
      <x:c r="C359" s="31" t="str">
        <x:v>warming</x:v>
      </x:c>
      <x:c r="D359" s="25" t="n">
        <x:v>2015</x:v>
      </x:c>
      <x:c r="E359" s="46" t="n">
        <x:v>0.0000032935866078574734</x:v>
      </x:c>
      <x:c r="F359" s="19" t="str">
        <x:v>eng</x:v>
      </x:c>
      <x:c r="G359" s="19" t="str">
        <x:v>current English corpus (July 2024 dataset; public shorthand eng; mutable current corpus)</x:v>
      </x:c>
      <x:c r="H359" s="19" t="str">
        <x:v>global warming (All)</x:v>
      </x:c>
      <x:c r="I359" s="19" t="str">
        <x:v>0</x:v>
      </x:c>
      <x:c r="J359" s="19" t="n">
        <x:v>46260.107256944444</x:v>
      </x:c>
      <x:c r="K359" s="31" t="str">
        <x:v>data/fear-temperature/ngram/raw/e982c3b5d6e77fc759f19bb2931d892bfaa9221ade4a44977579a8d5a8afab71.json</x:v>
      </x:c>
      <x:c r="L359" s="19" t="str">
        <x:v>edd5437f92999c829c0fea3e5822ab6cb22f6b319b6eab7bc697d0dc4f6023f9</x:v>
      </x:c>
      <x:c r="M359" s="19" t="str">
        <x:v>03c6b3b7aec17c75d6066c3ad33475123246728a6d70514bc6c4b2fac975aa04</x:v>
      </x:c>
      <x:c r="N359" s="31" t="str">
        <x:v>FT-LF-GLOBAL_WARMING</x:v>
      </x:c>
      <x:c r="O359" s="31" t="str">
        <x:v>FT-C-GLOBAL_WARMING_ISSUE_LABEL</x:v>
      </x:c>
      <x:c r="P359" s="31" t="str">
        <x:v>FT-F03</x:v>
      </x:c>
      <x:c r="Q359" s="49" t="n">
        <x:v>3.2935866078574736</x:v>
      </x:c>
    </x:row>
    <x:row r="360" ht="20" customHeight="1">
      <x:c r="A360" s="40" t="str">
        <x:v>FT-Q-V01-042</x:v>
      </x:c>
      <x:c r="B360" s="19" t="str">
        <x:v>global warming</x:v>
      </x:c>
      <x:c r="C360" s="31" t="str">
        <x:v>warming</x:v>
      </x:c>
      <x:c r="D360" s="25" t="n">
        <x:v>2016</x:v>
      </x:c>
      <x:c r="E360" s="46" t="n">
        <x:v>0.0000032651112409423644</x:v>
      </x:c>
      <x:c r="F360" s="19" t="str">
        <x:v>eng</x:v>
      </x:c>
      <x:c r="G360" s="19" t="str">
        <x:v>current English corpus (July 2024 dataset; public shorthand eng; mutable current corpus)</x:v>
      </x:c>
      <x:c r="H360" s="19" t="str">
        <x:v>global warming (All)</x:v>
      </x:c>
      <x:c r="I360" s="19" t="str">
        <x:v>0</x:v>
      </x:c>
      <x:c r="J360" s="19" t="n">
        <x:v>46260.107256944444</x:v>
      </x:c>
      <x:c r="K360" s="31" t="str">
        <x:v>data/fear-temperature/ngram/raw/e982c3b5d6e77fc759f19bb2931d892bfaa9221ade4a44977579a8d5a8afab71.json</x:v>
      </x:c>
      <x:c r="L360" s="19" t="str">
        <x:v>edd5437f92999c829c0fea3e5822ab6cb22f6b319b6eab7bc697d0dc4f6023f9</x:v>
      </x:c>
      <x:c r="M360" s="19" t="str">
        <x:v>03c6b3b7aec17c75d6066c3ad33475123246728a6d70514bc6c4b2fac975aa04</x:v>
      </x:c>
      <x:c r="N360" s="31" t="str">
        <x:v>FT-LF-GLOBAL_WARMING</x:v>
      </x:c>
      <x:c r="O360" s="31" t="str">
        <x:v>FT-C-GLOBAL_WARMING_ISSUE_LABEL</x:v>
      </x:c>
      <x:c r="P360" s="31" t="str">
        <x:v>FT-F03</x:v>
      </x:c>
      <x:c r="Q360" s="49" t="n">
        <x:v>3.2651112409423644</x:v>
      </x:c>
    </x:row>
    <x:row r="361" ht="20" customHeight="1">
      <x:c r="A361" s="40" t="str">
        <x:v>FT-Q-V01-042</x:v>
      </x:c>
      <x:c r="B361" s="19" t="str">
        <x:v>global warming</x:v>
      </x:c>
      <x:c r="C361" s="31" t="str">
        <x:v>warming</x:v>
      </x:c>
      <x:c r="D361" s="25" t="n">
        <x:v>2017</x:v>
      </x:c>
      <x:c r="E361" s="46" t="n">
        <x:v>0.000003144976312159653</x:v>
      </x:c>
      <x:c r="F361" s="19" t="str">
        <x:v>eng</x:v>
      </x:c>
      <x:c r="G361" s="19" t="str">
        <x:v>current English corpus (July 2024 dataset; public shorthand eng; mutable current corpus)</x:v>
      </x:c>
      <x:c r="H361" s="19" t="str">
        <x:v>global warming (All)</x:v>
      </x:c>
      <x:c r="I361" s="19" t="str">
        <x:v>0</x:v>
      </x:c>
      <x:c r="J361" s="19" t="n">
        <x:v>46260.107256944444</x:v>
      </x:c>
      <x:c r="K361" s="31" t="str">
        <x:v>data/fear-temperature/ngram/raw/e982c3b5d6e77fc759f19bb2931d892bfaa9221ade4a44977579a8d5a8afab71.json</x:v>
      </x:c>
      <x:c r="L361" s="19" t="str">
        <x:v>edd5437f92999c829c0fea3e5822ab6cb22f6b319b6eab7bc697d0dc4f6023f9</x:v>
      </x:c>
      <x:c r="M361" s="19" t="str">
        <x:v>03c6b3b7aec17c75d6066c3ad33475123246728a6d70514bc6c4b2fac975aa04</x:v>
      </x:c>
      <x:c r="N361" s="31" t="str">
        <x:v>FT-LF-GLOBAL_WARMING</x:v>
      </x:c>
      <x:c r="O361" s="31" t="str">
        <x:v>FT-C-GLOBAL_WARMING_ISSUE_LABEL</x:v>
      </x:c>
      <x:c r="P361" s="31" t="str">
        <x:v>FT-F03</x:v>
      </x:c>
      <x:c r="Q361" s="49" t="n">
        <x:v>3.144976312159653</x:v>
      </x:c>
    </x:row>
    <x:row r="362" ht="20" customHeight="1">
      <x:c r="A362" s="40" t="str">
        <x:v>FT-Q-V01-042</x:v>
      </x:c>
      <x:c r="B362" s="19" t="str">
        <x:v>global warming</x:v>
      </x:c>
      <x:c r="C362" s="31" t="str">
        <x:v>warming</x:v>
      </x:c>
      <x:c r="D362" s="25" t="n">
        <x:v>2018</x:v>
      </x:c>
      <x:c r="E362" s="46" t="n">
        <x:v>0.0000031513842962162253</x:v>
      </x:c>
      <x:c r="F362" s="19" t="str">
        <x:v>eng</x:v>
      </x:c>
      <x:c r="G362" s="19" t="str">
        <x:v>current English corpus (July 2024 dataset; public shorthand eng; mutable current corpus)</x:v>
      </x:c>
      <x:c r="H362" s="19" t="str">
        <x:v>global warming (All)</x:v>
      </x:c>
      <x:c r="I362" s="19" t="str">
        <x:v>0</x:v>
      </x:c>
      <x:c r="J362" s="19" t="n">
        <x:v>46260.107256944444</x:v>
      </x:c>
      <x:c r="K362" s="31" t="str">
        <x:v>data/fear-temperature/ngram/raw/e982c3b5d6e77fc759f19bb2931d892bfaa9221ade4a44977579a8d5a8afab71.json</x:v>
      </x:c>
      <x:c r="L362" s="19" t="str">
        <x:v>edd5437f92999c829c0fea3e5822ab6cb22f6b319b6eab7bc697d0dc4f6023f9</x:v>
      </x:c>
      <x:c r="M362" s="19" t="str">
        <x:v>03c6b3b7aec17c75d6066c3ad33475123246728a6d70514bc6c4b2fac975aa04</x:v>
      </x:c>
      <x:c r="N362" s="31" t="str">
        <x:v>FT-LF-GLOBAL_WARMING</x:v>
      </x:c>
      <x:c r="O362" s="31" t="str">
        <x:v>FT-C-GLOBAL_WARMING_ISSUE_LABEL</x:v>
      </x:c>
      <x:c r="P362" s="31" t="str">
        <x:v>FT-F03</x:v>
      </x:c>
      <x:c r="Q362" s="49" t="n">
        <x:v>3.151384296216225</x:v>
      </x:c>
    </x:row>
    <x:row r="363" ht="20" customHeight="1">
      <x:c r="A363" s="40" t="str">
        <x:v>FT-Q-V01-042</x:v>
      </x:c>
      <x:c r="B363" s="19" t="str">
        <x:v>global warming</x:v>
      </x:c>
      <x:c r="C363" s="31" t="str">
        <x:v>warming</x:v>
      </x:c>
      <x:c r="D363" s="25" t="n">
        <x:v>2019</x:v>
      </x:c>
      <x:c r="E363" s="46" t="n">
        <x:v>0.0000033679915485869405</x:v>
      </x:c>
      <x:c r="F363" s="19" t="str">
        <x:v>eng</x:v>
      </x:c>
      <x:c r="G363" s="19" t="str">
        <x:v>current English corpus (July 2024 dataset; public shorthand eng; mutable current corpus)</x:v>
      </x:c>
      <x:c r="H363" s="19" t="str">
        <x:v>global warming (All)</x:v>
      </x:c>
      <x:c r="I363" s="19" t="str">
        <x:v>0</x:v>
      </x:c>
      <x:c r="J363" s="19" t="n">
        <x:v>46260.107256944444</x:v>
      </x:c>
      <x:c r="K363" s="31" t="str">
        <x:v>data/fear-temperature/ngram/raw/e982c3b5d6e77fc759f19bb2931d892bfaa9221ade4a44977579a8d5a8afab71.json</x:v>
      </x:c>
      <x:c r="L363" s="19" t="str">
        <x:v>edd5437f92999c829c0fea3e5822ab6cb22f6b319b6eab7bc697d0dc4f6023f9</x:v>
      </x:c>
      <x:c r="M363" s="19" t="str">
        <x:v>03c6b3b7aec17c75d6066c3ad33475123246728a6d70514bc6c4b2fac975aa04</x:v>
      </x:c>
      <x:c r="N363" s="31" t="str">
        <x:v>FT-LF-GLOBAL_WARMING</x:v>
      </x:c>
      <x:c r="O363" s="31" t="str">
        <x:v>FT-C-GLOBAL_WARMING_ISSUE_LABEL</x:v>
      </x:c>
      <x:c r="P363" s="31" t="str">
        <x:v>FT-F03</x:v>
      </x:c>
      <x:c r="Q363" s="49" t="n">
        <x:v>3.3679915485869403</x:v>
      </x:c>
    </x:row>
    <x:row r="364" ht="20" customHeight="1">
      <x:c r="A364" s="40" t="str">
        <x:v>FT-Q-V01-042</x:v>
      </x:c>
      <x:c r="B364" s="19" t="str">
        <x:v>global warming</x:v>
      </x:c>
      <x:c r="C364" s="31" t="str">
        <x:v>warming</x:v>
      </x:c>
      <x:c r="D364" s="25" t="n">
        <x:v>2020</x:v>
      </x:c>
      <x:c r="E364" s="46" t="n">
        <x:v>0.0000034455159393029233</x:v>
      </x:c>
      <x:c r="F364" s="19" t="str">
        <x:v>eng</x:v>
      </x:c>
      <x:c r="G364" s="19" t="str">
        <x:v>current English corpus (July 2024 dataset; public shorthand eng; mutable current corpus)</x:v>
      </x:c>
      <x:c r="H364" s="19" t="str">
        <x:v>global warming (All)</x:v>
      </x:c>
      <x:c r="I364" s="19" t="str">
        <x:v>0</x:v>
      </x:c>
      <x:c r="J364" s="19" t="n">
        <x:v>46260.107256944444</x:v>
      </x:c>
      <x:c r="K364" s="31" t="str">
        <x:v>data/fear-temperature/ngram/raw/e982c3b5d6e77fc759f19bb2931d892bfaa9221ade4a44977579a8d5a8afab71.json</x:v>
      </x:c>
      <x:c r="L364" s="19" t="str">
        <x:v>edd5437f92999c829c0fea3e5822ab6cb22f6b319b6eab7bc697d0dc4f6023f9</x:v>
      </x:c>
      <x:c r="M364" s="19" t="str">
        <x:v>03c6b3b7aec17c75d6066c3ad33475123246728a6d70514bc6c4b2fac975aa04</x:v>
      </x:c>
      <x:c r="N364" s="31" t="str">
        <x:v>FT-LF-GLOBAL_WARMING</x:v>
      </x:c>
      <x:c r="O364" s="31" t="str">
        <x:v>FT-C-GLOBAL_WARMING_ISSUE_LABEL</x:v>
      </x:c>
      <x:c r="P364" s="31" t="str">
        <x:v>FT-F03</x:v>
      </x:c>
      <x:c r="Q364" s="49" t="n">
        <x:v>3.4455159393029233</x:v>
      </x:c>
    </x:row>
    <x:row r="365" ht="20" customHeight="1">
      <x:c r="A365" s="40" t="str">
        <x:v>FT-Q-V01-042</x:v>
      </x:c>
      <x:c r="B365" s="19" t="str">
        <x:v>global warming</x:v>
      </x:c>
      <x:c r="C365" s="31" t="str">
        <x:v>warming</x:v>
      </x:c>
      <x:c r="D365" s="25" t="n">
        <x:v>2021</x:v>
      </x:c>
      <x:c r="E365" s="46" t="n">
        <x:v>0.000004147305217784558</x:v>
      </x:c>
      <x:c r="F365" s="19" t="str">
        <x:v>eng</x:v>
      </x:c>
      <x:c r="G365" s="19" t="str">
        <x:v>current English corpus (July 2024 dataset; public shorthand eng; mutable current corpus)</x:v>
      </x:c>
      <x:c r="H365" s="19" t="str">
        <x:v>global warming (All)</x:v>
      </x:c>
      <x:c r="I365" s="19" t="str">
        <x:v>0</x:v>
      </x:c>
      <x:c r="J365" s="19" t="n">
        <x:v>46260.107256944444</x:v>
      </x:c>
      <x:c r="K365" s="31" t="str">
        <x:v>data/fear-temperature/ngram/raw/e982c3b5d6e77fc759f19bb2931d892bfaa9221ade4a44977579a8d5a8afab71.json</x:v>
      </x:c>
      <x:c r="L365" s="19" t="str">
        <x:v>edd5437f92999c829c0fea3e5822ab6cb22f6b319b6eab7bc697d0dc4f6023f9</x:v>
      </x:c>
      <x:c r="M365" s="19" t="str">
        <x:v>03c6b3b7aec17c75d6066c3ad33475123246728a6d70514bc6c4b2fac975aa04</x:v>
      </x:c>
      <x:c r="N365" s="31" t="str">
        <x:v>FT-LF-GLOBAL_WARMING</x:v>
      </x:c>
      <x:c r="O365" s="31" t="str">
        <x:v>FT-C-GLOBAL_WARMING_ISSUE_LABEL</x:v>
      </x:c>
      <x:c r="P365" s="31" t="str">
        <x:v>FT-F03</x:v>
      </x:c>
      <x:c r="Q365" s="49" t="n">
        <x:v>4.147305217784558</x:v>
      </x:c>
    </x:row>
    <x:row r="366" ht="20" customHeight="1">
      <x:c r="A366" s="40" t="str">
        <x:v>FT-Q-V01-042</x:v>
      </x:c>
      <x:c r="B366" s="19" t="str">
        <x:v>global warming</x:v>
      </x:c>
      <x:c r="C366" s="31" t="str">
        <x:v>warming</x:v>
      </x:c>
      <x:c r="D366" s="25" t="n">
        <x:v>2022</x:v>
      </x:c>
      <x:c r="E366" s="46" t="n">
        <x:v>0.000003963670369644401</x:v>
      </x:c>
      <x:c r="F366" s="19" t="str">
        <x:v>eng</x:v>
      </x:c>
      <x:c r="G366" s="19" t="str">
        <x:v>current English corpus (July 2024 dataset; public shorthand eng; mutable current corpus)</x:v>
      </x:c>
      <x:c r="H366" s="19" t="str">
        <x:v>global warming (All)</x:v>
      </x:c>
      <x:c r="I366" s="19" t="str">
        <x:v>0</x:v>
      </x:c>
      <x:c r="J366" s="19" t="n">
        <x:v>46260.107256944444</x:v>
      </x:c>
      <x:c r="K366" s="31" t="str">
        <x:v>data/fear-temperature/ngram/raw/e982c3b5d6e77fc759f19bb2931d892bfaa9221ade4a44977579a8d5a8afab71.json</x:v>
      </x:c>
      <x:c r="L366" s="19" t="str">
        <x:v>edd5437f92999c829c0fea3e5822ab6cb22f6b319b6eab7bc697d0dc4f6023f9</x:v>
      </x:c>
      <x:c r="M366" s="19" t="str">
        <x:v>03c6b3b7aec17c75d6066c3ad33475123246728a6d70514bc6c4b2fac975aa04</x:v>
      </x:c>
      <x:c r="N366" s="31" t="str">
        <x:v>FT-LF-GLOBAL_WARMING</x:v>
      </x:c>
      <x:c r="O366" s="31" t="str">
        <x:v>FT-C-GLOBAL_WARMING_ISSUE_LABEL</x:v>
      </x:c>
      <x:c r="P366" s="31" t="str">
        <x:v>FT-F03</x:v>
      </x:c>
      <x:c r="Q366" s="49" t="n">
        <x:v>3.963670369644401</x:v>
      </x:c>
    </x:row>
    <x:row r="367" ht="20" customHeight="1">
      <x:c r="A367" s="40" t="str">
        <x:v>FT-Q-V01-070</x:v>
      </x:c>
      <x:c r="B367" s="19" t="str">
        <x:v>climate change</x:v>
      </x:c>
      <x:c r="C367" s="31" t="str">
        <x:v>climate</x:v>
      </x:c>
      <x:c r="D367" s="25" t="n">
        <x:v>1842</x:v>
      </x:c>
      <x:c r="E367" s="46" t="n">
        <x:v>5.159906557583582e-9</x:v>
      </x:c>
      <x:c r="F367" s="19" t="str">
        <x:v>eng</x:v>
      </x:c>
      <x:c r="G367" s="19" t="str">
        <x:v>current English corpus (July 2024 dataset; public shorthand eng; mutable current corpus)</x:v>
      </x:c>
      <x:c r="H367" s="19" t="str">
        <x:v>climate change (All)</x:v>
      </x:c>
      <x:c r="I367" s="19" t="str">
        <x:v>0</x:v>
      </x:c>
      <x:c r="J367" s="19" t="n">
        <x:v>46260.10760416667</x:v>
      </x:c>
      <x:c r="K367" s="31" t="str">
        <x:v>data/fear-temperature/ngram/raw/c0c3021f09dbdf3542c85e1a8bd4e013bd4d99d85af63bbd55f5e05a6a7ddd2b.json</x:v>
      </x:c>
      <x:c r="L367" s="19" t="str">
        <x:v>f147d9b61eec9310d5a36c21ef68d14904b4782ed7663bc02178e865991f6aa6</x:v>
      </x:c>
      <x:c r="M367" s="19" t="str">
        <x:v>03c6b3b7aec17c75d6066c3ad33475123246728a6d70514bc6c4b2fac975aa04</x:v>
      </x:c>
      <x:c r="N367" s="31" t="str">
        <x:v>FT-LF-CLIMATE_CHANGE</x:v>
      </x:c>
      <x:c r="O367" s="31" t="str">
        <x:v>FT-C-MODERN_CLIMATE_CHANGE</x:v>
      </x:c>
      <x:c r="P367" s="31" t="str">
        <x:v>FT-F04</x:v>
      </x:c>
      <x:c r="Q367" s="49" t="n">
        <x:v>0.005159906557583582</x:v>
      </x:c>
    </x:row>
    <x:row r="368" ht="20" customHeight="1">
      <x:c r="A368" s="40" t="str">
        <x:v>FT-Q-V01-070</x:v>
      </x:c>
      <x:c r="B368" s="19" t="str">
        <x:v>climate change</x:v>
      </x:c>
      <x:c r="C368" s="31" t="str">
        <x:v>climate</x:v>
      </x:c>
      <x:c r="D368" s="25" t="n">
        <x:v>1843</x:v>
      </x:c>
      <x:c r="E368" s="46" t="n">
        <x:v>8.358282377329829e-8</x:v>
      </x:c>
      <x:c r="F368" s="19" t="str">
        <x:v>eng</x:v>
      </x:c>
      <x:c r="G368" s="19" t="str">
        <x:v>current English corpus (July 2024 dataset; public shorthand eng; mutable current corpus)</x:v>
      </x:c>
      <x:c r="H368" s="19" t="str">
        <x:v>climate change (All)</x:v>
      </x:c>
      <x:c r="I368" s="19" t="str">
        <x:v>0</x:v>
      </x:c>
      <x:c r="J368" s="19" t="n">
        <x:v>46260.10760416667</x:v>
      </x:c>
      <x:c r="K368" s="31" t="str">
        <x:v>data/fear-temperature/ngram/raw/c0c3021f09dbdf3542c85e1a8bd4e013bd4d99d85af63bbd55f5e05a6a7ddd2b.json</x:v>
      </x:c>
      <x:c r="L368" s="19" t="str">
        <x:v>f147d9b61eec9310d5a36c21ef68d14904b4782ed7663bc02178e865991f6aa6</x:v>
      </x:c>
      <x:c r="M368" s="19" t="str">
        <x:v>03c6b3b7aec17c75d6066c3ad33475123246728a6d70514bc6c4b2fac975aa04</x:v>
      </x:c>
      <x:c r="N368" s="31" t="str">
        <x:v>FT-LF-CLIMATE_CHANGE</x:v>
      </x:c>
      <x:c r="O368" s="31" t="str">
        <x:v>FT-C-MODERN_CLIMATE_CHANGE</x:v>
      </x:c>
      <x:c r="P368" s="31" t="str">
        <x:v>FT-F04</x:v>
      </x:c>
      <x:c r="Q368" s="49" t="n">
        <x:v>0.08358282377329829</x:v>
      </x:c>
    </x:row>
    <x:row r="369" ht="20" customHeight="1">
      <x:c r="A369" s="40" t="str">
        <x:v>FT-Q-V01-070</x:v>
      </x:c>
      <x:c r="B369" s="19" t="str">
        <x:v>climate change</x:v>
      </x:c>
      <x:c r="C369" s="31" t="str">
        <x:v>climate</x:v>
      </x:c>
      <x:c r="D369" s="25" t="n">
        <x:v>1844</x:v>
      </x:c>
      <x:c r="E369" s="46" t="n">
        <x:v>5.69297331498575e-10</x:v>
      </x:c>
      <x:c r="F369" s="19" t="str">
        <x:v>eng</x:v>
      </x:c>
      <x:c r="G369" s="19" t="str">
        <x:v>current English corpus (July 2024 dataset; public shorthand eng; mutable current corpus)</x:v>
      </x:c>
      <x:c r="H369" s="19" t="str">
        <x:v>climate change (All)</x:v>
      </x:c>
      <x:c r="I369" s="19" t="str">
        <x:v>0</x:v>
      </x:c>
      <x:c r="J369" s="19" t="n">
        <x:v>46260.10760416667</x:v>
      </x:c>
      <x:c r="K369" s="31" t="str">
        <x:v>data/fear-temperature/ngram/raw/c0c3021f09dbdf3542c85e1a8bd4e013bd4d99d85af63bbd55f5e05a6a7ddd2b.json</x:v>
      </x:c>
      <x:c r="L369" s="19" t="str">
        <x:v>f147d9b61eec9310d5a36c21ef68d14904b4782ed7663bc02178e865991f6aa6</x:v>
      </x:c>
      <x:c r="M369" s="19" t="str">
        <x:v>03c6b3b7aec17c75d6066c3ad33475123246728a6d70514bc6c4b2fac975aa04</x:v>
      </x:c>
      <x:c r="N369" s="31" t="str">
        <x:v>FT-LF-CLIMATE_CHANGE</x:v>
      </x:c>
      <x:c r="O369" s="31" t="str">
        <x:v>FT-C-MODERN_CLIMATE_CHANGE</x:v>
      </x:c>
      <x:c r="P369" s="31" t="str">
        <x:v>FT-F04</x:v>
      </x:c>
      <x:c r="Q369" s="49" t="n">
        <x:v>0.000569297331498575</x:v>
      </x:c>
    </x:row>
    <x:row r="370" ht="20" customHeight="1">
      <x:c r="A370" s="40" t="str">
        <x:v>FT-Q-V01-070</x:v>
      </x:c>
      <x:c r="B370" s="19" t="str">
        <x:v>climate change</x:v>
      </x:c>
      <x:c r="C370" s="31" t="str">
        <x:v>climate</x:v>
      </x:c>
      <x:c r="D370" s="25" t="n">
        <x:v>1845</x:v>
      </x:c>
      <x:c r="E370" s="46" t="n">
        <x:v>3.0050362198608127e-9</x:v>
      </x:c>
      <x:c r="F370" s="19" t="str">
        <x:v>eng</x:v>
      </x:c>
      <x:c r="G370" s="19" t="str">
        <x:v>current English corpus (July 2024 dataset; public shorthand eng; mutable current corpus)</x:v>
      </x:c>
      <x:c r="H370" s="19" t="str">
        <x:v>climate change (All)</x:v>
      </x:c>
      <x:c r="I370" s="19" t="str">
        <x:v>0</x:v>
      </x:c>
      <x:c r="J370" s="19" t="n">
        <x:v>46260.10760416667</x:v>
      </x:c>
      <x:c r="K370" s="31" t="str">
        <x:v>data/fear-temperature/ngram/raw/c0c3021f09dbdf3542c85e1a8bd4e013bd4d99d85af63bbd55f5e05a6a7ddd2b.json</x:v>
      </x:c>
      <x:c r="L370" s="19" t="str">
        <x:v>f147d9b61eec9310d5a36c21ef68d14904b4782ed7663bc02178e865991f6aa6</x:v>
      </x:c>
      <x:c r="M370" s="19" t="str">
        <x:v>03c6b3b7aec17c75d6066c3ad33475123246728a6d70514bc6c4b2fac975aa04</x:v>
      </x:c>
      <x:c r="N370" s="31" t="str">
        <x:v>FT-LF-CLIMATE_CHANGE</x:v>
      </x:c>
      <x:c r="O370" s="31" t="str">
        <x:v>FT-C-MODERN_CLIMATE_CHANGE</x:v>
      </x:c>
      <x:c r="P370" s="31" t="str">
        <x:v>FT-F04</x:v>
      </x:c>
      <x:c r="Q370" s="49" t="n">
        <x:v>0.0030050362198608127</x:v>
      </x:c>
    </x:row>
    <x:row r="371" ht="20" customHeight="1">
      <x:c r="A371" s="40" t="str">
        <x:v>FT-Q-V01-070</x:v>
      </x:c>
      <x:c r="B371" s="19" t="str">
        <x:v>climate change</x:v>
      </x:c>
      <x:c r="C371" s="31" t="str">
        <x:v>climate</x:v>
      </x:c>
      <x:c r="D371" s="25" t="n">
        <x:v>1846</x:v>
      </x:c>
      <x:c r="E371" s="46" t="n">
        <x:v>2.01696281898478e-9</x:v>
      </x:c>
      <x:c r="F371" s="19" t="str">
        <x:v>eng</x:v>
      </x:c>
      <x:c r="G371" s="19" t="str">
        <x:v>current English corpus (July 2024 dataset; public shorthand eng; mutable current corpus)</x:v>
      </x:c>
      <x:c r="H371" s="19" t="str">
        <x:v>climate change (All)</x:v>
      </x:c>
      <x:c r="I371" s="19" t="str">
        <x:v>0</x:v>
      </x:c>
      <x:c r="J371" s="19" t="n">
        <x:v>46260.10760416667</x:v>
      </x:c>
      <x:c r="K371" s="31" t="str">
        <x:v>data/fear-temperature/ngram/raw/c0c3021f09dbdf3542c85e1a8bd4e013bd4d99d85af63bbd55f5e05a6a7ddd2b.json</x:v>
      </x:c>
      <x:c r="L371" s="19" t="str">
        <x:v>f147d9b61eec9310d5a36c21ef68d14904b4782ed7663bc02178e865991f6aa6</x:v>
      </x:c>
      <x:c r="M371" s="19" t="str">
        <x:v>03c6b3b7aec17c75d6066c3ad33475123246728a6d70514bc6c4b2fac975aa04</x:v>
      </x:c>
      <x:c r="N371" s="31" t="str">
        <x:v>FT-LF-CLIMATE_CHANGE</x:v>
      </x:c>
      <x:c r="O371" s="31" t="str">
        <x:v>FT-C-MODERN_CLIMATE_CHANGE</x:v>
      </x:c>
      <x:c r="P371" s="31" t="str">
        <x:v>FT-F04</x:v>
      </x:c>
      <x:c r="Q371" s="49" t="n">
        <x:v>0.00201696281898478</x:v>
      </x:c>
    </x:row>
    <x:row r="372" ht="20" customHeight="1">
      <x:c r="A372" s="40" t="str">
        <x:v>FT-Q-V01-070</x:v>
      </x:c>
      <x:c r="B372" s="19" t="str">
        <x:v>climate change</x:v>
      </x:c>
      <x:c r="C372" s="31" t="str">
        <x:v>climate</x:v>
      </x:c>
      <x:c r="D372" s="25" t="n">
        <x:v>1847</x:v>
      </x:c>
      <x:c r="E372" s="46" t="n">
        <x:v>1.2598798393437248e-8</x:v>
      </x:c>
      <x:c r="F372" s="19" t="str">
        <x:v>eng</x:v>
      </x:c>
      <x:c r="G372" s="19" t="str">
        <x:v>current English corpus (July 2024 dataset; public shorthand eng; mutable current corpus)</x:v>
      </x:c>
      <x:c r="H372" s="19" t="str">
        <x:v>climate change (All)</x:v>
      </x:c>
      <x:c r="I372" s="19" t="str">
        <x:v>0</x:v>
      </x:c>
      <x:c r="J372" s="19" t="n">
        <x:v>46260.10760416667</x:v>
      </x:c>
      <x:c r="K372" s="31" t="str">
        <x:v>data/fear-temperature/ngram/raw/c0c3021f09dbdf3542c85e1a8bd4e013bd4d99d85af63bbd55f5e05a6a7ddd2b.json</x:v>
      </x:c>
      <x:c r="L372" s="19" t="str">
        <x:v>f147d9b61eec9310d5a36c21ef68d14904b4782ed7663bc02178e865991f6aa6</x:v>
      </x:c>
      <x:c r="M372" s="19" t="str">
        <x:v>03c6b3b7aec17c75d6066c3ad33475123246728a6d70514bc6c4b2fac975aa04</x:v>
      </x:c>
      <x:c r="N372" s="31" t="str">
        <x:v>FT-LF-CLIMATE_CHANGE</x:v>
      </x:c>
      <x:c r="O372" s="31" t="str">
        <x:v>FT-C-MODERN_CLIMATE_CHANGE</x:v>
      </x:c>
      <x:c r="P372" s="31" t="str">
        <x:v>FT-F04</x:v>
      </x:c>
      <x:c r="Q372" s="49" t="n">
        <x:v>0.012598798393437248</x:v>
      </x:c>
    </x:row>
    <x:row r="373" ht="20" customHeight="1">
      <x:c r="A373" s="40" t="str">
        <x:v>FT-Q-V01-070</x:v>
      </x:c>
      <x:c r="B373" s="19" t="str">
        <x:v>climate change</x:v>
      </x:c>
      <x:c r="C373" s="31" t="str">
        <x:v>climate</x:v>
      </x:c>
      <x:c r="D373" s="25" t="n">
        <x:v>1848</x:v>
      </x:c>
      <x:c r="E373" s="46" t="n">
        <x:v>1.0861997967737123e-9</x:v>
      </x:c>
      <x:c r="F373" s="19" t="str">
        <x:v>eng</x:v>
      </x:c>
      <x:c r="G373" s="19" t="str">
        <x:v>current English corpus (July 2024 dataset; public shorthand eng; mutable current corpus)</x:v>
      </x:c>
      <x:c r="H373" s="19" t="str">
        <x:v>climate change (All)</x:v>
      </x:c>
      <x:c r="I373" s="19" t="str">
        <x:v>0</x:v>
      </x:c>
      <x:c r="J373" s="19" t="n">
        <x:v>46260.10760416667</x:v>
      </x:c>
      <x:c r="K373" s="31" t="str">
        <x:v>data/fear-temperature/ngram/raw/c0c3021f09dbdf3542c85e1a8bd4e013bd4d99d85af63bbd55f5e05a6a7ddd2b.json</x:v>
      </x:c>
      <x:c r="L373" s="19" t="str">
        <x:v>f147d9b61eec9310d5a36c21ef68d14904b4782ed7663bc02178e865991f6aa6</x:v>
      </x:c>
      <x:c r="M373" s="19" t="str">
        <x:v>03c6b3b7aec17c75d6066c3ad33475123246728a6d70514bc6c4b2fac975aa04</x:v>
      </x:c>
      <x:c r="N373" s="31" t="str">
        <x:v>FT-LF-CLIMATE_CHANGE</x:v>
      </x:c>
      <x:c r="O373" s="31" t="str">
        <x:v>FT-C-MODERN_CLIMATE_CHANGE</x:v>
      </x:c>
      <x:c r="P373" s="31" t="str">
        <x:v>FT-F04</x:v>
      </x:c>
      <x:c r="Q373" s="49" t="n">
        <x:v>0.0010861997967737123</x:v>
      </x:c>
    </x:row>
    <x:row r="374" ht="20" customHeight="1">
      <x:c r="A374" s="40" t="str">
        <x:v>FT-Q-V01-070</x:v>
      </x:c>
      <x:c r="B374" s="19" t="str">
        <x:v>climate change</x:v>
      </x:c>
      <x:c r="C374" s="31" t="str">
        <x:v>climate</x:v>
      </x:c>
      <x:c r="D374" s="25" t="n">
        <x:v>1849</x:v>
      </x:c>
      <x:c r="E374" s="46" t="n">
        <x:v>1.0483963697183183e-9</x:v>
      </x:c>
      <x:c r="F374" s="19" t="str">
        <x:v>eng</x:v>
      </x:c>
      <x:c r="G374" s="19" t="str">
        <x:v>current English corpus (July 2024 dataset; public shorthand eng; mutable current corpus)</x:v>
      </x:c>
      <x:c r="H374" s="19" t="str">
        <x:v>climate change (All)</x:v>
      </x:c>
      <x:c r="I374" s="19" t="str">
        <x:v>0</x:v>
      </x:c>
      <x:c r="J374" s="19" t="n">
        <x:v>46260.10760416667</x:v>
      </x:c>
      <x:c r="K374" s="31" t="str">
        <x:v>data/fear-temperature/ngram/raw/c0c3021f09dbdf3542c85e1a8bd4e013bd4d99d85af63bbd55f5e05a6a7ddd2b.json</x:v>
      </x:c>
      <x:c r="L374" s="19" t="str">
        <x:v>f147d9b61eec9310d5a36c21ef68d14904b4782ed7663bc02178e865991f6aa6</x:v>
      </x:c>
      <x:c r="M374" s="19" t="str">
        <x:v>03c6b3b7aec17c75d6066c3ad33475123246728a6d70514bc6c4b2fac975aa04</x:v>
      </x:c>
      <x:c r="N374" s="31" t="str">
        <x:v>FT-LF-CLIMATE_CHANGE</x:v>
      </x:c>
      <x:c r="O374" s="31" t="str">
        <x:v>FT-C-MODERN_CLIMATE_CHANGE</x:v>
      </x:c>
      <x:c r="P374" s="31" t="str">
        <x:v>FT-F04</x:v>
      </x:c>
      <x:c r="Q374" s="49" t="n">
        <x:v>0.0010483963697183183</x:v>
      </x:c>
    </x:row>
    <x:row r="375" ht="20" customHeight="1">
      <x:c r="A375" s="40" t="str">
        <x:v>FT-Q-V01-070</x:v>
      </x:c>
      <x:c r="B375" s="19" t="str">
        <x:v>climate change</x:v>
      </x:c>
      <x:c r="C375" s="31" t="str">
        <x:v>climate</x:v>
      </x:c>
      <x:c r="D375" s="25" t="n">
        <x:v>1850</x:v>
      </x:c>
      <x:c r="E375" s="46" t="n">
        <x:v>1.8900161435908554e-9</x:v>
      </x:c>
      <x:c r="F375" s="19" t="str">
        <x:v>eng</x:v>
      </x:c>
      <x:c r="G375" s="19" t="str">
        <x:v>current English corpus (July 2024 dataset; public shorthand eng; mutable current corpus)</x:v>
      </x:c>
      <x:c r="H375" s="19" t="str">
        <x:v>climate change (All)</x:v>
      </x:c>
      <x:c r="I375" s="19" t="str">
        <x:v>0</x:v>
      </x:c>
      <x:c r="J375" s="19" t="n">
        <x:v>46260.10760416667</x:v>
      </x:c>
      <x:c r="K375" s="31" t="str">
        <x:v>data/fear-temperature/ngram/raw/c0c3021f09dbdf3542c85e1a8bd4e013bd4d99d85af63bbd55f5e05a6a7ddd2b.json</x:v>
      </x:c>
      <x:c r="L375" s="19" t="str">
        <x:v>f147d9b61eec9310d5a36c21ef68d14904b4782ed7663bc02178e865991f6aa6</x:v>
      </x:c>
      <x:c r="M375" s="19" t="str">
        <x:v>03c6b3b7aec17c75d6066c3ad33475123246728a6d70514bc6c4b2fac975aa04</x:v>
      </x:c>
      <x:c r="N375" s="31" t="str">
        <x:v>FT-LF-CLIMATE_CHANGE</x:v>
      </x:c>
      <x:c r="O375" s="31" t="str">
        <x:v>FT-C-MODERN_CLIMATE_CHANGE</x:v>
      </x:c>
      <x:c r="P375" s="31" t="str">
        <x:v>FT-F04</x:v>
      </x:c>
      <x:c r="Q375" s="49" t="n">
        <x:v>0.0018900161435908554</x:v>
      </x:c>
    </x:row>
    <x:row r="376" ht="20" customHeight="1">
      <x:c r="A376" s="40" t="str">
        <x:v>FT-Q-V01-070</x:v>
      </x:c>
      <x:c r="B376" s="19" t="str">
        <x:v>climate change</x:v>
      </x:c>
      <x:c r="C376" s="31" t="str">
        <x:v>climate</x:v>
      </x:c>
      <x:c r="D376" s="25" t="n">
        <x:v>1851</x:v>
      </x:c>
      <x:c r="E376" s="46" t="n">
        <x:v>3.5697265143852515e-9</x:v>
      </x:c>
      <x:c r="F376" s="19" t="str">
        <x:v>eng</x:v>
      </x:c>
      <x:c r="G376" s="19" t="str">
        <x:v>current English corpus (July 2024 dataset; public shorthand eng; mutable current corpus)</x:v>
      </x:c>
      <x:c r="H376" s="19" t="str">
        <x:v>climate change (All)</x:v>
      </x:c>
      <x:c r="I376" s="19" t="str">
        <x:v>0</x:v>
      </x:c>
      <x:c r="J376" s="19" t="n">
        <x:v>46260.10760416667</x:v>
      </x:c>
      <x:c r="K376" s="31" t="str">
        <x:v>data/fear-temperature/ngram/raw/c0c3021f09dbdf3542c85e1a8bd4e013bd4d99d85af63bbd55f5e05a6a7ddd2b.json</x:v>
      </x:c>
      <x:c r="L376" s="19" t="str">
        <x:v>f147d9b61eec9310d5a36c21ef68d14904b4782ed7663bc02178e865991f6aa6</x:v>
      </x:c>
      <x:c r="M376" s="19" t="str">
        <x:v>03c6b3b7aec17c75d6066c3ad33475123246728a6d70514bc6c4b2fac975aa04</x:v>
      </x:c>
      <x:c r="N376" s="31" t="str">
        <x:v>FT-LF-CLIMATE_CHANGE</x:v>
      </x:c>
      <x:c r="O376" s="31" t="str">
        <x:v>FT-C-MODERN_CLIMATE_CHANGE</x:v>
      </x:c>
      <x:c r="P376" s="31" t="str">
        <x:v>FT-F04</x:v>
      </x:c>
      <x:c r="Q376" s="49" t="n">
        <x:v>0.0035697265143852515</x:v>
      </x:c>
    </x:row>
    <x:row r="377" ht="20" customHeight="1">
      <x:c r="A377" s="40" t="str">
        <x:v>FT-Q-V01-070</x:v>
      </x:c>
      <x:c r="B377" s="19" t="str">
        <x:v>climate change</x:v>
      </x:c>
      <x:c r="C377" s="31" t="str">
        <x:v>climate</x:v>
      </x:c>
      <x:c r="D377" s="25" t="n">
        <x:v>1852</x:v>
      </x:c>
      <x:c r="E377" s="46" t="n">
        <x:v>8.410080964971199e-10</x:v>
      </x:c>
      <x:c r="F377" s="19" t="str">
        <x:v>eng</x:v>
      </x:c>
      <x:c r="G377" s="19" t="str">
        <x:v>current English corpus (July 2024 dataset; public shorthand eng; mutable current corpus)</x:v>
      </x:c>
      <x:c r="H377" s="19" t="str">
        <x:v>climate change (All)</x:v>
      </x:c>
      <x:c r="I377" s="19" t="str">
        <x:v>0</x:v>
      </x:c>
      <x:c r="J377" s="19" t="n">
        <x:v>46260.10760416667</x:v>
      </x:c>
      <x:c r="K377" s="31" t="str">
        <x:v>data/fear-temperature/ngram/raw/c0c3021f09dbdf3542c85e1a8bd4e013bd4d99d85af63bbd55f5e05a6a7ddd2b.json</x:v>
      </x:c>
      <x:c r="L377" s="19" t="str">
        <x:v>f147d9b61eec9310d5a36c21ef68d14904b4782ed7663bc02178e865991f6aa6</x:v>
      </x:c>
      <x:c r="M377" s="19" t="str">
        <x:v>03c6b3b7aec17c75d6066c3ad33475123246728a6d70514bc6c4b2fac975aa04</x:v>
      </x:c>
      <x:c r="N377" s="31" t="str">
        <x:v>FT-LF-CLIMATE_CHANGE</x:v>
      </x:c>
      <x:c r="O377" s="31" t="str">
        <x:v>FT-C-MODERN_CLIMATE_CHANGE</x:v>
      </x:c>
      <x:c r="P377" s="31" t="str">
        <x:v>FT-F04</x:v>
      </x:c>
      <x:c r="Q377" s="49" t="n">
        <x:v>0.0008410080964971199</x:v>
      </x:c>
    </x:row>
    <x:row r="378" ht="20" customHeight="1">
      <x:c r="A378" s="40" t="str">
        <x:v>FT-Q-V01-070</x:v>
      </x:c>
      <x:c r="B378" s="19" t="str">
        <x:v>climate change</x:v>
      </x:c>
      <x:c r="C378" s="31" t="str">
        <x:v>climate</x:v>
      </x:c>
      <x:c r="D378" s="25" t="n">
        <x:v>1853</x:v>
      </x:c>
      <x:c r="E378" s="46" t="n">
        <x:v>2.753050953874236e-9</x:v>
      </x:c>
      <x:c r="F378" s="19" t="str">
        <x:v>eng</x:v>
      </x:c>
      <x:c r="G378" s="19" t="str">
        <x:v>current English corpus (July 2024 dataset; public shorthand eng; mutable current corpus)</x:v>
      </x:c>
      <x:c r="H378" s="19" t="str">
        <x:v>climate change (All)</x:v>
      </x:c>
      <x:c r="I378" s="19" t="str">
        <x:v>0</x:v>
      </x:c>
      <x:c r="J378" s="19" t="n">
        <x:v>46260.10760416667</x:v>
      </x:c>
      <x:c r="K378" s="31" t="str">
        <x:v>data/fear-temperature/ngram/raw/c0c3021f09dbdf3542c85e1a8bd4e013bd4d99d85af63bbd55f5e05a6a7ddd2b.json</x:v>
      </x:c>
      <x:c r="L378" s="19" t="str">
        <x:v>f147d9b61eec9310d5a36c21ef68d14904b4782ed7663bc02178e865991f6aa6</x:v>
      </x:c>
      <x:c r="M378" s="19" t="str">
        <x:v>03c6b3b7aec17c75d6066c3ad33475123246728a6d70514bc6c4b2fac975aa04</x:v>
      </x:c>
      <x:c r="N378" s="31" t="str">
        <x:v>FT-LF-CLIMATE_CHANGE</x:v>
      </x:c>
      <x:c r="O378" s="31" t="str">
        <x:v>FT-C-MODERN_CLIMATE_CHANGE</x:v>
      </x:c>
      <x:c r="P378" s="31" t="str">
        <x:v>FT-F04</x:v>
      </x:c>
      <x:c r="Q378" s="49" t="n">
        <x:v>0.002753050953874236</x:v>
      </x:c>
    </x:row>
    <x:row r="379" ht="20" customHeight="1">
      <x:c r="A379" s="40" t="str">
        <x:v>FT-Q-V01-070</x:v>
      </x:c>
      <x:c r="B379" s="19" t="str">
        <x:v>climate change</x:v>
      </x:c>
      <x:c r="C379" s="31" t="str">
        <x:v>climate</x:v>
      </x:c>
      <x:c r="D379" s="25" t="n">
        <x:v>1854</x:v>
      </x:c>
      <x:c r="E379" s="46" t="n">
        <x:v>3.562130812539976e-9</x:v>
      </x:c>
      <x:c r="F379" s="19" t="str">
        <x:v>eng</x:v>
      </x:c>
      <x:c r="G379" s="19" t="str">
        <x:v>current English corpus (July 2024 dataset; public shorthand eng; mutable current corpus)</x:v>
      </x:c>
      <x:c r="H379" s="19" t="str">
        <x:v>climate change (All)</x:v>
      </x:c>
      <x:c r="I379" s="19" t="str">
        <x:v>0</x:v>
      </x:c>
      <x:c r="J379" s="19" t="n">
        <x:v>46260.10760416667</x:v>
      </x:c>
      <x:c r="K379" s="31" t="str">
        <x:v>data/fear-temperature/ngram/raw/c0c3021f09dbdf3542c85e1a8bd4e013bd4d99d85af63bbd55f5e05a6a7ddd2b.json</x:v>
      </x:c>
      <x:c r="L379" s="19" t="str">
        <x:v>f147d9b61eec9310d5a36c21ef68d14904b4782ed7663bc02178e865991f6aa6</x:v>
      </x:c>
      <x:c r="M379" s="19" t="str">
        <x:v>03c6b3b7aec17c75d6066c3ad33475123246728a6d70514bc6c4b2fac975aa04</x:v>
      </x:c>
      <x:c r="N379" s="31" t="str">
        <x:v>FT-LF-CLIMATE_CHANGE</x:v>
      </x:c>
      <x:c r="O379" s="31" t="str">
        <x:v>FT-C-MODERN_CLIMATE_CHANGE</x:v>
      </x:c>
      <x:c r="P379" s="31" t="str">
        <x:v>FT-F04</x:v>
      </x:c>
      <x:c r="Q379" s="49" t="n">
        <x:v>0.003562130812539976</x:v>
      </x:c>
    </x:row>
    <x:row r="380" ht="20" customHeight="1">
      <x:c r="A380" s="40" t="str">
        <x:v>FT-Q-V01-070</x:v>
      </x:c>
      <x:c r="B380" s="19" t="str">
        <x:v>climate change</x:v>
      </x:c>
      <x:c r="C380" s="31" t="str">
        <x:v>climate</x:v>
      </x:c>
      <x:c r="D380" s="25" t="n">
        <x:v>1855</x:v>
      </x:c>
      <x:c r="E380" s="46" t="n">
        <x:v>0</x:v>
      </x:c>
      <x:c r="F380" s="19" t="str">
        <x:v>eng</x:v>
      </x:c>
      <x:c r="G380" s="19" t="str">
        <x:v>current English corpus (July 2024 dataset; public shorthand eng; mutable current corpus)</x:v>
      </x:c>
      <x:c r="H380" s="19" t="str">
        <x:v>climate change (All)</x:v>
      </x:c>
      <x:c r="I380" s="19" t="str">
        <x:v>0</x:v>
      </x:c>
      <x:c r="J380" s="19" t="n">
        <x:v>46260.10760416667</x:v>
      </x:c>
      <x:c r="K380" s="31" t="str">
        <x:v>data/fear-temperature/ngram/raw/c0c3021f09dbdf3542c85e1a8bd4e013bd4d99d85af63bbd55f5e05a6a7ddd2b.json</x:v>
      </x:c>
      <x:c r="L380" s="19" t="str">
        <x:v>f147d9b61eec9310d5a36c21ef68d14904b4782ed7663bc02178e865991f6aa6</x:v>
      </x:c>
      <x:c r="M380" s="19" t="str">
        <x:v>03c6b3b7aec17c75d6066c3ad33475123246728a6d70514bc6c4b2fac975aa04</x:v>
      </x:c>
      <x:c r="N380" s="31" t="str">
        <x:v>FT-LF-CLIMATE_CHANGE</x:v>
      </x:c>
      <x:c r="O380" s="31" t="str">
        <x:v>FT-C-MODERN_CLIMATE_CHANGE</x:v>
      </x:c>
      <x:c r="P380" s="31" t="str">
        <x:v>FT-F04</x:v>
      </x:c>
      <x:c r="Q380" s="49" t="n">
        <x:v>0</x:v>
      </x:c>
    </x:row>
    <x:row r="381" ht="20" customHeight="1">
      <x:c r="A381" s="40" t="str">
        <x:v>FT-Q-V01-070</x:v>
      </x:c>
      <x:c r="B381" s="19" t="str">
        <x:v>climate change</x:v>
      </x:c>
      <x:c r="C381" s="31" t="str">
        <x:v>climate</x:v>
      </x:c>
      <x:c r="D381" s="25" t="n">
        <x:v>1856</x:v>
      </x:c>
      <x:c r="E381" s="46" t="n">
        <x:v>4.100508821380799e-10</x:v>
      </x:c>
      <x:c r="F381" s="19" t="str">
        <x:v>eng</x:v>
      </x:c>
      <x:c r="G381" s="19" t="str">
        <x:v>current English corpus (July 2024 dataset; public shorthand eng; mutable current corpus)</x:v>
      </x:c>
      <x:c r="H381" s="19" t="str">
        <x:v>climate change (All)</x:v>
      </x:c>
      <x:c r="I381" s="19" t="str">
        <x:v>0</x:v>
      </x:c>
      <x:c r="J381" s="19" t="n">
        <x:v>46260.10760416667</x:v>
      </x:c>
      <x:c r="K381" s="31" t="str">
        <x:v>data/fear-temperature/ngram/raw/c0c3021f09dbdf3542c85e1a8bd4e013bd4d99d85af63bbd55f5e05a6a7ddd2b.json</x:v>
      </x:c>
      <x:c r="L381" s="19" t="str">
        <x:v>f147d9b61eec9310d5a36c21ef68d14904b4782ed7663bc02178e865991f6aa6</x:v>
      </x:c>
      <x:c r="M381" s="19" t="str">
        <x:v>03c6b3b7aec17c75d6066c3ad33475123246728a6d70514bc6c4b2fac975aa04</x:v>
      </x:c>
      <x:c r="N381" s="31" t="str">
        <x:v>FT-LF-CLIMATE_CHANGE</x:v>
      </x:c>
      <x:c r="O381" s="31" t="str">
        <x:v>FT-C-MODERN_CLIMATE_CHANGE</x:v>
      </x:c>
      <x:c r="P381" s="31" t="str">
        <x:v>FT-F04</x:v>
      </x:c>
      <x:c r="Q381" s="49" t="n">
        <x:v>0.0004100508821380799</x:v>
      </x:c>
    </x:row>
    <x:row r="382" ht="20" customHeight="1">
      <x:c r="A382" s="40" t="str">
        <x:v>FT-Q-V01-070</x:v>
      </x:c>
      <x:c r="B382" s="19" t="str">
        <x:v>climate change</x:v>
      </x:c>
      <x:c r="C382" s="31" t="str">
        <x:v>climate</x:v>
      </x:c>
      <x:c r="D382" s="25" t="n">
        <x:v>1857</x:v>
      </x:c>
      <x:c r="E382" s="46" t="n">
        <x:v>4.212402371361889e-10</x:v>
      </x:c>
      <x:c r="F382" s="19" t="str">
        <x:v>eng</x:v>
      </x:c>
      <x:c r="G382" s="19" t="str">
        <x:v>current English corpus (July 2024 dataset; public shorthand eng; mutable current corpus)</x:v>
      </x:c>
      <x:c r="H382" s="19" t="str">
        <x:v>climate change (All)</x:v>
      </x:c>
      <x:c r="I382" s="19" t="str">
        <x:v>0</x:v>
      </x:c>
      <x:c r="J382" s="19" t="n">
        <x:v>46260.10760416667</x:v>
      </x:c>
      <x:c r="K382" s="31" t="str">
        <x:v>data/fear-temperature/ngram/raw/c0c3021f09dbdf3542c85e1a8bd4e013bd4d99d85af63bbd55f5e05a6a7ddd2b.json</x:v>
      </x:c>
      <x:c r="L382" s="19" t="str">
        <x:v>f147d9b61eec9310d5a36c21ef68d14904b4782ed7663bc02178e865991f6aa6</x:v>
      </x:c>
      <x:c r="M382" s="19" t="str">
        <x:v>03c6b3b7aec17c75d6066c3ad33475123246728a6d70514bc6c4b2fac975aa04</x:v>
      </x:c>
      <x:c r="N382" s="31" t="str">
        <x:v>FT-LF-CLIMATE_CHANGE</x:v>
      </x:c>
      <x:c r="O382" s="31" t="str">
        <x:v>FT-C-MODERN_CLIMATE_CHANGE</x:v>
      </x:c>
      <x:c r="P382" s="31" t="str">
        <x:v>FT-F04</x:v>
      </x:c>
      <x:c r="Q382" s="49" t="n">
        <x:v>0.0004212402371361889</x:v>
      </x:c>
    </x:row>
    <x:row r="383" ht="20" customHeight="1">
      <x:c r="A383" s="40" t="str">
        <x:v>FT-Q-V01-070</x:v>
      </x:c>
      <x:c r="B383" s="19" t="str">
        <x:v>climate change</x:v>
      </x:c>
      <x:c r="C383" s="31" t="str">
        <x:v>climate</x:v>
      </x:c>
      <x:c r="D383" s="25" t="n">
        <x:v>1858</x:v>
      </x:c>
      <x:c r="E383" s="46" t="n">
        <x:v>1.2623614376039427e-9</x:v>
      </x:c>
      <x:c r="F383" s="19" t="str">
        <x:v>eng</x:v>
      </x:c>
      <x:c r="G383" s="19" t="str">
        <x:v>current English corpus (July 2024 dataset; public shorthand eng; mutable current corpus)</x:v>
      </x:c>
      <x:c r="H383" s="19" t="str">
        <x:v>climate change (All)</x:v>
      </x:c>
      <x:c r="I383" s="19" t="str">
        <x:v>0</x:v>
      </x:c>
      <x:c r="J383" s="19" t="n">
        <x:v>46260.10760416667</x:v>
      </x:c>
      <x:c r="K383" s="31" t="str">
        <x:v>data/fear-temperature/ngram/raw/c0c3021f09dbdf3542c85e1a8bd4e013bd4d99d85af63bbd55f5e05a6a7ddd2b.json</x:v>
      </x:c>
      <x:c r="L383" s="19" t="str">
        <x:v>f147d9b61eec9310d5a36c21ef68d14904b4782ed7663bc02178e865991f6aa6</x:v>
      </x:c>
      <x:c r="M383" s="19" t="str">
        <x:v>03c6b3b7aec17c75d6066c3ad33475123246728a6d70514bc6c4b2fac975aa04</x:v>
      </x:c>
      <x:c r="N383" s="31" t="str">
        <x:v>FT-LF-CLIMATE_CHANGE</x:v>
      </x:c>
      <x:c r="O383" s="31" t="str">
        <x:v>FT-C-MODERN_CLIMATE_CHANGE</x:v>
      </x:c>
      <x:c r="P383" s="31" t="str">
        <x:v>FT-F04</x:v>
      </x:c>
      <x:c r="Q383" s="49" t="n">
        <x:v>0.0012623614376039427</x:v>
      </x:c>
    </x:row>
    <x:row r="384" ht="20" customHeight="1">
      <x:c r="A384" s="40" t="str">
        <x:v>FT-Q-V01-070</x:v>
      </x:c>
      <x:c r="B384" s="19" t="str">
        <x:v>climate change</x:v>
      </x:c>
      <x:c r="C384" s="31" t="str">
        <x:v>climate</x:v>
      </x:c>
      <x:c r="D384" s="25" t="n">
        <x:v>1859</x:v>
      </x:c>
      <x:c r="E384" s="46" t="n">
        <x:v>4.011119436597709e-9</x:v>
      </x:c>
      <x:c r="F384" s="19" t="str">
        <x:v>eng</x:v>
      </x:c>
      <x:c r="G384" s="19" t="str">
        <x:v>current English corpus (July 2024 dataset; public shorthand eng; mutable current corpus)</x:v>
      </x:c>
      <x:c r="H384" s="19" t="str">
        <x:v>climate change (All)</x:v>
      </x:c>
      <x:c r="I384" s="19" t="str">
        <x:v>0</x:v>
      </x:c>
      <x:c r="J384" s="19" t="n">
        <x:v>46260.10760416667</x:v>
      </x:c>
      <x:c r="K384" s="31" t="str">
        <x:v>data/fear-temperature/ngram/raw/c0c3021f09dbdf3542c85e1a8bd4e013bd4d99d85af63bbd55f5e05a6a7ddd2b.json</x:v>
      </x:c>
      <x:c r="L384" s="19" t="str">
        <x:v>f147d9b61eec9310d5a36c21ef68d14904b4782ed7663bc02178e865991f6aa6</x:v>
      </x:c>
      <x:c r="M384" s="19" t="str">
        <x:v>03c6b3b7aec17c75d6066c3ad33475123246728a6d70514bc6c4b2fac975aa04</x:v>
      </x:c>
      <x:c r="N384" s="31" t="str">
        <x:v>FT-LF-CLIMATE_CHANGE</x:v>
      </x:c>
      <x:c r="O384" s="31" t="str">
        <x:v>FT-C-MODERN_CLIMATE_CHANGE</x:v>
      </x:c>
      <x:c r="P384" s="31" t="str">
        <x:v>FT-F04</x:v>
      </x:c>
      <x:c r="Q384" s="49" t="n">
        <x:v>0.004011119436597709</x:v>
      </x:c>
    </x:row>
    <x:row r="385" ht="20" customHeight="1">
      <x:c r="A385" s="40" t="str">
        <x:v>FT-Q-V01-070</x:v>
      </x:c>
      <x:c r="B385" s="19" t="str">
        <x:v>climate change</x:v>
      </x:c>
      <x:c r="C385" s="31" t="str">
        <x:v>climate</x:v>
      </x:c>
      <x:c r="D385" s="25" t="n">
        <x:v>1860</x:v>
      </x:c>
      <x:c r="E385" s="46" t="n">
        <x:v>2.286695721664955e-9</x:v>
      </x:c>
      <x:c r="F385" s="19" t="str">
        <x:v>eng</x:v>
      </x:c>
      <x:c r="G385" s="19" t="str">
        <x:v>current English corpus (July 2024 dataset; public shorthand eng; mutable current corpus)</x:v>
      </x:c>
      <x:c r="H385" s="19" t="str">
        <x:v>climate change (All)</x:v>
      </x:c>
      <x:c r="I385" s="19" t="str">
        <x:v>0</x:v>
      </x:c>
      <x:c r="J385" s="19" t="n">
        <x:v>46260.10760416667</x:v>
      </x:c>
      <x:c r="K385" s="31" t="str">
        <x:v>data/fear-temperature/ngram/raw/c0c3021f09dbdf3542c85e1a8bd4e013bd4d99d85af63bbd55f5e05a6a7ddd2b.json</x:v>
      </x:c>
      <x:c r="L385" s="19" t="str">
        <x:v>f147d9b61eec9310d5a36c21ef68d14904b4782ed7663bc02178e865991f6aa6</x:v>
      </x:c>
      <x:c r="M385" s="19" t="str">
        <x:v>03c6b3b7aec17c75d6066c3ad33475123246728a6d70514bc6c4b2fac975aa04</x:v>
      </x:c>
      <x:c r="N385" s="31" t="str">
        <x:v>FT-LF-CLIMATE_CHANGE</x:v>
      </x:c>
      <x:c r="O385" s="31" t="str">
        <x:v>FT-C-MODERN_CLIMATE_CHANGE</x:v>
      </x:c>
      <x:c r="P385" s="31" t="str">
        <x:v>FT-F04</x:v>
      </x:c>
      <x:c r="Q385" s="49" t="n">
        <x:v>0.002286695721664955</x:v>
      </x:c>
    </x:row>
    <x:row r="386" ht="20" customHeight="1">
      <x:c r="A386" s="40" t="str">
        <x:v>FT-Q-V01-070</x:v>
      </x:c>
      <x:c r="B386" s="19" t="str">
        <x:v>climate change</x:v>
      </x:c>
      <x:c r="C386" s="31" t="str">
        <x:v>climate</x:v>
      </x:c>
      <x:c r="D386" s="25" t="n">
        <x:v>1861</x:v>
      </x:c>
      <x:c r="E386" s="46" t="n">
        <x:v>4.4444223301631775e-10</x:v>
      </x:c>
      <x:c r="F386" s="19" t="str">
        <x:v>eng</x:v>
      </x:c>
      <x:c r="G386" s="19" t="str">
        <x:v>current English corpus (July 2024 dataset; public shorthand eng; mutable current corpus)</x:v>
      </x:c>
      <x:c r="H386" s="19" t="str">
        <x:v>climate change (All)</x:v>
      </x:c>
      <x:c r="I386" s="19" t="str">
        <x:v>0</x:v>
      </x:c>
      <x:c r="J386" s="19" t="n">
        <x:v>46260.10760416667</x:v>
      </x:c>
      <x:c r="K386" s="31" t="str">
        <x:v>data/fear-temperature/ngram/raw/c0c3021f09dbdf3542c85e1a8bd4e013bd4d99d85af63bbd55f5e05a6a7ddd2b.json</x:v>
      </x:c>
      <x:c r="L386" s="19" t="str">
        <x:v>f147d9b61eec9310d5a36c21ef68d14904b4782ed7663bc02178e865991f6aa6</x:v>
      </x:c>
      <x:c r="M386" s="19" t="str">
        <x:v>03c6b3b7aec17c75d6066c3ad33475123246728a6d70514bc6c4b2fac975aa04</x:v>
      </x:c>
      <x:c r="N386" s="31" t="str">
        <x:v>FT-LF-CLIMATE_CHANGE</x:v>
      </x:c>
      <x:c r="O386" s="31" t="str">
        <x:v>FT-C-MODERN_CLIMATE_CHANGE</x:v>
      </x:c>
      <x:c r="P386" s="31" t="str">
        <x:v>FT-F04</x:v>
      </x:c>
      <x:c r="Q386" s="49" t="n">
        <x:v>0.00044444223301631775</x:v>
      </x:c>
    </x:row>
    <x:row r="387" ht="20" customHeight="1">
      <x:c r="A387" s="40" t="str">
        <x:v>FT-Q-V01-070</x:v>
      </x:c>
      <x:c r="B387" s="19" t="str">
        <x:v>climate change</x:v>
      </x:c>
      <x:c r="C387" s="31" t="str">
        <x:v>climate</x:v>
      </x:c>
      <x:c r="D387" s="25" t="n">
        <x:v>1862</x:v>
      </x:c>
      <x:c r="E387" s="46" t="n">
        <x:v>1.0467839428596193e-8</x:v>
      </x:c>
      <x:c r="F387" s="19" t="str">
        <x:v>eng</x:v>
      </x:c>
      <x:c r="G387" s="19" t="str">
        <x:v>current English corpus (July 2024 dataset; public shorthand eng; mutable current corpus)</x:v>
      </x:c>
      <x:c r="H387" s="19" t="str">
        <x:v>climate change (All)</x:v>
      </x:c>
      <x:c r="I387" s="19" t="str">
        <x:v>0</x:v>
      </x:c>
      <x:c r="J387" s="19" t="n">
        <x:v>46260.10760416667</x:v>
      </x:c>
      <x:c r="K387" s="31" t="str">
        <x:v>data/fear-temperature/ngram/raw/c0c3021f09dbdf3542c85e1a8bd4e013bd4d99d85af63bbd55f5e05a6a7ddd2b.json</x:v>
      </x:c>
      <x:c r="L387" s="19" t="str">
        <x:v>f147d9b61eec9310d5a36c21ef68d14904b4782ed7663bc02178e865991f6aa6</x:v>
      </x:c>
      <x:c r="M387" s="19" t="str">
        <x:v>03c6b3b7aec17c75d6066c3ad33475123246728a6d70514bc6c4b2fac975aa04</x:v>
      </x:c>
      <x:c r="N387" s="31" t="str">
        <x:v>FT-LF-CLIMATE_CHANGE</x:v>
      </x:c>
      <x:c r="O387" s="31" t="str">
        <x:v>FT-C-MODERN_CLIMATE_CHANGE</x:v>
      </x:c>
      <x:c r="P387" s="31" t="str">
        <x:v>FT-F04</x:v>
      </x:c>
      <x:c r="Q387" s="49" t="n">
        <x:v>0.010467839428596193</x:v>
      </x:c>
    </x:row>
    <x:row r="388" ht="20" customHeight="1">
      <x:c r="A388" s="40" t="str">
        <x:v>FT-Q-V01-070</x:v>
      </x:c>
      <x:c r="B388" s="19" t="str">
        <x:v>climate change</x:v>
      </x:c>
      <x:c r="C388" s="31" t="str">
        <x:v>climate</x:v>
      </x:c>
      <x:c r="D388" s="25" t="n">
        <x:v>1863</x:v>
      </x:c>
      <x:c r="E388" s="46" t="n">
        <x:v>4.678030740556949e-10</x:v>
      </x:c>
      <x:c r="F388" s="19" t="str">
        <x:v>eng</x:v>
      </x:c>
      <x:c r="G388" s="19" t="str">
        <x:v>current English corpus (July 2024 dataset; public shorthand eng; mutable current corpus)</x:v>
      </x:c>
      <x:c r="H388" s="19" t="str">
        <x:v>climate change (All)</x:v>
      </x:c>
      <x:c r="I388" s="19" t="str">
        <x:v>0</x:v>
      </x:c>
      <x:c r="J388" s="19" t="n">
        <x:v>46260.10760416667</x:v>
      </x:c>
      <x:c r="K388" s="31" t="str">
        <x:v>data/fear-temperature/ngram/raw/c0c3021f09dbdf3542c85e1a8bd4e013bd4d99d85af63bbd55f5e05a6a7ddd2b.json</x:v>
      </x:c>
      <x:c r="L388" s="19" t="str">
        <x:v>f147d9b61eec9310d5a36c21ef68d14904b4782ed7663bc02178e865991f6aa6</x:v>
      </x:c>
      <x:c r="M388" s="19" t="str">
        <x:v>03c6b3b7aec17c75d6066c3ad33475123246728a6d70514bc6c4b2fac975aa04</x:v>
      </x:c>
      <x:c r="N388" s="31" t="str">
        <x:v>FT-LF-CLIMATE_CHANGE</x:v>
      </x:c>
      <x:c r="O388" s="31" t="str">
        <x:v>FT-C-MODERN_CLIMATE_CHANGE</x:v>
      </x:c>
      <x:c r="P388" s="31" t="str">
        <x:v>FT-F04</x:v>
      </x:c>
      <x:c r="Q388" s="49" t="n">
        <x:v>0.0004678030740556949</x:v>
      </x:c>
    </x:row>
    <x:row r="389" ht="20" customHeight="1">
      <x:c r="A389" s="40" t="str">
        <x:v>FT-Q-V01-070</x:v>
      </x:c>
      <x:c r="B389" s="19" t="str">
        <x:v>climate change</x:v>
      </x:c>
      <x:c r="C389" s="31" t="str">
        <x:v>climate</x:v>
      </x:c>
      <x:c r="D389" s="25" t="n">
        <x:v>1864</x:v>
      </x:c>
      <x:c r="E389" s="46" t="n">
        <x:v>2.9329092487984094e-9</x:v>
      </x:c>
      <x:c r="F389" s="19" t="str">
        <x:v>eng</x:v>
      </x:c>
      <x:c r="G389" s="19" t="str">
        <x:v>current English corpus (July 2024 dataset; public shorthand eng; mutable current corpus)</x:v>
      </x:c>
      <x:c r="H389" s="19" t="str">
        <x:v>climate change (All)</x:v>
      </x:c>
      <x:c r="I389" s="19" t="str">
        <x:v>0</x:v>
      </x:c>
      <x:c r="J389" s="19" t="n">
        <x:v>46260.10760416667</x:v>
      </x:c>
      <x:c r="K389" s="31" t="str">
        <x:v>data/fear-temperature/ngram/raw/c0c3021f09dbdf3542c85e1a8bd4e013bd4d99d85af63bbd55f5e05a6a7ddd2b.json</x:v>
      </x:c>
      <x:c r="L389" s="19" t="str">
        <x:v>f147d9b61eec9310d5a36c21ef68d14904b4782ed7663bc02178e865991f6aa6</x:v>
      </x:c>
      <x:c r="M389" s="19" t="str">
        <x:v>03c6b3b7aec17c75d6066c3ad33475123246728a6d70514bc6c4b2fac975aa04</x:v>
      </x:c>
      <x:c r="N389" s="31" t="str">
        <x:v>FT-LF-CLIMATE_CHANGE</x:v>
      </x:c>
      <x:c r="O389" s="31" t="str">
        <x:v>FT-C-MODERN_CLIMATE_CHANGE</x:v>
      </x:c>
      <x:c r="P389" s="31" t="str">
        <x:v>FT-F04</x:v>
      </x:c>
      <x:c r="Q389" s="49" t="n">
        <x:v>0.0029329092487984094</x:v>
      </x:c>
    </x:row>
    <x:row r="390" ht="20" customHeight="1">
      <x:c r="A390" s="40" t="str">
        <x:v>FT-Q-V01-070</x:v>
      </x:c>
      <x:c r="B390" s="19" t="str">
        <x:v>climate change</x:v>
      </x:c>
      <x:c r="C390" s="31" t="str">
        <x:v>climate</x:v>
      </x:c>
      <x:c r="D390" s="25" t="n">
        <x:v>1865</x:v>
      </x:c>
      <x:c r="E390" s="46" t="n">
        <x:v>6.775827898763963e-9</x:v>
      </x:c>
      <x:c r="F390" s="19" t="str">
        <x:v>eng</x:v>
      </x:c>
      <x:c r="G390" s="19" t="str">
        <x:v>current English corpus (July 2024 dataset; public shorthand eng; mutable current corpus)</x:v>
      </x:c>
      <x:c r="H390" s="19" t="str">
        <x:v>climate change (All)</x:v>
      </x:c>
      <x:c r="I390" s="19" t="str">
        <x:v>0</x:v>
      </x:c>
      <x:c r="J390" s="19" t="n">
        <x:v>46260.10760416667</x:v>
      </x:c>
      <x:c r="K390" s="31" t="str">
        <x:v>data/fear-temperature/ngram/raw/c0c3021f09dbdf3542c85e1a8bd4e013bd4d99d85af63bbd55f5e05a6a7ddd2b.json</x:v>
      </x:c>
      <x:c r="L390" s="19" t="str">
        <x:v>f147d9b61eec9310d5a36c21ef68d14904b4782ed7663bc02178e865991f6aa6</x:v>
      </x:c>
      <x:c r="M390" s="19" t="str">
        <x:v>03c6b3b7aec17c75d6066c3ad33475123246728a6d70514bc6c4b2fac975aa04</x:v>
      </x:c>
      <x:c r="N390" s="31" t="str">
        <x:v>FT-LF-CLIMATE_CHANGE</x:v>
      </x:c>
      <x:c r="O390" s="31" t="str">
        <x:v>FT-C-MODERN_CLIMATE_CHANGE</x:v>
      </x:c>
      <x:c r="P390" s="31" t="str">
        <x:v>FT-F04</x:v>
      </x:c>
      <x:c r="Q390" s="49" t="n">
        <x:v>0.006775827898763963</x:v>
      </x:c>
    </x:row>
    <x:row r="391" ht="20" customHeight="1">
      <x:c r="A391" s="40" t="str">
        <x:v>FT-Q-V01-070</x:v>
      </x:c>
      <x:c r="B391" s="19" t="str">
        <x:v>climate change</x:v>
      </x:c>
      <x:c r="C391" s="31" t="str">
        <x:v>climate</x:v>
      </x:c>
      <x:c r="D391" s="25" t="n">
        <x:v>1866</x:v>
      </x:c>
      <x:c r="E391" s="46" t="n">
        <x:v>1.4935358505496763e-9</x:v>
      </x:c>
      <x:c r="F391" s="19" t="str">
        <x:v>eng</x:v>
      </x:c>
      <x:c r="G391" s="19" t="str">
        <x:v>current English corpus (July 2024 dataset; public shorthand eng; mutable current corpus)</x:v>
      </x:c>
      <x:c r="H391" s="19" t="str">
        <x:v>climate change (All)</x:v>
      </x:c>
      <x:c r="I391" s="19" t="str">
        <x:v>0</x:v>
      </x:c>
      <x:c r="J391" s="19" t="n">
        <x:v>46260.10760416667</x:v>
      </x:c>
      <x:c r="K391" s="31" t="str">
        <x:v>data/fear-temperature/ngram/raw/c0c3021f09dbdf3542c85e1a8bd4e013bd4d99d85af63bbd55f5e05a6a7ddd2b.json</x:v>
      </x:c>
      <x:c r="L391" s="19" t="str">
        <x:v>f147d9b61eec9310d5a36c21ef68d14904b4782ed7663bc02178e865991f6aa6</x:v>
      </x:c>
      <x:c r="M391" s="19" t="str">
        <x:v>03c6b3b7aec17c75d6066c3ad33475123246728a6d70514bc6c4b2fac975aa04</x:v>
      </x:c>
      <x:c r="N391" s="31" t="str">
        <x:v>FT-LF-CLIMATE_CHANGE</x:v>
      </x:c>
      <x:c r="O391" s="31" t="str">
        <x:v>FT-C-MODERN_CLIMATE_CHANGE</x:v>
      </x:c>
      <x:c r="P391" s="31" t="str">
        <x:v>FT-F04</x:v>
      </x:c>
      <x:c r="Q391" s="49" t="n">
        <x:v>0.0014935358505496763</x:v>
      </x:c>
    </x:row>
    <x:row r="392" ht="20" customHeight="1">
      <x:c r="A392" s="40" t="str">
        <x:v>FT-Q-V01-070</x:v>
      </x:c>
      <x:c r="B392" s="19" t="str">
        <x:v>climate change</x:v>
      </x:c>
      <x:c r="C392" s="31" t="str">
        <x:v>climate</x:v>
      </x:c>
      <x:c r="D392" s="25" t="n">
        <x:v>1867</x:v>
      </x:c>
      <x:c r="E392" s="46" t="n">
        <x:v>2.495427919857462e-9</x:v>
      </x:c>
      <x:c r="F392" s="19" t="str">
        <x:v>eng</x:v>
      </x:c>
      <x:c r="G392" s="19" t="str">
        <x:v>current English corpus (July 2024 dataset; public shorthand eng; mutable current corpus)</x:v>
      </x:c>
      <x:c r="H392" s="19" t="str">
        <x:v>climate change (All)</x:v>
      </x:c>
      <x:c r="I392" s="19" t="str">
        <x:v>0</x:v>
      </x:c>
      <x:c r="J392" s="19" t="n">
        <x:v>46260.10760416667</x:v>
      </x:c>
      <x:c r="K392" s="31" t="str">
        <x:v>data/fear-temperature/ngram/raw/c0c3021f09dbdf3542c85e1a8bd4e013bd4d99d85af63bbd55f5e05a6a7ddd2b.json</x:v>
      </x:c>
      <x:c r="L392" s="19" t="str">
        <x:v>f147d9b61eec9310d5a36c21ef68d14904b4782ed7663bc02178e865991f6aa6</x:v>
      </x:c>
      <x:c r="M392" s="19" t="str">
        <x:v>03c6b3b7aec17c75d6066c3ad33475123246728a6d70514bc6c4b2fac975aa04</x:v>
      </x:c>
      <x:c r="N392" s="31" t="str">
        <x:v>FT-LF-CLIMATE_CHANGE</x:v>
      </x:c>
      <x:c r="O392" s="31" t="str">
        <x:v>FT-C-MODERN_CLIMATE_CHANGE</x:v>
      </x:c>
      <x:c r="P392" s="31" t="str">
        <x:v>FT-F04</x:v>
      </x:c>
      <x:c r="Q392" s="49" t="n">
        <x:v>0.002495427919857462</x:v>
      </x:c>
    </x:row>
    <x:row r="393" ht="20" customHeight="1">
      <x:c r="A393" s="40" t="str">
        <x:v>FT-Q-V01-070</x:v>
      </x:c>
      <x:c r="B393" s="19" t="str">
        <x:v>climate change</x:v>
      </x:c>
      <x:c r="C393" s="31" t="str">
        <x:v>climate</x:v>
      </x:c>
      <x:c r="D393" s="25" t="n">
        <x:v>1868</x:v>
      </x:c>
      <x:c r="E393" s="46" t="n">
        <x:v>1.5783691020843092e-9</x:v>
      </x:c>
      <x:c r="F393" s="19" t="str">
        <x:v>eng</x:v>
      </x:c>
      <x:c r="G393" s="19" t="str">
        <x:v>current English corpus (July 2024 dataset; public shorthand eng; mutable current corpus)</x:v>
      </x:c>
      <x:c r="H393" s="19" t="str">
        <x:v>climate change (All)</x:v>
      </x:c>
      <x:c r="I393" s="19" t="str">
        <x:v>0</x:v>
      </x:c>
      <x:c r="J393" s="19" t="n">
        <x:v>46260.10760416667</x:v>
      </x:c>
      <x:c r="K393" s="31" t="str">
        <x:v>data/fear-temperature/ngram/raw/c0c3021f09dbdf3542c85e1a8bd4e013bd4d99d85af63bbd55f5e05a6a7ddd2b.json</x:v>
      </x:c>
      <x:c r="L393" s="19" t="str">
        <x:v>f147d9b61eec9310d5a36c21ef68d14904b4782ed7663bc02178e865991f6aa6</x:v>
      </x:c>
      <x:c r="M393" s="19" t="str">
        <x:v>03c6b3b7aec17c75d6066c3ad33475123246728a6d70514bc6c4b2fac975aa04</x:v>
      </x:c>
      <x:c r="N393" s="31" t="str">
        <x:v>FT-LF-CLIMATE_CHANGE</x:v>
      </x:c>
      <x:c r="O393" s="31" t="str">
        <x:v>FT-C-MODERN_CLIMATE_CHANGE</x:v>
      </x:c>
      <x:c r="P393" s="31" t="str">
        <x:v>FT-F04</x:v>
      </x:c>
      <x:c r="Q393" s="49" t="n">
        <x:v>0.0015783691020843091</x:v>
      </x:c>
    </x:row>
    <x:row r="394" ht="20" customHeight="1">
      <x:c r="A394" s="40" t="str">
        <x:v>FT-Q-V01-070</x:v>
      </x:c>
      <x:c r="B394" s="19" t="str">
        <x:v>climate change</x:v>
      </x:c>
      <x:c r="C394" s="31" t="str">
        <x:v>climate</x:v>
      </x:c>
      <x:c r="D394" s="25" t="n">
        <x:v>1869</x:v>
      </x:c>
      <x:c r="E394" s="46" t="n">
        <x:v>8.093757664084933e-8</x:v>
      </x:c>
      <x:c r="F394" s="19" t="str">
        <x:v>eng</x:v>
      </x:c>
      <x:c r="G394" s="19" t="str">
        <x:v>current English corpus (July 2024 dataset; public shorthand eng; mutable current corpus)</x:v>
      </x:c>
      <x:c r="H394" s="19" t="str">
        <x:v>climate change (All)</x:v>
      </x:c>
      <x:c r="I394" s="19" t="str">
        <x:v>0</x:v>
      </x:c>
      <x:c r="J394" s="19" t="n">
        <x:v>46260.10760416667</x:v>
      </x:c>
      <x:c r="K394" s="31" t="str">
        <x:v>data/fear-temperature/ngram/raw/c0c3021f09dbdf3542c85e1a8bd4e013bd4d99d85af63bbd55f5e05a6a7ddd2b.json</x:v>
      </x:c>
      <x:c r="L394" s="19" t="str">
        <x:v>f147d9b61eec9310d5a36c21ef68d14904b4782ed7663bc02178e865991f6aa6</x:v>
      </x:c>
      <x:c r="M394" s="19" t="str">
        <x:v>03c6b3b7aec17c75d6066c3ad33475123246728a6d70514bc6c4b2fac975aa04</x:v>
      </x:c>
      <x:c r="N394" s="31" t="str">
        <x:v>FT-LF-CLIMATE_CHANGE</x:v>
      </x:c>
      <x:c r="O394" s="31" t="str">
        <x:v>FT-C-MODERN_CLIMATE_CHANGE</x:v>
      </x:c>
      <x:c r="P394" s="31" t="str">
        <x:v>FT-F04</x:v>
      </x:c>
      <x:c r="Q394" s="49" t="n">
        <x:v>0.08093757664084933</x:v>
      </x:c>
    </x:row>
    <x:row r="395" ht="20" customHeight="1">
      <x:c r="A395" s="40" t="str">
        <x:v>FT-Q-V01-070</x:v>
      </x:c>
      <x:c r="B395" s="19" t="str">
        <x:v>climate change</x:v>
      </x:c>
      <x:c r="C395" s="31" t="str">
        <x:v>climate</x:v>
      </x:c>
      <x:c r="D395" s="25" t="n">
        <x:v>1870</x:v>
      </x:c>
      <x:c r="E395" s="46" t="n">
        <x:v>6.088051729413734e-10</x:v>
      </x:c>
      <x:c r="F395" s="19" t="str">
        <x:v>eng</x:v>
      </x:c>
      <x:c r="G395" s="19" t="str">
        <x:v>current English corpus (July 2024 dataset; public shorthand eng; mutable current corpus)</x:v>
      </x:c>
      <x:c r="H395" s="19" t="str">
        <x:v>climate change (All)</x:v>
      </x:c>
      <x:c r="I395" s="19" t="str">
        <x:v>0</x:v>
      </x:c>
      <x:c r="J395" s="19" t="n">
        <x:v>46260.10760416667</x:v>
      </x:c>
      <x:c r="K395" s="31" t="str">
        <x:v>data/fear-temperature/ngram/raw/c0c3021f09dbdf3542c85e1a8bd4e013bd4d99d85af63bbd55f5e05a6a7ddd2b.json</x:v>
      </x:c>
      <x:c r="L395" s="19" t="str">
        <x:v>f147d9b61eec9310d5a36c21ef68d14904b4782ed7663bc02178e865991f6aa6</x:v>
      </x:c>
      <x:c r="M395" s="19" t="str">
        <x:v>03c6b3b7aec17c75d6066c3ad33475123246728a6d70514bc6c4b2fac975aa04</x:v>
      </x:c>
      <x:c r="N395" s="31" t="str">
        <x:v>FT-LF-CLIMATE_CHANGE</x:v>
      </x:c>
      <x:c r="O395" s="31" t="str">
        <x:v>FT-C-MODERN_CLIMATE_CHANGE</x:v>
      </x:c>
      <x:c r="P395" s="31" t="str">
        <x:v>FT-F04</x:v>
      </x:c>
      <x:c r="Q395" s="49" t="n">
        <x:v>0.0006088051729413734</x:v>
      </x:c>
    </x:row>
    <x:row r="396" ht="20" customHeight="1">
      <x:c r="A396" s="40" t="str">
        <x:v>FT-Q-V01-070</x:v>
      </x:c>
      <x:c r="B396" s="19" t="str">
        <x:v>climate change</x:v>
      </x:c>
      <x:c r="C396" s="31" t="str">
        <x:v>climate</x:v>
      </x:c>
      <x:c r="D396" s="25" t="n">
        <x:v>1871</x:v>
      </x:c>
      <x:c r="E396" s="46" t="n">
        <x:v>1.7271151175890507e-9</x:v>
      </x:c>
      <x:c r="F396" s="19" t="str">
        <x:v>eng</x:v>
      </x:c>
      <x:c r="G396" s="19" t="str">
        <x:v>current English corpus (July 2024 dataset; public shorthand eng; mutable current corpus)</x:v>
      </x:c>
      <x:c r="H396" s="19" t="str">
        <x:v>climate change (All)</x:v>
      </x:c>
      <x:c r="I396" s="19" t="str">
        <x:v>0</x:v>
      </x:c>
      <x:c r="J396" s="19" t="n">
        <x:v>46260.10760416667</x:v>
      </x:c>
      <x:c r="K396" s="31" t="str">
        <x:v>data/fear-temperature/ngram/raw/c0c3021f09dbdf3542c85e1a8bd4e013bd4d99d85af63bbd55f5e05a6a7ddd2b.json</x:v>
      </x:c>
      <x:c r="L396" s="19" t="str">
        <x:v>f147d9b61eec9310d5a36c21ef68d14904b4782ed7663bc02178e865991f6aa6</x:v>
      </x:c>
      <x:c r="M396" s="19" t="str">
        <x:v>03c6b3b7aec17c75d6066c3ad33475123246728a6d70514bc6c4b2fac975aa04</x:v>
      </x:c>
      <x:c r="N396" s="31" t="str">
        <x:v>FT-LF-CLIMATE_CHANGE</x:v>
      </x:c>
      <x:c r="O396" s="31" t="str">
        <x:v>FT-C-MODERN_CLIMATE_CHANGE</x:v>
      </x:c>
      <x:c r="P396" s="31" t="str">
        <x:v>FT-F04</x:v>
      </x:c>
      <x:c r="Q396" s="49" t="n">
        <x:v>0.0017271151175890507</x:v>
      </x:c>
    </x:row>
    <x:row r="397" ht="20" customHeight="1">
      <x:c r="A397" s="40" t="str">
        <x:v>FT-Q-V01-070</x:v>
      </x:c>
      <x:c r="B397" s="19" t="str">
        <x:v>climate change</x:v>
      </x:c>
      <x:c r="C397" s="31" t="str">
        <x:v>climate</x:v>
      </x:c>
      <x:c r="D397" s="25" t="n">
        <x:v>1872</x:v>
      </x:c>
      <x:c r="E397" s="46" t="n">
        <x:v>9.410056067693515e-10</x:v>
      </x:c>
      <x:c r="F397" s="19" t="str">
        <x:v>eng</x:v>
      </x:c>
      <x:c r="G397" s="19" t="str">
        <x:v>current English corpus (July 2024 dataset; public shorthand eng; mutable current corpus)</x:v>
      </x:c>
      <x:c r="H397" s="19" t="str">
        <x:v>climate change (All)</x:v>
      </x:c>
      <x:c r="I397" s="19" t="str">
        <x:v>0</x:v>
      </x:c>
      <x:c r="J397" s="19" t="n">
        <x:v>46260.10760416667</x:v>
      </x:c>
      <x:c r="K397" s="31" t="str">
        <x:v>data/fear-temperature/ngram/raw/c0c3021f09dbdf3542c85e1a8bd4e013bd4d99d85af63bbd55f5e05a6a7ddd2b.json</x:v>
      </x:c>
      <x:c r="L397" s="19" t="str">
        <x:v>f147d9b61eec9310d5a36c21ef68d14904b4782ed7663bc02178e865991f6aa6</x:v>
      </x:c>
      <x:c r="M397" s="19" t="str">
        <x:v>03c6b3b7aec17c75d6066c3ad33475123246728a6d70514bc6c4b2fac975aa04</x:v>
      </x:c>
      <x:c r="N397" s="31" t="str">
        <x:v>FT-LF-CLIMATE_CHANGE</x:v>
      </x:c>
      <x:c r="O397" s="31" t="str">
        <x:v>FT-C-MODERN_CLIMATE_CHANGE</x:v>
      </x:c>
      <x:c r="P397" s="31" t="str">
        <x:v>FT-F04</x:v>
      </x:c>
      <x:c r="Q397" s="49" t="n">
        <x:v>0.0009410056067693515</x:v>
      </x:c>
    </x:row>
    <x:row r="398" ht="20" customHeight="1">
      <x:c r="A398" s="40" t="str">
        <x:v>FT-Q-V01-070</x:v>
      </x:c>
      <x:c r="B398" s="19" t="str">
        <x:v>climate change</x:v>
      </x:c>
      <x:c r="C398" s="31" t="str">
        <x:v>climate</x:v>
      </x:c>
      <x:c r="D398" s="25" t="n">
        <x:v>1873</x:v>
      </x:c>
      <x:c r="E398" s="46" t="n">
        <x:v>3.1819968882018657e-10</x:v>
      </x:c>
      <x:c r="F398" s="19" t="str">
        <x:v>eng</x:v>
      </x:c>
      <x:c r="G398" s="19" t="str">
        <x:v>current English corpus (July 2024 dataset; public shorthand eng; mutable current corpus)</x:v>
      </x:c>
      <x:c r="H398" s="19" t="str">
        <x:v>climate change (All)</x:v>
      </x:c>
      <x:c r="I398" s="19" t="str">
        <x:v>0</x:v>
      </x:c>
      <x:c r="J398" s="19" t="n">
        <x:v>46260.10760416667</x:v>
      </x:c>
      <x:c r="K398" s="31" t="str">
        <x:v>data/fear-temperature/ngram/raw/c0c3021f09dbdf3542c85e1a8bd4e013bd4d99d85af63bbd55f5e05a6a7ddd2b.json</x:v>
      </x:c>
      <x:c r="L398" s="19" t="str">
        <x:v>f147d9b61eec9310d5a36c21ef68d14904b4782ed7663bc02178e865991f6aa6</x:v>
      </x:c>
      <x:c r="M398" s="19" t="str">
        <x:v>03c6b3b7aec17c75d6066c3ad33475123246728a6d70514bc6c4b2fac975aa04</x:v>
      </x:c>
      <x:c r="N398" s="31" t="str">
        <x:v>FT-LF-CLIMATE_CHANGE</x:v>
      </x:c>
      <x:c r="O398" s="31" t="str">
        <x:v>FT-C-MODERN_CLIMATE_CHANGE</x:v>
      </x:c>
      <x:c r="P398" s="31" t="str">
        <x:v>FT-F04</x:v>
      </x:c>
      <x:c r="Q398" s="49" t="n">
        <x:v>0.00031819968882018657</x:v>
      </x:c>
    </x:row>
    <x:row r="399" ht="20" customHeight="1">
      <x:c r="A399" s="40" t="str">
        <x:v>FT-Q-V01-070</x:v>
      </x:c>
      <x:c r="B399" s="19" t="str">
        <x:v>climate change</x:v>
      </x:c>
      <x:c r="C399" s="31" t="str">
        <x:v>climate</x:v>
      </x:c>
      <x:c r="D399" s="25" t="n">
        <x:v>1874</x:v>
      </x:c>
      <x:c r="E399" s="46" t="n">
        <x:v>1.8088301467766857e-8</x:v>
      </x:c>
      <x:c r="F399" s="19" t="str">
        <x:v>eng</x:v>
      </x:c>
      <x:c r="G399" s="19" t="str">
        <x:v>current English corpus (July 2024 dataset; public shorthand eng; mutable current corpus)</x:v>
      </x:c>
      <x:c r="H399" s="19" t="str">
        <x:v>climate change (All)</x:v>
      </x:c>
      <x:c r="I399" s="19" t="str">
        <x:v>0</x:v>
      </x:c>
      <x:c r="J399" s="19" t="n">
        <x:v>46260.10760416667</x:v>
      </x:c>
      <x:c r="K399" s="31" t="str">
        <x:v>data/fear-temperature/ngram/raw/c0c3021f09dbdf3542c85e1a8bd4e013bd4d99d85af63bbd55f5e05a6a7ddd2b.json</x:v>
      </x:c>
      <x:c r="L399" s="19" t="str">
        <x:v>f147d9b61eec9310d5a36c21ef68d14904b4782ed7663bc02178e865991f6aa6</x:v>
      </x:c>
      <x:c r="M399" s="19" t="str">
        <x:v>03c6b3b7aec17c75d6066c3ad33475123246728a6d70514bc6c4b2fac975aa04</x:v>
      </x:c>
      <x:c r="N399" s="31" t="str">
        <x:v>FT-LF-CLIMATE_CHANGE</x:v>
      </x:c>
      <x:c r="O399" s="31" t="str">
        <x:v>FT-C-MODERN_CLIMATE_CHANGE</x:v>
      </x:c>
      <x:c r="P399" s="31" t="str">
        <x:v>FT-F04</x:v>
      </x:c>
      <x:c r="Q399" s="49" t="n">
        <x:v>0.018088301467766858</x:v>
      </x:c>
    </x:row>
    <x:row r="400" ht="20" customHeight="1">
      <x:c r="A400" s="40" t="str">
        <x:v>FT-Q-V01-070</x:v>
      </x:c>
      <x:c r="B400" s="19" t="str">
        <x:v>climate change</x:v>
      </x:c>
      <x:c r="C400" s="31" t="str">
        <x:v>climate</x:v>
      </x:c>
      <x:c r="D400" s="25" t="n">
        <x:v>1875</x:v>
      </x:c>
      <x:c r="E400" s="46" t="n">
        <x:v>2.7492245702198655e-9</x:v>
      </x:c>
      <x:c r="F400" s="19" t="str">
        <x:v>eng</x:v>
      </x:c>
      <x:c r="G400" s="19" t="str">
        <x:v>current English corpus (July 2024 dataset; public shorthand eng; mutable current corpus)</x:v>
      </x:c>
      <x:c r="H400" s="19" t="str">
        <x:v>climate change (All)</x:v>
      </x:c>
      <x:c r="I400" s="19" t="str">
        <x:v>0</x:v>
      </x:c>
      <x:c r="J400" s="19" t="n">
        <x:v>46260.10760416667</x:v>
      </x:c>
      <x:c r="K400" s="31" t="str">
        <x:v>data/fear-temperature/ngram/raw/c0c3021f09dbdf3542c85e1a8bd4e013bd4d99d85af63bbd55f5e05a6a7ddd2b.json</x:v>
      </x:c>
      <x:c r="L400" s="19" t="str">
        <x:v>f147d9b61eec9310d5a36c21ef68d14904b4782ed7663bc02178e865991f6aa6</x:v>
      </x:c>
      <x:c r="M400" s="19" t="str">
        <x:v>03c6b3b7aec17c75d6066c3ad33475123246728a6d70514bc6c4b2fac975aa04</x:v>
      </x:c>
      <x:c r="N400" s="31" t="str">
        <x:v>FT-LF-CLIMATE_CHANGE</x:v>
      </x:c>
      <x:c r="O400" s="31" t="str">
        <x:v>FT-C-MODERN_CLIMATE_CHANGE</x:v>
      </x:c>
      <x:c r="P400" s="31" t="str">
        <x:v>FT-F04</x:v>
      </x:c>
      <x:c r="Q400" s="49" t="n">
        <x:v>0.0027492245702198654</x:v>
      </x:c>
    </x:row>
    <x:row r="401" ht="20" customHeight="1">
      <x:c r="A401" s="40" t="str">
        <x:v>FT-Q-V01-070</x:v>
      </x:c>
      <x:c r="B401" s="19" t="str">
        <x:v>climate change</x:v>
      </x:c>
      <x:c r="C401" s="31" t="str">
        <x:v>climate</x:v>
      </x:c>
      <x:c r="D401" s="25" t="n">
        <x:v>1876</x:v>
      </x:c>
      <x:c r="E401" s="46" t="n">
        <x:v>1.1309587710783828e-9</x:v>
      </x:c>
      <x:c r="F401" s="19" t="str">
        <x:v>eng</x:v>
      </x:c>
      <x:c r="G401" s="19" t="str">
        <x:v>current English corpus (July 2024 dataset; public shorthand eng; mutable current corpus)</x:v>
      </x:c>
      <x:c r="H401" s="19" t="str">
        <x:v>climate change (All)</x:v>
      </x:c>
      <x:c r="I401" s="19" t="str">
        <x:v>0</x:v>
      </x:c>
      <x:c r="J401" s="19" t="n">
        <x:v>46260.10760416667</x:v>
      </x:c>
      <x:c r="K401" s="31" t="str">
        <x:v>data/fear-temperature/ngram/raw/c0c3021f09dbdf3542c85e1a8bd4e013bd4d99d85af63bbd55f5e05a6a7ddd2b.json</x:v>
      </x:c>
      <x:c r="L401" s="19" t="str">
        <x:v>f147d9b61eec9310d5a36c21ef68d14904b4782ed7663bc02178e865991f6aa6</x:v>
      </x:c>
      <x:c r="M401" s="19" t="str">
        <x:v>03c6b3b7aec17c75d6066c3ad33475123246728a6d70514bc6c4b2fac975aa04</x:v>
      </x:c>
      <x:c r="N401" s="31" t="str">
        <x:v>FT-LF-CLIMATE_CHANGE</x:v>
      </x:c>
      <x:c r="O401" s="31" t="str">
        <x:v>FT-C-MODERN_CLIMATE_CHANGE</x:v>
      </x:c>
      <x:c r="P401" s="31" t="str">
        <x:v>FT-F04</x:v>
      </x:c>
      <x:c r="Q401" s="49" t="n">
        <x:v>0.0011309587710783828</x:v>
      </x:c>
    </x:row>
    <x:row r="402" ht="20" customHeight="1">
      <x:c r="A402" s="40" t="str">
        <x:v>FT-Q-V01-070</x:v>
      </x:c>
      <x:c r="B402" s="19" t="str">
        <x:v>climate change</x:v>
      </x:c>
      <x:c r="C402" s="31" t="str">
        <x:v>climate</x:v>
      </x:c>
      <x:c r="D402" s="25" t="n">
        <x:v>1877</x:v>
      </x:c>
      <x:c r="E402" s="46" t="n">
        <x:v>1.1686224210549767e-9</x:v>
      </x:c>
      <x:c r="F402" s="19" t="str">
        <x:v>eng</x:v>
      </x:c>
      <x:c r="G402" s="19" t="str">
        <x:v>current English corpus (July 2024 dataset; public shorthand eng; mutable current corpus)</x:v>
      </x:c>
      <x:c r="H402" s="19" t="str">
        <x:v>climate change (All)</x:v>
      </x:c>
      <x:c r="I402" s="19" t="str">
        <x:v>0</x:v>
      </x:c>
      <x:c r="J402" s="19" t="n">
        <x:v>46260.10760416667</x:v>
      </x:c>
      <x:c r="K402" s="31" t="str">
        <x:v>data/fear-temperature/ngram/raw/c0c3021f09dbdf3542c85e1a8bd4e013bd4d99d85af63bbd55f5e05a6a7ddd2b.json</x:v>
      </x:c>
      <x:c r="L402" s="19" t="str">
        <x:v>f147d9b61eec9310d5a36c21ef68d14904b4782ed7663bc02178e865991f6aa6</x:v>
      </x:c>
      <x:c r="M402" s="19" t="str">
        <x:v>03c6b3b7aec17c75d6066c3ad33475123246728a6d70514bc6c4b2fac975aa04</x:v>
      </x:c>
      <x:c r="N402" s="31" t="str">
        <x:v>FT-LF-CLIMATE_CHANGE</x:v>
      </x:c>
      <x:c r="O402" s="31" t="str">
        <x:v>FT-C-MODERN_CLIMATE_CHANGE</x:v>
      </x:c>
      <x:c r="P402" s="31" t="str">
        <x:v>FT-F04</x:v>
      </x:c>
      <x:c r="Q402" s="49" t="n">
        <x:v>0.0011686224210549767</x:v>
      </x:c>
    </x:row>
    <x:row r="403" ht="20" customHeight="1">
      <x:c r="A403" s="40" t="str">
        <x:v>FT-Q-V01-070</x:v>
      </x:c>
      <x:c r="B403" s="19" t="str">
        <x:v>climate change</x:v>
      </x:c>
      <x:c r="C403" s="31" t="str">
        <x:v>climate</x:v>
      </x:c>
      <x:c r="D403" s="25" t="n">
        <x:v>1878</x:v>
      </x:c>
      <x:c r="E403" s="46" t="n">
        <x:v>1.6194272589586942e-9</x:v>
      </x:c>
      <x:c r="F403" s="19" t="str">
        <x:v>eng</x:v>
      </x:c>
      <x:c r="G403" s="19" t="str">
        <x:v>current English corpus (July 2024 dataset; public shorthand eng; mutable current corpus)</x:v>
      </x:c>
      <x:c r="H403" s="19" t="str">
        <x:v>climate change (All)</x:v>
      </x:c>
      <x:c r="I403" s="19" t="str">
        <x:v>0</x:v>
      </x:c>
      <x:c r="J403" s="19" t="n">
        <x:v>46260.10760416667</x:v>
      </x:c>
      <x:c r="K403" s="31" t="str">
        <x:v>data/fear-temperature/ngram/raw/c0c3021f09dbdf3542c85e1a8bd4e013bd4d99d85af63bbd55f5e05a6a7ddd2b.json</x:v>
      </x:c>
      <x:c r="L403" s="19" t="str">
        <x:v>f147d9b61eec9310d5a36c21ef68d14904b4782ed7663bc02178e865991f6aa6</x:v>
      </x:c>
      <x:c r="M403" s="19" t="str">
        <x:v>03c6b3b7aec17c75d6066c3ad33475123246728a6d70514bc6c4b2fac975aa04</x:v>
      </x:c>
      <x:c r="N403" s="31" t="str">
        <x:v>FT-LF-CLIMATE_CHANGE</x:v>
      </x:c>
      <x:c r="O403" s="31" t="str">
        <x:v>FT-C-MODERN_CLIMATE_CHANGE</x:v>
      </x:c>
      <x:c r="P403" s="31" t="str">
        <x:v>FT-F04</x:v>
      </x:c>
      <x:c r="Q403" s="49" t="n">
        <x:v>0.0016194272589586942</x:v>
      </x:c>
    </x:row>
    <x:row r="404" ht="20" customHeight="1">
      <x:c r="A404" s="40" t="str">
        <x:v>FT-Q-V01-070</x:v>
      </x:c>
      <x:c r="B404" s="19" t="str">
        <x:v>climate change</x:v>
      </x:c>
      <x:c r="C404" s="31" t="str">
        <x:v>climate</x:v>
      </x:c>
      <x:c r="D404" s="25" t="n">
        <x:v>1879</x:v>
      </x:c>
      <x:c r="E404" s="46" t="n">
        <x:v>1.0791213478356097e-9</x:v>
      </x:c>
      <x:c r="F404" s="19" t="str">
        <x:v>eng</x:v>
      </x:c>
      <x:c r="G404" s="19" t="str">
        <x:v>current English corpus (July 2024 dataset; public shorthand eng; mutable current corpus)</x:v>
      </x:c>
      <x:c r="H404" s="19" t="str">
        <x:v>climate change (All)</x:v>
      </x:c>
      <x:c r="I404" s="19" t="str">
        <x:v>0</x:v>
      </x:c>
      <x:c r="J404" s="19" t="n">
        <x:v>46260.10760416667</x:v>
      </x:c>
      <x:c r="K404" s="31" t="str">
        <x:v>data/fear-temperature/ngram/raw/c0c3021f09dbdf3542c85e1a8bd4e013bd4d99d85af63bbd55f5e05a6a7ddd2b.json</x:v>
      </x:c>
      <x:c r="L404" s="19" t="str">
        <x:v>f147d9b61eec9310d5a36c21ef68d14904b4782ed7663bc02178e865991f6aa6</x:v>
      </x:c>
      <x:c r="M404" s="19" t="str">
        <x:v>03c6b3b7aec17c75d6066c3ad33475123246728a6d70514bc6c4b2fac975aa04</x:v>
      </x:c>
      <x:c r="N404" s="31" t="str">
        <x:v>FT-LF-CLIMATE_CHANGE</x:v>
      </x:c>
      <x:c r="O404" s="31" t="str">
        <x:v>FT-C-MODERN_CLIMATE_CHANGE</x:v>
      </x:c>
      <x:c r="P404" s="31" t="str">
        <x:v>FT-F04</x:v>
      </x:c>
      <x:c r="Q404" s="49" t="n">
        <x:v>0.0010791213478356097</x:v>
      </x:c>
    </x:row>
    <x:row r="405" ht="20" customHeight="1">
      <x:c r="A405" s="40" t="str">
        <x:v>FT-Q-V01-070</x:v>
      </x:c>
      <x:c r="B405" s="19" t="str">
        <x:v>climate change</x:v>
      </x:c>
      <x:c r="C405" s="31" t="str">
        <x:v>climate</x:v>
      </x:c>
      <x:c r="D405" s="25" t="n">
        <x:v>1880</x:v>
      </x:c>
      <x:c r="E405" s="46" t="n">
        <x:v>4.203555725723617e-9</x:v>
      </x:c>
      <x:c r="F405" s="19" t="str">
        <x:v>eng</x:v>
      </x:c>
      <x:c r="G405" s="19" t="str">
        <x:v>current English corpus (July 2024 dataset; public shorthand eng; mutable current corpus)</x:v>
      </x:c>
      <x:c r="H405" s="19" t="str">
        <x:v>climate change (All)</x:v>
      </x:c>
      <x:c r="I405" s="19" t="str">
        <x:v>0</x:v>
      </x:c>
      <x:c r="J405" s="19" t="n">
        <x:v>46260.10760416667</x:v>
      </x:c>
      <x:c r="K405" s="31" t="str">
        <x:v>data/fear-temperature/ngram/raw/c0c3021f09dbdf3542c85e1a8bd4e013bd4d99d85af63bbd55f5e05a6a7ddd2b.json</x:v>
      </x:c>
      <x:c r="L405" s="19" t="str">
        <x:v>f147d9b61eec9310d5a36c21ef68d14904b4782ed7663bc02178e865991f6aa6</x:v>
      </x:c>
      <x:c r="M405" s="19" t="str">
        <x:v>03c6b3b7aec17c75d6066c3ad33475123246728a6d70514bc6c4b2fac975aa04</x:v>
      </x:c>
      <x:c r="N405" s="31" t="str">
        <x:v>FT-LF-CLIMATE_CHANGE</x:v>
      </x:c>
      <x:c r="O405" s="31" t="str">
        <x:v>FT-C-MODERN_CLIMATE_CHANGE</x:v>
      </x:c>
      <x:c r="P405" s="31" t="str">
        <x:v>FT-F04</x:v>
      </x:c>
      <x:c r="Q405" s="49" t="n">
        <x:v>0.004203555725723617</x:v>
      </x:c>
    </x:row>
    <x:row r="406" ht="20" customHeight="1">
      <x:c r="A406" s="40" t="str">
        <x:v>FT-Q-V01-070</x:v>
      </x:c>
      <x:c r="B406" s="19" t="str">
        <x:v>climate change</x:v>
      </x:c>
      <x:c r="C406" s="31" t="str">
        <x:v>climate</x:v>
      </x:c>
      <x:c r="D406" s="25" t="n">
        <x:v>1881</x:v>
      </x:c>
      <x:c r="E406" s="46" t="n">
        <x:v>5.0551388741659764e-8</x:v>
      </x:c>
      <x:c r="F406" s="19" t="str">
        <x:v>eng</x:v>
      </x:c>
      <x:c r="G406" s="19" t="str">
        <x:v>current English corpus (July 2024 dataset; public shorthand eng; mutable current corpus)</x:v>
      </x:c>
      <x:c r="H406" s="19" t="str">
        <x:v>climate change (All)</x:v>
      </x:c>
      <x:c r="I406" s="19" t="str">
        <x:v>0</x:v>
      </x:c>
      <x:c r="J406" s="19" t="n">
        <x:v>46260.10760416667</x:v>
      </x:c>
      <x:c r="K406" s="31" t="str">
        <x:v>data/fear-temperature/ngram/raw/c0c3021f09dbdf3542c85e1a8bd4e013bd4d99d85af63bbd55f5e05a6a7ddd2b.json</x:v>
      </x:c>
      <x:c r="L406" s="19" t="str">
        <x:v>f147d9b61eec9310d5a36c21ef68d14904b4782ed7663bc02178e865991f6aa6</x:v>
      </x:c>
      <x:c r="M406" s="19" t="str">
        <x:v>03c6b3b7aec17c75d6066c3ad33475123246728a6d70514bc6c4b2fac975aa04</x:v>
      </x:c>
      <x:c r="N406" s="31" t="str">
        <x:v>FT-LF-CLIMATE_CHANGE</x:v>
      </x:c>
      <x:c r="O406" s="31" t="str">
        <x:v>FT-C-MODERN_CLIMATE_CHANGE</x:v>
      </x:c>
      <x:c r="P406" s="31" t="str">
        <x:v>FT-F04</x:v>
      </x:c>
      <x:c r="Q406" s="49" t="n">
        <x:v>0.050551388741659764</x:v>
      </x:c>
    </x:row>
    <x:row r="407" ht="20" customHeight="1">
      <x:c r="A407" s="40" t="str">
        <x:v>FT-Q-V01-070</x:v>
      </x:c>
      <x:c r="B407" s="19" t="str">
        <x:v>climate change</x:v>
      </x:c>
      <x:c r="C407" s="31" t="str">
        <x:v>climate</x:v>
      </x:c>
      <x:c r="D407" s="25" t="n">
        <x:v>1882</x:v>
      </x:c>
      <x:c r="E407" s="46" t="n">
        <x:v>1.180853470561516e-9</x:v>
      </x:c>
      <x:c r="F407" s="19" t="str">
        <x:v>eng</x:v>
      </x:c>
      <x:c r="G407" s="19" t="str">
        <x:v>current English corpus (July 2024 dataset; public shorthand eng; mutable current corpus)</x:v>
      </x:c>
      <x:c r="H407" s="19" t="str">
        <x:v>climate change (All)</x:v>
      </x:c>
      <x:c r="I407" s="19" t="str">
        <x:v>0</x:v>
      </x:c>
      <x:c r="J407" s="19" t="n">
        <x:v>46260.10760416667</x:v>
      </x:c>
      <x:c r="K407" s="31" t="str">
        <x:v>data/fear-temperature/ngram/raw/c0c3021f09dbdf3542c85e1a8bd4e013bd4d99d85af63bbd55f5e05a6a7ddd2b.json</x:v>
      </x:c>
      <x:c r="L407" s="19" t="str">
        <x:v>f147d9b61eec9310d5a36c21ef68d14904b4782ed7663bc02178e865991f6aa6</x:v>
      </x:c>
      <x:c r="M407" s="19" t="str">
        <x:v>03c6b3b7aec17c75d6066c3ad33475123246728a6d70514bc6c4b2fac975aa04</x:v>
      </x:c>
      <x:c r="N407" s="31" t="str">
        <x:v>FT-LF-CLIMATE_CHANGE</x:v>
      </x:c>
      <x:c r="O407" s="31" t="str">
        <x:v>FT-C-MODERN_CLIMATE_CHANGE</x:v>
      </x:c>
      <x:c r="P407" s="31" t="str">
        <x:v>FT-F04</x:v>
      </x:c>
      <x:c r="Q407" s="49" t="n">
        <x:v>0.001180853470561516</x:v>
      </x:c>
    </x:row>
    <x:row r="408" ht="20" customHeight="1">
      <x:c r="A408" s="40" t="str">
        <x:v>FT-Q-V01-070</x:v>
      </x:c>
      <x:c r="B408" s="19" t="str">
        <x:v>climate change</x:v>
      </x:c>
      <x:c r="C408" s="31" t="str">
        <x:v>climate</x:v>
      </x:c>
      <x:c r="D408" s="25" t="n">
        <x:v>1883</x:v>
      </x:c>
      <x:c r="E408" s="46" t="n">
        <x:v>3.768067968756838e-9</x:v>
      </x:c>
      <x:c r="F408" s="19" t="str">
        <x:v>eng</x:v>
      </x:c>
      <x:c r="G408" s="19" t="str">
        <x:v>current English corpus (July 2024 dataset; public shorthand eng; mutable current corpus)</x:v>
      </x:c>
      <x:c r="H408" s="19" t="str">
        <x:v>climate change (All)</x:v>
      </x:c>
      <x:c r="I408" s="19" t="str">
        <x:v>0</x:v>
      </x:c>
      <x:c r="J408" s="19" t="n">
        <x:v>46260.10760416667</x:v>
      </x:c>
      <x:c r="K408" s="31" t="str">
        <x:v>data/fear-temperature/ngram/raw/c0c3021f09dbdf3542c85e1a8bd4e013bd4d99d85af63bbd55f5e05a6a7ddd2b.json</x:v>
      </x:c>
      <x:c r="L408" s="19" t="str">
        <x:v>f147d9b61eec9310d5a36c21ef68d14904b4782ed7663bc02178e865991f6aa6</x:v>
      </x:c>
      <x:c r="M408" s="19" t="str">
        <x:v>03c6b3b7aec17c75d6066c3ad33475123246728a6d70514bc6c4b2fac975aa04</x:v>
      </x:c>
      <x:c r="N408" s="31" t="str">
        <x:v>FT-LF-CLIMATE_CHANGE</x:v>
      </x:c>
      <x:c r="O408" s="31" t="str">
        <x:v>FT-C-MODERN_CLIMATE_CHANGE</x:v>
      </x:c>
      <x:c r="P408" s="31" t="str">
        <x:v>FT-F04</x:v>
      </x:c>
      <x:c r="Q408" s="49" t="n">
        <x:v>0.0037680679687568377</x:v>
      </x:c>
    </x:row>
    <x:row r="409" ht="20" customHeight="1">
      <x:c r="A409" s="40" t="str">
        <x:v>FT-Q-V01-070</x:v>
      </x:c>
      <x:c r="B409" s="19" t="str">
        <x:v>climate change</x:v>
      </x:c>
      <x:c r="C409" s="31" t="str">
        <x:v>climate</x:v>
      </x:c>
      <x:c r="D409" s="25" t="n">
        <x:v>1884</x:v>
      </x:c>
      <x:c r="E409" s="46" t="n">
        <x:v>6.458172885359658e-10</x:v>
      </x:c>
      <x:c r="F409" s="19" t="str">
        <x:v>eng</x:v>
      </x:c>
      <x:c r="G409" s="19" t="str">
        <x:v>current English corpus (July 2024 dataset; public shorthand eng; mutable current corpus)</x:v>
      </x:c>
      <x:c r="H409" s="19" t="str">
        <x:v>climate change (All)</x:v>
      </x:c>
      <x:c r="I409" s="19" t="str">
        <x:v>0</x:v>
      </x:c>
      <x:c r="J409" s="19" t="n">
        <x:v>46260.10760416667</x:v>
      </x:c>
      <x:c r="K409" s="31" t="str">
        <x:v>data/fear-temperature/ngram/raw/c0c3021f09dbdf3542c85e1a8bd4e013bd4d99d85af63bbd55f5e05a6a7ddd2b.json</x:v>
      </x:c>
      <x:c r="L409" s="19" t="str">
        <x:v>f147d9b61eec9310d5a36c21ef68d14904b4782ed7663bc02178e865991f6aa6</x:v>
      </x:c>
      <x:c r="M409" s="19" t="str">
        <x:v>03c6b3b7aec17c75d6066c3ad33475123246728a6d70514bc6c4b2fac975aa04</x:v>
      </x:c>
      <x:c r="N409" s="31" t="str">
        <x:v>FT-LF-CLIMATE_CHANGE</x:v>
      </x:c>
      <x:c r="O409" s="31" t="str">
        <x:v>FT-C-MODERN_CLIMATE_CHANGE</x:v>
      </x:c>
      <x:c r="P409" s="31" t="str">
        <x:v>FT-F04</x:v>
      </x:c>
      <x:c r="Q409" s="49" t="n">
        <x:v>0.0006458172885359658</x:v>
      </x:c>
    </x:row>
    <x:row r="410" ht="20" customHeight="1">
      <x:c r="A410" s="40" t="str">
        <x:v>FT-Q-V01-070</x:v>
      </x:c>
      <x:c r="B410" s="19" t="str">
        <x:v>climate change</x:v>
      </x:c>
      <x:c r="C410" s="31" t="str">
        <x:v>climate</x:v>
      </x:c>
      <x:c r="D410" s="25" t="n">
        <x:v>1885</x:v>
      </x:c>
      <x:c r="E410" s="46" t="n">
        <x:v>8.870958828621766e-10</x:v>
      </x:c>
      <x:c r="F410" s="19" t="str">
        <x:v>eng</x:v>
      </x:c>
      <x:c r="G410" s="19" t="str">
        <x:v>current English corpus (July 2024 dataset; public shorthand eng; mutable current corpus)</x:v>
      </x:c>
      <x:c r="H410" s="19" t="str">
        <x:v>climate change (All)</x:v>
      </x:c>
      <x:c r="I410" s="19" t="str">
        <x:v>0</x:v>
      </x:c>
      <x:c r="J410" s="19" t="n">
        <x:v>46260.10760416667</x:v>
      </x:c>
      <x:c r="K410" s="31" t="str">
        <x:v>data/fear-temperature/ngram/raw/c0c3021f09dbdf3542c85e1a8bd4e013bd4d99d85af63bbd55f5e05a6a7ddd2b.json</x:v>
      </x:c>
      <x:c r="L410" s="19" t="str">
        <x:v>f147d9b61eec9310d5a36c21ef68d14904b4782ed7663bc02178e865991f6aa6</x:v>
      </x:c>
      <x:c r="M410" s="19" t="str">
        <x:v>03c6b3b7aec17c75d6066c3ad33475123246728a6d70514bc6c4b2fac975aa04</x:v>
      </x:c>
      <x:c r="N410" s="31" t="str">
        <x:v>FT-LF-CLIMATE_CHANGE</x:v>
      </x:c>
      <x:c r="O410" s="31" t="str">
        <x:v>FT-C-MODERN_CLIMATE_CHANGE</x:v>
      </x:c>
      <x:c r="P410" s="31" t="str">
        <x:v>FT-F04</x:v>
      </x:c>
      <x:c r="Q410" s="49" t="n">
        <x:v>0.0008870958828621766</x:v>
      </x:c>
    </x:row>
    <x:row r="411" ht="20" customHeight="1">
      <x:c r="A411" s="40" t="str">
        <x:v>FT-Q-V01-070</x:v>
      </x:c>
      <x:c r="B411" s="19" t="str">
        <x:v>climate change</x:v>
      </x:c>
      <x:c r="C411" s="31" t="str">
        <x:v>climate</x:v>
      </x:c>
      <x:c r="D411" s="25" t="n">
        <x:v>1886</x:v>
      </x:c>
      <x:c r="E411" s="46" t="n">
        <x:v>4.910232748178699e-9</x:v>
      </x:c>
      <x:c r="F411" s="19" t="str">
        <x:v>eng</x:v>
      </x:c>
      <x:c r="G411" s="19" t="str">
        <x:v>current English corpus (July 2024 dataset; public shorthand eng; mutable current corpus)</x:v>
      </x:c>
      <x:c r="H411" s="19" t="str">
        <x:v>climate change (All)</x:v>
      </x:c>
      <x:c r="I411" s="19" t="str">
        <x:v>0</x:v>
      </x:c>
      <x:c r="J411" s="19" t="n">
        <x:v>46260.10760416667</x:v>
      </x:c>
      <x:c r="K411" s="31" t="str">
        <x:v>data/fear-temperature/ngram/raw/c0c3021f09dbdf3542c85e1a8bd4e013bd4d99d85af63bbd55f5e05a6a7ddd2b.json</x:v>
      </x:c>
      <x:c r="L411" s="19" t="str">
        <x:v>f147d9b61eec9310d5a36c21ef68d14904b4782ed7663bc02178e865991f6aa6</x:v>
      </x:c>
      <x:c r="M411" s="19" t="str">
        <x:v>03c6b3b7aec17c75d6066c3ad33475123246728a6d70514bc6c4b2fac975aa04</x:v>
      </x:c>
      <x:c r="N411" s="31" t="str">
        <x:v>FT-LF-CLIMATE_CHANGE</x:v>
      </x:c>
      <x:c r="O411" s="31" t="str">
        <x:v>FT-C-MODERN_CLIMATE_CHANGE</x:v>
      </x:c>
      <x:c r="P411" s="31" t="str">
        <x:v>FT-F04</x:v>
      </x:c>
      <x:c r="Q411" s="49" t="n">
        <x:v>0.004910232748178699</x:v>
      </x:c>
    </x:row>
    <x:row r="412" ht="20" customHeight="1">
      <x:c r="A412" s="40" t="str">
        <x:v>FT-Q-V01-070</x:v>
      </x:c>
      <x:c r="B412" s="19" t="str">
        <x:v>climate change</x:v>
      </x:c>
      <x:c r="C412" s="31" t="str">
        <x:v>climate</x:v>
      </x:c>
      <x:c r="D412" s="25" t="n">
        <x:v>1887</x:v>
      </x:c>
      <x:c r="E412" s="46" t="n">
        <x:v>1.0564946695268416e-9</x:v>
      </x:c>
      <x:c r="F412" s="19" t="str">
        <x:v>eng</x:v>
      </x:c>
      <x:c r="G412" s="19" t="str">
        <x:v>current English corpus (July 2024 dataset; public shorthand eng; mutable current corpus)</x:v>
      </x:c>
      <x:c r="H412" s="19" t="str">
        <x:v>climate change (All)</x:v>
      </x:c>
      <x:c r="I412" s="19" t="str">
        <x:v>0</x:v>
      </x:c>
      <x:c r="J412" s="19" t="n">
        <x:v>46260.10760416667</x:v>
      </x:c>
      <x:c r="K412" s="31" t="str">
        <x:v>data/fear-temperature/ngram/raw/c0c3021f09dbdf3542c85e1a8bd4e013bd4d99d85af63bbd55f5e05a6a7ddd2b.json</x:v>
      </x:c>
      <x:c r="L412" s="19" t="str">
        <x:v>f147d9b61eec9310d5a36c21ef68d14904b4782ed7663bc02178e865991f6aa6</x:v>
      </x:c>
      <x:c r="M412" s="19" t="str">
        <x:v>03c6b3b7aec17c75d6066c3ad33475123246728a6d70514bc6c4b2fac975aa04</x:v>
      </x:c>
      <x:c r="N412" s="31" t="str">
        <x:v>FT-LF-CLIMATE_CHANGE</x:v>
      </x:c>
      <x:c r="O412" s="31" t="str">
        <x:v>FT-C-MODERN_CLIMATE_CHANGE</x:v>
      </x:c>
      <x:c r="P412" s="31" t="str">
        <x:v>FT-F04</x:v>
      </x:c>
      <x:c r="Q412" s="49" t="n">
        <x:v>0.0010564946695268416</x:v>
      </x:c>
    </x:row>
    <x:row r="413" ht="20" customHeight="1">
      <x:c r="A413" s="40" t="str">
        <x:v>FT-Q-V01-070</x:v>
      </x:c>
      <x:c r="B413" s="19" t="str">
        <x:v>climate change</x:v>
      </x:c>
      <x:c r="C413" s="31" t="str">
        <x:v>climate</x:v>
      </x:c>
      <x:c r="D413" s="25" t="n">
        <x:v>1888</x:v>
      </x:c>
      <x:c r="E413" s="46" t="n">
        <x:v>1.3744116955649586e-9</x:v>
      </x:c>
      <x:c r="F413" s="19" t="str">
        <x:v>eng</x:v>
      </x:c>
      <x:c r="G413" s="19" t="str">
        <x:v>current English corpus (July 2024 dataset; public shorthand eng; mutable current corpus)</x:v>
      </x:c>
      <x:c r="H413" s="19" t="str">
        <x:v>climate change (All)</x:v>
      </x:c>
      <x:c r="I413" s="19" t="str">
        <x:v>0</x:v>
      </x:c>
      <x:c r="J413" s="19" t="n">
        <x:v>46260.10760416667</x:v>
      </x:c>
      <x:c r="K413" s="31" t="str">
        <x:v>data/fear-temperature/ngram/raw/c0c3021f09dbdf3542c85e1a8bd4e013bd4d99d85af63bbd55f5e05a6a7ddd2b.json</x:v>
      </x:c>
      <x:c r="L413" s="19" t="str">
        <x:v>f147d9b61eec9310d5a36c21ef68d14904b4782ed7663bc02178e865991f6aa6</x:v>
      </x:c>
      <x:c r="M413" s="19" t="str">
        <x:v>03c6b3b7aec17c75d6066c3ad33475123246728a6d70514bc6c4b2fac975aa04</x:v>
      </x:c>
      <x:c r="N413" s="31" t="str">
        <x:v>FT-LF-CLIMATE_CHANGE</x:v>
      </x:c>
      <x:c r="O413" s="31" t="str">
        <x:v>FT-C-MODERN_CLIMATE_CHANGE</x:v>
      </x:c>
      <x:c r="P413" s="31" t="str">
        <x:v>FT-F04</x:v>
      </x:c>
      <x:c r="Q413" s="49" t="n">
        <x:v>0.0013744116955649586</x:v>
      </x:c>
    </x:row>
    <x:row r="414" ht="20" customHeight="1">
      <x:c r="A414" s="40" t="str">
        <x:v>FT-Q-V01-070</x:v>
      </x:c>
      <x:c r="B414" s="19" t="str">
        <x:v>climate change</x:v>
      </x:c>
      <x:c r="C414" s="31" t="str">
        <x:v>climate</x:v>
      </x:c>
      <x:c r="D414" s="25" t="n">
        <x:v>1889</x:v>
      </x:c>
      <x:c r="E414" s="46" t="n">
        <x:v>9.396565747721295e-10</x:v>
      </x:c>
      <x:c r="F414" s="19" t="str">
        <x:v>eng</x:v>
      </x:c>
      <x:c r="G414" s="19" t="str">
        <x:v>current English corpus (July 2024 dataset; public shorthand eng; mutable current corpus)</x:v>
      </x:c>
      <x:c r="H414" s="19" t="str">
        <x:v>climate change (All)</x:v>
      </x:c>
      <x:c r="I414" s="19" t="str">
        <x:v>0</x:v>
      </x:c>
      <x:c r="J414" s="19" t="n">
        <x:v>46260.10760416667</x:v>
      </x:c>
      <x:c r="K414" s="31" t="str">
        <x:v>data/fear-temperature/ngram/raw/c0c3021f09dbdf3542c85e1a8bd4e013bd4d99d85af63bbd55f5e05a6a7ddd2b.json</x:v>
      </x:c>
      <x:c r="L414" s="19" t="str">
        <x:v>f147d9b61eec9310d5a36c21ef68d14904b4782ed7663bc02178e865991f6aa6</x:v>
      </x:c>
      <x:c r="M414" s="19" t="str">
        <x:v>03c6b3b7aec17c75d6066c3ad33475123246728a6d70514bc6c4b2fac975aa04</x:v>
      </x:c>
      <x:c r="N414" s="31" t="str">
        <x:v>FT-LF-CLIMATE_CHANGE</x:v>
      </x:c>
      <x:c r="O414" s="31" t="str">
        <x:v>FT-C-MODERN_CLIMATE_CHANGE</x:v>
      </x:c>
      <x:c r="P414" s="31" t="str">
        <x:v>FT-F04</x:v>
      </x:c>
      <x:c r="Q414" s="49" t="n">
        <x:v>0.0009396565747721295</x:v>
      </x:c>
    </x:row>
    <x:row r="415" ht="20" customHeight="1">
      <x:c r="A415" s="40" t="str">
        <x:v>FT-Q-V01-070</x:v>
      </x:c>
      <x:c r="B415" s="19" t="str">
        <x:v>climate change</x:v>
      </x:c>
      <x:c r="C415" s="31" t="str">
        <x:v>climate</x:v>
      </x:c>
      <x:c r="D415" s="25" t="n">
        <x:v>1890</x:v>
      </x:c>
      <x:c r="E415" s="46" t="n">
        <x:v>4.778291290419289e-9</x:v>
      </x:c>
      <x:c r="F415" s="19" t="str">
        <x:v>eng</x:v>
      </x:c>
      <x:c r="G415" s="19" t="str">
        <x:v>current English corpus (July 2024 dataset; public shorthand eng; mutable current corpus)</x:v>
      </x:c>
      <x:c r="H415" s="19" t="str">
        <x:v>climate change (All)</x:v>
      </x:c>
      <x:c r="I415" s="19" t="str">
        <x:v>0</x:v>
      </x:c>
      <x:c r="J415" s="19" t="n">
        <x:v>46260.10760416667</x:v>
      </x:c>
      <x:c r="K415" s="31" t="str">
        <x:v>data/fear-temperature/ngram/raw/c0c3021f09dbdf3542c85e1a8bd4e013bd4d99d85af63bbd55f5e05a6a7ddd2b.json</x:v>
      </x:c>
      <x:c r="L415" s="19" t="str">
        <x:v>f147d9b61eec9310d5a36c21ef68d14904b4782ed7663bc02178e865991f6aa6</x:v>
      </x:c>
      <x:c r="M415" s="19" t="str">
        <x:v>03c6b3b7aec17c75d6066c3ad33475123246728a6d70514bc6c4b2fac975aa04</x:v>
      </x:c>
      <x:c r="N415" s="31" t="str">
        <x:v>FT-LF-CLIMATE_CHANGE</x:v>
      </x:c>
      <x:c r="O415" s="31" t="str">
        <x:v>FT-C-MODERN_CLIMATE_CHANGE</x:v>
      </x:c>
      <x:c r="P415" s="31" t="str">
        <x:v>FT-F04</x:v>
      </x:c>
      <x:c r="Q415" s="49" t="n">
        <x:v>0.004778291290419289</x:v>
      </x:c>
    </x:row>
    <x:row r="416" ht="20" customHeight="1">
      <x:c r="A416" s="40" t="str">
        <x:v>FT-Q-V01-070</x:v>
      </x:c>
      <x:c r="B416" s="19" t="str">
        <x:v>climate change</x:v>
      </x:c>
      <x:c r="C416" s="31" t="str">
        <x:v>climate</x:v>
      </x:c>
      <x:c r="D416" s="25" t="n">
        <x:v>1891</x:v>
      </x:c>
      <x:c r="E416" s="46" t="n">
        <x:v>3.3310254554663743e-9</x:v>
      </x:c>
      <x:c r="F416" s="19" t="str">
        <x:v>eng</x:v>
      </x:c>
      <x:c r="G416" s="19" t="str">
        <x:v>current English corpus (July 2024 dataset; public shorthand eng; mutable current corpus)</x:v>
      </x:c>
      <x:c r="H416" s="19" t="str">
        <x:v>climate change (All)</x:v>
      </x:c>
      <x:c r="I416" s="19" t="str">
        <x:v>0</x:v>
      </x:c>
      <x:c r="J416" s="19" t="n">
        <x:v>46260.10760416667</x:v>
      </x:c>
      <x:c r="K416" s="31" t="str">
        <x:v>data/fear-temperature/ngram/raw/c0c3021f09dbdf3542c85e1a8bd4e013bd4d99d85af63bbd55f5e05a6a7ddd2b.json</x:v>
      </x:c>
      <x:c r="L416" s="19" t="str">
        <x:v>f147d9b61eec9310d5a36c21ef68d14904b4782ed7663bc02178e865991f6aa6</x:v>
      </x:c>
      <x:c r="M416" s="19" t="str">
        <x:v>03c6b3b7aec17c75d6066c3ad33475123246728a6d70514bc6c4b2fac975aa04</x:v>
      </x:c>
      <x:c r="N416" s="31" t="str">
        <x:v>FT-LF-CLIMATE_CHANGE</x:v>
      </x:c>
      <x:c r="O416" s="31" t="str">
        <x:v>FT-C-MODERN_CLIMATE_CHANGE</x:v>
      </x:c>
      <x:c r="P416" s="31" t="str">
        <x:v>FT-F04</x:v>
      </x:c>
      <x:c r="Q416" s="49" t="n">
        <x:v>0.0033310254554663743</x:v>
      </x:c>
    </x:row>
    <x:row r="417" ht="20" customHeight="1">
      <x:c r="A417" s="40" t="str">
        <x:v>FT-Q-V01-070</x:v>
      </x:c>
      <x:c r="B417" s="19" t="str">
        <x:v>climate change</x:v>
      </x:c>
      <x:c r="C417" s="31" t="str">
        <x:v>climate</x:v>
      </x:c>
      <x:c r="D417" s="25" t="n">
        <x:v>1892</x:v>
      </x:c>
      <x:c r="E417" s="46" t="n">
        <x:v>2.178422636722743e-9</x:v>
      </x:c>
      <x:c r="F417" s="19" t="str">
        <x:v>eng</x:v>
      </x:c>
      <x:c r="G417" s="19" t="str">
        <x:v>current English corpus (July 2024 dataset; public shorthand eng; mutable current corpus)</x:v>
      </x:c>
      <x:c r="H417" s="19" t="str">
        <x:v>climate change (All)</x:v>
      </x:c>
      <x:c r="I417" s="19" t="str">
        <x:v>0</x:v>
      </x:c>
      <x:c r="J417" s="19" t="n">
        <x:v>46260.10760416667</x:v>
      </x:c>
      <x:c r="K417" s="31" t="str">
        <x:v>data/fear-temperature/ngram/raw/c0c3021f09dbdf3542c85e1a8bd4e013bd4d99d85af63bbd55f5e05a6a7ddd2b.json</x:v>
      </x:c>
      <x:c r="L417" s="19" t="str">
        <x:v>f147d9b61eec9310d5a36c21ef68d14904b4782ed7663bc02178e865991f6aa6</x:v>
      </x:c>
      <x:c r="M417" s="19" t="str">
        <x:v>03c6b3b7aec17c75d6066c3ad33475123246728a6d70514bc6c4b2fac975aa04</x:v>
      </x:c>
      <x:c r="N417" s="31" t="str">
        <x:v>FT-LF-CLIMATE_CHANGE</x:v>
      </x:c>
      <x:c r="O417" s="31" t="str">
        <x:v>FT-C-MODERN_CLIMATE_CHANGE</x:v>
      </x:c>
      <x:c r="P417" s="31" t="str">
        <x:v>FT-F04</x:v>
      </x:c>
      <x:c r="Q417" s="49" t="n">
        <x:v>0.002178422636722743</x:v>
      </x:c>
    </x:row>
    <x:row r="418" ht="20" customHeight="1">
      <x:c r="A418" s="40" t="str">
        <x:v>FT-Q-V01-070</x:v>
      </x:c>
      <x:c r="B418" s="19" t="str">
        <x:v>climate change</x:v>
      </x:c>
      <x:c r="C418" s="31" t="str">
        <x:v>climate</x:v>
      </x:c>
      <x:c r="D418" s="25" t="n">
        <x:v>1893</x:v>
      </x:c>
      <x:c r="E418" s="46" t="n">
        <x:v>2.5670540138023053e-9</x:v>
      </x:c>
      <x:c r="F418" s="19" t="str">
        <x:v>eng</x:v>
      </x:c>
      <x:c r="G418" s="19" t="str">
        <x:v>current English corpus (July 2024 dataset; public shorthand eng; mutable current corpus)</x:v>
      </x:c>
      <x:c r="H418" s="19" t="str">
        <x:v>climate change (All)</x:v>
      </x:c>
      <x:c r="I418" s="19" t="str">
        <x:v>0</x:v>
      </x:c>
      <x:c r="J418" s="19" t="n">
        <x:v>46260.10760416667</x:v>
      </x:c>
      <x:c r="K418" s="31" t="str">
        <x:v>data/fear-temperature/ngram/raw/c0c3021f09dbdf3542c85e1a8bd4e013bd4d99d85af63bbd55f5e05a6a7ddd2b.json</x:v>
      </x:c>
      <x:c r="L418" s="19" t="str">
        <x:v>f147d9b61eec9310d5a36c21ef68d14904b4782ed7663bc02178e865991f6aa6</x:v>
      </x:c>
      <x:c r="M418" s="19" t="str">
        <x:v>03c6b3b7aec17c75d6066c3ad33475123246728a6d70514bc6c4b2fac975aa04</x:v>
      </x:c>
      <x:c r="N418" s="31" t="str">
        <x:v>FT-LF-CLIMATE_CHANGE</x:v>
      </x:c>
      <x:c r="O418" s="31" t="str">
        <x:v>FT-C-MODERN_CLIMATE_CHANGE</x:v>
      </x:c>
      <x:c r="P418" s="31" t="str">
        <x:v>FT-F04</x:v>
      </x:c>
      <x:c r="Q418" s="49" t="n">
        <x:v>0.0025670540138023053</x:v>
      </x:c>
    </x:row>
    <x:row r="419" ht="20" customHeight="1">
      <x:c r="A419" s="40" t="str">
        <x:v>FT-Q-V01-070</x:v>
      </x:c>
      <x:c r="B419" s="19" t="str">
        <x:v>climate change</x:v>
      </x:c>
      <x:c r="C419" s="31" t="str">
        <x:v>climate</x:v>
      </x:c>
      <x:c r="D419" s="25" t="n">
        <x:v>1894</x:v>
      </x:c>
      <x:c r="E419" s="46" t="n">
        <x:v>1.7254744300032596e-9</x:v>
      </x:c>
      <x:c r="F419" s="19" t="str">
        <x:v>eng</x:v>
      </x:c>
      <x:c r="G419" s="19" t="str">
        <x:v>current English corpus (July 2024 dataset; public shorthand eng; mutable current corpus)</x:v>
      </x:c>
      <x:c r="H419" s="19" t="str">
        <x:v>climate change (All)</x:v>
      </x:c>
      <x:c r="I419" s="19" t="str">
        <x:v>0</x:v>
      </x:c>
      <x:c r="J419" s="19" t="n">
        <x:v>46260.10760416667</x:v>
      </x:c>
      <x:c r="K419" s="31" t="str">
        <x:v>data/fear-temperature/ngram/raw/c0c3021f09dbdf3542c85e1a8bd4e013bd4d99d85af63bbd55f5e05a6a7ddd2b.json</x:v>
      </x:c>
      <x:c r="L419" s="19" t="str">
        <x:v>f147d9b61eec9310d5a36c21ef68d14904b4782ed7663bc02178e865991f6aa6</x:v>
      </x:c>
      <x:c r="M419" s="19" t="str">
        <x:v>03c6b3b7aec17c75d6066c3ad33475123246728a6d70514bc6c4b2fac975aa04</x:v>
      </x:c>
      <x:c r="N419" s="31" t="str">
        <x:v>FT-LF-CLIMATE_CHANGE</x:v>
      </x:c>
      <x:c r="O419" s="31" t="str">
        <x:v>FT-C-MODERN_CLIMATE_CHANGE</x:v>
      </x:c>
      <x:c r="P419" s="31" t="str">
        <x:v>FT-F04</x:v>
      </x:c>
      <x:c r="Q419" s="49" t="n">
        <x:v>0.0017254744300032596</x:v>
      </x:c>
    </x:row>
    <x:row r="420" ht="20" customHeight="1">
      <x:c r="A420" s="40" t="str">
        <x:v>FT-Q-V01-070</x:v>
      </x:c>
      <x:c r="B420" s="19" t="str">
        <x:v>climate change</x:v>
      </x:c>
      <x:c r="C420" s="31" t="str">
        <x:v>climate</x:v>
      </x:c>
      <x:c r="D420" s="25" t="n">
        <x:v>1895</x:v>
      </x:c>
      <x:c r="E420" s="46" t="n">
        <x:v>2.0496091490684876e-9</x:v>
      </x:c>
      <x:c r="F420" s="19" t="str">
        <x:v>eng</x:v>
      </x:c>
      <x:c r="G420" s="19" t="str">
        <x:v>current English corpus (July 2024 dataset; public shorthand eng; mutable current corpus)</x:v>
      </x:c>
      <x:c r="H420" s="19" t="str">
        <x:v>climate change (All)</x:v>
      </x:c>
      <x:c r="I420" s="19" t="str">
        <x:v>0</x:v>
      </x:c>
      <x:c r="J420" s="19" t="n">
        <x:v>46260.10760416667</x:v>
      </x:c>
      <x:c r="K420" s="31" t="str">
        <x:v>data/fear-temperature/ngram/raw/c0c3021f09dbdf3542c85e1a8bd4e013bd4d99d85af63bbd55f5e05a6a7ddd2b.json</x:v>
      </x:c>
      <x:c r="L420" s="19" t="str">
        <x:v>f147d9b61eec9310d5a36c21ef68d14904b4782ed7663bc02178e865991f6aa6</x:v>
      </x:c>
      <x:c r="M420" s="19" t="str">
        <x:v>03c6b3b7aec17c75d6066c3ad33475123246728a6d70514bc6c4b2fac975aa04</x:v>
      </x:c>
      <x:c r="N420" s="31" t="str">
        <x:v>FT-LF-CLIMATE_CHANGE</x:v>
      </x:c>
      <x:c r="O420" s="31" t="str">
        <x:v>FT-C-MODERN_CLIMATE_CHANGE</x:v>
      </x:c>
      <x:c r="P420" s="31" t="str">
        <x:v>FT-F04</x:v>
      </x:c>
      <x:c r="Q420" s="49" t="n">
        <x:v>0.0020496091490684876</x:v>
      </x:c>
    </x:row>
    <x:row r="421" ht="20" customHeight="1">
      <x:c r="A421" s="40" t="str">
        <x:v>FT-Q-V01-070</x:v>
      </x:c>
      <x:c r="B421" s="19" t="str">
        <x:v>climate change</x:v>
      </x:c>
      <x:c r="C421" s="31" t="str">
        <x:v>climate</x:v>
      </x:c>
      <x:c r="D421" s="25" t="n">
        <x:v>1896</x:v>
      </x:c>
      <x:c r="E421" s="46" t="n">
        <x:v>4.706047773694877e-10</x:v>
      </x:c>
      <x:c r="F421" s="19" t="str">
        <x:v>eng</x:v>
      </x:c>
      <x:c r="G421" s="19" t="str">
        <x:v>current English corpus (July 2024 dataset; public shorthand eng; mutable current corpus)</x:v>
      </x:c>
      <x:c r="H421" s="19" t="str">
        <x:v>climate change (All)</x:v>
      </x:c>
      <x:c r="I421" s="19" t="str">
        <x:v>0</x:v>
      </x:c>
      <x:c r="J421" s="19" t="n">
        <x:v>46260.10760416667</x:v>
      </x:c>
      <x:c r="K421" s="31" t="str">
        <x:v>data/fear-temperature/ngram/raw/c0c3021f09dbdf3542c85e1a8bd4e013bd4d99d85af63bbd55f5e05a6a7ddd2b.json</x:v>
      </x:c>
      <x:c r="L421" s="19" t="str">
        <x:v>f147d9b61eec9310d5a36c21ef68d14904b4782ed7663bc02178e865991f6aa6</x:v>
      </x:c>
      <x:c r="M421" s="19" t="str">
        <x:v>03c6b3b7aec17c75d6066c3ad33475123246728a6d70514bc6c4b2fac975aa04</x:v>
      </x:c>
      <x:c r="N421" s="31" t="str">
        <x:v>FT-LF-CLIMATE_CHANGE</x:v>
      </x:c>
      <x:c r="O421" s="31" t="str">
        <x:v>FT-C-MODERN_CLIMATE_CHANGE</x:v>
      </x:c>
      <x:c r="P421" s="31" t="str">
        <x:v>FT-F04</x:v>
      </x:c>
      <x:c r="Q421" s="49" t="n">
        <x:v>0.0004706047773694877</x:v>
      </x:c>
    </x:row>
    <x:row r="422" ht="20" customHeight="1">
      <x:c r="A422" s="40" t="str">
        <x:v>FT-Q-V01-070</x:v>
      </x:c>
      <x:c r="B422" s="19" t="str">
        <x:v>climate change</x:v>
      </x:c>
      <x:c r="C422" s="31" t="str">
        <x:v>climate</x:v>
      </x:c>
      <x:c r="D422" s="25" t="n">
        <x:v>1897</x:v>
      </x:c>
      <x:c r="E422" s="46" t="n">
        <x:v>2.875197135931984e-9</x:v>
      </x:c>
      <x:c r="F422" s="19" t="str">
        <x:v>eng</x:v>
      </x:c>
      <x:c r="G422" s="19" t="str">
        <x:v>current English corpus (July 2024 dataset; public shorthand eng; mutable current corpus)</x:v>
      </x:c>
      <x:c r="H422" s="19" t="str">
        <x:v>climate change (All)</x:v>
      </x:c>
      <x:c r="I422" s="19" t="str">
        <x:v>0</x:v>
      </x:c>
      <x:c r="J422" s="19" t="n">
        <x:v>46260.10760416667</x:v>
      </x:c>
      <x:c r="K422" s="31" t="str">
        <x:v>data/fear-temperature/ngram/raw/c0c3021f09dbdf3542c85e1a8bd4e013bd4d99d85af63bbd55f5e05a6a7ddd2b.json</x:v>
      </x:c>
      <x:c r="L422" s="19" t="str">
        <x:v>f147d9b61eec9310d5a36c21ef68d14904b4782ed7663bc02178e865991f6aa6</x:v>
      </x:c>
      <x:c r="M422" s="19" t="str">
        <x:v>03c6b3b7aec17c75d6066c3ad33475123246728a6d70514bc6c4b2fac975aa04</x:v>
      </x:c>
      <x:c r="N422" s="31" t="str">
        <x:v>FT-LF-CLIMATE_CHANGE</x:v>
      </x:c>
      <x:c r="O422" s="31" t="str">
        <x:v>FT-C-MODERN_CLIMATE_CHANGE</x:v>
      </x:c>
      <x:c r="P422" s="31" t="str">
        <x:v>FT-F04</x:v>
      </x:c>
      <x:c r="Q422" s="49" t="n">
        <x:v>0.002875197135931984</x:v>
      </x:c>
    </x:row>
    <x:row r="423" ht="20" customHeight="1">
      <x:c r="A423" s="40" t="str">
        <x:v>FT-Q-V01-070</x:v>
      </x:c>
      <x:c r="B423" s="19" t="str">
        <x:v>climate change</x:v>
      </x:c>
      <x:c r="C423" s="31" t="str">
        <x:v>climate</x:v>
      </x:c>
      <x:c r="D423" s="25" t="n">
        <x:v>1898</x:v>
      </x:c>
      <x:c r="E423" s="46" t="n">
        <x:v>1.1794503151918432e-9</x:v>
      </x:c>
      <x:c r="F423" s="19" t="str">
        <x:v>eng</x:v>
      </x:c>
      <x:c r="G423" s="19" t="str">
        <x:v>current English corpus (July 2024 dataset; public shorthand eng; mutable current corpus)</x:v>
      </x:c>
      <x:c r="H423" s="19" t="str">
        <x:v>climate change (All)</x:v>
      </x:c>
      <x:c r="I423" s="19" t="str">
        <x:v>0</x:v>
      </x:c>
      <x:c r="J423" s="19" t="n">
        <x:v>46260.10760416667</x:v>
      </x:c>
      <x:c r="K423" s="31" t="str">
        <x:v>data/fear-temperature/ngram/raw/c0c3021f09dbdf3542c85e1a8bd4e013bd4d99d85af63bbd55f5e05a6a7ddd2b.json</x:v>
      </x:c>
      <x:c r="L423" s="19" t="str">
        <x:v>f147d9b61eec9310d5a36c21ef68d14904b4782ed7663bc02178e865991f6aa6</x:v>
      </x:c>
      <x:c r="M423" s="19" t="str">
        <x:v>03c6b3b7aec17c75d6066c3ad33475123246728a6d70514bc6c4b2fac975aa04</x:v>
      </x:c>
      <x:c r="N423" s="31" t="str">
        <x:v>FT-LF-CLIMATE_CHANGE</x:v>
      </x:c>
      <x:c r="O423" s="31" t="str">
        <x:v>FT-C-MODERN_CLIMATE_CHANGE</x:v>
      </x:c>
      <x:c r="P423" s="31" t="str">
        <x:v>FT-F04</x:v>
      </x:c>
      <x:c r="Q423" s="49" t="n">
        <x:v>0.0011794503151918432</x:v>
      </x:c>
    </x:row>
    <x:row r="424" ht="20" customHeight="1">
      <x:c r="A424" s="40" t="str">
        <x:v>FT-Q-V01-070</x:v>
      </x:c>
      <x:c r="B424" s="19" t="str">
        <x:v>climate change</x:v>
      </x:c>
      <x:c r="C424" s="31" t="str">
        <x:v>climate</x:v>
      </x:c>
      <x:c r="D424" s="25" t="n">
        <x:v>1899</x:v>
      </x:c>
      <x:c r="E424" s="46" t="n">
        <x:v>2.775533414212105e-10</x:v>
      </x:c>
      <x:c r="F424" s="19" t="str">
        <x:v>eng</x:v>
      </x:c>
      <x:c r="G424" s="19" t="str">
        <x:v>current English corpus (July 2024 dataset; public shorthand eng; mutable current corpus)</x:v>
      </x:c>
      <x:c r="H424" s="19" t="str">
        <x:v>climate change (All)</x:v>
      </x:c>
      <x:c r="I424" s="19" t="str">
        <x:v>0</x:v>
      </x:c>
      <x:c r="J424" s="19" t="n">
        <x:v>46260.10760416667</x:v>
      </x:c>
      <x:c r="K424" s="31" t="str">
        <x:v>data/fear-temperature/ngram/raw/c0c3021f09dbdf3542c85e1a8bd4e013bd4d99d85af63bbd55f5e05a6a7ddd2b.json</x:v>
      </x:c>
      <x:c r="L424" s="19" t="str">
        <x:v>f147d9b61eec9310d5a36c21ef68d14904b4782ed7663bc02178e865991f6aa6</x:v>
      </x:c>
      <x:c r="M424" s="19" t="str">
        <x:v>03c6b3b7aec17c75d6066c3ad33475123246728a6d70514bc6c4b2fac975aa04</x:v>
      </x:c>
      <x:c r="N424" s="31" t="str">
        <x:v>FT-LF-CLIMATE_CHANGE</x:v>
      </x:c>
      <x:c r="O424" s="31" t="str">
        <x:v>FT-C-MODERN_CLIMATE_CHANGE</x:v>
      </x:c>
      <x:c r="P424" s="31" t="str">
        <x:v>FT-F04</x:v>
      </x:c>
      <x:c r="Q424" s="49" t="n">
        <x:v>0.0002775533414212105</x:v>
      </x:c>
    </x:row>
    <x:row r="425" ht="20" customHeight="1">
      <x:c r="A425" s="40" t="str">
        <x:v>FT-Q-V01-070</x:v>
      </x:c>
      <x:c r="B425" s="19" t="str">
        <x:v>climate change</x:v>
      </x:c>
      <x:c r="C425" s="31" t="str">
        <x:v>climate</x:v>
      </x:c>
      <x:c r="D425" s="25" t="n">
        <x:v>1900</x:v>
      </x:c>
      <x:c r="E425" s="46" t="n">
        <x:v>8.286041019989199e-8</x:v>
      </x:c>
      <x:c r="F425" s="19" t="str">
        <x:v>eng</x:v>
      </x:c>
      <x:c r="G425" s="19" t="str">
        <x:v>current English corpus (July 2024 dataset; public shorthand eng; mutable current corpus)</x:v>
      </x:c>
      <x:c r="H425" s="19" t="str">
        <x:v>climate change (All)</x:v>
      </x:c>
      <x:c r="I425" s="19" t="str">
        <x:v>0</x:v>
      </x:c>
      <x:c r="J425" s="19" t="n">
        <x:v>46260.10760416667</x:v>
      </x:c>
      <x:c r="K425" s="31" t="str">
        <x:v>data/fear-temperature/ngram/raw/c0c3021f09dbdf3542c85e1a8bd4e013bd4d99d85af63bbd55f5e05a6a7ddd2b.json</x:v>
      </x:c>
      <x:c r="L425" s="19" t="str">
        <x:v>f147d9b61eec9310d5a36c21ef68d14904b4782ed7663bc02178e865991f6aa6</x:v>
      </x:c>
      <x:c r="M425" s="19" t="str">
        <x:v>03c6b3b7aec17c75d6066c3ad33475123246728a6d70514bc6c4b2fac975aa04</x:v>
      </x:c>
      <x:c r="N425" s="31" t="str">
        <x:v>FT-LF-CLIMATE_CHANGE</x:v>
      </x:c>
      <x:c r="O425" s="31" t="str">
        <x:v>FT-C-MODERN_CLIMATE_CHANGE</x:v>
      </x:c>
      <x:c r="P425" s="31" t="str">
        <x:v>FT-F04</x:v>
      </x:c>
      <x:c r="Q425" s="49" t="n">
        <x:v>0.08286041019989199</x:v>
      </x:c>
    </x:row>
    <x:row r="426" ht="20" customHeight="1">
      <x:c r="A426" s="40" t="str">
        <x:v>FT-Q-V01-070</x:v>
      </x:c>
      <x:c r="B426" s="19" t="str">
        <x:v>climate change</x:v>
      </x:c>
      <x:c r="C426" s="31" t="str">
        <x:v>climate</x:v>
      </x:c>
      <x:c r="D426" s="25" t="n">
        <x:v>1901</x:v>
      </x:c>
      <x:c r="E426" s="46" t="n">
        <x:v>1.4529826267151158e-7</x:v>
      </x:c>
      <x:c r="F426" s="19" t="str">
        <x:v>eng</x:v>
      </x:c>
      <x:c r="G426" s="19" t="str">
        <x:v>current English corpus (July 2024 dataset; public shorthand eng; mutable current corpus)</x:v>
      </x:c>
      <x:c r="H426" s="19" t="str">
        <x:v>climate change (All)</x:v>
      </x:c>
      <x:c r="I426" s="19" t="str">
        <x:v>0</x:v>
      </x:c>
      <x:c r="J426" s="19" t="n">
        <x:v>46260.10760416667</x:v>
      </x:c>
      <x:c r="K426" s="31" t="str">
        <x:v>data/fear-temperature/ngram/raw/c0c3021f09dbdf3542c85e1a8bd4e013bd4d99d85af63bbd55f5e05a6a7ddd2b.json</x:v>
      </x:c>
      <x:c r="L426" s="19" t="str">
        <x:v>f147d9b61eec9310d5a36c21ef68d14904b4782ed7663bc02178e865991f6aa6</x:v>
      </x:c>
      <x:c r="M426" s="19" t="str">
        <x:v>03c6b3b7aec17c75d6066c3ad33475123246728a6d70514bc6c4b2fac975aa04</x:v>
      </x:c>
      <x:c r="N426" s="31" t="str">
        <x:v>FT-LF-CLIMATE_CHANGE</x:v>
      </x:c>
      <x:c r="O426" s="31" t="str">
        <x:v>FT-C-MODERN_CLIMATE_CHANGE</x:v>
      </x:c>
      <x:c r="P426" s="31" t="str">
        <x:v>FT-F04</x:v>
      </x:c>
      <x:c r="Q426" s="49" t="n">
        <x:v>0.14529826267151158</x:v>
      </x:c>
    </x:row>
    <x:row r="427" ht="20" customHeight="1">
      <x:c r="A427" s="40" t="str">
        <x:v>FT-Q-V01-070</x:v>
      </x:c>
      <x:c r="B427" s="19" t="str">
        <x:v>climate change</x:v>
      </x:c>
      <x:c r="C427" s="31" t="str">
        <x:v>climate</x:v>
      </x:c>
      <x:c r="D427" s="25" t="n">
        <x:v>1902</x:v>
      </x:c>
      <x:c r="E427" s="46" t="n">
        <x:v>5.100180860972969e-9</x:v>
      </x:c>
      <x:c r="F427" s="19" t="str">
        <x:v>eng</x:v>
      </x:c>
      <x:c r="G427" s="19" t="str">
        <x:v>current English corpus (July 2024 dataset; public shorthand eng; mutable current corpus)</x:v>
      </x:c>
      <x:c r="H427" s="19" t="str">
        <x:v>climate change (All)</x:v>
      </x:c>
      <x:c r="I427" s="19" t="str">
        <x:v>0</x:v>
      </x:c>
      <x:c r="J427" s="19" t="n">
        <x:v>46260.10760416667</x:v>
      </x:c>
      <x:c r="K427" s="31" t="str">
        <x:v>data/fear-temperature/ngram/raw/c0c3021f09dbdf3542c85e1a8bd4e013bd4d99d85af63bbd55f5e05a6a7ddd2b.json</x:v>
      </x:c>
      <x:c r="L427" s="19" t="str">
        <x:v>f147d9b61eec9310d5a36c21ef68d14904b4782ed7663bc02178e865991f6aa6</x:v>
      </x:c>
      <x:c r="M427" s="19" t="str">
        <x:v>03c6b3b7aec17c75d6066c3ad33475123246728a6d70514bc6c4b2fac975aa04</x:v>
      </x:c>
      <x:c r="N427" s="31" t="str">
        <x:v>FT-LF-CLIMATE_CHANGE</x:v>
      </x:c>
      <x:c r="O427" s="31" t="str">
        <x:v>FT-C-MODERN_CLIMATE_CHANGE</x:v>
      </x:c>
      <x:c r="P427" s="31" t="str">
        <x:v>FT-F04</x:v>
      </x:c>
      <x:c r="Q427" s="49" t="n">
        <x:v>0.005100180860972969</x:v>
      </x:c>
    </x:row>
    <x:row r="428" ht="20" customHeight="1">
      <x:c r="A428" s="40" t="str">
        <x:v>FT-Q-V01-070</x:v>
      </x:c>
      <x:c r="B428" s="19" t="str">
        <x:v>climate change</x:v>
      </x:c>
      <x:c r="C428" s="31" t="str">
        <x:v>climate</x:v>
      </x:c>
      <x:c r="D428" s="25" t="n">
        <x:v>1903</x:v>
      </x:c>
      <x:c r="E428" s="46" t="n">
        <x:v>1.7440476840491213e-9</x:v>
      </x:c>
      <x:c r="F428" s="19" t="str">
        <x:v>eng</x:v>
      </x:c>
      <x:c r="G428" s="19" t="str">
        <x:v>current English corpus (July 2024 dataset; public shorthand eng; mutable current corpus)</x:v>
      </x:c>
      <x:c r="H428" s="19" t="str">
        <x:v>climate change (All)</x:v>
      </x:c>
      <x:c r="I428" s="19" t="str">
        <x:v>0</x:v>
      </x:c>
      <x:c r="J428" s="19" t="n">
        <x:v>46260.10760416667</x:v>
      </x:c>
      <x:c r="K428" s="31" t="str">
        <x:v>data/fear-temperature/ngram/raw/c0c3021f09dbdf3542c85e1a8bd4e013bd4d99d85af63bbd55f5e05a6a7ddd2b.json</x:v>
      </x:c>
      <x:c r="L428" s="19" t="str">
        <x:v>f147d9b61eec9310d5a36c21ef68d14904b4782ed7663bc02178e865991f6aa6</x:v>
      </x:c>
      <x:c r="M428" s="19" t="str">
        <x:v>03c6b3b7aec17c75d6066c3ad33475123246728a6d70514bc6c4b2fac975aa04</x:v>
      </x:c>
      <x:c r="N428" s="31" t="str">
        <x:v>FT-LF-CLIMATE_CHANGE</x:v>
      </x:c>
      <x:c r="O428" s="31" t="str">
        <x:v>FT-C-MODERN_CLIMATE_CHANGE</x:v>
      </x:c>
      <x:c r="P428" s="31" t="str">
        <x:v>FT-F04</x:v>
      </x:c>
      <x:c r="Q428" s="49" t="n">
        <x:v>0.0017440476840491213</x:v>
      </x:c>
    </x:row>
    <x:row r="429" ht="20" customHeight="1">
      <x:c r="A429" s="40" t="str">
        <x:v>FT-Q-V01-070</x:v>
      </x:c>
      <x:c r="B429" s="19" t="str">
        <x:v>climate change</x:v>
      </x:c>
      <x:c r="C429" s="31" t="str">
        <x:v>climate</x:v>
      </x:c>
      <x:c r="D429" s="25" t="n">
        <x:v>1904</x:v>
      </x:c>
      <x:c r="E429" s="46" t="n">
        <x:v>1.5820660337340085e-9</x:v>
      </x:c>
      <x:c r="F429" s="19" t="str">
        <x:v>eng</x:v>
      </x:c>
      <x:c r="G429" s="19" t="str">
        <x:v>current English corpus (July 2024 dataset; public shorthand eng; mutable current corpus)</x:v>
      </x:c>
      <x:c r="H429" s="19" t="str">
        <x:v>climate change (All)</x:v>
      </x:c>
      <x:c r="I429" s="19" t="str">
        <x:v>0</x:v>
      </x:c>
      <x:c r="J429" s="19" t="n">
        <x:v>46260.10760416667</x:v>
      </x:c>
      <x:c r="K429" s="31" t="str">
        <x:v>data/fear-temperature/ngram/raw/c0c3021f09dbdf3542c85e1a8bd4e013bd4d99d85af63bbd55f5e05a6a7ddd2b.json</x:v>
      </x:c>
      <x:c r="L429" s="19" t="str">
        <x:v>f147d9b61eec9310d5a36c21ef68d14904b4782ed7663bc02178e865991f6aa6</x:v>
      </x:c>
      <x:c r="M429" s="19" t="str">
        <x:v>03c6b3b7aec17c75d6066c3ad33475123246728a6d70514bc6c4b2fac975aa04</x:v>
      </x:c>
      <x:c r="N429" s="31" t="str">
        <x:v>FT-LF-CLIMATE_CHANGE</x:v>
      </x:c>
      <x:c r="O429" s="31" t="str">
        <x:v>FT-C-MODERN_CLIMATE_CHANGE</x:v>
      </x:c>
      <x:c r="P429" s="31" t="str">
        <x:v>FT-F04</x:v>
      </x:c>
      <x:c r="Q429" s="49" t="n">
        <x:v>0.0015820660337340085</x:v>
      </x:c>
    </x:row>
    <x:row r="430" ht="20" customHeight="1">
      <x:c r="A430" s="40" t="str">
        <x:v>FT-Q-V01-070</x:v>
      </x:c>
      <x:c r="B430" s="19" t="str">
        <x:v>climate change</x:v>
      </x:c>
      <x:c r="C430" s="31" t="str">
        <x:v>climate</x:v>
      </x:c>
      <x:c r="D430" s="25" t="n">
        <x:v>1905</x:v>
      </x:c>
      <x:c r="E430" s="46" t="n">
        <x:v>1.1753039097506244e-9</x:v>
      </x:c>
      <x:c r="F430" s="19" t="str">
        <x:v>eng</x:v>
      </x:c>
      <x:c r="G430" s="19" t="str">
        <x:v>current English corpus (July 2024 dataset; public shorthand eng; mutable current corpus)</x:v>
      </x:c>
      <x:c r="H430" s="19" t="str">
        <x:v>climate change (All)</x:v>
      </x:c>
      <x:c r="I430" s="19" t="str">
        <x:v>0</x:v>
      </x:c>
      <x:c r="J430" s="19" t="n">
        <x:v>46260.10760416667</x:v>
      </x:c>
      <x:c r="K430" s="31" t="str">
        <x:v>data/fear-temperature/ngram/raw/c0c3021f09dbdf3542c85e1a8bd4e013bd4d99d85af63bbd55f5e05a6a7ddd2b.json</x:v>
      </x:c>
      <x:c r="L430" s="19" t="str">
        <x:v>f147d9b61eec9310d5a36c21ef68d14904b4782ed7663bc02178e865991f6aa6</x:v>
      </x:c>
      <x:c r="M430" s="19" t="str">
        <x:v>03c6b3b7aec17c75d6066c3ad33475123246728a6d70514bc6c4b2fac975aa04</x:v>
      </x:c>
      <x:c r="N430" s="31" t="str">
        <x:v>FT-LF-CLIMATE_CHANGE</x:v>
      </x:c>
      <x:c r="O430" s="31" t="str">
        <x:v>FT-C-MODERN_CLIMATE_CHANGE</x:v>
      </x:c>
      <x:c r="P430" s="31" t="str">
        <x:v>FT-F04</x:v>
      </x:c>
      <x:c r="Q430" s="49" t="n">
        <x:v>0.0011753039097506244</x:v>
      </x:c>
    </x:row>
    <x:row r="431" ht="20" customHeight="1">
      <x:c r="A431" s="40" t="str">
        <x:v>FT-Q-V01-070</x:v>
      </x:c>
      <x:c r="B431" s="19" t="str">
        <x:v>climate change</x:v>
      </x:c>
      <x:c r="C431" s="31" t="str">
        <x:v>climate</x:v>
      </x:c>
      <x:c r="D431" s="25" t="n">
        <x:v>1906</x:v>
      </x:c>
      <x:c r="E431" s="46" t="n">
        <x:v>1.3454134473178667e-9</x:v>
      </x:c>
      <x:c r="F431" s="19" t="str">
        <x:v>eng</x:v>
      </x:c>
      <x:c r="G431" s="19" t="str">
        <x:v>current English corpus (July 2024 dataset; public shorthand eng; mutable current corpus)</x:v>
      </x:c>
      <x:c r="H431" s="19" t="str">
        <x:v>climate change (All)</x:v>
      </x:c>
      <x:c r="I431" s="19" t="str">
        <x:v>0</x:v>
      </x:c>
      <x:c r="J431" s="19" t="n">
        <x:v>46260.10760416667</x:v>
      </x:c>
      <x:c r="K431" s="31" t="str">
        <x:v>data/fear-temperature/ngram/raw/c0c3021f09dbdf3542c85e1a8bd4e013bd4d99d85af63bbd55f5e05a6a7ddd2b.json</x:v>
      </x:c>
      <x:c r="L431" s="19" t="str">
        <x:v>f147d9b61eec9310d5a36c21ef68d14904b4782ed7663bc02178e865991f6aa6</x:v>
      </x:c>
      <x:c r="M431" s="19" t="str">
        <x:v>03c6b3b7aec17c75d6066c3ad33475123246728a6d70514bc6c4b2fac975aa04</x:v>
      </x:c>
      <x:c r="N431" s="31" t="str">
        <x:v>FT-LF-CLIMATE_CHANGE</x:v>
      </x:c>
      <x:c r="O431" s="31" t="str">
        <x:v>FT-C-MODERN_CLIMATE_CHANGE</x:v>
      </x:c>
      <x:c r="P431" s="31" t="str">
        <x:v>FT-F04</x:v>
      </x:c>
      <x:c r="Q431" s="49" t="n">
        <x:v>0.0013454134473178667</x:v>
      </x:c>
    </x:row>
    <x:row r="432" ht="20" customHeight="1">
      <x:c r="A432" s="40" t="str">
        <x:v>FT-Q-V01-070</x:v>
      </x:c>
      <x:c r="B432" s="19" t="str">
        <x:v>climate change</x:v>
      </x:c>
      <x:c r="C432" s="31" t="str">
        <x:v>climate</x:v>
      </x:c>
      <x:c r="D432" s="25" t="n">
        <x:v>1907</x:v>
      </x:c>
      <x:c r="E432" s="46" t="n">
        <x:v>3.6052540675068907e-9</x:v>
      </x:c>
      <x:c r="F432" s="19" t="str">
        <x:v>eng</x:v>
      </x:c>
      <x:c r="G432" s="19" t="str">
        <x:v>current English corpus (July 2024 dataset; public shorthand eng; mutable current corpus)</x:v>
      </x:c>
      <x:c r="H432" s="19" t="str">
        <x:v>climate change (All)</x:v>
      </x:c>
      <x:c r="I432" s="19" t="str">
        <x:v>0</x:v>
      </x:c>
      <x:c r="J432" s="19" t="n">
        <x:v>46260.10760416667</x:v>
      </x:c>
      <x:c r="K432" s="31" t="str">
        <x:v>data/fear-temperature/ngram/raw/c0c3021f09dbdf3542c85e1a8bd4e013bd4d99d85af63bbd55f5e05a6a7ddd2b.json</x:v>
      </x:c>
      <x:c r="L432" s="19" t="str">
        <x:v>f147d9b61eec9310d5a36c21ef68d14904b4782ed7663bc02178e865991f6aa6</x:v>
      </x:c>
      <x:c r="M432" s="19" t="str">
        <x:v>03c6b3b7aec17c75d6066c3ad33475123246728a6d70514bc6c4b2fac975aa04</x:v>
      </x:c>
      <x:c r="N432" s="31" t="str">
        <x:v>FT-LF-CLIMATE_CHANGE</x:v>
      </x:c>
      <x:c r="O432" s="31" t="str">
        <x:v>FT-C-MODERN_CLIMATE_CHANGE</x:v>
      </x:c>
      <x:c r="P432" s="31" t="str">
        <x:v>FT-F04</x:v>
      </x:c>
      <x:c r="Q432" s="49" t="n">
        <x:v>0.0036052540675068907</x:v>
      </x:c>
    </x:row>
    <x:row r="433" ht="20" customHeight="1">
      <x:c r="A433" s="40" t="str">
        <x:v>FT-Q-V01-070</x:v>
      </x:c>
      <x:c r="B433" s="19" t="str">
        <x:v>climate change</x:v>
      </x:c>
      <x:c r="C433" s="31" t="str">
        <x:v>climate</x:v>
      </x:c>
      <x:c r="D433" s="25" t="n">
        <x:v>1908</x:v>
      </x:c>
      <x:c r="E433" s="46" t="n">
        <x:v>6.63696701763694e-10</x:v>
      </x:c>
      <x:c r="F433" s="19" t="str">
        <x:v>eng</x:v>
      </x:c>
      <x:c r="G433" s="19" t="str">
        <x:v>current English corpus (July 2024 dataset; public shorthand eng; mutable current corpus)</x:v>
      </x:c>
      <x:c r="H433" s="19" t="str">
        <x:v>climate change (All)</x:v>
      </x:c>
      <x:c r="I433" s="19" t="str">
        <x:v>0</x:v>
      </x:c>
      <x:c r="J433" s="19" t="n">
        <x:v>46260.10760416667</x:v>
      </x:c>
      <x:c r="K433" s="31" t="str">
        <x:v>data/fear-temperature/ngram/raw/c0c3021f09dbdf3542c85e1a8bd4e013bd4d99d85af63bbd55f5e05a6a7ddd2b.json</x:v>
      </x:c>
      <x:c r="L433" s="19" t="str">
        <x:v>f147d9b61eec9310d5a36c21ef68d14904b4782ed7663bc02178e865991f6aa6</x:v>
      </x:c>
      <x:c r="M433" s="19" t="str">
        <x:v>03c6b3b7aec17c75d6066c3ad33475123246728a6d70514bc6c4b2fac975aa04</x:v>
      </x:c>
      <x:c r="N433" s="31" t="str">
        <x:v>FT-LF-CLIMATE_CHANGE</x:v>
      </x:c>
      <x:c r="O433" s="31" t="str">
        <x:v>FT-C-MODERN_CLIMATE_CHANGE</x:v>
      </x:c>
      <x:c r="P433" s="31" t="str">
        <x:v>FT-F04</x:v>
      </x:c>
      <x:c r="Q433" s="49" t="n">
        <x:v>0.000663696701763694</x:v>
      </x:c>
    </x:row>
    <x:row r="434" ht="20" customHeight="1">
      <x:c r="A434" s="40" t="str">
        <x:v>FT-Q-V01-070</x:v>
      </x:c>
      <x:c r="B434" s="19" t="str">
        <x:v>climate change</x:v>
      </x:c>
      <x:c r="C434" s="31" t="str">
        <x:v>climate</x:v>
      </x:c>
      <x:c r="D434" s="25" t="n">
        <x:v>1909</x:v>
      </x:c>
      <x:c r="E434" s="46" t="n">
        <x:v>1.0979941678090908e-9</x:v>
      </x:c>
      <x:c r="F434" s="19" t="str">
        <x:v>eng</x:v>
      </x:c>
      <x:c r="G434" s="19" t="str">
        <x:v>current English corpus (July 2024 dataset; public shorthand eng; mutable current corpus)</x:v>
      </x:c>
      <x:c r="H434" s="19" t="str">
        <x:v>climate change (All)</x:v>
      </x:c>
      <x:c r="I434" s="19" t="str">
        <x:v>0</x:v>
      </x:c>
      <x:c r="J434" s="19" t="n">
        <x:v>46260.10760416667</x:v>
      </x:c>
      <x:c r="K434" s="31" t="str">
        <x:v>data/fear-temperature/ngram/raw/c0c3021f09dbdf3542c85e1a8bd4e013bd4d99d85af63bbd55f5e05a6a7ddd2b.json</x:v>
      </x:c>
      <x:c r="L434" s="19" t="str">
        <x:v>f147d9b61eec9310d5a36c21ef68d14904b4782ed7663bc02178e865991f6aa6</x:v>
      </x:c>
      <x:c r="M434" s="19" t="str">
        <x:v>03c6b3b7aec17c75d6066c3ad33475123246728a6d70514bc6c4b2fac975aa04</x:v>
      </x:c>
      <x:c r="N434" s="31" t="str">
        <x:v>FT-LF-CLIMATE_CHANGE</x:v>
      </x:c>
      <x:c r="O434" s="31" t="str">
        <x:v>FT-C-MODERN_CLIMATE_CHANGE</x:v>
      </x:c>
      <x:c r="P434" s="31" t="str">
        <x:v>FT-F04</x:v>
      </x:c>
      <x:c r="Q434" s="49" t="n">
        <x:v>0.0010979941678090908</x:v>
      </x:c>
    </x:row>
    <x:row r="435" ht="20" customHeight="1">
      <x:c r="A435" s="40" t="str">
        <x:v>FT-Q-V01-070</x:v>
      </x:c>
      <x:c r="B435" s="19" t="str">
        <x:v>climate change</x:v>
      </x:c>
      <x:c r="C435" s="31" t="str">
        <x:v>climate</x:v>
      </x:c>
      <x:c r="D435" s="25" t="n">
        <x:v>1910</x:v>
      </x:c>
      <x:c r="E435" s="46" t="n">
        <x:v>4.393949537551123e-9</x:v>
      </x:c>
      <x:c r="F435" s="19" t="str">
        <x:v>eng</x:v>
      </x:c>
      <x:c r="G435" s="19" t="str">
        <x:v>current English corpus (July 2024 dataset; public shorthand eng; mutable current corpus)</x:v>
      </x:c>
      <x:c r="H435" s="19" t="str">
        <x:v>climate change (All)</x:v>
      </x:c>
      <x:c r="I435" s="19" t="str">
        <x:v>0</x:v>
      </x:c>
      <x:c r="J435" s="19" t="n">
        <x:v>46260.10760416667</x:v>
      </x:c>
      <x:c r="K435" s="31" t="str">
        <x:v>data/fear-temperature/ngram/raw/c0c3021f09dbdf3542c85e1a8bd4e013bd4d99d85af63bbd55f5e05a6a7ddd2b.json</x:v>
      </x:c>
      <x:c r="L435" s="19" t="str">
        <x:v>f147d9b61eec9310d5a36c21ef68d14904b4782ed7663bc02178e865991f6aa6</x:v>
      </x:c>
      <x:c r="M435" s="19" t="str">
        <x:v>03c6b3b7aec17c75d6066c3ad33475123246728a6d70514bc6c4b2fac975aa04</x:v>
      </x:c>
      <x:c r="N435" s="31" t="str">
        <x:v>FT-LF-CLIMATE_CHANGE</x:v>
      </x:c>
      <x:c r="O435" s="31" t="str">
        <x:v>FT-C-MODERN_CLIMATE_CHANGE</x:v>
      </x:c>
      <x:c r="P435" s="31" t="str">
        <x:v>FT-F04</x:v>
      </x:c>
      <x:c r="Q435" s="49" t="n">
        <x:v>0.004393949537551123</x:v>
      </x:c>
    </x:row>
    <x:row r="436" ht="20" customHeight="1">
      <x:c r="A436" s="40" t="str">
        <x:v>FT-Q-V01-070</x:v>
      </x:c>
      <x:c r="B436" s="19" t="str">
        <x:v>climate change</x:v>
      </x:c>
      <x:c r="C436" s="31" t="str">
        <x:v>climate</x:v>
      </x:c>
      <x:c r="D436" s="25" t="n">
        <x:v>1911</x:v>
      </x:c>
      <x:c r="E436" s="46" t="n">
        <x:v>1.2241944541413472e-9</x:v>
      </x:c>
      <x:c r="F436" s="19" t="str">
        <x:v>eng</x:v>
      </x:c>
      <x:c r="G436" s="19" t="str">
        <x:v>current English corpus (July 2024 dataset; public shorthand eng; mutable current corpus)</x:v>
      </x:c>
      <x:c r="H436" s="19" t="str">
        <x:v>climate change (All)</x:v>
      </x:c>
      <x:c r="I436" s="19" t="str">
        <x:v>0</x:v>
      </x:c>
      <x:c r="J436" s="19" t="n">
        <x:v>46260.10760416667</x:v>
      </x:c>
      <x:c r="K436" s="31" t="str">
        <x:v>data/fear-temperature/ngram/raw/c0c3021f09dbdf3542c85e1a8bd4e013bd4d99d85af63bbd55f5e05a6a7ddd2b.json</x:v>
      </x:c>
      <x:c r="L436" s="19" t="str">
        <x:v>f147d9b61eec9310d5a36c21ef68d14904b4782ed7663bc02178e865991f6aa6</x:v>
      </x:c>
      <x:c r="M436" s="19" t="str">
        <x:v>03c6b3b7aec17c75d6066c3ad33475123246728a6d70514bc6c4b2fac975aa04</x:v>
      </x:c>
      <x:c r="N436" s="31" t="str">
        <x:v>FT-LF-CLIMATE_CHANGE</x:v>
      </x:c>
      <x:c r="O436" s="31" t="str">
        <x:v>FT-C-MODERN_CLIMATE_CHANGE</x:v>
      </x:c>
      <x:c r="P436" s="31" t="str">
        <x:v>FT-F04</x:v>
      </x:c>
      <x:c r="Q436" s="49" t="n">
        <x:v>0.0012241944541413472</x:v>
      </x:c>
    </x:row>
    <x:row r="437" ht="20" customHeight="1">
      <x:c r="A437" s="40" t="str">
        <x:v>FT-Q-V01-070</x:v>
      </x:c>
      <x:c r="B437" s="19" t="str">
        <x:v>climate change</x:v>
      </x:c>
      <x:c r="C437" s="31" t="str">
        <x:v>climate</x:v>
      </x:c>
      <x:c r="D437" s="25" t="n">
        <x:v>1912</x:v>
      </x:c>
      <x:c r="E437" s="46" t="n">
        <x:v>5.926521495780435e-10</x:v>
      </x:c>
      <x:c r="F437" s="19" t="str">
        <x:v>eng</x:v>
      </x:c>
      <x:c r="G437" s="19" t="str">
        <x:v>current English corpus (July 2024 dataset; public shorthand eng; mutable current corpus)</x:v>
      </x:c>
      <x:c r="H437" s="19" t="str">
        <x:v>climate change (All)</x:v>
      </x:c>
      <x:c r="I437" s="19" t="str">
        <x:v>0</x:v>
      </x:c>
      <x:c r="J437" s="19" t="n">
        <x:v>46260.10760416667</x:v>
      </x:c>
      <x:c r="K437" s="31" t="str">
        <x:v>data/fear-temperature/ngram/raw/c0c3021f09dbdf3542c85e1a8bd4e013bd4d99d85af63bbd55f5e05a6a7ddd2b.json</x:v>
      </x:c>
      <x:c r="L437" s="19" t="str">
        <x:v>f147d9b61eec9310d5a36c21ef68d14904b4782ed7663bc02178e865991f6aa6</x:v>
      </x:c>
      <x:c r="M437" s="19" t="str">
        <x:v>03c6b3b7aec17c75d6066c3ad33475123246728a6d70514bc6c4b2fac975aa04</x:v>
      </x:c>
      <x:c r="N437" s="31" t="str">
        <x:v>FT-LF-CLIMATE_CHANGE</x:v>
      </x:c>
      <x:c r="O437" s="31" t="str">
        <x:v>FT-C-MODERN_CLIMATE_CHANGE</x:v>
      </x:c>
      <x:c r="P437" s="31" t="str">
        <x:v>FT-F04</x:v>
      </x:c>
      <x:c r="Q437" s="49" t="n">
        <x:v>0.0005926521495780435</x:v>
      </x:c>
    </x:row>
    <x:row r="438" ht="20" customHeight="1">
      <x:c r="A438" s="40" t="str">
        <x:v>FT-Q-V01-070</x:v>
      </x:c>
      <x:c r="B438" s="19" t="str">
        <x:v>climate change</x:v>
      </x:c>
      <x:c r="C438" s="31" t="str">
        <x:v>climate</x:v>
      </x:c>
      <x:c r="D438" s="25" t="n">
        <x:v>1913</x:v>
      </x:c>
      <x:c r="E438" s="46" t="n">
        <x:v>2.217755062927651e-9</x:v>
      </x:c>
      <x:c r="F438" s="19" t="str">
        <x:v>eng</x:v>
      </x:c>
      <x:c r="G438" s="19" t="str">
        <x:v>current English corpus (July 2024 dataset; public shorthand eng; mutable current corpus)</x:v>
      </x:c>
      <x:c r="H438" s="19" t="str">
        <x:v>climate change (All)</x:v>
      </x:c>
      <x:c r="I438" s="19" t="str">
        <x:v>0</x:v>
      </x:c>
      <x:c r="J438" s="19" t="n">
        <x:v>46260.10760416667</x:v>
      </x:c>
      <x:c r="K438" s="31" t="str">
        <x:v>data/fear-temperature/ngram/raw/c0c3021f09dbdf3542c85e1a8bd4e013bd4d99d85af63bbd55f5e05a6a7ddd2b.json</x:v>
      </x:c>
      <x:c r="L438" s="19" t="str">
        <x:v>f147d9b61eec9310d5a36c21ef68d14904b4782ed7663bc02178e865991f6aa6</x:v>
      </x:c>
      <x:c r="M438" s="19" t="str">
        <x:v>03c6b3b7aec17c75d6066c3ad33475123246728a6d70514bc6c4b2fac975aa04</x:v>
      </x:c>
      <x:c r="N438" s="31" t="str">
        <x:v>FT-LF-CLIMATE_CHANGE</x:v>
      </x:c>
      <x:c r="O438" s="31" t="str">
        <x:v>FT-C-MODERN_CLIMATE_CHANGE</x:v>
      </x:c>
      <x:c r="P438" s="31" t="str">
        <x:v>FT-F04</x:v>
      </x:c>
      <x:c r="Q438" s="49" t="n">
        <x:v>0.002217755062927651</x:v>
      </x:c>
    </x:row>
    <x:row r="439" ht="20" customHeight="1">
      <x:c r="A439" s="40" t="str">
        <x:v>FT-Q-V01-070</x:v>
      </x:c>
      <x:c r="B439" s="19" t="str">
        <x:v>climate change</x:v>
      </x:c>
      <x:c r="C439" s="31" t="str">
        <x:v>climate</x:v>
      </x:c>
      <x:c r="D439" s="25" t="n">
        <x:v>1914</x:v>
      </x:c>
      <x:c r="E439" s="46" t="n">
        <x:v>7.492009235221531e-10</x:v>
      </x:c>
      <x:c r="F439" s="19" t="str">
        <x:v>eng</x:v>
      </x:c>
      <x:c r="G439" s="19" t="str">
        <x:v>current English corpus (July 2024 dataset; public shorthand eng; mutable current corpus)</x:v>
      </x:c>
      <x:c r="H439" s="19" t="str">
        <x:v>climate change (All)</x:v>
      </x:c>
      <x:c r="I439" s="19" t="str">
        <x:v>0</x:v>
      </x:c>
      <x:c r="J439" s="19" t="n">
        <x:v>46260.10760416667</x:v>
      </x:c>
      <x:c r="K439" s="31" t="str">
        <x:v>data/fear-temperature/ngram/raw/c0c3021f09dbdf3542c85e1a8bd4e013bd4d99d85af63bbd55f5e05a6a7ddd2b.json</x:v>
      </x:c>
      <x:c r="L439" s="19" t="str">
        <x:v>f147d9b61eec9310d5a36c21ef68d14904b4782ed7663bc02178e865991f6aa6</x:v>
      </x:c>
      <x:c r="M439" s="19" t="str">
        <x:v>03c6b3b7aec17c75d6066c3ad33475123246728a6d70514bc6c4b2fac975aa04</x:v>
      </x:c>
      <x:c r="N439" s="31" t="str">
        <x:v>FT-LF-CLIMATE_CHANGE</x:v>
      </x:c>
      <x:c r="O439" s="31" t="str">
        <x:v>FT-C-MODERN_CLIMATE_CHANGE</x:v>
      </x:c>
      <x:c r="P439" s="31" t="str">
        <x:v>FT-F04</x:v>
      </x:c>
      <x:c r="Q439" s="49" t="n">
        <x:v>0.0007492009235221531</x:v>
      </x:c>
    </x:row>
    <x:row r="440" ht="20" customHeight="1">
      <x:c r="A440" s="40" t="str">
        <x:v>FT-Q-V01-070</x:v>
      </x:c>
      <x:c r="B440" s="19" t="str">
        <x:v>climate change</x:v>
      </x:c>
      <x:c r="C440" s="31" t="str">
        <x:v>climate</x:v>
      </x:c>
      <x:c r="D440" s="25" t="n">
        <x:v>1915</x:v>
      </x:c>
      <x:c r="E440" s="46" t="n">
        <x:v>2.36375232581798e-9</x:v>
      </x:c>
      <x:c r="F440" s="19" t="str">
        <x:v>eng</x:v>
      </x:c>
      <x:c r="G440" s="19" t="str">
        <x:v>current English corpus (July 2024 dataset; public shorthand eng; mutable current corpus)</x:v>
      </x:c>
      <x:c r="H440" s="19" t="str">
        <x:v>climate change (All)</x:v>
      </x:c>
      <x:c r="I440" s="19" t="str">
        <x:v>0</x:v>
      </x:c>
      <x:c r="J440" s="19" t="n">
        <x:v>46260.10760416667</x:v>
      </x:c>
      <x:c r="K440" s="31" t="str">
        <x:v>data/fear-temperature/ngram/raw/c0c3021f09dbdf3542c85e1a8bd4e013bd4d99d85af63bbd55f5e05a6a7ddd2b.json</x:v>
      </x:c>
      <x:c r="L440" s="19" t="str">
        <x:v>f147d9b61eec9310d5a36c21ef68d14904b4782ed7663bc02178e865991f6aa6</x:v>
      </x:c>
      <x:c r="M440" s="19" t="str">
        <x:v>03c6b3b7aec17c75d6066c3ad33475123246728a6d70514bc6c4b2fac975aa04</x:v>
      </x:c>
      <x:c r="N440" s="31" t="str">
        <x:v>FT-LF-CLIMATE_CHANGE</x:v>
      </x:c>
      <x:c r="O440" s="31" t="str">
        <x:v>FT-C-MODERN_CLIMATE_CHANGE</x:v>
      </x:c>
      <x:c r="P440" s="31" t="str">
        <x:v>FT-F04</x:v>
      </x:c>
      <x:c r="Q440" s="49" t="n">
        <x:v>0.00236375232581798</x:v>
      </x:c>
    </x:row>
    <x:row r="441" ht="20" customHeight="1">
      <x:c r="A441" s="40" t="str">
        <x:v>FT-Q-V01-070</x:v>
      </x:c>
      <x:c r="B441" s="19" t="str">
        <x:v>climate change</x:v>
      </x:c>
      <x:c r="C441" s="31" t="str">
        <x:v>climate</x:v>
      </x:c>
      <x:c r="D441" s="25" t="n">
        <x:v>1916</x:v>
      </x:c>
      <x:c r="E441" s="46" t="n">
        <x:v>2.056239623016154e-9</x:v>
      </x:c>
      <x:c r="F441" s="19" t="str">
        <x:v>eng</x:v>
      </x:c>
      <x:c r="G441" s="19" t="str">
        <x:v>current English corpus (July 2024 dataset; public shorthand eng; mutable current corpus)</x:v>
      </x:c>
      <x:c r="H441" s="19" t="str">
        <x:v>climate change (All)</x:v>
      </x:c>
      <x:c r="I441" s="19" t="str">
        <x:v>0</x:v>
      </x:c>
      <x:c r="J441" s="19" t="n">
        <x:v>46260.10760416667</x:v>
      </x:c>
      <x:c r="K441" s="31" t="str">
        <x:v>data/fear-temperature/ngram/raw/c0c3021f09dbdf3542c85e1a8bd4e013bd4d99d85af63bbd55f5e05a6a7ddd2b.json</x:v>
      </x:c>
      <x:c r="L441" s="19" t="str">
        <x:v>f147d9b61eec9310d5a36c21ef68d14904b4782ed7663bc02178e865991f6aa6</x:v>
      </x:c>
      <x:c r="M441" s="19" t="str">
        <x:v>03c6b3b7aec17c75d6066c3ad33475123246728a6d70514bc6c4b2fac975aa04</x:v>
      </x:c>
      <x:c r="N441" s="31" t="str">
        <x:v>FT-LF-CLIMATE_CHANGE</x:v>
      </x:c>
      <x:c r="O441" s="31" t="str">
        <x:v>FT-C-MODERN_CLIMATE_CHANGE</x:v>
      </x:c>
      <x:c r="P441" s="31" t="str">
        <x:v>FT-F04</x:v>
      </x:c>
      <x:c r="Q441" s="49" t="n">
        <x:v>0.002056239623016154</x:v>
      </x:c>
    </x:row>
    <x:row r="442" ht="20" customHeight="1">
      <x:c r="A442" s="40" t="str">
        <x:v>FT-Q-V01-070</x:v>
      </x:c>
      <x:c r="B442" s="19" t="str">
        <x:v>climate change</x:v>
      </x:c>
      <x:c r="C442" s="31" t="str">
        <x:v>climate</x:v>
      </x:c>
      <x:c r="D442" s="25" t="n">
        <x:v>1917</x:v>
      </x:c>
      <x:c r="E442" s="46" t="n">
        <x:v>1.7645298000523722e-9</x:v>
      </x:c>
      <x:c r="F442" s="19" t="str">
        <x:v>eng</x:v>
      </x:c>
      <x:c r="G442" s="19" t="str">
        <x:v>current English corpus (July 2024 dataset; public shorthand eng; mutable current corpus)</x:v>
      </x:c>
      <x:c r="H442" s="19" t="str">
        <x:v>climate change (All)</x:v>
      </x:c>
      <x:c r="I442" s="19" t="str">
        <x:v>0</x:v>
      </x:c>
      <x:c r="J442" s="19" t="n">
        <x:v>46260.10760416667</x:v>
      </x:c>
      <x:c r="K442" s="31" t="str">
        <x:v>data/fear-temperature/ngram/raw/c0c3021f09dbdf3542c85e1a8bd4e013bd4d99d85af63bbd55f5e05a6a7ddd2b.json</x:v>
      </x:c>
      <x:c r="L442" s="19" t="str">
        <x:v>f147d9b61eec9310d5a36c21ef68d14904b4782ed7663bc02178e865991f6aa6</x:v>
      </x:c>
      <x:c r="M442" s="19" t="str">
        <x:v>03c6b3b7aec17c75d6066c3ad33475123246728a6d70514bc6c4b2fac975aa04</x:v>
      </x:c>
      <x:c r="N442" s="31" t="str">
        <x:v>FT-LF-CLIMATE_CHANGE</x:v>
      </x:c>
      <x:c r="O442" s="31" t="str">
        <x:v>FT-C-MODERN_CLIMATE_CHANGE</x:v>
      </x:c>
      <x:c r="P442" s="31" t="str">
        <x:v>FT-F04</x:v>
      </x:c>
      <x:c r="Q442" s="49" t="n">
        <x:v>0.0017645298000523721</x:v>
      </x:c>
    </x:row>
    <x:row r="443" ht="20" customHeight="1">
      <x:c r="A443" s="40" t="str">
        <x:v>FT-Q-V01-070</x:v>
      </x:c>
      <x:c r="B443" s="19" t="str">
        <x:v>climate change</x:v>
      </x:c>
      <x:c r="C443" s="31" t="str">
        <x:v>climate</x:v>
      </x:c>
      <x:c r="D443" s="25" t="n">
        <x:v>1918</x:v>
      </x:c>
      <x:c r="E443" s="46" t="n">
        <x:v>1.7002403651655838e-9</x:v>
      </x:c>
      <x:c r="F443" s="19" t="str">
        <x:v>eng</x:v>
      </x:c>
      <x:c r="G443" s="19" t="str">
        <x:v>current English corpus (July 2024 dataset; public shorthand eng; mutable current corpus)</x:v>
      </x:c>
      <x:c r="H443" s="19" t="str">
        <x:v>climate change (All)</x:v>
      </x:c>
      <x:c r="I443" s="19" t="str">
        <x:v>0</x:v>
      </x:c>
      <x:c r="J443" s="19" t="n">
        <x:v>46260.10760416667</x:v>
      </x:c>
      <x:c r="K443" s="31" t="str">
        <x:v>data/fear-temperature/ngram/raw/c0c3021f09dbdf3542c85e1a8bd4e013bd4d99d85af63bbd55f5e05a6a7ddd2b.json</x:v>
      </x:c>
      <x:c r="L443" s="19" t="str">
        <x:v>f147d9b61eec9310d5a36c21ef68d14904b4782ed7663bc02178e865991f6aa6</x:v>
      </x:c>
      <x:c r="M443" s="19" t="str">
        <x:v>03c6b3b7aec17c75d6066c3ad33475123246728a6d70514bc6c4b2fac975aa04</x:v>
      </x:c>
      <x:c r="N443" s="31" t="str">
        <x:v>FT-LF-CLIMATE_CHANGE</x:v>
      </x:c>
      <x:c r="O443" s="31" t="str">
        <x:v>FT-C-MODERN_CLIMATE_CHANGE</x:v>
      </x:c>
      <x:c r="P443" s="31" t="str">
        <x:v>FT-F04</x:v>
      </x:c>
      <x:c r="Q443" s="49" t="n">
        <x:v>0.0017002403651655837</x:v>
      </x:c>
    </x:row>
    <x:row r="444" ht="20" customHeight="1">
      <x:c r="A444" s="40" t="str">
        <x:v>FT-Q-V01-070</x:v>
      </x:c>
      <x:c r="B444" s="19" t="str">
        <x:v>climate change</x:v>
      </x:c>
      <x:c r="C444" s="31" t="str">
        <x:v>climate</x:v>
      </x:c>
      <x:c r="D444" s="25" t="n">
        <x:v>1919</x:v>
      </x:c>
      <x:c r="E444" s="46" t="n">
        <x:v>3.226021383362365e-8</x:v>
      </x:c>
      <x:c r="F444" s="19" t="str">
        <x:v>eng</x:v>
      </x:c>
      <x:c r="G444" s="19" t="str">
        <x:v>current English corpus (July 2024 dataset; public shorthand eng; mutable current corpus)</x:v>
      </x:c>
      <x:c r="H444" s="19" t="str">
        <x:v>climate change (All)</x:v>
      </x:c>
      <x:c r="I444" s="19" t="str">
        <x:v>0</x:v>
      </x:c>
      <x:c r="J444" s="19" t="n">
        <x:v>46260.10760416667</x:v>
      </x:c>
      <x:c r="K444" s="31" t="str">
        <x:v>data/fear-temperature/ngram/raw/c0c3021f09dbdf3542c85e1a8bd4e013bd4d99d85af63bbd55f5e05a6a7ddd2b.json</x:v>
      </x:c>
      <x:c r="L444" s="19" t="str">
        <x:v>f147d9b61eec9310d5a36c21ef68d14904b4782ed7663bc02178e865991f6aa6</x:v>
      </x:c>
      <x:c r="M444" s="19" t="str">
        <x:v>03c6b3b7aec17c75d6066c3ad33475123246728a6d70514bc6c4b2fac975aa04</x:v>
      </x:c>
      <x:c r="N444" s="31" t="str">
        <x:v>FT-LF-CLIMATE_CHANGE</x:v>
      </x:c>
      <x:c r="O444" s="31" t="str">
        <x:v>FT-C-MODERN_CLIMATE_CHANGE</x:v>
      </x:c>
      <x:c r="P444" s="31" t="str">
        <x:v>FT-F04</x:v>
      </x:c>
      <x:c r="Q444" s="49" t="n">
        <x:v>0.03226021383362365</x:v>
      </x:c>
    </x:row>
    <x:row r="445" ht="20" customHeight="1">
      <x:c r="A445" s="40" t="str">
        <x:v>FT-Q-V01-070</x:v>
      </x:c>
      <x:c r="B445" s="19" t="str">
        <x:v>climate change</x:v>
      </x:c>
      <x:c r="C445" s="31" t="str">
        <x:v>climate</x:v>
      </x:c>
      <x:c r="D445" s="25" t="n">
        <x:v>1920</x:v>
      </x:c>
      <x:c r="E445" s="46" t="n">
        <x:v>2.177790947577307e-9</x:v>
      </x:c>
      <x:c r="F445" s="19" t="str">
        <x:v>eng</x:v>
      </x:c>
      <x:c r="G445" s="19" t="str">
        <x:v>current English corpus (July 2024 dataset; public shorthand eng; mutable current corpus)</x:v>
      </x:c>
      <x:c r="H445" s="19" t="str">
        <x:v>climate change (All)</x:v>
      </x:c>
      <x:c r="I445" s="19" t="str">
        <x:v>0</x:v>
      </x:c>
      <x:c r="J445" s="19" t="n">
        <x:v>46260.10760416667</x:v>
      </x:c>
      <x:c r="K445" s="31" t="str">
        <x:v>data/fear-temperature/ngram/raw/c0c3021f09dbdf3542c85e1a8bd4e013bd4d99d85af63bbd55f5e05a6a7ddd2b.json</x:v>
      </x:c>
      <x:c r="L445" s="19" t="str">
        <x:v>f147d9b61eec9310d5a36c21ef68d14904b4782ed7663bc02178e865991f6aa6</x:v>
      </x:c>
      <x:c r="M445" s="19" t="str">
        <x:v>03c6b3b7aec17c75d6066c3ad33475123246728a6d70514bc6c4b2fac975aa04</x:v>
      </x:c>
      <x:c r="N445" s="31" t="str">
        <x:v>FT-LF-CLIMATE_CHANGE</x:v>
      </x:c>
      <x:c r="O445" s="31" t="str">
        <x:v>FT-C-MODERN_CLIMATE_CHANGE</x:v>
      </x:c>
      <x:c r="P445" s="31" t="str">
        <x:v>FT-F04</x:v>
      </x:c>
      <x:c r="Q445" s="49" t="n">
        <x:v>0.002177790947577307</x:v>
      </x:c>
    </x:row>
    <x:row r="446" ht="20" customHeight="1">
      <x:c r="A446" s="40" t="str">
        <x:v>FT-Q-V01-070</x:v>
      </x:c>
      <x:c r="B446" s="19" t="str">
        <x:v>climate change</x:v>
      </x:c>
      <x:c r="C446" s="31" t="str">
        <x:v>climate</x:v>
      </x:c>
      <x:c r="D446" s="25" t="n">
        <x:v>1921</x:v>
      </x:c>
      <x:c r="E446" s="46" t="n">
        <x:v>1.7022981843584082e-9</x:v>
      </x:c>
      <x:c r="F446" s="19" t="str">
        <x:v>eng</x:v>
      </x:c>
      <x:c r="G446" s="19" t="str">
        <x:v>current English corpus (July 2024 dataset; public shorthand eng; mutable current corpus)</x:v>
      </x:c>
      <x:c r="H446" s="19" t="str">
        <x:v>climate change (All)</x:v>
      </x:c>
      <x:c r="I446" s="19" t="str">
        <x:v>0</x:v>
      </x:c>
      <x:c r="J446" s="19" t="n">
        <x:v>46260.10760416667</x:v>
      </x:c>
      <x:c r="K446" s="31" t="str">
        <x:v>data/fear-temperature/ngram/raw/c0c3021f09dbdf3542c85e1a8bd4e013bd4d99d85af63bbd55f5e05a6a7ddd2b.json</x:v>
      </x:c>
      <x:c r="L446" s="19" t="str">
        <x:v>f147d9b61eec9310d5a36c21ef68d14904b4782ed7663bc02178e865991f6aa6</x:v>
      </x:c>
      <x:c r="M446" s="19" t="str">
        <x:v>03c6b3b7aec17c75d6066c3ad33475123246728a6d70514bc6c4b2fac975aa04</x:v>
      </x:c>
      <x:c r="N446" s="31" t="str">
        <x:v>FT-LF-CLIMATE_CHANGE</x:v>
      </x:c>
      <x:c r="O446" s="31" t="str">
        <x:v>FT-C-MODERN_CLIMATE_CHANGE</x:v>
      </x:c>
      <x:c r="P446" s="31" t="str">
        <x:v>FT-F04</x:v>
      </x:c>
      <x:c r="Q446" s="49" t="n">
        <x:v>0.0017022981843584082</x:v>
      </x:c>
    </x:row>
    <x:row r="447" ht="20" customHeight="1">
      <x:c r="A447" s="40" t="str">
        <x:v>FT-Q-V01-070</x:v>
      </x:c>
      <x:c r="B447" s="19" t="str">
        <x:v>climate change</x:v>
      </x:c>
      <x:c r="C447" s="31" t="str">
        <x:v>climate</x:v>
      </x:c>
      <x:c r="D447" s="25" t="n">
        <x:v>1922</x:v>
      </x:c>
      <x:c r="E447" s="46" t="n">
        <x:v>1.5879211834324278e-9</x:v>
      </x:c>
      <x:c r="F447" s="19" t="str">
        <x:v>eng</x:v>
      </x:c>
      <x:c r="G447" s="19" t="str">
        <x:v>current English corpus (July 2024 dataset; public shorthand eng; mutable current corpus)</x:v>
      </x:c>
      <x:c r="H447" s="19" t="str">
        <x:v>climate change (All)</x:v>
      </x:c>
      <x:c r="I447" s="19" t="str">
        <x:v>0</x:v>
      </x:c>
      <x:c r="J447" s="19" t="n">
        <x:v>46260.10760416667</x:v>
      </x:c>
      <x:c r="K447" s="31" t="str">
        <x:v>data/fear-temperature/ngram/raw/c0c3021f09dbdf3542c85e1a8bd4e013bd4d99d85af63bbd55f5e05a6a7ddd2b.json</x:v>
      </x:c>
      <x:c r="L447" s="19" t="str">
        <x:v>f147d9b61eec9310d5a36c21ef68d14904b4782ed7663bc02178e865991f6aa6</x:v>
      </x:c>
      <x:c r="M447" s="19" t="str">
        <x:v>03c6b3b7aec17c75d6066c3ad33475123246728a6d70514bc6c4b2fac975aa04</x:v>
      </x:c>
      <x:c r="N447" s="31" t="str">
        <x:v>FT-LF-CLIMATE_CHANGE</x:v>
      </x:c>
      <x:c r="O447" s="31" t="str">
        <x:v>FT-C-MODERN_CLIMATE_CHANGE</x:v>
      </x:c>
      <x:c r="P447" s="31" t="str">
        <x:v>FT-F04</x:v>
      </x:c>
      <x:c r="Q447" s="49" t="n">
        <x:v>0.0015879211834324278</x:v>
      </x:c>
    </x:row>
    <x:row r="448" ht="20" customHeight="1">
      <x:c r="A448" s="40" t="str">
        <x:v>FT-Q-V01-070</x:v>
      </x:c>
      <x:c r="B448" s="19" t="str">
        <x:v>climate change</x:v>
      </x:c>
      <x:c r="C448" s="31" t="str">
        <x:v>climate</x:v>
      </x:c>
      <x:c r="D448" s="25" t="n">
        <x:v>1923</x:v>
      </x:c>
      <x:c r="E448" s="46" t="n">
        <x:v>1.6047455100864916e-8</x:v>
      </x:c>
      <x:c r="F448" s="19" t="str">
        <x:v>eng</x:v>
      </x:c>
      <x:c r="G448" s="19" t="str">
        <x:v>current English corpus (July 2024 dataset; public shorthand eng; mutable current corpus)</x:v>
      </x:c>
      <x:c r="H448" s="19" t="str">
        <x:v>climate change (All)</x:v>
      </x:c>
      <x:c r="I448" s="19" t="str">
        <x:v>0</x:v>
      </x:c>
      <x:c r="J448" s="19" t="n">
        <x:v>46260.10760416667</x:v>
      </x:c>
      <x:c r="K448" s="31" t="str">
        <x:v>data/fear-temperature/ngram/raw/c0c3021f09dbdf3542c85e1a8bd4e013bd4d99d85af63bbd55f5e05a6a7ddd2b.json</x:v>
      </x:c>
      <x:c r="L448" s="19" t="str">
        <x:v>f147d9b61eec9310d5a36c21ef68d14904b4782ed7663bc02178e865991f6aa6</x:v>
      </x:c>
      <x:c r="M448" s="19" t="str">
        <x:v>03c6b3b7aec17c75d6066c3ad33475123246728a6d70514bc6c4b2fac975aa04</x:v>
      </x:c>
      <x:c r="N448" s="31" t="str">
        <x:v>FT-LF-CLIMATE_CHANGE</x:v>
      </x:c>
      <x:c r="O448" s="31" t="str">
        <x:v>FT-C-MODERN_CLIMATE_CHANGE</x:v>
      </x:c>
      <x:c r="P448" s="31" t="str">
        <x:v>FT-F04</x:v>
      </x:c>
      <x:c r="Q448" s="49" t="n">
        <x:v>0.016047455100864916</x:v>
      </x:c>
    </x:row>
    <x:row r="449" ht="20" customHeight="1">
      <x:c r="A449" s="40" t="str">
        <x:v>FT-Q-V01-070</x:v>
      </x:c>
      <x:c r="B449" s="19" t="str">
        <x:v>climate change</x:v>
      </x:c>
      <x:c r="C449" s="31" t="str">
        <x:v>climate</x:v>
      </x:c>
      <x:c r="D449" s="25" t="n">
        <x:v>1924</x:v>
      </x:c>
      <x:c r="E449" s="46" t="n">
        <x:v>1.2781223343583115e-8</x:v>
      </x:c>
      <x:c r="F449" s="19" t="str">
        <x:v>eng</x:v>
      </x:c>
      <x:c r="G449" s="19" t="str">
        <x:v>current English corpus (July 2024 dataset; public shorthand eng; mutable current corpus)</x:v>
      </x:c>
      <x:c r="H449" s="19" t="str">
        <x:v>climate change (All)</x:v>
      </x:c>
      <x:c r="I449" s="19" t="str">
        <x:v>0</x:v>
      </x:c>
      <x:c r="J449" s="19" t="n">
        <x:v>46260.10760416667</x:v>
      </x:c>
      <x:c r="K449" s="31" t="str">
        <x:v>data/fear-temperature/ngram/raw/c0c3021f09dbdf3542c85e1a8bd4e013bd4d99d85af63bbd55f5e05a6a7ddd2b.json</x:v>
      </x:c>
      <x:c r="L449" s="19" t="str">
        <x:v>f147d9b61eec9310d5a36c21ef68d14904b4782ed7663bc02178e865991f6aa6</x:v>
      </x:c>
      <x:c r="M449" s="19" t="str">
        <x:v>03c6b3b7aec17c75d6066c3ad33475123246728a6d70514bc6c4b2fac975aa04</x:v>
      </x:c>
      <x:c r="N449" s="31" t="str">
        <x:v>FT-LF-CLIMATE_CHANGE</x:v>
      </x:c>
      <x:c r="O449" s="31" t="str">
        <x:v>FT-C-MODERN_CLIMATE_CHANGE</x:v>
      </x:c>
      <x:c r="P449" s="31" t="str">
        <x:v>FT-F04</x:v>
      </x:c>
      <x:c r="Q449" s="49" t="n">
        <x:v>0.012781223343583115</x:v>
      </x:c>
    </x:row>
    <x:row r="450" ht="20" customHeight="1">
      <x:c r="A450" s="40" t="str">
        <x:v>FT-Q-V01-070</x:v>
      </x:c>
      <x:c r="B450" s="19" t="str">
        <x:v>climate change</x:v>
      </x:c>
      <x:c r="C450" s="31" t="str">
        <x:v>climate</x:v>
      </x:c>
      <x:c r="D450" s="25" t="n">
        <x:v>1925</x:v>
      </x:c>
      <x:c r="E450" s="46" t="n">
        <x:v>1.4217138022409868e-9</x:v>
      </x:c>
      <x:c r="F450" s="19" t="str">
        <x:v>eng</x:v>
      </x:c>
      <x:c r="G450" s="19" t="str">
        <x:v>current English corpus (July 2024 dataset; public shorthand eng; mutable current corpus)</x:v>
      </x:c>
      <x:c r="H450" s="19" t="str">
        <x:v>climate change (All)</x:v>
      </x:c>
      <x:c r="I450" s="19" t="str">
        <x:v>0</x:v>
      </x:c>
      <x:c r="J450" s="19" t="n">
        <x:v>46260.10760416667</x:v>
      </x:c>
      <x:c r="K450" s="31" t="str">
        <x:v>data/fear-temperature/ngram/raw/c0c3021f09dbdf3542c85e1a8bd4e013bd4d99d85af63bbd55f5e05a6a7ddd2b.json</x:v>
      </x:c>
      <x:c r="L450" s="19" t="str">
        <x:v>f147d9b61eec9310d5a36c21ef68d14904b4782ed7663bc02178e865991f6aa6</x:v>
      </x:c>
      <x:c r="M450" s="19" t="str">
        <x:v>03c6b3b7aec17c75d6066c3ad33475123246728a6d70514bc6c4b2fac975aa04</x:v>
      </x:c>
      <x:c r="N450" s="31" t="str">
        <x:v>FT-LF-CLIMATE_CHANGE</x:v>
      </x:c>
      <x:c r="O450" s="31" t="str">
        <x:v>FT-C-MODERN_CLIMATE_CHANGE</x:v>
      </x:c>
      <x:c r="P450" s="31" t="str">
        <x:v>FT-F04</x:v>
      </x:c>
      <x:c r="Q450" s="49" t="n">
        <x:v>0.0014217138022409868</x:v>
      </x:c>
    </x:row>
    <x:row r="451" ht="20" customHeight="1">
      <x:c r="A451" s="40" t="str">
        <x:v>FT-Q-V01-070</x:v>
      </x:c>
      <x:c r="B451" s="19" t="str">
        <x:v>climate change</x:v>
      </x:c>
      <x:c r="C451" s="31" t="str">
        <x:v>climate</x:v>
      </x:c>
      <x:c r="D451" s="25" t="n">
        <x:v>1926</x:v>
      </x:c>
      <x:c r="E451" s="46" t="n">
        <x:v>3.953006630363908e-9</x:v>
      </x:c>
      <x:c r="F451" s="19" t="str">
        <x:v>eng</x:v>
      </x:c>
      <x:c r="G451" s="19" t="str">
        <x:v>current English corpus (July 2024 dataset; public shorthand eng; mutable current corpus)</x:v>
      </x:c>
      <x:c r="H451" s="19" t="str">
        <x:v>climate change (All)</x:v>
      </x:c>
      <x:c r="I451" s="19" t="str">
        <x:v>0</x:v>
      </x:c>
      <x:c r="J451" s="19" t="n">
        <x:v>46260.10760416667</x:v>
      </x:c>
      <x:c r="K451" s="31" t="str">
        <x:v>data/fear-temperature/ngram/raw/c0c3021f09dbdf3542c85e1a8bd4e013bd4d99d85af63bbd55f5e05a6a7ddd2b.json</x:v>
      </x:c>
      <x:c r="L451" s="19" t="str">
        <x:v>f147d9b61eec9310d5a36c21ef68d14904b4782ed7663bc02178e865991f6aa6</x:v>
      </x:c>
      <x:c r="M451" s="19" t="str">
        <x:v>03c6b3b7aec17c75d6066c3ad33475123246728a6d70514bc6c4b2fac975aa04</x:v>
      </x:c>
      <x:c r="N451" s="31" t="str">
        <x:v>FT-LF-CLIMATE_CHANGE</x:v>
      </x:c>
      <x:c r="O451" s="31" t="str">
        <x:v>FT-C-MODERN_CLIMATE_CHANGE</x:v>
      </x:c>
      <x:c r="P451" s="31" t="str">
        <x:v>FT-F04</x:v>
      </x:c>
      <x:c r="Q451" s="49" t="n">
        <x:v>0.003953006630363908</x:v>
      </x:c>
    </x:row>
    <x:row r="452" ht="20" customHeight="1">
      <x:c r="A452" s="40" t="str">
        <x:v>FT-Q-V01-070</x:v>
      </x:c>
      <x:c r="B452" s="19" t="str">
        <x:v>climate change</x:v>
      </x:c>
      <x:c r="C452" s="31" t="str">
        <x:v>climate</x:v>
      </x:c>
      <x:c r="D452" s="25" t="n">
        <x:v>1927</x:v>
      </x:c>
      <x:c r="E452" s="46" t="n">
        <x:v>1.4087342015134396e-8</x:v>
      </x:c>
      <x:c r="F452" s="19" t="str">
        <x:v>eng</x:v>
      </x:c>
      <x:c r="G452" s="19" t="str">
        <x:v>current English corpus (July 2024 dataset; public shorthand eng; mutable current corpus)</x:v>
      </x:c>
      <x:c r="H452" s="19" t="str">
        <x:v>climate change (All)</x:v>
      </x:c>
      <x:c r="I452" s="19" t="str">
        <x:v>0</x:v>
      </x:c>
      <x:c r="J452" s="19" t="n">
        <x:v>46260.10760416667</x:v>
      </x:c>
      <x:c r="K452" s="31" t="str">
        <x:v>data/fear-temperature/ngram/raw/c0c3021f09dbdf3542c85e1a8bd4e013bd4d99d85af63bbd55f5e05a6a7ddd2b.json</x:v>
      </x:c>
      <x:c r="L452" s="19" t="str">
        <x:v>f147d9b61eec9310d5a36c21ef68d14904b4782ed7663bc02178e865991f6aa6</x:v>
      </x:c>
      <x:c r="M452" s="19" t="str">
        <x:v>03c6b3b7aec17c75d6066c3ad33475123246728a6d70514bc6c4b2fac975aa04</x:v>
      </x:c>
      <x:c r="N452" s="31" t="str">
        <x:v>FT-LF-CLIMATE_CHANGE</x:v>
      </x:c>
      <x:c r="O452" s="31" t="str">
        <x:v>FT-C-MODERN_CLIMATE_CHANGE</x:v>
      </x:c>
      <x:c r="P452" s="31" t="str">
        <x:v>FT-F04</x:v>
      </x:c>
      <x:c r="Q452" s="49" t="n">
        <x:v>0.014087342015134396</x:v>
      </x:c>
    </x:row>
    <x:row r="453" ht="20" customHeight="1">
      <x:c r="A453" s="40" t="str">
        <x:v>FT-Q-V01-070</x:v>
      </x:c>
      <x:c r="B453" s="19" t="str">
        <x:v>climate change</x:v>
      </x:c>
      <x:c r="C453" s="31" t="str">
        <x:v>climate</x:v>
      </x:c>
      <x:c r="D453" s="25" t="n">
        <x:v>1928</x:v>
      </x:c>
      <x:c r="E453" s="46" t="n">
        <x:v>3.6855752200137815e-9</x:v>
      </x:c>
      <x:c r="F453" s="19" t="str">
        <x:v>eng</x:v>
      </x:c>
      <x:c r="G453" s="19" t="str">
        <x:v>current English corpus (July 2024 dataset; public shorthand eng; mutable current corpus)</x:v>
      </x:c>
      <x:c r="H453" s="19" t="str">
        <x:v>climate change (All)</x:v>
      </x:c>
      <x:c r="I453" s="19" t="str">
        <x:v>0</x:v>
      </x:c>
      <x:c r="J453" s="19" t="n">
        <x:v>46260.10760416667</x:v>
      </x:c>
      <x:c r="K453" s="31" t="str">
        <x:v>data/fear-temperature/ngram/raw/c0c3021f09dbdf3542c85e1a8bd4e013bd4d99d85af63bbd55f5e05a6a7ddd2b.json</x:v>
      </x:c>
      <x:c r="L453" s="19" t="str">
        <x:v>f147d9b61eec9310d5a36c21ef68d14904b4782ed7663bc02178e865991f6aa6</x:v>
      </x:c>
      <x:c r="M453" s="19" t="str">
        <x:v>03c6b3b7aec17c75d6066c3ad33475123246728a6d70514bc6c4b2fac975aa04</x:v>
      </x:c>
      <x:c r="N453" s="31" t="str">
        <x:v>FT-LF-CLIMATE_CHANGE</x:v>
      </x:c>
      <x:c r="O453" s="31" t="str">
        <x:v>FT-C-MODERN_CLIMATE_CHANGE</x:v>
      </x:c>
      <x:c r="P453" s="31" t="str">
        <x:v>FT-F04</x:v>
      </x:c>
      <x:c r="Q453" s="49" t="n">
        <x:v>0.0036855752200137815</x:v>
      </x:c>
    </x:row>
    <x:row r="454" ht="20" customHeight="1">
      <x:c r="A454" s="40" t="str">
        <x:v>FT-Q-V01-070</x:v>
      </x:c>
      <x:c r="B454" s="19" t="str">
        <x:v>climate change</x:v>
      </x:c>
      <x:c r="C454" s="31" t="str">
        <x:v>climate</x:v>
      </x:c>
      <x:c r="D454" s="25" t="n">
        <x:v>1929</x:v>
      </x:c>
      <x:c r="E454" s="46" t="n">
        <x:v>3.681185828385835e-9</x:v>
      </x:c>
      <x:c r="F454" s="19" t="str">
        <x:v>eng</x:v>
      </x:c>
      <x:c r="G454" s="19" t="str">
        <x:v>current English corpus (July 2024 dataset; public shorthand eng; mutable current corpus)</x:v>
      </x:c>
      <x:c r="H454" s="19" t="str">
        <x:v>climate change (All)</x:v>
      </x:c>
      <x:c r="I454" s="19" t="str">
        <x:v>0</x:v>
      </x:c>
      <x:c r="J454" s="19" t="n">
        <x:v>46260.10760416667</x:v>
      </x:c>
      <x:c r="K454" s="31" t="str">
        <x:v>data/fear-temperature/ngram/raw/c0c3021f09dbdf3542c85e1a8bd4e013bd4d99d85af63bbd55f5e05a6a7ddd2b.json</x:v>
      </x:c>
      <x:c r="L454" s="19" t="str">
        <x:v>f147d9b61eec9310d5a36c21ef68d14904b4782ed7663bc02178e865991f6aa6</x:v>
      </x:c>
      <x:c r="M454" s="19" t="str">
        <x:v>03c6b3b7aec17c75d6066c3ad33475123246728a6d70514bc6c4b2fac975aa04</x:v>
      </x:c>
      <x:c r="N454" s="31" t="str">
        <x:v>FT-LF-CLIMATE_CHANGE</x:v>
      </x:c>
      <x:c r="O454" s="31" t="str">
        <x:v>FT-C-MODERN_CLIMATE_CHANGE</x:v>
      </x:c>
      <x:c r="P454" s="31" t="str">
        <x:v>FT-F04</x:v>
      </x:c>
      <x:c r="Q454" s="49" t="n">
        <x:v>0.0036811858283858348</x:v>
      </x:c>
    </x:row>
    <x:row r="455" ht="20" customHeight="1">
      <x:c r="A455" s="40" t="str">
        <x:v>FT-Q-V01-070</x:v>
      </x:c>
      <x:c r="B455" s="19" t="str">
        <x:v>climate change</x:v>
      </x:c>
      <x:c r="C455" s="31" t="str">
        <x:v>climate</x:v>
      </x:c>
      <x:c r="D455" s="25" t="n">
        <x:v>1930</x:v>
      </x:c>
      <x:c r="E455" s="46" t="n">
        <x:v>3.400374176676379e-9</x:v>
      </x:c>
      <x:c r="F455" s="19" t="str">
        <x:v>eng</x:v>
      </x:c>
      <x:c r="G455" s="19" t="str">
        <x:v>current English corpus (July 2024 dataset; public shorthand eng; mutable current corpus)</x:v>
      </x:c>
      <x:c r="H455" s="19" t="str">
        <x:v>climate change (All)</x:v>
      </x:c>
      <x:c r="I455" s="19" t="str">
        <x:v>0</x:v>
      </x:c>
      <x:c r="J455" s="19" t="n">
        <x:v>46260.10760416667</x:v>
      </x:c>
      <x:c r="K455" s="31" t="str">
        <x:v>data/fear-temperature/ngram/raw/c0c3021f09dbdf3542c85e1a8bd4e013bd4d99d85af63bbd55f5e05a6a7ddd2b.json</x:v>
      </x:c>
      <x:c r="L455" s="19" t="str">
        <x:v>f147d9b61eec9310d5a36c21ef68d14904b4782ed7663bc02178e865991f6aa6</x:v>
      </x:c>
      <x:c r="M455" s="19" t="str">
        <x:v>03c6b3b7aec17c75d6066c3ad33475123246728a6d70514bc6c4b2fac975aa04</x:v>
      </x:c>
      <x:c r="N455" s="31" t="str">
        <x:v>FT-LF-CLIMATE_CHANGE</x:v>
      </x:c>
      <x:c r="O455" s="31" t="str">
        <x:v>FT-C-MODERN_CLIMATE_CHANGE</x:v>
      </x:c>
      <x:c r="P455" s="31" t="str">
        <x:v>FT-F04</x:v>
      </x:c>
      <x:c r="Q455" s="49" t="n">
        <x:v>0.003400374176676379</x:v>
      </x:c>
    </x:row>
    <x:row r="456" ht="20" customHeight="1">
      <x:c r="A456" s="40" t="str">
        <x:v>FT-Q-V01-070</x:v>
      </x:c>
      <x:c r="B456" s="19" t="str">
        <x:v>climate change</x:v>
      </x:c>
      <x:c r="C456" s="31" t="str">
        <x:v>climate</x:v>
      </x:c>
      <x:c r="D456" s="25" t="n">
        <x:v>1931</x:v>
      </x:c>
      <x:c r="E456" s="46" t="n">
        <x:v>4.551248100614912e-9</x:v>
      </x:c>
      <x:c r="F456" s="19" t="str">
        <x:v>eng</x:v>
      </x:c>
      <x:c r="G456" s="19" t="str">
        <x:v>current English corpus (July 2024 dataset; public shorthand eng; mutable current corpus)</x:v>
      </x:c>
      <x:c r="H456" s="19" t="str">
        <x:v>climate change (All)</x:v>
      </x:c>
      <x:c r="I456" s="19" t="str">
        <x:v>0</x:v>
      </x:c>
      <x:c r="J456" s="19" t="n">
        <x:v>46260.10760416667</x:v>
      </x:c>
      <x:c r="K456" s="31" t="str">
        <x:v>data/fear-temperature/ngram/raw/c0c3021f09dbdf3542c85e1a8bd4e013bd4d99d85af63bbd55f5e05a6a7ddd2b.json</x:v>
      </x:c>
      <x:c r="L456" s="19" t="str">
        <x:v>f147d9b61eec9310d5a36c21ef68d14904b4782ed7663bc02178e865991f6aa6</x:v>
      </x:c>
      <x:c r="M456" s="19" t="str">
        <x:v>03c6b3b7aec17c75d6066c3ad33475123246728a6d70514bc6c4b2fac975aa04</x:v>
      </x:c>
      <x:c r="N456" s="31" t="str">
        <x:v>FT-LF-CLIMATE_CHANGE</x:v>
      </x:c>
      <x:c r="O456" s="31" t="str">
        <x:v>FT-C-MODERN_CLIMATE_CHANGE</x:v>
      </x:c>
      <x:c r="P456" s="31" t="str">
        <x:v>FT-F04</x:v>
      </x:c>
      <x:c r="Q456" s="49" t="n">
        <x:v>0.004551248100614912</x:v>
      </x:c>
    </x:row>
    <x:row r="457" ht="20" customHeight="1">
      <x:c r="A457" s="40" t="str">
        <x:v>FT-Q-V01-070</x:v>
      </x:c>
      <x:c r="B457" s="19" t="str">
        <x:v>climate change</x:v>
      </x:c>
      <x:c r="C457" s="31" t="str">
        <x:v>climate</x:v>
      </x:c>
      <x:c r="D457" s="25" t="n">
        <x:v>1932</x:v>
      </x:c>
      <x:c r="E457" s="46" t="n">
        <x:v>5.442139516809163e-9</x:v>
      </x:c>
      <x:c r="F457" s="19" t="str">
        <x:v>eng</x:v>
      </x:c>
      <x:c r="G457" s="19" t="str">
        <x:v>current English corpus (July 2024 dataset; public shorthand eng; mutable current corpus)</x:v>
      </x:c>
      <x:c r="H457" s="19" t="str">
        <x:v>climate change (All)</x:v>
      </x:c>
      <x:c r="I457" s="19" t="str">
        <x:v>0</x:v>
      </x:c>
      <x:c r="J457" s="19" t="n">
        <x:v>46260.10760416667</x:v>
      </x:c>
      <x:c r="K457" s="31" t="str">
        <x:v>data/fear-temperature/ngram/raw/c0c3021f09dbdf3542c85e1a8bd4e013bd4d99d85af63bbd55f5e05a6a7ddd2b.json</x:v>
      </x:c>
      <x:c r="L457" s="19" t="str">
        <x:v>f147d9b61eec9310d5a36c21ef68d14904b4782ed7663bc02178e865991f6aa6</x:v>
      </x:c>
      <x:c r="M457" s="19" t="str">
        <x:v>03c6b3b7aec17c75d6066c3ad33475123246728a6d70514bc6c4b2fac975aa04</x:v>
      </x:c>
      <x:c r="N457" s="31" t="str">
        <x:v>FT-LF-CLIMATE_CHANGE</x:v>
      </x:c>
      <x:c r="O457" s="31" t="str">
        <x:v>FT-C-MODERN_CLIMATE_CHANGE</x:v>
      </x:c>
      <x:c r="P457" s="31" t="str">
        <x:v>FT-F04</x:v>
      </x:c>
      <x:c r="Q457" s="49" t="n">
        <x:v>0.005442139516809163</x:v>
      </x:c>
    </x:row>
    <x:row r="458" ht="20" customHeight="1">
      <x:c r="A458" s="40" t="str">
        <x:v>FT-Q-V01-070</x:v>
      </x:c>
      <x:c r="B458" s="19" t="str">
        <x:v>climate change</x:v>
      </x:c>
      <x:c r="C458" s="31" t="str">
        <x:v>climate</x:v>
      </x:c>
      <x:c r="D458" s="25" t="n">
        <x:v>1933</x:v>
      </x:c>
      <x:c r="E458" s="46" t="n">
        <x:v>1.597290658073014e-8</x:v>
      </x:c>
      <x:c r="F458" s="19" t="str">
        <x:v>eng</x:v>
      </x:c>
      <x:c r="G458" s="19" t="str">
        <x:v>current English corpus (July 2024 dataset; public shorthand eng; mutable current corpus)</x:v>
      </x:c>
      <x:c r="H458" s="19" t="str">
        <x:v>climate change (All)</x:v>
      </x:c>
      <x:c r="I458" s="19" t="str">
        <x:v>0</x:v>
      </x:c>
      <x:c r="J458" s="19" t="n">
        <x:v>46260.10760416667</x:v>
      </x:c>
      <x:c r="K458" s="31" t="str">
        <x:v>data/fear-temperature/ngram/raw/c0c3021f09dbdf3542c85e1a8bd4e013bd4d99d85af63bbd55f5e05a6a7ddd2b.json</x:v>
      </x:c>
      <x:c r="L458" s="19" t="str">
        <x:v>f147d9b61eec9310d5a36c21ef68d14904b4782ed7663bc02178e865991f6aa6</x:v>
      </x:c>
      <x:c r="M458" s="19" t="str">
        <x:v>03c6b3b7aec17c75d6066c3ad33475123246728a6d70514bc6c4b2fac975aa04</x:v>
      </x:c>
      <x:c r="N458" s="31" t="str">
        <x:v>FT-LF-CLIMATE_CHANGE</x:v>
      </x:c>
      <x:c r="O458" s="31" t="str">
        <x:v>FT-C-MODERN_CLIMATE_CHANGE</x:v>
      </x:c>
      <x:c r="P458" s="31" t="str">
        <x:v>FT-F04</x:v>
      </x:c>
      <x:c r="Q458" s="49" t="n">
        <x:v>0.01597290658073014</x:v>
      </x:c>
    </x:row>
    <x:row r="459" ht="20" customHeight="1">
      <x:c r="A459" s="40" t="str">
        <x:v>FT-Q-V01-070</x:v>
      </x:c>
      <x:c r="B459" s="19" t="str">
        <x:v>climate change</x:v>
      </x:c>
      <x:c r="C459" s="31" t="str">
        <x:v>climate</x:v>
      </x:c>
      <x:c r="D459" s="25" t="n">
        <x:v>1934</x:v>
      </x:c>
      <x:c r="E459" s="46" t="n">
        <x:v>8.7860048014754e-8</x:v>
      </x:c>
      <x:c r="F459" s="19" t="str">
        <x:v>eng</x:v>
      </x:c>
      <x:c r="G459" s="19" t="str">
        <x:v>current English corpus (July 2024 dataset; public shorthand eng; mutable current corpus)</x:v>
      </x:c>
      <x:c r="H459" s="19" t="str">
        <x:v>climate change (All)</x:v>
      </x:c>
      <x:c r="I459" s="19" t="str">
        <x:v>0</x:v>
      </x:c>
      <x:c r="J459" s="19" t="n">
        <x:v>46260.10760416667</x:v>
      </x:c>
      <x:c r="K459" s="31" t="str">
        <x:v>data/fear-temperature/ngram/raw/c0c3021f09dbdf3542c85e1a8bd4e013bd4d99d85af63bbd55f5e05a6a7ddd2b.json</x:v>
      </x:c>
      <x:c r="L459" s="19" t="str">
        <x:v>f147d9b61eec9310d5a36c21ef68d14904b4782ed7663bc02178e865991f6aa6</x:v>
      </x:c>
      <x:c r="M459" s="19" t="str">
        <x:v>03c6b3b7aec17c75d6066c3ad33475123246728a6d70514bc6c4b2fac975aa04</x:v>
      </x:c>
      <x:c r="N459" s="31" t="str">
        <x:v>FT-LF-CLIMATE_CHANGE</x:v>
      </x:c>
      <x:c r="O459" s="31" t="str">
        <x:v>FT-C-MODERN_CLIMATE_CHANGE</x:v>
      </x:c>
      <x:c r="P459" s="31" t="str">
        <x:v>FT-F04</x:v>
      </x:c>
      <x:c r="Q459" s="49" t="n">
        <x:v>0.087860048014754</x:v>
      </x:c>
    </x:row>
    <x:row r="460" ht="20" customHeight="1">
      <x:c r="A460" s="40" t="str">
        <x:v>FT-Q-V01-070</x:v>
      </x:c>
      <x:c r="B460" s="19" t="str">
        <x:v>climate change</x:v>
      </x:c>
      <x:c r="C460" s="31" t="str">
        <x:v>climate</x:v>
      </x:c>
      <x:c r="D460" s="25" t="n">
        <x:v>1935</x:v>
      </x:c>
      <x:c r="E460" s="46" t="n">
        <x:v>7.805523727366648e-9</x:v>
      </x:c>
      <x:c r="F460" s="19" t="str">
        <x:v>eng</x:v>
      </x:c>
      <x:c r="G460" s="19" t="str">
        <x:v>current English corpus (July 2024 dataset; public shorthand eng; mutable current corpus)</x:v>
      </x:c>
      <x:c r="H460" s="19" t="str">
        <x:v>climate change (All)</x:v>
      </x:c>
      <x:c r="I460" s="19" t="str">
        <x:v>0</x:v>
      </x:c>
      <x:c r="J460" s="19" t="n">
        <x:v>46260.10760416667</x:v>
      </x:c>
      <x:c r="K460" s="31" t="str">
        <x:v>data/fear-temperature/ngram/raw/c0c3021f09dbdf3542c85e1a8bd4e013bd4d99d85af63bbd55f5e05a6a7ddd2b.json</x:v>
      </x:c>
      <x:c r="L460" s="19" t="str">
        <x:v>f147d9b61eec9310d5a36c21ef68d14904b4782ed7663bc02178e865991f6aa6</x:v>
      </x:c>
      <x:c r="M460" s="19" t="str">
        <x:v>03c6b3b7aec17c75d6066c3ad33475123246728a6d70514bc6c4b2fac975aa04</x:v>
      </x:c>
      <x:c r="N460" s="31" t="str">
        <x:v>FT-LF-CLIMATE_CHANGE</x:v>
      </x:c>
      <x:c r="O460" s="31" t="str">
        <x:v>FT-C-MODERN_CLIMATE_CHANGE</x:v>
      </x:c>
      <x:c r="P460" s="31" t="str">
        <x:v>FT-F04</x:v>
      </x:c>
      <x:c r="Q460" s="49" t="n">
        <x:v>0.007805523727366648</x:v>
      </x:c>
    </x:row>
    <x:row r="461" ht="20" customHeight="1">
      <x:c r="A461" s="40" t="str">
        <x:v>FT-Q-V01-070</x:v>
      </x:c>
      <x:c r="B461" s="19" t="str">
        <x:v>climate change</x:v>
      </x:c>
      <x:c r="C461" s="31" t="str">
        <x:v>climate</x:v>
      </x:c>
      <x:c r="D461" s="25" t="n">
        <x:v>1936</x:v>
      </x:c>
      <x:c r="E461" s="46" t="n">
        <x:v>2.4035200385519317e-8</x:v>
      </x:c>
      <x:c r="F461" s="19" t="str">
        <x:v>eng</x:v>
      </x:c>
      <x:c r="G461" s="19" t="str">
        <x:v>current English corpus (July 2024 dataset; public shorthand eng; mutable current corpus)</x:v>
      </x:c>
      <x:c r="H461" s="19" t="str">
        <x:v>climate change (All)</x:v>
      </x:c>
      <x:c r="I461" s="19" t="str">
        <x:v>0</x:v>
      </x:c>
      <x:c r="J461" s="19" t="n">
        <x:v>46260.10760416667</x:v>
      </x:c>
      <x:c r="K461" s="31" t="str">
        <x:v>data/fear-temperature/ngram/raw/c0c3021f09dbdf3542c85e1a8bd4e013bd4d99d85af63bbd55f5e05a6a7ddd2b.json</x:v>
      </x:c>
      <x:c r="L461" s="19" t="str">
        <x:v>f147d9b61eec9310d5a36c21ef68d14904b4782ed7663bc02178e865991f6aa6</x:v>
      </x:c>
      <x:c r="M461" s="19" t="str">
        <x:v>03c6b3b7aec17c75d6066c3ad33475123246728a6d70514bc6c4b2fac975aa04</x:v>
      </x:c>
      <x:c r="N461" s="31" t="str">
        <x:v>FT-LF-CLIMATE_CHANGE</x:v>
      </x:c>
      <x:c r="O461" s="31" t="str">
        <x:v>FT-C-MODERN_CLIMATE_CHANGE</x:v>
      </x:c>
      <x:c r="P461" s="31" t="str">
        <x:v>FT-F04</x:v>
      </x:c>
      <x:c r="Q461" s="49" t="n">
        <x:v>0.024035200385519317</x:v>
      </x:c>
    </x:row>
    <x:row r="462" ht="20" customHeight="1">
      <x:c r="A462" s="40" t="str">
        <x:v>FT-Q-V01-070</x:v>
      </x:c>
      <x:c r="B462" s="19" t="str">
        <x:v>climate change</x:v>
      </x:c>
      <x:c r="C462" s="31" t="str">
        <x:v>climate</x:v>
      </x:c>
      <x:c r="D462" s="25" t="n">
        <x:v>1937</x:v>
      </x:c>
      <x:c r="E462" s="46" t="n">
        <x:v>3.900404721424166e-9</x:v>
      </x:c>
      <x:c r="F462" s="19" t="str">
        <x:v>eng</x:v>
      </x:c>
      <x:c r="G462" s="19" t="str">
        <x:v>current English corpus (July 2024 dataset; public shorthand eng; mutable current corpus)</x:v>
      </x:c>
      <x:c r="H462" s="19" t="str">
        <x:v>climate change (All)</x:v>
      </x:c>
      <x:c r="I462" s="19" t="str">
        <x:v>0</x:v>
      </x:c>
      <x:c r="J462" s="19" t="n">
        <x:v>46260.10760416667</x:v>
      </x:c>
      <x:c r="K462" s="31" t="str">
        <x:v>data/fear-temperature/ngram/raw/c0c3021f09dbdf3542c85e1a8bd4e013bd4d99d85af63bbd55f5e05a6a7ddd2b.json</x:v>
      </x:c>
      <x:c r="L462" s="19" t="str">
        <x:v>f147d9b61eec9310d5a36c21ef68d14904b4782ed7663bc02178e865991f6aa6</x:v>
      </x:c>
      <x:c r="M462" s="19" t="str">
        <x:v>03c6b3b7aec17c75d6066c3ad33475123246728a6d70514bc6c4b2fac975aa04</x:v>
      </x:c>
      <x:c r="N462" s="31" t="str">
        <x:v>FT-LF-CLIMATE_CHANGE</x:v>
      </x:c>
      <x:c r="O462" s="31" t="str">
        <x:v>FT-C-MODERN_CLIMATE_CHANGE</x:v>
      </x:c>
      <x:c r="P462" s="31" t="str">
        <x:v>FT-F04</x:v>
      </x:c>
      <x:c r="Q462" s="49" t="n">
        <x:v>0.0039004047214241657</x:v>
      </x:c>
    </x:row>
    <x:row r="463" ht="20" customHeight="1">
      <x:c r="A463" s="40" t="str">
        <x:v>FT-Q-V01-070</x:v>
      </x:c>
      <x:c r="B463" s="19" t="str">
        <x:v>climate change</x:v>
      </x:c>
      <x:c r="C463" s="31" t="str">
        <x:v>climate</x:v>
      </x:c>
      <x:c r="D463" s="25" t="n">
        <x:v>1938</x:v>
      </x:c>
      <x:c r="E463" s="46" t="n">
        <x:v>2.561554912627883e-9</x:v>
      </x:c>
      <x:c r="F463" s="19" t="str">
        <x:v>eng</x:v>
      </x:c>
      <x:c r="G463" s="19" t="str">
        <x:v>current English corpus (July 2024 dataset; public shorthand eng; mutable current corpus)</x:v>
      </x:c>
      <x:c r="H463" s="19" t="str">
        <x:v>climate change (All)</x:v>
      </x:c>
      <x:c r="I463" s="19" t="str">
        <x:v>0</x:v>
      </x:c>
      <x:c r="J463" s="19" t="n">
        <x:v>46260.10760416667</x:v>
      </x:c>
      <x:c r="K463" s="31" t="str">
        <x:v>data/fear-temperature/ngram/raw/c0c3021f09dbdf3542c85e1a8bd4e013bd4d99d85af63bbd55f5e05a6a7ddd2b.json</x:v>
      </x:c>
      <x:c r="L463" s="19" t="str">
        <x:v>f147d9b61eec9310d5a36c21ef68d14904b4782ed7663bc02178e865991f6aa6</x:v>
      </x:c>
      <x:c r="M463" s="19" t="str">
        <x:v>03c6b3b7aec17c75d6066c3ad33475123246728a6d70514bc6c4b2fac975aa04</x:v>
      </x:c>
      <x:c r="N463" s="31" t="str">
        <x:v>FT-LF-CLIMATE_CHANGE</x:v>
      </x:c>
      <x:c r="O463" s="31" t="str">
        <x:v>FT-C-MODERN_CLIMATE_CHANGE</x:v>
      </x:c>
      <x:c r="P463" s="31" t="str">
        <x:v>FT-F04</x:v>
      </x:c>
      <x:c r="Q463" s="49" t="n">
        <x:v>0.002561554912627883</x:v>
      </x:c>
    </x:row>
    <x:row r="464" ht="20" customHeight="1">
      <x:c r="A464" s="40" t="str">
        <x:v>FT-Q-V01-070</x:v>
      </x:c>
      <x:c r="B464" s="19" t="str">
        <x:v>climate change</x:v>
      </x:c>
      <x:c r="C464" s="31" t="str">
        <x:v>climate</x:v>
      </x:c>
      <x:c r="D464" s="25" t="n">
        <x:v>1939</x:v>
      </x:c>
      <x:c r="E464" s="46" t="n">
        <x:v>1.7599253832045747e-8</x:v>
      </x:c>
      <x:c r="F464" s="19" t="str">
        <x:v>eng</x:v>
      </x:c>
      <x:c r="G464" s="19" t="str">
        <x:v>current English corpus (July 2024 dataset; public shorthand eng; mutable current corpus)</x:v>
      </x:c>
      <x:c r="H464" s="19" t="str">
        <x:v>climate change (All)</x:v>
      </x:c>
      <x:c r="I464" s="19" t="str">
        <x:v>0</x:v>
      </x:c>
      <x:c r="J464" s="19" t="n">
        <x:v>46260.10760416667</x:v>
      </x:c>
      <x:c r="K464" s="31" t="str">
        <x:v>data/fear-temperature/ngram/raw/c0c3021f09dbdf3542c85e1a8bd4e013bd4d99d85af63bbd55f5e05a6a7ddd2b.json</x:v>
      </x:c>
      <x:c r="L464" s="19" t="str">
        <x:v>f147d9b61eec9310d5a36c21ef68d14904b4782ed7663bc02178e865991f6aa6</x:v>
      </x:c>
      <x:c r="M464" s="19" t="str">
        <x:v>03c6b3b7aec17c75d6066c3ad33475123246728a6d70514bc6c4b2fac975aa04</x:v>
      </x:c>
      <x:c r="N464" s="31" t="str">
        <x:v>FT-LF-CLIMATE_CHANGE</x:v>
      </x:c>
      <x:c r="O464" s="31" t="str">
        <x:v>FT-C-MODERN_CLIMATE_CHANGE</x:v>
      </x:c>
      <x:c r="P464" s="31" t="str">
        <x:v>FT-F04</x:v>
      </x:c>
      <x:c r="Q464" s="49" t="n">
        <x:v>0.017599253832045747</x:v>
      </x:c>
    </x:row>
    <x:row r="465" ht="20" customHeight="1">
      <x:c r="A465" s="40" t="str">
        <x:v>FT-Q-V01-070</x:v>
      </x:c>
      <x:c r="B465" s="19" t="str">
        <x:v>climate change</x:v>
      </x:c>
      <x:c r="C465" s="31" t="str">
        <x:v>climate</x:v>
      </x:c>
      <x:c r="D465" s="25" t="n">
        <x:v>1940</x:v>
      </x:c>
      <x:c r="E465" s="46" t="n">
        <x:v>6.801258833899481e-9</x:v>
      </x:c>
      <x:c r="F465" s="19" t="str">
        <x:v>eng</x:v>
      </x:c>
      <x:c r="G465" s="19" t="str">
        <x:v>current English corpus (July 2024 dataset; public shorthand eng; mutable current corpus)</x:v>
      </x:c>
      <x:c r="H465" s="19" t="str">
        <x:v>climate change (All)</x:v>
      </x:c>
      <x:c r="I465" s="19" t="str">
        <x:v>0</x:v>
      </x:c>
      <x:c r="J465" s="19" t="n">
        <x:v>46260.10760416667</x:v>
      </x:c>
      <x:c r="K465" s="31" t="str">
        <x:v>data/fear-temperature/ngram/raw/c0c3021f09dbdf3542c85e1a8bd4e013bd4d99d85af63bbd55f5e05a6a7ddd2b.json</x:v>
      </x:c>
      <x:c r="L465" s="19" t="str">
        <x:v>f147d9b61eec9310d5a36c21ef68d14904b4782ed7663bc02178e865991f6aa6</x:v>
      </x:c>
      <x:c r="M465" s="19" t="str">
        <x:v>03c6b3b7aec17c75d6066c3ad33475123246728a6d70514bc6c4b2fac975aa04</x:v>
      </x:c>
      <x:c r="N465" s="31" t="str">
        <x:v>FT-LF-CLIMATE_CHANGE</x:v>
      </x:c>
      <x:c r="O465" s="31" t="str">
        <x:v>FT-C-MODERN_CLIMATE_CHANGE</x:v>
      </x:c>
      <x:c r="P465" s="31" t="str">
        <x:v>FT-F04</x:v>
      </x:c>
      <x:c r="Q465" s="49" t="n">
        <x:v>0.006801258833899481</x:v>
      </x:c>
    </x:row>
    <x:row r="466" ht="20" customHeight="1">
      <x:c r="A466" s="40" t="str">
        <x:v>FT-Q-V01-070</x:v>
      </x:c>
      <x:c r="B466" s="19" t="str">
        <x:v>climate change</x:v>
      </x:c>
      <x:c r="C466" s="31" t="str">
        <x:v>climate</x:v>
      </x:c>
      <x:c r="D466" s="25" t="n">
        <x:v>1941</x:v>
      </x:c>
      <x:c r="E466" s="46" t="n">
        <x:v>1.578595209411615e-8</x:v>
      </x:c>
      <x:c r="F466" s="19" t="str">
        <x:v>eng</x:v>
      </x:c>
      <x:c r="G466" s="19" t="str">
        <x:v>current English corpus (July 2024 dataset; public shorthand eng; mutable current corpus)</x:v>
      </x:c>
      <x:c r="H466" s="19" t="str">
        <x:v>climate change (All)</x:v>
      </x:c>
      <x:c r="I466" s="19" t="str">
        <x:v>0</x:v>
      </x:c>
      <x:c r="J466" s="19" t="n">
        <x:v>46260.10760416667</x:v>
      </x:c>
      <x:c r="K466" s="31" t="str">
        <x:v>data/fear-temperature/ngram/raw/c0c3021f09dbdf3542c85e1a8bd4e013bd4d99d85af63bbd55f5e05a6a7ddd2b.json</x:v>
      </x:c>
      <x:c r="L466" s="19" t="str">
        <x:v>f147d9b61eec9310d5a36c21ef68d14904b4782ed7663bc02178e865991f6aa6</x:v>
      </x:c>
      <x:c r="M466" s="19" t="str">
        <x:v>03c6b3b7aec17c75d6066c3ad33475123246728a6d70514bc6c4b2fac975aa04</x:v>
      </x:c>
      <x:c r="N466" s="31" t="str">
        <x:v>FT-LF-CLIMATE_CHANGE</x:v>
      </x:c>
      <x:c r="O466" s="31" t="str">
        <x:v>FT-C-MODERN_CLIMATE_CHANGE</x:v>
      </x:c>
      <x:c r="P466" s="31" t="str">
        <x:v>FT-F04</x:v>
      </x:c>
      <x:c r="Q466" s="49" t="n">
        <x:v>0.01578595209411615</x:v>
      </x:c>
    </x:row>
    <x:row r="467" ht="20" customHeight="1">
      <x:c r="A467" s="40" t="str">
        <x:v>FT-Q-V01-070</x:v>
      </x:c>
      <x:c r="B467" s="19" t="str">
        <x:v>climate change</x:v>
      </x:c>
      <x:c r="C467" s="31" t="str">
        <x:v>climate</x:v>
      </x:c>
      <x:c r="D467" s="25" t="n">
        <x:v>1942</x:v>
      </x:c>
      <x:c r="E467" s="46" t="n">
        <x:v>4.695454808301136e-8</x:v>
      </x:c>
      <x:c r="F467" s="19" t="str">
        <x:v>eng</x:v>
      </x:c>
      <x:c r="G467" s="19" t="str">
        <x:v>current English corpus (July 2024 dataset; public shorthand eng; mutable current corpus)</x:v>
      </x:c>
      <x:c r="H467" s="19" t="str">
        <x:v>climate change (All)</x:v>
      </x:c>
      <x:c r="I467" s="19" t="str">
        <x:v>0</x:v>
      </x:c>
      <x:c r="J467" s="19" t="n">
        <x:v>46260.10760416667</x:v>
      </x:c>
      <x:c r="K467" s="31" t="str">
        <x:v>data/fear-temperature/ngram/raw/c0c3021f09dbdf3542c85e1a8bd4e013bd4d99d85af63bbd55f5e05a6a7ddd2b.json</x:v>
      </x:c>
      <x:c r="L467" s="19" t="str">
        <x:v>f147d9b61eec9310d5a36c21ef68d14904b4782ed7663bc02178e865991f6aa6</x:v>
      </x:c>
      <x:c r="M467" s="19" t="str">
        <x:v>03c6b3b7aec17c75d6066c3ad33475123246728a6d70514bc6c4b2fac975aa04</x:v>
      </x:c>
      <x:c r="N467" s="31" t="str">
        <x:v>FT-LF-CLIMATE_CHANGE</x:v>
      </x:c>
      <x:c r="O467" s="31" t="str">
        <x:v>FT-C-MODERN_CLIMATE_CHANGE</x:v>
      </x:c>
      <x:c r="P467" s="31" t="str">
        <x:v>FT-F04</x:v>
      </x:c>
      <x:c r="Q467" s="49" t="n">
        <x:v>0.04695454808301136</x:v>
      </x:c>
    </x:row>
    <x:row r="468" ht="20" customHeight="1">
      <x:c r="A468" s="40" t="str">
        <x:v>FT-Q-V01-070</x:v>
      </x:c>
      <x:c r="B468" s="19" t="str">
        <x:v>climate change</x:v>
      </x:c>
      <x:c r="C468" s="31" t="str">
        <x:v>climate</x:v>
      </x:c>
      <x:c r="D468" s="25" t="n">
        <x:v>1943</x:v>
      </x:c>
      <x:c r="E468" s="46" t="n">
        <x:v>1.211478224683038e-8</x:v>
      </x:c>
      <x:c r="F468" s="19" t="str">
        <x:v>eng</x:v>
      </x:c>
      <x:c r="G468" s="19" t="str">
        <x:v>current English corpus (July 2024 dataset; public shorthand eng; mutable current corpus)</x:v>
      </x:c>
      <x:c r="H468" s="19" t="str">
        <x:v>climate change (All)</x:v>
      </x:c>
      <x:c r="I468" s="19" t="str">
        <x:v>0</x:v>
      </x:c>
      <x:c r="J468" s="19" t="n">
        <x:v>46260.10760416667</x:v>
      </x:c>
      <x:c r="K468" s="31" t="str">
        <x:v>data/fear-temperature/ngram/raw/c0c3021f09dbdf3542c85e1a8bd4e013bd4d99d85af63bbd55f5e05a6a7ddd2b.json</x:v>
      </x:c>
      <x:c r="L468" s="19" t="str">
        <x:v>f147d9b61eec9310d5a36c21ef68d14904b4782ed7663bc02178e865991f6aa6</x:v>
      </x:c>
      <x:c r="M468" s="19" t="str">
        <x:v>03c6b3b7aec17c75d6066c3ad33475123246728a6d70514bc6c4b2fac975aa04</x:v>
      </x:c>
      <x:c r="N468" s="31" t="str">
        <x:v>FT-LF-CLIMATE_CHANGE</x:v>
      </x:c>
      <x:c r="O468" s="31" t="str">
        <x:v>FT-C-MODERN_CLIMATE_CHANGE</x:v>
      </x:c>
      <x:c r="P468" s="31" t="str">
        <x:v>FT-F04</x:v>
      </x:c>
      <x:c r="Q468" s="49" t="n">
        <x:v>0.01211478224683038</x:v>
      </x:c>
    </x:row>
    <x:row r="469" ht="20" customHeight="1">
      <x:c r="A469" s="40" t="str">
        <x:v>FT-Q-V01-070</x:v>
      </x:c>
      <x:c r="B469" s="19" t="str">
        <x:v>climate change</x:v>
      </x:c>
      <x:c r="C469" s="31" t="str">
        <x:v>climate</x:v>
      </x:c>
      <x:c r="D469" s="25" t="n">
        <x:v>1944</x:v>
      </x:c>
      <x:c r="E469" s="46" t="n">
        <x:v>5.902945104940826e-9</x:v>
      </x:c>
      <x:c r="F469" s="19" t="str">
        <x:v>eng</x:v>
      </x:c>
      <x:c r="G469" s="19" t="str">
        <x:v>current English corpus (July 2024 dataset; public shorthand eng; mutable current corpus)</x:v>
      </x:c>
      <x:c r="H469" s="19" t="str">
        <x:v>climate change (All)</x:v>
      </x:c>
      <x:c r="I469" s="19" t="str">
        <x:v>0</x:v>
      </x:c>
      <x:c r="J469" s="19" t="n">
        <x:v>46260.10760416667</x:v>
      </x:c>
      <x:c r="K469" s="31" t="str">
        <x:v>data/fear-temperature/ngram/raw/c0c3021f09dbdf3542c85e1a8bd4e013bd4d99d85af63bbd55f5e05a6a7ddd2b.json</x:v>
      </x:c>
      <x:c r="L469" s="19" t="str">
        <x:v>f147d9b61eec9310d5a36c21ef68d14904b4782ed7663bc02178e865991f6aa6</x:v>
      </x:c>
      <x:c r="M469" s="19" t="str">
        <x:v>03c6b3b7aec17c75d6066c3ad33475123246728a6d70514bc6c4b2fac975aa04</x:v>
      </x:c>
      <x:c r="N469" s="31" t="str">
        <x:v>FT-LF-CLIMATE_CHANGE</x:v>
      </x:c>
      <x:c r="O469" s="31" t="str">
        <x:v>FT-C-MODERN_CLIMATE_CHANGE</x:v>
      </x:c>
      <x:c r="P469" s="31" t="str">
        <x:v>FT-F04</x:v>
      </x:c>
      <x:c r="Q469" s="49" t="n">
        <x:v>0.005902945104940826</x:v>
      </x:c>
    </x:row>
    <x:row r="470" ht="20" customHeight="1">
      <x:c r="A470" s="40" t="str">
        <x:v>FT-Q-V01-070</x:v>
      </x:c>
      <x:c r="B470" s="19" t="str">
        <x:v>climate change</x:v>
      </x:c>
      <x:c r="C470" s="31" t="str">
        <x:v>climate</x:v>
      </x:c>
      <x:c r="D470" s="25" t="n">
        <x:v>1945</x:v>
      </x:c>
      <x:c r="E470" s="46" t="n">
        <x:v>6.276930697435289e-9</x:v>
      </x:c>
      <x:c r="F470" s="19" t="str">
        <x:v>eng</x:v>
      </x:c>
      <x:c r="G470" s="19" t="str">
        <x:v>current English corpus (July 2024 dataset; public shorthand eng; mutable current corpus)</x:v>
      </x:c>
      <x:c r="H470" s="19" t="str">
        <x:v>climate change (All)</x:v>
      </x:c>
      <x:c r="I470" s="19" t="str">
        <x:v>0</x:v>
      </x:c>
      <x:c r="J470" s="19" t="n">
        <x:v>46260.10760416667</x:v>
      </x:c>
      <x:c r="K470" s="31" t="str">
        <x:v>data/fear-temperature/ngram/raw/c0c3021f09dbdf3542c85e1a8bd4e013bd4d99d85af63bbd55f5e05a6a7ddd2b.json</x:v>
      </x:c>
      <x:c r="L470" s="19" t="str">
        <x:v>f147d9b61eec9310d5a36c21ef68d14904b4782ed7663bc02178e865991f6aa6</x:v>
      </x:c>
      <x:c r="M470" s="19" t="str">
        <x:v>03c6b3b7aec17c75d6066c3ad33475123246728a6d70514bc6c4b2fac975aa04</x:v>
      </x:c>
      <x:c r="N470" s="31" t="str">
        <x:v>FT-LF-CLIMATE_CHANGE</x:v>
      </x:c>
      <x:c r="O470" s="31" t="str">
        <x:v>FT-C-MODERN_CLIMATE_CHANGE</x:v>
      </x:c>
      <x:c r="P470" s="31" t="str">
        <x:v>FT-F04</x:v>
      </x:c>
      <x:c r="Q470" s="49" t="n">
        <x:v>0.006276930697435289</x:v>
      </x:c>
    </x:row>
    <x:row r="471" ht="20" customHeight="1">
      <x:c r="A471" s="40" t="str">
        <x:v>FT-Q-V01-070</x:v>
      </x:c>
      <x:c r="B471" s="19" t="str">
        <x:v>climate change</x:v>
      </x:c>
      <x:c r="C471" s="31" t="str">
        <x:v>climate</x:v>
      </x:c>
      <x:c r="D471" s="25" t="n">
        <x:v>1946</x:v>
      </x:c>
      <x:c r="E471" s="46" t="n">
        <x:v>1.6584207662706518e-7</x:v>
      </x:c>
      <x:c r="F471" s="19" t="str">
        <x:v>eng</x:v>
      </x:c>
      <x:c r="G471" s="19" t="str">
        <x:v>current English corpus (July 2024 dataset; public shorthand eng; mutable current corpus)</x:v>
      </x:c>
      <x:c r="H471" s="19" t="str">
        <x:v>climate change (All)</x:v>
      </x:c>
      <x:c r="I471" s="19" t="str">
        <x:v>0</x:v>
      </x:c>
      <x:c r="J471" s="19" t="n">
        <x:v>46260.10760416667</x:v>
      </x:c>
      <x:c r="K471" s="31" t="str">
        <x:v>data/fear-temperature/ngram/raw/c0c3021f09dbdf3542c85e1a8bd4e013bd4d99d85af63bbd55f5e05a6a7ddd2b.json</x:v>
      </x:c>
      <x:c r="L471" s="19" t="str">
        <x:v>f147d9b61eec9310d5a36c21ef68d14904b4782ed7663bc02178e865991f6aa6</x:v>
      </x:c>
      <x:c r="M471" s="19" t="str">
        <x:v>03c6b3b7aec17c75d6066c3ad33475123246728a6d70514bc6c4b2fac975aa04</x:v>
      </x:c>
      <x:c r="N471" s="31" t="str">
        <x:v>FT-LF-CLIMATE_CHANGE</x:v>
      </x:c>
      <x:c r="O471" s="31" t="str">
        <x:v>FT-C-MODERN_CLIMATE_CHANGE</x:v>
      </x:c>
      <x:c r="P471" s="31" t="str">
        <x:v>FT-F04</x:v>
      </x:c>
      <x:c r="Q471" s="49" t="n">
        <x:v>0.16584207662706518</x:v>
      </x:c>
    </x:row>
    <x:row r="472" ht="20" customHeight="1">
      <x:c r="A472" s="40" t="str">
        <x:v>FT-Q-V01-070</x:v>
      </x:c>
      <x:c r="B472" s="19" t="str">
        <x:v>climate change</x:v>
      </x:c>
      <x:c r="C472" s="31" t="str">
        <x:v>climate</x:v>
      </x:c>
      <x:c r="D472" s="25" t="n">
        <x:v>1947</x:v>
      </x:c>
      <x:c r="E472" s="46" t="n">
        <x:v>8.128827871933808e-8</x:v>
      </x:c>
      <x:c r="F472" s="19" t="str">
        <x:v>eng</x:v>
      </x:c>
      <x:c r="G472" s="19" t="str">
        <x:v>current English corpus (July 2024 dataset; public shorthand eng; mutable current corpus)</x:v>
      </x:c>
      <x:c r="H472" s="19" t="str">
        <x:v>climate change (All)</x:v>
      </x:c>
      <x:c r="I472" s="19" t="str">
        <x:v>0</x:v>
      </x:c>
      <x:c r="J472" s="19" t="n">
        <x:v>46260.10760416667</x:v>
      </x:c>
      <x:c r="K472" s="31" t="str">
        <x:v>data/fear-temperature/ngram/raw/c0c3021f09dbdf3542c85e1a8bd4e013bd4d99d85af63bbd55f5e05a6a7ddd2b.json</x:v>
      </x:c>
      <x:c r="L472" s="19" t="str">
        <x:v>f147d9b61eec9310d5a36c21ef68d14904b4782ed7663bc02178e865991f6aa6</x:v>
      </x:c>
      <x:c r="M472" s="19" t="str">
        <x:v>03c6b3b7aec17c75d6066c3ad33475123246728a6d70514bc6c4b2fac975aa04</x:v>
      </x:c>
      <x:c r="N472" s="31" t="str">
        <x:v>FT-LF-CLIMATE_CHANGE</x:v>
      </x:c>
      <x:c r="O472" s="31" t="str">
        <x:v>FT-C-MODERN_CLIMATE_CHANGE</x:v>
      </x:c>
      <x:c r="P472" s="31" t="str">
        <x:v>FT-F04</x:v>
      </x:c>
      <x:c r="Q472" s="49" t="n">
        <x:v>0.08128827871933808</x:v>
      </x:c>
    </x:row>
    <x:row r="473" ht="20" customHeight="1">
      <x:c r="A473" s="40" t="str">
        <x:v>FT-Q-V01-070</x:v>
      </x:c>
      <x:c r="B473" s="19" t="str">
        <x:v>climate change</x:v>
      </x:c>
      <x:c r="C473" s="31" t="str">
        <x:v>climate</x:v>
      </x:c>
      <x:c r="D473" s="25" t="n">
        <x:v>1948</x:v>
      </x:c>
      <x:c r="E473" s="46" t="n">
        <x:v>1.2624474779454609e-7</x:v>
      </x:c>
      <x:c r="F473" s="19" t="str">
        <x:v>eng</x:v>
      </x:c>
      <x:c r="G473" s="19" t="str">
        <x:v>current English corpus (July 2024 dataset; public shorthand eng; mutable current corpus)</x:v>
      </x:c>
      <x:c r="H473" s="19" t="str">
        <x:v>climate change (All)</x:v>
      </x:c>
      <x:c r="I473" s="19" t="str">
        <x:v>0</x:v>
      </x:c>
      <x:c r="J473" s="19" t="n">
        <x:v>46260.10760416667</x:v>
      </x:c>
      <x:c r="K473" s="31" t="str">
        <x:v>data/fear-temperature/ngram/raw/c0c3021f09dbdf3542c85e1a8bd4e013bd4d99d85af63bbd55f5e05a6a7ddd2b.json</x:v>
      </x:c>
      <x:c r="L473" s="19" t="str">
        <x:v>f147d9b61eec9310d5a36c21ef68d14904b4782ed7663bc02178e865991f6aa6</x:v>
      </x:c>
      <x:c r="M473" s="19" t="str">
        <x:v>03c6b3b7aec17c75d6066c3ad33475123246728a6d70514bc6c4b2fac975aa04</x:v>
      </x:c>
      <x:c r="N473" s="31" t="str">
        <x:v>FT-LF-CLIMATE_CHANGE</x:v>
      </x:c>
      <x:c r="O473" s="31" t="str">
        <x:v>FT-C-MODERN_CLIMATE_CHANGE</x:v>
      </x:c>
      <x:c r="P473" s="31" t="str">
        <x:v>FT-F04</x:v>
      </x:c>
      <x:c r="Q473" s="49" t="n">
        <x:v>0.12624474779454609</x:v>
      </x:c>
    </x:row>
    <x:row r="474" ht="20" customHeight="1">
      <x:c r="A474" s="40" t="str">
        <x:v>FT-Q-V01-070</x:v>
      </x:c>
      <x:c r="B474" s="19" t="str">
        <x:v>climate change</x:v>
      </x:c>
      <x:c r="C474" s="31" t="str">
        <x:v>climate</x:v>
      </x:c>
      <x:c r="D474" s="25" t="n">
        <x:v>1949</x:v>
      </x:c>
      <x:c r="E474" s="46" t="n">
        <x:v>4.09747419327644e-8</x:v>
      </x:c>
      <x:c r="F474" s="19" t="str">
        <x:v>eng</x:v>
      </x:c>
      <x:c r="G474" s="19" t="str">
        <x:v>current English corpus (July 2024 dataset; public shorthand eng; mutable current corpus)</x:v>
      </x:c>
      <x:c r="H474" s="19" t="str">
        <x:v>climate change (All)</x:v>
      </x:c>
      <x:c r="I474" s="19" t="str">
        <x:v>0</x:v>
      </x:c>
      <x:c r="J474" s="19" t="n">
        <x:v>46260.10760416667</x:v>
      </x:c>
      <x:c r="K474" s="31" t="str">
        <x:v>data/fear-temperature/ngram/raw/c0c3021f09dbdf3542c85e1a8bd4e013bd4d99d85af63bbd55f5e05a6a7ddd2b.json</x:v>
      </x:c>
      <x:c r="L474" s="19" t="str">
        <x:v>f147d9b61eec9310d5a36c21ef68d14904b4782ed7663bc02178e865991f6aa6</x:v>
      </x:c>
      <x:c r="M474" s="19" t="str">
        <x:v>03c6b3b7aec17c75d6066c3ad33475123246728a6d70514bc6c4b2fac975aa04</x:v>
      </x:c>
      <x:c r="N474" s="31" t="str">
        <x:v>FT-LF-CLIMATE_CHANGE</x:v>
      </x:c>
      <x:c r="O474" s="31" t="str">
        <x:v>FT-C-MODERN_CLIMATE_CHANGE</x:v>
      </x:c>
      <x:c r="P474" s="31" t="str">
        <x:v>FT-F04</x:v>
      </x:c>
      <x:c r="Q474" s="49" t="n">
        <x:v>0.0409747419327644</x:v>
      </x:c>
    </x:row>
    <x:row r="475" ht="20" customHeight="1">
      <x:c r="A475" s="40" t="str">
        <x:v>FT-Q-V01-070</x:v>
      </x:c>
      <x:c r="B475" s="19" t="str">
        <x:v>climate change</x:v>
      </x:c>
      <x:c r="C475" s="31" t="str">
        <x:v>climate</x:v>
      </x:c>
      <x:c r="D475" s="25" t="n">
        <x:v>1950</x:v>
      </x:c>
      <x:c r="E475" s="46" t="n">
        <x:v>8.864539924324788e-8</x:v>
      </x:c>
      <x:c r="F475" s="19" t="str">
        <x:v>eng</x:v>
      </x:c>
      <x:c r="G475" s="19" t="str">
        <x:v>current English corpus (July 2024 dataset; public shorthand eng; mutable current corpus)</x:v>
      </x:c>
      <x:c r="H475" s="19" t="str">
        <x:v>climate change (All)</x:v>
      </x:c>
      <x:c r="I475" s="19" t="str">
        <x:v>0</x:v>
      </x:c>
      <x:c r="J475" s="19" t="n">
        <x:v>46260.10760416667</x:v>
      </x:c>
      <x:c r="K475" s="31" t="str">
        <x:v>data/fear-temperature/ngram/raw/c0c3021f09dbdf3542c85e1a8bd4e013bd4d99d85af63bbd55f5e05a6a7ddd2b.json</x:v>
      </x:c>
      <x:c r="L475" s="19" t="str">
        <x:v>f147d9b61eec9310d5a36c21ef68d14904b4782ed7663bc02178e865991f6aa6</x:v>
      </x:c>
      <x:c r="M475" s="19" t="str">
        <x:v>03c6b3b7aec17c75d6066c3ad33475123246728a6d70514bc6c4b2fac975aa04</x:v>
      </x:c>
      <x:c r="N475" s="31" t="str">
        <x:v>FT-LF-CLIMATE_CHANGE</x:v>
      </x:c>
      <x:c r="O475" s="31" t="str">
        <x:v>FT-C-MODERN_CLIMATE_CHANGE</x:v>
      </x:c>
      <x:c r="P475" s="31" t="str">
        <x:v>FT-F04</x:v>
      </x:c>
      <x:c r="Q475" s="49" t="n">
        <x:v>0.08864539924324788</x:v>
      </x:c>
    </x:row>
    <x:row r="476" ht="20" customHeight="1">
      <x:c r="A476" s="40" t="str">
        <x:v>FT-Q-V01-070</x:v>
      </x:c>
      <x:c r="B476" s="19" t="str">
        <x:v>climate change</x:v>
      </x:c>
      <x:c r="C476" s="31" t="str">
        <x:v>climate</x:v>
      </x:c>
      <x:c r="D476" s="25" t="n">
        <x:v>1951</x:v>
      </x:c>
      <x:c r="E476" s="46" t="n">
        <x:v>3.111155112700548e-8</x:v>
      </x:c>
      <x:c r="F476" s="19" t="str">
        <x:v>eng</x:v>
      </x:c>
      <x:c r="G476" s="19" t="str">
        <x:v>current English corpus (July 2024 dataset; public shorthand eng; mutable current corpus)</x:v>
      </x:c>
      <x:c r="H476" s="19" t="str">
        <x:v>climate change (All)</x:v>
      </x:c>
      <x:c r="I476" s="19" t="str">
        <x:v>0</x:v>
      </x:c>
      <x:c r="J476" s="19" t="n">
        <x:v>46260.10760416667</x:v>
      </x:c>
      <x:c r="K476" s="31" t="str">
        <x:v>data/fear-temperature/ngram/raw/c0c3021f09dbdf3542c85e1a8bd4e013bd4d99d85af63bbd55f5e05a6a7ddd2b.json</x:v>
      </x:c>
      <x:c r="L476" s="19" t="str">
        <x:v>f147d9b61eec9310d5a36c21ef68d14904b4782ed7663bc02178e865991f6aa6</x:v>
      </x:c>
      <x:c r="M476" s="19" t="str">
        <x:v>03c6b3b7aec17c75d6066c3ad33475123246728a6d70514bc6c4b2fac975aa04</x:v>
      </x:c>
      <x:c r="N476" s="31" t="str">
        <x:v>FT-LF-CLIMATE_CHANGE</x:v>
      </x:c>
      <x:c r="O476" s="31" t="str">
        <x:v>FT-C-MODERN_CLIMATE_CHANGE</x:v>
      </x:c>
      <x:c r="P476" s="31" t="str">
        <x:v>FT-F04</x:v>
      </x:c>
      <x:c r="Q476" s="49" t="n">
        <x:v>0.031111551127005477</x:v>
      </x:c>
    </x:row>
    <x:row r="477" ht="20" customHeight="1">
      <x:c r="A477" s="40" t="str">
        <x:v>FT-Q-V01-070</x:v>
      </x:c>
      <x:c r="B477" s="19" t="str">
        <x:v>climate change</x:v>
      </x:c>
      <x:c r="C477" s="31" t="str">
        <x:v>climate</x:v>
      </x:c>
      <x:c r="D477" s="25" t="n">
        <x:v>1952</x:v>
      </x:c>
      <x:c r="E477" s="46" t="n">
        <x:v>5.615191756014326e-9</x:v>
      </x:c>
      <x:c r="F477" s="19" t="str">
        <x:v>eng</x:v>
      </x:c>
      <x:c r="G477" s="19" t="str">
        <x:v>current English corpus (July 2024 dataset; public shorthand eng; mutable current corpus)</x:v>
      </x:c>
      <x:c r="H477" s="19" t="str">
        <x:v>climate change (All)</x:v>
      </x:c>
      <x:c r="I477" s="19" t="str">
        <x:v>0</x:v>
      </x:c>
      <x:c r="J477" s="19" t="n">
        <x:v>46260.10760416667</x:v>
      </x:c>
      <x:c r="K477" s="31" t="str">
        <x:v>data/fear-temperature/ngram/raw/c0c3021f09dbdf3542c85e1a8bd4e013bd4d99d85af63bbd55f5e05a6a7ddd2b.json</x:v>
      </x:c>
      <x:c r="L477" s="19" t="str">
        <x:v>f147d9b61eec9310d5a36c21ef68d14904b4782ed7663bc02178e865991f6aa6</x:v>
      </x:c>
      <x:c r="M477" s="19" t="str">
        <x:v>03c6b3b7aec17c75d6066c3ad33475123246728a6d70514bc6c4b2fac975aa04</x:v>
      </x:c>
      <x:c r="N477" s="31" t="str">
        <x:v>FT-LF-CLIMATE_CHANGE</x:v>
      </x:c>
      <x:c r="O477" s="31" t="str">
        <x:v>FT-C-MODERN_CLIMATE_CHANGE</x:v>
      </x:c>
      <x:c r="P477" s="31" t="str">
        <x:v>FT-F04</x:v>
      </x:c>
      <x:c r="Q477" s="49" t="n">
        <x:v>0.005615191756014326</x:v>
      </x:c>
    </x:row>
    <x:row r="478" ht="20" customHeight="1">
      <x:c r="A478" s="40" t="str">
        <x:v>FT-Q-V01-070</x:v>
      </x:c>
      <x:c r="B478" s="19" t="str">
        <x:v>climate change</x:v>
      </x:c>
      <x:c r="C478" s="31" t="str">
        <x:v>climate</x:v>
      </x:c>
      <x:c r="D478" s="25" t="n">
        <x:v>1953</x:v>
      </x:c>
      <x:c r="E478" s="46" t="n">
        <x:v>2.9787549427062746e-8</x:v>
      </x:c>
      <x:c r="F478" s="19" t="str">
        <x:v>eng</x:v>
      </x:c>
      <x:c r="G478" s="19" t="str">
        <x:v>current English corpus (July 2024 dataset; public shorthand eng; mutable current corpus)</x:v>
      </x:c>
      <x:c r="H478" s="19" t="str">
        <x:v>climate change (All)</x:v>
      </x:c>
      <x:c r="I478" s="19" t="str">
        <x:v>0</x:v>
      </x:c>
      <x:c r="J478" s="19" t="n">
        <x:v>46260.10760416667</x:v>
      </x:c>
      <x:c r="K478" s="31" t="str">
        <x:v>data/fear-temperature/ngram/raw/c0c3021f09dbdf3542c85e1a8bd4e013bd4d99d85af63bbd55f5e05a6a7ddd2b.json</x:v>
      </x:c>
      <x:c r="L478" s="19" t="str">
        <x:v>f147d9b61eec9310d5a36c21ef68d14904b4782ed7663bc02178e865991f6aa6</x:v>
      </x:c>
      <x:c r="M478" s="19" t="str">
        <x:v>03c6b3b7aec17c75d6066c3ad33475123246728a6d70514bc6c4b2fac975aa04</x:v>
      </x:c>
      <x:c r="N478" s="31" t="str">
        <x:v>FT-LF-CLIMATE_CHANGE</x:v>
      </x:c>
      <x:c r="O478" s="31" t="str">
        <x:v>FT-C-MODERN_CLIMATE_CHANGE</x:v>
      </x:c>
      <x:c r="P478" s="31" t="str">
        <x:v>FT-F04</x:v>
      </x:c>
      <x:c r="Q478" s="49" t="n">
        <x:v>0.029787549427062746</x:v>
      </x:c>
    </x:row>
    <x:row r="479" ht="20" customHeight="1">
      <x:c r="A479" s="40" t="str">
        <x:v>FT-Q-V01-070</x:v>
      </x:c>
      <x:c r="B479" s="19" t="str">
        <x:v>climate change</x:v>
      </x:c>
      <x:c r="C479" s="31" t="str">
        <x:v>climate</x:v>
      </x:c>
      <x:c r="D479" s="25" t="n">
        <x:v>1954</x:v>
      </x:c>
      <x:c r="E479" s="46" t="n">
        <x:v>1.5688177334993725e-7</x:v>
      </x:c>
      <x:c r="F479" s="19" t="str">
        <x:v>eng</x:v>
      </x:c>
      <x:c r="G479" s="19" t="str">
        <x:v>current English corpus (July 2024 dataset; public shorthand eng; mutable current corpus)</x:v>
      </x:c>
      <x:c r="H479" s="19" t="str">
        <x:v>climate change (All)</x:v>
      </x:c>
      <x:c r="I479" s="19" t="str">
        <x:v>0</x:v>
      </x:c>
      <x:c r="J479" s="19" t="n">
        <x:v>46260.10760416667</x:v>
      </x:c>
      <x:c r="K479" s="31" t="str">
        <x:v>data/fear-temperature/ngram/raw/c0c3021f09dbdf3542c85e1a8bd4e013bd4d99d85af63bbd55f5e05a6a7ddd2b.json</x:v>
      </x:c>
      <x:c r="L479" s="19" t="str">
        <x:v>f147d9b61eec9310d5a36c21ef68d14904b4782ed7663bc02178e865991f6aa6</x:v>
      </x:c>
      <x:c r="M479" s="19" t="str">
        <x:v>03c6b3b7aec17c75d6066c3ad33475123246728a6d70514bc6c4b2fac975aa04</x:v>
      </x:c>
      <x:c r="N479" s="31" t="str">
        <x:v>FT-LF-CLIMATE_CHANGE</x:v>
      </x:c>
      <x:c r="O479" s="31" t="str">
        <x:v>FT-C-MODERN_CLIMATE_CHANGE</x:v>
      </x:c>
      <x:c r="P479" s="31" t="str">
        <x:v>FT-F04</x:v>
      </x:c>
      <x:c r="Q479" s="49" t="n">
        <x:v>0.15688177334993725</x:v>
      </x:c>
    </x:row>
    <x:row r="480" ht="20" customHeight="1">
      <x:c r="A480" s="40" t="str">
        <x:v>FT-Q-V01-070</x:v>
      </x:c>
      <x:c r="B480" s="19" t="str">
        <x:v>climate change</x:v>
      </x:c>
      <x:c r="C480" s="31" t="str">
        <x:v>climate</x:v>
      </x:c>
      <x:c r="D480" s="25" t="n">
        <x:v>1955</x:v>
      </x:c>
      <x:c r="E480" s="46" t="n">
        <x:v>2.3028681295222952e-8</x:v>
      </x:c>
      <x:c r="F480" s="19" t="str">
        <x:v>eng</x:v>
      </x:c>
      <x:c r="G480" s="19" t="str">
        <x:v>current English corpus (July 2024 dataset; public shorthand eng; mutable current corpus)</x:v>
      </x:c>
      <x:c r="H480" s="19" t="str">
        <x:v>climate change (All)</x:v>
      </x:c>
      <x:c r="I480" s="19" t="str">
        <x:v>0</x:v>
      </x:c>
      <x:c r="J480" s="19" t="n">
        <x:v>46260.10760416667</x:v>
      </x:c>
      <x:c r="K480" s="31" t="str">
        <x:v>data/fear-temperature/ngram/raw/c0c3021f09dbdf3542c85e1a8bd4e013bd4d99d85af63bbd55f5e05a6a7ddd2b.json</x:v>
      </x:c>
      <x:c r="L480" s="19" t="str">
        <x:v>f147d9b61eec9310d5a36c21ef68d14904b4782ed7663bc02178e865991f6aa6</x:v>
      </x:c>
      <x:c r="M480" s="19" t="str">
        <x:v>03c6b3b7aec17c75d6066c3ad33475123246728a6d70514bc6c4b2fac975aa04</x:v>
      </x:c>
      <x:c r="N480" s="31" t="str">
        <x:v>FT-LF-CLIMATE_CHANGE</x:v>
      </x:c>
      <x:c r="O480" s="31" t="str">
        <x:v>FT-C-MODERN_CLIMATE_CHANGE</x:v>
      </x:c>
      <x:c r="P480" s="31" t="str">
        <x:v>FT-F04</x:v>
      </x:c>
      <x:c r="Q480" s="49" t="n">
        <x:v>0.023028681295222952</x:v>
      </x:c>
    </x:row>
    <x:row r="481" ht="20" customHeight="1">
      <x:c r="A481" s="40" t="str">
        <x:v>FT-Q-V01-070</x:v>
      </x:c>
      <x:c r="B481" s="19" t="str">
        <x:v>climate change</x:v>
      </x:c>
      <x:c r="C481" s="31" t="str">
        <x:v>climate</x:v>
      </x:c>
      <x:c r="D481" s="25" t="n">
        <x:v>1956</x:v>
      </x:c>
      <x:c r="E481" s="46" t="n">
        <x:v>1.6750566822487656e-8</x:v>
      </x:c>
      <x:c r="F481" s="19" t="str">
        <x:v>eng</x:v>
      </x:c>
      <x:c r="G481" s="19" t="str">
        <x:v>current English corpus (July 2024 dataset; public shorthand eng; mutable current corpus)</x:v>
      </x:c>
      <x:c r="H481" s="19" t="str">
        <x:v>climate change (All)</x:v>
      </x:c>
      <x:c r="I481" s="19" t="str">
        <x:v>0</x:v>
      </x:c>
      <x:c r="J481" s="19" t="n">
        <x:v>46260.10760416667</x:v>
      </x:c>
      <x:c r="K481" s="31" t="str">
        <x:v>data/fear-temperature/ngram/raw/c0c3021f09dbdf3542c85e1a8bd4e013bd4d99d85af63bbd55f5e05a6a7ddd2b.json</x:v>
      </x:c>
      <x:c r="L481" s="19" t="str">
        <x:v>f147d9b61eec9310d5a36c21ef68d14904b4782ed7663bc02178e865991f6aa6</x:v>
      </x:c>
      <x:c r="M481" s="19" t="str">
        <x:v>03c6b3b7aec17c75d6066c3ad33475123246728a6d70514bc6c4b2fac975aa04</x:v>
      </x:c>
      <x:c r="N481" s="31" t="str">
        <x:v>FT-LF-CLIMATE_CHANGE</x:v>
      </x:c>
      <x:c r="O481" s="31" t="str">
        <x:v>FT-C-MODERN_CLIMATE_CHANGE</x:v>
      </x:c>
      <x:c r="P481" s="31" t="str">
        <x:v>FT-F04</x:v>
      </x:c>
      <x:c r="Q481" s="49" t="n">
        <x:v>0.016750566822487656</x:v>
      </x:c>
    </x:row>
    <x:row r="482" ht="20" customHeight="1">
      <x:c r="A482" s="40" t="str">
        <x:v>FT-Q-V01-070</x:v>
      </x:c>
      <x:c r="B482" s="19" t="str">
        <x:v>climate change</x:v>
      </x:c>
      <x:c r="C482" s="31" t="str">
        <x:v>climate</x:v>
      </x:c>
      <x:c r="D482" s="25" t="n">
        <x:v>1957</x:v>
      </x:c>
      <x:c r="E482" s="46" t="n">
        <x:v>6.488335707599546e-8</x:v>
      </x:c>
      <x:c r="F482" s="19" t="str">
        <x:v>eng</x:v>
      </x:c>
      <x:c r="G482" s="19" t="str">
        <x:v>current English corpus (July 2024 dataset; public shorthand eng; mutable current corpus)</x:v>
      </x:c>
      <x:c r="H482" s="19" t="str">
        <x:v>climate change (All)</x:v>
      </x:c>
      <x:c r="I482" s="19" t="str">
        <x:v>0</x:v>
      </x:c>
      <x:c r="J482" s="19" t="n">
        <x:v>46260.10760416667</x:v>
      </x:c>
      <x:c r="K482" s="31" t="str">
        <x:v>data/fear-temperature/ngram/raw/c0c3021f09dbdf3542c85e1a8bd4e013bd4d99d85af63bbd55f5e05a6a7ddd2b.json</x:v>
      </x:c>
      <x:c r="L482" s="19" t="str">
        <x:v>f147d9b61eec9310d5a36c21ef68d14904b4782ed7663bc02178e865991f6aa6</x:v>
      </x:c>
      <x:c r="M482" s="19" t="str">
        <x:v>03c6b3b7aec17c75d6066c3ad33475123246728a6d70514bc6c4b2fac975aa04</x:v>
      </x:c>
      <x:c r="N482" s="31" t="str">
        <x:v>FT-LF-CLIMATE_CHANGE</x:v>
      </x:c>
      <x:c r="O482" s="31" t="str">
        <x:v>FT-C-MODERN_CLIMATE_CHANGE</x:v>
      </x:c>
      <x:c r="P482" s="31" t="str">
        <x:v>FT-F04</x:v>
      </x:c>
      <x:c r="Q482" s="49" t="n">
        <x:v>0.06488335707599546</x:v>
      </x:c>
    </x:row>
    <x:row r="483" ht="20" customHeight="1">
      <x:c r="A483" s="40" t="str">
        <x:v>FT-Q-V01-070</x:v>
      </x:c>
      <x:c r="B483" s="19" t="str">
        <x:v>climate change</x:v>
      </x:c>
      <x:c r="C483" s="31" t="str">
        <x:v>climate</x:v>
      </x:c>
      <x:c r="D483" s="25" t="n">
        <x:v>1958</x:v>
      </x:c>
      <x:c r="E483" s="46" t="n">
        <x:v>2.7073882691297513e-8</x:v>
      </x:c>
      <x:c r="F483" s="19" t="str">
        <x:v>eng</x:v>
      </x:c>
      <x:c r="G483" s="19" t="str">
        <x:v>current English corpus (July 2024 dataset; public shorthand eng; mutable current corpus)</x:v>
      </x:c>
      <x:c r="H483" s="19" t="str">
        <x:v>climate change (All)</x:v>
      </x:c>
      <x:c r="I483" s="19" t="str">
        <x:v>0</x:v>
      </x:c>
      <x:c r="J483" s="19" t="n">
        <x:v>46260.10760416667</x:v>
      </x:c>
      <x:c r="K483" s="31" t="str">
        <x:v>data/fear-temperature/ngram/raw/c0c3021f09dbdf3542c85e1a8bd4e013bd4d99d85af63bbd55f5e05a6a7ddd2b.json</x:v>
      </x:c>
      <x:c r="L483" s="19" t="str">
        <x:v>f147d9b61eec9310d5a36c21ef68d14904b4782ed7663bc02178e865991f6aa6</x:v>
      </x:c>
      <x:c r="M483" s="19" t="str">
        <x:v>03c6b3b7aec17c75d6066c3ad33475123246728a6d70514bc6c4b2fac975aa04</x:v>
      </x:c>
      <x:c r="N483" s="31" t="str">
        <x:v>FT-LF-CLIMATE_CHANGE</x:v>
      </x:c>
      <x:c r="O483" s="31" t="str">
        <x:v>FT-C-MODERN_CLIMATE_CHANGE</x:v>
      </x:c>
      <x:c r="P483" s="31" t="str">
        <x:v>FT-F04</x:v>
      </x:c>
      <x:c r="Q483" s="49" t="n">
        <x:v>0.027073882691297513</x:v>
      </x:c>
    </x:row>
    <x:row r="484" ht="20" customHeight="1">
      <x:c r="A484" s="40" t="str">
        <x:v>FT-Q-V01-070</x:v>
      </x:c>
      <x:c r="B484" s="19" t="str">
        <x:v>climate change</x:v>
      </x:c>
      <x:c r="C484" s="31" t="str">
        <x:v>climate</x:v>
      </x:c>
      <x:c r="D484" s="25" t="n">
        <x:v>1959</x:v>
      </x:c>
      <x:c r="E484" s="46" t="n">
        <x:v>1.5757046639697236e-8</x:v>
      </x:c>
      <x:c r="F484" s="19" t="str">
        <x:v>eng</x:v>
      </x:c>
      <x:c r="G484" s="19" t="str">
        <x:v>current English corpus (July 2024 dataset; public shorthand eng; mutable current corpus)</x:v>
      </x:c>
      <x:c r="H484" s="19" t="str">
        <x:v>climate change (All)</x:v>
      </x:c>
      <x:c r="I484" s="19" t="str">
        <x:v>0</x:v>
      </x:c>
      <x:c r="J484" s="19" t="n">
        <x:v>46260.10760416667</x:v>
      </x:c>
      <x:c r="K484" s="31" t="str">
        <x:v>data/fear-temperature/ngram/raw/c0c3021f09dbdf3542c85e1a8bd4e013bd4d99d85af63bbd55f5e05a6a7ddd2b.json</x:v>
      </x:c>
      <x:c r="L484" s="19" t="str">
        <x:v>f147d9b61eec9310d5a36c21ef68d14904b4782ed7663bc02178e865991f6aa6</x:v>
      </x:c>
      <x:c r="M484" s="19" t="str">
        <x:v>03c6b3b7aec17c75d6066c3ad33475123246728a6d70514bc6c4b2fac975aa04</x:v>
      </x:c>
      <x:c r="N484" s="31" t="str">
        <x:v>FT-LF-CLIMATE_CHANGE</x:v>
      </x:c>
      <x:c r="O484" s="31" t="str">
        <x:v>FT-C-MODERN_CLIMATE_CHANGE</x:v>
      </x:c>
      <x:c r="P484" s="31" t="str">
        <x:v>FT-F04</x:v>
      </x:c>
      <x:c r="Q484" s="49" t="n">
        <x:v>0.015757046639697236</x:v>
      </x:c>
    </x:row>
    <x:row r="485" ht="20" customHeight="1">
      <x:c r="A485" s="40" t="str">
        <x:v>FT-Q-V01-070</x:v>
      </x:c>
      <x:c r="B485" s="19" t="str">
        <x:v>climate change</x:v>
      </x:c>
      <x:c r="C485" s="31" t="str">
        <x:v>climate</x:v>
      </x:c>
      <x:c r="D485" s="25" t="n">
        <x:v>1960</x:v>
      </x:c>
      <x:c r="E485" s="46" t="n">
        <x:v>3.236518383853415e-8</x:v>
      </x:c>
      <x:c r="F485" s="19" t="str">
        <x:v>eng</x:v>
      </x:c>
      <x:c r="G485" s="19" t="str">
        <x:v>current English corpus (July 2024 dataset; public shorthand eng; mutable current corpus)</x:v>
      </x:c>
      <x:c r="H485" s="19" t="str">
        <x:v>climate change (All)</x:v>
      </x:c>
      <x:c r="I485" s="19" t="str">
        <x:v>0</x:v>
      </x:c>
      <x:c r="J485" s="19" t="n">
        <x:v>46260.10760416667</x:v>
      </x:c>
      <x:c r="K485" s="31" t="str">
        <x:v>data/fear-temperature/ngram/raw/c0c3021f09dbdf3542c85e1a8bd4e013bd4d99d85af63bbd55f5e05a6a7ddd2b.json</x:v>
      </x:c>
      <x:c r="L485" s="19" t="str">
        <x:v>f147d9b61eec9310d5a36c21ef68d14904b4782ed7663bc02178e865991f6aa6</x:v>
      </x:c>
      <x:c r="M485" s="19" t="str">
        <x:v>03c6b3b7aec17c75d6066c3ad33475123246728a6d70514bc6c4b2fac975aa04</x:v>
      </x:c>
      <x:c r="N485" s="31" t="str">
        <x:v>FT-LF-CLIMATE_CHANGE</x:v>
      </x:c>
      <x:c r="O485" s="31" t="str">
        <x:v>FT-C-MODERN_CLIMATE_CHANGE</x:v>
      </x:c>
      <x:c r="P485" s="31" t="str">
        <x:v>FT-F04</x:v>
      </x:c>
      <x:c r="Q485" s="49" t="n">
        <x:v>0.03236518383853415</x:v>
      </x:c>
    </x:row>
    <x:row r="486" ht="20" customHeight="1">
      <x:c r="A486" s="40" t="str">
        <x:v>FT-Q-V01-070</x:v>
      </x:c>
      <x:c r="B486" s="19" t="str">
        <x:v>climate change</x:v>
      </x:c>
      <x:c r="C486" s="31" t="str">
        <x:v>climate</x:v>
      </x:c>
      <x:c r="D486" s="25" t="n">
        <x:v>1961</x:v>
      </x:c>
      <x:c r="E486" s="46" t="n">
        <x:v>1.2010333236972537e-7</x:v>
      </x:c>
      <x:c r="F486" s="19" t="str">
        <x:v>eng</x:v>
      </x:c>
      <x:c r="G486" s="19" t="str">
        <x:v>current English corpus (July 2024 dataset; public shorthand eng; mutable current corpus)</x:v>
      </x:c>
      <x:c r="H486" s="19" t="str">
        <x:v>climate change (All)</x:v>
      </x:c>
      <x:c r="I486" s="19" t="str">
        <x:v>0</x:v>
      </x:c>
      <x:c r="J486" s="19" t="n">
        <x:v>46260.10760416667</x:v>
      </x:c>
      <x:c r="K486" s="31" t="str">
        <x:v>data/fear-temperature/ngram/raw/c0c3021f09dbdf3542c85e1a8bd4e013bd4d99d85af63bbd55f5e05a6a7ddd2b.json</x:v>
      </x:c>
      <x:c r="L486" s="19" t="str">
        <x:v>f147d9b61eec9310d5a36c21ef68d14904b4782ed7663bc02178e865991f6aa6</x:v>
      </x:c>
      <x:c r="M486" s="19" t="str">
        <x:v>03c6b3b7aec17c75d6066c3ad33475123246728a6d70514bc6c4b2fac975aa04</x:v>
      </x:c>
      <x:c r="N486" s="31" t="str">
        <x:v>FT-LF-CLIMATE_CHANGE</x:v>
      </x:c>
      <x:c r="O486" s="31" t="str">
        <x:v>FT-C-MODERN_CLIMATE_CHANGE</x:v>
      </x:c>
      <x:c r="P486" s="31" t="str">
        <x:v>FT-F04</x:v>
      </x:c>
      <x:c r="Q486" s="49" t="n">
        <x:v>0.12010333236972537</x:v>
      </x:c>
    </x:row>
    <x:row r="487" ht="20" customHeight="1">
      <x:c r="A487" s="40" t="str">
        <x:v>FT-Q-V01-070</x:v>
      </x:c>
      <x:c r="B487" s="19" t="str">
        <x:v>climate change</x:v>
      </x:c>
      <x:c r="C487" s="31" t="str">
        <x:v>climate</x:v>
      </x:c>
      <x:c r="D487" s="25" t="n">
        <x:v>1962</x:v>
      </x:c>
      <x:c r="E487" s="46" t="n">
        <x:v>2.1310655018424995e-8</x:v>
      </x:c>
      <x:c r="F487" s="19" t="str">
        <x:v>eng</x:v>
      </x:c>
      <x:c r="G487" s="19" t="str">
        <x:v>current English corpus (July 2024 dataset; public shorthand eng; mutable current corpus)</x:v>
      </x:c>
      <x:c r="H487" s="19" t="str">
        <x:v>climate change (All)</x:v>
      </x:c>
      <x:c r="I487" s="19" t="str">
        <x:v>0</x:v>
      </x:c>
      <x:c r="J487" s="19" t="n">
        <x:v>46260.10760416667</x:v>
      </x:c>
      <x:c r="K487" s="31" t="str">
        <x:v>data/fear-temperature/ngram/raw/c0c3021f09dbdf3542c85e1a8bd4e013bd4d99d85af63bbd55f5e05a6a7ddd2b.json</x:v>
      </x:c>
      <x:c r="L487" s="19" t="str">
        <x:v>f147d9b61eec9310d5a36c21ef68d14904b4782ed7663bc02178e865991f6aa6</x:v>
      </x:c>
      <x:c r="M487" s="19" t="str">
        <x:v>03c6b3b7aec17c75d6066c3ad33475123246728a6d70514bc6c4b2fac975aa04</x:v>
      </x:c>
      <x:c r="N487" s="31" t="str">
        <x:v>FT-LF-CLIMATE_CHANGE</x:v>
      </x:c>
      <x:c r="O487" s="31" t="str">
        <x:v>FT-C-MODERN_CLIMATE_CHANGE</x:v>
      </x:c>
      <x:c r="P487" s="31" t="str">
        <x:v>FT-F04</x:v>
      </x:c>
      <x:c r="Q487" s="49" t="n">
        <x:v>0.021310655018424995</x:v>
      </x:c>
    </x:row>
    <x:row r="488" ht="20" customHeight="1">
      <x:c r="A488" s="40" t="str">
        <x:v>FT-Q-V01-070</x:v>
      </x:c>
      <x:c r="B488" s="19" t="str">
        <x:v>climate change</x:v>
      </x:c>
      <x:c r="C488" s="31" t="str">
        <x:v>climate</x:v>
      </x:c>
      <x:c r="D488" s="25" t="n">
        <x:v>1963</x:v>
      </x:c>
      <x:c r="E488" s="46" t="n">
        <x:v>3.397224035417423e-8</x:v>
      </x:c>
      <x:c r="F488" s="19" t="str">
        <x:v>eng</x:v>
      </x:c>
      <x:c r="G488" s="19" t="str">
        <x:v>current English corpus (July 2024 dataset; public shorthand eng; mutable current corpus)</x:v>
      </x:c>
      <x:c r="H488" s="19" t="str">
        <x:v>climate change (All)</x:v>
      </x:c>
      <x:c r="I488" s="19" t="str">
        <x:v>0</x:v>
      </x:c>
      <x:c r="J488" s="19" t="n">
        <x:v>46260.10760416667</x:v>
      </x:c>
      <x:c r="K488" s="31" t="str">
        <x:v>data/fear-temperature/ngram/raw/c0c3021f09dbdf3542c85e1a8bd4e013bd4d99d85af63bbd55f5e05a6a7ddd2b.json</x:v>
      </x:c>
      <x:c r="L488" s="19" t="str">
        <x:v>f147d9b61eec9310d5a36c21ef68d14904b4782ed7663bc02178e865991f6aa6</x:v>
      </x:c>
      <x:c r="M488" s="19" t="str">
        <x:v>03c6b3b7aec17c75d6066c3ad33475123246728a6d70514bc6c4b2fac975aa04</x:v>
      </x:c>
      <x:c r="N488" s="31" t="str">
        <x:v>FT-LF-CLIMATE_CHANGE</x:v>
      </x:c>
      <x:c r="O488" s="31" t="str">
        <x:v>FT-C-MODERN_CLIMATE_CHANGE</x:v>
      </x:c>
      <x:c r="P488" s="31" t="str">
        <x:v>FT-F04</x:v>
      </x:c>
      <x:c r="Q488" s="49" t="n">
        <x:v>0.03397224035417423</x:v>
      </x:c>
    </x:row>
    <x:row r="489" ht="20" customHeight="1">
      <x:c r="A489" s="40" t="str">
        <x:v>FT-Q-V01-070</x:v>
      </x:c>
      <x:c r="B489" s="19" t="str">
        <x:v>climate change</x:v>
      </x:c>
      <x:c r="C489" s="31" t="str">
        <x:v>climate</x:v>
      </x:c>
      <x:c r="D489" s="25" t="n">
        <x:v>1964</x:v>
      </x:c>
      <x:c r="E489" s="46" t="n">
        <x:v>3.480128835109397e-8</x:v>
      </x:c>
      <x:c r="F489" s="19" t="str">
        <x:v>eng</x:v>
      </x:c>
      <x:c r="G489" s="19" t="str">
        <x:v>current English corpus (July 2024 dataset; public shorthand eng; mutable current corpus)</x:v>
      </x:c>
      <x:c r="H489" s="19" t="str">
        <x:v>climate change (All)</x:v>
      </x:c>
      <x:c r="I489" s="19" t="str">
        <x:v>0</x:v>
      </x:c>
      <x:c r="J489" s="19" t="n">
        <x:v>46260.10760416667</x:v>
      </x:c>
      <x:c r="K489" s="31" t="str">
        <x:v>data/fear-temperature/ngram/raw/c0c3021f09dbdf3542c85e1a8bd4e013bd4d99d85af63bbd55f5e05a6a7ddd2b.json</x:v>
      </x:c>
      <x:c r="L489" s="19" t="str">
        <x:v>f147d9b61eec9310d5a36c21ef68d14904b4782ed7663bc02178e865991f6aa6</x:v>
      </x:c>
      <x:c r="M489" s="19" t="str">
        <x:v>03c6b3b7aec17c75d6066c3ad33475123246728a6d70514bc6c4b2fac975aa04</x:v>
      </x:c>
      <x:c r="N489" s="31" t="str">
        <x:v>FT-LF-CLIMATE_CHANGE</x:v>
      </x:c>
      <x:c r="O489" s="31" t="str">
        <x:v>FT-C-MODERN_CLIMATE_CHANGE</x:v>
      </x:c>
      <x:c r="P489" s="31" t="str">
        <x:v>FT-F04</x:v>
      </x:c>
      <x:c r="Q489" s="49" t="n">
        <x:v>0.03480128835109397</x:v>
      </x:c>
    </x:row>
    <x:row r="490" ht="20" customHeight="1">
      <x:c r="A490" s="40" t="str">
        <x:v>FT-Q-V01-070</x:v>
      </x:c>
      <x:c r="B490" s="19" t="str">
        <x:v>climate change</x:v>
      </x:c>
      <x:c r="C490" s="31" t="str">
        <x:v>climate</x:v>
      </x:c>
      <x:c r="D490" s="25" t="n">
        <x:v>1965</x:v>
      </x:c>
      <x:c r="E490" s="46" t="n">
        <x:v>3.18465211979202e-8</x:v>
      </x:c>
      <x:c r="F490" s="19" t="str">
        <x:v>eng</x:v>
      </x:c>
      <x:c r="G490" s="19" t="str">
        <x:v>current English corpus (July 2024 dataset; public shorthand eng; mutable current corpus)</x:v>
      </x:c>
      <x:c r="H490" s="19" t="str">
        <x:v>climate change (All)</x:v>
      </x:c>
      <x:c r="I490" s="19" t="str">
        <x:v>0</x:v>
      </x:c>
      <x:c r="J490" s="19" t="n">
        <x:v>46260.10760416667</x:v>
      </x:c>
      <x:c r="K490" s="31" t="str">
        <x:v>data/fear-temperature/ngram/raw/c0c3021f09dbdf3542c85e1a8bd4e013bd4d99d85af63bbd55f5e05a6a7ddd2b.json</x:v>
      </x:c>
      <x:c r="L490" s="19" t="str">
        <x:v>f147d9b61eec9310d5a36c21ef68d14904b4782ed7663bc02178e865991f6aa6</x:v>
      </x:c>
      <x:c r="M490" s="19" t="str">
        <x:v>03c6b3b7aec17c75d6066c3ad33475123246728a6d70514bc6c4b2fac975aa04</x:v>
      </x:c>
      <x:c r="N490" s="31" t="str">
        <x:v>FT-LF-CLIMATE_CHANGE</x:v>
      </x:c>
      <x:c r="O490" s="31" t="str">
        <x:v>FT-C-MODERN_CLIMATE_CHANGE</x:v>
      </x:c>
      <x:c r="P490" s="31" t="str">
        <x:v>FT-F04</x:v>
      </x:c>
      <x:c r="Q490" s="49" t="n">
        <x:v>0.0318465211979202</x:v>
      </x:c>
    </x:row>
    <x:row r="491" ht="20" customHeight="1">
      <x:c r="A491" s="40" t="str">
        <x:v>FT-Q-V01-070</x:v>
      </x:c>
      <x:c r="B491" s="19" t="str">
        <x:v>climate change</x:v>
      </x:c>
      <x:c r="C491" s="31" t="str">
        <x:v>climate</x:v>
      </x:c>
      <x:c r="D491" s="25" t="n">
        <x:v>1966</x:v>
      </x:c>
      <x:c r="E491" s="46" t="n">
        <x:v>3.237944490308564e-8</x:v>
      </x:c>
      <x:c r="F491" s="19" t="str">
        <x:v>eng</x:v>
      </x:c>
      <x:c r="G491" s="19" t="str">
        <x:v>current English corpus (July 2024 dataset; public shorthand eng; mutable current corpus)</x:v>
      </x:c>
      <x:c r="H491" s="19" t="str">
        <x:v>climate change (All)</x:v>
      </x:c>
      <x:c r="I491" s="19" t="str">
        <x:v>0</x:v>
      </x:c>
      <x:c r="J491" s="19" t="n">
        <x:v>46260.10760416667</x:v>
      </x:c>
      <x:c r="K491" s="31" t="str">
        <x:v>data/fear-temperature/ngram/raw/c0c3021f09dbdf3542c85e1a8bd4e013bd4d99d85af63bbd55f5e05a6a7ddd2b.json</x:v>
      </x:c>
      <x:c r="L491" s="19" t="str">
        <x:v>f147d9b61eec9310d5a36c21ef68d14904b4782ed7663bc02178e865991f6aa6</x:v>
      </x:c>
      <x:c r="M491" s="19" t="str">
        <x:v>03c6b3b7aec17c75d6066c3ad33475123246728a6d70514bc6c4b2fac975aa04</x:v>
      </x:c>
      <x:c r="N491" s="31" t="str">
        <x:v>FT-LF-CLIMATE_CHANGE</x:v>
      </x:c>
      <x:c r="O491" s="31" t="str">
        <x:v>FT-C-MODERN_CLIMATE_CHANGE</x:v>
      </x:c>
      <x:c r="P491" s="31" t="str">
        <x:v>FT-F04</x:v>
      </x:c>
      <x:c r="Q491" s="49" t="n">
        <x:v>0.03237944490308564</x:v>
      </x:c>
    </x:row>
    <x:row r="492" ht="20" customHeight="1">
      <x:c r="A492" s="40" t="str">
        <x:v>FT-Q-V01-070</x:v>
      </x:c>
      <x:c r="B492" s="19" t="str">
        <x:v>climate change</x:v>
      </x:c>
      <x:c r="C492" s="31" t="str">
        <x:v>climate</x:v>
      </x:c>
      <x:c r="D492" s="25" t="n">
        <x:v>1967</x:v>
      </x:c>
      <x:c r="E492" s="46" t="n">
        <x:v>5.679825372251203e-7</x:v>
      </x:c>
      <x:c r="F492" s="19" t="str">
        <x:v>eng</x:v>
      </x:c>
      <x:c r="G492" s="19" t="str">
        <x:v>current English corpus (July 2024 dataset; public shorthand eng; mutable current corpus)</x:v>
      </x:c>
      <x:c r="H492" s="19" t="str">
        <x:v>climate change (All)</x:v>
      </x:c>
      <x:c r="I492" s="19" t="str">
        <x:v>0</x:v>
      </x:c>
      <x:c r="J492" s="19" t="n">
        <x:v>46260.10760416667</x:v>
      </x:c>
      <x:c r="K492" s="31" t="str">
        <x:v>data/fear-temperature/ngram/raw/c0c3021f09dbdf3542c85e1a8bd4e013bd4d99d85af63bbd55f5e05a6a7ddd2b.json</x:v>
      </x:c>
      <x:c r="L492" s="19" t="str">
        <x:v>f147d9b61eec9310d5a36c21ef68d14904b4782ed7663bc02178e865991f6aa6</x:v>
      </x:c>
      <x:c r="M492" s="19" t="str">
        <x:v>03c6b3b7aec17c75d6066c3ad33475123246728a6d70514bc6c4b2fac975aa04</x:v>
      </x:c>
      <x:c r="N492" s="31" t="str">
        <x:v>FT-LF-CLIMATE_CHANGE</x:v>
      </x:c>
      <x:c r="O492" s="31" t="str">
        <x:v>FT-C-MODERN_CLIMATE_CHANGE</x:v>
      </x:c>
      <x:c r="P492" s="31" t="str">
        <x:v>FT-F04</x:v>
      </x:c>
      <x:c r="Q492" s="49" t="n">
        <x:v>0.5679825372251203</x:v>
      </x:c>
    </x:row>
    <x:row r="493" ht="20" customHeight="1">
      <x:c r="A493" s="40" t="str">
        <x:v>FT-Q-V01-070</x:v>
      </x:c>
      <x:c r="B493" s="19" t="str">
        <x:v>climate change</x:v>
      </x:c>
      <x:c r="C493" s="31" t="str">
        <x:v>climate</x:v>
      </x:c>
      <x:c r="D493" s="25" t="n">
        <x:v>1968</x:v>
      </x:c>
      <x:c r="E493" s="46" t="n">
        <x:v>3.4284867389544615e-8</x:v>
      </x:c>
      <x:c r="F493" s="19" t="str">
        <x:v>eng</x:v>
      </x:c>
      <x:c r="G493" s="19" t="str">
        <x:v>current English corpus (July 2024 dataset; public shorthand eng; mutable current corpus)</x:v>
      </x:c>
      <x:c r="H493" s="19" t="str">
        <x:v>climate change (All)</x:v>
      </x:c>
      <x:c r="I493" s="19" t="str">
        <x:v>0</x:v>
      </x:c>
      <x:c r="J493" s="19" t="n">
        <x:v>46260.10760416667</x:v>
      </x:c>
      <x:c r="K493" s="31" t="str">
        <x:v>data/fear-temperature/ngram/raw/c0c3021f09dbdf3542c85e1a8bd4e013bd4d99d85af63bbd55f5e05a6a7ddd2b.json</x:v>
      </x:c>
      <x:c r="L493" s="19" t="str">
        <x:v>f147d9b61eec9310d5a36c21ef68d14904b4782ed7663bc02178e865991f6aa6</x:v>
      </x:c>
      <x:c r="M493" s="19" t="str">
        <x:v>03c6b3b7aec17c75d6066c3ad33475123246728a6d70514bc6c4b2fac975aa04</x:v>
      </x:c>
      <x:c r="N493" s="31" t="str">
        <x:v>FT-LF-CLIMATE_CHANGE</x:v>
      </x:c>
      <x:c r="O493" s="31" t="str">
        <x:v>FT-C-MODERN_CLIMATE_CHANGE</x:v>
      </x:c>
      <x:c r="P493" s="31" t="str">
        <x:v>FT-F04</x:v>
      </x:c>
      <x:c r="Q493" s="49" t="n">
        <x:v>0.034284867389544615</x:v>
      </x:c>
    </x:row>
    <x:row r="494" ht="20" customHeight="1">
      <x:c r="A494" s="40" t="str">
        <x:v>FT-Q-V01-070</x:v>
      </x:c>
      <x:c r="B494" s="19" t="str">
        <x:v>climate change</x:v>
      </x:c>
      <x:c r="C494" s="31" t="str">
        <x:v>climate</x:v>
      </x:c>
      <x:c r="D494" s="25" t="n">
        <x:v>1969</x:v>
      </x:c>
      <x:c r="E494" s="46" t="n">
        <x:v>5.189246565784345e-8</x:v>
      </x:c>
      <x:c r="F494" s="19" t="str">
        <x:v>eng</x:v>
      </x:c>
      <x:c r="G494" s="19" t="str">
        <x:v>current English corpus (July 2024 dataset; public shorthand eng; mutable current corpus)</x:v>
      </x:c>
      <x:c r="H494" s="19" t="str">
        <x:v>climate change (All)</x:v>
      </x:c>
      <x:c r="I494" s="19" t="str">
        <x:v>0</x:v>
      </x:c>
      <x:c r="J494" s="19" t="n">
        <x:v>46260.10760416667</x:v>
      </x:c>
      <x:c r="K494" s="31" t="str">
        <x:v>data/fear-temperature/ngram/raw/c0c3021f09dbdf3542c85e1a8bd4e013bd4d99d85af63bbd55f5e05a6a7ddd2b.json</x:v>
      </x:c>
      <x:c r="L494" s="19" t="str">
        <x:v>f147d9b61eec9310d5a36c21ef68d14904b4782ed7663bc02178e865991f6aa6</x:v>
      </x:c>
      <x:c r="M494" s="19" t="str">
        <x:v>03c6b3b7aec17c75d6066c3ad33475123246728a6d70514bc6c4b2fac975aa04</x:v>
      </x:c>
      <x:c r="N494" s="31" t="str">
        <x:v>FT-LF-CLIMATE_CHANGE</x:v>
      </x:c>
      <x:c r="O494" s="31" t="str">
        <x:v>FT-C-MODERN_CLIMATE_CHANGE</x:v>
      </x:c>
      <x:c r="P494" s="31" t="str">
        <x:v>FT-F04</x:v>
      </x:c>
      <x:c r="Q494" s="49" t="n">
        <x:v>0.05189246565784345</x:v>
      </x:c>
    </x:row>
    <x:row r="495" ht="20" customHeight="1">
      <x:c r="A495" s="40" t="str">
        <x:v>FT-Q-V01-070</x:v>
      </x:c>
      <x:c r="B495" s="19" t="str">
        <x:v>climate change</x:v>
      </x:c>
      <x:c r="C495" s="31" t="str">
        <x:v>climate</x:v>
      </x:c>
      <x:c r="D495" s="25" t="n">
        <x:v>1970</x:v>
      </x:c>
      <x:c r="E495" s="46" t="n">
        <x:v>6.417514738371599e-8</x:v>
      </x:c>
      <x:c r="F495" s="19" t="str">
        <x:v>eng</x:v>
      </x:c>
      <x:c r="G495" s="19" t="str">
        <x:v>current English corpus (July 2024 dataset; public shorthand eng; mutable current corpus)</x:v>
      </x:c>
      <x:c r="H495" s="19" t="str">
        <x:v>climate change (All)</x:v>
      </x:c>
      <x:c r="I495" s="19" t="str">
        <x:v>0</x:v>
      </x:c>
      <x:c r="J495" s="19" t="n">
        <x:v>46260.10760416667</x:v>
      </x:c>
      <x:c r="K495" s="31" t="str">
        <x:v>data/fear-temperature/ngram/raw/c0c3021f09dbdf3542c85e1a8bd4e013bd4d99d85af63bbd55f5e05a6a7ddd2b.json</x:v>
      </x:c>
      <x:c r="L495" s="19" t="str">
        <x:v>f147d9b61eec9310d5a36c21ef68d14904b4782ed7663bc02178e865991f6aa6</x:v>
      </x:c>
      <x:c r="M495" s="19" t="str">
        <x:v>03c6b3b7aec17c75d6066c3ad33475123246728a6d70514bc6c4b2fac975aa04</x:v>
      </x:c>
      <x:c r="N495" s="31" t="str">
        <x:v>FT-LF-CLIMATE_CHANGE</x:v>
      </x:c>
      <x:c r="O495" s="31" t="str">
        <x:v>FT-C-MODERN_CLIMATE_CHANGE</x:v>
      </x:c>
      <x:c r="P495" s="31" t="str">
        <x:v>FT-F04</x:v>
      </x:c>
      <x:c r="Q495" s="49" t="n">
        <x:v>0.06417514738371599</x:v>
      </x:c>
    </x:row>
    <x:row r="496" ht="20" customHeight="1">
      <x:c r="A496" s="40" t="str">
        <x:v>FT-Q-V01-070</x:v>
      </x:c>
      <x:c r="B496" s="19" t="str">
        <x:v>climate change</x:v>
      </x:c>
      <x:c r="C496" s="31" t="str">
        <x:v>climate</x:v>
      </x:c>
      <x:c r="D496" s="25" t="n">
        <x:v>1971</x:v>
      </x:c>
      <x:c r="E496" s="46" t="n">
        <x:v>1.065479513506773e-7</x:v>
      </x:c>
      <x:c r="F496" s="19" t="str">
        <x:v>eng</x:v>
      </x:c>
      <x:c r="G496" s="19" t="str">
        <x:v>current English corpus (July 2024 dataset; public shorthand eng; mutable current corpus)</x:v>
      </x:c>
      <x:c r="H496" s="19" t="str">
        <x:v>climate change (All)</x:v>
      </x:c>
      <x:c r="I496" s="19" t="str">
        <x:v>0</x:v>
      </x:c>
      <x:c r="J496" s="19" t="n">
        <x:v>46260.10760416667</x:v>
      </x:c>
      <x:c r="K496" s="31" t="str">
        <x:v>data/fear-temperature/ngram/raw/c0c3021f09dbdf3542c85e1a8bd4e013bd4d99d85af63bbd55f5e05a6a7ddd2b.json</x:v>
      </x:c>
      <x:c r="L496" s="19" t="str">
        <x:v>f147d9b61eec9310d5a36c21ef68d14904b4782ed7663bc02178e865991f6aa6</x:v>
      </x:c>
      <x:c r="M496" s="19" t="str">
        <x:v>03c6b3b7aec17c75d6066c3ad33475123246728a6d70514bc6c4b2fac975aa04</x:v>
      </x:c>
      <x:c r="N496" s="31" t="str">
        <x:v>FT-LF-CLIMATE_CHANGE</x:v>
      </x:c>
      <x:c r="O496" s="31" t="str">
        <x:v>FT-C-MODERN_CLIMATE_CHANGE</x:v>
      </x:c>
      <x:c r="P496" s="31" t="str">
        <x:v>FT-F04</x:v>
      </x:c>
      <x:c r="Q496" s="49" t="n">
        <x:v>0.1065479513506773</x:v>
      </x:c>
    </x:row>
    <x:row r="497" ht="20" customHeight="1">
      <x:c r="A497" s="40" t="str">
        <x:v>FT-Q-V01-070</x:v>
      </x:c>
      <x:c r="B497" s="19" t="str">
        <x:v>climate change</x:v>
      </x:c>
      <x:c r="C497" s="31" t="str">
        <x:v>climate</x:v>
      </x:c>
      <x:c r="D497" s="25" t="n">
        <x:v>1972</x:v>
      </x:c>
      <x:c r="E497" s="46" t="n">
        <x:v>1.3863834968930178e-7</x:v>
      </x:c>
      <x:c r="F497" s="19" t="str">
        <x:v>eng</x:v>
      </x:c>
      <x:c r="G497" s="19" t="str">
        <x:v>current English corpus (July 2024 dataset; public shorthand eng; mutable current corpus)</x:v>
      </x:c>
      <x:c r="H497" s="19" t="str">
        <x:v>climate change (All)</x:v>
      </x:c>
      <x:c r="I497" s="19" t="str">
        <x:v>0</x:v>
      </x:c>
      <x:c r="J497" s="19" t="n">
        <x:v>46260.10760416667</x:v>
      </x:c>
      <x:c r="K497" s="31" t="str">
        <x:v>data/fear-temperature/ngram/raw/c0c3021f09dbdf3542c85e1a8bd4e013bd4d99d85af63bbd55f5e05a6a7ddd2b.json</x:v>
      </x:c>
      <x:c r="L497" s="19" t="str">
        <x:v>f147d9b61eec9310d5a36c21ef68d14904b4782ed7663bc02178e865991f6aa6</x:v>
      </x:c>
      <x:c r="M497" s="19" t="str">
        <x:v>03c6b3b7aec17c75d6066c3ad33475123246728a6d70514bc6c4b2fac975aa04</x:v>
      </x:c>
      <x:c r="N497" s="31" t="str">
        <x:v>FT-LF-CLIMATE_CHANGE</x:v>
      </x:c>
      <x:c r="O497" s="31" t="str">
        <x:v>FT-C-MODERN_CLIMATE_CHANGE</x:v>
      </x:c>
      <x:c r="P497" s="31" t="str">
        <x:v>FT-F04</x:v>
      </x:c>
      <x:c r="Q497" s="49" t="n">
        <x:v>0.13863834968930178</x:v>
      </x:c>
    </x:row>
    <x:row r="498" ht="20" customHeight="1">
      <x:c r="A498" s="40" t="str">
        <x:v>FT-Q-V01-070</x:v>
      </x:c>
      <x:c r="B498" s="19" t="str">
        <x:v>climate change</x:v>
      </x:c>
      <x:c r="C498" s="31" t="str">
        <x:v>climate</x:v>
      </x:c>
      <x:c r="D498" s="25" t="n">
        <x:v>1973</x:v>
      </x:c>
      <x:c r="E498" s="46" t="n">
        <x:v>1.321905444169602e-7</x:v>
      </x:c>
      <x:c r="F498" s="19" t="str">
        <x:v>eng</x:v>
      </x:c>
      <x:c r="G498" s="19" t="str">
        <x:v>current English corpus (July 2024 dataset; public shorthand eng; mutable current corpus)</x:v>
      </x:c>
      <x:c r="H498" s="19" t="str">
        <x:v>climate change (All)</x:v>
      </x:c>
      <x:c r="I498" s="19" t="str">
        <x:v>0</x:v>
      </x:c>
      <x:c r="J498" s="19" t="n">
        <x:v>46260.10760416667</x:v>
      </x:c>
      <x:c r="K498" s="31" t="str">
        <x:v>data/fear-temperature/ngram/raw/c0c3021f09dbdf3542c85e1a8bd4e013bd4d99d85af63bbd55f5e05a6a7ddd2b.json</x:v>
      </x:c>
      <x:c r="L498" s="19" t="str">
        <x:v>f147d9b61eec9310d5a36c21ef68d14904b4782ed7663bc02178e865991f6aa6</x:v>
      </x:c>
      <x:c r="M498" s="19" t="str">
        <x:v>03c6b3b7aec17c75d6066c3ad33475123246728a6d70514bc6c4b2fac975aa04</x:v>
      </x:c>
      <x:c r="N498" s="31" t="str">
        <x:v>FT-LF-CLIMATE_CHANGE</x:v>
      </x:c>
      <x:c r="O498" s="31" t="str">
        <x:v>FT-C-MODERN_CLIMATE_CHANGE</x:v>
      </x:c>
      <x:c r="P498" s="31" t="str">
        <x:v>FT-F04</x:v>
      </x:c>
      <x:c r="Q498" s="49" t="n">
        <x:v>0.1321905444169602</x:v>
      </x:c>
    </x:row>
    <x:row r="499" ht="20" customHeight="1">
      <x:c r="A499" s="40" t="str">
        <x:v>FT-Q-V01-070</x:v>
      </x:c>
      <x:c r="B499" s="19" t="str">
        <x:v>climate change</x:v>
      </x:c>
      <x:c r="C499" s="31" t="str">
        <x:v>climate</x:v>
      </x:c>
      <x:c r="D499" s="25" t="n">
        <x:v>1974</x:v>
      </x:c>
      <x:c r="E499" s="46" t="n">
        <x:v>1.3852253593141242e-7</x:v>
      </x:c>
      <x:c r="F499" s="19" t="str">
        <x:v>eng</x:v>
      </x:c>
      <x:c r="G499" s="19" t="str">
        <x:v>current English corpus (July 2024 dataset; public shorthand eng; mutable current corpus)</x:v>
      </x:c>
      <x:c r="H499" s="19" t="str">
        <x:v>climate change (All)</x:v>
      </x:c>
      <x:c r="I499" s="19" t="str">
        <x:v>0</x:v>
      </x:c>
      <x:c r="J499" s="19" t="n">
        <x:v>46260.10760416667</x:v>
      </x:c>
      <x:c r="K499" s="31" t="str">
        <x:v>data/fear-temperature/ngram/raw/c0c3021f09dbdf3542c85e1a8bd4e013bd4d99d85af63bbd55f5e05a6a7ddd2b.json</x:v>
      </x:c>
      <x:c r="L499" s="19" t="str">
        <x:v>f147d9b61eec9310d5a36c21ef68d14904b4782ed7663bc02178e865991f6aa6</x:v>
      </x:c>
      <x:c r="M499" s="19" t="str">
        <x:v>03c6b3b7aec17c75d6066c3ad33475123246728a6d70514bc6c4b2fac975aa04</x:v>
      </x:c>
      <x:c r="N499" s="31" t="str">
        <x:v>FT-LF-CLIMATE_CHANGE</x:v>
      </x:c>
      <x:c r="O499" s="31" t="str">
        <x:v>FT-C-MODERN_CLIMATE_CHANGE</x:v>
      </x:c>
      <x:c r="P499" s="31" t="str">
        <x:v>FT-F04</x:v>
      </x:c>
      <x:c r="Q499" s="49" t="n">
        <x:v>0.13852253593141242</x:v>
      </x:c>
    </x:row>
    <x:row r="500" ht="20" customHeight="1">
      <x:c r="A500" s="40" t="str">
        <x:v>FT-Q-V01-070</x:v>
      </x:c>
      <x:c r="B500" s="19" t="str">
        <x:v>climate change</x:v>
      </x:c>
      <x:c r="C500" s="31" t="str">
        <x:v>climate</x:v>
      </x:c>
      <x:c r="D500" s="25" t="n">
        <x:v>1975</x:v>
      </x:c>
      <x:c r="E500" s="46" t="n">
        <x:v>1.1916186259952612e-7</x:v>
      </x:c>
      <x:c r="F500" s="19" t="str">
        <x:v>eng</x:v>
      </x:c>
      <x:c r="G500" s="19" t="str">
        <x:v>current English corpus (July 2024 dataset; public shorthand eng; mutable current corpus)</x:v>
      </x:c>
      <x:c r="H500" s="19" t="str">
        <x:v>climate change (All)</x:v>
      </x:c>
      <x:c r="I500" s="19" t="str">
        <x:v>0</x:v>
      </x:c>
      <x:c r="J500" s="19" t="n">
        <x:v>46260.10760416667</x:v>
      </x:c>
      <x:c r="K500" s="31" t="str">
        <x:v>data/fear-temperature/ngram/raw/c0c3021f09dbdf3542c85e1a8bd4e013bd4d99d85af63bbd55f5e05a6a7ddd2b.json</x:v>
      </x:c>
      <x:c r="L500" s="19" t="str">
        <x:v>f147d9b61eec9310d5a36c21ef68d14904b4782ed7663bc02178e865991f6aa6</x:v>
      </x:c>
      <x:c r="M500" s="19" t="str">
        <x:v>03c6b3b7aec17c75d6066c3ad33475123246728a6d70514bc6c4b2fac975aa04</x:v>
      </x:c>
      <x:c r="N500" s="31" t="str">
        <x:v>FT-LF-CLIMATE_CHANGE</x:v>
      </x:c>
      <x:c r="O500" s="31" t="str">
        <x:v>FT-C-MODERN_CLIMATE_CHANGE</x:v>
      </x:c>
      <x:c r="P500" s="31" t="str">
        <x:v>FT-F04</x:v>
      </x:c>
      <x:c r="Q500" s="49" t="n">
        <x:v>0.11916186259952612</x:v>
      </x:c>
    </x:row>
    <x:row r="501" ht="20" customHeight="1">
      <x:c r="A501" s="40" t="str">
        <x:v>FT-Q-V01-070</x:v>
      </x:c>
      <x:c r="B501" s="19" t="str">
        <x:v>climate change</x:v>
      </x:c>
      <x:c r="C501" s="31" t="str">
        <x:v>climate</x:v>
      </x:c>
      <x:c r="D501" s="25" t="n">
        <x:v>1976</x:v>
      </x:c>
      <x:c r="E501" s="46" t="n">
        <x:v>2.016679369123975e-7</x:v>
      </x:c>
      <x:c r="F501" s="19" t="str">
        <x:v>eng</x:v>
      </x:c>
      <x:c r="G501" s="19" t="str">
        <x:v>current English corpus (July 2024 dataset; public shorthand eng; mutable current corpus)</x:v>
      </x:c>
      <x:c r="H501" s="19" t="str">
        <x:v>climate change (All)</x:v>
      </x:c>
      <x:c r="I501" s="19" t="str">
        <x:v>0</x:v>
      </x:c>
      <x:c r="J501" s="19" t="n">
        <x:v>46260.10760416667</x:v>
      </x:c>
      <x:c r="K501" s="31" t="str">
        <x:v>data/fear-temperature/ngram/raw/c0c3021f09dbdf3542c85e1a8bd4e013bd4d99d85af63bbd55f5e05a6a7ddd2b.json</x:v>
      </x:c>
      <x:c r="L501" s="19" t="str">
        <x:v>f147d9b61eec9310d5a36c21ef68d14904b4782ed7663bc02178e865991f6aa6</x:v>
      </x:c>
      <x:c r="M501" s="19" t="str">
        <x:v>03c6b3b7aec17c75d6066c3ad33475123246728a6d70514bc6c4b2fac975aa04</x:v>
      </x:c>
      <x:c r="N501" s="31" t="str">
        <x:v>FT-LF-CLIMATE_CHANGE</x:v>
      </x:c>
      <x:c r="O501" s="31" t="str">
        <x:v>FT-C-MODERN_CLIMATE_CHANGE</x:v>
      </x:c>
      <x:c r="P501" s="31" t="str">
        <x:v>FT-F04</x:v>
      </x:c>
      <x:c r="Q501" s="49" t="n">
        <x:v>0.2016679369123975</x:v>
      </x:c>
    </x:row>
    <x:row r="502" ht="20" customHeight="1">
      <x:c r="A502" s="40" t="str">
        <x:v>FT-Q-V01-070</x:v>
      </x:c>
      <x:c r="B502" s="19" t="str">
        <x:v>climate change</x:v>
      </x:c>
      <x:c r="C502" s="31" t="str">
        <x:v>climate</x:v>
      </x:c>
      <x:c r="D502" s="25" t="n">
        <x:v>1977</x:v>
      </x:c>
      <x:c r="E502" s="46" t="n">
        <x:v>2.0374888485413803e-7</x:v>
      </x:c>
      <x:c r="F502" s="19" t="str">
        <x:v>eng</x:v>
      </x:c>
      <x:c r="G502" s="19" t="str">
        <x:v>current English corpus (July 2024 dataset; public shorthand eng; mutable current corpus)</x:v>
      </x:c>
      <x:c r="H502" s="19" t="str">
        <x:v>climate change (All)</x:v>
      </x:c>
      <x:c r="I502" s="19" t="str">
        <x:v>0</x:v>
      </x:c>
      <x:c r="J502" s="19" t="n">
        <x:v>46260.10760416667</x:v>
      </x:c>
      <x:c r="K502" s="31" t="str">
        <x:v>data/fear-temperature/ngram/raw/c0c3021f09dbdf3542c85e1a8bd4e013bd4d99d85af63bbd55f5e05a6a7ddd2b.json</x:v>
      </x:c>
      <x:c r="L502" s="19" t="str">
        <x:v>f147d9b61eec9310d5a36c21ef68d14904b4782ed7663bc02178e865991f6aa6</x:v>
      </x:c>
      <x:c r="M502" s="19" t="str">
        <x:v>03c6b3b7aec17c75d6066c3ad33475123246728a6d70514bc6c4b2fac975aa04</x:v>
      </x:c>
      <x:c r="N502" s="31" t="str">
        <x:v>FT-LF-CLIMATE_CHANGE</x:v>
      </x:c>
      <x:c r="O502" s="31" t="str">
        <x:v>FT-C-MODERN_CLIMATE_CHANGE</x:v>
      </x:c>
      <x:c r="P502" s="31" t="str">
        <x:v>FT-F04</x:v>
      </x:c>
      <x:c r="Q502" s="49" t="n">
        <x:v>0.20374888485413803</x:v>
      </x:c>
    </x:row>
    <x:row r="503" ht="20" customHeight="1">
      <x:c r="A503" s="40" t="str">
        <x:v>FT-Q-V01-070</x:v>
      </x:c>
      <x:c r="B503" s="19" t="str">
        <x:v>climate change</x:v>
      </x:c>
      <x:c r="C503" s="31" t="str">
        <x:v>climate</x:v>
      </x:c>
      <x:c r="D503" s="25" t="n">
        <x:v>1978</x:v>
      </x:c>
      <x:c r="E503" s="46" t="n">
        <x:v>2.584030109401003e-7</x:v>
      </x:c>
      <x:c r="F503" s="19" t="str">
        <x:v>eng</x:v>
      </x:c>
      <x:c r="G503" s="19" t="str">
        <x:v>current English corpus (July 2024 dataset; public shorthand eng; mutable current corpus)</x:v>
      </x:c>
      <x:c r="H503" s="19" t="str">
        <x:v>climate change (All)</x:v>
      </x:c>
      <x:c r="I503" s="19" t="str">
        <x:v>0</x:v>
      </x:c>
      <x:c r="J503" s="19" t="n">
        <x:v>46260.10760416667</x:v>
      </x:c>
      <x:c r="K503" s="31" t="str">
        <x:v>data/fear-temperature/ngram/raw/c0c3021f09dbdf3542c85e1a8bd4e013bd4d99d85af63bbd55f5e05a6a7ddd2b.json</x:v>
      </x:c>
      <x:c r="L503" s="19" t="str">
        <x:v>f147d9b61eec9310d5a36c21ef68d14904b4782ed7663bc02178e865991f6aa6</x:v>
      </x:c>
      <x:c r="M503" s="19" t="str">
        <x:v>03c6b3b7aec17c75d6066c3ad33475123246728a6d70514bc6c4b2fac975aa04</x:v>
      </x:c>
      <x:c r="N503" s="31" t="str">
        <x:v>FT-LF-CLIMATE_CHANGE</x:v>
      </x:c>
      <x:c r="O503" s="31" t="str">
        <x:v>FT-C-MODERN_CLIMATE_CHANGE</x:v>
      </x:c>
      <x:c r="P503" s="31" t="str">
        <x:v>FT-F04</x:v>
      </x:c>
      <x:c r="Q503" s="49" t="n">
        <x:v>0.2584030109401003</x:v>
      </x:c>
    </x:row>
    <x:row r="504" ht="20" customHeight="1">
      <x:c r="A504" s="40" t="str">
        <x:v>FT-Q-V01-070</x:v>
      </x:c>
      <x:c r="B504" s="19" t="str">
        <x:v>climate change</x:v>
      </x:c>
      <x:c r="C504" s="31" t="str">
        <x:v>climate</x:v>
      </x:c>
      <x:c r="D504" s="25" t="n">
        <x:v>1979</x:v>
      </x:c>
      <x:c r="E504" s="46" t="n">
        <x:v>2.638859717060682e-7</x:v>
      </x:c>
      <x:c r="F504" s="19" t="str">
        <x:v>eng</x:v>
      </x:c>
      <x:c r="G504" s="19" t="str">
        <x:v>current English corpus (July 2024 dataset; public shorthand eng; mutable current corpus)</x:v>
      </x:c>
      <x:c r="H504" s="19" t="str">
        <x:v>climate change (All)</x:v>
      </x:c>
      <x:c r="I504" s="19" t="str">
        <x:v>0</x:v>
      </x:c>
      <x:c r="J504" s="19" t="n">
        <x:v>46260.10760416667</x:v>
      </x:c>
      <x:c r="K504" s="31" t="str">
        <x:v>data/fear-temperature/ngram/raw/c0c3021f09dbdf3542c85e1a8bd4e013bd4d99d85af63bbd55f5e05a6a7ddd2b.json</x:v>
      </x:c>
      <x:c r="L504" s="19" t="str">
        <x:v>f147d9b61eec9310d5a36c21ef68d14904b4782ed7663bc02178e865991f6aa6</x:v>
      </x:c>
      <x:c r="M504" s="19" t="str">
        <x:v>03c6b3b7aec17c75d6066c3ad33475123246728a6d70514bc6c4b2fac975aa04</x:v>
      </x:c>
      <x:c r="N504" s="31" t="str">
        <x:v>FT-LF-CLIMATE_CHANGE</x:v>
      </x:c>
      <x:c r="O504" s="31" t="str">
        <x:v>FT-C-MODERN_CLIMATE_CHANGE</x:v>
      </x:c>
      <x:c r="P504" s="31" t="str">
        <x:v>FT-F04</x:v>
      </x:c>
      <x:c r="Q504" s="49" t="n">
        <x:v>0.2638859717060682</x:v>
      </x:c>
    </x:row>
    <x:row r="505" ht="20" customHeight="1">
      <x:c r="A505" s="40" t="str">
        <x:v>FT-Q-V01-070</x:v>
      </x:c>
      <x:c r="B505" s="19" t="str">
        <x:v>climate change</x:v>
      </x:c>
      <x:c r="C505" s="31" t="str">
        <x:v>climate</x:v>
      </x:c>
      <x:c r="D505" s="25" t="n">
        <x:v>1980</x:v>
      </x:c>
      <x:c r="E505" s="46" t="n">
        <x:v>3.481569510188631e-7</x:v>
      </x:c>
      <x:c r="F505" s="19" t="str">
        <x:v>eng</x:v>
      </x:c>
      <x:c r="G505" s="19" t="str">
        <x:v>current English corpus (July 2024 dataset; public shorthand eng; mutable current corpus)</x:v>
      </x:c>
      <x:c r="H505" s="19" t="str">
        <x:v>climate change (All)</x:v>
      </x:c>
      <x:c r="I505" s="19" t="str">
        <x:v>0</x:v>
      </x:c>
      <x:c r="J505" s="19" t="n">
        <x:v>46260.10760416667</x:v>
      </x:c>
      <x:c r="K505" s="31" t="str">
        <x:v>data/fear-temperature/ngram/raw/c0c3021f09dbdf3542c85e1a8bd4e013bd4d99d85af63bbd55f5e05a6a7ddd2b.json</x:v>
      </x:c>
      <x:c r="L505" s="19" t="str">
        <x:v>f147d9b61eec9310d5a36c21ef68d14904b4782ed7663bc02178e865991f6aa6</x:v>
      </x:c>
      <x:c r="M505" s="19" t="str">
        <x:v>03c6b3b7aec17c75d6066c3ad33475123246728a6d70514bc6c4b2fac975aa04</x:v>
      </x:c>
      <x:c r="N505" s="31" t="str">
        <x:v>FT-LF-CLIMATE_CHANGE</x:v>
      </x:c>
      <x:c r="O505" s="31" t="str">
        <x:v>FT-C-MODERN_CLIMATE_CHANGE</x:v>
      </x:c>
      <x:c r="P505" s="31" t="str">
        <x:v>FT-F04</x:v>
      </x:c>
      <x:c r="Q505" s="49" t="n">
        <x:v>0.3481569510188631</x:v>
      </x:c>
    </x:row>
    <x:row r="506" ht="20" customHeight="1">
      <x:c r="A506" s="40" t="str">
        <x:v>FT-Q-V01-070</x:v>
      </x:c>
      <x:c r="B506" s="19" t="str">
        <x:v>climate change</x:v>
      </x:c>
      <x:c r="C506" s="31" t="str">
        <x:v>climate</x:v>
      </x:c>
      <x:c r="D506" s="25" t="n">
        <x:v>1981</x:v>
      </x:c>
      <x:c r="E506" s="46" t="n">
        <x:v>4.690007546770403e-7</x:v>
      </x:c>
      <x:c r="F506" s="19" t="str">
        <x:v>eng</x:v>
      </x:c>
      <x:c r="G506" s="19" t="str">
        <x:v>current English corpus (July 2024 dataset; public shorthand eng; mutable current corpus)</x:v>
      </x:c>
      <x:c r="H506" s="19" t="str">
        <x:v>climate change (All)</x:v>
      </x:c>
      <x:c r="I506" s="19" t="str">
        <x:v>0</x:v>
      </x:c>
      <x:c r="J506" s="19" t="n">
        <x:v>46260.10760416667</x:v>
      </x:c>
      <x:c r="K506" s="31" t="str">
        <x:v>data/fear-temperature/ngram/raw/c0c3021f09dbdf3542c85e1a8bd4e013bd4d99d85af63bbd55f5e05a6a7ddd2b.json</x:v>
      </x:c>
      <x:c r="L506" s="19" t="str">
        <x:v>f147d9b61eec9310d5a36c21ef68d14904b4782ed7663bc02178e865991f6aa6</x:v>
      </x:c>
      <x:c r="M506" s="19" t="str">
        <x:v>03c6b3b7aec17c75d6066c3ad33475123246728a6d70514bc6c4b2fac975aa04</x:v>
      </x:c>
      <x:c r="N506" s="31" t="str">
        <x:v>FT-LF-CLIMATE_CHANGE</x:v>
      </x:c>
      <x:c r="O506" s="31" t="str">
        <x:v>FT-C-MODERN_CLIMATE_CHANGE</x:v>
      </x:c>
      <x:c r="P506" s="31" t="str">
        <x:v>FT-F04</x:v>
      </x:c>
      <x:c r="Q506" s="49" t="n">
        <x:v>0.4690007546770403</x:v>
      </x:c>
    </x:row>
    <x:row r="507" ht="20" customHeight="1">
      <x:c r="A507" s="40" t="str">
        <x:v>FT-Q-V01-070</x:v>
      </x:c>
      <x:c r="B507" s="19" t="str">
        <x:v>climate change</x:v>
      </x:c>
      <x:c r="C507" s="31" t="str">
        <x:v>climate</x:v>
      </x:c>
      <x:c r="D507" s="25" t="n">
        <x:v>1982</x:v>
      </x:c>
      <x:c r="E507" s="46" t="n">
        <x:v>3.1783302386831363e-7</x:v>
      </x:c>
      <x:c r="F507" s="19" t="str">
        <x:v>eng</x:v>
      </x:c>
      <x:c r="G507" s="19" t="str">
        <x:v>current English corpus (July 2024 dataset; public shorthand eng; mutable current corpus)</x:v>
      </x:c>
      <x:c r="H507" s="19" t="str">
        <x:v>climate change (All)</x:v>
      </x:c>
      <x:c r="I507" s="19" t="str">
        <x:v>0</x:v>
      </x:c>
      <x:c r="J507" s="19" t="n">
        <x:v>46260.10760416667</x:v>
      </x:c>
      <x:c r="K507" s="31" t="str">
        <x:v>data/fear-temperature/ngram/raw/c0c3021f09dbdf3542c85e1a8bd4e013bd4d99d85af63bbd55f5e05a6a7ddd2b.json</x:v>
      </x:c>
      <x:c r="L507" s="19" t="str">
        <x:v>f147d9b61eec9310d5a36c21ef68d14904b4782ed7663bc02178e865991f6aa6</x:v>
      </x:c>
      <x:c r="M507" s="19" t="str">
        <x:v>03c6b3b7aec17c75d6066c3ad33475123246728a6d70514bc6c4b2fac975aa04</x:v>
      </x:c>
      <x:c r="N507" s="31" t="str">
        <x:v>FT-LF-CLIMATE_CHANGE</x:v>
      </x:c>
      <x:c r="O507" s="31" t="str">
        <x:v>FT-C-MODERN_CLIMATE_CHANGE</x:v>
      </x:c>
      <x:c r="P507" s="31" t="str">
        <x:v>FT-F04</x:v>
      </x:c>
      <x:c r="Q507" s="49" t="n">
        <x:v>0.31783302386831364</x:v>
      </x:c>
    </x:row>
    <x:row r="508" ht="20" customHeight="1">
      <x:c r="A508" s="40" t="str">
        <x:v>FT-Q-V01-070</x:v>
      </x:c>
      <x:c r="B508" s="19" t="str">
        <x:v>climate change</x:v>
      </x:c>
      <x:c r="C508" s="31" t="str">
        <x:v>climate</x:v>
      </x:c>
      <x:c r="D508" s="25" t="n">
        <x:v>1983</x:v>
      </x:c>
      <x:c r="E508" s="46" t="n">
        <x:v>4.234497954329342e-7</x:v>
      </x:c>
      <x:c r="F508" s="19" t="str">
        <x:v>eng</x:v>
      </x:c>
      <x:c r="G508" s="19" t="str">
        <x:v>current English corpus (July 2024 dataset; public shorthand eng; mutable current corpus)</x:v>
      </x:c>
      <x:c r="H508" s="19" t="str">
        <x:v>climate change (All)</x:v>
      </x:c>
      <x:c r="I508" s="19" t="str">
        <x:v>0</x:v>
      </x:c>
      <x:c r="J508" s="19" t="n">
        <x:v>46260.10760416667</x:v>
      </x:c>
      <x:c r="K508" s="31" t="str">
        <x:v>data/fear-temperature/ngram/raw/c0c3021f09dbdf3542c85e1a8bd4e013bd4d99d85af63bbd55f5e05a6a7ddd2b.json</x:v>
      </x:c>
      <x:c r="L508" s="19" t="str">
        <x:v>f147d9b61eec9310d5a36c21ef68d14904b4782ed7663bc02178e865991f6aa6</x:v>
      </x:c>
      <x:c r="M508" s="19" t="str">
        <x:v>03c6b3b7aec17c75d6066c3ad33475123246728a6d70514bc6c4b2fac975aa04</x:v>
      </x:c>
      <x:c r="N508" s="31" t="str">
        <x:v>FT-LF-CLIMATE_CHANGE</x:v>
      </x:c>
      <x:c r="O508" s="31" t="str">
        <x:v>FT-C-MODERN_CLIMATE_CHANGE</x:v>
      </x:c>
      <x:c r="P508" s="31" t="str">
        <x:v>FT-F04</x:v>
      </x:c>
      <x:c r="Q508" s="49" t="n">
        <x:v>0.4234497954329342</x:v>
      </x:c>
    </x:row>
    <x:row r="509" ht="20" customHeight="1">
      <x:c r="A509" s="40" t="str">
        <x:v>FT-Q-V01-070</x:v>
      </x:c>
      <x:c r="B509" s="19" t="str">
        <x:v>climate change</x:v>
      </x:c>
      <x:c r="C509" s="31" t="str">
        <x:v>climate</x:v>
      </x:c>
      <x:c r="D509" s="25" t="n">
        <x:v>1984</x:v>
      </x:c>
      <x:c r="E509" s="46" t="n">
        <x:v>6.336073470475378e-7</x:v>
      </x:c>
      <x:c r="F509" s="19" t="str">
        <x:v>eng</x:v>
      </x:c>
      <x:c r="G509" s="19" t="str">
        <x:v>current English corpus (July 2024 dataset; public shorthand eng; mutable current corpus)</x:v>
      </x:c>
      <x:c r="H509" s="19" t="str">
        <x:v>climate change (All)</x:v>
      </x:c>
      <x:c r="I509" s="19" t="str">
        <x:v>0</x:v>
      </x:c>
      <x:c r="J509" s="19" t="n">
        <x:v>46260.10760416667</x:v>
      </x:c>
      <x:c r="K509" s="31" t="str">
        <x:v>data/fear-temperature/ngram/raw/c0c3021f09dbdf3542c85e1a8bd4e013bd4d99d85af63bbd55f5e05a6a7ddd2b.json</x:v>
      </x:c>
      <x:c r="L509" s="19" t="str">
        <x:v>f147d9b61eec9310d5a36c21ef68d14904b4782ed7663bc02178e865991f6aa6</x:v>
      </x:c>
      <x:c r="M509" s="19" t="str">
        <x:v>03c6b3b7aec17c75d6066c3ad33475123246728a6d70514bc6c4b2fac975aa04</x:v>
      </x:c>
      <x:c r="N509" s="31" t="str">
        <x:v>FT-LF-CLIMATE_CHANGE</x:v>
      </x:c>
      <x:c r="O509" s="31" t="str">
        <x:v>FT-C-MODERN_CLIMATE_CHANGE</x:v>
      </x:c>
      <x:c r="P509" s="31" t="str">
        <x:v>FT-F04</x:v>
      </x:c>
      <x:c r="Q509" s="49" t="n">
        <x:v>0.6336073470475378</x:v>
      </x:c>
    </x:row>
    <x:row r="510" ht="20" customHeight="1">
      <x:c r="A510" s="40" t="str">
        <x:v>FT-Q-V01-070</x:v>
      </x:c>
      <x:c r="B510" s="19" t="str">
        <x:v>climate change</x:v>
      </x:c>
      <x:c r="C510" s="31" t="str">
        <x:v>climate</x:v>
      </x:c>
      <x:c r="D510" s="25" t="n">
        <x:v>1985</x:v>
      </x:c>
      <x:c r="E510" s="46" t="n">
        <x:v>5.667928636918229e-7</x:v>
      </x:c>
      <x:c r="F510" s="19" t="str">
        <x:v>eng</x:v>
      </x:c>
      <x:c r="G510" s="19" t="str">
        <x:v>current English corpus (July 2024 dataset; public shorthand eng; mutable current corpus)</x:v>
      </x:c>
      <x:c r="H510" s="19" t="str">
        <x:v>climate change (All)</x:v>
      </x:c>
      <x:c r="I510" s="19" t="str">
        <x:v>0</x:v>
      </x:c>
      <x:c r="J510" s="19" t="n">
        <x:v>46260.10760416667</x:v>
      </x:c>
      <x:c r="K510" s="31" t="str">
        <x:v>data/fear-temperature/ngram/raw/c0c3021f09dbdf3542c85e1a8bd4e013bd4d99d85af63bbd55f5e05a6a7ddd2b.json</x:v>
      </x:c>
      <x:c r="L510" s="19" t="str">
        <x:v>f147d9b61eec9310d5a36c21ef68d14904b4782ed7663bc02178e865991f6aa6</x:v>
      </x:c>
      <x:c r="M510" s="19" t="str">
        <x:v>03c6b3b7aec17c75d6066c3ad33475123246728a6d70514bc6c4b2fac975aa04</x:v>
      </x:c>
      <x:c r="N510" s="31" t="str">
        <x:v>FT-LF-CLIMATE_CHANGE</x:v>
      </x:c>
      <x:c r="O510" s="31" t="str">
        <x:v>FT-C-MODERN_CLIMATE_CHANGE</x:v>
      </x:c>
      <x:c r="P510" s="31" t="str">
        <x:v>FT-F04</x:v>
      </x:c>
      <x:c r="Q510" s="49" t="n">
        <x:v>0.5667928636918229</x:v>
      </x:c>
    </x:row>
    <x:row r="511" ht="20" customHeight="1">
      <x:c r="A511" s="40" t="str">
        <x:v>FT-Q-V01-070</x:v>
      </x:c>
      <x:c r="B511" s="19" t="str">
        <x:v>climate change</x:v>
      </x:c>
      <x:c r="C511" s="31" t="str">
        <x:v>climate</x:v>
      </x:c>
      <x:c r="D511" s="25" t="n">
        <x:v>1986</x:v>
      </x:c>
      <x:c r="E511" s="46" t="n">
        <x:v>5.609133442163738e-7</x:v>
      </x:c>
      <x:c r="F511" s="19" t="str">
        <x:v>eng</x:v>
      </x:c>
      <x:c r="G511" s="19" t="str">
        <x:v>current English corpus (July 2024 dataset; public shorthand eng; mutable current corpus)</x:v>
      </x:c>
      <x:c r="H511" s="19" t="str">
        <x:v>climate change (All)</x:v>
      </x:c>
      <x:c r="I511" s="19" t="str">
        <x:v>0</x:v>
      </x:c>
      <x:c r="J511" s="19" t="n">
        <x:v>46260.10760416667</x:v>
      </x:c>
      <x:c r="K511" s="31" t="str">
        <x:v>data/fear-temperature/ngram/raw/c0c3021f09dbdf3542c85e1a8bd4e013bd4d99d85af63bbd55f5e05a6a7ddd2b.json</x:v>
      </x:c>
      <x:c r="L511" s="19" t="str">
        <x:v>f147d9b61eec9310d5a36c21ef68d14904b4782ed7663bc02178e865991f6aa6</x:v>
      </x:c>
      <x:c r="M511" s="19" t="str">
        <x:v>03c6b3b7aec17c75d6066c3ad33475123246728a6d70514bc6c4b2fac975aa04</x:v>
      </x:c>
      <x:c r="N511" s="31" t="str">
        <x:v>FT-LF-CLIMATE_CHANGE</x:v>
      </x:c>
      <x:c r="O511" s="31" t="str">
        <x:v>FT-C-MODERN_CLIMATE_CHANGE</x:v>
      </x:c>
      <x:c r="P511" s="31" t="str">
        <x:v>FT-F04</x:v>
      </x:c>
      <x:c r="Q511" s="49" t="n">
        <x:v>0.5609133442163738</x:v>
      </x:c>
    </x:row>
    <x:row r="512" ht="20" customHeight="1">
      <x:c r="A512" s="40" t="str">
        <x:v>FT-Q-V01-070</x:v>
      </x:c>
      <x:c r="B512" s="19" t="str">
        <x:v>climate change</x:v>
      </x:c>
      <x:c r="C512" s="31" t="str">
        <x:v>climate</x:v>
      </x:c>
      <x:c r="D512" s="25" t="n">
        <x:v>1987</x:v>
      </x:c>
      <x:c r="E512" s="46" t="n">
        <x:v>8.867128703654582e-7</x:v>
      </x:c>
      <x:c r="F512" s="19" t="str">
        <x:v>eng</x:v>
      </x:c>
      <x:c r="G512" s="19" t="str">
        <x:v>current English corpus (July 2024 dataset; public shorthand eng; mutable current corpus)</x:v>
      </x:c>
      <x:c r="H512" s="19" t="str">
        <x:v>climate change (All)</x:v>
      </x:c>
      <x:c r="I512" s="19" t="str">
        <x:v>0</x:v>
      </x:c>
      <x:c r="J512" s="19" t="n">
        <x:v>46260.10760416667</x:v>
      </x:c>
      <x:c r="K512" s="31" t="str">
        <x:v>data/fear-temperature/ngram/raw/c0c3021f09dbdf3542c85e1a8bd4e013bd4d99d85af63bbd55f5e05a6a7ddd2b.json</x:v>
      </x:c>
      <x:c r="L512" s="19" t="str">
        <x:v>f147d9b61eec9310d5a36c21ef68d14904b4782ed7663bc02178e865991f6aa6</x:v>
      </x:c>
      <x:c r="M512" s="19" t="str">
        <x:v>03c6b3b7aec17c75d6066c3ad33475123246728a6d70514bc6c4b2fac975aa04</x:v>
      </x:c>
      <x:c r="N512" s="31" t="str">
        <x:v>FT-LF-CLIMATE_CHANGE</x:v>
      </x:c>
      <x:c r="O512" s="31" t="str">
        <x:v>FT-C-MODERN_CLIMATE_CHANGE</x:v>
      </x:c>
      <x:c r="P512" s="31" t="str">
        <x:v>FT-F04</x:v>
      </x:c>
      <x:c r="Q512" s="49" t="n">
        <x:v>0.8867128703654582</x:v>
      </x:c>
    </x:row>
    <x:row r="513" ht="20" customHeight="1">
      <x:c r="A513" s="40" t="str">
        <x:v>FT-Q-V01-070</x:v>
      </x:c>
      <x:c r="B513" s="19" t="str">
        <x:v>climate change</x:v>
      </x:c>
      <x:c r="C513" s="31" t="str">
        <x:v>climate</x:v>
      </x:c>
      <x:c r="D513" s="25" t="n">
        <x:v>1988</x:v>
      </x:c>
      <x:c r="E513" s="46" t="n">
        <x:v>0.0000012407935109301491</x:v>
      </x:c>
      <x:c r="F513" s="19" t="str">
        <x:v>eng</x:v>
      </x:c>
      <x:c r="G513" s="19" t="str">
        <x:v>current English corpus (July 2024 dataset; public shorthand eng; mutable current corpus)</x:v>
      </x:c>
      <x:c r="H513" s="19" t="str">
        <x:v>climate change (All)</x:v>
      </x:c>
      <x:c r="I513" s="19" t="str">
        <x:v>0</x:v>
      </x:c>
      <x:c r="J513" s="19" t="n">
        <x:v>46260.10760416667</x:v>
      </x:c>
      <x:c r="K513" s="31" t="str">
        <x:v>data/fear-temperature/ngram/raw/c0c3021f09dbdf3542c85e1a8bd4e013bd4d99d85af63bbd55f5e05a6a7ddd2b.json</x:v>
      </x:c>
      <x:c r="L513" s="19" t="str">
        <x:v>f147d9b61eec9310d5a36c21ef68d14904b4782ed7663bc02178e865991f6aa6</x:v>
      </x:c>
      <x:c r="M513" s="19" t="str">
        <x:v>03c6b3b7aec17c75d6066c3ad33475123246728a6d70514bc6c4b2fac975aa04</x:v>
      </x:c>
      <x:c r="N513" s="31" t="str">
        <x:v>FT-LF-CLIMATE_CHANGE</x:v>
      </x:c>
      <x:c r="O513" s="31" t="str">
        <x:v>FT-C-MODERN_CLIMATE_CHANGE</x:v>
      </x:c>
      <x:c r="P513" s="31" t="str">
        <x:v>FT-F04</x:v>
      </x:c>
      <x:c r="Q513" s="49" t="n">
        <x:v>1.2407935109301491</x:v>
      </x:c>
    </x:row>
    <x:row r="514" ht="20" customHeight="1">
      <x:c r="A514" s="40" t="str">
        <x:v>FT-Q-V01-070</x:v>
      </x:c>
      <x:c r="B514" s="19" t="str">
        <x:v>climate change</x:v>
      </x:c>
      <x:c r="C514" s="31" t="str">
        <x:v>climate</x:v>
      </x:c>
      <x:c r="D514" s="25" t="n">
        <x:v>1989</x:v>
      </x:c>
      <x:c r="E514" s="46" t="n">
        <x:v>0.000002714768705950471</x:v>
      </x:c>
      <x:c r="F514" s="19" t="str">
        <x:v>eng</x:v>
      </x:c>
      <x:c r="G514" s="19" t="str">
        <x:v>current English corpus (July 2024 dataset; public shorthand eng; mutable current corpus)</x:v>
      </x:c>
      <x:c r="H514" s="19" t="str">
        <x:v>climate change (All)</x:v>
      </x:c>
      <x:c r="I514" s="19" t="str">
        <x:v>0</x:v>
      </x:c>
      <x:c r="J514" s="19" t="n">
        <x:v>46260.10760416667</x:v>
      </x:c>
      <x:c r="K514" s="31" t="str">
        <x:v>data/fear-temperature/ngram/raw/c0c3021f09dbdf3542c85e1a8bd4e013bd4d99d85af63bbd55f5e05a6a7ddd2b.json</x:v>
      </x:c>
      <x:c r="L514" s="19" t="str">
        <x:v>f147d9b61eec9310d5a36c21ef68d14904b4782ed7663bc02178e865991f6aa6</x:v>
      </x:c>
      <x:c r="M514" s="19" t="str">
        <x:v>03c6b3b7aec17c75d6066c3ad33475123246728a6d70514bc6c4b2fac975aa04</x:v>
      </x:c>
      <x:c r="N514" s="31" t="str">
        <x:v>FT-LF-CLIMATE_CHANGE</x:v>
      </x:c>
      <x:c r="O514" s="31" t="str">
        <x:v>FT-C-MODERN_CLIMATE_CHANGE</x:v>
      </x:c>
      <x:c r="P514" s="31" t="str">
        <x:v>FT-F04</x:v>
      </x:c>
      <x:c r="Q514" s="49" t="n">
        <x:v>2.714768705950471</x:v>
      </x:c>
    </x:row>
    <x:row r="515" ht="20" customHeight="1">
      <x:c r="A515" s="40" t="str">
        <x:v>FT-Q-V01-070</x:v>
      </x:c>
      <x:c r="B515" s="19" t="str">
        <x:v>climate change</x:v>
      </x:c>
      <x:c r="C515" s="31" t="str">
        <x:v>climate</x:v>
      </x:c>
      <x:c r="D515" s="25" t="n">
        <x:v>1990</x:v>
      </x:c>
      <x:c r="E515" s="46" t="n">
        <x:v>0.000003608567470184121</x:v>
      </x:c>
      <x:c r="F515" s="19" t="str">
        <x:v>eng</x:v>
      </x:c>
      <x:c r="G515" s="19" t="str">
        <x:v>current English corpus (July 2024 dataset; public shorthand eng; mutable current corpus)</x:v>
      </x:c>
      <x:c r="H515" s="19" t="str">
        <x:v>climate change (All)</x:v>
      </x:c>
      <x:c r="I515" s="19" t="str">
        <x:v>0</x:v>
      </x:c>
      <x:c r="J515" s="19" t="n">
        <x:v>46260.10760416667</x:v>
      </x:c>
      <x:c r="K515" s="31" t="str">
        <x:v>data/fear-temperature/ngram/raw/c0c3021f09dbdf3542c85e1a8bd4e013bd4d99d85af63bbd55f5e05a6a7ddd2b.json</x:v>
      </x:c>
      <x:c r="L515" s="19" t="str">
        <x:v>f147d9b61eec9310d5a36c21ef68d14904b4782ed7663bc02178e865991f6aa6</x:v>
      </x:c>
      <x:c r="M515" s="19" t="str">
        <x:v>03c6b3b7aec17c75d6066c3ad33475123246728a6d70514bc6c4b2fac975aa04</x:v>
      </x:c>
      <x:c r="N515" s="31" t="str">
        <x:v>FT-LF-CLIMATE_CHANGE</x:v>
      </x:c>
      <x:c r="O515" s="31" t="str">
        <x:v>FT-C-MODERN_CLIMATE_CHANGE</x:v>
      </x:c>
      <x:c r="P515" s="31" t="str">
        <x:v>FT-F04</x:v>
      </x:c>
      <x:c r="Q515" s="49" t="n">
        <x:v>3.608567470184121</x:v>
      </x:c>
    </x:row>
    <x:row r="516" ht="20" customHeight="1">
      <x:c r="A516" s="40" t="str">
        <x:v>FT-Q-V01-070</x:v>
      </x:c>
      <x:c r="B516" s="19" t="str">
        <x:v>climate change</x:v>
      </x:c>
      <x:c r="C516" s="31" t="str">
        <x:v>climate</x:v>
      </x:c>
      <x:c r="D516" s="25" t="n">
        <x:v>1991</x:v>
      </x:c>
      <x:c r="E516" s="46" t="n">
        <x:v>0.000003900039668776334</x:v>
      </x:c>
      <x:c r="F516" s="19" t="str">
        <x:v>eng</x:v>
      </x:c>
      <x:c r="G516" s="19" t="str">
        <x:v>current English corpus (July 2024 dataset; public shorthand eng; mutable current corpus)</x:v>
      </x:c>
      <x:c r="H516" s="19" t="str">
        <x:v>climate change (All)</x:v>
      </x:c>
      <x:c r="I516" s="19" t="str">
        <x:v>0</x:v>
      </x:c>
      <x:c r="J516" s="19" t="n">
        <x:v>46260.10760416667</x:v>
      </x:c>
      <x:c r="K516" s="31" t="str">
        <x:v>data/fear-temperature/ngram/raw/c0c3021f09dbdf3542c85e1a8bd4e013bd4d99d85af63bbd55f5e05a6a7ddd2b.json</x:v>
      </x:c>
      <x:c r="L516" s="19" t="str">
        <x:v>f147d9b61eec9310d5a36c21ef68d14904b4782ed7663bc02178e865991f6aa6</x:v>
      </x:c>
      <x:c r="M516" s="19" t="str">
        <x:v>03c6b3b7aec17c75d6066c3ad33475123246728a6d70514bc6c4b2fac975aa04</x:v>
      </x:c>
      <x:c r="N516" s="31" t="str">
        <x:v>FT-LF-CLIMATE_CHANGE</x:v>
      </x:c>
      <x:c r="O516" s="31" t="str">
        <x:v>FT-C-MODERN_CLIMATE_CHANGE</x:v>
      </x:c>
      <x:c r="P516" s="31" t="str">
        <x:v>FT-F04</x:v>
      </x:c>
      <x:c r="Q516" s="49" t="n">
        <x:v>3.900039668776334</x:v>
      </x:c>
    </x:row>
    <x:row r="517" ht="20" customHeight="1">
      <x:c r="A517" s="40" t="str">
        <x:v>FT-Q-V01-070</x:v>
      </x:c>
      <x:c r="B517" s="19" t="str">
        <x:v>climate change</x:v>
      </x:c>
      <x:c r="C517" s="31" t="str">
        <x:v>climate</x:v>
      </x:c>
      <x:c r="D517" s="25" t="n">
        <x:v>1992</x:v>
      </x:c>
      <x:c r="E517" s="46" t="n">
        <x:v>0.000004688966636551273</x:v>
      </x:c>
      <x:c r="F517" s="19" t="str">
        <x:v>eng</x:v>
      </x:c>
      <x:c r="G517" s="19" t="str">
        <x:v>current English corpus (July 2024 dataset; public shorthand eng; mutable current corpus)</x:v>
      </x:c>
      <x:c r="H517" s="19" t="str">
        <x:v>climate change (All)</x:v>
      </x:c>
      <x:c r="I517" s="19" t="str">
        <x:v>0</x:v>
      </x:c>
      <x:c r="J517" s="19" t="n">
        <x:v>46260.10760416667</x:v>
      </x:c>
      <x:c r="K517" s="31" t="str">
        <x:v>data/fear-temperature/ngram/raw/c0c3021f09dbdf3542c85e1a8bd4e013bd4d99d85af63bbd55f5e05a6a7ddd2b.json</x:v>
      </x:c>
      <x:c r="L517" s="19" t="str">
        <x:v>f147d9b61eec9310d5a36c21ef68d14904b4782ed7663bc02178e865991f6aa6</x:v>
      </x:c>
      <x:c r="M517" s="19" t="str">
        <x:v>03c6b3b7aec17c75d6066c3ad33475123246728a6d70514bc6c4b2fac975aa04</x:v>
      </x:c>
      <x:c r="N517" s="31" t="str">
        <x:v>FT-LF-CLIMATE_CHANGE</x:v>
      </x:c>
      <x:c r="O517" s="31" t="str">
        <x:v>FT-C-MODERN_CLIMATE_CHANGE</x:v>
      </x:c>
      <x:c r="P517" s="31" t="str">
        <x:v>FT-F04</x:v>
      </x:c>
      <x:c r="Q517" s="49" t="n">
        <x:v>4.688966636551273</x:v>
      </x:c>
    </x:row>
    <x:row r="518" ht="20" customHeight="1">
      <x:c r="A518" s="40" t="str">
        <x:v>FT-Q-V01-070</x:v>
      </x:c>
      <x:c r="B518" s="19" t="str">
        <x:v>climate change</x:v>
      </x:c>
      <x:c r="C518" s="31" t="str">
        <x:v>climate</x:v>
      </x:c>
      <x:c r="D518" s="25" t="n">
        <x:v>1993</x:v>
      </x:c>
      <x:c r="E518" s="46" t="n">
        <x:v>0.000004230423882180256</x:v>
      </x:c>
      <x:c r="F518" s="19" t="str">
        <x:v>eng</x:v>
      </x:c>
      <x:c r="G518" s="19" t="str">
        <x:v>current English corpus (July 2024 dataset; public shorthand eng; mutable current corpus)</x:v>
      </x:c>
      <x:c r="H518" s="19" t="str">
        <x:v>climate change (All)</x:v>
      </x:c>
      <x:c r="I518" s="19" t="str">
        <x:v>0</x:v>
      </x:c>
      <x:c r="J518" s="19" t="n">
        <x:v>46260.10760416667</x:v>
      </x:c>
      <x:c r="K518" s="31" t="str">
        <x:v>data/fear-temperature/ngram/raw/c0c3021f09dbdf3542c85e1a8bd4e013bd4d99d85af63bbd55f5e05a6a7ddd2b.json</x:v>
      </x:c>
      <x:c r="L518" s="19" t="str">
        <x:v>f147d9b61eec9310d5a36c21ef68d14904b4782ed7663bc02178e865991f6aa6</x:v>
      </x:c>
      <x:c r="M518" s="19" t="str">
        <x:v>03c6b3b7aec17c75d6066c3ad33475123246728a6d70514bc6c4b2fac975aa04</x:v>
      </x:c>
      <x:c r="N518" s="31" t="str">
        <x:v>FT-LF-CLIMATE_CHANGE</x:v>
      </x:c>
      <x:c r="O518" s="31" t="str">
        <x:v>FT-C-MODERN_CLIMATE_CHANGE</x:v>
      </x:c>
      <x:c r="P518" s="31" t="str">
        <x:v>FT-F04</x:v>
      </x:c>
      <x:c r="Q518" s="49" t="n">
        <x:v>4.230423882180256</x:v>
      </x:c>
    </x:row>
    <x:row r="519" ht="20" customHeight="1">
      <x:c r="A519" s="40" t="str">
        <x:v>FT-Q-V01-070</x:v>
      </x:c>
      <x:c r="B519" s="19" t="str">
        <x:v>climate change</x:v>
      </x:c>
      <x:c r="C519" s="31" t="str">
        <x:v>climate</x:v>
      </x:c>
      <x:c r="D519" s="25" t="n">
        <x:v>1994</x:v>
      </x:c>
      <x:c r="E519" s="46" t="n">
        <x:v>0.000004268570998909593</x:v>
      </x:c>
      <x:c r="F519" s="19" t="str">
        <x:v>eng</x:v>
      </x:c>
      <x:c r="G519" s="19" t="str">
        <x:v>current English corpus (July 2024 dataset; public shorthand eng; mutable current corpus)</x:v>
      </x:c>
      <x:c r="H519" s="19" t="str">
        <x:v>climate change (All)</x:v>
      </x:c>
      <x:c r="I519" s="19" t="str">
        <x:v>0</x:v>
      </x:c>
      <x:c r="J519" s="19" t="n">
        <x:v>46260.10760416667</x:v>
      </x:c>
      <x:c r="K519" s="31" t="str">
        <x:v>data/fear-temperature/ngram/raw/c0c3021f09dbdf3542c85e1a8bd4e013bd4d99d85af63bbd55f5e05a6a7ddd2b.json</x:v>
      </x:c>
      <x:c r="L519" s="19" t="str">
        <x:v>f147d9b61eec9310d5a36c21ef68d14904b4782ed7663bc02178e865991f6aa6</x:v>
      </x:c>
      <x:c r="M519" s="19" t="str">
        <x:v>03c6b3b7aec17c75d6066c3ad33475123246728a6d70514bc6c4b2fac975aa04</x:v>
      </x:c>
      <x:c r="N519" s="31" t="str">
        <x:v>FT-LF-CLIMATE_CHANGE</x:v>
      </x:c>
      <x:c r="O519" s="31" t="str">
        <x:v>FT-C-MODERN_CLIMATE_CHANGE</x:v>
      </x:c>
      <x:c r="P519" s="31" t="str">
        <x:v>FT-F04</x:v>
      </x:c>
      <x:c r="Q519" s="49" t="n">
        <x:v>4.268570998909594</x:v>
      </x:c>
    </x:row>
    <x:row r="520" ht="20" customHeight="1">
      <x:c r="A520" s="40" t="str">
        <x:v>FT-Q-V01-070</x:v>
      </x:c>
      <x:c r="B520" s="19" t="str">
        <x:v>climate change</x:v>
      </x:c>
      <x:c r="C520" s="31" t="str">
        <x:v>climate</x:v>
      </x:c>
      <x:c r="D520" s="25" t="n">
        <x:v>1995</x:v>
      </x:c>
      <x:c r="E520" s="46" t="n">
        <x:v>0.0000044205189608792494</x:v>
      </x:c>
      <x:c r="F520" s="19" t="str">
        <x:v>eng</x:v>
      </x:c>
      <x:c r="G520" s="19" t="str">
        <x:v>current English corpus (July 2024 dataset; public shorthand eng; mutable current corpus)</x:v>
      </x:c>
      <x:c r="H520" s="19" t="str">
        <x:v>climate change (All)</x:v>
      </x:c>
      <x:c r="I520" s="19" t="str">
        <x:v>0</x:v>
      </x:c>
      <x:c r="J520" s="19" t="n">
        <x:v>46260.10760416667</x:v>
      </x:c>
      <x:c r="K520" s="31" t="str">
        <x:v>data/fear-temperature/ngram/raw/c0c3021f09dbdf3542c85e1a8bd4e013bd4d99d85af63bbd55f5e05a6a7ddd2b.json</x:v>
      </x:c>
      <x:c r="L520" s="19" t="str">
        <x:v>f147d9b61eec9310d5a36c21ef68d14904b4782ed7663bc02178e865991f6aa6</x:v>
      </x:c>
      <x:c r="M520" s="19" t="str">
        <x:v>03c6b3b7aec17c75d6066c3ad33475123246728a6d70514bc6c4b2fac975aa04</x:v>
      </x:c>
      <x:c r="N520" s="31" t="str">
        <x:v>FT-LF-CLIMATE_CHANGE</x:v>
      </x:c>
      <x:c r="O520" s="31" t="str">
        <x:v>FT-C-MODERN_CLIMATE_CHANGE</x:v>
      </x:c>
      <x:c r="P520" s="31" t="str">
        <x:v>FT-F04</x:v>
      </x:c>
      <x:c r="Q520" s="49" t="n">
        <x:v>4.4205189608792494</x:v>
      </x:c>
    </x:row>
    <x:row r="521" ht="20" customHeight="1">
      <x:c r="A521" s="40" t="str">
        <x:v>FT-Q-V01-070</x:v>
      </x:c>
      <x:c r="B521" s="19" t="str">
        <x:v>climate change</x:v>
      </x:c>
      <x:c r="C521" s="31" t="str">
        <x:v>climate</x:v>
      </x:c>
      <x:c r="D521" s="25" t="n">
        <x:v>1996</x:v>
      </x:c>
      <x:c r="E521" s="46" t="n">
        <x:v>0.000004815261199213328</x:v>
      </x:c>
      <x:c r="F521" s="19" t="str">
        <x:v>eng</x:v>
      </x:c>
      <x:c r="G521" s="19" t="str">
        <x:v>current English corpus (July 2024 dataset; public shorthand eng; mutable current corpus)</x:v>
      </x:c>
      <x:c r="H521" s="19" t="str">
        <x:v>climate change (All)</x:v>
      </x:c>
      <x:c r="I521" s="19" t="str">
        <x:v>0</x:v>
      </x:c>
      <x:c r="J521" s="19" t="n">
        <x:v>46260.10760416667</x:v>
      </x:c>
      <x:c r="K521" s="31" t="str">
        <x:v>data/fear-temperature/ngram/raw/c0c3021f09dbdf3542c85e1a8bd4e013bd4d99d85af63bbd55f5e05a6a7ddd2b.json</x:v>
      </x:c>
      <x:c r="L521" s="19" t="str">
        <x:v>f147d9b61eec9310d5a36c21ef68d14904b4782ed7663bc02178e865991f6aa6</x:v>
      </x:c>
      <x:c r="M521" s="19" t="str">
        <x:v>03c6b3b7aec17c75d6066c3ad33475123246728a6d70514bc6c4b2fac975aa04</x:v>
      </x:c>
      <x:c r="N521" s="31" t="str">
        <x:v>FT-LF-CLIMATE_CHANGE</x:v>
      </x:c>
      <x:c r="O521" s="31" t="str">
        <x:v>FT-C-MODERN_CLIMATE_CHANGE</x:v>
      </x:c>
      <x:c r="P521" s="31" t="str">
        <x:v>FT-F04</x:v>
      </x:c>
      <x:c r="Q521" s="49" t="n">
        <x:v>4.815261199213328</x:v>
      </x:c>
    </x:row>
    <x:row r="522" ht="20" customHeight="1">
      <x:c r="A522" s="40" t="str">
        <x:v>FT-Q-V01-070</x:v>
      </x:c>
      <x:c r="B522" s="19" t="str">
        <x:v>climate change</x:v>
      </x:c>
      <x:c r="C522" s="31" t="str">
        <x:v>climate</x:v>
      </x:c>
      <x:c r="D522" s="25" t="n">
        <x:v>1997</x:v>
      </x:c>
      <x:c r="E522" s="46" t="n">
        <x:v>0.000004966492821049939</x:v>
      </x:c>
      <x:c r="F522" s="19" t="str">
        <x:v>eng</x:v>
      </x:c>
      <x:c r="G522" s="19" t="str">
        <x:v>current English corpus (July 2024 dataset; public shorthand eng; mutable current corpus)</x:v>
      </x:c>
      <x:c r="H522" s="19" t="str">
        <x:v>climate change (All)</x:v>
      </x:c>
      <x:c r="I522" s="19" t="str">
        <x:v>0</x:v>
      </x:c>
      <x:c r="J522" s="19" t="n">
        <x:v>46260.10760416667</x:v>
      </x:c>
      <x:c r="K522" s="31" t="str">
        <x:v>data/fear-temperature/ngram/raw/c0c3021f09dbdf3542c85e1a8bd4e013bd4d99d85af63bbd55f5e05a6a7ddd2b.json</x:v>
      </x:c>
      <x:c r="L522" s="19" t="str">
        <x:v>f147d9b61eec9310d5a36c21ef68d14904b4782ed7663bc02178e865991f6aa6</x:v>
      </x:c>
      <x:c r="M522" s="19" t="str">
        <x:v>03c6b3b7aec17c75d6066c3ad33475123246728a6d70514bc6c4b2fac975aa04</x:v>
      </x:c>
      <x:c r="N522" s="31" t="str">
        <x:v>FT-LF-CLIMATE_CHANGE</x:v>
      </x:c>
      <x:c r="O522" s="31" t="str">
        <x:v>FT-C-MODERN_CLIMATE_CHANGE</x:v>
      </x:c>
      <x:c r="P522" s="31" t="str">
        <x:v>FT-F04</x:v>
      </x:c>
      <x:c r="Q522" s="49" t="n">
        <x:v>4.96649282104994</x:v>
      </x:c>
    </x:row>
    <x:row r="523" ht="20" customHeight="1">
      <x:c r="A523" s="40" t="str">
        <x:v>FT-Q-V01-070</x:v>
      </x:c>
      <x:c r="B523" s="19" t="str">
        <x:v>climate change</x:v>
      </x:c>
      <x:c r="C523" s="31" t="str">
        <x:v>climate</x:v>
      </x:c>
      <x:c r="D523" s="25" t="n">
        <x:v>1998</x:v>
      </x:c>
      <x:c r="E523" s="46" t="n">
        <x:v>0.000005460053596646752</x:v>
      </x:c>
      <x:c r="F523" s="19" t="str">
        <x:v>eng</x:v>
      </x:c>
      <x:c r="G523" s="19" t="str">
        <x:v>current English corpus (July 2024 dataset; public shorthand eng; mutable current corpus)</x:v>
      </x:c>
      <x:c r="H523" s="19" t="str">
        <x:v>climate change (All)</x:v>
      </x:c>
      <x:c r="I523" s="19" t="str">
        <x:v>0</x:v>
      </x:c>
      <x:c r="J523" s="19" t="n">
        <x:v>46260.10760416667</x:v>
      </x:c>
      <x:c r="K523" s="31" t="str">
        <x:v>data/fear-temperature/ngram/raw/c0c3021f09dbdf3542c85e1a8bd4e013bd4d99d85af63bbd55f5e05a6a7ddd2b.json</x:v>
      </x:c>
      <x:c r="L523" s="19" t="str">
        <x:v>f147d9b61eec9310d5a36c21ef68d14904b4782ed7663bc02178e865991f6aa6</x:v>
      </x:c>
      <x:c r="M523" s="19" t="str">
        <x:v>03c6b3b7aec17c75d6066c3ad33475123246728a6d70514bc6c4b2fac975aa04</x:v>
      </x:c>
      <x:c r="N523" s="31" t="str">
        <x:v>FT-LF-CLIMATE_CHANGE</x:v>
      </x:c>
      <x:c r="O523" s="31" t="str">
        <x:v>FT-C-MODERN_CLIMATE_CHANGE</x:v>
      </x:c>
      <x:c r="P523" s="31" t="str">
        <x:v>FT-F04</x:v>
      </x:c>
      <x:c r="Q523" s="49" t="n">
        <x:v>5.460053596646752</x:v>
      </x:c>
    </x:row>
    <x:row r="524" ht="20" customHeight="1">
      <x:c r="A524" s="40" t="str">
        <x:v>FT-Q-V01-070</x:v>
      </x:c>
      <x:c r="B524" s="19" t="str">
        <x:v>climate change</x:v>
      </x:c>
      <x:c r="C524" s="31" t="str">
        <x:v>climate</x:v>
      </x:c>
      <x:c r="D524" s="25" t="n">
        <x:v>1999</x:v>
      </x:c>
      <x:c r="E524" s="46" t="n">
        <x:v>0.000005345416269175729</x:v>
      </x:c>
      <x:c r="F524" s="19" t="str">
        <x:v>eng</x:v>
      </x:c>
      <x:c r="G524" s="19" t="str">
        <x:v>current English corpus (July 2024 dataset; public shorthand eng; mutable current corpus)</x:v>
      </x:c>
      <x:c r="H524" s="19" t="str">
        <x:v>climate change (All)</x:v>
      </x:c>
      <x:c r="I524" s="19" t="str">
        <x:v>0</x:v>
      </x:c>
      <x:c r="J524" s="19" t="n">
        <x:v>46260.10760416667</x:v>
      </x:c>
      <x:c r="K524" s="31" t="str">
        <x:v>data/fear-temperature/ngram/raw/c0c3021f09dbdf3542c85e1a8bd4e013bd4d99d85af63bbd55f5e05a6a7ddd2b.json</x:v>
      </x:c>
      <x:c r="L524" s="19" t="str">
        <x:v>f147d9b61eec9310d5a36c21ef68d14904b4782ed7663bc02178e865991f6aa6</x:v>
      </x:c>
      <x:c r="M524" s="19" t="str">
        <x:v>03c6b3b7aec17c75d6066c3ad33475123246728a6d70514bc6c4b2fac975aa04</x:v>
      </x:c>
      <x:c r="N524" s="31" t="str">
        <x:v>FT-LF-CLIMATE_CHANGE</x:v>
      </x:c>
      <x:c r="O524" s="31" t="str">
        <x:v>FT-C-MODERN_CLIMATE_CHANGE</x:v>
      </x:c>
      <x:c r="P524" s="31" t="str">
        <x:v>FT-F04</x:v>
      </x:c>
      <x:c r="Q524" s="49" t="n">
        <x:v>5.345416269175729</x:v>
      </x:c>
    </x:row>
    <x:row r="525" ht="20" customHeight="1">
      <x:c r="A525" s="40" t="str">
        <x:v>FT-Q-V01-070</x:v>
      </x:c>
      <x:c r="B525" s="19" t="str">
        <x:v>climate change</x:v>
      </x:c>
      <x:c r="C525" s="31" t="str">
        <x:v>climate</x:v>
      </x:c>
      <x:c r="D525" s="25" t="n">
        <x:v>2000</x:v>
      </x:c>
      <x:c r="E525" s="46" t="n">
        <x:v>0.000005114666336659968</x:v>
      </x:c>
      <x:c r="F525" s="19" t="str">
        <x:v>eng</x:v>
      </x:c>
      <x:c r="G525" s="19" t="str">
        <x:v>current English corpus (July 2024 dataset; public shorthand eng; mutable current corpus)</x:v>
      </x:c>
      <x:c r="H525" s="19" t="str">
        <x:v>climate change (All)</x:v>
      </x:c>
      <x:c r="I525" s="19" t="str">
        <x:v>0</x:v>
      </x:c>
      <x:c r="J525" s="19" t="n">
        <x:v>46260.10760416667</x:v>
      </x:c>
      <x:c r="K525" s="31" t="str">
        <x:v>data/fear-temperature/ngram/raw/c0c3021f09dbdf3542c85e1a8bd4e013bd4d99d85af63bbd55f5e05a6a7ddd2b.json</x:v>
      </x:c>
      <x:c r="L525" s="19" t="str">
        <x:v>f147d9b61eec9310d5a36c21ef68d14904b4782ed7663bc02178e865991f6aa6</x:v>
      </x:c>
      <x:c r="M525" s="19" t="str">
        <x:v>03c6b3b7aec17c75d6066c3ad33475123246728a6d70514bc6c4b2fac975aa04</x:v>
      </x:c>
      <x:c r="N525" s="31" t="str">
        <x:v>FT-LF-CLIMATE_CHANGE</x:v>
      </x:c>
      <x:c r="O525" s="31" t="str">
        <x:v>FT-C-MODERN_CLIMATE_CHANGE</x:v>
      </x:c>
      <x:c r="P525" s="31" t="str">
        <x:v>FT-F04</x:v>
      </x:c>
      <x:c r="Q525" s="49" t="n">
        <x:v>5.114666336659967</x:v>
      </x:c>
    </x:row>
    <x:row r="526" ht="20" customHeight="1">
      <x:c r="A526" s="40" t="str">
        <x:v>FT-Q-V01-070</x:v>
      </x:c>
      <x:c r="B526" s="19" t="str">
        <x:v>climate change</x:v>
      </x:c>
      <x:c r="C526" s="31" t="str">
        <x:v>climate</x:v>
      </x:c>
      <x:c r="D526" s="25" t="n">
        <x:v>2001</x:v>
      </x:c>
      <x:c r="E526" s="46" t="n">
        <x:v>0.000006691241364681355</x:v>
      </x:c>
      <x:c r="F526" s="19" t="str">
        <x:v>eng</x:v>
      </x:c>
      <x:c r="G526" s="19" t="str">
        <x:v>current English corpus (July 2024 dataset; public shorthand eng; mutable current corpus)</x:v>
      </x:c>
      <x:c r="H526" s="19" t="str">
        <x:v>climate change (All)</x:v>
      </x:c>
      <x:c r="I526" s="19" t="str">
        <x:v>0</x:v>
      </x:c>
      <x:c r="J526" s="19" t="n">
        <x:v>46260.10760416667</x:v>
      </x:c>
      <x:c r="K526" s="31" t="str">
        <x:v>data/fear-temperature/ngram/raw/c0c3021f09dbdf3542c85e1a8bd4e013bd4d99d85af63bbd55f5e05a6a7ddd2b.json</x:v>
      </x:c>
      <x:c r="L526" s="19" t="str">
        <x:v>f147d9b61eec9310d5a36c21ef68d14904b4782ed7663bc02178e865991f6aa6</x:v>
      </x:c>
      <x:c r="M526" s="19" t="str">
        <x:v>03c6b3b7aec17c75d6066c3ad33475123246728a6d70514bc6c4b2fac975aa04</x:v>
      </x:c>
      <x:c r="N526" s="31" t="str">
        <x:v>FT-LF-CLIMATE_CHANGE</x:v>
      </x:c>
      <x:c r="O526" s="31" t="str">
        <x:v>FT-C-MODERN_CLIMATE_CHANGE</x:v>
      </x:c>
      <x:c r="P526" s="31" t="str">
        <x:v>FT-F04</x:v>
      </x:c>
      <x:c r="Q526" s="49" t="n">
        <x:v>6.691241364681355</x:v>
      </x:c>
    </x:row>
    <x:row r="527" ht="20" customHeight="1">
      <x:c r="A527" s="40" t="str">
        <x:v>FT-Q-V01-070</x:v>
      </x:c>
      <x:c r="B527" s="19" t="str">
        <x:v>climate change</x:v>
      </x:c>
      <x:c r="C527" s="31" t="str">
        <x:v>climate</x:v>
      </x:c>
      <x:c r="D527" s="25" t="n">
        <x:v>2002</x:v>
      </x:c>
      <x:c r="E527" s="46" t="n">
        <x:v>0.000006320614325032448</x:v>
      </x:c>
      <x:c r="F527" s="19" t="str">
        <x:v>eng</x:v>
      </x:c>
      <x:c r="G527" s="19" t="str">
        <x:v>current English corpus (July 2024 dataset; public shorthand eng; mutable current corpus)</x:v>
      </x:c>
      <x:c r="H527" s="19" t="str">
        <x:v>climate change (All)</x:v>
      </x:c>
      <x:c r="I527" s="19" t="str">
        <x:v>0</x:v>
      </x:c>
      <x:c r="J527" s="19" t="n">
        <x:v>46260.10760416667</x:v>
      </x:c>
      <x:c r="K527" s="31" t="str">
        <x:v>data/fear-temperature/ngram/raw/c0c3021f09dbdf3542c85e1a8bd4e013bd4d99d85af63bbd55f5e05a6a7ddd2b.json</x:v>
      </x:c>
      <x:c r="L527" s="19" t="str">
        <x:v>f147d9b61eec9310d5a36c21ef68d14904b4782ed7663bc02178e865991f6aa6</x:v>
      </x:c>
      <x:c r="M527" s="19" t="str">
        <x:v>03c6b3b7aec17c75d6066c3ad33475123246728a6d70514bc6c4b2fac975aa04</x:v>
      </x:c>
      <x:c r="N527" s="31" t="str">
        <x:v>FT-LF-CLIMATE_CHANGE</x:v>
      </x:c>
      <x:c r="O527" s="31" t="str">
        <x:v>FT-C-MODERN_CLIMATE_CHANGE</x:v>
      </x:c>
      <x:c r="P527" s="31" t="str">
        <x:v>FT-F04</x:v>
      </x:c>
      <x:c r="Q527" s="49" t="n">
        <x:v>6.320614325032448</x:v>
      </x:c>
    </x:row>
    <x:row r="528" ht="20" customHeight="1">
      <x:c r="A528" s="40" t="str">
        <x:v>FT-Q-V01-070</x:v>
      </x:c>
      <x:c r="B528" s="19" t="str">
        <x:v>climate change</x:v>
      </x:c>
      <x:c r="C528" s="31" t="str">
        <x:v>climate</x:v>
      </x:c>
      <x:c r="D528" s="25" t="n">
        <x:v>2003</x:v>
      </x:c>
      <x:c r="E528" s="46" t="n">
        <x:v>0.000005836712657913967</x:v>
      </x:c>
      <x:c r="F528" s="19" t="str">
        <x:v>eng</x:v>
      </x:c>
      <x:c r="G528" s="19" t="str">
        <x:v>current English corpus (July 2024 dataset; public shorthand eng; mutable current corpus)</x:v>
      </x:c>
      <x:c r="H528" s="19" t="str">
        <x:v>climate change (All)</x:v>
      </x:c>
      <x:c r="I528" s="19" t="str">
        <x:v>0</x:v>
      </x:c>
      <x:c r="J528" s="19" t="n">
        <x:v>46260.10760416667</x:v>
      </x:c>
      <x:c r="K528" s="31" t="str">
        <x:v>data/fear-temperature/ngram/raw/c0c3021f09dbdf3542c85e1a8bd4e013bd4d99d85af63bbd55f5e05a6a7ddd2b.json</x:v>
      </x:c>
      <x:c r="L528" s="19" t="str">
        <x:v>f147d9b61eec9310d5a36c21ef68d14904b4782ed7663bc02178e865991f6aa6</x:v>
      </x:c>
      <x:c r="M528" s="19" t="str">
        <x:v>03c6b3b7aec17c75d6066c3ad33475123246728a6d70514bc6c4b2fac975aa04</x:v>
      </x:c>
      <x:c r="N528" s="31" t="str">
        <x:v>FT-LF-CLIMATE_CHANGE</x:v>
      </x:c>
      <x:c r="O528" s="31" t="str">
        <x:v>FT-C-MODERN_CLIMATE_CHANGE</x:v>
      </x:c>
      <x:c r="P528" s="31" t="str">
        <x:v>FT-F04</x:v>
      </x:c>
      <x:c r="Q528" s="49" t="n">
        <x:v>5.836712657913967</x:v>
      </x:c>
    </x:row>
    <x:row r="529" ht="20" customHeight="1">
      <x:c r="A529" s="40" t="str">
        <x:v>FT-Q-V01-070</x:v>
      </x:c>
      <x:c r="B529" s="19" t="str">
        <x:v>climate change</x:v>
      </x:c>
      <x:c r="C529" s="31" t="str">
        <x:v>climate</x:v>
      </x:c>
      <x:c r="D529" s="25" t="n">
        <x:v>2004</x:v>
      </x:c>
      <x:c r="E529" s="46" t="n">
        <x:v>0.000006442867111752792</x:v>
      </x:c>
      <x:c r="F529" s="19" t="str">
        <x:v>eng</x:v>
      </x:c>
      <x:c r="G529" s="19" t="str">
        <x:v>current English corpus (July 2024 dataset; public shorthand eng; mutable current corpus)</x:v>
      </x:c>
      <x:c r="H529" s="19" t="str">
        <x:v>climate change (All)</x:v>
      </x:c>
      <x:c r="I529" s="19" t="str">
        <x:v>0</x:v>
      </x:c>
      <x:c r="J529" s="19" t="n">
        <x:v>46260.10760416667</x:v>
      </x:c>
      <x:c r="K529" s="31" t="str">
        <x:v>data/fear-temperature/ngram/raw/c0c3021f09dbdf3542c85e1a8bd4e013bd4d99d85af63bbd55f5e05a6a7ddd2b.json</x:v>
      </x:c>
      <x:c r="L529" s="19" t="str">
        <x:v>f147d9b61eec9310d5a36c21ef68d14904b4782ed7663bc02178e865991f6aa6</x:v>
      </x:c>
      <x:c r="M529" s="19" t="str">
        <x:v>03c6b3b7aec17c75d6066c3ad33475123246728a6d70514bc6c4b2fac975aa04</x:v>
      </x:c>
      <x:c r="N529" s="31" t="str">
        <x:v>FT-LF-CLIMATE_CHANGE</x:v>
      </x:c>
      <x:c r="O529" s="31" t="str">
        <x:v>FT-C-MODERN_CLIMATE_CHANGE</x:v>
      </x:c>
      <x:c r="P529" s="31" t="str">
        <x:v>FT-F04</x:v>
      </x:c>
      <x:c r="Q529" s="49" t="n">
        <x:v>6.442867111752792</x:v>
      </x:c>
    </x:row>
    <x:row r="530" ht="20" customHeight="1">
      <x:c r="A530" s="40" t="str">
        <x:v>FT-Q-V01-070</x:v>
      </x:c>
      <x:c r="B530" s="19" t="str">
        <x:v>climate change</x:v>
      </x:c>
      <x:c r="C530" s="31" t="str">
        <x:v>climate</x:v>
      </x:c>
      <x:c r="D530" s="25" t="n">
        <x:v>2005</x:v>
      </x:c>
      <x:c r="E530" s="46" t="n">
        <x:v>0.000007999175990786034</x:v>
      </x:c>
      <x:c r="F530" s="19" t="str">
        <x:v>eng</x:v>
      </x:c>
      <x:c r="G530" s="19" t="str">
        <x:v>current English corpus (July 2024 dataset; public shorthand eng; mutable current corpus)</x:v>
      </x:c>
      <x:c r="H530" s="19" t="str">
        <x:v>climate change (All)</x:v>
      </x:c>
      <x:c r="I530" s="19" t="str">
        <x:v>0</x:v>
      </x:c>
      <x:c r="J530" s="19" t="n">
        <x:v>46260.10760416667</x:v>
      </x:c>
      <x:c r="K530" s="31" t="str">
        <x:v>data/fear-temperature/ngram/raw/c0c3021f09dbdf3542c85e1a8bd4e013bd4d99d85af63bbd55f5e05a6a7ddd2b.json</x:v>
      </x:c>
      <x:c r="L530" s="19" t="str">
        <x:v>f147d9b61eec9310d5a36c21ef68d14904b4782ed7663bc02178e865991f6aa6</x:v>
      </x:c>
      <x:c r="M530" s="19" t="str">
        <x:v>03c6b3b7aec17c75d6066c3ad33475123246728a6d70514bc6c4b2fac975aa04</x:v>
      </x:c>
      <x:c r="N530" s="31" t="str">
        <x:v>FT-LF-CLIMATE_CHANGE</x:v>
      </x:c>
      <x:c r="O530" s="31" t="str">
        <x:v>FT-C-MODERN_CLIMATE_CHANGE</x:v>
      </x:c>
      <x:c r="P530" s="31" t="str">
        <x:v>FT-F04</x:v>
      </x:c>
      <x:c r="Q530" s="49" t="n">
        <x:v>7.999175990786034</x:v>
      </x:c>
    </x:row>
    <x:row r="531" ht="20" customHeight="1">
      <x:c r="A531" s="40" t="str">
        <x:v>FT-Q-V01-070</x:v>
      </x:c>
      <x:c r="B531" s="19" t="str">
        <x:v>climate change</x:v>
      </x:c>
      <x:c r="C531" s="31" t="str">
        <x:v>climate</x:v>
      </x:c>
      <x:c r="D531" s="25" t="n">
        <x:v>2006</x:v>
      </x:c>
      <x:c r="E531" s="46" t="n">
        <x:v>0.000008716473492563492</x:v>
      </x:c>
      <x:c r="F531" s="19" t="str">
        <x:v>eng</x:v>
      </x:c>
      <x:c r="G531" s="19" t="str">
        <x:v>current English corpus (July 2024 dataset; public shorthand eng; mutable current corpus)</x:v>
      </x:c>
      <x:c r="H531" s="19" t="str">
        <x:v>climate change (All)</x:v>
      </x:c>
      <x:c r="I531" s="19" t="str">
        <x:v>0</x:v>
      </x:c>
      <x:c r="J531" s="19" t="n">
        <x:v>46260.10760416667</x:v>
      </x:c>
      <x:c r="K531" s="31" t="str">
        <x:v>data/fear-temperature/ngram/raw/c0c3021f09dbdf3542c85e1a8bd4e013bd4d99d85af63bbd55f5e05a6a7ddd2b.json</x:v>
      </x:c>
      <x:c r="L531" s="19" t="str">
        <x:v>f147d9b61eec9310d5a36c21ef68d14904b4782ed7663bc02178e865991f6aa6</x:v>
      </x:c>
      <x:c r="M531" s="19" t="str">
        <x:v>03c6b3b7aec17c75d6066c3ad33475123246728a6d70514bc6c4b2fac975aa04</x:v>
      </x:c>
      <x:c r="N531" s="31" t="str">
        <x:v>FT-LF-CLIMATE_CHANGE</x:v>
      </x:c>
      <x:c r="O531" s="31" t="str">
        <x:v>FT-C-MODERN_CLIMATE_CHANGE</x:v>
      </x:c>
      <x:c r="P531" s="31" t="str">
        <x:v>FT-F04</x:v>
      </x:c>
      <x:c r="Q531" s="49" t="n">
        <x:v>8.716473492563493</x:v>
      </x:c>
    </x:row>
    <x:row r="532" ht="20" customHeight="1">
      <x:c r="A532" s="40" t="str">
        <x:v>FT-Q-V01-070</x:v>
      </x:c>
      <x:c r="B532" s="19" t="str">
        <x:v>climate change</x:v>
      </x:c>
      <x:c r="C532" s="31" t="str">
        <x:v>climate</x:v>
      </x:c>
      <x:c r="D532" s="25" t="n">
        <x:v>2007</x:v>
      </x:c>
      <x:c r="E532" s="46" t="n">
        <x:v>0.000013191383831559487</x:v>
      </x:c>
      <x:c r="F532" s="19" t="str">
        <x:v>eng</x:v>
      </x:c>
      <x:c r="G532" s="19" t="str">
        <x:v>current English corpus (July 2024 dataset; public shorthand eng; mutable current corpus)</x:v>
      </x:c>
      <x:c r="H532" s="19" t="str">
        <x:v>climate change (All)</x:v>
      </x:c>
      <x:c r="I532" s="19" t="str">
        <x:v>0</x:v>
      </x:c>
      <x:c r="J532" s="19" t="n">
        <x:v>46260.10760416667</x:v>
      </x:c>
      <x:c r="K532" s="31" t="str">
        <x:v>data/fear-temperature/ngram/raw/c0c3021f09dbdf3542c85e1a8bd4e013bd4d99d85af63bbd55f5e05a6a7ddd2b.json</x:v>
      </x:c>
      <x:c r="L532" s="19" t="str">
        <x:v>f147d9b61eec9310d5a36c21ef68d14904b4782ed7663bc02178e865991f6aa6</x:v>
      </x:c>
      <x:c r="M532" s="19" t="str">
        <x:v>03c6b3b7aec17c75d6066c3ad33475123246728a6d70514bc6c4b2fac975aa04</x:v>
      </x:c>
      <x:c r="N532" s="31" t="str">
        <x:v>FT-LF-CLIMATE_CHANGE</x:v>
      </x:c>
      <x:c r="O532" s="31" t="str">
        <x:v>FT-C-MODERN_CLIMATE_CHANGE</x:v>
      </x:c>
      <x:c r="P532" s="31" t="str">
        <x:v>FT-F04</x:v>
      </x:c>
      <x:c r="Q532" s="49" t="n">
        <x:v>13.191383831559488</x:v>
      </x:c>
    </x:row>
    <x:row r="533" ht="20" customHeight="1">
      <x:c r="A533" s="40" t="str">
        <x:v>FT-Q-V01-070</x:v>
      </x:c>
      <x:c r="B533" s="19" t="str">
        <x:v>climate change</x:v>
      </x:c>
      <x:c r="C533" s="31" t="str">
        <x:v>climate</x:v>
      </x:c>
      <x:c r="D533" s="25" t="n">
        <x:v>2008</x:v>
      </x:c>
      <x:c r="E533" s="46" t="n">
        <x:v>0.000016101769033910474</x:v>
      </x:c>
      <x:c r="F533" s="19" t="str">
        <x:v>eng</x:v>
      </x:c>
      <x:c r="G533" s="19" t="str">
        <x:v>current English corpus (July 2024 dataset; public shorthand eng; mutable current corpus)</x:v>
      </x:c>
      <x:c r="H533" s="19" t="str">
        <x:v>climate change (All)</x:v>
      </x:c>
      <x:c r="I533" s="19" t="str">
        <x:v>0</x:v>
      </x:c>
      <x:c r="J533" s="19" t="n">
        <x:v>46260.10760416667</x:v>
      </x:c>
      <x:c r="K533" s="31" t="str">
        <x:v>data/fear-temperature/ngram/raw/c0c3021f09dbdf3542c85e1a8bd4e013bd4d99d85af63bbd55f5e05a6a7ddd2b.json</x:v>
      </x:c>
      <x:c r="L533" s="19" t="str">
        <x:v>f147d9b61eec9310d5a36c21ef68d14904b4782ed7663bc02178e865991f6aa6</x:v>
      </x:c>
      <x:c r="M533" s="19" t="str">
        <x:v>03c6b3b7aec17c75d6066c3ad33475123246728a6d70514bc6c4b2fac975aa04</x:v>
      </x:c>
      <x:c r="N533" s="31" t="str">
        <x:v>FT-LF-CLIMATE_CHANGE</x:v>
      </x:c>
      <x:c r="O533" s="31" t="str">
        <x:v>FT-C-MODERN_CLIMATE_CHANGE</x:v>
      </x:c>
      <x:c r="P533" s="31" t="str">
        <x:v>FT-F04</x:v>
      </x:c>
      <x:c r="Q533" s="49" t="n">
        <x:v>16.10176903391047</x:v>
      </x:c>
    </x:row>
    <x:row r="534" ht="20" customHeight="1">
      <x:c r="A534" s="40" t="str">
        <x:v>FT-Q-V01-070</x:v>
      </x:c>
      <x:c r="B534" s="19" t="str">
        <x:v>climate change</x:v>
      </x:c>
      <x:c r="C534" s="31" t="str">
        <x:v>climate</x:v>
      </x:c>
      <x:c r="D534" s="25" t="n">
        <x:v>2009</x:v>
      </x:c>
      <x:c r="E534" s="46" t="n">
        <x:v>0.00002010751731046367</x:v>
      </x:c>
      <x:c r="F534" s="19" t="str">
        <x:v>eng</x:v>
      </x:c>
      <x:c r="G534" s="19" t="str">
        <x:v>current English corpus (July 2024 dataset; public shorthand eng; mutable current corpus)</x:v>
      </x:c>
      <x:c r="H534" s="19" t="str">
        <x:v>climate change (All)</x:v>
      </x:c>
      <x:c r="I534" s="19" t="str">
        <x:v>0</x:v>
      </x:c>
      <x:c r="J534" s="19" t="n">
        <x:v>46260.10760416667</x:v>
      </x:c>
      <x:c r="K534" s="31" t="str">
        <x:v>data/fear-temperature/ngram/raw/c0c3021f09dbdf3542c85e1a8bd4e013bd4d99d85af63bbd55f5e05a6a7ddd2b.json</x:v>
      </x:c>
      <x:c r="L534" s="19" t="str">
        <x:v>f147d9b61eec9310d5a36c21ef68d14904b4782ed7663bc02178e865991f6aa6</x:v>
      </x:c>
      <x:c r="M534" s="19" t="str">
        <x:v>03c6b3b7aec17c75d6066c3ad33475123246728a6d70514bc6c4b2fac975aa04</x:v>
      </x:c>
      <x:c r="N534" s="31" t="str">
        <x:v>FT-LF-CLIMATE_CHANGE</x:v>
      </x:c>
      <x:c r="O534" s="31" t="str">
        <x:v>FT-C-MODERN_CLIMATE_CHANGE</x:v>
      </x:c>
      <x:c r="P534" s="31" t="str">
        <x:v>FT-F04</x:v>
      </x:c>
      <x:c r="Q534" s="49" t="n">
        <x:v>20.10751731046367</x:v>
      </x:c>
    </x:row>
    <x:row r="535" ht="20" customHeight="1">
      <x:c r="A535" s="40" t="str">
        <x:v>FT-Q-V01-070</x:v>
      </x:c>
      <x:c r="B535" s="19" t="str">
        <x:v>climate change</x:v>
      </x:c>
      <x:c r="C535" s="31" t="str">
        <x:v>climate</x:v>
      </x:c>
      <x:c r="D535" s="25" t="n">
        <x:v>2010</x:v>
      </x:c>
      <x:c r="E535" s="46" t="n">
        <x:v>0.000020029450137085125</x:v>
      </x:c>
      <x:c r="F535" s="19" t="str">
        <x:v>eng</x:v>
      </x:c>
      <x:c r="G535" s="19" t="str">
        <x:v>current English corpus (July 2024 dataset; public shorthand eng; mutable current corpus)</x:v>
      </x:c>
      <x:c r="H535" s="19" t="str">
        <x:v>climate change (All)</x:v>
      </x:c>
      <x:c r="I535" s="19" t="str">
        <x:v>0</x:v>
      </x:c>
      <x:c r="J535" s="19" t="n">
        <x:v>46260.10760416667</x:v>
      </x:c>
      <x:c r="K535" s="31" t="str">
        <x:v>data/fear-temperature/ngram/raw/c0c3021f09dbdf3542c85e1a8bd4e013bd4d99d85af63bbd55f5e05a6a7ddd2b.json</x:v>
      </x:c>
      <x:c r="L535" s="19" t="str">
        <x:v>f147d9b61eec9310d5a36c21ef68d14904b4782ed7663bc02178e865991f6aa6</x:v>
      </x:c>
      <x:c r="M535" s="19" t="str">
        <x:v>03c6b3b7aec17c75d6066c3ad33475123246728a6d70514bc6c4b2fac975aa04</x:v>
      </x:c>
      <x:c r="N535" s="31" t="str">
        <x:v>FT-LF-CLIMATE_CHANGE</x:v>
      </x:c>
      <x:c r="O535" s="31" t="str">
        <x:v>FT-C-MODERN_CLIMATE_CHANGE</x:v>
      </x:c>
      <x:c r="P535" s="31" t="str">
        <x:v>FT-F04</x:v>
      </x:c>
      <x:c r="Q535" s="49" t="n">
        <x:v>20.029450137085124</x:v>
      </x:c>
    </x:row>
    <x:row r="536" ht="20" customHeight="1">
      <x:c r="A536" s="40" t="str">
        <x:v>FT-Q-V01-070</x:v>
      </x:c>
      <x:c r="B536" s="19" t="str">
        <x:v>climate change</x:v>
      </x:c>
      <x:c r="C536" s="31" t="str">
        <x:v>climate</x:v>
      </x:c>
      <x:c r="D536" s="25" t="n">
        <x:v>2011</x:v>
      </x:c>
      <x:c r="E536" s="46" t="n">
        <x:v>0.000016972856974759032</x:v>
      </x:c>
      <x:c r="F536" s="19" t="str">
        <x:v>eng</x:v>
      </x:c>
      <x:c r="G536" s="19" t="str">
        <x:v>current English corpus (July 2024 dataset; public shorthand eng; mutable current corpus)</x:v>
      </x:c>
      <x:c r="H536" s="19" t="str">
        <x:v>climate change (All)</x:v>
      </x:c>
      <x:c r="I536" s="19" t="str">
        <x:v>0</x:v>
      </x:c>
      <x:c r="J536" s="19" t="n">
        <x:v>46260.10760416667</x:v>
      </x:c>
      <x:c r="K536" s="31" t="str">
        <x:v>data/fear-temperature/ngram/raw/c0c3021f09dbdf3542c85e1a8bd4e013bd4d99d85af63bbd55f5e05a6a7ddd2b.json</x:v>
      </x:c>
      <x:c r="L536" s="19" t="str">
        <x:v>f147d9b61eec9310d5a36c21ef68d14904b4782ed7663bc02178e865991f6aa6</x:v>
      </x:c>
      <x:c r="M536" s="19" t="str">
        <x:v>03c6b3b7aec17c75d6066c3ad33475123246728a6d70514bc6c4b2fac975aa04</x:v>
      </x:c>
      <x:c r="N536" s="31" t="str">
        <x:v>FT-LF-CLIMATE_CHANGE</x:v>
      </x:c>
      <x:c r="O536" s="31" t="str">
        <x:v>FT-C-MODERN_CLIMATE_CHANGE</x:v>
      </x:c>
      <x:c r="P536" s="31" t="str">
        <x:v>FT-F04</x:v>
      </x:c>
      <x:c r="Q536" s="49" t="n">
        <x:v>16.972856974759033</x:v>
      </x:c>
    </x:row>
    <x:row r="537" ht="20" customHeight="1">
      <x:c r="A537" s="40" t="str">
        <x:v>FT-Q-V01-070</x:v>
      </x:c>
      <x:c r="B537" s="19" t="str">
        <x:v>climate change</x:v>
      </x:c>
      <x:c r="C537" s="31" t="str">
        <x:v>climate</x:v>
      </x:c>
      <x:c r="D537" s="25" t="n">
        <x:v>2012</x:v>
      </x:c>
      <x:c r="E537" s="46" t="n">
        <x:v>0.000015826731038601216</x:v>
      </x:c>
      <x:c r="F537" s="19" t="str">
        <x:v>eng</x:v>
      </x:c>
      <x:c r="G537" s="19" t="str">
        <x:v>current English corpus (July 2024 dataset; public shorthand eng; mutable current corpus)</x:v>
      </x:c>
      <x:c r="H537" s="19" t="str">
        <x:v>climate change (All)</x:v>
      </x:c>
      <x:c r="I537" s="19" t="str">
        <x:v>0</x:v>
      </x:c>
      <x:c r="J537" s="19" t="n">
        <x:v>46260.10760416667</x:v>
      </x:c>
      <x:c r="K537" s="31" t="str">
        <x:v>data/fear-temperature/ngram/raw/c0c3021f09dbdf3542c85e1a8bd4e013bd4d99d85af63bbd55f5e05a6a7ddd2b.json</x:v>
      </x:c>
      <x:c r="L537" s="19" t="str">
        <x:v>f147d9b61eec9310d5a36c21ef68d14904b4782ed7663bc02178e865991f6aa6</x:v>
      </x:c>
      <x:c r="M537" s="19" t="str">
        <x:v>03c6b3b7aec17c75d6066c3ad33475123246728a6d70514bc6c4b2fac975aa04</x:v>
      </x:c>
      <x:c r="N537" s="31" t="str">
        <x:v>FT-LF-CLIMATE_CHANGE</x:v>
      </x:c>
      <x:c r="O537" s="31" t="str">
        <x:v>FT-C-MODERN_CLIMATE_CHANGE</x:v>
      </x:c>
      <x:c r="P537" s="31" t="str">
        <x:v>FT-F04</x:v>
      </x:c>
      <x:c r="Q537" s="49" t="n">
        <x:v>15.826731038601217</x:v>
      </x:c>
    </x:row>
    <x:row r="538" ht="20" customHeight="1">
      <x:c r="A538" s="40" t="str">
        <x:v>FT-Q-V01-070</x:v>
      </x:c>
      <x:c r="B538" s="19" t="str">
        <x:v>climate change</x:v>
      </x:c>
      <x:c r="C538" s="31" t="str">
        <x:v>climate</x:v>
      </x:c>
      <x:c r="D538" s="25" t="n">
        <x:v>2013</x:v>
      </x:c>
      <x:c r="E538" s="46" t="n">
        <x:v>0.00001713374613597496</x:v>
      </x:c>
      <x:c r="F538" s="19" t="str">
        <x:v>eng</x:v>
      </x:c>
      <x:c r="G538" s="19" t="str">
        <x:v>current English corpus (July 2024 dataset; public shorthand eng; mutable current corpus)</x:v>
      </x:c>
      <x:c r="H538" s="19" t="str">
        <x:v>climate change (All)</x:v>
      </x:c>
      <x:c r="I538" s="19" t="str">
        <x:v>0</x:v>
      </x:c>
      <x:c r="J538" s="19" t="n">
        <x:v>46260.10760416667</x:v>
      </x:c>
      <x:c r="K538" s="31" t="str">
        <x:v>data/fear-temperature/ngram/raw/c0c3021f09dbdf3542c85e1a8bd4e013bd4d99d85af63bbd55f5e05a6a7ddd2b.json</x:v>
      </x:c>
      <x:c r="L538" s="19" t="str">
        <x:v>f147d9b61eec9310d5a36c21ef68d14904b4782ed7663bc02178e865991f6aa6</x:v>
      </x:c>
      <x:c r="M538" s="19" t="str">
        <x:v>03c6b3b7aec17c75d6066c3ad33475123246728a6d70514bc6c4b2fac975aa04</x:v>
      </x:c>
      <x:c r="N538" s="31" t="str">
        <x:v>FT-LF-CLIMATE_CHANGE</x:v>
      </x:c>
      <x:c r="O538" s="31" t="str">
        <x:v>FT-C-MODERN_CLIMATE_CHANGE</x:v>
      </x:c>
      <x:c r="P538" s="31" t="str">
        <x:v>FT-F04</x:v>
      </x:c>
      <x:c r="Q538" s="49" t="n">
        <x:v>17.13374613597496</x:v>
      </x:c>
    </x:row>
    <x:row r="539" ht="20" customHeight="1">
      <x:c r="A539" s="40" t="str">
        <x:v>FT-Q-V01-070</x:v>
      </x:c>
      <x:c r="B539" s="19" t="str">
        <x:v>climate change</x:v>
      </x:c>
      <x:c r="C539" s="31" t="str">
        <x:v>climate</x:v>
      </x:c>
      <x:c r="D539" s="25" t="n">
        <x:v>2014</x:v>
      </x:c>
      <x:c r="E539" s="46" t="n">
        <x:v>0.000016753625080679485</x:v>
      </x:c>
      <x:c r="F539" s="19" t="str">
        <x:v>eng</x:v>
      </x:c>
      <x:c r="G539" s="19" t="str">
        <x:v>current English corpus (July 2024 dataset; public shorthand eng; mutable current corpus)</x:v>
      </x:c>
      <x:c r="H539" s="19" t="str">
        <x:v>climate change (All)</x:v>
      </x:c>
      <x:c r="I539" s="19" t="str">
        <x:v>0</x:v>
      </x:c>
      <x:c r="J539" s="19" t="n">
        <x:v>46260.10760416667</x:v>
      </x:c>
      <x:c r="K539" s="31" t="str">
        <x:v>data/fear-temperature/ngram/raw/c0c3021f09dbdf3542c85e1a8bd4e013bd4d99d85af63bbd55f5e05a6a7ddd2b.json</x:v>
      </x:c>
      <x:c r="L539" s="19" t="str">
        <x:v>f147d9b61eec9310d5a36c21ef68d14904b4782ed7663bc02178e865991f6aa6</x:v>
      </x:c>
      <x:c r="M539" s="19" t="str">
        <x:v>03c6b3b7aec17c75d6066c3ad33475123246728a6d70514bc6c4b2fac975aa04</x:v>
      </x:c>
      <x:c r="N539" s="31" t="str">
        <x:v>FT-LF-CLIMATE_CHANGE</x:v>
      </x:c>
      <x:c r="O539" s="31" t="str">
        <x:v>FT-C-MODERN_CLIMATE_CHANGE</x:v>
      </x:c>
      <x:c r="P539" s="31" t="str">
        <x:v>FT-F04</x:v>
      </x:c>
      <x:c r="Q539" s="49" t="n">
        <x:v>16.753625080679484</x:v>
      </x:c>
    </x:row>
    <x:row r="540" ht="20" customHeight="1">
      <x:c r="A540" s="40" t="str">
        <x:v>FT-Q-V01-070</x:v>
      </x:c>
      <x:c r="B540" s="19" t="str">
        <x:v>climate change</x:v>
      </x:c>
      <x:c r="C540" s="31" t="str">
        <x:v>climate</x:v>
      </x:c>
      <x:c r="D540" s="25" t="n">
        <x:v>2015</x:v>
      </x:c>
      <x:c r="E540" s="46" t="n">
        <x:v>0.00001967096413684616</x:v>
      </x:c>
      <x:c r="F540" s="19" t="str">
        <x:v>eng</x:v>
      </x:c>
      <x:c r="G540" s="19" t="str">
        <x:v>current English corpus (July 2024 dataset; public shorthand eng; mutable current corpus)</x:v>
      </x:c>
      <x:c r="H540" s="19" t="str">
        <x:v>climate change (All)</x:v>
      </x:c>
      <x:c r="I540" s="19" t="str">
        <x:v>0</x:v>
      </x:c>
      <x:c r="J540" s="19" t="n">
        <x:v>46260.10760416667</x:v>
      </x:c>
      <x:c r="K540" s="31" t="str">
        <x:v>data/fear-temperature/ngram/raw/c0c3021f09dbdf3542c85e1a8bd4e013bd4d99d85af63bbd55f5e05a6a7ddd2b.json</x:v>
      </x:c>
      <x:c r="L540" s="19" t="str">
        <x:v>f147d9b61eec9310d5a36c21ef68d14904b4782ed7663bc02178e865991f6aa6</x:v>
      </x:c>
      <x:c r="M540" s="19" t="str">
        <x:v>03c6b3b7aec17c75d6066c3ad33475123246728a6d70514bc6c4b2fac975aa04</x:v>
      </x:c>
      <x:c r="N540" s="31" t="str">
        <x:v>FT-LF-CLIMATE_CHANGE</x:v>
      </x:c>
      <x:c r="O540" s="31" t="str">
        <x:v>FT-C-MODERN_CLIMATE_CHANGE</x:v>
      </x:c>
      <x:c r="P540" s="31" t="str">
        <x:v>FT-F04</x:v>
      </x:c>
      <x:c r="Q540" s="49" t="n">
        <x:v>19.67096413684616</x:v>
      </x:c>
    </x:row>
    <x:row r="541" ht="20" customHeight="1">
      <x:c r="A541" s="40" t="str">
        <x:v>FT-Q-V01-070</x:v>
      </x:c>
      <x:c r="B541" s="19" t="str">
        <x:v>climate change</x:v>
      </x:c>
      <x:c r="C541" s="31" t="str">
        <x:v>climate</x:v>
      </x:c>
      <x:c r="D541" s="25" t="n">
        <x:v>2016</x:v>
      </x:c>
      <x:c r="E541" s="46" t="n">
        <x:v>0.000020139663738864833</x:v>
      </x:c>
      <x:c r="F541" s="19" t="str">
        <x:v>eng</x:v>
      </x:c>
      <x:c r="G541" s="19" t="str">
        <x:v>current English corpus (July 2024 dataset; public shorthand eng; mutable current corpus)</x:v>
      </x:c>
      <x:c r="H541" s="19" t="str">
        <x:v>climate change (All)</x:v>
      </x:c>
      <x:c r="I541" s="19" t="str">
        <x:v>0</x:v>
      </x:c>
      <x:c r="J541" s="19" t="n">
        <x:v>46260.10760416667</x:v>
      </x:c>
      <x:c r="K541" s="31" t="str">
        <x:v>data/fear-temperature/ngram/raw/c0c3021f09dbdf3542c85e1a8bd4e013bd4d99d85af63bbd55f5e05a6a7ddd2b.json</x:v>
      </x:c>
      <x:c r="L541" s="19" t="str">
        <x:v>f147d9b61eec9310d5a36c21ef68d14904b4782ed7663bc02178e865991f6aa6</x:v>
      </x:c>
      <x:c r="M541" s="19" t="str">
        <x:v>03c6b3b7aec17c75d6066c3ad33475123246728a6d70514bc6c4b2fac975aa04</x:v>
      </x:c>
      <x:c r="N541" s="31" t="str">
        <x:v>FT-LF-CLIMATE_CHANGE</x:v>
      </x:c>
      <x:c r="O541" s="31" t="str">
        <x:v>FT-C-MODERN_CLIMATE_CHANGE</x:v>
      </x:c>
      <x:c r="P541" s="31" t="str">
        <x:v>FT-F04</x:v>
      </x:c>
      <x:c r="Q541" s="49" t="n">
        <x:v>20.139663738864833</x:v>
      </x:c>
    </x:row>
    <x:row r="542" ht="20" customHeight="1">
      <x:c r="A542" s="40" t="str">
        <x:v>FT-Q-V01-070</x:v>
      </x:c>
      <x:c r="B542" s="19" t="str">
        <x:v>climate change</x:v>
      </x:c>
      <x:c r="C542" s="31" t="str">
        <x:v>climate</x:v>
      </x:c>
      <x:c r="D542" s="25" t="n">
        <x:v>2017</x:v>
      </x:c>
      <x:c r="E542" s="46" t="n">
        <x:v>0.00001999484039687596</x:v>
      </x:c>
      <x:c r="F542" s="19" t="str">
        <x:v>eng</x:v>
      </x:c>
      <x:c r="G542" s="19" t="str">
        <x:v>current English corpus (July 2024 dataset; public shorthand eng; mutable current corpus)</x:v>
      </x:c>
      <x:c r="H542" s="19" t="str">
        <x:v>climate change (All)</x:v>
      </x:c>
      <x:c r="I542" s="19" t="str">
        <x:v>0</x:v>
      </x:c>
      <x:c r="J542" s="19" t="n">
        <x:v>46260.10760416667</x:v>
      </x:c>
      <x:c r="K542" s="31" t="str">
        <x:v>data/fear-temperature/ngram/raw/c0c3021f09dbdf3542c85e1a8bd4e013bd4d99d85af63bbd55f5e05a6a7ddd2b.json</x:v>
      </x:c>
      <x:c r="L542" s="19" t="str">
        <x:v>f147d9b61eec9310d5a36c21ef68d14904b4782ed7663bc02178e865991f6aa6</x:v>
      </x:c>
      <x:c r="M542" s="19" t="str">
        <x:v>03c6b3b7aec17c75d6066c3ad33475123246728a6d70514bc6c4b2fac975aa04</x:v>
      </x:c>
      <x:c r="N542" s="31" t="str">
        <x:v>FT-LF-CLIMATE_CHANGE</x:v>
      </x:c>
      <x:c r="O542" s="31" t="str">
        <x:v>FT-C-MODERN_CLIMATE_CHANGE</x:v>
      </x:c>
      <x:c r="P542" s="31" t="str">
        <x:v>FT-F04</x:v>
      </x:c>
      <x:c r="Q542" s="49" t="n">
        <x:v>19.994840396875958</x:v>
      </x:c>
    </x:row>
    <x:row r="543" ht="20" customHeight="1">
      <x:c r="A543" s="40" t="str">
        <x:v>FT-Q-V01-070</x:v>
      </x:c>
      <x:c r="B543" s="19" t="str">
        <x:v>climate change</x:v>
      </x:c>
      <x:c r="C543" s="31" t="str">
        <x:v>climate</x:v>
      </x:c>
      <x:c r="D543" s="25" t="n">
        <x:v>2018</x:v>
      </x:c>
      <x:c r="E543" s="46" t="n">
        <x:v>0.000022112523712387172</x:v>
      </x:c>
      <x:c r="F543" s="19" t="str">
        <x:v>eng</x:v>
      </x:c>
      <x:c r="G543" s="19" t="str">
        <x:v>current English corpus (July 2024 dataset; public shorthand eng; mutable current corpus)</x:v>
      </x:c>
      <x:c r="H543" s="19" t="str">
        <x:v>climate change (All)</x:v>
      </x:c>
      <x:c r="I543" s="19" t="str">
        <x:v>0</x:v>
      </x:c>
      <x:c r="J543" s="19" t="n">
        <x:v>46260.10760416667</x:v>
      </x:c>
      <x:c r="K543" s="31" t="str">
        <x:v>data/fear-temperature/ngram/raw/c0c3021f09dbdf3542c85e1a8bd4e013bd4d99d85af63bbd55f5e05a6a7ddd2b.json</x:v>
      </x:c>
      <x:c r="L543" s="19" t="str">
        <x:v>f147d9b61eec9310d5a36c21ef68d14904b4782ed7663bc02178e865991f6aa6</x:v>
      </x:c>
      <x:c r="M543" s="19" t="str">
        <x:v>03c6b3b7aec17c75d6066c3ad33475123246728a6d70514bc6c4b2fac975aa04</x:v>
      </x:c>
      <x:c r="N543" s="31" t="str">
        <x:v>FT-LF-CLIMATE_CHANGE</x:v>
      </x:c>
      <x:c r="O543" s="31" t="str">
        <x:v>FT-C-MODERN_CLIMATE_CHANGE</x:v>
      </x:c>
      <x:c r="P543" s="31" t="str">
        <x:v>FT-F04</x:v>
      </x:c>
      <x:c r="Q543" s="49" t="n">
        <x:v>22.112523712387173</x:v>
      </x:c>
    </x:row>
    <x:row r="544" ht="20" customHeight="1">
      <x:c r="A544" s="40" t="str">
        <x:v>FT-Q-V01-070</x:v>
      </x:c>
      <x:c r="B544" s="19" t="str">
        <x:v>climate change</x:v>
      </x:c>
      <x:c r="C544" s="31" t="str">
        <x:v>climate</x:v>
      </x:c>
      <x:c r="D544" s="25" t="n">
        <x:v>2019</x:v>
      </x:c>
      <x:c r="E544" s="46" t="n">
        <x:v>0.00002168414138556743</x:v>
      </x:c>
      <x:c r="F544" s="19" t="str">
        <x:v>eng</x:v>
      </x:c>
      <x:c r="G544" s="19" t="str">
        <x:v>current English corpus (July 2024 dataset; public shorthand eng; mutable current corpus)</x:v>
      </x:c>
      <x:c r="H544" s="19" t="str">
        <x:v>climate change (All)</x:v>
      </x:c>
      <x:c r="I544" s="19" t="str">
        <x:v>0</x:v>
      </x:c>
      <x:c r="J544" s="19" t="n">
        <x:v>46260.10760416667</x:v>
      </x:c>
      <x:c r="K544" s="31" t="str">
        <x:v>data/fear-temperature/ngram/raw/c0c3021f09dbdf3542c85e1a8bd4e013bd4d99d85af63bbd55f5e05a6a7ddd2b.json</x:v>
      </x:c>
      <x:c r="L544" s="19" t="str">
        <x:v>f147d9b61eec9310d5a36c21ef68d14904b4782ed7663bc02178e865991f6aa6</x:v>
      </x:c>
      <x:c r="M544" s="19" t="str">
        <x:v>03c6b3b7aec17c75d6066c3ad33475123246728a6d70514bc6c4b2fac975aa04</x:v>
      </x:c>
      <x:c r="N544" s="31" t="str">
        <x:v>FT-LF-CLIMATE_CHANGE</x:v>
      </x:c>
      <x:c r="O544" s="31" t="str">
        <x:v>FT-C-MODERN_CLIMATE_CHANGE</x:v>
      </x:c>
      <x:c r="P544" s="31" t="str">
        <x:v>FT-F04</x:v>
      </x:c>
      <x:c r="Q544" s="49" t="n">
        <x:v>21.68414138556743</x:v>
      </x:c>
    </x:row>
    <x:row r="545" ht="20" customHeight="1">
      <x:c r="A545" s="40" t="str">
        <x:v>FT-Q-V01-070</x:v>
      </x:c>
      <x:c r="B545" s="19" t="str">
        <x:v>climate change</x:v>
      </x:c>
      <x:c r="C545" s="31" t="str">
        <x:v>climate</x:v>
      </x:c>
      <x:c r="D545" s="25" t="n">
        <x:v>2020</x:v>
      </x:c>
      <x:c r="E545" s="46" t="n">
        <x:v>0.00002160765348034263</x:v>
      </x:c>
      <x:c r="F545" s="19" t="str">
        <x:v>eng</x:v>
      </x:c>
      <x:c r="G545" s="19" t="str">
        <x:v>current English corpus (July 2024 dataset; public shorthand eng; mutable current corpus)</x:v>
      </x:c>
      <x:c r="H545" s="19" t="str">
        <x:v>climate change (All)</x:v>
      </x:c>
      <x:c r="I545" s="19" t="str">
        <x:v>0</x:v>
      </x:c>
      <x:c r="J545" s="19" t="n">
        <x:v>46260.10760416667</x:v>
      </x:c>
      <x:c r="K545" s="31" t="str">
        <x:v>data/fear-temperature/ngram/raw/c0c3021f09dbdf3542c85e1a8bd4e013bd4d99d85af63bbd55f5e05a6a7ddd2b.json</x:v>
      </x:c>
      <x:c r="L545" s="19" t="str">
        <x:v>f147d9b61eec9310d5a36c21ef68d14904b4782ed7663bc02178e865991f6aa6</x:v>
      </x:c>
      <x:c r="M545" s="19" t="str">
        <x:v>03c6b3b7aec17c75d6066c3ad33475123246728a6d70514bc6c4b2fac975aa04</x:v>
      </x:c>
      <x:c r="N545" s="31" t="str">
        <x:v>FT-LF-CLIMATE_CHANGE</x:v>
      </x:c>
      <x:c r="O545" s="31" t="str">
        <x:v>FT-C-MODERN_CLIMATE_CHANGE</x:v>
      </x:c>
      <x:c r="P545" s="31" t="str">
        <x:v>FT-F04</x:v>
      </x:c>
      <x:c r="Q545" s="49" t="n">
        <x:v>21.60765348034263</x:v>
      </x:c>
    </x:row>
    <x:row r="546" ht="20" customHeight="1">
      <x:c r="A546" s="40" t="str">
        <x:v>FT-Q-V01-070</x:v>
      </x:c>
      <x:c r="B546" s="19" t="str">
        <x:v>climate change</x:v>
      </x:c>
      <x:c r="C546" s="31" t="str">
        <x:v>climate</x:v>
      </x:c>
      <x:c r="D546" s="25" t="n">
        <x:v>2021</x:v>
      </x:c>
      <x:c r="E546" s="46" t="n">
        <x:v>0.000028488093434229228</x:v>
      </x:c>
      <x:c r="F546" s="19" t="str">
        <x:v>eng</x:v>
      </x:c>
      <x:c r="G546" s="19" t="str">
        <x:v>current English corpus (July 2024 dataset; public shorthand eng; mutable current corpus)</x:v>
      </x:c>
      <x:c r="H546" s="19" t="str">
        <x:v>climate change (All)</x:v>
      </x:c>
      <x:c r="I546" s="19" t="str">
        <x:v>0</x:v>
      </x:c>
      <x:c r="J546" s="19" t="n">
        <x:v>46260.10760416667</x:v>
      </x:c>
      <x:c r="K546" s="31" t="str">
        <x:v>data/fear-temperature/ngram/raw/c0c3021f09dbdf3542c85e1a8bd4e013bd4d99d85af63bbd55f5e05a6a7ddd2b.json</x:v>
      </x:c>
      <x:c r="L546" s="19" t="str">
        <x:v>f147d9b61eec9310d5a36c21ef68d14904b4782ed7663bc02178e865991f6aa6</x:v>
      </x:c>
      <x:c r="M546" s="19" t="str">
        <x:v>03c6b3b7aec17c75d6066c3ad33475123246728a6d70514bc6c4b2fac975aa04</x:v>
      </x:c>
      <x:c r="N546" s="31" t="str">
        <x:v>FT-LF-CLIMATE_CHANGE</x:v>
      </x:c>
      <x:c r="O546" s="31" t="str">
        <x:v>FT-C-MODERN_CLIMATE_CHANGE</x:v>
      </x:c>
      <x:c r="P546" s="31" t="str">
        <x:v>FT-F04</x:v>
      </x:c>
      <x:c r="Q546" s="49" t="n">
        <x:v>28.488093434229228</x:v>
      </x:c>
    </x:row>
    <x:row r="547" ht="20" customHeight="1">
      <x:c r="A547" s="40" t="str">
        <x:v>FT-Q-V01-070</x:v>
      </x:c>
      <x:c r="B547" s="19" t="str">
        <x:v>climate change</x:v>
      </x:c>
      <x:c r="C547" s="31" t="str">
        <x:v>climate</x:v>
      </x:c>
      <x:c r="D547" s="25" t="n">
        <x:v>2022</x:v>
      </x:c>
      <x:c r="E547" s="46" t="n">
        <x:v>0.00002890008815206735</x:v>
      </x:c>
      <x:c r="F547" s="19" t="str">
        <x:v>eng</x:v>
      </x:c>
      <x:c r="G547" s="19" t="str">
        <x:v>current English corpus (July 2024 dataset; public shorthand eng; mutable current corpus)</x:v>
      </x:c>
      <x:c r="H547" s="19" t="str">
        <x:v>climate change (All)</x:v>
      </x:c>
      <x:c r="I547" s="19" t="str">
        <x:v>0</x:v>
      </x:c>
      <x:c r="J547" s="19" t="n">
        <x:v>46260.10760416667</x:v>
      </x:c>
      <x:c r="K547" s="31" t="str">
        <x:v>data/fear-temperature/ngram/raw/c0c3021f09dbdf3542c85e1a8bd4e013bd4d99d85af63bbd55f5e05a6a7ddd2b.json</x:v>
      </x:c>
      <x:c r="L547" s="19" t="str">
        <x:v>f147d9b61eec9310d5a36c21ef68d14904b4782ed7663bc02178e865991f6aa6</x:v>
      </x:c>
      <x:c r="M547" s="19" t="str">
        <x:v>03c6b3b7aec17c75d6066c3ad33475123246728a6d70514bc6c4b2fac975aa04</x:v>
      </x:c>
      <x:c r="N547" s="31" t="str">
        <x:v>FT-LF-CLIMATE_CHANGE</x:v>
      </x:c>
      <x:c r="O547" s="31" t="str">
        <x:v>FT-C-MODERN_CLIMATE_CHANGE</x:v>
      </x:c>
      <x:c r="P547" s="31" t="str">
        <x:v>FT-F04</x:v>
      </x:c>
      <x:c r="Q547" s="49" t="n">
        <x:v>28.900088152067347</x:v>
      </x:c>
    </x:row>
    <x:row r="548" ht="20" customHeight="1">
      <x:c r="A548" s="40" t="str">
        <x:v>FT-Q-V01-121</x:v>
      </x:c>
      <x:c r="B548" s="19" t="str">
        <x:v>climatic change</x:v>
      </x:c>
      <x:c r="C548" s="31" t="str">
        <x:v>climate</x:v>
      </x:c>
      <x:c r="D548" s="25" t="n">
        <x:v>1842</x:v>
      </x:c>
      <x:c r="E548" s="46" t="n">
        <x:v>0</x:v>
      </x:c>
      <x:c r="F548" s="19" t="str">
        <x:v>eng</x:v>
      </x:c>
      <x:c r="G548" s="19" t="str">
        <x:v>current English corpus (July 2024 dataset; public shorthand eng; mutable current corpus)</x:v>
      </x:c>
      <x:c r="H548" s="19" t="str">
        <x:v>climatic change (All)</x:v>
      </x:c>
      <x:c r="I548" s="19" t="str">
        <x:v>0</x:v>
      </x:c>
      <x:c r="J548" s="19" t="n">
        <x:v>46260.108125</x:v>
      </x:c>
      <x:c r="K548" s="31" t="str">
        <x:v>data/fear-temperature/ngram/raw/0a04941be5651b2bc9de7c1d97a1ec296ca7d83fbf14cbae1d4cb6dce5e31d80.json</x:v>
      </x:c>
      <x:c r="L548" s="19" t="str">
        <x:v>d7902abbc080f4d2003d5f1a590f735baa3506f990d5c6b1c2d156f0cbd926e2</x:v>
      </x:c>
      <x:c r="M548" s="19" t="str">
        <x:v>03c6b3b7aec17c75d6066c3ad33475123246728a6d70514bc6c4b2fac975aa04</x:v>
      </x:c>
      <x:c r="N548" s="31" t="str">
        <x:v>FT-LF-CLIMATIC_CHANGE</x:v>
      </x:c>
      <x:c r="O548" s="31" t="str">
        <x:v>FT-C-HISTORICAL_CLIMATIC_CHANGE</x:v>
      </x:c>
      <x:c r="P548" s="31" t="str">
        <x:v>FT-F04</x:v>
      </x:c>
      <x:c r="Q548" s="49" t="n">
        <x:v>0</x:v>
      </x:c>
    </x:row>
    <x:row r="549" ht="20" customHeight="1">
      <x:c r="A549" s="40" t="str">
        <x:v>FT-Q-V01-121</x:v>
      </x:c>
      <x:c r="B549" s="19" t="str">
        <x:v>climatic change</x:v>
      </x:c>
      <x:c r="C549" s="31" t="str">
        <x:v>climate</x:v>
      </x:c>
      <x:c r="D549" s="25" t="n">
        <x:v>1843</x:v>
      </x:c>
      <x:c r="E549" s="46" t="n">
        <x:v>0</x:v>
      </x:c>
      <x:c r="F549" s="19" t="str">
        <x:v>eng</x:v>
      </x:c>
      <x:c r="G549" s="19" t="str">
        <x:v>current English corpus (July 2024 dataset; public shorthand eng; mutable current corpus)</x:v>
      </x:c>
      <x:c r="H549" s="19" t="str">
        <x:v>climatic change (All)</x:v>
      </x:c>
      <x:c r="I549" s="19" t="str">
        <x:v>0</x:v>
      </x:c>
      <x:c r="J549" s="19" t="n">
        <x:v>46260.108125</x:v>
      </x:c>
      <x:c r="K549" s="31" t="str">
        <x:v>data/fear-temperature/ngram/raw/0a04941be5651b2bc9de7c1d97a1ec296ca7d83fbf14cbae1d4cb6dce5e31d80.json</x:v>
      </x:c>
      <x:c r="L549" s="19" t="str">
        <x:v>d7902abbc080f4d2003d5f1a590f735baa3506f990d5c6b1c2d156f0cbd926e2</x:v>
      </x:c>
      <x:c r="M549" s="19" t="str">
        <x:v>03c6b3b7aec17c75d6066c3ad33475123246728a6d70514bc6c4b2fac975aa04</x:v>
      </x:c>
      <x:c r="N549" s="31" t="str">
        <x:v>FT-LF-CLIMATIC_CHANGE</x:v>
      </x:c>
      <x:c r="O549" s="31" t="str">
        <x:v>FT-C-HISTORICAL_CLIMATIC_CHANGE</x:v>
      </x:c>
      <x:c r="P549" s="31" t="str">
        <x:v>FT-F04</x:v>
      </x:c>
      <x:c r="Q549" s="49" t="n">
        <x:v>0</x:v>
      </x:c>
    </x:row>
    <x:row r="550" ht="20" customHeight="1">
      <x:c r="A550" s="40" t="str">
        <x:v>FT-Q-V01-121</x:v>
      </x:c>
      <x:c r="B550" s="19" t="str">
        <x:v>climatic change</x:v>
      </x:c>
      <x:c r="C550" s="31" t="str">
        <x:v>climate</x:v>
      </x:c>
      <x:c r="D550" s="25" t="n">
        <x:v>1844</x:v>
      </x:c>
      <x:c r="E550" s="46" t="n">
        <x:v>2.8464866019817232e-9</x:v>
      </x:c>
      <x:c r="F550" s="19" t="str">
        <x:v>eng</x:v>
      </x:c>
      <x:c r="G550" s="19" t="str">
        <x:v>current English corpus (July 2024 dataset; public shorthand eng; mutable current corpus)</x:v>
      </x:c>
      <x:c r="H550" s="19" t="str">
        <x:v>climatic change (All)</x:v>
      </x:c>
      <x:c r="I550" s="19" t="str">
        <x:v>0</x:v>
      </x:c>
      <x:c r="J550" s="19" t="n">
        <x:v>46260.108125</x:v>
      </x:c>
      <x:c r="K550" s="31" t="str">
        <x:v>data/fear-temperature/ngram/raw/0a04941be5651b2bc9de7c1d97a1ec296ca7d83fbf14cbae1d4cb6dce5e31d80.json</x:v>
      </x:c>
      <x:c r="L550" s="19" t="str">
        <x:v>d7902abbc080f4d2003d5f1a590f735baa3506f990d5c6b1c2d156f0cbd926e2</x:v>
      </x:c>
      <x:c r="M550" s="19" t="str">
        <x:v>03c6b3b7aec17c75d6066c3ad33475123246728a6d70514bc6c4b2fac975aa04</x:v>
      </x:c>
      <x:c r="N550" s="31" t="str">
        <x:v>FT-LF-CLIMATIC_CHANGE</x:v>
      </x:c>
      <x:c r="O550" s="31" t="str">
        <x:v>FT-C-HISTORICAL_CLIMATIC_CHANGE</x:v>
      </x:c>
      <x:c r="P550" s="31" t="str">
        <x:v>FT-F04</x:v>
      </x:c>
      <x:c r="Q550" s="49" t="n">
        <x:v>0.0028464866019817232</x:v>
      </x:c>
    </x:row>
    <x:row r="551" ht="20" customHeight="1">
      <x:c r="A551" s="40" t="str">
        <x:v>FT-Q-V01-121</x:v>
      </x:c>
      <x:c r="B551" s="19" t="str">
        <x:v>climatic change</x:v>
      </x:c>
      <x:c r="C551" s="31" t="str">
        <x:v>climate</x:v>
      </x:c>
      <x:c r="D551" s="25" t="n">
        <x:v>1845</x:v>
      </x:c>
      <x:c r="E551" s="46" t="n">
        <x:v>0</x:v>
      </x:c>
      <x:c r="F551" s="19" t="str">
        <x:v>eng</x:v>
      </x:c>
      <x:c r="G551" s="19" t="str">
        <x:v>current English corpus (July 2024 dataset; public shorthand eng; mutable current corpus)</x:v>
      </x:c>
      <x:c r="H551" s="19" t="str">
        <x:v>climatic change (All)</x:v>
      </x:c>
      <x:c r="I551" s="19" t="str">
        <x:v>0</x:v>
      </x:c>
      <x:c r="J551" s="19" t="n">
        <x:v>46260.108125</x:v>
      </x:c>
      <x:c r="K551" s="31" t="str">
        <x:v>data/fear-temperature/ngram/raw/0a04941be5651b2bc9de7c1d97a1ec296ca7d83fbf14cbae1d4cb6dce5e31d80.json</x:v>
      </x:c>
      <x:c r="L551" s="19" t="str">
        <x:v>d7902abbc080f4d2003d5f1a590f735baa3506f990d5c6b1c2d156f0cbd926e2</x:v>
      </x:c>
      <x:c r="M551" s="19" t="str">
        <x:v>03c6b3b7aec17c75d6066c3ad33475123246728a6d70514bc6c4b2fac975aa04</x:v>
      </x:c>
      <x:c r="N551" s="31" t="str">
        <x:v>FT-LF-CLIMATIC_CHANGE</x:v>
      </x:c>
      <x:c r="O551" s="31" t="str">
        <x:v>FT-C-HISTORICAL_CLIMATIC_CHANGE</x:v>
      </x:c>
      <x:c r="P551" s="31" t="str">
        <x:v>FT-F04</x:v>
      </x:c>
      <x:c r="Q551" s="49" t="n">
        <x:v>0</x:v>
      </x:c>
    </x:row>
    <x:row r="552" ht="20" customHeight="1">
      <x:c r="A552" s="40" t="str">
        <x:v>FT-Q-V01-121</x:v>
      </x:c>
      <x:c r="B552" s="19" t="str">
        <x:v>climatic change</x:v>
      </x:c>
      <x:c r="C552" s="31" t="str">
        <x:v>climate</x:v>
      </x:c>
      <x:c r="D552" s="25" t="n">
        <x:v>1846</x:v>
      </x:c>
      <x:c r="E552" s="46" t="n">
        <x:v>5.04240704746195e-10</x:v>
      </x:c>
      <x:c r="F552" s="19" t="str">
        <x:v>eng</x:v>
      </x:c>
      <x:c r="G552" s="19" t="str">
        <x:v>current English corpus (July 2024 dataset; public shorthand eng; mutable current corpus)</x:v>
      </x:c>
      <x:c r="H552" s="19" t="str">
        <x:v>climatic change (All)</x:v>
      </x:c>
      <x:c r="I552" s="19" t="str">
        <x:v>0</x:v>
      </x:c>
      <x:c r="J552" s="19" t="n">
        <x:v>46260.108125</x:v>
      </x:c>
      <x:c r="K552" s="31" t="str">
        <x:v>data/fear-temperature/ngram/raw/0a04941be5651b2bc9de7c1d97a1ec296ca7d83fbf14cbae1d4cb6dce5e31d80.json</x:v>
      </x:c>
      <x:c r="L552" s="19" t="str">
        <x:v>d7902abbc080f4d2003d5f1a590f735baa3506f990d5c6b1c2d156f0cbd926e2</x:v>
      </x:c>
      <x:c r="M552" s="19" t="str">
        <x:v>03c6b3b7aec17c75d6066c3ad33475123246728a6d70514bc6c4b2fac975aa04</x:v>
      </x:c>
      <x:c r="N552" s="31" t="str">
        <x:v>FT-LF-CLIMATIC_CHANGE</x:v>
      </x:c>
      <x:c r="O552" s="31" t="str">
        <x:v>FT-C-HISTORICAL_CLIMATIC_CHANGE</x:v>
      </x:c>
      <x:c r="P552" s="31" t="str">
        <x:v>FT-F04</x:v>
      </x:c>
      <x:c r="Q552" s="49" t="n">
        <x:v>0.000504240704746195</x:v>
      </x:c>
    </x:row>
    <x:row r="553" ht="20" customHeight="1">
      <x:c r="A553" s="40" t="str">
        <x:v>FT-Q-V01-121</x:v>
      </x:c>
      <x:c r="B553" s="19" t="str">
        <x:v>climatic change</x:v>
      </x:c>
      <x:c r="C553" s="31" t="str">
        <x:v>climate</x:v>
      </x:c>
      <x:c r="D553" s="25" t="n">
        <x:v>1847</x:v>
      </x:c>
      <x:c r="E553" s="46" t="n">
        <x:v>1.00790387147498e-9</x:v>
      </x:c>
      <x:c r="F553" s="19" t="str">
        <x:v>eng</x:v>
      </x:c>
      <x:c r="G553" s="19" t="str">
        <x:v>current English corpus (July 2024 dataset; public shorthand eng; mutable current corpus)</x:v>
      </x:c>
      <x:c r="H553" s="19" t="str">
        <x:v>climatic change (All)</x:v>
      </x:c>
      <x:c r="I553" s="19" t="str">
        <x:v>0</x:v>
      </x:c>
      <x:c r="J553" s="19" t="n">
        <x:v>46260.108125</x:v>
      </x:c>
      <x:c r="K553" s="31" t="str">
        <x:v>data/fear-temperature/ngram/raw/0a04941be5651b2bc9de7c1d97a1ec296ca7d83fbf14cbae1d4cb6dce5e31d80.json</x:v>
      </x:c>
      <x:c r="L553" s="19" t="str">
        <x:v>d7902abbc080f4d2003d5f1a590f735baa3506f990d5c6b1c2d156f0cbd926e2</x:v>
      </x:c>
      <x:c r="M553" s="19" t="str">
        <x:v>03c6b3b7aec17c75d6066c3ad33475123246728a6d70514bc6c4b2fac975aa04</x:v>
      </x:c>
      <x:c r="N553" s="31" t="str">
        <x:v>FT-LF-CLIMATIC_CHANGE</x:v>
      </x:c>
      <x:c r="O553" s="31" t="str">
        <x:v>FT-C-HISTORICAL_CLIMATIC_CHANGE</x:v>
      </x:c>
      <x:c r="P553" s="31" t="str">
        <x:v>FT-F04</x:v>
      </x:c>
      <x:c r="Q553" s="49" t="n">
        <x:v>0.00100790387147498</x:v>
      </x:c>
    </x:row>
    <x:row r="554" ht="20" customHeight="1">
      <x:c r="A554" s="40" t="str">
        <x:v>FT-Q-V01-121</x:v>
      </x:c>
      <x:c r="B554" s="19" t="str">
        <x:v>climatic change</x:v>
      </x:c>
      <x:c r="C554" s="31" t="str">
        <x:v>climate</x:v>
      </x:c>
      <x:c r="D554" s="25" t="n">
        <x:v>1848</x:v>
      </x:c>
      <x:c r="E554" s="46" t="n">
        <x:v>1.0861997967737123e-9</x:v>
      </x:c>
      <x:c r="F554" s="19" t="str">
        <x:v>eng</x:v>
      </x:c>
      <x:c r="G554" s="19" t="str">
        <x:v>current English corpus (July 2024 dataset; public shorthand eng; mutable current corpus)</x:v>
      </x:c>
      <x:c r="H554" s="19" t="str">
        <x:v>climatic change (All)</x:v>
      </x:c>
      <x:c r="I554" s="19" t="str">
        <x:v>0</x:v>
      </x:c>
      <x:c r="J554" s="19" t="n">
        <x:v>46260.108125</x:v>
      </x:c>
      <x:c r="K554" s="31" t="str">
        <x:v>data/fear-temperature/ngram/raw/0a04941be5651b2bc9de7c1d97a1ec296ca7d83fbf14cbae1d4cb6dce5e31d80.json</x:v>
      </x:c>
      <x:c r="L554" s="19" t="str">
        <x:v>d7902abbc080f4d2003d5f1a590f735baa3506f990d5c6b1c2d156f0cbd926e2</x:v>
      </x:c>
      <x:c r="M554" s="19" t="str">
        <x:v>03c6b3b7aec17c75d6066c3ad33475123246728a6d70514bc6c4b2fac975aa04</x:v>
      </x:c>
      <x:c r="N554" s="31" t="str">
        <x:v>FT-LF-CLIMATIC_CHANGE</x:v>
      </x:c>
      <x:c r="O554" s="31" t="str">
        <x:v>FT-C-HISTORICAL_CLIMATIC_CHANGE</x:v>
      </x:c>
      <x:c r="P554" s="31" t="str">
        <x:v>FT-F04</x:v>
      </x:c>
      <x:c r="Q554" s="49" t="n">
        <x:v>0.0010861997967737123</x:v>
      </x:c>
    </x:row>
    <x:row r="555" ht="20" customHeight="1">
      <x:c r="A555" s="40" t="str">
        <x:v>FT-Q-V01-121</x:v>
      </x:c>
      <x:c r="B555" s="19" t="str">
        <x:v>climatic change</x:v>
      </x:c>
      <x:c r="C555" s="31" t="str">
        <x:v>climate</x:v>
      </x:c>
      <x:c r="D555" s="25" t="n">
        <x:v>1849</x:v>
      </x:c>
      <x:c r="E555" s="46" t="n">
        <x:v>3.1451889981326527e-9</x:v>
      </x:c>
      <x:c r="F555" s="19" t="str">
        <x:v>eng</x:v>
      </x:c>
      <x:c r="G555" s="19" t="str">
        <x:v>current English corpus (July 2024 dataset; public shorthand eng; mutable current corpus)</x:v>
      </x:c>
      <x:c r="H555" s="19" t="str">
        <x:v>climatic change (All)</x:v>
      </x:c>
      <x:c r="I555" s="19" t="str">
        <x:v>0</x:v>
      </x:c>
      <x:c r="J555" s="19" t="n">
        <x:v>46260.108125</x:v>
      </x:c>
      <x:c r="K555" s="31" t="str">
        <x:v>data/fear-temperature/ngram/raw/0a04941be5651b2bc9de7c1d97a1ec296ca7d83fbf14cbae1d4cb6dce5e31d80.json</x:v>
      </x:c>
      <x:c r="L555" s="19" t="str">
        <x:v>d7902abbc080f4d2003d5f1a590f735baa3506f990d5c6b1c2d156f0cbd926e2</x:v>
      </x:c>
      <x:c r="M555" s="19" t="str">
        <x:v>03c6b3b7aec17c75d6066c3ad33475123246728a6d70514bc6c4b2fac975aa04</x:v>
      </x:c>
      <x:c r="N555" s="31" t="str">
        <x:v>FT-LF-CLIMATIC_CHANGE</x:v>
      </x:c>
      <x:c r="O555" s="31" t="str">
        <x:v>FT-C-HISTORICAL_CLIMATIC_CHANGE</x:v>
      </x:c>
      <x:c r="P555" s="31" t="str">
        <x:v>FT-F04</x:v>
      </x:c>
      <x:c r="Q555" s="49" t="n">
        <x:v>0.0031451889981326526</x:v>
      </x:c>
    </x:row>
    <x:row r="556" ht="20" customHeight="1">
      <x:c r="A556" s="40" t="str">
        <x:v>FT-Q-V01-121</x:v>
      </x:c>
      <x:c r="B556" s="19" t="str">
        <x:v>climatic change</x:v>
      </x:c>
      <x:c r="C556" s="31" t="str">
        <x:v>climate</x:v>
      </x:c>
      <x:c r="D556" s="25" t="n">
        <x:v>1850</x:v>
      </x:c>
      <x:c r="E556" s="46" t="n">
        <x:v>4.252536101034821e-9</x:v>
      </x:c>
      <x:c r="F556" s="19" t="str">
        <x:v>eng</x:v>
      </x:c>
      <x:c r="G556" s="19" t="str">
        <x:v>current English corpus (July 2024 dataset; public shorthand eng; mutable current corpus)</x:v>
      </x:c>
      <x:c r="H556" s="19" t="str">
        <x:v>climatic change (All)</x:v>
      </x:c>
      <x:c r="I556" s="19" t="str">
        <x:v>0</x:v>
      </x:c>
      <x:c r="J556" s="19" t="n">
        <x:v>46260.108125</x:v>
      </x:c>
      <x:c r="K556" s="31" t="str">
        <x:v>data/fear-temperature/ngram/raw/0a04941be5651b2bc9de7c1d97a1ec296ca7d83fbf14cbae1d4cb6dce5e31d80.json</x:v>
      </x:c>
      <x:c r="L556" s="19" t="str">
        <x:v>d7902abbc080f4d2003d5f1a590f735baa3506f990d5c6b1c2d156f0cbd926e2</x:v>
      </x:c>
      <x:c r="M556" s="19" t="str">
        <x:v>03c6b3b7aec17c75d6066c3ad33475123246728a6d70514bc6c4b2fac975aa04</x:v>
      </x:c>
      <x:c r="N556" s="31" t="str">
        <x:v>FT-LF-CLIMATIC_CHANGE</x:v>
      </x:c>
      <x:c r="O556" s="31" t="str">
        <x:v>FT-C-HISTORICAL_CLIMATIC_CHANGE</x:v>
      </x:c>
      <x:c r="P556" s="31" t="str">
        <x:v>FT-F04</x:v>
      </x:c>
      <x:c r="Q556" s="49" t="n">
        <x:v>0.004252536101034821</x:v>
      </x:c>
    </x:row>
    <x:row r="557" ht="20" customHeight="1">
      <x:c r="A557" s="40" t="str">
        <x:v>FT-Q-V01-121</x:v>
      </x:c>
      <x:c r="B557" s="19" t="str">
        <x:v>climatic change</x:v>
      </x:c>
      <x:c r="C557" s="31" t="str">
        <x:v>climate</x:v>
      </x:c>
      <x:c r="D557" s="25" t="n">
        <x:v>1851</x:v>
      </x:c>
      <x:c r="E557" s="46" t="n">
        <x:v>7.139453028770503e-9</x:v>
      </x:c>
      <x:c r="F557" s="19" t="str">
        <x:v>eng</x:v>
      </x:c>
      <x:c r="G557" s="19" t="str">
        <x:v>current English corpus (July 2024 dataset; public shorthand eng; mutable current corpus)</x:v>
      </x:c>
      <x:c r="H557" s="19" t="str">
        <x:v>climatic change (All)</x:v>
      </x:c>
      <x:c r="I557" s="19" t="str">
        <x:v>0</x:v>
      </x:c>
      <x:c r="J557" s="19" t="n">
        <x:v>46260.108125</x:v>
      </x:c>
      <x:c r="K557" s="31" t="str">
        <x:v>data/fear-temperature/ngram/raw/0a04941be5651b2bc9de7c1d97a1ec296ca7d83fbf14cbae1d4cb6dce5e31d80.json</x:v>
      </x:c>
      <x:c r="L557" s="19" t="str">
        <x:v>d7902abbc080f4d2003d5f1a590f735baa3506f990d5c6b1c2d156f0cbd926e2</x:v>
      </x:c>
      <x:c r="M557" s="19" t="str">
        <x:v>03c6b3b7aec17c75d6066c3ad33475123246728a6d70514bc6c4b2fac975aa04</x:v>
      </x:c>
      <x:c r="N557" s="31" t="str">
        <x:v>FT-LF-CLIMATIC_CHANGE</x:v>
      </x:c>
      <x:c r="O557" s="31" t="str">
        <x:v>FT-C-HISTORICAL_CLIMATIC_CHANGE</x:v>
      </x:c>
      <x:c r="P557" s="31" t="str">
        <x:v>FT-F04</x:v>
      </x:c>
      <x:c r="Q557" s="49" t="n">
        <x:v>0.007139453028770503</x:v>
      </x:c>
    </x:row>
    <x:row r="558" ht="20" customHeight="1">
      <x:c r="A558" s="40" t="str">
        <x:v>FT-Q-V01-121</x:v>
      </x:c>
      <x:c r="B558" s="19" t="str">
        <x:v>climatic change</x:v>
      </x:c>
      <x:c r="C558" s="31" t="str">
        <x:v>climate</x:v>
      </x:c>
      <x:c r="D558" s="25" t="n">
        <x:v>1852</x:v>
      </x:c>
      <x:c r="E558" s="46" t="n">
        <x:v>8.410080631904291e-9</x:v>
      </x:c>
      <x:c r="F558" s="19" t="str">
        <x:v>eng</x:v>
      </x:c>
      <x:c r="G558" s="19" t="str">
        <x:v>current English corpus (July 2024 dataset; public shorthand eng; mutable current corpus)</x:v>
      </x:c>
      <x:c r="H558" s="19" t="str">
        <x:v>climatic change (All)</x:v>
      </x:c>
      <x:c r="I558" s="19" t="str">
        <x:v>0</x:v>
      </x:c>
      <x:c r="J558" s="19" t="n">
        <x:v>46260.108125</x:v>
      </x:c>
      <x:c r="K558" s="31" t="str">
        <x:v>data/fear-temperature/ngram/raw/0a04941be5651b2bc9de7c1d97a1ec296ca7d83fbf14cbae1d4cb6dce5e31d80.json</x:v>
      </x:c>
      <x:c r="L558" s="19" t="str">
        <x:v>d7902abbc080f4d2003d5f1a590f735baa3506f990d5c6b1c2d156f0cbd926e2</x:v>
      </x:c>
      <x:c r="M558" s="19" t="str">
        <x:v>03c6b3b7aec17c75d6066c3ad33475123246728a6d70514bc6c4b2fac975aa04</x:v>
      </x:c>
      <x:c r="N558" s="31" t="str">
        <x:v>FT-LF-CLIMATIC_CHANGE</x:v>
      </x:c>
      <x:c r="O558" s="31" t="str">
        <x:v>FT-C-HISTORICAL_CLIMATIC_CHANGE</x:v>
      </x:c>
      <x:c r="P558" s="31" t="str">
        <x:v>FT-F04</x:v>
      </x:c>
      <x:c r="Q558" s="49" t="n">
        <x:v>0.008410080631904291</x:v>
      </x:c>
    </x:row>
    <x:row r="559" ht="20" customHeight="1">
      <x:c r="A559" s="40" t="str">
        <x:v>FT-Q-V01-121</x:v>
      </x:c>
      <x:c r="B559" s="19" t="str">
        <x:v>climatic change</x:v>
      </x:c>
      <x:c r="C559" s="31" t="str">
        <x:v>climate</x:v>
      </x:c>
      <x:c r="D559" s="25" t="n">
        <x:v>1853</x:v>
      </x:c>
      <x:c r="E559" s="46" t="n">
        <x:v>1.1798789723016512e-9</x:v>
      </x:c>
      <x:c r="F559" s="19" t="str">
        <x:v>eng</x:v>
      </x:c>
      <x:c r="G559" s="19" t="str">
        <x:v>current English corpus (July 2024 dataset; public shorthand eng; mutable current corpus)</x:v>
      </x:c>
      <x:c r="H559" s="19" t="str">
        <x:v>climatic change (All)</x:v>
      </x:c>
      <x:c r="I559" s="19" t="str">
        <x:v>0</x:v>
      </x:c>
      <x:c r="J559" s="19" t="n">
        <x:v>46260.108125</x:v>
      </x:c>
      <x:c r="K559" s="31" t="str">
        <x:v>data/fear-temperature/ngram/raw/0a04941be5651b2bc9de7c1d97a1ec296ca7d83fbf14cbae1d4cb6dce5e31d80.json</x:v>
      </x:c>
      <x:c r="L559" s="19" t="str">
        <x:v>d7902abbc080f4d2003d5f1a590f735baa3506f990d5c6b1c2d156f0cbd926e2</x:v>
      </x:c>
      <x:c r="M559" s="19" t="str">
        <x:v>03c6b3b7aec17c75d6066c3ad33475123246728a6d70514bc6c4b2fac975aa04</x:v>
      </x:c>
      <x:c r="N559" s="31" t="str">
        <x:v>FT-LF-CLIMATIC_CHANGE</x:v>
      </x:c>
      <x:c r="O559" s="31" t="str">
        <x:v>FT-C-HISTORICAL_CLIMATIC_CHANGE</x:v>
      </x:c>
      <x:c r="P559" s="31" t="str">
        <x:v>FT-F04</x:v>
      </x:c>
      <x:c r="Q559" s="49" t="n">
        <x:v>0.0011798789723016512</x:v>
      </x:c>
    </x:row>
    <x:row r="560" ht="20" customHeight="1">
      <x:c r="A560" s="40" t="str">
        <x:v>FT-Q-V01-121</x:v>
      </x:c>
      <x:c r="B560" s="19" t="str">
        <x:v>climatic change</x:v>
      </x:c>
      <x:c r="C560" s="31" t="str">
        <x:v>climate</x:v>
      </x:c>
      <x:c r="D560" s="25" t="n">
        <x:v>1854</x:v>
      </x:c>
      <x:c r="E560" s="46" t="n">
        <x:v>3.1663385802183086e-9</x:v>
      </x:c>
      <x:c r="F560" s="19" t="str">
        <x:v>eng</x:v>
      </x:c>
      <x:c r="G560" s="19" t="str">
        <x:v>current English corpus (July 2024 dataset; public shorthand eng; mutable current corpus)</x:v>
      </x:c>
      <x:c r="H560" s="19" t="str">
        <x:v>climatic change (All)</x:v>
      </x:c>
      <x:c r="I560" s="19" t="str">
        <x:v>0</x:v>
      </x:c>
      <x:c r="J560" s="19" t="n">
        <x:v>46260.108125</x:v>
      </x:c>
      <x:c r="K560" s="31" t="str">
        <x:v>data/fear-temperature/ngram/raw/0a04941be5651b2bc9de7c1d97a1ec296ca7d83fbf14cbae1d4cb6dce5e31d80.json</x:v>
      </x:c>
      <x:c r="L560" s="19" t="str">
        <x:v>d7902abbc080f4d2003d5f1a590f735baa3506f990d5c6b1c2d156f0cbd926e2</x:v>
      </x:c>
      <x:c r="M560" s="19" t="str">
        <x:v>03c6b3b7aec17c75d6066c3ad33475123246728a6d70514bc6c4b2fac975aa04</x:v>
      </x:c>
      <x:c r="N560" s="31" t="str">
        <x:v>FT-LF-CLIMATIC_CHANGE</x:v>
      </x:c>
      <x:c r="O560" s="31" t="str">
        <x:v>FT-C-HISTORICAL_CLIMATIC_CHANGE</x:v>
      </x:c>
      <x:c r="P560" s="31" t="str">
        <x:v>FT-F04</x:v>
      </x:c>
      <x:c r="Q560" s="49" t="n">
        <x:v>0.0031663385802183086</x:v>
      </x:c>
    </x:row>
    <x:row r="561" ht="20" customHeight="1">
      <x:c r="A561" s="40" t="str">
        <x:v>FT-Q-V01-121</x:v>
      </x:c>
      <x:c r="B561" s="19" t="str">
        <x:v>climatic change</x:v>
      </x:c>
      <x:c r="C561" s="31" t="str">
        <x:v>climate</x:v>
      </x:c>
      <x:c r="D561" s="25" t="n">
        <x:v>1855</x:v>
      </x:c>
      <x:c r="E561" s="46" t="n">
        <x:v>3.6436553774166214e-9</x:v>
      </x:c>
      <x:c r="F561" s="19" t="str">
        <x:v>eng</x:v>
      </x:c>
      <x:c r="G561" s="19" t="str">
        <x:v>current English corpus (July 2024 dataset; public shorthand eng; mutable current corpus)</x:v>
      </x:c>
      <x:c r="H561" s="19" t="str">
        <x:v>climatic change (All)</x:v>
      </x:c>
      <x:c r="I561" s="19" t="str">
        <x:v>0</x:v>
      </x:c>
      <x:c r="J561" s="19" t="n">
        <x:v>46260.108125</x:v>
      </x:c>
      <x:c r="K561" s="31" t="str">
        <x:v>data/fear-temperature/ngram/raw/0a04941be5651b2bc9de7c1d97a1ec296ca7d83fbf14cbae1d4cb6dce5e31d80.json</x:v>
      </x:c>
      <x:c r="L561" s="19" t="str">
        <x:v>d7902abbc080f4d2003d5f1a590f735baa3506f990d5c6b1c2d156f0cbd926e2</x:v>
      </x:c>
      <x:c r="M561" s="19" t="str">
        <x:v>03c6b3b7aec17c75d6066c3ad33475123246728a6d70514bc6c4b2fac975aa04</x:v>
      </x:c>
      <x:c r="N561" s="31" t="str">
        <x:v>FT-LF-CLIMATIC_CHANGE</x:v>
      </x:c>
      <x:c r="O561" s="31" t="str">
        <x:v>FT-C-HISTORICAL_CLIMATIC_CHANGE</x:v>
      </x:c>
      <x:c r="P561" s="31" t="str">
        <x:v>FT-F04</x:v>
      </x:c>
      <x:c r="Q561" s="49" t="n">
        <x:v>0.0036436553774166214</x:v>
      </x:c>
    </x:row>
    <x:row r="562" ht="20" customHeight="1">
      <x:c r="A562" s="40" t="str">
        <x:v>FT-Q-V01-121</x:v>
      </x:c>
      <x:c r="B562" s="19" t="str">
        <x:v>climatic change</x:v>
      </x:c>
      <x:c r="C562" s="31" t="str">
        <x:v>climate</x:v>
      </x:c>
      <x:c r="D562" s="25" t="n">
        <x:v>1856</x:v>
      </x:c>
      <x:c r="E562" s="46" t="n">
        <x:v>6.150763454115803e-9</x:v>
      </x:c>
      <x:c r="F562" s="19" t="str">
        <x:v>eng</x:v>
      </x:c>
      <x:c r="G562" s="19" t="str">
        <x:v>current English corpus (July 2024 dataset; public shorthand eng; mutable current corpus)</x:v>
      </x:c>
      <x:c r="H562" s="19" t="str">
        <x:v>climatic change (All)</x:v>
      </x:c>
      <x:c r="I562" s="19" t="str">
        <x:v>0</x:v>
      </x:c>
      <x:c r="J562" s="19" t="n">
        <x:v>46260.108125</x:v>
      </x:c>
      <x:c r="K562" s="31" t="str">
        <x:v>data/fear-temperature/ngram/raw/0a04941be5651b2bc9de7c1d97a1ec296ca7d83fbf14cbae1d4cb6dce5e31d80.json</x:v>
      </x:c>
      <x:c r="L562" s="19" t="str">
        <x:v>d7902abbc080f4d2003d5f1a590f735baa3506f990d5c6b1c2d156f0cbd926e2</x:v>
      </x:c>
      <x:c r="M562" s="19" t="str">
        <x:v>03c6b3b7aec17c75d6066c3ad33475123246728a6d70514bc6c4b2fac975aa04</x:v>
      </x:c>
      <x:c r="N562" s="31" t="str">
        <x:v>FT-LF-CLIMATIC_CHANGE</x:v>
      </x:c>
      <x:c r="O562" s="31" t="str">
        <x:v>FT-C-HISTORICAL_CLIMATIC_CHANGE</x:v>
      </x:c>
      <x:c r="P562" s="31" t="str">
        <x:v>FT-F04</x:v>
      </x:c>
      <x:c r="Q562" s="49" t="n">
        <x:v>0.006150763454115803</x:v>
      </x:c>
    </x:row>
    <x:row r="563" ht="20" customHeight="1">
      <x:c r="A563" s="40" t="str">
        <x:v>FT-Q-V01-121</x:v>
      </x:c>
      <x:c r="B563" s="19" t="str">
        <x:v>climatic change</x:v>
      </x:c>
      <x:c r="C563" s="31" t="str">
        <x:v>climate</x:v>
      </x:c>
      <x:c r="D563" s="25" t="n">
        <x:v>1857</x:v>
      </x:c>
      <x:c r="E563" s="46" t="n">
        <x:v>1.2637207447152576e-8</x:v>
      </x:c>
      <x:c r="F563" s="19" t="str">
        <x:v>eng</x:v>
      </x:c>
      <x:c r="G563" s="19" t="str">
        <x:v>current English corpus (July 2024 dataset; public shorthand eng; mutable current corpus)</x:v>
      </x:c>
      <x:c r="H563" s="19" t="str">
        <x:v>climatic change (All)</x:v>
      </x:c>
      <x:c r="I563" s="19" t="str">
        <x:v>0</x:v>
      </x:c>
      <x:c r="J563" s="19" t="n">
        <x:v>46260.108125</x:v>
      </x:c>
      <x:c r="K563" s="31" t="str">
        <x:v>data/fear-temperature/ngram/raw/0a04941be5651b2bc9de7c1d97a1ec296ca7d83fbf14cbae1d4cb6dce5e31d80.json</x:v>
      </x:c>
      <x:c r="L563" s="19" t="str">
        <x:v>d7902abbc080f4d2003d5f1a590f735baa3506f990d5c6b1c2d156f0cbd926e2</x:v>
      </x:c>
      <x:c r="M563" s="19" t="str">
        <x:v>03c6b3b7aec17c75d6066c3ad33475123246728a6d70514bc6c4b2fac975aa04</x:v>
      </x:c>
      <x:c r="N563" s="31" t="str">
        <x:v>FT-LF-CLIMATIC_CHANGE</x:v>
      </x:c>
      <x:c r="O563" s="31" t="str">
        <x:v>FT-C-HISTORICAL_CLIMATIC_CHANGE</x:v>
      </x:c>
      <x:c r="P563" s="31" t="str">
        <x:v>FT-F04</x:v>
      </x:c>
      <x:c r="Q563" s="49" t="n">
        <x:v>0.012637207447152576</x:v>
      </x:c>
    </x:row>
    <x:row r="564" ht="20" customHeight="1">
      <x:c r="A564" s="40" t="str">
        <x:v>FT-Q-V01-121</x:v>
      </x:c>
      <x:c r="B564" s="19" t="str">
        <x:v>climatic change</x:v>
      </x:c>
      <x:c r="C564" s="31" t="str">
        <x:v>climate</x:v>
      </x:c>
      <x:c r="D564" s="25" t="n">
        <x:v>1858</x:v>
      </x:c>
      <x:c r="E564" s="46" t="n">
        <x:v>5.47023315533579e-9</x:v>
      </x:c>
      <x:c r="F564" s="19" t="str">
        <x:v>eng</x:v>
      </x:c>
      <x:c r="G564" s="19" t="str">
        <x:v>current English corpus (July 2024 dataset; public shorthand eng; mutable current corpus)</x:v>
      </x:c>
      <x:c r="H564" s="19" t="str">
        <x:v>climatic change (All)</x:v>
      </x:c>
      <x:c r="I564" s="19" t="str">
        <x:v>0</x:v>
      </x:c>
      <x:c r="J564" s="19" t="n">
        <x:v>46260.108125</x:v>
      </x:c>
      <x:c r="K564" s="31" t="str">
        <x:v>data/fear-temperature/ngram/raw/0a04941be5651b2bc9de7c1d97a1ec296ca7d83fbf14cbae1d4cb6dce5e31d80.json</x:v>
      </x:c>
      <x:c r="L564" s="19" t="str">
        <x:v>d7902abbc080f4d2003d5f1a590f735baa3506f990d5c6b1c2d156f0cbd926e2</x:v>
      </x:c>
      <x:c r="M564" s="19" t="str">
        <x:v>03c6b3b7aec17c75d6066c3ad33475123246728a6d70514bc6c4b2fac975aa04</x:v>
      </x:c>
      <x:c r="N564" s="31" t="str">
        <x:v>FT-LF-CLIMATIC_CHANGE</x:v>
      </x:c>
      <x:c r="O564" s="31" t="str">
        <x:v>FT-C-HISTORICAL_CLIMATIC_CHANGE</x:v>
      </x:c>
      <x:c r="P564" s="31" t="str">
        <x:v>FT-F04</x:v>
      </x:c>
      <x:c r="Q564" s="49" t="n">
        <x:v>0.00547023315533579</x:v>
      </x:c>
    </x:row>
    <x:row r="565" ht="20" customHeight="1">
      <x:c r="A565" s="40" t="str">
        <x:v>FT-Q-V01-121</x:v>
      </x:c>
      <x:c r="B565" s="19" t="str">
        <x:v>climatic change</x:v>
      </x:c>
      <x:c r="C565" s="31" t="str">
        <x:v>climate</x:v>
      </x:c>
      <x:c r="D565" s="25" t="n">
        <x:v>1859</x:v>
      </x:c>
      <x:c r="E565" s="46" t="n">
        <x:v>2.8077833391648706e-9</x:v>
      </x:c>
      <x:c r="F565" s="19" t="str">
        <x:v>eng</x:v>
      </x:c>
      <x:c r="G565" s="19" t="str">
        <x:v>current English corpus (July 2024 dataset; public shorthand eng; mutable current corpus)</x:v>
      </x:c>
      <x:c r="H565" s="19" t="str">
        <x:v>climatic change (All)</x:v>
      </x:c>
      <x:c r="I565" s="19" t="str">
        <x:v>0</x:v>
      </x:c>
      <x:c r="J565" s="19" t="n">
        <x:v>46260.108125</x:v>
      </x:c>
      <x:c r="K565" s="31" t="str">
        <x:v>data/fear-temperature/ngram/raw/0a04941be5651b2bc9de7c1d97a1ec296ca7d83fbf14cbae1d4cb6dce5e31d80.json</x:v>
      </x:c>
      <x:c r="L565" s="19" t="str">
        <x:v>d7902abbc080f4d2003d5f1a590f735baa3506f990d5c6b1c2d156f0cbd926e2</x:v>
      </x:c>
      <x:c r="M565" s="19" t="str">
        <x:v>03c6b3b7aec17c75d6066c3ad33475123246728a6d70514bc6c4b2fac975aa04</x:v>
      </x:c>
      <x:c r="N565" s="31" t="str">
        <x:v>FT-LF-CLIMATIC_CHANGE</x:v>
      </x:c>
      <x:c r="O565" s="31" t="str">
        <x:v>FT-C-HISTORICAL_CLIMATIC_CHANGE</x:v>
      </x:c>
      <x:c r="P565" s="31" t="str">
        <x:v>FT-F04</x:v>
      </x:c>
      <x:c r="Q565" s="49" t="n">
        <x:v>0.0028077833391648706</x:v>
      </x:c>
    </x:row>
    <x:row r="566" ht="20" customHeight="1">
      <x:c r="A566" s="40" t="str">
        <x:v>FT-Q-V01-121</x:v>
      </x:c>
      <x:c r="B566" s="19" t="str">
        <x:v>climatic change</x:v>
      </x:c>
      <x:c r="C566" s="31" t="str">
        <x:v>climate</x:v>
      </x:c>
      <x:c r="D566" s="25" t="n">
        <x:v>1860</x:v>
      </x:c>
      <x:c r="E566" s="46" t="n">
        <x:v>4.954507470955605e-9</x:v>
      </x:c>
      <x:c r="F566" s="19" t="str">
        <x:v>eng</x:v>
      </x:c>
      <x:c r="G566" s="19" t="str">
        <x:v>current English corpus (July 2024 dataset; public shorthand eng; mutable current corpus)</x:v>
      </x:c>
      <x:c r="H566" s="19" t="str">
        <x:v>climatic change (All)</x:v>
      </x:c>
      <x:c r="I566" s="19" t="str">
        <x:v>0</x:v>
      </x:c>
      <x:c r="J566" s="19" t="n">
        <x:v>46260.108125</x:v>
      </x:c>
      <x:c r="K566" s="31" t="str">
        <x:v>data/fear-temperature/ngram/raw/0a04941be5651b2bc9de7c1d97a1ec296ca7d83fbf14cbae1d4cb6dce5e31d80.json</x:v>
      </x:c>
      <x:c r="L566" s="19" t="str">
        <x:v>d7902abbc080f4d2003d5f1a590f735baa3506f990d5c6b1c2d156f0cbd926e2</x:v>
      </x:c>
      <x:c r="M566" s="19" t="str">
        <x:v>03c6b3b7aec17c75d6066c3ad33475123246728a6d70514bc6c4b2fac975aa04</x:v>
      </x:c>
      <x:c r="N566" s="31" t="str">
        <x:v>FT-LF-CLIMATIC_CHANGE</x:v>
      </x:c>
      <x:c r="O566" s="31" t="str">
        <x:v>FT-C-HISTORICAL_CLIMATIC_CHANGE</x:v>
      </x:c>
      <x:c r="P566" s="31" t="str">
        <x:v>FT-F04</x:v>
      </x:c>
      <x:c r="Q566" s="49" t="n">
        <x:v>0.004954507470955605</x:v>
      </x:c>
    </x:row>
    <x:row r="567" ht="20" customHeight="1">
      <x:c r="A567" s="40" t="str">
        <x:v>FT-Q-V01-121</x:v>
      </x:c>
      <x:c r="B567" s="19" t="str">
        <x:v>climatic change</x:v>
      </x:c>
      <x:c r="C567" s="31" t="str">
        <x:v>climate</x:v>
      </x:c>
      <x:c r="D567" s="25" t="n">
        <x:v>1861</x:v>
      </x:c>
      <x:c r="E567" s="46" t="n">
        <x:v>1.111105560336334e-8</x:v>
      </x:c>
      <x:c r="F567" s="19" t="str">
        <x:v>eng</x:v>
      </x:c>
      <x:c r="G567" s="19" t="str">
        <x:v>current English corpus (July 2024 dataset; public shorthand eng; mutable current corpus)</x:v>
      </x:c>
      <x:c r="H567" s="19" t="str">
        <x:v>climatic change (All)</x:v>
      </x:c>
      <x:c r="I567" s="19" t="str">
        <x:v>0</x:v>
      </x:c>
      <x:c r="J567" s="19" t="n">
        <x:v>46260.108125</x:v>
      </x:c>
      <x:c r="K567" s="31" t="str">
        <x:v>data/fear-temperature/ngram/raw/0a04941be5651b2bc9de7c1d97a1ec296ca7d83fbf14cbae1d4cb6dce5e31d80.json</x:v>
      </x:c>
      <x:c r="L567" s="19" t="str">
        <x:v>d7902abbc080f4d2003d5f1a590f735baa3506f990d5c6b1c2d156f0cbd926e2</x:v>
      </x:c>
      <x:c r="M567" s="19" t="str">
        <x:v>03c6b3b7aec17c75d6066c3ad33475123246728a6d70514bc6c4b2fac975aa04</x:v>
      </x:c>
      <x:c r="N567" s="31" t="str">
        <x:v>FT-LF-CLIMATIC_CHANGE</x:v>
      </x:c>
      <x:c r="O567" s="31" t="str">
        <x:v>FT-C-HISTORICAL_CLIMATIC_CHANGE</x:v>
      </x:c>
      <x:c r="P567" s="31" t="str">
        <x:v>FT-F04</x:v>
      </x:c>
      <x:c r="Q567" s="49" t="n">
        <x:v>0.01111105560336334</x:v>
      </x:c>
    </x:row>
    <x:row r="568" ht="20" customHeight="1">
      <x:c r="A568" s="40" t="str">
        <x:v>FT-Q-V01-121</x:v>
      </x:c>
      <x:c r="B568" s="19" t="str">
        <x:v>climatic change</x:v>
      </x:c>
      <x:c r="C568" s="31" t="str">
        <x:v>climate</x:v>
      </x:c>
      <x:c r="D568" s="25" t="n">
        <x:v>1862</x:v>
      </x:c>
      <x:c r="E568" s="46" t="n">
        <x:v>7.61297425100338e-9</x:v>
      </x:c>
      <x:c r="F568" s="19" t="str">
        <x:v>eng</x:v>
      </x:c>
      <x:c r="G568" s="19" t="str">
        <x:v>current English corpus (July 2024 dataset; public shorthand eng; mutable current corpus)</x:v>
      </x:c>
      <x:c r="H568" s="19" t="str">
        <x:v>climatic change (All)</x:v>
      </x:c>
      <x:c r="I568" s="19" t="str">
        <x:v>0</x:v>
      </x:c>
      <x:c r="J568" s="19" t="n">
        <x:v>46260.108125</x:v>
      </x:c>
      <x:c r="K568" s="31" t="str">
        <x:v>data/fear-temperature/ngram/raw/0a04941be5651b2bc9de7c1d97a1ec296ca7d83fbf14cbae1d4cb6dce5e31d80.json</x:v>
      </x:c>
      <x:c r="L568" s="19" t="str">
        <x:v>d7902abbc080f4d2003d5f1a590f735baa3506f990d5c6b1c2d156f0cbd926e2</x:v>
      </x:c>
      <x:c r="M568" s="19" t="str">
        <x:v>03c6b3b7aec17c75d6066c3ad33475123246728a6d70514bc6c4b2fac975aa04</x:v>
      </x:c>
      <x:c r="N568" s="31" t="str">
        <x:v>FT-LF-CLIMATIC_CHANGE</x:v>
      </x:c>
      <x:c r="O568" s="31" t="str">
        <x:v>FT-C-HISTORICAL_CLIMATIC_CHANGE</x:v>
      </x:c>
      <x:c r="P568" s="31" t="str">
        <x:v>FT-F04</x:v>
      </x:c>
      <x:c r="Q568" s="49" t="n">
        <x:v>0.007612974251003379</x:v>
      </x:c>
    </x:row>
    <x:row r="569" ht="20" customHeight="1">
      <x:c r="A569" s="40" t="str">
        <x:v>FT-Q-V01-121</x:v>
      </x:c>
      <x:c r="B569" s="19" t="str">
        <x:v>climatic change</x:v>
      </x:c>
      <x:c r="C569" s="31" t="str">
        <x:v>climate</x:v>
      </x:c>
      <x:c r="D569" s="25" t="n">
        <x:v>1863</x:v>
      </x:c>
      <x:c r="E569" s="46" t="n">
        <x:v>1.1227273333247469e-8</x:v>
      </x:c>
      <x:c r="F569" s="19" t="str">
        <x:v>eng</x:v>
      </x:c>
      <x:c r="G569" s="19" t="str">
        <x:v>current English corpus (July 2024 dataset; public shorthand eng; mutable current corpus)</x:v>
      </x:c>
      <x:c r="H569" s="19" t="str">
        <x:v>climatic change (All)</x:v>
      </x:c>
      <x:c r="I569" s="19" t="str">
        <x:v>0</x:v>
      </x:c>
      <x:c r="J569" s="19" t="n">
        <x:v>46260.108125</x:v>
      </x:c>
      <x:c r="K569" s="31" t="str">
        <x:v>data/fear-temperature/ngram/raw/0a04941be5651b2bc9de7c1d97a1ec296ca7d83fbf14cbae1d4cb6dce5e31d80.json</x:v>
      </x:c>
      <x:c r="L569" s="19" t="str">
        <x:v>d7902abbc080f4d2003d5f1a590f735baa3506f990d5c6b1c2d156f0cbd926e2</x:v>
      </x:c>
      <x:c r="M569" s="19" t="str">
        <x:v>03c6b3b7aec17c75d6066c3ad33475123246728a6d70514bc6c4b2fac975aa04</x:v>
      </x:c>
      <x:c r="N569" s="31" t="str">
        <x:v>FT-LF-CLIMATIC_CHANGE</x:v>
      </x:c>
      <x:c r="O569" s="31" t="str">
        <x:v>FT-C-HISTORICAL_CLIMATIC_CHANGE</x:v>
      </x:c>
      <x:c r="P569" s="31" t="str">
        <x:v>FT-F04</x:v>
      </x:c>
      <x:c r="Q569" s="49" t="n">
        <x:v>0.011227273333247469</x:v>
      </x:c>
    </x:row>
    <x:row r="570" ht="20" customHeight="1">
      <x:c r="A570" s="40" t="str">
        <x:v>FT-Q-V01-121</x:v>
      </x:c>
      <x:c r="B570" s="19" t="str">
        <x:v>climatic change</x:v>
      </x:c>
      <x:c r="C570" s="31" t="str">
        <x:v>climate</x:v>
      </x:c>
      <x:c r="D570" s="25" t="n">
        <x:v>1864</x:v>
      </x:c>
      <x:c r="E570" s="46" t="n">
        <x:v>5.86581849759682e-9</x:v>
      </x:c>
      <x:c r="F570" s="19" t="str">
        <x:v>eng</x:v>
      </x:c>
      <x:c r="G570" s="19" t="str">
        <x:v>current English corpus (July 2024 dataset; public shorthand eng; mutable current corpus)</x:v>
      </x:c>
      <x:c r="H570" s="19" t="str">
        <x:v>climatic change (All)</x:v>
      </x:c>
      <x:c r="I570" s="19" t="str">
        <x:v>0</x:v>
      </x:c>
      <x:c r="J570" s="19" t="n">
        <x:v>46260.108125</x:v>
      </x:c>
      <x:c r="K570" s="31" t="str">
        <x:v>data/fear-temperature/ngram/raw/0a04941be5651b2bc9de7c1d97a1ec296ca7d83fbf14cbae1d4cb6dce5e31d80.json</x:v>
      </x:c>
      <x:c r="L570" s="19" t="str">
        <x:v>d7902abbc080f4d2003d5f1a590f735baa3506f990d5c6b1c2d156f0cbd926e2</x:v>
      </x:c>
      <x:c r="M570" s="19" t="str">
        <x:v>03c6b3b7aec17c75d6066c3ad33475123246728a6d70514bc6c4b2fac975aa04</x:v>
      </x:c>
      <x:c r="N570" s="31" t="str">
        <x:v>FT-LF-CLIMATIC_CHANGE</x:v>
      </x:c>
      <x:c r="O570" s="31" t="str">
        <x:v>FT-C-HISTORICAL_CLIMATIC_CHANGE</x:v>
      </x:c>
      <x:c r="P570" s="31" t="str">
        <x:v>FT-F04</x:v>
      </x:c>
      <x:c r="Q570" s="49" t="n">
        <x:v>0.00586581849759682</x:v>
      </x:c>
    </x:row>
    <x:row r="571" ht="20" customHeight="1">
      <x:c r="A571" s="40" t="str">
        <x:v>FT-Q-V01-121</x:v>
      </x:c>
      <x:c r="B571" s="19" t="str">
        <x:v>climatic change</x:v>
      </x:c>
      <x:c r="C571" s="31" t="str">
        <x:v>climate</x:v>
      </x:c>
      <x:c r="D571" s="25" t="n">
        <x:v>1865</x:v>
      </x:c>
      <x:c r="E571" s="46" t="n">
        <x:v>4.234892436727478e-9</x:v>
      </x:c>
      <x:c r="F571" s="19" t="str">
        <x:v>eng</x:v>
      </x:c>
      <x:c r="G571" s="19" t="str">
        <x:v>current English corpus (July 2024 dataset; public shorthand eng; mutable current corpus)</x:v>
      </x:c>
      <x:c r="H571" s="19" t="str">
        <x:v>climatic change (All)</x:v>
      </x:c>
      <x:c r="I571" s="19" t="str">
        <x:v>0</x:v>
      </x:c>
      <x:c r="J571" s="19" t="n">
        <x:v>46260.108125</x:v>
      </x:c>
      <x:c r="K571" s="31" t="str">
        <x:v>data/fear-temperature/ngram/raw/0a04941be5651b2bc9de7c1d97a1ec296ca7d83fbf14cbae1d4cb6dce5e31d80.json</x:v>
      </x:c>
      <x:c r="L571" s="19" t="str">
        <x:v>d7902abbc080f4d2003d5f1a590f735baa3506f990d5c6b1c2d156f0cbd926e2</x:v>
      </x:c>
      <x:c r="M571" s="19" t="str">
        <x:v>03c6b3b7aec17c75d6066c3ad33475123246728a6d70514bc6c4b2fac975aa04</x:v>
      </x:c>
      <x:c r="N571" s="31" t="str">
        <x:v>FT-LF-CLIMATIC_CHANGE</x:v>
      </x:c>
      <x:c r="O571" s="31" t="str">
        <x:v>FT-C-HISTORICAL_CLIMATIC_CHANGE</x:v>
      </x:c>
      <x:c r="P571" s="31" t="str">
        <x:v>FT-F04</x:v>
      </x:c>
      <x:c r="Q571" s="49" t="n">
        <x:v>0.004234892436727478</x:v>
      </x:c>
    </x:row>
    <x:row r="572" ht="20" customHeight="1">
      <x:c r="A572" s="40" t="str">
        <x:v>FT-Q-V01-121</x:v>
      </x:c>
      <x:c r="B572" s="19" t="str">
        <x:v>climatic change</x:v>
      </x:c>
      <x:c r="C572" s="31" t="str">
        <x:v>climate</x:v>
      </x:c>
      <x:c r="D572" s="25" t="n">
        <x:v>1866</x:v>
      </x:c>
      <x:c r="E572" s="46" t="n">
        <x:v>4.480607440626727e-9</x:v>
      </x:c>
      <x:c r="F572" s="19" t="str">
        <x:v>eng</x:v>
      </x:c>
      <x:c r="G572" s="19" t="str">
        <x:v>current English corpus (July 2024 dataset; public shorthand eng; mutable current corpus)</x:v>
      </x:c>
      <x:c r="H572" s="19" t="str">
        <x:v>climatic change (All)</x:v>
      </x:c>
      <x:c r="I572" s="19" t="str">
        <x:v>0</x:v>
      </x:c>
      <x:c r="J572" s="19" t="n">
        <x:v>46260.108125</x:v>
      </x:c>
      <x:c r="K572" s="31" t="str">
        <x:v>data/fear-temperature/ngram/raw/0a04941be5651b2bc9de7c1d97a1ec296ca7d83fbf14cbae1d4cb6dce5e31d80.json</x:v>
      </x:c>
      <x:c r="L572" s="19" t="str">
        <x:v>d7902abbc080f4d2003d5f1a590f735baa3506f990d5c6b1c2d156f0cbd926e2</x:v>
      </x:c>
      <x:c r="M572" s="19" t="str">
        <x:v>03c6b3b7aec17c75d6066c3ad33475123246728a6d70514bc6c4b2fac975aa04</x:v>
      </x:c>
      <x:c r="N572" s="31" t="str">
        <x:v>FT-LF-CLIMATIC_CHANGE</x:v>
      </x:c>
      <x:c r="O572" s="31" t="str">
        <x:v>FT-C-HISTORICAL_CLIMATIC_CHANGE</x:v>
      </x:c>
      <x:c r="P572" s="31" t="str">
        <x:v>FT-F04</x:v>
      </x:c>
      <x:c r="Q572" s="49" t="n">
        <x:v>0.004480607440626727</x:v>
      </x:c>
    </x:row>
    <x:row r="573" ht="20" customHeight="1">
      <x:c r="A573" s="40" t="str">
        <x:v>FT-Q-V01-121</x:v>
      </x:c>
      <x:c r="B573" s="19" t="str">
        <x:v>climatic change</x:v>
      </x:c>
      <x:c r="C573" s="31" t="str">
        <x:v>climate</x:v>
      </x:c>
      <x:c r="D573" s="25" t="n">
        <x:v>1867</x:v>
      </x:c>
      <x:c r="E573" s="46" t="n">
        <x:v>7.129793838656084e-9</x:v>
      </x:c>
      <x:c r="F573" s="19" t="str">
        <x:v>eng</x:v>
      </x:c>
      <x:c r="G573" s="19" t="str">
        <x:v>current English corpus (July 2024 dataset; public shorthand eng; mutable current corpus)</x:v>
      </x:c>
      <x:c r="H573" s="19" t="str">
        <x:v>climatic change (All)</x:v>
      </x:c>
      <x:c r="I573" s="19" t="str">
        <x:v>0</x:v>
      </x:c>
      <x:c r="J573" s="19" t="n">
        <x:v>46260.108125</x:v>
      </x:c>
      <x:c r="K573" s="31" t="str">
        <x:v>data/fear-temperature/ngram/raw/0a04941be5651b2bc9de7c1d97a1ec296ca7d83fbf14cbae1d4cb6dce5e31d80.json</x:v>
      </x:c>
      <x:c r="L573" s="19" t="str">
        <x:v>d7902abbc080f4d2003d5f1a590f735baa3506f990d5c6b1c2d156f0cbd926e2</x:v>
      </x:c>
      <x:c r="M573" s="19" t="str">
        <x:v>03c6b3b7aec17c75d6066c3ad33475123246728a6d70514bc6c4b2fac975aa04</x:v>
      </x:c>
      <x:c r="N573" s="31" t="str">
        <x:v>FT-LF-CLIMATIC_CHANGE</x:v>
      </x:c>
      <x:c r="O573" s="31" t="str">
        <x:v>FT-C-HISTORICAL_CLIMATIC_CHANGE</x:v>
      </x:c>
      <x:c r="P573" s="31" t="str">
        <x:v>FT-F04</x:v>
      </x:c>
      <x:c r="Q573" s="49" t="n">
        <x:v>0.007129793838656084</x:v>
      </x:c>
    </x:row>
    <x:row r="574" ht="20" customHeight="1">
      <x:c r="A574" s="40" t="str">
        <x:v>FT-Q-V01-121</x:v>
      </x:c>
      <x:c r="B574" s="19" t="str">
        <x:v>climatic change</x:v>
      </x:c>
      <x:c r="C574" s="31" t="str">
        <x:v>climate</x:v>
      </x:c>
      <x:c r="D574" s="25" t="n">
        <x:v>1868</x:v>
      </x:c>
      <x:c r="E574" s="46" t="n">
        <x:v>1.7677734054366567e-8</x:v>
      </x:c>
      <x:c r="F574" s="19" t="str">
        <x:v>eng</x:v>
      </x:c>
      <x:c r="G574" s="19" t="str">
        <x:v>current English corpus (July 2024 dataset; public shorthand eng; mutable current corpus)</x:v>
      </x:c>
      <x:c r="H574" s="19" t="str">
        <x:v>climatic change (All)</x:v>
      </x:c>
      <x:c r="I574" s="19" t="str">
        <x:v>0</x:v>
      </x:c>
      <x:c r="J574" s="19" t="n">
        <x:v>46260.108125</x:v>
      </x:c>
      <x:c r="K574" s="31" t="str">
        <x:v>data/fear-temperature/ngram/raw/0a04941be5651b2bc9de7c1d97a1ec296ca7d83fbf14cbae1d4cb6dce5e31d80.json</x:v>
      </x:c>
      <x:c r="L574" s="19" t="str">
        <x:v>d7902abbc080f4d2003d5f1a590f735baa3506f990d5c6b1c2d156f0cbd926e2</x:v>
      </x:c>
      <x:c r="M574" s="19" t="str">
        <x:v>03c6b3b7aec17c75d6066c3ad33475123246728a6d70514bc6c4b2fac975aa04</x:v>
      </x:c>
      <x:c r="N574" s="31" t="str">
        <x:v>FT-LF-CLIMATIC_CHANGE</x:v>
      </x:c>
      <x:c r="O574" s="31" t="str">
        <x:v>FT-C-HISTORICAL_CLIMATIC_CHANGE</x:v>
      </x:c>
      <x:c r="P574" s="31" t="str">
        <x:v>FT-F04</x:v>
      </x:c>
      <x:c r="Q574" s="49" t="n">
        <x:v>0.017677734054366567</x:v>
      </x:c>
    </x:row>
    <x:row r="575" ht="20" customHeight="1">
      <x:c r="A575" s="40" t="str">
        <x:v>FT-Q-V01-121</x:v>
      </x:c>
      <x:c r="B575" s="19" t="str">
        <x:v>climatic change</x:v>
      </x:c>
      <x:c r="C575" s="31" t="str">
        <x:v>climate</x:v>
      </x:c>
      <x:c r="D575" s="25" t="n">
        <x:v>1869</x:v>
      </x:c>
      <x:c r="E575" s="46" t="n">
        <x:v>4.821064436555389e-8</x:v>
      </x:c>
      <x:c r="F575" s="19" t="str">
        <x:v>eng</x:v>
      </x:c>
      <x:c r="G575" s="19" t="str">
        <x:v>current English corpus (July 2024 dataset; public shorthand eng; mutable current corpus)</x:v>
      </x:c>
      <x:c r="H575" s="19" t="str">
        <x:v>climatic change (All)</x:v>
      </x:c>
      <x:c r="I575" s="19" t="str">
        <x:v>0</x:v>
      </x:c>
      <x:c r="J575" s="19" t="n">
        <x:v>46260.108125</x:v>
      </x:c>
      <x:c r="K575" s="31" t="str">
        <x:v>data/fear-temperature/ngram/raw/0a04941be5651b2bc9de7c1d97a1ec296ca7d83fbf14cbae1d4cb6dce5e31d80.json</x:v>
      </x:c>
      <x:c r="L575" s="19" t="str">
        <x:v>d7902abbc080f4d2003d5f1a590f735baa3506f990d5c6b1c2d156f0cbd926e2</x:v>
      </x:c>
      <x:c r="M575" s="19" t="str">
        <x:v>03c6b3b7aec17c75d6066c3ad33475123246728a6d70514bc6c4b2fac975aa04</x:v>
      </x:c>
      <x:c r="N575" s="31" t="str">
        <x:v>FT-LF-CLIMATIC_CHANGE</x:v>
      </x:c>
      <x:c r="O575" s="31" t="str">
        <x:v>FT-C-HISTORICAL_CLIMATIC_CHANGE</x:v>
      </x:c>
      <x:c r="P575" s="31" t="str">
        <x:v>FT-F04</x:v>
      </x:c>
      <x:c r="Q575" s="49" t="n">
        <x:v>0.04821064436555389</x:v>
      </x:c>
    </x:row>
    <x:row r="576" ht="20" customHeight="1">
      <x:c r="A576" s="40" t="str">
        <x:v>FT-Q-V01-121</x:v>
      </x:c>
      <x:c r="B576" s="19" t="str">
        <x:v>climatic change</x:v>
      </x:c>
      <x:c r="C576" s="31" t="str">
        <x:v>climate</x:v>
      </x:c>
      <x:c r="D576" s="25" t="n">
        <x:v>1870</x:v>
      </x:c>
      <x:c r="E576" s="46" t="n">
        <x:v>1.5220128879445127e-8</x:v>
      </x:c>
      <x:c r="F576" s="19" t="str">
        <x:v>eng</x:v>
      </x:c>
      <x:c r="G576" s="19" t="str">
        <x:v>current English corpus (July 2024 dataset; public shorthand eng; mutable current corpus)</x:v>
      </x:c>
      <x:c r="H576" s="19" t="str">
        <x:v>climatic change (All)</x:v>
      </x:c>
      <x:c r="I576" s="19" t="str">
        <x:v>0</x:v>
      </x:c>
      <x:c r="J576" s="19" t="n">
        <x:v>46260.108125</x:v>
      </x:c>
      <x:c r="K576" s="31" t="str">
        <x:v>data/fear-temperature/ngram/raw/0a04941be5651b2bc9de7c1d97a1ec296ca7d83fbf14cbae1d4cb6dce5e31d80.json</x:v>
      </x:c>
      <x:c r="L576" s="19" t="str">
        <x:v>d7902abbc080f4d2003d5f1a590f735baa3506f990d5c6b1c2d156f0cbd926e2</x:v>
      </x:c>
      <x:c r="M576" s="19" t="str">
        <x:v>03c6b3b7aec17c75d6066c3ad33475123246728a6d70514bc6c4b2fac975aa04</x:v>
      </x:c>
      <x:c r="N576" s="31" t="str">
        <x:v>FT-LF-CLIMATIC_CHANGE</x:v>
      </x:c>
      <x:c r="O576" s="31" t="str">
        <x:v>FT-C-HISTORICAL_CLIMATIC_CHANGE</x:v>
      </x:c>
      <x:c r="P576" s="31" t="str">
        <x:v>FT-F04</x:v>
      </x:c>
      <x:c r="Q576" s="49" t="n">
        <x:v>0.015220128879445127</x:v>
      </x:c>
    </x:row>
    <x:row r="577" ht="20" customHeight="1">
      <x:c r="A577" s="40" t="str">
        <x:v>FT-Q-V01-121</x:v>
      </x:c>
      <x:c r="B577" s="19" t="str">
        <x:v>climatic change</x:v>
      </x:c>
      <x:c r="C577" s="31" t="str">
        <x:v>climate</x:v>
      </x:c>
      <x:c r="D577" s="25" t="n">
        <x:v>1871</x:v>
      </x:c>
      <x:c r="E577" s="46" t="n">
        <x:v>1.727115161997972e-8</x:v>
      </x:c>
      <x:c r="F577" s="19" t="str">
        <x:v>eng</x:v>
      </x:c>
      <x:c r="G577" s="19" t="str">
        <x:v>current English corpus (July 2024 dataset; public shorthand eng; mutable current corpus)</x:v>
      </x:c>
      <x:c r="H577" s="19" t="str">
        <x:v>climatic change (All)</x:v>
      </x:c>
      <x:c r="I577" s="19" t="str">
        <x:v>0</x:v>
      </x:c>
      <x:c r="J577" s="19" t="n">
        <x:v>46260.108125</x:v>
      </x:c>
      <x:c r="K577" s="31" t="str">
        <x:v>data/fear-temperature/ngram/raw/0a04941be5651b2bc9de7c1d97a1ec296ca7d83fbf14cbae1d4cb6dce5e31d80.json</x:v>
      </x:c>
      <x:c r="L577" s="19" t="str">
        <x:v>d7902abbc080f4d2003d5f1a590f735baa3506f990d5c6b1c2d156f0cbd926e2</x:v>
      </x:c>
      <x:c r="M577" s="19" t="str">
        <x:v>03c6b3b7aec17c75d6066c3ad33475123246728a6d70514bc6c4b2fac975aa04</x:v>
      </x:c>
      <x:c r="N577" s="31" t="str">
        <x:v>FT-LF-CLIMATIC_CHANGE</x:v>
      </x:c>
      <x:c r="O577" s="31" t="str">
        <x:v>FT-C-HISTORICAL_CLIMATIC_CHANGE</x:v>
      </x:c>
      <x:c r="P577" s="31" t="str">
        <x:v>FT-F04</x:v>
      </x:c>
      <x:c r="Q577" s="49" t="n">
        <x:v>0.01727115161997972</x:v>
      </x:c>
    </x:row>
    <x:row r="578" ht="20" customHeight="1">
      <x:c r="A578" s="40" t="str">
        <x:v>FT-Q-V01-121</x:v>
      </x:c>
      <x:c r="B578" s="19" t="str">
        <x:v>climatic change</x:v>
      </x:c>
      <x:c r="C578" s="31" t="str">
        <x:v>climate</x:v>
      </x:c>
      <x:c r="D578" s="25" t="n">
        <x:v>1872</x:v>
      </x:c>
      <x:c r="E578" s="46" t="n">
        <x:v>1.5997095204056677e-8</x:v>
      </x:c>
      <x:c r="F578" s="19" t="str">
        <x:v>eng</x:v>
      </x:c>
      <x:c r="G578" s="19" t="str">
        <x:v>current English corpus (July 2024 dataset; public shorthand eng; mutable current corpus)</x:v>
      </x:c>
      <x:c r="H578" s="19" t="str">
        <x:v>climatic change (All)</x:v>
      </x:c>
      <x:c r="I578" s="19" t="str">
        <x:v>0</x:v>
      </x:c>
      <x:c r="J578" s="19" t="n">
        <x:v>46260.108125</x:v>
      </x:c>
      <x:c r="K578" s="31" t="str">
        <x:v>data/fear-temperature/ngram/raw/0a04941be5651b2bc9de7c1d97a1ec296ca7d83fbf14cbae1d4cb6dce5e31d80.json</x:v>
      </x:c>
      <x:c r="L578" s="19" t="str">
        <x:v>d7902abbc080f4d2003d5f1a590f735baa3506f990d5c6b1c2d156f0cbd926e2</x:v>
      </x:c>
      <x:c r="M578" s="19" t="str">
        <x:v>03c6b3b7aec17c75d6066c3ad33475123246728a6d70514bc6c4b2fac975aa04</x:v>
      </x:c>
      <x:c r="N578" s="31" t="str">
        <x:v>FT-LF-CLIMATIC_CHANGE</x:v>
      </x:c>
      <x:c r="O578" s="31" t="str">
        <x:v>FT-C-HISTORICAL_CLIMATIC_CHANGE</x:v>
      </x:c>
      <x:c r="P578" s="31" t="str">
        <x:v>FT-F04</x:v>
      </x:c>
      <x:c r="Q578" s="49" t="n">
        <x:v>0.015997095204056677</x:v>
      </x:c>
    </x:row>
    <x:row r="579" ht="20" customHeight="1">
      <x:c r="A579" s="40" t="str">
        <x:v>FT-Q-V01-121</x:v>
      </x:c>
      <x:c r="B579" s="19" t="str">
        <x:v>climatic change</x:v>
      </x:c>
      <x:c r="C579" s="31" t="str">
        <x:v>climate</x:v>
      </x:c>
      <x:c r="D579" s="25" t="n">
        <x:v>1873</x:v>
      </x:c>
      <x:c r="E579" s="46" t="n">
        <x:v>2.4819575727974552e-8</x:v>
      </x:c>
      <x:c r="F579" s="19" t="str">
        <x:v>eng</x:v>
      </x:c>
      <x:c r="G579" s="19" t="str">
        <x:v>current English corpus (July 2024 dataset; public shorthand eng; mutable current corpus)</x:v>
      </x:c>
      <x:c r="H579" s="19" t="str">
        <x:v>climatic change (All)</x:v>
      </x:c>
      <x:c r="I579" s="19" t="str">
        <x:v>0</x:v>
      </x:c>
      <x:c r="J579" s="19" t="n">
        <x:v>46260.108125</x:v>
      </x:c>
      <x:c r="K579" s="31" t="str">
        <x:v>data/fear-temperature/ngram/raw/0a04941be5651b2bc9de7c1d97a1ec296ca7d83fbf14cbae1d4cb6dce5e31d80.json</x:v>
      </x:c>
      <x:c r="L579" s="19" t="str">
        <x:v>d7902abbc080f4d2003d5f1a590f735baa3506f990d5c6b1c2d156f0cbd926e2</x:v>
      </x:c>
      <x:c r="M579" s="19" t="str">
        <x:v>03c6b3b7aec17c75d6066c3ad33475123246728a6d70514bc6c4b2fac975aa04</x:v>
      </x:c>
      <x:c r="N579" s="31" t="str">
        <x:v>FT-LF-CLIMATIC_CHANGE</x:v>
      </x:c>
      <x:c r="O579" s="31" t="str">
        <x:v>FT-C-HISTORICAL_CLIMATIC_CHANGE</x:v>
      </x:c>
      <x:c r="P579" s="31" t="str">
        <x:v>FT-F04</x:v>
      </x:c>
      <x:c r="Q579" s="49" t="n">
        <x:v>0.024819575727974552</x:v>
      </x:c>
    </x:row>
    <x:row r="580" ht="20" customHeight="1">
      <x:c r="A580" s="40" t="str">
        <x:v>FT-Q-V01-121</x:v>
      </x:c>
      <x:c r="B580" s="19" t="str">
        <x:v>climatic change</x:v>
      </x:c>
      <x:c r="C580" s="31" t="str">
        <x:v>climate</x:v>
      </x:c>
      <x:c r="D580" s="25" t="n">
        <x:v>1874</x:v>
      </x:c>
      <x:c r="E580" s="46" t="n">
        <x:v>1.9897131053880912e-8</x:v>
      </x:c>
      <x:c r="F580" s="19" t="str">
        <x:v>eng</x:v>
      </x:c>
      <x:c r="G580" s="19" t="str">
        <x:v>current English corpus (July 2024 dataset; public shorthand eng; mutable current corpus)</x:v>
      </x:c>
      <x:c r="H580" s="19" t="str">
        <x:v>climatic change (All)</x:v>
      </x:c>
      <x:c r="I580" s="19" t="str">
        <x:v>0</x:v>
      </x:c>
      <x:c r="J580" s="19" t="n">
        <x:v>46260.108125</x:v>
      </x:c>
      <x:c r="K580" s="31" t="str">
        <x:v>data/fear-temperature/ngram/raw/0a04941be5651b2bc9de7c1d97a1ec296ca7d83fbf14cbae1d4cb6dce5e31d80.json</x:v>
      </x:c>
      <x:c r="L580" s="19" t="str">
        <x:v>d7902abbc080f4d2003d5f1a590f735baa3506f990d5c6b1c2d156f0cbd926e2</x:v>
      </x:c>
      <x:c r="M580" s="19" t="str">
        <x:v>03c6b3b7aec17c75d6066c3ad33475123246728a6d70514bc6c4b2fac975aa04</x:v>
      </x:c>
      <x:c r="N580" s="31" t="str">
        <x:v>FT-LF-CLIMATIC_CHANGE</x:v>
      </x:c>
      <x:c r="O580" s="31" t="str">
        <x:v>FT-C-HISTORICAL_CLIMATIC_CHANGE</x:v>
      </x:c>
      <x:c r="P580" s="31" t="str">
        <x:v>FT-F04</x:v>
      </x:c>
      <x:c r="Q580" s="49" t="n">
        <x:v>0.019897131053880912</x:v>
      </x:c>
    </x:row>
    <x:row r="581" ht="20" customHeight="1">
      <x:c r="A581" s="40" t="str">
        <x:v>FT-Q-V01-121</x:v>
      </x:c>
      <x:c r="B581" s="19" t="str">
        <x:v>climatic change</x:v>
      </x:c>
      <x:c r="C581" s="31" t="str">
        <x:v>climate</x:v>
      </x:c>
      <x:c r="D581" s="25" t="n">
        <x:v>1875</x:v>
      </x:c>
      <x:c r="E581" s="46" t="n">
        <x:v>2.8408654650924348e-8</x:v>
      </x:c>
      <x:c r="F581" s="19" t="str">
        <x:v>eng</x:v>
      </x:c>
      <x:c r="G581" s="19" t="str">
        <x:v>current English corpus (July 2024 dataset; public shorthand eng; mutable current corpus)</x:v>
      </x:c>
      <x:c r="H581" s="19" t="str">
        <x:v>climatic change (All)</x:v>
      </x:c>
      <x:c r="I581" s="19" t="str">
        <x:v>0</x:v>
      </x:c>
      <x:c r="J581" s="19" t="n">
        <x:v>46260.108125</x:v>
      </x:c>
      <x:c r="K581" s="31" t="str">
        <x:v>data/fear-temperature/ngram/raw/0a04941be5651b2bc9de7c1d97a1ec296ca7d83fbf14cbae1d4cb6dce5e31d80.json</x:v>
      </x:c>
      <x:c r="L581" s="19" t="str">
        <x:v>d7902abbc080f4d2003d5f1a590f735baa3506f990d5c6b1c2d156f0cbd926e2</x:v>
      </x:c>
      <x:c r="M581" s="19" t="str">
        <x:v>03c6b3b7aec17c75d6066c3ad33475123246728a6d70514bc6c4b2fac975aa04</x:v>
      </x:c>
      <x:c r="N581" s="31" t="str">
        <x:v>FT-LF-CLIMATIC_CHANGE</x:v>
      </x:c>
      <x:c r="O581" s="31" t="str">
        <x:v>FT-C-HISTORICAL_CLIMATIC_CHANGE</x:v>
      </x:c>
      <x:c r="P581" s="31" t="str">
        <x:v>FT-F04</x:v>
      </x:c>
      <x:c r="Q581" s="49" t="n">
        <x:v>0.028408654650924348</x:v>
      </x:c>
    </x:row>
    <x:row r="582" ht="20" customHeight="1">
      <x:c r="A582" s="40" t="str">
        <x:v>FT-Q-V01-121</x:v>
      </x:c>
      <x:c r="B582" s="19" t="str">
        <x:v>climatic change</x:v>
      </x:c>
      <x:c r="C582" s="31" t="str">
        <x:v>climate</x:v>
      </x:c>
      <x:c r="D582" s="25" t="n">
        <x:v>1876</x:v>
      </x:c>
      <x:c r="E582" s="46" t="n">
        <x:v>4.014903767779466e-8</x:v>
      </x:c>
      <x:c r="F582" s="19" t="str">
        <x:v>eng</x:v>
      </x:c>
      <x:c r="G582" s="19" t="str">
        <x:v>current English corpus (July 2024 dataset; public shorthand eng; mutable current corpus)</x:v>
      </x:c>
      <x:c r="H582" s="19" t="str">
        <x:v>climatic change (All)</x:v>
      </x:c>
      <x:c r="I582" s="19" t="str">
        <x:v>0</x:v>
      </x:c>
      <x:c r="J582" s="19" t="n">
        <x:v>46260.108125</x:v>
      </x:c>
      <x:c r="K582" s="31" t="str">
        <x:v>data/fear-temperature/ngram/raw/0a04941be5651b2bc9de7c1d97a1ec296ca7d83fbf14cbae1d4cb6dce5e31d80.json</x:v>
      </x:c>
      <x:c r="L582" s="19" t="str">
        <x:v>d7902abbc080f4d2003d5f1a590f735baa3506f990d5c6b1c2d156f0cbd926e2</x:v>
      </x:c>
      <x:c r="M582" s="19" t="str">
        <x:v>03c6b3b7aec17c75d6066c3ad33475123246728a6d70514bc6c4b2fac975aa04</x:v>
      </x:c>
      <x:c r="N582" s="31" t="str">
        <x:v>FT-LF-CLIMATIC_CHANGE</x:v>
      </x:c>
      <x:c r="O582" s="31" t="str">
        <x:v>FT-C-HISTORICAL_CLIMATIC_CHANGE</x:v>
      </x:c>
      <x:c r="P582" s="31" t="str">
        <x:v>FT-F04</x:v>
      </x:c>
      <x:c r="Q582" s="49" t="n">
        <x:v>0.04014903767779466</x:v>
      </x:c>
    </x:row>
    <x:row r="583" ht="20" customHeight="1">
      <x:c r="A583" s="40" t="str">
        <x:v>FT-Q-V01-121</x:v>
      </x:c>
      <x:c r="B583" s="19" t="str">
        <x:v>climatic change</x:v>
      </x:c>
      <x:c r="C583" s="31" t="str">
        <x:v>climate</x:v>
      </x:c>
      <x:c r="D583" s="25" t="n">
        <x:v>1877</x:v>
      </x:c>
      <x:c r="E583" s="46" t="n">
        <x:v>2.074304811250371e-8</x:v>
      </x:c>
      <x:c r="F583" s="19" t="str">
        <x:v>eng</x:v>
      </x:c>
      <x:c r="G583" s="19" t="str">
        <x:v>current English corpus (July 2024 dataset; public shorthand eng; mutable current corpus)</x:v>
      </x:c>
      <x:c r="H583" s="19" t="str">
        <x:v>climatic change (All)</x:v>
      </x:c>
      <x:c r="I583" s="19" t="str">
        <x:v>0</x:v>
      </x:c>
      <x:c r="J583" s="19" t="n">
        <x:v>46260.108125</x:v>
      </x:c>
      <x:c r="K583" s="31" t="str">
        <x:v>data/fear-temperature/ngram/raw/0a04941be5651b2bc9de7c1d97a1ec296ca7d83fbf14cbae1d4cb6dce5e31d80.json</x:v>
      </x:c>
      <x:c r="L583" s="19" t="str">
        <x:v>d7902abbc080f4d2003d5f1a590f735baa3506f990d5c6b1c2d156f0cbd926e2</x:v>
      </x:c>
      <x:c r="M583" s="19" t="str">
        <x:v>03c6b3b7aec17c75d6066c3ad33475123246728a6d70514bc6c4b2fac975aa04</x:v>
      </x:c>
      <x:c r="N583" s="31" t="str">
        <x:v>FT-LF-CLIMATIC_CHANGE</x:v>
      </x:c>
      <x:c r="O583" s="31" t="str">
        <x:v>FT-C-HISTORICAL_CLIMATIC_CHANGE</x:v>
      </x:c>
      <x:c r="P583" s="31" t="str">
        <x:v>FT-F04</x:v>
      </x:c>
      <x:c r="Q583" s="49" t="n">
        <x:v>0.02074304811250371</x:v>
      </x:c>
    </x:row>
    <x:row r="584" ht="20" customHeight="1">
      <x:c r="A584" s="40" t="str">
        <x:v>FT-Q-V01-121</x:v>
      </x:c>
      <x:c r="B584" s="19" t="str">
        <x:v>climatic change</x:v>
      </x:c>
      <x:c r="C584" s="31" t="str">
        <x:v>climate</x:v>
      </x:c>
      <x:c r="D584" s="25" t="n">
        <x:v>1878</x:v>
      </x:c>
      <x:c r="E584" s="46" t="n">
        <x:v>2.8339976587687946e-8</x:v>
      </x:c>
      <x:c r="F584" s="19" t="str">
        <x:v>eng</x:v>
      </x:c>
      <x:c r="G584" s="19" t="str">
        <x:v>current English corpus (July 2024 dataset; public shorthand eng; mutable current corpus)</x:v>
      </x:c>
      <x:c r="H584" s="19" t="str">
        <x:v>climatic change (All)</x:v>
      </x:c>
      <x:c r="I584" s="19" t="str">
        <x:v>0</x:v>
      </x:c>
      <x:c r="J584" s="19" t="n">
        <x:v>46260.108125</x:v>
      </x:c>
      <x:c r="K584" s="31" t="str">
        <x:v>data/fear-temperature/ngram/raw/0a04941be5651b2bc9de7c1d97a1ec296ca7d83fbf14cbae1d4cb6dce5e31d80.json</x:v>
      </x:c>
      <x:c r="L584" s="19" t="str">
        <x:v>d7902abbc080f4d2003d5f1a590f735baa3506f990d5c6b1c2d156f0cbd926e2</x:v>
      </x:c>
      <x:c r="M584" s="19" t="str">
        <x:v>03c6b3b7aec17c75d6066c3ad33475123246728a6d70514bc6c4b2fac975aa04</x:v>
      </x:c>
      <x:c r="N584" s="31" t="str">
        <x:v>FT-LF-CLIMATIC_CHANGE</x:v>
      </x:c>
      <x:c r="O584" s="31" t="str">
        <x:v>FT-C-HISTORICAL_CLIMATIC_CHANGE</x:v>
      </x:c>
      <x:c r="P584" s="31" t="str">
        <x:v>FT-F04</x:v>
      </x:c>
      <x:c r="Q584" s="49" t="n">
        <x:v>0.028339976587687946</x:v>
      </x:c>
    </x:row>
    <x:row r="585" ht="20" customHeight="1">
      <x:c r="A585" s="40" t="str">
        <x:v>FT-Q-V01-121</x:v>
      </x:c>
      <x:c r="B585" s="19" t="str">
        <x:v>climatic change</x:v>
      </x:c>
      <x:c r="C585" s="31" t="str">
        <x:v>climate</x:v>
      </x:c>
      <x:c r="D585" s="25" t="n">
        <x:v>1879</x:v>
      </x:c>
      <x:c r="E585" s="46" t="n">
        <x:v>3.075495708104725e-8</x:v>
      </x:c>
      <x:c r="F585" s="19" t="str">
        <x:v>eng</x:v>
      </x:c>
      <x:c r="G585" s="19" t="str">
        <x:v>current English corpus (July 2024 dataset; public shorthand eng; mutable current corpus)</x:v>
      </x:c>
      <x:c r="H585" s="19" t="str">
        <x:v>climatic change (All)</x:v>
      </x:c>
      <x:c r="I585" s="19" t="str">
        <x:v>0</x:v>
      </x:c>
      <x:c r="J585" s="19" t="n">
        <x:v>46260.108125</x:v>
      </x:c>
      <x:c r="K585" s="31" t="str">
        <x:v>data/fear-temperature/ngram/raw/0a04941be5651b2bc9de7c1d97a1ec296ca7d83fbf14cbae1d4cb6dce5e31d80.json</x:v>
      </x:c>
      <x:c r="L585" s="19" t="str">
        <x:v>d7902abbc080f4d2003d5f1a590f735baa3506f990d5c6b1c2d156f0cbd926e2</x:v>
      </x:c>
      <x:c r="M585" s="19" t="str">
        <x:v>03c6b3b7aec17c75d6066c3ad33475123246728a6d70514bc6c4b2fac975aa04</x:v>
      </x:c>
      <x:c r="N585" s="31" t="str">
        <x:v>FT-LF-CLIMATIC_CHANGE</x:v>
      </x:c>
      <x:c r="O585" s="31" t="str">
        <x:v>FT-C-HISTORICAL_CLIMATIC_CHANGE</x:v>
      </x:c>
      <x:c r="P585" s="31" t="str">
        <x:v>FT-F04</x:v>
      </x:c>
      <x:c r="Q585" s="49" t="n">
        <x:v>0.03075495708104725</x:v>
      </x:c>
    </x:row>
    <x:row r="586" ht="20" customHeight="1">
      <x:c r="A586" s="40" t="str">
        <x:v>FT-Q-V01-121</x:v>
      </x:c>
      <x:c r="B586" s="19" t="str">
        <x:v>climatic change</x:v>
      </x:c>
      <x:c r="C586" s="31" t="str">
        <x:v>climate</x:v>
      </x:c>
      <x:c r="D586" s="25" t="n">
        <x:v>1880</x:v>
      </x:c>
      <x:c r="E586" s="46" t="n">
        <x:v>3.684292870786976e-8</x:v>
      </x:c>
      <x:c r="F586" s="19" t="str">
        <x:v>eng</x:v>
      </x:c>
      <x:c r="G586" s="19" t="str">
        <x:v>current English corpus (July 2024 dataset; public shorthand eng; mutable current corpus)</x:v>
      </x:c>
      <x:c r="H586" s="19" t="str">
        <x:v>climatic change (All)</x:v>
      </x:c>
      <x:c r="I586" s="19" t="str">
        <x:v>0</x:v>
      </x:c>
      <x:c r="J586" s="19" t="n">
        <x:v>46260.108125</x:v>
      </x:c>
      <x:c r="K586" s="31" t="str">
        <x:v>data/fear-temperature/ngram/raw/0a04941be5651b2bc9de7c1d97a1ec296ca7d83fbf14cbae1d4cb6dce5e31d80.json</x:v>
      </x:c>
      <x:c r="L586" s="19" t="str">
        <x:v>d7902abbc080f4d2003d5f1a590f735baa3506f990d5c6b1c2d156f0cbd926e2</x:v>
      </x:c>
      <x:c r="M586" s="19" t="str">
        <x:v>03c6b3b7aec17c75d6066c3ad33475123246728a6d70514bc6c4b2fac975aa04</x:v>
      </x:c>
      <x:c r="N586" s="31" t="str">
        <x:v>FT-LF-CLIMATIC_CHANGE</x:v>
      </x:c>
      <x:c r="O586" s="31" t="str">
        <x:v>FT-C-HISTORICAL_CLIMATIC_CHANGE</x:v>
      </x:c>
      <x:c r="P586" s="31" t="str">
        <x:v>FT-F04</x:v>
      </x:c>
      <x:c r="Q586" s="49" t="n">
        <x:v>0.03684292870786976</x:v>
      </x:c>
    </x:row>
    <x:row r="587" ht="20" customHeight="1">
      <x:c r="A587" s="40" t="str">
        <x:v>FT-Q-V01-121</x:v>
      </x:c>
      <x:c r="B587" s="19" t="str">
        <x:v>climatic change</x:v>
      </x:c>
      <x:c r="C587" s="31" t="str">
        <x:v>climate</x:v>
      </x:c>
      <x:c r="D587" s="25" t="n">
        <x:v>1881</x:v>
      </x:c>
      <x:c r="E587" s="46" t="n">
        <x:v>2.643042293359876e-8</x:v>
      </x:c>
      <x:c r="F587" s="19" t="str">
        <x:v>eng</x:v>
      </x:c>
      <x:c r="G587" s="19" t="str">
        <x:v>current English corpus (July 2024 dataset; public shorthand eng; mutable current corpus)</x:v>
      </x:c>
      <x:c r="H587" s="19" t="str">
        <x:v>climatic change (All)</x:v>
      </x:c>
      <x:c r="I587" s="19" t="str">
        <x:v>0</x:v>
      </x:c>
      <x:c r="J587" s="19" t="n">
        <x:v>46260.108125</x:v>
      </x:c>
      <x:c r="K587" s="31" t="str">
        <x:v>data/fear-temperature/ngram/raw/0a04941be5651b2bc9de7c1d97a1ec296ca7d83fbf14cbae1d4cb6dce5e31d80.json</x:v>
      </x:c>
      <x:c r="L587" s="19" t="str">
        <x:v>d7902abbc080f4d2003d5f1a590f735baa3506f990d5c6b1c2d156f0cbd926e2</x:v>
      </x:c>
      <x:c r="M587" s="19" t="str">
        <x:v>03c6b3b7aec17c75d6066c3ad33475123246728a6d70514bc6c4b2fac975aa04</x:v>
      </x:c>
      <x:c r="N587" s="31" t="str">
        <x:v>FT-LF-CLIMATIC_CHANGE</x:v>
      </x:c>
      <x:c r="O587" s="31" t="str">
        <x:v>FT-C-HISTORICAL_CLIMATIC_CHANGE</x:v>
      </x:c>
      <x:c r="P587" s="31" t="str">
        <x:v>FT-F04</x:v>
      </x:c>
      <x:c r="Q587" s="49" t="n">
        <x:v>0.02643042293359876</x:v>
      </x:c>
    </x:row>
    <x:row r="588" ht="20" customHeight="1">
      <x:c r="A588" s="40" t="str">
        <x:v>FT-Q-V01-121</x:v>
      </x:c>
      <x:c r="B588" s="19" t="str">
        <x:v>climatic change</x:v>
      </x:c>
      <x:c r="C588" s="31" t="str">
        <x:v>climate</x:v>
      </x:c>
      <x:c r="D588" s="25" t="n">
        <x:v>1882</x:v>
      </x:c>
      <x:c r="E588" s="46" t="n">
        <x:v>2.8812825125790198e-8</x:v>
      </x:c>
      <x:c r="F588" s="19" t="str">
        <x:v>eng</x:v>
      </x:c>
      <x:c r="G588" s="19" t="str">
        <x:v>current English corpus (July 2024 dataset; public shorthand eng; mutable current corpus)</x:v>
      </x:c>
      <x:c r="H588" s="19" t="str">
        <x:v>climatic change (All)</x:v>
      </x:c>
      <x:c r="I588" s="19" t="str">
        <x:v>0</x:v>
      </x:c>
      <x:c r="J588" s="19" t="n">
        <x:v>46260.108125</x:v>
      </x:c>
      <x:c r="K588" s="31" t="str">
        <x:v>data/fear-temperature/ngram/raw/0a04941be5651b2bc9de7c1d97a1ec296ca7d83fbf14cbae1d4cb6dce5e31d80.json</x:v>
      </x:c>
      <x:c r="L588" s="19" t="str">
        <x:v>d7902abbc080f4d2003d5f1a590f735baa3506f990d5c6b1c2d156f0cbd926e2</x:v>
      </x:c>
      <x:c r="M588" s="19" t="str">
        <x:v>03c6b3b7aec17c75d6066c3ad33475123246728a6d70514bc6c4b2fac975aa04</x:v>
      </x:c>
      <x:c r="N588" s="31" t="str">
        <x:v>FT-LF-CLIMATIC_CHANGE</x:v>
      </x:c>
      <x:c r="O588" s="31" t="str">
        <x:v>FT-C-HISTORICAL_CLIMATIC_CHANGE</x:v>
      </x:c>
      <x:c r="P588" s="31" t="str">
        <x:v>FT-F04</x:v>
      </x:c>
      <x:c r="Q588" s="49" t="n">
        <x:v>0.028812825125790198</x:v>
      </x:c>
    </x:row>
    <x:row r="589" ht="20" customHeight="1">
      <x:c r="A589" s="40" t="str">
        <x:v>FT-Q-V01-121</x:v>
      </x:c>
      <x:c r="B589" s="19" t="str">
        <x:v>climatic change</x:v>
      </x:c>
      <x:c r="C589" s="31" t="str">
        <x:v>climate</x:v>
      </x:c>
      <x:c r="D589" s="25" t="n">
        <x:v>1883</x:v>
      </x:c>
      <x:c r="E589" s="46" t="n">
        <x:v>2.5669964709429394e-8</x:v>
      </x:c>
      <x:c r="F589" s="19" t="str">
        <x:v>eng</x:v>
      </x:c>
      <x:c r="G589" s="19" t="str">
        <x:v>current English corpus (July 2024 dataset; public shorthand eng; mutable current corpus)</x:v>
      </x:c>
      <x:c r="H589" s="19" t="str">
        <x:v>climatic change (All)</x:v>
      </x:c>
      <x:c r="I589" s="19" t="str">
        <x:v>0</x:v>
      </x:c>
      <x:c r="J589" s="19" t="n">
        <x:v>46260.108125</x:v>
      </x:c>
      <x:c r="K589" s="31" t="str">
        <x:v>data/fear-temperature/ngram/raw/0a04941be5651b2bc9de7c1d97a1ec296ca7d83fbf14cbae1d4cb6dce5e31d80.json</x:v>
      </x:c>
      <x:c r="L589" s="19" t="str">
        <x:v>d7902abbc080f4d2003d5f1a590f735baa3506f990d5c6b1c2d156f0cbd926e2</x:v>
      </x:c>
      <x:c r="M589" s="19" t="str">
        <x:v>03c6b3b7aec17c75d6066c3ad33475123246728a6d70514bc6c4b2fac975aa04</x:v>
      </x:c>
      <x:c r="N589" s="31" t="str">
        <x:v>FT-LF-CLIMATIC_CHANGE</x:v>
      </x:c>
      <x:c r="O589" s="31" t="str">
        <x:v>FT-C-HISTORICAL_CLIMATIC_CHANGE</x:v>
      </x:c>
      <x:c r="P589" s="31" t="str">
        <x:v>FT-F04</x:v>
      </x:c>
      <x:c r="Q589" s="49" t="n">
        <x:v>0.025669964709429394</x:v>
      </x:c>
    </x:row>
    <x:row r="590" ht="20" customHeight="1">
      <x:c r="A590" s="40" t="str">
        <x:v>FT-Q-V01-121</x:v>
      </x:c>
      <x:c r="B590" s="19" t="str">
        <x:v>climatic change</x:v>
      </x:c>
      <x:c r="C590" s="31" t="str">
        <x:v>climate</x:v>
      </x:c>
      <x:c r="D590" s="25" t="n">
        <x:v>1884</x:v>
      </x:c>
      <x:c r="E590" s="46" t="n">
        <x:v>2.2388332257539112e-8</x:v>
      </x:c>
      <x:c r="F590" s="19" t="str">
        <x:v>eng</x:v>
      </x:c>
      <x:c r="G590" s="19" t="str">
        <x:v>current English corpus (July 2024 dataset; public shorthand eng; mutable current corpus)</x:v>
      </x:c>
      <x:c r="H590" s="19" t="str">
        <x:v>climatic change (All)</x:v>
      </x:c>
      <x:c r="I590" s="19" t="str">
        <x:v>0</x:v>
      </x:c>
      <x:c r="J590" s="19" t="n">
        <x:v>46260.108125</x:v>
      </x:c>
      <x:c r="K590" s="31" t="str">
        <x:v>data/fear-temperature/ngram/raw/0a04941be5651b2bc9de7c1d97a1ec296ca7d83fbf14cbae1d4cb6dce5e31d80.json</x:v>
      </x:c>
      <x:c r="L590" s="19" t="str">
        <x:v>d7902abbc080f4d2003d5f1a590f735baa3506f990d5c6b1c2d156f0cbd926e2</x:v>
      </x:c>
      <x:c r="M590" s="19" t="str">
        <x:v>03c6b3b7aec17c75d6066c3ad33475123246728a6d70514bc6c4b2fac975aa04</x:v>
      </x:c>
      <x:c r="N590" s="31" t="str">
        <x:v>FT-LF-CLIMATIC_CHANGE</x:v>
      </x:c>
      <x:c r="O590" s="31" t="str">
        <x:v>FT-C-HISTORICAL_CLIMATIC_CHANGE</x:v>
      </x:c>
      <x:c r="P590" s="31" t="str">
        <x:v>FT-F04</x:v>
      </x:c>
      <x:c r="Q590" s="49" t="n">
        <x:v>0.022388332257539112</x:v>
      </x:c>
    </x:row>
    <x:row r="591" ht="20" customHeight="1">
      <x:c r="A591" s="40" t="str">
        <x:v>FT-Q-V01-121</x:v>
      </x:c>
      <x:c r="B591" s="19" t="str">
        <x:v>climatic change</x:v>
      </x:c>
      <x:c r="C591" s="31" t="str">
        <x:v>climate</x:v>
      </x:c>
      <x:c r="D591" s="25" t="n">
        <x:v>1885</x:v>
      </x:c>
      <x:c r="E591" s="46" t="n">
        <x:v>3.6370931572049514e-8</x:v>
      </x:c>
      <x:c r="F591" s="19" t="str">
        <x:v>eng</x:v>
      </x:c>
      <x:c r="G591" s="19" t="str">
        <x:v>current English corpus (July 2024 dataset; public shorthand eng; mutable current corpus)</x:v>
      </x:c>
      <x:c r="H591" s="19" t="str">
        <x:v>climatic change (All)</x:v>
      </x:c>
      <x:c r="I591" s="19" t="str">
        <x:v>0</x:v>
      </x:c>
      <x:c r="J591" s="19" t="n">
        <x:v>46260.108125</x:v>
      </x:c>
      <x:c r="K591" s="31" t="str">
        <x:v>data/fear-temperature/ngram/raw/0a04941be5651b2bc9de7c1d97a1ec296ca7d83fbf14cbae1d4cb6dce5e31d80.json</x:v>
      </x:c>
      <x:c r="L591" s="19" t="str">
        <x:v>d7902abbc080f4d2003d5f1a590f735baa3506f990d5c6b1c2d156f0cbd926e2</x:v>
      </x:c>
      <x:c r="M591" s="19" t="str">
        <x:v>03c6b3b7aec17c75d6066c3ad33475123246728a6d70514bc6c4b2fac975aa04</x:v>
      </x:c>
      <x:c r="N591" s="31" t="str">
        <x:v>FT-LF-CLIMATIC_CHANGE</x:v>
      </x:c>
      <x:c r="O591" s="31" t="str">
        <x:v>FT-C-HISTORICAL_CLIMATIC_CHANGE</x:v>
      </x:c>
      <x:c r="P591" s="31" t="str">
        <x:v>FT-F04</x:v>
      </x:c>
      <x:c r="Q591" s="49" t="n">
        <x:v>0.036370931572049514</x:v>
      </x:c>
    </x:row>
    <x:row r="592" ht="20" customHeight="1">
      <x:c r="A592" s="40" t="str">
        <x:v>FT-Q-V01-121</x:v>
      </x:c>
      <x:c r="B592" s="19" t="str">
        <x:v>climatic change</x:v>
      </x:c>
      <x:c r="C592" s="31" t="str">
        <x:v>climate</x:v>
      </x:c>
      <x:c r="D592" s="25" t="n">
        <x:v>1886</x:v>
      </x:c>
      <x:c r="E592" s="46" t="n">
        <x:v>3.3702051344119965e-8</x:v>
      </x:c>
      <x:c r="F592" s="19" t="str">
        <x:v>eng</x:v>
      </x:c>
      <x:c r="G592" s="19" t="str">
        <x:v>current English corpus (July 2024 dataset; public shorthand eng; mutable current corpus)</x:v>
      </x:c>
      <x:c r="H592" s="19" t="str">
        <x:v>climatic change (All)</x:v>
      </x:c>
      <x:c r="I592" s="19" t="str">
        <x:v>0</x:v>
      </x:c>
      <x:c r="J592" s="19" t="n">
        <x:v>46260.108125</x:v>
      </x:c>
      <x:c r="K592" s="31" t="str">
        <x:v>data/fear-temperature/ngram/raw/0a04941be5651b2bc9de7c1d97a1ec296ca7d83fbf14cbae1d4cb6dce5e31d80.json</x:v>
      </x:c>
      <x:c r="L592" s="19" t="str">
        <x:v>d7902abbc080f4d2003d5f1a590f735baa3506f990d5c6b1c2d156f0cbd926e2</x:v>
      </x:c>
      <x:c r="M592" s="19" t="str">
        <x:v>03c6b3b7aec17c75d6066c3ad33475123246728a6d70514bc6c4b2fac975aa04</x:v>
      </x:c>
      <x:c r="N592" s="31" t="str">
        <x:v>FT-LF-CLIMATIC_CHANGE</x:v>
      </x:c>
      <x:c r="O592" s="31" t="str">
        <x:v>FT-C-HISTORICAL_CLIMATIC_CHANGE</x:v>
      </x:c>
      <x:c r="P592" s="31" t="str">
        <x:v>FT-F04</x:v>
      </x:c>
      <x:c r="Q592" s="49" t="n">
        <x:v>0.033702051344119965</x:v>
      </x:c>
    </x:row>
    <x:row r="593" ht="20" customHeight="1">
      <x:c r="A593" s="40" t="str">
        <x:v>FT-Q-V01-121</x:v>
      </x:c>
      <x:c r="B593" s="19" t="str">
        <x:v>climatic change</x:v>
      </x:c>
      <x:c r="C593" s="31" t="str">
        <x:v>climate</x:v>
      </x:c>
      <x:c r="D593" s="25" t="n">
        <x:v>1887</x:v>
      </x:c>
      <x:c r="E593" s="46" t="n">
        <x:v>4.3950177483487174e-8</x:v>
      </x:c>
      <x:c r="F593" s="19" t="str">
        <x:v>eng</x:v>
      </x:c>
      <x:c r="G593" s="19" t="str">
        <x:v>current English corpus (July 2024 dataset; public shorthand eng; mutable current corpus)</x:v>
      </x:c>
      <x:c r="H593" s="19" t="str">
        <x:v>climatic change (All)</x:v>
      </x:c>
      <x:c r="I593" s="19" t="str">
        <x:v>0</x:v>
      </x:c>
      <x:c r="J593" s="19" t="n">
        <x:v>46260.108125</x:v>
      </x:c>
      <x:c r="K593" s="31" t="str">
        <x:v>data/fear-temperature/ngram/raw/0a04941be5651b2bc9de7c1d97a1ec296ca7d83fbf14cbae1d4cb6dce5e31d80.json</x:v>
      </x:c>
      <x:c r="L593" s="19" t="str">
        <x:v>d7902abbc080f4d2003d5f1a590f735baa3506f990d5c6b1c2d156f0cbd926e2</x:v>
      </x:c>
      <x:c r="M593" s="19" t="str">
        <x:v>03c6b3b7aec17c75d6066c3ad33475123246728a6d70514bc6c4b2fac975aa04</x:v>
      </x:c>
      <x:c r="N593" s="31" t="str">
        <x:v>FT-LF-CLIMATIC_CHANGE</x:v>
      </x:c>
      <x:c r="O593" s="31" t="str">
        <x:v>FT-C-HISTORICAL_CLIMATIC_CHANGE</x:v>
      </x:c>
      <x:c r="P593" s="31" t="str">
        <x:v>FT-F04</x:v>
      </x:c>
      <x:c r="Q593" s="49" t="n">
        <x:v>0.043950177483487174</x:v>
      </x:c>
    </x:row>
    <x:row r="594" ht="20" customHeight="1">
      <x:c r="A594" s="40" t="str">
        <x:v>FT-Q-V01-121</x:v>
      </x:c>
      <x:c r="B594" s="19" t="str">
        <x:v>climatic change</x:v>
      </x:c>
      <x:c r="C594" s="31" t="str">
        <x:v>climate</x:v>
      </x:c>
      <x:c r="D594" s="25" t="n">
        <x:v>1888</x:v>
      </x:c>
      <x:c r="E594" s="46" t="n">
        <x:v>4.457020530423961e-8</x:v>
      </x:c>
      <x:c r="F594" s="19" t="str">
        <x:v>eng</x:v>
      </x:c>
      <x:c r="G594" s="19" t="str">
        <x:v>current English corpus (July 2024 dataset; public shorthand eng; mutable current corpus)</x:v>
      </x:c>
      <x:c r="H594" s="19" t="str">
        <x:v>climatic change (All)</x:v>
      </x:c>
      <x:c r="I594" s="19" t="str">
        <x:v>0</x:v>
      </x:c>
      <x:c r="J594" s="19" t="n">
        <x:v>46260.108125</x:v>
      </x:c>
      <x:c r="K594" s="31" t="str">
        <x:v>data/fear-temperature/ngram/raw/0a04941be5651b2bc9de7c1d97a1ec296ca7d83fbf14cbae1d4cb6dce5e31d80.json</x:v>
      </x:c>
      <x:c r="L594" s="19" t="str">
        <x:v>d7902abbc080f4d2003d5f1a590f735baa3506f990d5c6b1c2d156f0cbd926e2</x:v>
      </x:c>
      <x:c r="M594" s="19" t="str">
        <x:v>03c6b3b7aec17c75d6066c3ad33475123246728a6d70514bc6c4b2fac975aa04</x:v>
      </x:c>
      <x:c r="N594" s="31" t="str">
        <x:v>FT-LF-CLIMATIC_CHANGE</x:v>
      </x:c>
      <x:c r="O594" s="31" t="str">
        <x:v>FT-C-HISTORICAL_CLIMATIC_CHANGE</x:v>
      </x:c>
      <x:c r="P594" s="31" t="str">
        <x:v>FT-F04</x:v>
      </x:c>
      <x:c r="Q594" s="49" t="n">
        <x:v>0.04457020530423961</x:v>
      </x:c>
    </x:row>
    <x:row r="595" ht="20" customHeight="1">
      <x:c r="A595" s="40" t="str">
        <x:v>FT-Q-V01-121</x:v>
      </x:c>
      <x:c r="B595" s="19" t="str">
        <x:v>climatic change</x:v>
      </x:c>
      <x:c r="C595" s="31" t="str">
        <x:v>climate</x:v>
      </x:c>
      <x:c r="D595" s="25" t="n">
        <x:v>1889</x:v>
      </x:c>
      <x:c r="E595" s="46" t="n">
        <x:v>4.4163861276369516e-8</x:v>
      </x:c>
      <x:c r="F595" s="19" t="str">
        <x:v>eng</x:v>
      </x:c>
      <x:c r="G595" s="19" t="str">
        <x:v>current English corpus (July 2024 dataset; public shorthand eng; mutable current corpus)</x:v>
      </x:c>
      <x:c r="H595" s="19" t="str">
        <x:v>climatic change (All)</x:v>
      </x:c>
      <x:c r="I595" s="19" t="str">
        <x:v>0</x:v>
      </x:c>
      <x:c r="J595" s="19" t="n">
        <x:v>46260.108125</x:v>
      </x:c>
      <x:c r="K595" s="31" t="str">
        <x:v>data/fear-temperature/ngram/raw/0a04941be5651b2bc9de7c1d97a1ec296ca7d83fbf14cbae1d4cb6dce5e31d80.json</x:v>
      </x:c>
      <x:c r="L595" s="19" t="str">
        <x:v>d7902abbc080f4d2003d5f1a590f735baa3506f990d5c6b1c2d156f0cbd926e2</x:v>
      </x:c>
      <x:c r="M595" s="19" t="str">
        <x:v>03c6b3b7aec17c75d6066c3ad33475123246728a6d70514bc6c4b2fac975aa04</x:v>
      </x:c>
      <x:c r="N595" s="31" t="str">
        <x:v>FT-LF-CLIMATIC_CHANGE</x:v>
      </x:c>
      <x:c r="O595" s="31" t="str">
        <x:v>FT-C-HISTORICAL_CLIMATIC_CHANGE</x:v>
      </x:c>
      <x:c r="P595" s="31" t="str">
        <x:v>FT-F04</x:v>
      </x:c>
      <x:c r="Q595" s="49" t="n">
        <x:v>0.044163861276369516</x:v>
      </x:c>
    </x:row>
    <x:row r="596" ht="20" customHeight="1">
      <x:c r="A596" s="40" t="str">
        <x:v>FT-Q-V01-121</x:v>
      </x:c>
      <x:c r="B596" s="19" t="str">
        <x:v>climatic change</x:v>
      </x:c>
      <x:c r="C596" s="31" t="str">
        <x:v>climate</x:v>
      </x:c>
      <x:c r="D596" s="25" t="n">
        <x:v>1890</x:v>
      </x:c>
      <x:c r="E596" s="46" t="n">
        <x:v>4.644499106143396e-8</x:v>
      </x:c>
      <x:c r="F596" s="19" t="str">
        <x:v>eng</x:v>
      </x:c>
      <x:c r="G596" s="19" t="str">
        <x:v>current English corpus (July 2024 dataset; public shorthand eng; mutable current corpus)</x:v>
      </x:c>
      <x:c r="H596" s="19" t="str">
        <x:v>climatic change (All)</x:v>
      </x:c>
      <x:c r="I596" s="19" t="str">
        <x:v>0</x:v>
      </x:c>
      <x:c r="J596" s="19" t="n">
        <x:v>46260.108125</x:v>
      </x:c>
      <x:c r="K596" s="31" t="str">
        <x:v>data/fear-temperature/ngram/raw/0a04941be5651b2bc9de7c1d97a1ec296ca7d83fbf14cbae1d4cb6dce5e31d80.json</x:v>
      </x:c>
      <x:c r="L596" s="19" t="str">
        <x:v>d7902abbc080f4d2003d5f1a590f735baa3506f990d5c6b1c2d156f0cbd926e2</x:v>
      </x:c>
      <x:c r="M596" s="19" t="str">
        <x:v>03c6b3b7aec17c75d6066c3ad33475123246728a6d70514bc6c4b2fac975aa04</x:v>
      </x:c>
      <x:c r="N596" s="31" t="str">
        <x:v>FT-LF-CLIMATIC_CHANGE</x:v>
      </x:c>
      <x:c r="O596" s="31" t="str">
        <x:v>FT-C-HISTORICAL_CLIMATIC_CHANGE</x:v>
      </x:c>
      <x:c r="P596" s="31" t="str">
        <x:v>FT-F04</x:v>
      </x:c>
      <x:c r="Q596" s="49" t="n">
        <x:v>0.04644499106143396</x:v>
      </x:c>
    </x:row>
    <x:row r="597" ht="20" customHeight="1">
      <x:c r="A597" s="40" t="str">
        <x:v>FT-Q-V01-121</x:v>
      </x:c>
      <x:c r="B597" s="19" t="str">
        <x:v>climatic change</x:v>
      </x:c>
      <x:c r="C597" s="31" t="str">
        <x:v>climate</x:v>
      </x:c>
      <x:c r="D597" s="25" t="n">
        <x:v>1891</x:v>
      </x:c>
      <x:c r="E597" s="46" t="n">
        <x:v>4.2192988214395655e-8</x:v>
      </x:c>
      <x:c r="F597" s="19" t="str">
        <x:v>eng</x:v>
      </x:c>
      <x:c r="G597" s="19" t="str">
        <x:v>current English corpus (July 2024 dataset; public shorthand eng; mutable current corpus)</x:v>
      </x:c>
      <x:c r="H597" s="19" t="str">
        <x:v>climatic change (All)</x:v>
      </x:c>
      <x:c r="I597" s="19" t="str">
        <x:v>0</x:v>
      </x:c>
      <x:c r="J597" s="19" t="n">
        <x:v>46260.108125</x:v>
      </x:c>
      <x:c r="K597" s="31" t="str">
        <x:v>data/fear-temperature/ngram/raw/0a04941be5651b2bc9de7c1d97a1ec296ca7d83fbf14cbae1d4cb6dce5e31d80.json</x:v>
      </x:c>
      <x:c r="L597" s="19" t="str">
        <x:v>d7902abbc080f4d2003d5f1a590f735baa3506f990d5c6b1c2d156f0cbd926e2</x:v>
      </x:c>
      <x:c r="M597" s="19" t="str">
        <x:v>03c6b3b7aec17c75d6066c3ad33475123246728a6d70514bc6c4b2fac975aa04</x:v>
      </x:c>
      <x:c r="N597" s="31" t="str">
        <x:v>FT-LF-CLIMATIC_CHANGE</x:v>
      </x:c>
      <x:c r="O597" s="31" t="str">
        <x:v>FT-C-HISTORICAL_CLIMATIC_CHANGE</x:v>
      </x:c>
      <x:c r="P597" s="31" t="str">
        <x:v>FT-F04</x:v>
      </x:c>
      <x:c r="Q597" s="49" t="n">
        <x:v>0.042192988214395655</x:v>
      </x:c>
    </x:row>
    <x:row r="598" ht="20" customHeight="1">
      <x:c r="A598" s="40" t="str">
        <x:v>FT-Q-V01-121</x:v>
      </x:c>
      <x:c r="B598" s="19" t="str">
        <x:v>climatic change</x:v>
      </x:c>
      <x:c r="C598" s="31" t="str">
        <x:v>climate</x:v>
      </x:c>
      <x:c r="D598" s="25" t="n">
        <x:v>1892</x:v>
      </x:c>
      <x:c r="E598" s="46" t="n">
        <x:v>4.411305930263066e-8</x:v>
      </x:c>
      <x:c r="F598" s="19" t="str">
        <x:v>eng</x:v>
      </x:c>
      <x:c r="G598" s="19" t="str">
        <x:v>current English corpus (July 2024 dataset; public shorthand eng; mutable current corpus)</x:v>
      </x:c>
      <x:c r="H598" s="19" t="str">
        <x:v>climatic change (All)</x:v>
      </x:c>
      <x:c r="I598" s="19" t="str">
        <x:v>0</x:v>
      </x:c>
      <x:c r="J598" s="19" t="n">
        <x:v>46260.108125</x:v>
      </x:c>
      <x:c r="K598" s="31" t="str">
        <x:v>data/fear-temperature/ngram/raw/0a04941be5651b2bc9de7c1d97a1ec296ca7d83fbf14cbae1d4cb6dce5e31d80.json</x:v>
      </x:c>
      <x:c r="L598" s="19" t="str">
        <x:v>d7902abbc080f4d2003d5f1a590f735baa3506f990d5c6b1c2d156f0cbd926e2</x:v>
      </x:c>
      <x:c r="M598" s="19" t="str">
        <x:v>03c6b3b7aec17c75d6066c3ad33475123246728a6d70514bc6c4b2fac975aa04</x:v>
      </x:c>
      <x:c r="N598" s="31" t="str">
        <x:v>FT-LF-CLIMATIC_CHANGE</x:v>
      </x:c>
      <x:c r="O598" s="31" t="str">
        <x:v>FT-C-HISTORICAL_CLIMATIC_CHANGE</x:v>
      </x:c>
      <x:c r="P598" s="31" t="str">
        <x:v>FT-F04</x:v>
      </x:c>
      <x:c r="Q598" s="49" t="n">
        <x:v>0.04411305930263066</x:v>
      </x:c>
    </x:row>
    <x:row r="599" ht="20" customHeight="1">
      <x:c r="A599" s="40" t="str">
        <x:v>FT-Q-V01-121</x:v>
      </x:c>
      <x:c r="B599" s="19" t="str">
        <x:v>climatic change</x:v>
      </x:c>
      <x:c r="C599" s="31" t="str">
        <x:v>climate</x:v>
      </x:c>
      <x:c r="D599" s="25" t="n">
        <x:v>1893</x:v>
      </x:c>
      <x:c r="E599" s="46" t="n">
        <x:v>6.109588718272718e-8</x:v>
      </x:c>
      <x:c r="F599" s="19" t="str">
        <x:v>eng</x:v>
      </x:c>
      <x:c r="G599" s="19" t="str">
        <x:v>current English corpus (July 2024 dataset; public shorthand eng; mutable current corpus)</x:v>
      </x:c>
      <x:c r="H599" s="19" t="str">
        <x:v>climatic change (All)</x:v>
      </x:c>
      <x:c r="I599" s="19" t="str">
        <x:v>0</x:v>
      </x:c>
      <x:c r="J599" s="19" t="n">
        <x:v>46260.108125</x:v>
      </x:c>
      <x:c r="K599" s="31" t="str">
        <x:v>data/fear-temperature/ngram/raw/0a04941be5651b2bc9de7c1d97a1ec296ca7d83fbf14cbae1d4cb6dce5e31d80.json</x:v>
      </x:c>
      <x:c r="L599" s="19" t="str">
        <x:v>d7902abbc080f4d2003d5f1a590f735baa3506f990d5c6b1c2d156f0cbd926e2</x:v>
      </x:c>
      <x:c r="M599" s="19" t="str">
        <x:v>03c6b3b7aec17c75d6066c3ad33475123246728a6d70514bc6c4b2fac975aa04</x:v>
      </x:c>
      <x:c r="N599" s="31" t="str">
        <x:v>FT-LF-CLIMATIC_CHANGE</x:v>
      </x:c>
      <x:c r="O599" s="31" t="str">
        <x:v>FT-C-HISTORICAL_CLIMATIC_CHANGE</x:v>
      </x:c>
      <x:c r="P599" s="31" t="str">
        <x:v>FT-F04</x:v>
      </x:c>
      <x:c r="Q599" s="49" t="n">
        <x:v>0.06109588718272718</x:v>
      </x:c>
    </x:row>
    <x:row r="600" ht="20" customHeight="1">
      <x:c r="A600" s="40" t="str">
        <x:v>FT-Q-V01-121</x:v>
      </x:c>
      <x:c r="B600" s="19" t="str">
        <x:v>climatic change</x:v>
      </x:c>
      <x:c r="C600" s="31" t="str">
        <x:v>climate</x:v>
      </x:c>
      <x:c r="D600" s="25" t="n">
        <x:v>1894</x:v>
      </x:c>
      <x:c r="E600" s="46" t="n">
        <x:v>4.3654505399448595e-8</x:v>
      </x:c>
      <x:c r="F600" s="19" t="str">
        <x:v>eng</x:v>
      </x:c>
      <x:c r="G600" s="19" t="str">
        <x:v>current English corpus (July 2024 dataset; public shorthand eng; mutable current corpus)</x:v>
      </x:c>
      <x:c r="H600" s="19" t="str">
        <x:v>climatic change (All)</x:v>
      </x:c>
      <x:c r="I600" s="19" t="str">
        <x:v>0</x:v>
      </x:c>
      <x:c r="J600" s="19" t="n">
        <x:v>46260.108125</x:v>
      </x:c>
      <x:c r="K600" s="31" t="str">
        <x:v>data/fear-temperature/ngram/raw/0a04941be5651b2bc9de7c1d97a1ec296ca7d83fbf14cbae1d4cb6dce5e31d80.json</x:v>
      </x:c>
      <x:c r="L600" s="19" t="str">
        <x:v>d7902abbc080f4d2003d5f1a590f735baa3506f990d5c6b1c2d156f0cbd926e2</x:v>
      </x:c>
      <x:c r="M600" s="19" t="str">
        <x:v>03c6b3b7aec17c75d6066c3ad33475123246728a6d70514bc6c4b2fac975aa04</x:v>
      </x:c>
      <x:c r="N600" s="31" t="str">
        <x:v>FT-LF-CLIMATIC_CHANGE</x:v>
      </x:c>
      <x:c r="O600" s="31" t="str">
        <x:v>FT-C-HISTORICAL_CLIMATIC_CHANGE</x:v>
      </x:c>
      <x:c r="P600" s="31" t="str">
        <x:v>FT-F04</x:v>
      </x:c>
      <x:c r="Q600" s="49" t="n">
        <x:v>0.043654505399448595</x:v>
      </x:c>
    </x:row>
    <x:row r="601" ht="20" customHeight="1">
      <x:c r="A601" s="40" t="str">
        <x:v>FT-Q-V01-121</x:v>
      </x:c>
      <x:c r="B601" s="19" t="str">
        <x:v>climatic change</x:v>
      </x:c>
      <x:c r="C601" s="31" t="str">
        <x:v>climate</x:v>
      </x:c>
      <x:c r="D601" s="25" t="n">
        <x:v>1895</x:v>
      </x:c>
      <x:c r="E601" s="46" t="n">
        <x:v>5.533944674729341e-8</x:v>
      </x:c>
      <x:c r="F601" s="19" t="str">
        <x:v>eng</x:v>
      </x:c>
      <x:c r="G601" s="19" t="str">
        <x:v>current English corpus (July 2024 dataset; public shorthand eng; mutable current corpus)</x:v>
      </x:c>
      <x:c r="H601" s="19" t="str">
        <x:v>climatic change (All)</x:v>
      </x:c>
      <x:c r="I601" s="19" t="str">
        <x:v>0</x:v>
      </x:c>
      <x:c r="J601" s="19" t="n">
        <x:v>46260.108125</x:v>
      </x:c>
      <x:c r="K601" s="31" t="str">
        <x:v>data/fear-temperature/ngram/raw/0a04941be5651b2bc9de7c1d97a1ec296ca7d83fbf14cbae1d4cb6dce5e31d80.json</x:v>
      </x:c>
      <x:c r="L601" s="19" t="str">
        <x:v>d7902abbc080f4d2003d5f1a590f735baa3506f990d5c6b1c2d156f0cbd926e2</x:v>
      </x:c>
      <x:c r="M601" s="19" t="str">
        <x:v>03c6b3b7aec17c75d6066c3ad33475123246728a6d70514bc6c4b2fac975aa04</x:v>
      </x:c>
      <x:c r="N601" s="31" t="str">
        <x:v>FT-LF-CLIMATIC_CHANGE</x:v>
      </x:c>
      <x:c r="O601" s="31" t="str">
        <x:v>FT-C-HISTORICAL_CLIMATIC_CHANGE</x:v>
      </x:c>
      <x:c r="P601" s="31" t="str">
        <x:v>FT-F04</x:v>
      </x:c>
      <x:c r="Q601" s="49" t="n">
        <x:v>0.05533944674729341</x:v>
      </x:c>
    </x:row>
    <x:row r="602" ht="20" customHeight="1">
      <x:c r="A602" s="40" t="str">
        <x:v>FT-Q-V01-121</x:v>
      </x:c>
      <x:c r="B602" s="19" t="str">
        <x:v>climatic change</x:v>
      </x:c>
      <x:c r="C602" s="31" t="str">
        <x:v>climate</x:v>
      </x:c>
      <x:c r="D602" s="25" t="n">
        <x:v>1896</x:v>
      </x:c>
      <x:c r="E602" s="46" t="n">
        <x:v>5.396268576429719e-8</x:v>
      </x:c>
      <x:c r="F602" s="19" t="str">
        <x:v>eng</x:v>
      </x:c>
      <x:c r="G602" s="19" t="str">
        <x:v>current English corpus (July 2024 dataset; public shorthand eng; mutable current corpus)</x:v>
      </x:c>
      <x:c r="H602" s="19" t="str">
        <x:v>climatic change (All)</x:v>
      </x:c>
      <x:c r="I602" s="19" t="str">
        <x:v>0</x:v>
      </x:c>
      <x:c r="J602" s="19" t="n">
        <x:v>46260.108125</x:v>
      </x:c>
      <x:c r="K602" s="31" t="str">
        <x:v>data/fear-temperature/ngram/raw/0a04941be5651b2bc9de7c1d97a1ec296ca7d83fbf14cbae1d4cb6dce5e31d80.json</x:v>
      </x:c>
      <x:c r="L602" s="19" t="str">
        <x:v>d7902abbc080f4d2003d5f1a590f735baa3506f990d5c6b1c2d156f0cbd926e2</x:v>
      </x:c>
      <x:c r="M602" s="19" t="str">
        <x:v>03c6b3b7aec17c75d6066c3ad33475123246728a6d70514bc6c4b2fac975aa04</x:v>
      </x:c>
      <x:c r="N602" s="31" t="str">
        <x:v>FT-LF-CLIMATIC_CHANGE</x:v>
      </x:c>
      <x:c r="O602" s="31" t="str">
        <x:v>FT-C-HISTORICAL_CLIMATIC_CHANGE</x:v>
      </x:c>
      <x:c r="P602" s="31" t="str">
        <x:v>FT-F04</x:v>
      </x:c>
      <x:c r="Q602" s="49" t="n">
        <x:v>0.05396268576429719</x:v>
      </x:c>
    </x:row>
    <x:row r="603" ht="20" customHeight="1">
      <x:c r="A603" s="40" t="str">
        <x:v>FT-Q-V01-121</x:v>
      </x:c>
      <x:c r="B603" s="19" t="str">
        <x:v>climatic change</x:v>
      </x:c>
      <x:c r="C603" s="31" t="str">
        <x:v>climate</x:v>
      </x:c>
      <x:c r="D603" s="25" t="n">
        <x:v>1897</x:v>
      </x:c>
      <x:c r="E603" s="46" t="n">
        <x:v>4.4187239728321615e-8</x:v>
      </x:c>
      <x:c r="F603" s="19" t="str">
        <x:v>eng</x:v>
      </x:c>
      <x:c r="G603" s="19" t="str">
        <x:v>current English corpus (July 2024 dataset; public shorthand eng; mutable current corpus)</x:v>
      </x:c>
      <x:c r="H603" s="19" t="str">
        <x:v>climatic change (All)</x:v>
      </x:c>
      <x:c r="I603" s="19" t="str">
        <x:v>0</x:v>
      </x:c>
      <x:c r="J603" s="19" t="n">
        <x:v>46260.108125</x:v>
      </x:c>
      <x:c r="K603" s="31" t="str">
        <x:v>data/fear-temperature/ngram/raw/0a04941be5651b2bc9de7c1d97a1ec296ca7d83fbf14cbae1d4cb6dce5e31d80.json</x:v>
      </x:c>
      <x:c r="L603" s="19" t="str">
        <x:v>d7902abbc080f4d2003d5f1a590f735baa3506f990d5c6b1c2d156f0cbd926e2</x:v>
      </x:c>
      <x:c r="M603" s="19" t="str">
        <x:v>03c6b3b7aec17c75d6066c3ad33475123246728a6d70514bc6c4b2fac975aa04</x:v>
      </x:c>
      <x:c r="N603" s="31" t="str">
        <x:v>FT-LF-CLIMATIC_CHANGE</x:v>
      </x:c>
      <x:c r="O603" s="31" t="str">
        <x:v>FT-C-HISTORICAL_CLIMATIC_CHANGE</x:v>
      </x:c>
      <x:c r="P603" s="31" t="str">
        <x:v>FT-F04</x:v>
      </x:c>
      <x:c r="Q603" s="49" t="n">
        <x:v>0.044187239728321615</x:v>
      </x:c>
    </x:row>
    <x:row r="604" ht="20" customHeight="1">
      <x:c r="A604" s="40" t="str">
        <x:v>FT-Q-V01-121</x:v>
      </x:c>
      <x:c r="B604" s="19" t="str">
        <x:v>climatic change</x:v>
      </x:c>
      <x:c r="C604" s="31" t="str">
        <x:v>climate</x:v>
      </x:c>
      <x:c r="D604" s="25" t="n">
        <x:v>1898</x:v>
      </x:c>
      <x:c r="E604" s="46" t="n">
        <x:v>3.83321346886234e-8</x:v>
      </x:c>
      <x:c r="F604" s="19" t="str">
        <x:v>eng</x:v>
      </x:c>
      <x:c r="G604" s="19" t="str">
        <x:v>current English corpus (July 2024 dataset; public shorthand eng; mutable current corpus)</x:v>
      </x:c>
      <x:c r="H604" s="19" t="str">
        <x:v>climatic change (All)</x:v>
      </x:c>
      <x:c r="I604" s="19" t="str">
        <x:v>0</x:v>
      </x:c>
      <x:c r="J604" s="19" t="n">
        <x:v>46260.108125</x:v>
      </x:c>
      <x:c r="K604" s="31" t="str">
        <x:v>data/fear-temperature/ngram/raw/0a04941be5651b2bc9de7c1d97a1ec296ca7d83fbf14cbae1d4cb6dce5e31d80.json</x:v>
      </x:c>
      <x:c r="L604" s="19" t="str">
        <x:v>d7902abbc080f4d2003d5f1a590f735baa3506f990d5c6b1c2d156f0cbd926e2</x:v>
      </x:c>
      <x:c r="M604" s="19" t="str">
        <x:v>03c6b3b7aec17c75d6066c3ad33475123246728a6d70514bc6c4b2fac975aa04</x:v>
      </x:c>
      <x:c r="N604" s="31" t="str">
        <x:v>FT-LF-CLIMATIC_CHANGE</x:v>
      </x:c>
      <x:c r="O604" s="31" t="str">
        <x:v>FT-C-HISTORICAL_CLIMATIC_CHANGE</x:v>
      </x:c>
      <x:c r="P604" s="31" t="str">
        <x:v>FT-F04</x:v>
      </x:c>
      <x:c r="Q604" s="49" t="n">
        <x:v>0.0383321346886234</x:v>
      </x:c>
    </x:row>
    <x:row r="605" ht="20" customHeight="1">
      <x:c r="A605" s="40" t="str">
        <x:v>FT-Q-V01-121</x:v>
      </x:c>
      <x:c r="B605" s="19" t="str">
        <x:v>climatic change</x:v>
      </x:c>
      <x:c r="C605" s="31" t="str">
        <x:v>climate</x:v>
      </x:c>
      <x:c r="D605" s="25" t="n">
        <x:v>1899</x:v>
      </x:c>
      <x:c r="E605" s="46" t="n">
        <x:v>3.594315886590316e-8</x:v>
      </x:c>
      <x:c r="F605" s="19" t="str">
        <x:v>eng</x:v>
      </x:c>
      <x:c r="G605" s="19" t="str">
        <x:v>current English corpus (July 2024 dataset; public shorthand eng; mutable current corpus)</x:v>
      </x:c>
      <x:c r="H605" s="19" t="str">
        <x:v>climatic change (All)</x:v>
      </x:c>
      <x:c r="I605" s="19" t="str">
        <x:v>0</x:v>
      </x:c>
      <x:c r="J605" s="19" t="n">
        <x:v>46260.108125</x:v>
      </x:c>
      <x:c r="K605" s="31" t="str">
        <x:v>data/fear-temperature/ngram/raw/0a04941be5651b2bc9de7c1d97a1ec296ca7d83fbf14cbae1d4cb6dce5e31d80.json</x:v>
      </x:c>
      <x:c r="L605" s="19" t="str">
        <x:v>d7902abbc080f4d2003d5f1a590f735baa3506f990d5c6b1c2d156f0cbd926e2</x:v>
      </x:c>
      <x:c r="M605" s="19" t="str">
        <x:v>03c6b3b7aec17c75d6066c3ad33475123246728a6d70514bc6c4b2fac975aa04</x:v>
      </x:c>
      <x:c r="N605" s="31" t="str">
        <x:v>FT-LF-CLIMATIC_CHANGE</x:v>
      </x:c>
      <x:c r="O605" s="31" t="str">
        <x:v>FT-C-HISTORICAL_CLIMATIC_CHANGE</x:v>
      </x:c>
      <x:c r="P605" s="31" t="str">
        <x:v>FT-F04</x:v>
      </x:c>
      <x:c r="Q605" s="49" t="n">
        <x:v>0.03594315886590316</x:v>
      </x:c>
    </x:row>
    <x:row r="606" ht="20" customHeight="1">
      <x:c r="A606" s="40" t="str">
        <x:v>FT-Q-V01-121</x:v>
      </x:c>
      <x:c r="B606" s="19" t="str">
        <x:v>climatic change</x:v>
      </x:c>
      <x:c r="C606" s="31" t="str">
        <x:v>climate</x:v>
      </x:c>
      <x:c r="D606" s="25" t="n">
        <x:v>1900</x:v>
      </x:c>
      <x:c r="E606" s="46" t="n">
        <x:v>4.896903671447461e-8</x:v>
      </x:c>
      <x:c r="F606" s="19" t="str">
        <x:v>eng</x:v>
      </x:c>
      <x:c r="G606" s="19" t="str">
        <x:v>current English corpus (July 2024 dataset; public shorthand eng; mutable current corpus)</x:v>
      </x:c>
      <x:c r="H606" s="19" t="str">
        <x:v>climatic change (All)</x:v>
      </x:c>
      <x:c r="I606" s="19" t="str">
        <x:v>0</x:v>
      </x:c>
      <x:c r="J606" s="19" t="n">
        <x:v>46260.108125</x:v>
      </x:c>
      <x:c r="K606" s="31" t="str">
        <x:v>data/fear-temperature/ngram/raw/0a04941be5651b2bc9de7c1d97a1ec296ca7d83fbf14cbae1d4cb6dce5e31d80.json</x:v>
      </x:c>
      <x:c r="L606" s="19" t="str">
        <x:v>d7902abbc080f4d2003d5f1a590f735baa3506f990d5c6b1c2d156f0cbd926e2</x:v>
      </x:c>
      <x:c r="M606" s="19" t="str">
        <x:v>03c6b3b7aec17c75d6066c3ad33475123246728a6d70514bc6c4b2fac975aa04</x:v>
      </x:c>
      <x:c r="N606" s="31" t="str">
        <x:v>FT-LF-CLIMATIC_CHANGE</x:v>
      </x:c>
      <x:c r="O606" s="31" t="str">
        <x:v>FT-C-HISTORICAL_CLIMATIC_CHANGE</x:v>
      </x:c>
      <x:c r="P606" s="31" t="str">
        <x:v>FT-F04</x:v>
      </x:c>
      <x:c r="Q606" s="49" t="n">
        <x:v>0.04896903671447461</x:v>
      </x:c>
    </x:row>
    <x:row r="607" ht="20" customHeight="1">
      <x:c r="A607" s="40" t="str">
        <x:v>FT-Q-V01-121</x:v>
      </x:c>
      <x:c r="B607" s="19" t="str">
        <x:v>climatic change</x:v>
      </x:c>
      <x:c r="C607" s="31" t="str">
        <x:v>climate</x:v>
      </x:c>
      <x:c r="D607" s="25" t="n">
        <x:v>1901</x:v>
      </x:c>
      <x:c r="E607" s="46" t="n">
        <x:v>4.6091981453777464e-8</x:v>
      </x:c>
      <x:c r="F607" s="19" t="str">
        <x:v>eng</x:v>
      </x:c>
      <x:c r="G607" s="19" t="str">
        <x:v>current English corpus (July 2024 dataset; public shorthand eng; mutable current corpus)</x:v>
      </x:c>
      <x:c r="H607" s="19" t="str">
        <x:v>climatic change (All)</x:v>
      </x:c>
      <x:c r="I607" s="19" t="str">
        <x:v>0</x:v>
      </x:c>
      <x:c r="J607" s="19" t="n">
        <x:v>46260.108125</x:v>
      </x:c>
      <x:c r="K607" s="31" t="str">
        <x:v>data/fear-temperature/ngram/raw/0a04941be5651b2bc9de7c1d97a1ec296ca7d83fbf14cbae1d4cb6dce5e31d80.json</x:v>
      </x:c>
      <x:c r="L607" s="19" t="str">
        <x:v>d7902abbc080f4d2003d5f1a590f735baa3506f990d5c6b1c2d156f0cbd926e2</x:v>
      </x:c>
      <x:c r="M607" s="19" t="str">
        <x:v>03c6b3b7aec17c75d6066c3ad33475123246728a6d70514bc6c4b2fac975aa04</x:v>
      </x:c>
      <x:c r="N607" s="31" t="str">
        <x:v>FT-LF-CLIMATIC_CHANGE</x:v>
      </x:c>
      <x:c r="O607" s="31" t="str">
        <x:v>FT-C-HISTORICAL_CLIMATIC_CHANGE</x:v>
      </x:c>
      <x:c r="P607" s="31" t="str">
        <x:v>FT-F04</x:v>
      </x:c>
      <x:c r="Q607" s="49" t="n">
        <x:v>0.046091981453777464</x:v>
      </x:c>
    </x:row>
    <x:row r="608" ht="20" customHeight="1">
      <x:c r="A608" s="40" t="str">
        <x:v>FT-Q-V01-121</x:v>
      </x:c>
      <x:c r="B608" s="19" t="str">
        <x:v>climatic change</x:v>
      </x:c>
      <x:c r="C608" s="31" t="str">
        <x:v>climate</x:v>
      </x:c>
      <x:c r="D608" s="25" t="n">
        <x:v>1902</x:v>
      </x:c>
      <x:c r="E608" s="46" t="n">
        <x:v>3.723132135924346e-8</x:v>
      </x:c>
      <x:c r="F608" s="19" t="str">
        <x:v>eng</x:v>
      </x:c>
      <x:c r="G608" s="19" t="str">
        <x:v>current English corpus (July 2024 dataset; public shorthand eng; mutable current corpus)</x:v>
      </x:c>
      <x:c r="H608" s="19" t="str">
        <x:v>climatic change (All)</x:v>
      </x:c>
      <x:c r="I608" s="19" t="str">
        <x:v>0</x:v>
      </x:c>
      <x:c r="J608" s="19" t="n">
        <x:v>46260.108125</x:v>
      </x:c>
      <x:c r="K608" s="31" t="str">
        <x:v>data/fear-temperature/ngram/raw/0a04941be5651b2bc9de7c1d97a1ec296ca7d83fbf14cbae1d4cb6dce5e31d80.json</x:v>
      </x:c>
      <x:c r="L608" s="19" t="str">
        <x:v>d7902abbc080f4d2003d5f1a590f735baa3506f990d5c6b1c2d156f0cbd926e2</x:v>
      </x:c>
      <x:c r="M608" s="19" t="str">
        <x:v>03c6b3b7aec17c75d6066c3ad33475123246728a6d70514bc6c4b2fac975aa04</x:v>
      </x:c>
      <x:c r="N608" s="31" t="str">
        <x:v>FT-LF-CLIMATIC_CHANGE</x:v>
      </x:c>
      <x:c r="O608" s="31" t="str">
        <x:v>FT-C-HISTORICAL_CLIMATIC_CHANGE</x:v>
      </x:c>
      <x:c r="P608" s="31" t="str">
        <x:v>FT-F04</x:v>
      </x:c>
      <x:c r="Q608" s="49" t="n">
        <x:v>0.03723132135924346</x:v>
      </x:c>
    </x:row>
    <x:row r="609" ht="20" customHeight="1">
      <x:c r="A609" s="40" t="str">
        <x:v>FT-Q-V01-121</x:v>
      </x:c>
      <x:c r="B609" s="19" t="str">
        <x:v>climatic change</x:v>
      </x:c>
      <x:c r="C609" s="31" t="str">
        <x:v>climate</x:v>
      </x:c>
      <x:c r="D609" s="25" t="n">
        <x:v>1903</x:v>
      </x:c>
      <x:c r="E609" s="46" t="n">
        <x:v>2.952423545921068e-8</x:v>
      </x:c>
      <x:c r="F609" s="19" t="str">
        <x:v>eng</x:v>
      </x:c>
      <x:c r="G609" s="19" t="str">
        <x:v>current English corpus (July 2024 dataset; public shorthand eng; mutable current corpus)</x:v>
      </x:c>
      <x:c r="H609" s="19" t="str">
        <x:v>climatic change (All)</x:v>
      </x:c>
      <x:c r="I609" s="19" t="str">
        <x:v>0</x:v>
      </x:c>
      <x:c r="J609" s="19" t="n">
        <x:v>46260.108125</x:v>
      </x:c>
      <x:c r="K609" s="31" t="str">
        <x:v>data/fear-temperature/ngram/raw/0a04941be5651b2bc9de7c1d97a1ec296ca7d83fbf14cbae1d4cb6dce5e31d80.json</x:v>
      </x:c>
      <x:c r="L609" s="19" t="str">
        <x:v>d7902abbc080f4d2003d5f1a590f735baa3506f990d5c6b1c2d156f0cbd926e2</x:v>
      </x:c>
      <x:c r="M609" s="19" t="str">
        <x:v>03c6b3b7aec17c75d6066c3ad33475123246728a6d70514bc6c4b2fac975aa04</x:v>
      </x:c>
      <x:c r="N609" s="31" t="str">
        <x:v>FT-LF-CLIMATIC_CHANGE</x:v>
      </x:c>
      <x:c r="O609" s="31" t="str">
        <x:v>FT-C-HISTORICAL_CLIMATIC_CHANGE</x:v>
      </x:c>
      <x:c r="P609" s="31" t="str">
        <x:v>FT-F04</x:v>
      </x:c>
      <x:c r="Q609" s="49" t="n">
        <x:v>0.02952423545921068</x:v>
      </x:c>
    </x:row>
    <x:row r="610" ht="20" customHeight="1">
      <x:c r="A610" s="40" t="str">
        <x:v>FT-Q-V01-121</x:v>
      </x:c>
      <x:c r="B610" s="19" t="str">
        <x:v>climatic change</x:v>
      </x:c>
      <x:c r="C610" s="31" t="str">
        <x:v>climate</x:v>
      </x:c>
      <x:c r="D610" s="25" t="n">
        <x:v>1904</x:v>
      </x:c>
      <x:c r="E610" s="46" t="n">
        <x:v>3.748279693571721e-8</x:v>
      </x:c>
      <x:c r="F610" s="19" t="str">
        <x:v>eng</x:v>
      </x:c>
      <x:c r="G610" s="19" t="str">
        <x:v>current English corpus (July 2024 dataset; public shorthand eng; mutable current corpus)</x:v>
      </x:c>
      <x:c r="H610" s="19" t="str">
        <x:v>climatic change (All)</x:v>
      </x:c>
      <x:c r="I610" s="19" t="str">
        <x:v>0</x:v>
      </x:c>
      <x:c r="J610" s="19" t="n">
        <x:v>46260.108125</x:v>
      </x:c>
      <x:c r="K610" s="31" t="str">
        <x:v>data/fear-temperature/ngram/raw/0a04941be5651b2bc9de7c1d97a1ec296ca7d83fbf14cbae1d4cb6dce5e31d80.json</x:v>
      </x:c>
      <x:c r="L610" s="19" t="str">
        <x:v>d7902abbc080f4d2003d5f1a590f735baa3506f990d5c6b1c2d156f0cbd926e2</x:v>
      </x:c>
      <x:c r="M610" s="19" t="str">
        <x:v>03c6b3b7aec17c75d6066c3ad33475123246728a6d70514bc6c4b2fac975aa04</x:v>
      </x:c>
      <x:c r="N610" s="31" t="str">
        <x:v>FT-LF-CLIMATIC_CHANGE</x:v>
      </x:c>
      <x:c r="O610" s="31" t="str">
        <x:v>FT-C-HISTORICAL_CLIMATIC_CHANGE</x:v>
      </x:c>
      <x:c r="P610" s="31" t="str">
        <x:v>FT-F04</x:v>
      </x:c>
      <x:c r="Q610" s="49" t="n">
        <x:v>0.03748279693571721</x:v>
      </x:c>
    </x:row>
    <x:row r="611" ht="20" customHeight="1">
      <x:c r="A611" s="40" t="str">
        <x:v>FT-Q-V01-121</x:v>
      </x:c>
      <x:c r="B611" s="19" t="str">
        <x:v>climatic change</x:v>
      </x:c>
      <x:c r="C611" s="31" t="str">
        <x:v>climate</x:v>
      </x:c>
      <x:c r="D611" s="25" t="n">
        <x:v>1905</x:v>
      </x:c>
      <x:c r="E611" s="46" t="n">
        <x:v>3.902008895162457e-8</x:v>
      </x:c>
      <x:c r="F611" s="19" t="str">
        <x:v>eng</x:v>
      </x:c>
      <x:c r="G611" s="19" t="str">
        <x:v>current English corpus (July 2024 dataset; public shorthand eng; mutable current corpus)</x:v>
      </x:c>
      <x:c r="H611" s="19" t="str">
        <x:v>climatic change (All)</x:v>
      </x:c>
      <x:c r="I611" s="19" t="str">
        <x:v>0</x:v>
      </x:c>
      <x:c r="J611" s="19" t="n">
        <x:v>46260.108125</x:v>
      </x:c>
      <x:c r="K611" s="31" t="str">
        <x:v>data/fear-temperature/ngram/raw/0a04941be5651b2bc9de7c1d97a1ec296ca7d83fbf14cbae1d4cb6dce5e31d80.json</x:v>
      </x:c>
      <x:c r="L611" s="19" t="str">
        <x:v>d7902abbc080f4d2003d5f1a590f735baa3506f990d5c6b1c2d156f0cbd926e2</x:v>
      </x:c>
      <x:c r="M611" s="19" t="str">
        <x:v>03c6b3b7aec17c75d6066c3ad33475123246728a6d70514bc6c4b2fac975aa04</x:v>
      </x:c>
      <x:c r="N611" s="31" t="str">
        <x:v>FT-LF-CLIMATIC_CHANGE</x:v>
      </x:c>
      <x:c r="O611" s="31" t="str">
        <x:v>FT-C-HISTORICAL_CLIMATIC_CHANGE</x:v>
      </x:c>
      <x:c r="P611" s="31" t="str">
        <x:v>FT-F04</x:v>
      </x:c>
      <x:c r="Q611" s="49" t="n">
        <x:v>0.03902008895162457</x:v>
      </x:c>
    </x:row>
    <x:row r="612" ht="20" customHeight="1">
      <x:c r="A612" s="40" t="str">
        <x:v>FT-Q-V01-121</x:v>
      </x:c>
      <x:c r="B612" s="19" t="str">
        <x:v>climatic change</x:v>
      </x:c>
      <x:c r="C612" s="31" t="str">
        <x:v>climate</x:v>
      </x:c>
      <x:c r="D612" s="25" t="n">
        <x:v>1906</x:v>
      </x:c>
      <x:c r="E612" s="46" t="n">
        <x:v>4.608040893305799e-8</x:v>
      </x:c>
      <x:c r="F612" s="19" t="str">
        <x:v>eng</x:v>
      </x:c>
      <x:c r="G612" s="19" t="str">
        <x:v>current English corpus (July 2024 dataset; public shorthand eng; mutable current corpus)</x:v>
      </x:c>
      <x:c r="H612" s="19" t="str">
        <x:v>climatic change (All)</x:v>
      </x:c>
      <x:c r="I612" s="19" t="str">
        <x:v>0</x:v>
      </x:c>
      <x:c r="J612" s="19" t="n">
        <x:v>46260.108125</x:v>
      </x:c>
      <x:c r="K612" s="31" t="str">
        <x:v>data/fear-temperature/ngram/raw/0a04941be5651b2bc9de7c1d97a1ec296ca7d83fbf14cbae1d4cb6dce5e31d80.json</x:v>
      </x:c>
      <x:c r="L612" s="19" t="str">
        <x:v>d7902abbc080f4d2003d5f1a590f735baa3506f990d5c6b1c2d156f0cbd926e2</x:v>
      </x:c>
      <x:c r="M612" s="19" t="str">
        <x:v>03c6b3b7aec17c75d6066c3ad33475123246728a6d70514bc6c4b2fac975aa04</x:v>
      </x:c>
      <x:c r="N612" s="31" t="str">
        <x:v>FT-LF-CLIMATIC_CHANGE</x:v>
      </x:c>
      <x:c r="O612" s="31" t="str">
        <x:v>FT-C-HISTORICAL_CLIMATIC_CHANGE</x:v>
      </x:c>
      <x:c r="P612" s="31" t="str">
        <x:v>FT-F04</x:v>
      </x:c>
      <x:c r="Q612" s="49" t="n">
        <x:v>0.04608040893305799</x:v>
      </x:c>
    </x:row>
    <x:row r="613" ht="20" customHeight="1">
      <x:c r="A613" s="40" t="str">
        <x:v>FT-Q-V01-121</x:v>
      </x:c>
      <x:c r="B613" s="19" t="str">
        <x:v>climatic change</x:v>
      </x:c>
      <x:c r="C613" s="31" t="str">
        <x:v>climate</x:v>
      </x:c>
      <x:c r="D613" s="25" t="n">
        <x:v>1907</x:v>
      </x:c>
      <x:c r="E613" s="46" t="n">
        <x:v>4.710089895887393e-8</x:v>
      </x:c>
      <x:c r="F613" s="19" t="str">
        <x:v>eng</x:v>
      </x:c>
      <x:c r="G613" s="19" t="str">
        <x:v>current English corpus (July 2024 dataset; public shorthand eng; mutable current corpus)</x:v>
      </x:c>
      <x:c r="H613" s="19" t="str">
        <x:v>climatic change (All)</x:v>
      </x:c>
      <x:c r="I613" s="19" t="str">
        <x:v>0</x:v>
      </x:c>
      <x:c r="J613" s="19" t="n">
        <x:v>46260.108125</x:v>
      </x:c>
      <x:c r="K613" s="31" t="str">
        <x:v>data/fear-temperature/ngram/raw/0a04941be5651b2bc9de7c1d97a1ec296ca7d83fbf14cbae1d4cb6dce5e31d80.json</x:v>
      </x:c>
      <x:c r="L613" s="19" t="str">
        <x:v>d7902abbc080f4d2003d5f1a590f735baa3506f990d5c6b1c2d156f0cbd926e2</x:v>
      </x:c>
      <x:c r="M613" s="19" t="str">
        <x:v>03c6b3b7aec17c75d6066c3ad33475123246728a6d70514bc6c4b2fac975aa04</x:v>
      </x:c>
      <x:c r="N613" s="31" t="str">
        <x:v>FT-LF-CLIMATIC_CHANGE</x:v>
      </x:c>
      <x:c r="O613" s="31" t="str">
        <x:v>FT-C-HISTORICAL_CLIMATIC_CHANGE</x:v>
      </x:c>
      <x:c r="P613" s="31" t="str">
        <x:v>FT-F04</x:v>
      </x:c>
      <x:c r="Q613" s="49" t="n">
        <x:v>0.04710089895887393</x:v>
      </x:c>
    </x:row>
    <x:row r="614" ht="20" customHeight="1">
      <x:c r="A614" s="40" t="str">
        <x:v>FT-Q-V01-121</x:v>
      </x:c>
      <x:c r="B614" s="19" t="str">
        <x:v>climatic change</x:v>
      </x:c>
      <x:c r="C614" s="31" t="str">
        <x:v>climate</x:v>
      </x:c>
      <x:c r="D614" s="25" t="n">
        <x:v>1908</x:v>
      </x:c>
      <x:c r="E614" s="46" t="n">
        <x:v>5.431251337562059e-8</x:v>
      </x:c>
      <x:c r="F614" s="19" t="str">
        <x:v>eng</x:v>
      </x:c>
      <x:c r="G614" s="19" t="str">
        <x:v>current English corpus (July 2024 dataset; public shorthand eng; mutable current corpus)</x:v>
      </x:c>
      <x:c r="H614" s="19" t="str">
        <x:v>climatic change (All)</x:v>
      </x:c>
      <x:c r="I614" s="19" t="str">
        <x:v>0</x:v>
      </x:c>
      <x:c r="J614" s="19" t="n">
        <x:v>46260.108125</x:v>
      </x:c>
      <x:c r="K614" s="31" t="str">
        <x:v>data/fear-temperature/ngram/raw/0a04941be5651b2bc9de7c1d97a1ec296ca7d83fbf14cbae1d4cb6dce5e31d80.json</x:v>
      </x:c>
      <x:c r="L614" s="19" t="str">
        <x:v>d7902abbc080f4d2003d5f1a590f735baa3506f990d5c6b1c2d156f0cbd926e2</x:v>
      </x:c>
      <x:c r="M614" s="19" t="str">
        <x:v>03c6b3b7aec17c75d6066c3ad33475123246728a6d70514bc6c4b2fac975aa04</x:v>
      </x:c>
      <x:c r="N614" s="31" t="str">
        <x:v>FT-LF-CLIMATIC_CHANGE</x:v>
      </x:c>
      <x:c r="O614" s="31" t="str">
        <x:v>FT-C-HISTORICAL_CLIMATIC_CHANGE</x:v>
      </x:c>
      <x:c r="P614" s="31" t="str">
        <x:v>FT-F04</x:v>
      </x:c>
      <x:c r="Q614" s="49" t="n">
        <x:v>0.05431251337562059</x:v>
      </x:c>
    </x:row>
    <x:row r="615" ht="20" customHeight="1">
      <x:c r="A615" s="40" t="str">
        <x:v>FT-Q-V01-121</x:v>
      </x:c>
      <x:c r="B615" s="19" t="str">
        <x:v>climatic change</x:v>
      </x:c>
      <x:c r="C615" s="31" t="str">
        <x:v>climate</x:v>
      </x:c>
      <x:c r="D615" s="25" t="n">
        <x:v>1909</x:v>
      </x:c>
      <x:c r="E615" s="46" t="n">
        <x:v>3.952779026317188e-8</x:v>
      </x:c>
      <x:c r="F615" s="19" t="str">
        <x:v>eng</x:v>
      </x:c>
      <x:c r="G615" s="19" t="str">
        <x:v>current English corpus (July 2024 dataset; public shorthand eng; mutable current corpus)</x:v>
      </x:c>
      <x:c r="H615" s="19" t="str">
        <x:v>climatic change (All)</x:v>
      </x:c>
      <x:c r="I615" s="19" t="str">
        <x:v>0</x:v>
      </x:c>
      <x:c r="J615" s="19" t="n">
        <x:v>46260.108125</x:v>
      </x:c>
      <x:c r="K615" s="31" t="str">
        <x:v>data/fear-temperature/ngram/raw/0a04941be5651b2bc9de7c1d97a1ec296ca7d83fbf14cbae1d4cb6dce5e31d80.json</x:v>
      </x:c>
      <x:c r="L615" s="19" t="str">
        <x:v>d7902abbc080f4d2003d5f1a590f735baa3506f990d5c6b1c2d156f0cbd926e2</x:v>
      </x:c>
      <x:c r="M615" s="19" t="str">
        <x:v>03c6b3b7aec17c75d6066c3ad33475123246728a6d70514bc6c4b2fac975aa04</x:v>
      </x:c>
      <x:c r="N615" s="31" t="str">
        <x:v>FT-LF-CLIMATIC_CHANGE</x:v>
      </x:c>
      <x:c r="O615" s="31" t="str">
        <x:v>FT-C-HISTORICAL_CLIMATIC_CHANGE</x:v>
      </x:c>
      <x:c r="P615" s="31" t="str">
        <x:v>FT-F04</x:v>
      </x:c>
      <x:c r="Q615" s="49" t="n">
        <x:v>0.03952779026317188</x:v>
      </x:c>
    </x:row>
    <x:row r="616" ht="20" customHeight="1">
      <x:c r="A616" s="40" t="str">
        <x:v>FT-Q-V01-121</x:v>
      </x:c>
      <x:c r="B616" s="19" t="str">
        <x:v>climatic change</x:v>
      </x:c>
      <x:c r="C616" s="31" t="str">
        <x:v>climate</x:v>
      </x:c>
      <x:c r="D616" s="25" t="n">
        <x:v>1910</x:v>
      </x:c>
      <x:c r="E616" s="46" t="n">
        <x:v>3.913680746148174e-8</x:v>
      </x:c>
      <x:c r="F616" s="19" t="str">
        <x:v>eng</x:v>
      </x:c>
      <x:c r="G616" s="19" t="str">
        <x:v>current English corpus (July 2024 dataset; public shorthand eng; mutable current corpus)</x:v>
      </x:c>
      <x:c r="H616" s="19" t="str">
        <x:v>climatic change (All)</x:v>
      </x:c>
      <x:c r="I616" s="19" t="str">
        <x:v>0</x:v>
      </x:c>
      <x:c r="J616" s="19" t="n">
        <x:v>46260.108125</x:v>
      </x:c>
      <x:c r="K616" s="31" t="str">
        <x:v>data/fear-temperature/ngram/raw/0a04941be5651b2bc9de7c1d97a1ec296ca7d83fbf14cbae1d4cb6dce5e31d80.json</x:v>
      </x:c>
      <x:c r="L616" s="19" t="str">
        <x:v>d7902abbc080f4d2003d5f1a590f735baa3506f990d5c6b1c2d156f0cbd926e2</x:v>
      </x:c>
      <x:c r="M616" s="19" t="str">
        <x:v>03c6b3b7aec17c75d6066c3ad33475123246728a6d70514bc6c4b2fac975aa04</x:v>
      </x:c>
      <x:c r="N616" s="31" t="str">
        <x:v>FT-LF-CLIMATIC_CHANGE</x:v>
      </x:c>
      <x:c r="O616" s="31" t="str">
        <x:v>FT-C-HISTORICAL_CLIMATIC_CHANGE</x:v>
      </x:c>
      <x:c r="P616" s="31" t="str">
        <x:v>FT-F04</x:v>
      </x:c>
      <x:c r="Q616" s="49" t="n">
        <x:v>0.03913680746148174</x:v>
      </x:c>
    </x:row>
    <x:row r="617" ht="20" customHeight="1">
      <x:c r="A617" s="40" t="str">
        <x:v>FT-Q-V01-121</x:v>
      </x:c>
      <x:c r="B617" s="19" t="str">
        <x:v>climatic change</x:v>
      </x:c>
      <x:c r="C617" s="31" t="str">
        <x:v>climate</x:v>
      </x:c>
      <x:c r="D617" s="25" t="n">
        <x:v>1911</x:v>
      </x:c>
      <x:c r="E617" s="46" t="n">
        <x:v>4.049258661709132e-8</x:v>
      </x:c>
      <x:c r="F617" s="19" t="str">
        <x:v>eng</x:v>
      </x:c>
      <x:c r="G617" s="19" t="str">
        <x:v>current English corpus (July 2024 dataset; public shorthand eng; mutable current corpus)</x:v>
      </x:c>
      <x:c r="H617" s="19" t="str">
        <x:v>climatic change (All)</x:v>
      </x:c>
      <x:c r="I617" s="19" t="str">
        <x:v>0</x:v>
      </x:c>
      <x:c r="J617" s="19" t="n">
        <x:v>46260.108125</x:v>
      </x:c>
      <x:c r="K617" s="31" t="str">
        <x:v>data/fear-temperature/ngram/raw/0a04941be5651b2bc9de7c1d97a1ec296ca7d83fbf14cbae1d4cb6dce5e31d80.json</x:v>
      </x:c>
      <x:c r="L617" s="19" t="str">
        <x:v>d7902abbc080f4d2003d5f1a590f735baa3506f990d5c6b1c2d156f0cbd926e2</x:v>
      </x:c>
      <x:c r="M617" s="19" t="str">
        <x:v>03c6b3b7aec17c75d6066c3ad33475123246728a6d70514bc6c4b2fac975aa04</x:v>
      </x:c>
      <x:c r="N617" s="31" t="str">
        <x:v>FT-LF-CLIMATIC_CHANGE</x:v>
      </x:c>
      <x:c r="O617" s="31" t="str">
        <x:v>FT-C-HISTORICAL_CLIMATIC_CHANGE</x:v>
      </x:c>
      <x:c r="P617" s="31" t="str">
        <x:v>FT-F04</x:v>
      </x:c>
      <x:c r="Q617" s="49" t="n">
        <x:v>0.04049258661709132</x:v>
      </x:c>
    </x:row>
    <x:row r="618" ht="20" customHeight="1">
      <x:c r="A618" s="40" t="str">
        <x:v>FT-Q-V01-121</x:v>
      </x:c>
      <x:c r="B618" s="19" t="str">
        <x:v>climatic change</x:v>
      </x:c>
      <x:c r="C618" s="31" t="str">
        <x:v>climate</x:v>
      </x:c>
      <x:c r="D618" s="25" t="n">
        <x:v>1912</x:v>
      </x:c>
      <x:c r="E618" s="46" t="n">
        <x:v>3.121301076630667e-8</x:v>
      </x:c>
      <x:c r="F618" s="19" t="str">
        <x:v>eng</x:v>
      </x:c>
      <x:c r="G618" s="19" t="str">
        <x:v>current English corpus (July 2024 dataset; public shorthand eng; mutable current corpus)</x:v>
      </x:c>
      <x:c r="H618" s="19" t="str">
        <x:v>climatic change (All)</x:v>
      </x:c>
      <x:c r="I618" s="19" t="str">
        <x:v>0</x:v>
      </x:c>
      <x:c r="J618" s="19" t="n">
        <x:v>46260.108125</x:v>
      </x:c>
      <x:c r="K618" s="31" t="str">
        <x:v>data/fear-temperature/ngram/raw/0a04941be5651b2bc9de7c1d97a1ec296ca7d83fbf14cbae1d4cb6dce5e31d80.json</x:v>
      </x:c>
      <x:c r="L618" s="19" t="str">
        <x:v>d7902abbc080f4d2003d5f1a590f735baa3506f990d5c6b1c2d156f0cbd926e2</x:v>
      </x:c>
      <x:c r="M618" s="19" t="str">
        <x:v>03c6b3b7aec17c75d6066c3ad33475123246728a6d70514bc6c4b2fac975aa04</x:v>
      </x:c>
      <x:c r="N618" s="31" t="str">
        <x:v>FT-LF-CLIMATIC_CHANGE</x:v>
      </x:c>
      <x:c r="O618" s="31" t="str">
        <x:v>FT-C-HISTORICAL_CLIMATIC_CHANGE</x:v>
      </x:c>
      <x:c r="P618" s="31" t="str">
        <x:v>FT-F04</x:v>
      </x:c>
      <x:c r="Q618" s="49" t="n">
        <x:v>0.03121301076630667</x:v>
      </x:c>
    </x:row>
    <x:row r="619" ht="20" customHeight="1">
      <x:c r="A619" s="40" t="str">
        <x:v>FT-Q-V01-121</x:v>
      </x:c>
      <x:c r="B619" s="19" t="str">
        <x:v>climatic change</x:v>
      </x:c>
      <x:c r="C619" s="31" t="str">
        <x:v>climate</x:v>
      </x:c>
      <x:c r="D619" s="25" t="n">
        <x:v>1913</x:v>
      </x:c>
      <x:c r="E619" s="46" t="n">
        <x:v>4.233019479382705e-8</x:v>
      </x:c>
      <x:c r="F619" s="19" t="str">
        <x:v>eng</x:v>
      </x:c>
      <x:c r="G619" s="19" t="str">
        <x:v>current English corpus (July 2024 dataset; public shorthand eng; mutable current corpus)</x:v>
      </x:c>
      <x:c r="H619" s="19" t="str">
        <x:v>climatic change (All)</x:v>
      </x:c>
      <x:c r="I619" s="19" t="str">
        <x:v>0</x:v>
      </x:c>
      <x:c r="J619" s="19" t="n">
        <x:v>46260.108125</x:v>
      </x:c>
      <x:c r="K619" s="31" t="str">
        <x:v>data/fear-temperature/ngram/raw/0a04941be5651b2bc9de7c1d97a1ec296ca7d83fbf14cbae1d4cb6dce5e31d80.json</x:v>
      </x:c>
      <x:c r="L619" s="19" t="str">
        <x:v>d7902abbc080f4d2003d5f1a590f735baa3506f990d5c6b1c2d156f0cbd926e2</x:v>
      </x:c>
      <x:c r="M619" s="19" t="str">
        <x:v>03c6b3b7aec17c75d6066c3ad33475123246728a6d70514bc6c4b2fac975aa04</x:v>
      </x:c>
      <x:c r="N619" s="31" t="str">
        <x:v>FT-LF-CLIMATIC_CHANGE</x:v>
      </x:c>
      <x:c r="O619" s="31" t="str">
        <x:v>FT-C-HISTORICAL_CLIMATIC_CHANGE</x:v>
      </x:c>
      <x:c r="P619" s="31" t="str">
        <x:v>FT-F04</x:v>
      </x:c>
      <x:c r="Q619" s="49" t="n">
        <x:v>0.04233019479382705</x:v>
      </x:c>
    </x:row>
    <x:row r="620" ht="20" customHeight="1">
      <x:c r="A620" s="40" t="str">
        <x:v>FT-Q-V01-121</x:v>
      </x:c>
      <x:c r="B620" s="19" t="str">
        <x:v>climatic change</x:v>
      </x:c>
      <x:c r="C620" s="31" t="str">
        <x:v>climate</x:v>
      </x:c>
      <x:c r="D620" s="25" t="n">
        <x:v>1914</x:v>
      </x:c>
      <x:c r="E620" s="46" t="n">
        <x:v>5.487896703737505e-8</x:v>
      </x:c>
      <x:c r="F620" s="19" t="str">
        <x:v>eng</x:v>
      </x:c>
      <x:c r="G620" s="19" t="str">
        <x:v>current English corpus (July 2024 dataset; public shorthand eng; mutable current corpus)</x:v>
      </x:c>
      <x:c r="H620" s="19" t="str">
        <x:v>climatic change (All)</x:v>
      </x:c>
      <x:c r="I620" s="19" t="str">
        <x:v>0</x:v>
      </x:c>
      <x:c r="J620" s="19" t="n">
        <x:v>46260.108125</x:v>
      </x:c>
      <x:c r="K620" s="31" t="str">
        <x:v>data/fear-temperature/ngram/raw/0a04941be5651b2bc9de7c1d97a1ec296ca7d83fbf14cbae1d4cb6dce5e31d80.json</x:v>
      </x:c>
      <x:c r="L620" s="19" t="str">
        <x:v>d7902abbc080f4d2003d5f1a590f735baa3506f990d5c6b1c2d156f0cbd926e2</x:v>
      </x:c>
      <x:c r="M620" s="19" t="str">
        <x:v>03c6b3b7aec17c75d6066c3ad33475123246728a6d70514bc6c4b2fac975aa04</x:v>
      </x:c>
      <x:c r="N620" s="31" t="str">
        <x:v>FT-LF-CLIMATIC_CHANGE</x:v>
      </x:c>
      <x:c r="O620" s="31" t="str">
        <x:v>FT-C-HISTORICAL_CLIMATIC_CHANGE</x:v>
      </x:c>
      <x:c r="P620" s="31" t="str">
        <x:v>FT-F04</x:v>
      </x:c>
      <x:c r="Q620" s="49" t="n">
        <x:v>0.05487896703737505</x:v>
      </x:c>
    </x:row>
    <x:row r="621" ht="20" customHeight="1">
      <x:c r="A621" s="40" t="str">
        <x:v>FT-Q-V01-121</x:v>
      </x:c>
      <x:c r="B621" s="19" t="str">
        <x:v>climatic change</x:v>
      </x:c>
      <x:c r="C621" s="31" t="str">
        <x:v>climate</x:v>
      </x:c>
      <x:c r="D621" s="25" t="n">
        <x:v>1915</x:v>
      </x:c>
      <x:c r="E621" s="46" t="n">
        <x:v>4.717655779917784e-8</x:v>
      </x:c>
      <x:c r="F621" s="19" t="str">
        <x:v>eng</x:v>
      </x:c>
      <x:c r="G621" s="19" t="str">
        <x:v>current English corpus (July 2024 dataset; public shorthand eng; mutable current corpus)</x:v>
      </x:c>
      <x:c r="H621" s="19" t="str">
        <x:v>climatic change (All)</x:v>
      </x:c>
      <x:c r="I621" s="19" t="str">
        <x:v>0</x:v>
      </x:c>
      <x:c r="J621" s="19" t="n">
        <x:v>46260.108125</x:v>
      </x:c>
      <x:c r="K621" s="31" t="str">
        <x:v>data/fear-temperature/ngram/raw/0a04941be5651b2bc9de7c1d97a1ec296ca7d83fbf14cbae1d4cb6dce5e31d80.json</x:v>
      </x:c>
      <x:c r="L621" s="19" t="str">
        <x:v>d7902abbc080f4d2003d5f1a590f735baa3506f990d5c6b1c2d156f0cbd926e2</x:v>
      </x:c>
      <x:c r="M621" s="19" t="str">
        <x:v>03c6b3b7aec17c75d6066c3ad33475123246728a6d70514bc6c4b2fac975aa04</x:v>
      </x:c>
      <x:c r="N621" s="31" t="str">
        <x:v>FT-LF-CLIMATIC_CHANGE</x:v>
      </x:c>
      <x:c r="O621" s="31" t="str">
        <x:v>FT-C-HISTORICAL_CLIMATIC_CHANGE</x:v>
      </x:c>
      <x:c r="P621" s="31" t="str">
        <x:v>FT-F04</x:v>
      </x:c>
      <x:c r="Q621" s="49" t="n">
        <x:v>0.04717655779917784</x:v>
      </x:c>
    </x:row>
    <x:row r="622" ht="20" customHeight="1">
      <x:c r="A622" s="40" t="str">
        <x:v>FT-Q-V01-121</x:v>
      </x:c>
      <x:c r="B622" s="19" t="str">
        <x:v>climatic change</x:v>
      </x:c>
      <x:c r="C622" s="31" t="str">
        <x:v>climate</x:v>
      </x:c>
      <x:c r="D622" s="25" t="n">
        <x:v>1916</x:v>
      </x:c>
      <x:c r="E622" s="46" t="n">
        <x:v>3.417274393319181e-8</x:v>
      </x:c>
      <x:c r="F622" s="19" t="str">
        <x:v>eng</x:v>
      </x:c>
      <x:c r="G622" s="19" t="str">
        <x:v>current English corpus (July 2024 dataset; public shorthand eng; mutable current corpus)</x:v>
      </x:c>
      <x:c r="H622" s="19" t="str">
        <x:v>climatic change (All)</x:v>
      </x:c>
      <x:c r="I622" s="19" t="str">
        <x:v>0</x:v>
      </x:c>
      <x:c r="J622" s="19" t="n">
        <x:v>46260.108125</x:v>
      </x:c>
      <x:c r="K622" s="31" t="str">
        <x:v>data/fear-temperature/ngram/raw/0a04941be5651b2bc9de7c1d97a1ec296ca7d83fbf14cbae1d4cb6dce5e31d80.json</x:v>
      </x:c>
      <x:c r="L622" s="19" t="str">
        <x:v>d7902abbc080f4d2003d5f1a590f735baa3506f990d5c6b1c2d156f0cbd926e2</x:v>
      </x:c>
      <x:c r="M622" s="19" t="str">
        <x:v>03c6b3b7aec17c75d6066c3ad33475123246728a6d70514bc6c4b2fac975aa04</x:v>
      </x:c>
      <x:c r="N622" s="31" t="str">
        <x:v>FT-LF-CLIMATIC_CHANGE</x:v>
      </x:c>
      <x:c r="O622" s="31" t="str">
        <x:v>FT-C-HISTORICAL_CLIMATIC_CHANGE</x:v>
      </x:c>
      <x:c r="P622" s="31" t="str">
        <x:v>FT-F04</x:v>
      </x:c>
      <x:c r="Q622" s="49" t="n">
        <x:v>0.03417274393319181</x:v>
      </x:c>
    </x:row>
    <x:row r="623" ht="20" customHeight="1">
      <x:c r="A623" s="40" t="str">
        <x:v>FT-Q-V01-121</x:v>
      </x:c>
      <x:c r="B623" s="19" t="str">
        <x:v>climatic change</x:v>
      </x:c>
      <x:c r="C623" s="31" t="str">
        <x:v>climate</x:v>
      </x:c>
      <x:c r="D623" s="25" t="n">
        <x:v>1917</x:v>
      </x:c>
      <x:c r="E623" s="46" t="n">
        <x:v>3.9799948781116257e-8</x:v>
      </x:c>
      <x:c r="F623" s="19" t="str">
        <x:v>eng</x:v>
      </x:c>
      <x:c r="G623" s="19" t="str">
        <x:v>current English corpus (July 2024 dataset; public shorthand eng; mutable current corpus)</x:v>
      </x:c>
      <x:c r="H623" s="19" t="str">
        <x:v>climatic change (All)</x:v>
      </x:c>
      <x:c r="I623" s="19" t="str">
        <x:v>0</x:v>
      </x:c>
      <x:c r="J623" s="19" t="n">
        <x:v>46260.108125</x:v>
      </x:c>
      <x:c r="K623" s="31" t="str">
        <x:v>data/fear-temperature/ngram/raw/0a04941be5651b2bc9de7c1d97a1ec296ca7d83fbf14cbae1d4cb6dce5e31d80.json</x:v>
      </x:c>
      <x:c r="L623" s="19" t="str">
        <x:v>d7902abbc080f4d2003d5f1a590f735baa3506f990d5c6b1c2d156f0cbd926e2</x:v>
      </x:c>
      <x:c r="M623" s="19" t="str">
        <x:v>03c6b3b7aec17c75d6066c3ad33475123246728a6d70514bc6c4b2fac975aa04</x:v>
      </x:c>
      <x:c r="N623" s="31" t="str">
        <x:v>FT-LF-CLIMATIC_CHANGE</x:v>
      </x:c>
      <x:c r="O623" s="31" t="str">
        <x:v>FT-C-HISTORICAL_CLIMATIC_CHANGE</x:v>
      </x:c>
      <x:c r="P623" s="31" t="str">
        <x:v>FT-F04</x:v>
      </x:c>
      <x:c r="Q623" s="49" t="n">
        <x:v>0.03979994878111626</x:v>
      </x:c>
    </x:row>
    <x:row r="624" ht="20" customHeight="1">
      <x:c r="A624" s="40" t="str">
        <x:v>FT-Q-V01-121</x:v>
      </x:c>
      <x:c r="B624" s="19" t="str">
        <x:v>climatic change</x:v>
      </x:c>
      <x:c r="C624" s="31" t="str">
        <x:v>climate</x:v>
      </x:c>
      <x:c r="D624" s="25" t="n">
        <x:v>1918</x:v>
      </x:c>
      <x:c r="E624" s="46" t="n">
        <x:v>2.720384700838352e-8</x:v>
      </x:c>
      <x:c r="F624" s="19" t="str">
        <x:v>eng</x:v>
      </x:c>
      <x:c r="G624" s="19" t="str">
        <x:v>current English corpus (July 2024 dataset; public shorthand eng; mutable current corpus)</x:v>
      </x:c>
      <x:c r="H624" s="19" t="str">
        <x:v>climatic change (All)</x:v>
      </x:c>
      <x:c r="I624" s="19" t="str">
        <x:v>0</x:v>
      </x:c>
      <x:c r="J624" s="19" t="n">
        <x:v>46260.108125</x:v>
      </x:c>
      <x:c r="K624" s="31" t="str">
        <x:v>data/fear-temperature/ngram/raw/0a04941be5651b2bc9de7c1d97a1ec296ca7d83fbf14cbae1d4cb6dce5e31d80.json</x:v>
      </x:c>
      <x:c r="L624" s="19" t="str">
        <x:v>d7902abbc080f4d2003d5f1a590f735baa3506f990d5c6b1c2d156f0cbd926e2</x:v>
      </x:c>
      <x:c r="M624" s="19" t="str">
        <x:v>03c6b3b7aec17c75d6066c3ad33475123246728a6d70514bc6c4b2fac975aa04</x:v>
      </x:c>
      <x:c r="N624" s="31" t="str">
        <x:v>FT-LF-CLIMATIC_CHANGE</x:v>
      </x:c>
      <x:c r="O624" s="31" t="str">
        <x:v>FT-C-HISTORICAL_CLIMATIC_CHANGE</x:v>
      </x:c>
      <x:c r="P624" s="31" t="str">
        <x:v>FT-F04</x:v>
      </x:c>
      <x:c r="Q624" s="49" t="n">
        <x:v>0.02720384700838352</x:v>
      </x:c>
    </x:row>
    <x:row r="625" ht="20" customHeight="1">
      <x:c r="A625" s="40" t="str">
        <x:v>FT-Q-V01-121</x:v>
      </x:c>
      <x:c r="B625" s="19" t="str">
        <x:v>climatic change</x:v>
      </x:c>
      <x:c r="C625" s="31" t="str">
        <x:v>climate</x:v>
      </x:c>
      <x:c r="D625" s="25" t="n">
        <x:v>1919</x:v>
      </x:c>
      <x:c r="E625" s="46" t="n">
        <x:v>3.6230702327166846e-8</x:v>
      </x:c>
      <x:c r="F625" s="19" t="str">
        <x:v>eng</x:v>
      </x:c>
      <x:c r="G625" s="19" t="str">
        <x:v>current English corpus (July 2024 dataset; public shorthand eng; mutable current corpus)</x:v>
      </x:c>
      <x:c r="H625" s="19" t="str">
        <x:v>climatic change (All)</x:v>
      </x:c>
      <x:c r="I625" s="19" t="str">
        <x:v>0</x:v>
      </x:c>
      <x:c r="J625" s="19" t="n">
        <x:v>46260.108125</x:v>
      </x:c>
      <x:c r="K625" s="31" t="str">
        <x:v>data/fear-temperature/ngram/raw/0a04941be5651b2bc9de7c1d97a1ec296ca7d83fbf14cbae1d4cb6dce5e31d80.json</x:v>
      </x:c>
      <x:c r="L625" s="19" t="str">
        <x:v>d7902abbc080f4d2003d5f1a590f735baa3506f990d5c6b1c2d156f0cbd926e2</x:v>
      </x:c>
      <x:c r="M625" s="19" t="str">
        <x:v>03c6b3b7aec17c75d6066c3ad33475123246728a6d70514bc6c4b2fac975aa04</x:v>
      </x:c>
      <x:c r="N625" s="31" t="str">
        <x:v>FT-LF-CLIMATIC_CHANGE</x:v>
      </x:c>
      <x:c r="O625" s="31" t="str">
        <x:v>FT-C-HISTORICAL_CLIMATIC_CHANGE</x:v>
      </x:c>
      <x:c r="P625" s="31" t="str">
        <x:v>FT-F04</x:v>
      </x:c>
      <x:c r="Q625" s="49" t="n">
        <x:v>0.036230702327166846</x:v>
      </x:c>
    </x:row>
    <x:row r="626" ht="20" customHeight="1">
      <x:c r="A626" s="40" t="str">
        <x:v>FT-Q-V01-121</x:v>
      </x:c>
      <x:c r="B626" s="19" t="str">
        <x:v>climatic change</x:v>
      </x:c>
      <x:c r="C626" s="31" t="str">
        <x:v>climate</x:v>
      </x:c>
      <x:c r="D626" s="25" t="n">
        <x:v>1920</x:v>
      </x:c>
      <x:c r="E626" s="46" t="n">
        <x:v>2.992095454734667e-8</x:v>
      </x:c>
      <x:c r="F626" s="19" t="str">
        <x:v>eng</x:v>
      </x:c>
      <x:c r="G626" s="19" t="str">
        <x:v>current English corpus (July 2024 dataset; public shorthand eng; mutable current corpus)</x:v>
      </x:c>
      <x:c r="H626" s="19" t="str">
        <x:v>climatic change (All)</x:v>
      </x:c>
      <x:c r="I626" s="19" t="str">
        <x:v>0</x:v>
      </x:c>
      <x:c r="J626" s="19" t="n">
        <x:v>46260.108125</x:v>
      </x:c>
      <x:c r="K626" s="31" t="str">
        <x:v>data/fear-temperature/ngram/raw/0a04941be5651b2bc9de7c1d97a1ec296ca7d83fbf14cbae1d4cb6dce5e31d80.json</x:v>
      </x:c>
      <x:c r="L626" s="19" t="str">
        <x:v>d7902abbc080f4d2003d5f1a590f735baa3506f990d5c6b1c2d156f0cbd926e2</x:v>
      </x:c>
      <x:c r="M626" s="19" t="str">
        <x:v>03c6b3b7aec17c75d6066c3ad33475123246728a6d70514bc6c4b2fac975aa04</x:v>
      </x:c>
      <x:c r="N626" s="31" t="str">
        <x:v>FT-LF-CLIMATIC_CHANGE</x:v>
      </x:c>
      <x:c r="O626" s="31" t="str">
        <x:v>FT-C-HISTORICAL_CLIMATIC_CHANGE</x:v>
      </x:c>
      <x:c r="P626" s="31" t="str">
        <x:v>FT-F04</x:v>
      </x:c>
      <x:c r="Q626" s="49" t="n">
        <x:v>0.029920954547346668</x:v>
      </x:c>
    </x:row>
    <x:row r="627" ht="20" customHeight="1">
      <x:c r="A627" s="40" t="str">
        <x:v>FT-Q-V01-121</x:v>
      </x:c>
      <x:c r="B627" s="19" t="str">
        <x:v>climatic change</x:v>
      </x:c>
      <x:c r="C627" s="31" t="str">
        <x:v>climate</x:v>
      </x:c>
      <x:c r="D627" s="25" t="n">
        <x:v>1921</x:v>
      </x:c>
      <x:c r="E627" s="46" t="n">
        <x:v>3.073593998759172e-8</x:v>
      </x:c>
      <x:c r="F627" s="19" t="str">
        <x:v>eng</x:v>
      </x:c>
      <x:c r="G627" s="19" t="str">
        <x:v>current English corpus (July 2024 dataset; public shorthand eng; mutable current corpus)</x:v>
      </x:c>
      <x:c r="H627" s="19" t="str">
        <x:v>climatic change (All)</x:v>
      </x:c>
      <x:c r="I627" s="19" t="str">
        <x:v>0</x:v>
      </x:c>
      <x:c r="J627" s="19" t="n">
        <x:v>46260.108125</x:v>
      </x:c>
      <x:c r="K627" s="31" t="str">
        <x:v>data/fear-temperature/ngram/raw/0a04941be5651b2bc9de7c1d97a1ec296ca7d83fbf14cbae1d4cb6dce5e31d80.json</x:v>
      </x:c>
      <x:c r="L627" s="19" t="str">
        <x:v>d7902abbc080f4d2003d5f1a590f735baa3506f990d5c6b1c2d156f0cbd926e2</x:v>
      </x:c>
      <x:c r="M627" s="19" t="str">
        <x:v>03c6b3b7aec17c75d6066c3ad33475123246728a6d70514bc6c4b2fac975aa04</x:v>
      </x:c>
      <x:c r="N627" s="31" t="str">
        <x:v>FT-LF-CLIMATIC_CHANGE</x:v>
      </x:c>
      <x:c r="O627" s="31" t="str">
        <x:v>FT-C-HISTORICAL_CLIMATIC_CHANGE</x:v>
      </x:c>
      <x:c r="P627" s="31" t="str">
        <x:v>FT-F04</x:v>
      </x:c>
      <x:c r="Q627" s="49" t="n">
        <x:v>0.03073593998759172</x:v>
      </x:c>
    </x:row>
    <x:row r="628" ht="20" customHeight="1">
      <x:c r="A628" s="40" t="str">
        <x:v>FT-Q-V01-121</x:v>
      </x:c>
      <x:c r="B628" s="19" t="str">
        <x:v>climatic change</x:v>
      </x:c>
      <x:c r="C628" s="31" t="str">
        <x:v>climate</x:v>
      </x:c>
      <x:c r="D628" s="25" t="n">
        <x:v>1922</x:v>
      </x:c>
      <x:c r="E628" s="46" t="n">
        <x:v>3.1478203044166264e-8</x:v>
      </x:c>
      <x:c r="F628" s="19" t="str">
        <x:v>eng</x:v>
      </x:c>
      <x:c r="G628" s="19" t="str">
        <x:v>current English corpus (July 2024 dataset; public shorthand eng; mutable current corpus)</x:v>
      </x:c>
      <x:c r="H628" s="19" t="str">
        <x:v>climatic change (All)</x:v>
      </x:c>
      <x:c r="I628" s="19" t="str">
        <x:v>0</x:v>
      </x:c>
      <x:c r="J628" s="19" t="n">
        <x:v>46260.108125</x:v>
      </x:c>
      <x:c r="K628" s="31" t="str">
        <x:v>data/fear-temperature/ngram/raw/0a04941be5651b2bc9de7c1d97a1ec296ca7d83fbf14cbae1d4cb6dce5e31d80.json</x:v>
      </x:c>
      <x:c r="L628" s="19" t="str">
        <x:v>d7902abbc080f4d2003d5f1a590f735baa3506f990d5c6b1c2d156f0cbd926e2</x:v>
      </x:c>
      <x:c r="M628" s="19" t="str">
        <x:v>03c6b3b7aec17c75d6066c3ad33475123246728a6d70514bc6c4b2fac975aa04</x:v>
      </x:c>
      <x:c r="N628" s="31" t="str">
        <x:v>FT-LF-CLIMATIC_CHANGE</x:v>
      </x:c>
      <x:c r="O628" s="31" t="str">
        <x:v>FT-C-HISTORICAL_CLIMATIC_CHANGE</x:v>
      </x:c>
      <x:c r="P628" s="31" t="str">
        <x:v>FT-F04</x:v>
      </x:c>
      <x:c r="Q628" s="49" t="n">
        <x:v>0.031478203044166264</x:v>
      </x:c>
    </x:row>
    <x:row r="629" ht="20" customHeight="1">
      <x:c r="A629" s="40" t="str">
        <x:v>FT-Q-V01-121</x:v>
      </x:c>
      <x:c r="B629" s="19" t="str">
        <x:v>climatic change</x:v>
      </x:c>
      <x:c r="C629" s="31" t="str">
        <x:v>climate</x:v>
      </x:c>
      <x:c r="D629" s="25" t="n">
        <x:v>1923</x:v>
      </x:c>
      <x:c r="E629" s="46" t="n">
        <x:v>5.057379742767765e-8</x:v>
      </x:c>
      <x:c r="F629" s="19" t="str">
        <x:v>eng</x:v>
      </x:c>
      <x:c r="G629" s="19" t="str">
        <x:v>current English corpus (July 2024 dataset; public shorthand eng; mutable current corpus)</x:v>
      </x:c>
      <x:c r="H629" s="19" t="str">
        <x:v>climatic change (All)</x:v>
      </x:c>
      <x:c r="I629" s="19" t="str">
        <x:v>0</x:v>
      </x:c>
      <x:c r="J629" s="19" t="n">
        <x:v>46260.108125</x:v>
      </x:c>
      <x:c r="K629" s="31" t="str">
        <x:v>data/fear-temperature/ngram/raw/0a04941be5651b2bc9de7c1d97a1ec296ca7d83fbf14cbae1d4cb6dce5e31d80.json</x:v>
      </x:c>
      <x:c r="L629" s="19" t="str">
        <x:v>d7902abbc080f4d2003d5f1a590f735baa3506f990d5c6b1c2d156f0cbd926e2</x:v>
      </x:c>
      <x:c r="M629" s="19" t="str">
        <x:v>03c6b3b7aec17c75d6066c3ad33475123246728a6d70514bc6c4b2fac975aa04</x:v>
      </x:c>
      <x:c r="N629" s="31" t="str">
        <x:v>FT-LF-CLIMATIC_CHANGE</x:v>
      </x:c>
      <x:c r="O629" s="31" t="str">
        <x:v>FT-C-HISTORICAL_CLIMATIC_CHANGE</x:v>
      </x:c>
      <x:c r="P629" s="31" t="str">
        <x:v>FT-F04</x:v>
      </x:c>
      <x:c r="Q629" s="49" t="n">
        <x:v>0.05057379742767765</x:v>
      </x:c>
    </x:row>
    <x:row r="630" ht="20" customHeight="1">
      <x:c r="A630" s="40" t="str">
        <x:v>FT-Q-V01-121</x:v>
      </x:c>
      <x:c r="B630" s="19" t="str">
        <x:v>climatic change</x:v>
      </x:c>
      <x:c r="C630" s="31" t="str">
        <x:v>climate</x:v>
      </x:c>
      <x:c r="D630" s="25" t="n">
        <x:v>1924</x:v>
      </x:c>
      <x:c r="E630" s="46" t="n">
        <x:v>5.448158127419056e-8</x:v>
      </x:c>
      <x:c r="F630" s="19" t="str">
        <x:v>eng</x:v>
      </x:c>
      <x:c r="G630" s="19" t="str">
        <x:v>current English corpus (July 2024 dataset; public shorthand eng; mutable current corpus)</x:v>
      </x:c>
      <x:c r="H630" s="19" t="str">
        <x:v>climatic change (All)</x:v>
      </x:c>
      <x:c r="I630" s="19" t="str">
        <x:v>0</x:v>
      </x:c>
      <x:c r="J630" s="19" t="n">
        <x:v>46260.108125</x:v>
      </x:c>
      <x:c r="K630" s="31" t="str">
        <x:v>data/fear-temperature/ngram/raw/0a04941be5651b2bc9de7c1d97a1ec296ca7d83fbf14cbae1d4cb6dce5e31d80.json</x:v>
      </x:c>
      <x:c r="L630" s="19" t="str">
        <x:v>d7902abbc080f4d2003d5f1a590f735baa3506f990d5c6b1c2d156f0cbd926e2</x:v>
      </x:c>
      <x:c r="M630" s="19" t="str">
        <x:v>03c6b3b7aec17c75d6066c3ad33475123246728a6d70514bc6c4b2fac975aa04</x:v>
      </x:c>
      <x:c r="N630" s="31" t="str">
        <x:v>FT-LF-CLIMATIC_CHANGE</x:v>
      </x:c>
      <x:c r="O630" s="31" t="str">
        <x:v>FT-C-HISTORICAL_CLIMATIC_CHANGE</x:v>
      </x:c>
      <x:c r="P630" s="31" t="str">
        <x:v>FT-F04</x:v>
      </x:c>
      <x:c r="Q630" s="49" t="n">
        <x:v>0.05448158127419056</x:v>
      </x:c>
    </x:row>
    <x:row r="631" ht="20" customHeight="1">
      <x:c r="A631" s="40" t="str">
        <x:v>FT-Q-V01-121</x:v>
      </x:c>
      <x:c r="B631" s="19" t="str">
        <x:v>climatic change</x:v>
      </x:c>
      <x:c r="C631" s="31" t="str">
        <x:v>climate</x:v>
      </x:c>
      <x:c r="D631" s="25" t="n">
        <x:v>1925</x:v>
      </x:c>
      <x:c r="E631" s="46" t="n">
        <x:v>4.407312709231448e-8</x:v>
      </x:c>
      <x:c r="F631" s="19" t="str">
        <x:v>eng</x:v>
      </x:c>
      <x:c r="G631" s="19" t="str">
        <x:v>current English corpus (July 2024 dataset; public shorthand eng; mutable current corpus)</x:v>
      </x:c>
      <x:c r="H631" s="19" t="str">
        <x:v>climatic change (All)</x:v>
      </x:c>
      <x:c r="I631" s="19" t="str">
        <x:v>0</x:v>
      </x:c>
      <x:c r="J631" s="19" t="n">
        <x:v>46260.108125</x:v>
      </x:c>
      <x:c r="K631" s="31" t="str">
        <x:v>data/fear-temperature/ngram/raw/0a04941be5651b2bc9de7c1d97a1ec296ca7d83fbf14cbae1d4cb6dce5e31d80.json</x:v>
      </x:c>
      <x:c r="L631" s="19" t="str">
        <x:v>d7902abbc080f4d2003d5f1a590f735baa3506f990d5c6b1c2d156f0cbd926e2</x:v>
      </x:c>
      <x:c r="M631" s="19" t="str">
        <x:v>03c6b3b7aec17c75d6066c3ad33475123246728a6d70514bc6c4b2fac975aa04</x:v>
      </x:c>
      <x:c r="N631" s="31" t="str">
        <x:v>FT-LF-CLIMATIC_CHANGE</x:v>
      </x:c>
      <x:c r="O631" s="31" t="str">
        <x:v>FT-C-HISTORICAL_CLIMATIC_CHANGE</x:v>
      </x:c>
      <x:c r="P631" s="31" t="str">
        <x:v>FT-F04</x:v>
      </x:c>
      <x:c r="Q631" s="49" t="n">
        <x:v>0.04407312709231448</x:v>
      </x:c>
    </x:row>
    <x:row r="632" ht="20" customHeight="1">
      <x:c r="A632" s="40" t="str">
        <x:v>FT-Q-V01-121</x:v>
      </x:c>
      <x:c r="B632" s="19" t="str">
        <x:v>climatic change</x:v>
      </x:c>
      <x:c r="C632" s="31" t="str">
        <x:v>climate</x:v>
      </x:c>
      <x:c r="D632" s="25" t="n">
        <x:v>1926</x:v>
      </x:c>
      <x:c r="E632" s="46" t="n">
        <x:v>4.671735281958078e-8</x:v>
      </x:c>
      <x:c r="F632" s="19" t="str">
        <x:v>eng</x:v>
      </x:c>
      <x:c r="G632" s="19" t="str">
        <x:v>current English corpus (July 2024 dataset; public shorthand eng; mutable current corpus)</x:v>
      </x:c>
      <x:c r="H632" s="19" t="str">
        <x:v>climatic change (All)</x:v>
      </x:c>
      <x:c r="I632" s="19" t="str">
        <x:v>0</x:v>
      </x:c>
      <x:c r="J632" s="19" t="n">
        <x:v>46260.108125</x:v>
      </x:c>
      <x:c r="K632" s="31" t="str">
        <x:v>data/fear-temperature/ngram/raw/0a04941be5651b2bc9de7c1d97a1ec296ca7d83fbf14cbae1d4cb6dce5e31d80.json</x:v>
      </x:c>
      <x:c r="L632" s="19" t="str">
        <x:v>d7902abbc080f4d2003d5f1a590f735baa3506f990d5c6b1c2d156f0cbd926e2</x:v>
      </x:c>
      <x:c r="M632" s="19" t="str">
        <x:v>03c6b3b7aec17c75d6066c3ad33475123246728a6d70514bc6c4b2fac975aa04</x:v>
      </x:c>
      <x:c r="N632" s="31" t="str">
        <x:v>FT-LF-CLIMATIC_CHANGE</x:v>
      </x:c>
      <x:c r="O632" s="31" t="str">
        <x:v>FT-C-HISTORICAL_CLIMATIC_CHANGE</x:v>
      </x:c>
      <x:c r="P632" s="31" t="str">
        <x:v>FT-F04</x:v>
      </x:c>
      <x:c r="Q632" s="49" t="n">
        <x:v>0.04671735281958078</x:v>
      </x:c>
    </x:row>
    <x:row r="633" ht="20" customHeight="1">
      <x:c r="A633" s="40" t="str">
        <x:v>FT-Q-V01-121</x:v>
      </x:c>
      <x:c r="B633" s="19" t="str">
        <x:v>climatic change</x:v>
      </x:c>
      <x:c r="C633" s="31" t="str">
        <x:v>climate</x:v>
      </x:c>
      <x:c r="D633" s="25" t="n">
        <x:v>1927</x:v>
      </x:c>
      <x:c r="E633" s="46" t="n">
        <x:v>5.392051707908685e-8</x:v>
      </x:c>
      <x:c r="F633" s="19" t="str">
        <x:v>eng</x:v>
      </x:c>
      <x:c r="G633" s="19" t="str">
        <x:v>current English corpus (July 2024 dataset; public shorthand eng; mutable current corpus)</x:v>
      </x:c>
      <x:c r="H633" s="19" t="str">
        <x:v>climatic change (All)</x:v>
      </x:c>
      <x:c r="I633" s="19" t="str">
        <x:v>0</x:v>
      </x:c>
      <x:c r="J633" s="19" t="n">
        <x:v>46260.108125</x:v>
      </x:c>
      <x:c r="K633" s="31" t="str">
        <x:v>data/fear-temperature/ngram/raw/0a04941be5651b2bc9de7c1d97a1ec296ca7d83fbf14cbae1d4cb6dce5e31d80.json</x:v>
      </x:c>
      <x:c r="L633" s="19" t="str">
        <x:v>d7902abbc080f4d2003d5f1a590f735baa3506f990d5c6b1c2d156f0cbd926e2</x:v>
      </x:c>
      <x:c r="M633" s="19" t="str">
        <x:v>03c6b3b7aec17c75d6066c3ad33475123246728a6d70514bc6c4b2fac975aa04</x:v>
      </x:c>
      <x:c r="N633" s="31" t="str">
        <x:v>FT-LF-CLIMATIC_CHANGE</x:v>
      </x:c>
      <x:c r="O633" s="31" t="str">
        <x:v>FT-C-HISTORICAL_CLIMATIC_CHANGE</x:v>
      </x:c>
      <x:c r="P633" s="31" t="str">
        <x:v>FT-F04</x:v>
      </x:c>
      <x:c r="Q633" s="49" t="n">
        <x:v>0.05392051707908685</x:v>
      </x:c>
    </x:row>
    <x:row r="634" ht="20" customHeight="1">
      <x:c r="A634" s="40" t="str">
        <x:v>FT-Q-V01-121</x:v>
      </x:c>
      <x:c r="B634" s="19" t="str">
        <x:v>climatic change</x:v>
      </x:c>
      <x:c r="C634" s="31" t="str">
        <x:v>climate</x:v>
      </x:c>
      <x:c r="D634" s="25" t="n">
        <x:v>1928</x:v>
      </x:c>
      <x:c r="E634" s="46" t="n">
        <x:v>4.4342075566916606e-8</x:v>
      </x:c>
      <x:c r="F634" s="19" t="str">
        <x:v>eng</x:v>
      </x:c>
      <x:c r="G634" s="19" t="str">
        <x:v>current English corpus (July 2024 dataset; public shorthand eng; mutable current corpus)</x:v>
      </x:c>
      <x:c r="H634" s="19" t="str">
        <x:v>climatic change (All)</x:v>
      </x:c>
      <x:c r="I634" s="19" t="str">
        <x:v>0</x:v>
      </x:c>
      <x:c r="J634" s="19" t="n">
        <x:v>46260.108125</x:v>
      </x:c>
      <x:c r="K634" s="31" t="str">
        <x:v>data/fear-temperature/ngram/raw/0a04941be5651b2bc9de7c1d97a1ec296ca7d83fbf14cbae1d4cb6dce5e31d80.json</x:v>
      </x:c>
      <x:c r="L634" s="19" t="str">
        <x:v>d7902abbc080f4d2003d5f1a590f735baa3506f990d5c6b1c2d156f0cbd926e2</x:v>
      </x:c>
      <x:c r="M634" s="19" t="str">
        <x:v>03c6b3b7aec17c75d6066c3ad33475123246728a6d70514bc6c4b2fac975aa04</x:v>
      </x:c>
      <x:c r="N634" s="31" t="str">
        <x:v>FT-LF-CLIMATIC_CHANGE</x:v>
      </x:c>
      <x:c r="O634" s="31" t="str">
        <x:v>FT-C-HISTORICAL_CLIMATIC_CHANGE</x:v>
      </x:c>
      <x:c r="P634" s="31" t="str">
        <x:v>FT-F04</x:v>
      </x:c>
      <x:c r="Q634" s="49" t="n">
        <x:v>0.044342075566916606</x:v>
      </x:c>
    </x:row>
    <x:row r="635" ht="20" customHeight="1">
      <x:c r="A635" s="40" t="str">
        <x:v>FT-Q-V01-121</x:v>
      </x:c>
      <x:c r="B635" s="19" t="str">
        <x:v>climatic change</x:v>
      </x:c>
      <x:c r="C635" s="31" t="str">
        <x:v>climate</x:v>
      </x:c>
      <x:c r="D635" s="25" t="n">
        <x:v>1929</x:v>
      </x:c>
      <x:c r="E635" s="46" t="n">
        <x:v>6.994253476388934e-8</x:v>
      </x:c>
      <x:c r="F635" s="19" t="str">
        <x:v>eng</x:v>
      </x:c>
      <x:c r="G635" s="19" t="str">
        <x:v>current English corpus (July 2024 dataset; public shorthand eng; mutable current corpus)</x:v>
      </x:c>
      <x:c r="H635" s="19" t="str">
        <x:v>climatic change (All)</x:v>
      </x:c>
      <x:c r="I635" s="19" t="str">
        <x:v>0</x:v>
      </x:c>
      <x:c r="J635" s="19" t="n">
        <x:v>46260.108125</x:v>
      </x:c>
      <x:c r="K635" s="31" t="str">
        <x:v>data/fear-temperature/ngram/raw/0a04941be5651b2bc9de7c1d97a1ec296ca7d83fbf14cbae1d4cb6dce5e31d80.json</x:v>
      </x:c>
      <x:c r="L635" s="19" t="str">
        <x:v>d7902abbc080f4d2003d5f1a590f735baa3506f990d5c6b1c2d156f0cbd926e2</x:v>
      </x:c>
      <x:c r="M635" s="19" t="str">
        <x:v>03c6b3b7aec17c75d6066c3ad33475123246728a6d70514bc6c4b2fac975aa04</x:v>
      </x:c>
      <x:c r="N635" s="31" t="str">
        <x:v>FT-LF-CLIMATIC_CHANGE</x:v>
      </x:c>
      <x:c r="O635" s="31" t="str">
        <x:v>FT-C-HISTORICAL_CLIMATIC_CHANGE</x:v>
      </x:c>
      <x:c r="P635" s="31" t="str">
        <x:v>FT-F04</x:v>
      </x:c>
      <x:c r="Q635" s="49" t="n">
        <x:v>0.06994253476388934</x:v>
      </x:c>
    </x:row>
    <x:row r="636" ht="20" customHeight="1">
      <x:c r="A636" s="40" t="str">
        <x:v>FT-Q-V01-121</x:v>
      </x:c>
      <x:c r="B636" s="19" t="str">
        <x:v>climatic change</x:v>
      </x:c>
      <x:c r="C636" s="31" t="str">
        <x:v>climate</x:v>
      </x:c>
      <x:c r="D636" s="25" t="n">
        <x:v>1930</x:v>
      </x:c>
      <x:c r="E636" s="46" t="n">
        <x:v>4.216464075113002e-8</x:v>
      </x:c>
      <x:c r="F636" s="19" t="str">
        <x:v>eng</x:v>
      </x:c>
      <x:c r="G636" s="19" t="str">
        <x:v>current English corpus (July 2024 dataset; public shorthand eng; mutable current corpus)</x:v>
      </x:c>
      <x:c r="H636" s="19" t="str">
        <x:v>climatic change (All)</x:v>
      </x:c>
      <x:c r="I636" s="19" t="str">
        <x:v>0</x:v>
      </x:c>
      <x:c r="J636" s="19" t="n">
        <x:v>46260.108125</x:v>
      </x:c>
      <x:c r="K636" s="31" t="str">
        <x:v>data/fear-temperature/ngram/raw/0a04941be5651b2bc9de7c1d97a1ec296ca7d83fbf14cbae1d4cb6dce5e31d80.json</x:v>
      </x:c>
      <x:c r="L636" s="19" t="str">
        <x:v>d7902abbc080f4d2003d5f1a590f735baa3506f990d5c6b1c2d156f0cbd926e2</x:v>
      </x:c>
      <x:c r="M636" s="19" t="str">
        <x:v>03c6b3b7aec17c75d6066c3ad33475123246728a6d70514bc6c4b2fac975aa04</x:v>
      </x:c>
      <x:c r="N636" s="31" t="str">
        <x:v>FT-LF-CLIMATIC_CHANGE</x:v>
      </x:c>
      <x:c r="O636" s="31" t="str">
        <x:v>FT-C-HISTORICAL_CLIMATIC_CHANGE</x:v>
      </x:c>
      <x:c r="P636" s="31" t="str">
        <x:v>FT-F04</x:v>
      </x:c>
      <x:c r="Q636" s="49" t="n">
        <x:v>0.04216464075113002</x:v>
      </x:c>
    </x:row>
    <x:row r="637" ht="20" customHeight="1">
      <x:c r="A637" s="40" t="str">
        <x:v>FT-Q-V01-121</x:v>
      </x:c>
      <x:c r="B637" s="19" t="str">
        <x:v>climatic change</x:v>
      </x:c>
      <x:c r="C637" s="31" t="str">
        <x:v>climate</x:v>
      </x:c>
      <x:c r="D637" s="25" t="n">
        <x:v>1931</x:v>
      </x:c>
      <x:c r="E637" s="46" t="n">
        <x:v>7.032762050496189e-8</x:v>
      </x:c>
      <x:c r="F637" s="19" t="str">
        <x:v>eng</x:v>
      </x:c>
      <x:c r="G637" s="19" t="str">
        <x:v>current English corpus (July 2024 dataset; public shorthand eng; mutable current corpus)</x:v>
      </x:c>
      <x:c r="H637" s="19" t="str">
        <x:v>climatic change (All)</x:v>
      </x:c>
      <x:c r="I637" s="19" t="str">
        <x:v>0</x:v>
      </x:c>
      <x:c r="J637" s="19" t="n">
        <x:v>46260.108125</x:v>
      </x:c>
      <x:c r="K637" s="31" t="str">
        <x:v>data/fear-temperature/ngram/raw/0a04941be5651b2bc9de7c1d97a1ec296ca7d83fbf14cbae1d4cb6dce5e31d80.json</x:v>
      </x:c>
      <x:c r="L637" s="19" t="str">
        <x:v>d7902abbc080f4d2003d5f1a590f735baa3506f990d5c6b1c2d156f0cbd926e2</x:v>
      </x:c>
      <x:c r="M637" s="19" t="str">
        <x:v>03c6b3b7aec17c75d6066c3ad33475123246728a6d70514bc6c4b2fac975aa04</x:v>
      </x:c>
      <x:c r="N637" s="31" t="str">
        <x:v>FT-LF-CLIMATIC_CHANGE</x:v>
      </x:c>
      <x:c r="O637" s="31" t="str">
        <x:v>FT-C-HISTORICAL_CLIMATIC_CHANGE</x:v>
      </x:c>
      <x:c r="P637" s="31" t="str">
        <x:v>FT-F04</x:v>
      </x:c>
      <x:c r="Q637" s="49" t="n">
        <x:v>0.07032762050496189</x:v>
      </x:c>
    </x:row>
    <x:row r="638" ht="20" customHeight="1">
      <x:c r="A638" s="40" t="str">
        <x:v>FT-Q-V01-121</x:v>
      </x:c>
      <x:c r="B638" s="19" t="str">
        <x:v>climatic change</x:v>
      </x:c>
      <x:c r="C638" s="31" t="str">
        <x:v>climate</x:v>
      </x:c>
      <x:c r="D638" s="25" t="n">
        <x:v>1932</x:v>
      </x:c>
      <x:c r="E638" s="46" t="n">
        <x:v>5.6550925553455755e-8</x:v>
      </x:c>
      <x:c r="F638" s="19" t="str">
        <x:v>eng</x:v>
      </x:c>
      <x:c r="G638" s="19" t="str">
        <x:v>current English corpus (July 2024 dataset; public shorthand eng; mutable current corpus)</x:v>
      </x:c>
      <x:c r="H638" s="19" t="str">
        <x:v>climatic change (All)</x:v>
      </x:c>
      <x:c r="I638" s="19" t="str">
        <x:v>0</x:v>
      </x:c>
      <x:c r="J638" s="19" t="n">
        <x:v>46260.108125</x:v>
      </x:c>
      <x:c r="K638" s="31" t="str">
        <x:v>data/fear-temperature/ngram/raw/0a04941be5651b2bc9de7c1d97a1ec296ca7d83fbf14cbae1d4cb6dce5e31d80.json</x:v>
      </x:c>
      <x:c r="L638" s="19" t="str">
        <x:v>d7902abbc080f4d2003d5f1a590f735baa3506f990d5c6b1c2d156f0cbd926e2</x:v>
      </x:c>
      <x:c r="M638" s="19" t="str">
        <x:v>03c6b3b7aec17c75d6066c3ad33475123246728a6d70514bc6c4b2fac975aa04</x:v>
      </x:c>
      <x:c r="N638" s="31" t="str">
        <x:v>FT-LF-CLIMATIC_CHANGE</x:v>
      </x:c>
      <x:c r="O638" s="31" t="str">
        <x:v>FT-C-HISTORICAL_CLIMATIC_CHANGE</x:v>
      </x:c>
      <x:c r="P638" s="31" t="str">
        <x:v>FT-F04</x:v>
      </x:c>
      <x:c r="Q638" s="49" t="n">
        <x:v>0.056550925553455755</x:v>
      </x:c>
    </x:row>
    <x:row r="639" ht="20" customHeight="1">
      <x:c r="A639" s="40" t="str">
        <x:v>FT-Q-V01-121</x:v>
      </x:c>
      <x:c r="B639" s="19" t="str">
        <x:v>climatic change</x:v>
      </x:c>
      <x:c r="C639" s="31" t="str">
        <x:v>climate</x:v>
      </x:c>
      <x:c r="D639" s="25" t="n">
        <x:v>1933</x:v>
      </x:c>
      <x:c r="E639" s="46" t="n">
        <x:v>6.61544533597791e-8</x:v>
      </x:c>
      <x:c r="F639" s="19" t="str">
        <x:v>eng</x:v>
      </x:c>
      <x:c r="G639" s="19" t="str">
        <x:v>current English corpus (July 2024 dataset; public shorthand eng; mutable current corpus)</x:v>
      </x:c>
      <x:c r="H639" s="19" t="str">
        <x:v>climatic change (All)</x:v>
      </x:c>
      <x:c r="I639" s="19" t="str">
        <x:v>0</x:v>
      </x:c>
      <x:c r="J639" s="19" t="n">
        <x:v>46260.108125</x:v>
      </x:c>
      <x:c r="K639" s="31" t="str">
        <x:v>data/fear-temperature/ngram/raw/0a04941be5651b2bc9de7c1d97a1ec296ca7d83fbf14cbae1d4cb6dce5e31d80.json</x:v>
      </x:c>
      <x:c r="L639" s="19" t="str">
        <x:v>d7902abbc080f4d2003d5f1a590f735baa3506f990d5c6b1c2d156f0cbd926e2</x:v>
      </x:c>
      <x:c r="M639" s="19" t="str">
        <x:v>03c6b3b7aec17c75d6066c3ad33475123246728a6d70514bc6c4b2fac975aa04</x:v>
      </x:c>
      <x:c r="N639" s="31" t="str">
        <x:v>FT-LF-CLIMATIC_CHANGE</x:v>
      </x:c>
      <x:c r="O639" s="31" t="str">
        <x:v>FT-C-HISTORICAL_CLIMATIC_CHANGE</x:v>
      </x:c>
      <x:c r="P639" s="31" t="str">
        <x:v>FT-F04</x:v>
      </x:c>
      <x:c r="Q639" s="49" t="n">
        <x:v>0.0661544533597791</x:v>
      </x:c>
    </x:row>
    <x:row r="640" ht="20" customHeight="1">
      <x:c r="A640" s="40" t="str">
        <x:v>FT-Q-V01-121</x:v>
      </x:c>
      <x:c r="B640" s="19" t="str">
        <x:v>climatic change</x:v>
      </x:c>
      <x:c r="C640" s="31" t="str">
        <x:v>climate</x:v>
      </x:c>
      <x:c r="D640" s="25" t="n">
        <x:v>1934</x:v>
      </x:c>
      <x:c r="E640" s="46" t="n">
        <x:v>1.0538126882231325e-7</x:v>
      </x:c>
      <x:c r="F640" s="19" t="str">
        <x:v>eng</x:v>
      </x:c>
      <x:c r="G640" s="19" t="str">
        <x:v>current English corpus (July 2024 dataset; public shorthand eng; mutable current corpus)</x:v>
      </x:c>
      <x:c r="H640" s="19" t="str">
        <x:v>climatic change (All)</x:v>
      </x:c>
      <x:c r="I640" s="19" t="str">
        <x:v>0</x:v>
      </x:c>
      <x:c r="J640" s="19" t="n">
        <x:v>46260.108125</x:v>
      </x:c>
      <x:c r="K640" s="31" t="str">
        <x:v>data/fear-temperature/ngram/raw/0a04941be5651b2bc9de7c1d97a1ec296ca7d83fbf14cbae1d4cb6dce5e31d80.json</x:v>
      </x:c>
      <x:c r="L640" s="19" t="str">
        <x:v>d7902abbc080f4d2003d5f1a590f735baa3506f990d5c6b1c2d156f0cbd926e2</x:v>
      </x:c>
      <x:c r="M640" s="19" t="str">
        <x:v>03c6b3b7aec17c75d6066c3ad33475123246728a6d70514bc6c4b2fac975aa04</x:v>
      </x:c>
      <x:c r="N640" s="31" t="str">
        <x:v>FT-LF-CLIMATIC_CHANGE</x:v>
      </x:c>
      <x:c r="O640" s="31" t="str">
        <x:v>FT-C-HISTORICAL_CLIMATIC_CHANGE</x:v>
      </x:c>
      <x:c r="P640" s="31" t="str">
        <x:v>FT-F04</x:v>
      </x:c>
      <x:c r="Q640" s="49" t="n">
        <x:v>0.10538126882231325</x:v>
      </x:c>
    </x:row>
    <x:row r="641" ht="20" customHeight="1">
      <x:c r="A641" s="40" t="str">
        <x:v>FT-Q-V01-121</x:v>
      </x:c>
      <x:c r="B641" s="19" t="str">
        <x:v>climatic change</x:v>
      </x:c>
      <x:c r="C641" s="31" t="str">
        <x:v>climate</x:v>
      </x:c>
      <x:c r="D641" s="25" t="n">
        <x:v>1935</x:v>
      </x:c>
      <x:c r="E641" s="46" t="n">
        <x:v>9.0063739799362e-8</x:v>
      </x:c>
      <x:c r="F641" s="19" t="str">
        <x:v>eng</x:v>
      </x:c>
      <x:c r="G641" s="19" t="str">
        <x:v>current English corpus (July 2024 dataset; public shorthand eng; mutable current corpus)</x:v>
      </x:c>
      <x:c r="H641" s="19" t="str">
        <x:v>climatic change (All)</x:v>
      </x:c>
      <x:c r="I641" s="19" t="str">
        <x:v>0</x:v>
      </x:c>
      <x:c r="J641" s="19" t="n">
        <x:v>46260.108125</x:v>
      </x:c>
      <x:c r="K641" s="31" t="str">
        <x:v>data/fear-temperature/ngram/raw/0a04941be5651b2bc9de7c1d97a1ec296ca7d83fbf14cbae1d4cb6dce5e31d80.json</x:v>
      </x:c>
      <x:c r="L641" s="19" t="str">
        <x:v>d7902abbc080f4d2003d5f1a590f735baa3506f990d5c6b1c2d156f0cbd926e2</x:v>
      </x:c>
      <x:c r="M641" s="19" t="str">
        <x:v>03c6b3b7aec17c75d6066c3ad33475123246728a6d70514bc6c4b2fac975aa04</x:v>
      </x:c>
      <x:c r="N641" s="31" t="str">
        <x:v>FT-LF-CLIMATIC_CHANGE</x:v>
      </x:c>
      <x:c r="O641" s="31" t="str">
        <x:v>FT-C-HISTORICAL_CLIMATIC_CHANGE</x:v>
      </x:c>
      <x:c r="P641" s="31" t="str">
        <x:v>FT-F04</x:v>
      </x:c>
      <x:c r="Q641" s="49" t="n">
        <x:v>0.090063739799362</x:v>
      </x:c>
    </x:row>
    <x:row r="642" ht="20" customHeight="1">
      <x:c r="A642" s="40" t="str">
        <x:v>FT-Q-V01-121</x:v>
      </x:c>
      <x:c r="B642" s="19" t="str">
        <x:v>climatic change</x:v>
      </x:c>
      <x:c r="C642" s="31" t="str">
        <x:v>climate</x:v>
      </x:c>
      <x:c r="D642" s="25" t="n">
        <x:v>1936</x:v>
      </x:c>
      <x:c r="E642" s="46" t="n">
        <x:v>5.0373774262979516e-8</x:v>
      </x:c>
      <x:c r="F642" s="19" t="str">
        <x:v>eng</x:v>
      </x:c>
      <x:c r="G642" s="19" t="str">
        <x:v>current English corpus (July 2024 dataset; public shorthand eng; mutable current corpus)</x:v>
      </x:c>
      <x:c r="H642" s="19" t="str">
        <x:v>climatic change (All)</x:v>
      </x:c>
      <x:c r="I642" s="19" t="str">
        <x:v>0</x:v>
      </x:c>
      <x:c r="J642" s="19" t="n">
        <x:v>46260.108125</x:v>
      </x:c>
      <x:c r="K642" s="31" t="str">
        <x:v>data/fear-temperature/ngram/raw/0a04941be5651b2bc9de7c1d97a1ec296ca7d83fbf14cbae1d4cb6dce5e31d80.json</x:v>
      </x:c>
      <x:c r="L642" s="19" t="str">
        <x:v>d7902abbc080f4d2003d5f1a590f735baa3506f990d5c6b1c2d156f0cbd926e2</x:v>
      </x:c>
      <x:c r="M642" s="19" t="str">
        <x:v>03c6b3b7aec17c75d6066c3ad33475123246728a6d70514bc6c4b2fac975aa04</x:v>
      </x:c>
      <x:c r="N642" s="31" t="str">
        <x:v>FT-LF-CLIMATIC_CHANGE</x:v>
      </x:c>
      <x:c r="O642" s="31" t="str">
        <x:v>FT-C-HISTORICAL_CLIMATIC_CHANGE</x:v>
      </x:c>
      <x:c r="P642" s="31" t="str">
        <x:v>FT-F04</x:v>
      </x:c>
      <x:c r="Q642" s="49" t="n">
        <x:v>0.050373774262979516</x:v>
      </x:c>
    </x:row>
    <x:row r="643" ht="20" customHeight="1">
      <x:c r="A643" s="40" t="str">
        <x:v>FT-Q-V01-121</x:v>
      </x:c>
      <x:c r="B643" s="19" t="str">
        <x:v>climatic change</x:v>
      </x:c>
      <x:c r="C643" s="31" t="str">
        <x:v>climate</x:v>
      </x:c>
      <x:c r="D643" s="25" t="n">
        <x:v>1937</x:v>
      </x:c>
      <x:c r="E643" s="46" t="n">
        <x:v>6.931576107538362e-8</x:v>
      </x:c>
      <x:c r="F643" s="19" t="str">
        <x:v>eng</x:v>
      </x:c>
      <x:c r="G643" s="19" t="str">
        <x:v>current English corpus (July 2024 dataset; public shorthand eng; mutable current corpus)</x:v>
      </x:c>
      <x:c r="H643" s="19" t="str">
        <x:v>climatic change (All)</x:v>
      </x:c>
      <x:c r="I643" s="19" t="str">
        <x:v>0</x:v>
      </x:c>
      <x:c r="J643" s="19" t="n">
        <x:v>46260.108125</x:v>
      </x:c>
      <x:c r="K643" s="31" t="str">
        <x:v>data/fear-temperature/ngram/raw/0a04941be5651b2bc9de7c1d97a1ec296ca7d83fbf14cbae1d4cb6dce5e31d80.json</x:v>
      </x:c>
      <x:c r="L643" s="19" t="str">
        <x:v>d7902abbc080f4d2003d5f1a590f735baa3506f990d5c6b1c2d156f0cbd926e2</x:v>
      </x:c>
      <x:c r="M643" s="19" t="str">
        <x:v>03c6b3b7aec17c75d6066c3ad33475123246728a6d70514bc6c4b2fac975aa04</x:v>
      </x:c>
      <x:c r="N643" s="31" t="str">
        <x:v>FT-LF-CLIMATIC_CHANGE</x:v>
      </x:c>
      <x:c r="O643" s="31" t="str">
        <x:v>FT-C-HISTORICAL_CLIMATIC_CHANGE</x:v>
      </x:c>
      <x:c r="P643" s="31" t="str">
        <x:v>FT-F04</x:v>
      </x:c>
      <x:c r="Q643" s="49" t="n">
        <x:v>0.06931576107538362</x:v>
      </x:c>
    </x:row>
    <x:row r="644" ht="20" customHeight="1">
      <x:c r="A644" s="40" t="str">
        <x:v>FT-Q-V01-121</x:v>
      </x:c>
      <x:c r="B644" s="19" t="str">
        <x:v>climatic change</x:v>
      </x:c>
      <x:c r="C644" s="31" t="str">
        <x:v>climate</x:v>
      </x:c>
      <x:c r="D644" s="25" t="n">
        <x:v>1938</x:v>
      </x:c>
      <x:c r="E644" s="46" t="n">
        <x:v>5.535186192728859e-8</x:v>
      </x:c>
      <x:c r="F644" s="19" t="str">
        <x:v>eng</x:v>
      </x:c>
      <x:c r="G644" s="19" t="str">
        <x:v>current English corpus (July 2024 dataset; public shorthand eng; mutable current corpus)</x:v>
      </x:c>
      <x:c r="H644" s="19" t="str">
        <x:v>climatic change (All)</x:v>
      </x:c>
      <x:c r="I644" s="19" t="str">
        <x:v>0</x:v>
      </x:c>
      <x:c r="J644" s="19" t="n">
        <x:v>46260.108125</x:v>
      </x:c>
      <x:c r="K644" s="31" t="str">
        <x:v>data/fear-temperature/ngram/raw/0a04941be5651b2bc9de7c1d97a1ec296ca7d83fbf14cbae1d4cb6dce5e31d80.json</x:v>
      </x:c>
      <x:c r="L644" s="19" t="str">
        <x:v>d7902abbc080f4d2003d5f1a590f735baa3506f990d5c6b1c2d156f0cbd926e2</x:v>
      </x:c>
      <x:c r="M644" s="19" t="str">
        <x:v>03c6b3b7aec17c75d6066c3ad33475123246728a6d70514bc6c4b2fac975aa04</x:v>
      </x:c>
      <x:c r="N644" s="31" t="str">
        <x:v>FT-LF-CLIMATIC_CHANGE</x:v>
      </x:c>
      <x:c r="O644" s="31" t="str">
        <x:v>FT-C-HISTORICAL_CLIMATIC_CHANGE</x:v>
      </x:c>
      <x:c r="P644" s="31" t="str">
        <x:v>FT-F04</x:v>
      </x:c>
      <x:c r="Q644" s="49" t="n">
        <x:v>0.05535186192728859</x:v>
      </x:c>
    </x:row>
    <x:row r="645" ht="20" customHeight="1">
      <x:c r="A645" s="40" t="str">
        <x:v>FT-Q-V01-121</x:v>
      </x:c>
      <x:c r="B645" s="19" t="str">
        <x:v>climatic change</x:v>
      </x:c>
      <x:c r="C645" s="31" t="str">
        <x:v>climate</x:v>
      </x:c>
      <x:c r="D645" s="25" t="n">
        <x:v>1939</x:v>
      </x:c>
      <x:c r="E645" s="46" t="n">
        <x:v>6.106082350854081e-8</x:v>
      </x:c>
      <x:c r="F645" s="19" t="str">
        <x:v>eng</x:v>
      </x:c>
      <x:c r="G645" s="19" t="str">
        <x:v>current English corpus (July 2024 dataset; public shorthand eng; mutable current corpus)</x:v>
      </x:c>
      <x:c r="H645" s="19" t="str">
        <x:v>climatic change (All)</x:v>
      </x:c>
      <x:c r="I645" s="19" t="str">
        <x:v>0</x:v>
      </x:c>
      <x:c r="J645" s="19" t="n">
        <x:v>46260.108125</x:v>
      </x:c>
      <x:c r="K645" s="31" t="str">
        <x:v>data/fear-temperature/ngram/raw/0a04941be5651b2bc9de7c1d97a1ec296ca7d83fbf14cbae1d4cb6dce5e31d80.json</x:v>
      </x:c>
      <x:c r="L645" s="19" t="str">
        <x:v>d7902abbc080f4d2003d5f1a590f735baa3506f990d5c6b1c2d156f0cbd926e2</x:v>
      </x:c>
      <x:c r="M645" s="19" t="str">
        <x:v>03c6b3b7aec17c75d6066c3ad33475123246728a6d70514bc6c4b2fac975aa04</x:v>
      </x:c>
      <x:c r="N645" s="31" t="str">
        <x:v>FT-LF-CLIMATIC_CHANGE</x:v>
      </x:c>
      <x:c r="O645" s="31" t="str">
        <x:v>FT-C-HISTORICAL_CLIMATIC_CHANGE</x:v>
      </x:c>
      <x:c r="P645" s="31" t="str">
        <x:v>FT-F04</x:v>
      </x:c>
      <x:c r="Q645" s="49" t="n">
        <x:v>0.06106082350854081</x:v>
      </x:c>
    </x:row>
    <x:row r="646" ht="20" customHeight="1">
      <x:c r="A646" s="40" t="str">
        <x:v>FT-Q-V01-121</x:v>
      </x:c>
      <x:c r="B646" s="19" t="str">
        <x:v>climatic change</x:v>
      </x:c>
      <x:c r="C646" s="31" t="str">
        <x:v>climate</x:v>
      </x:c>
      <x:c r="D646" s="25" t="n">
        <x:v>1940</x:v>
      </x:c>
      <x:c r="E646" s="46" t="n">
        <x:v>5.6165233380811586e-8</x:v>
      </x:c>
      <x:c r="F646" s="19" t="str">
        <x:v>eng</x:v>
      </x:c>
      <x:c r="G646" s="19" t="str">
        <x:v>current English corpus (July 2024 dataset; public shorthand eng; mutable current corpus)</x:v>
      </x:c>
      <x:c r="H646" s="19" t="str">
        <x:v>climatic change (All)</x:v>
      </x:c>
      <x:c r="I646" s="19" t="str">
        <x:v>0</x:v>
      </x:c>
      <x:c r="J646" s="19" t="n">
        <x:v>46260.108125</x:v>
      </x:c>
      <x:c r="K646" s="31" t="str">
        <x:v>data/fear-temperature/ngram/raw/0a04941be5651b2bc9de7c1d97a1ec296ca7d83fbf14cbae1d4cb6dce5e31d80.json</x:v>
      </x:c>
      <x:c r="L646" s="19" t="str">
        <x:v>d7902abbc080f4d2003d5f1a590f735baa3506f990d5c6b1c2d156f0cbd926e2</x:v>
      </x:c>
      <x:c r="M646" s="19" t="str">
        <x:v>03c6b3b7aec17c75d6066c3ad33475123246728a6d70514bc6c4b2fac975aa04</x:v>
      </x:c>
      <x:c r="N646" s="31" t="str">
        <x:v>FT-LF-CLIMATIC_CHANGE</x:v>
      </x:c>
      <x:c r="O646" s="31" t="str">
        <x:v>FT-C-HISTORICAL_CLIMATIC_CHANGE</x:v>
      </x:c>
      <x:c r="P646" s="31" t="str">
        <x:v>FT-F04</x:v>
      </x:c>
      <x:c r="Q646" s="49" t="n">
        <x:v>0.056165233380811586</x:v>
      </x:c>
    </x:row>
    <x:row r="647" ht="20" customHeight="1">
      <x:c r="A647" s="40" t="str">
        <x:v>FT-Q-V01-121</x:v>
      </x:c>
      <x:c r="B647" s="19" t="str">
        <x:v>climatic change</x:v>
      </x:c>
      <x:c r="C647" s="31" t="str">
        <x:v>climate</x:v>
      </x:c>
      <x:c r="D647" s="25" t="n">
        <x:v>1941</x:v>
      </x:c>
      <x:c r="E647" s="46" t="n">
        <x:v>8.500127846033934e-8</x:v>
      </x:c>
      <x:c r="F647" s="19" t="str">
        <x:v>eng</x:v>
      </x:c>
      <x:c r="G647" s="19" t="str">
        <x:v>current English corpus (July 2024 dataset; public shorthand eng; mutable current corpus)</x:v>
      </x:c>
      <x:c r="H647" s="19" t="str">
        <x:v>climatic change (All)</x:v>
      </x:c>
      <x:c r="I647" s="19" t="str">
        <x:v>0</x:v>
      </x:c>
      <x:c r="J647" s="19" t="n">
        <x:v>46260.108125</x:v>
      </x:c>
      <x:c r="K647" s="31" t="str">
        <x:v>data/fear-temperature/ngram/raw/0a04941be5651b2bc9de7c1d97a1ec296ca7d83fbf14cbae1d4cb6dce5e31d80.json</x:v>
      </x:c>
      <x:c r="L647" s="19" t="str">
        <x:v>d7902abbc080f4d2003d5f1a590f735baa3506f990d5c6b1c2d156f0cbd926e2</x:v>
      </x:c>
      <x:c r="M647" s="19" t="str">
        <x:v>03c6b3b7aec17c75d6066c3ad33475123246728a6d70514bc6c4b2fac975aa04</x:v>
      </x:c>
      <x:c r="N647" s="31" t="str">
        <x:v>FT-LF-CLIMATIC_CHANGE</x:v>
      </x:c>
      <x:c r="O647" s="31" t="str">
        <x:v>FT-C-HISTORICAL_CLIMATIC_CHANGE</x:v>
      </x:c>
      <x:c r="P647" s="31" t="str">
        <x:v>FT-F04</x:v>
      </x:c>
      <x:c r="Q647" s="49" t="n">
        <x:v>0.08500127846033934</x:v>
      </x:c>
    </x:row>
    <x:row r="648" ht="20" customHeight="1">
      <x:c r="A648" s="40" t="str">
        <x:v>FT-Q-V01-121</x:v>
      </x:c>
      <x:c r="B648" s="19" t="str">
        <x:v>climatic change</x:v>
      </x:c>
      <x:c r="C648" s="31" t="str">
        <x:v>climate</x:v>
      </x:c>
      <x:c r="D648" s="25" t="n">
        <x:v>1942</x:v>
      </x:c>
      <x:c r="E648" s="46" t="n">
        <x:v>1.0499886826664805e-7</x:v>
      </x:c>
      <x:c r="F648" s="19" t="str">
        <x:v>eng</x:v>
      </x:c>
      <x:c r="G648" s="19" t="str">
        <x:v>current English corpus (July 2024 dataset; public shorthand eng; mutable current corpus)</x:v>
      </x:c>
      <x:c r="H648" s="19" t="str">
        <x:v>climatic change (All)</x:v>
      </x:c>
      <x:c r="I648" s="19" t="str">
        <x:v>0</x:v>
      </x:c>
      <x:c r="J648" s="19" t="n">
        <x:v>46260.108125</x:v>
      </x:c>
      <x:c r="K648" s="31" t="str">
        <x:v>data/fear-temperature/ngram/raw/0a04941be5651b2bc9de7c1d97a1ec296ca7d83fbf14cbae1d4cb6dce5e31d80.json</x:v>
      </x:c>
      <x:c r="L648" s="19" t="str">
        <x:v>d7902abbc080f4d2003d5f1a590f735baa3506f990d5c6b1c2d156f0cbd926e2</x:v>
      </x:c>
      <x:c r="M648" s="19" t="str">
        <x:v>03c6b3b7aec17c75d6066c3ad33475123246728a6d70514bc6c4b2fac975aa04</x:v>
      </x:c>
      <x:c r="N648" s="31" t="str">
        <x:v>FT-LF-CLIMATIC_CHANGE</x:v>
      </x:c>
      <x:c r="O648" s="31" t="str">
        <x:v>FT-C-HISTORICAL_CLIMATIC_CHANGE</x:v>
      </x:c>
      <x:c r="P648" s="31" t="str">
        <x:v>FT-F04</x:v>
      </x:c>
      <x:c r="Q648" s="49" t="n">
        <x:v>0.10499886826664805</x:v>
      </x:c>
    </x:row>
    <x:row r="649" ht="20" customHeight="1">
      <x:c r="A649" s="40" t="str">
        <x:v>FT-Q-V01-121</x:v>
      </x:c>
      <x:c r="B649" s="19" t="str">
        <x:v>climatic change</x:v>
      </x:c>
      <x:c r="C649" s="31" t="str">
        <x:v>climate</x:v>
      </x:c>
      <x:c r="D649" s="25" t="n">
        <x:v>1943</x:v>
      </x:c>
      <x:c r="E649" s="46" t="n">
        <x:v>4.608613116130478e-8</x:v>
      </x:c>
      <x:c r="F649" s="19" t="str">
        <x:v>eng</x:v>
      </x:c>
      <x:c r="G649" s="19" t="str">
        <x:v>current English corpus (July 2024 dataset; public shorthand eng; mutable current corpus)</x:v>
      </x:c>
      <x:c r="H649" s="19" t="str">
        <x:v>climatic change (All)</x:v>
      </x:c>
      <x:c r="I649" s="19" t="str">
        <x:v>0</x:v>
      </x:c>
      <x:c r="J649" s="19" t="n">
        <x:v>46260.108125</x:v>
      </x:c>
      <x:c r="K649" s="31" t="str">
        <x:v>data/fear-temperature/ngram/raw/0a04941be5651b2bc9de7c1d97a1ec296ca7d83fbf14cbae1d4cb6dce5e31d80.json</x:v>
      </x:c>
      <x:c r="L649" s="19" t="str">
        <x:v>d7902abbc080f4d2003d5f1a590f735baa3506f990d5c6b1c2d156f0cbd926e2</x:v>
      </x:c>
      <x:c r="M649" s="19" t="str">
        <x:v>03c6b3b7aec17c75d6066c3ad33475123246728a6d70514bc6c4b2fac975aa04</x:v>
      </x:c>
      <x:c r="N649" s="31" t="str">
        <x:v>FT-LF-CLIMATIC_CHANGE</x:v>
      </x:c>
      <x:c r="O649" s="31" t="str">
        <x:v>FT-C-HISTORICAL_CLIMATIC_CHANGE</x:v>
      </x:c>
      <x:c r="P649" s="31" t="str">
        <x:v>FT-F04</x:v>
      </x:c>
      <x:c r="Q649" s="49" t="n">
        <x:v>0.04608613116130478</x:v>
      </x:c>
    </x:row>
    <x:row r="650" ht="20" customHeight="1">
      <x:c r="A650" s="40" t="str">
        <x:v>FT-Q-V01-121</x:v>
      </x:c>
      <x:c r="B650" s="19" t="str">
        <x:v>climatic change</x:v>
      </x:c>
      <x:c r="C650" s="31" t="str">
        <x:v>climate</x:v>
      </x:c>
      <x:c r="D650" s="25" t="n">
        <x:v>1944</x:v>
      </x:c>
      <x:c r="E650" s="46" t="n">
        <x:v>7.045036587438602e-8</x:v>
      </x:c>
      <x:c r="F650" s="19" t="str">
        <x:v>eng</x:v>
      </x:c>
      <x:c r="G650" s="19" t="str">
        <x:v>current English corpus (July 2024 dataset; public shorthand eng; mutable current corpus)</x:v>
      </x:c>
      <x:c r="H650" s="19" t="str">
        <x:v>climatic change (All)</x:v>
      </x:c>
      <x:c r="I650" s="19" t="str">
        <x:v>0</x:v>
      </x:c>
      <x:c r="J650" s="19" t="n">
        <x:v>46260.108125</x:v>
      </x:c>
      <x:c r="K650" s="31" t="str">
        <x:v>data/fear-temperature/ngram/raw/0a04941be5651b2bc9de7c1d97a1ec296ca7d83fbf14cbae1d4cb6dce5e31d80.json</x:v>
      </x:c>
      <x:c r="L650" s="19" t="str">
        <x:v>d7902abbc080f4d2003d5f1a590f735baa3506f990d5c6b1c2d156f0cbd926e2</x:v>
      </x:c>
      <x:c r="M650" s="19" t="str">
        <x:v>03c6b3b7aec17c75d6066c3ad33475123246728a6d70514bc6c4b2fac975aa04</x:v>
      </x:c>
      <x:c r="N650" s="31" t="str">
        <x:v>FT-LF-CLIMATIC_CHANGE</x:v>
      </x:c>
      <x:c r="O650" s="31" t="str">
        <x:v>FT-C-HISTORICAL_CLIMATIC_CHANGE</x:v>
      </x:c>
      <x:c r="P650" s="31" t="str">
        <x:v>FT-F04</x:v>
      </x:c>
      <x:c r="Q650" s="49" t="n">
        <x:v>0.07045036587438602</x:v>
      </x:c>
    </x:row>
    <x:row r="651" ht="20" customHeight="1">
      <x:c r="A651" s="40" t="str">
        <x:v>FT-Q-V01-121</x:v>
      </x:c>
      <x:c r="B651" s="19" t="str">
        <x:v>climatic change</x:v>
      </x:c>
      <x:c r="C651" s="31" t="str">
        <x:v>climate</x:v>
      </x:c>
      <x:c r="D651" s="25" t="n">
        <x:v>1945</x:v>
      </x:c>
      <x:c r="E651" s="46" t="n">
        <x:v>4.6523134344944594e-8</x:v>
      </x:c>
      <x:c r="F651" s="19" t="str">
        <x:v>eng</x:v>
      </x:c>
      <x:c r="G651" s="19" t="str">
        <x:v>current English corpus (July 2024 dataset; public shorthand eng; mutable current corpus)</x:v>
      </x:c>
      <x:c r="H651" s="19" t="str">
        <x:v>climatic change (All)</x:v>
      </x:c>
      <x:c r="I651" s="19" t="str">
        <x:v>0</x:v>
      </x:c>
      <x:c r="J651" s="19" t="n">
        <x:v>46260.108125</x:v>
      </x:c>
      <x:c r="K651" s="31" t="str">
        <x:v>data/fear-temperature/ngram/raw/0a04941be5651b2bc9de7c1d97a1ec296ca7d83fbf14cbae1d4cb6dce5e31d80.json</x:v>
      </x:c>
      <x:c r="L651" s="19" t="str">
        <x:v>d7902abbc080f4d2003d5f1a590f735baa3506f990d5c6b1c2d156f0cbd926e2</x:v>
      </x:c>
      <x:c r="M651" s="19" t="str">
        <x:v>03c6b3b7aec17c75d6066c3ad33475123246728a6d70514bc6c4b2fac975aa04</x:v>
      </x:c>
      <x:c r="N651" s="31" t="str">
        <x:v>FT-LF-CLIMATIC_CHANGE</x:v>
      </x:c>
      <x:c r="O651" s="31" t="str">
        <x:v>FT-C-HISTORICAL_CLIMATIC_CHANGE</x:v>
      </x:c>
      <x:c r="P651" s="31" t="str">
        <x:v>FT-F04</x:v>
      </x:c>
      <x:c r="Q651" s="49" t="n">
        <x:v>0.046523134344944594</x:v>
      </x:c>
    </x:row>
    <x:row r="652" ht="20" customHeight="1">
      <x:c r="A652" s="40" t="str">
        <x:v>FT-Q-V01-121</x:v>
      </x:c>
      <x:c r="B652" s="19" t="str">
        <x:v>climatic change</x:v>
      </x:c>
      <x:c r="C652" s="31" t="str">
        <x:v>climate</x:v>
      </x:c>
      <x:c r="D652" s="25" t="n">
        <x:v>1946</x:v>
      </x:c>
      <x:c r="E652" s="46" t="n">
        <x:v>6.260127846657859e-8</x:v>
      </x:c>
      <x:c r="F652" s="19" t="str">
        <x:v>eng</x:v>
      </x:c>
      <x:c r="G652" s="19" t="str">
        <x:v>current English corpus (July 2024 dataset; public shorthand eng; mutable current corpus)</x:v>
      </x:c>
      <x:c r="H652" s="19" t="str">
        <x:v>climatic change (All)</x:v>
      </x:c>
      <x:c r="I652" s="19" t="str">
        <x:v>0</x:v>
      </x:c>
      <x:c r="J652" s="19" t="n">
        <x:v>46260.108125</x:v>
      </x:c>
      <x:c r="K652" s="31" t="str">
        <x:v>data/fear-temperature/ngram/raw/0a04941be5651b2bc9de7c1d97a1ec296ca7d83fbf14cbae1d4cb6dce5e31d80.json</x:v>
      </x:c>
      <x:c r="L652" s="19" t="str">
        <x:v>d7902abbc080f4d2003d5f1a590f735baa3506f990d5c6b1c2d156f0cbd926e2</x:v>
      </x:c>
      <x:c r="M652" s="19" t="str">
        <x:v>03c6b3b7aec17c75d6066c3ad33475123246728a6d70514bc6c4b2fac975aa04</x:v>
      </x:c>
      <x:c r="N652" s="31" t="str">
        <x:v>FT-LF-CLIMATIC_CHANGE</x:v>
      </x:c>
      <x:c r="O652" s="31" t="str">
        <x:v>FT-C-HISTORICAL_CLIMATIC_CHANGE</x:v>
      </x:c>
      <x:c r="P652" s="31" t="str">
        <x:v>FT-F04</x:v>
      </x:c>
      <x:c r="Q652" s="49" t="n">
        <x:v>0.06260127846657859</x:v>
      </x:c>
    </x:row>
    <x:row r="653" ht="20" customHeight="1">
      <x:c r="A653" s="40" t="str">
        <x:v>FT-Q-V01-121</x:v>
      </x:c>
      <x:c r="B653" s="19" t="str">
        <x:v>climatic change</x:v>
      </x:c>
      <x:c r="C653" s="31" t="str">
        <x:v>climate</x:v>
      </x:c>
      <x:c r="D653" s="25" t="n">
        <x:v>1947</x:v>
      </x:c>
      <x:c r="E653" s="46" t="n">
        <x:v>9.727784577862052e-8</x:v>
      </x:c>
      <x:c r="F653" s="19" t="str">
        <x:v>eng</x:v>
      </x:c>
      <x:c r="G653" s="19" t="str">
        <x:v>current English corpus (July 2024 dataset; public shorthand eng; mutable current corpus)</x:v>
      </x:c>
      <x:c r="H653" s="19" t="str">
        <x:v>climatic change (All)</x:v>
      </x:c>
      <x:c r="I653" s="19" t="str">
        <x:v>0</x:v>
      </x:c>
      <x:c r="J653" s="19" t="n">
        <x:v>46260.108125</x:v>
      </x:c>
      <x:c r="K653" s="31" t="str">
        <x:v>data/fear-temperature/ngram/raw/0a04941be5651b2bc9de7c1d97a1ec296ca7d83fbf14cbae1d4cb6dce5e31d80.json</x:v>
      </x:c>
      <x:c r="L653" s="19" t="str">
        <x:v>d7902abbc080f4d2003d5f1a590f735baa3506f990d5c6b1c2d156f0cbd926e2</x:v>
      </x:c>
      <x:c r="M653" s="19" t="str">
        <x:v>03c6b3b7aec17c75d6066c3ad33475123246728a6d70514bc6c4b2fac975aa04</x:v>
      </x:c>
      <x:c r="N653" s="31" t="str">
        <x:v>FT-LF-CLIMATIC_CHANGE</x:v>
      </x:c>
      <x:c r="O653" s="31" t="str">
        <x:v>FT-C-HISTORICAL_CLIMATIC_CHANGE</x:v>
      </x:c>
      <x:c r="P653" s="31" t="str">
        <x:v>FT-F04</x:v>
      </x:c>
      <x:c r="Q653" s="49" t="n">
        <x:v>0.09727784577862052</x:v>
      </x:c>
    </x:row>
    <x:row r="654" ht="20" customHeight="1">
      <x:c r="A654" s="40" t="str">
        <x:v>FT-Q-V01-121</x:v>
      </x:c>
      <x:c r="B654" s="19" t="str">
        <x:v>climatic change</x:v>
      </x:c>
      <x:c r="C654" s="31" t="str">
        <x:v>climate</x:v>
      </x:c>
      <x:c r="D654" s="25" t="n">
        <x:v>1948</x:v>
      </x:c>
      <x:c r="E654" s="46" t="n">
        <x:v>1.0222432811346494e-7</x:v>
      </x:c>
      <x:c r="F654" s="19" t="str">
        <x:v>eng</x:v>
      </x:c>
      <x:c r="G654" s="19" t="str">
        <x:v>current English corpus (July 2024 dataset; public shorthand eng; mutable current corpus)</x:v>
      </x:c>
      <x:c r="H654" s="19" t="str">
        <x:v>climatic change (All)</x:v>
      </x:c>
      <x:c r="I654" s="19" t="str">
        <x:v>0</x:v>
      </x:c>
      <x:c r="J654" s="19" t="n">
        <x:v>46260.108125</x:v>
      </x:c>
      <x:c r="K654" s="31" t="str">
        <x:v>data/fear-temperature/ngram/raw/0a04941be5651b2bc9de7c1d97a1ec296ca7d83fbf14cbae1d4cb6dce5e31d80.json</x:v>
      </x:c>
      <x:c r="L654" s="19" t="str">
        <x:v>d7902abbc080f4d2003d5f1a590f735baa3506f990d5c6b1c2d156f0cbd926e2</x:v>
      </x:c>
      <x:c r="M654" s="19" t="str">
        <x:v>03c6b3b7aec17c75d6066c3ad33475123246728a6d70514bc6c4b2fac975aa04</x:v>
      </x:c>
      <x:c r="N654" s="31" t="str">
        <x:v>FT-LF-CLIMATIC_CHANGE</x:v>
      </x:c>
      <x:c r="O654" s="31" t="str">
        <x:v>FT-C-HISTORICAL_CLIMATIC_CHANGE</x:v>
      </x:c>
      <x:c r="P654" s="31" t="str">
        <x:v>FT-F04</x:v>
      </x:c>
      <x:c r="Q654" s="49" t="n">
        <x:v>0.10222432811346494</x:v>
      </x:c>
    </x:row>
    <x:row r="655" ht="20" customHeight="1">
      <x:c r="A655" s="40" t="str">
        <x:v>FT-Q-V01-121</x:v>
      </x:c>
      <x:c r="B655" s="19" t="str">
        <x:v>climatic change</x:v>
      </x:c>
      <x:c r="C655" s="31" t="str">
        <x:v>climate</x:v>
      </x:c>
      <x:c r="D655" s="25" t="n">
        <x:v>1949</x:v>
      </x:c>
      <x:c r="E655" s="46" t="n">
        <x:v>1.2249829239863175e-7</x:v>
      </x:c>
      <x:c r="F655" s="19" t="str">
        <x:v>eng</x:v>
      </x:c>
      <x:c r="G655" s="19" t="str">
        <x:v>current English corpus (July 2024 dataset; public shorthand eng; mutable current corpus)</x:v>
      </x:c>
      <x:c r="H655" s="19" t="str">
        <x:v>climatic change (All)</x:v>
      </x:c>
      <x:c r="I655" s="19" t="str">
        <x:v>0</x:v>
      </x:c>
      <x:c r="J655" s="19" t="n">
        <x:v>46260.108125</x:v>
      </x:c>
      <x:c r="K655" s="31" t="str">
        <x:v>data/fear-temperature/ngram/raw/0a04941be5651b2bc9de7c1d97a1ec296ca7d83fbf14cbae1d4cb6dce5e31d80.json</x:v>
      </x:c>
      <x:c r="L655" s="19" t="str">
        <x:v>d7902abbc080f4d2003d5f1a590f735baa3506f990d5c6b1c2d156f0cbd926e2</x:v>
      </x:c>
      <x:c r="M655" s="19" t="str">
        <x:v>03c6b3b7aec17c75d6066c3ad33475123246728a6d70514bc6c4b2fac975aa04</x:v>
      </x:c>
      <x:c r="N655" s="31" t="str">
        <x:v>FT-LF-CLIMATIC_CHANGE</x:v>
      </x:c>
      <x:c r="O655" s="31" t="str">
        <x:v>FT-C-HISTORICAL_CLIMATIC_CHANGE</x:v>
      </x:c>
      <x:c r="P655" s="31" t="str">
        <x:v>FT-F04</x:v>
      </x:c>
      <x:c r="Q655" s="49" t="n">
        <x:v>0.12249829239863175</x:v>
      </x:c>
    </x:row>
    <x:row r="656" ht="20" customHeight="1">
      <x:c r="A656" s="40" t="str">
        <x:v>FT-Q-V01-121</x:v>
      </x:c>
      <x:c r="B656" s="19" t="str">
        <x:v>climatic change</x:v>
      </x:c>
      <x:c r="C656" s="31" t="str">
        <x:v>climate</x:v>
      </x:c>
      <x:c r="D656" s="25" t="n">
        <x:v>1950</x:v>
      </x:c>
      <x:c r="E656" s="46" t="n">
        <x:v>9.933255307181808e-8</x:v>
      </x:c>
      <x:c r="F656" s="19" t="str">
        <x:v>eng</x:v>
      </x:c>
      <x:c r="G656" s="19" t="str">
        <x:v>current English corpus (July 2024 dataset; public shorthand eng; mutable current corpus)</x:v>
      </x:c>
      <x:c r="H656" s="19" t="str">
        <x:v>climatic change (All)</x:v>
      </x:c>
      <x:c r="I656" s="19" t="str">
        <x:v>0</x:v>
      </x:c>
      <x:c r="J656" s="19" t="n">
        <x:v>46260.108125</x:v>
      </x:c>
      <x:c r="K656" s="31" t="str">
        <x:v>data/fear-temperature/ngram/raw/0a04941be5651b2bc9de7c1d97a1ec296ca7d83fbf14cbae1d4cb6dce5e31d80.json</x:v>
      </x:c>
      <x:c r="L656" s="19" t="str">
        <x:v>d7902abbc080f4d2003d5f1a590f735baa3506f990d5c6b1c2d156f0cbd926e2</x:v>
      </x:c>
      <x:c r="M656" s="19" t="str">
        <x:v>03c6b3b7aec17c75d6066c3ad33475123246728a6d70514bc6c4b2fac975aa04</x:v>
      </x:c>
      <x:c r="N656" s="31" t="str">
        <x:v>FT-LF-CLIMATIC_CHANGE</x:v>
      </x:c>
      <x:c r="O656" s="31" t="str">
        <x:v>FT-C-HISTORICAL_CLIMATIC_CHANGE</x:v>
      </x:c>
      <x:c r="P656" s="31" t="str">
        <x:v>FT-F04</x:v>
      </x:c>
      <x:c r="Q656" s="49" t="n">
        <x:v>0.09933255307181808</x:v>
      </x:c>
    </x:row>
    <x:row r="657" ht="20" customHeight="1">
      <x:c r="A657" s="40" t="str">
        <x:v>FT-Q-V01-121</x:v>
      </x:c>
      <x:c r="B657" s="19" t="str">
        <x:v>climatic change</x:v>
      </x:c>
      <x:c r="C657" s="31" t="str">
        <x:v>climate</x:v>
      </x:c>
      <x:c r="D657" s="25" t="n">
        <x:v>1951</x:v>
      </x:c>
      <x:c r="E657" s="46" t="n">
        <x:v>9.256961508441464e-8</x:v>
      </x:c>
      <x:c r="F657" s="19" t="str">
        <x:v>eng</x:v>
      </x:c>
      <x:c r="G657" s="19" t="str">
        <x:v>current English corpus (July 2024 dataset; public shorthand eng; mutable current corpus)</x:v>
      </x:c>
      <x:c r="H657" s="19" t="str">
        <x:v>climatic change (All)</x:v>
      </x:c>
      <x:c r="I657" s="19" t="str">
        <x:v>0</x:v>
      </x:c>
      <x:c r="J657" s="19" t="n">
        <x:v>46260.108125</x:v>
      </x:c>
      <x:c r="K657" s="31" t="str">
        <x:v>data/fear-temperature/ngram/raw/0a04941be5651b2bc9de7c1d97a1ec296ca7d83fbf14cbae1d4cb6dce5e31d80.json</x:v>
      </x:c>
      <x:c r="L657" s="19" t="str">
        <x:v>d7902abbc080f4d2003d5f1a590f735baa3506f990d5c6b1c2d156f0cbd926e2</x:v>
      </x:c>
      <x:c r="M657" s="19" t="str">
        <x:v>03c6b3b7aec17c75d6066c3ad33475123246728a6d70514bc6c4b2fac975aa04</x:v>
      </x:c>
      <x:c r="N657" s="31" t="str">
        <x:v>FT-LF-CLIMATIC_CHANGE</x:v>
      </x:c>
      <x:c r="O657" s="31" t="str">
        <x:v>FT-C-HISTORICAL_CLIMATIC_CHANGE</x:v>
      </x:c>
      <x:c r="P657" s="31" t="str">
        <x:v>FT-F04</x:v>
      </x:c>
      <x:c r="Q657" s="49" t="n">
        <x:v>0.09256961508441464</x:v>
      </x:c>
    </x:row>
    <x:row r="658" ht="20" customHeight="1">
      <x:c r="A658" s="40" t="str">
        <x:v>FT-Q-V01-121</x:v>
      </x:c>
      <x:c r="B658" s="19" t="str">
        <x:v>climatic change</x:v>
      </x:c>
      <x:c r="C658" s="31" t="str">
        <x:v>climate</x:v>
      </x:c>
      <x:c r="D658" s="25" t="n">
        <x:v>1952</x:v>
      </x:c>
      <x:c r="E658" s="46" t="n">
        <x:v>1.0217947693513807e-7</x:v>
      </x:c>
      <x:c r="F658" s="19" t="str">
        <x:v>eng</x:v>
      </x:c>
      <x:c r="G658" s="19" t="str">
        <x:v>current English corpus (July 2024 dataset; public shorthand eng; mutable current corpus)</x:v>
      </x:c>
      <x:c r="H658" s="19" t="str">
        <x:v>climatic change (All)</x:v>
      </x:c>
      <x:c r="I658" s="19" t="str">
        <x:v>0</x:v>
      </x:c>
      <x:c r="J658" s="19" t="n">
        <x:v>46260.108125</x:v>
      </x:c>
      <x:c r="K658" s="31" t="str">
        <x:v>data/fear-temperature/ngram/raw/0a04941be5651b2bc9de7c1d97a1ec296ca7d83fbf14cbae1d4cb6dce5e31d80.json</x:v>
      </x:c>
      <x:c r="L658" s="19" t="str">
        <x:v>d7902abbc080f4d2003d5f1a590f735baa3506f990d5c6b1c2d156f0cbd926e2</x:v>
      </x:c>
      <x:c r="M658" s="19" t="str">
        <x:v>03c6b3b7aec17c75d6066c3ad33475123246728a6d70514bc6c4b2fac975aa04</x:v>
      </x:c>
      <x:c r="N658" s="31" t="str">
        <x:v>FT-LF-CLIMATIC_CHANGE</x:v>
      </x:c>
      <x:c r="O658" s="31" t="str">
        <x:v>FT-C-HISTORICAL_CLIMATIC_CHANGE</x:v>
      </x:c>
      <x:c r="P658" s="31" t="str">
        <x:v>FT-F04</x:v>
      </x:c>
      <x:c r="Q658" s="49" t="n">
        <x:v>0.10217947693513807</x:v>
      </x:c>
    </x:row>
    <x:row r="659" ht="20" customHeight="1">
      <x:c r="A659" s="40" t="str">
        <x:v>FT-Q-V01-121</x:v>
      </x:c>
      <x:c r="B659" s="19" t="str">
        <x:v>climatic change</x:v>
      </x:c>
      <x:c r="C659" s="31" t="str">
        <x:v>climate</x:v>
      </x:c>
      <x:c r="D659" s="25" t="n">
        <x:v>1953</x:v>
      </x:c>
      <x:c r="E659" s="46" t="n">
        <x:v>1.340038295882806e-7</x:v>
      </x:c>
      <x:c r="F659" s="19" t="str">
        <x:v>eng</x:v>
      </x:c>
      <x:c r="G659" s="19" t="str">
        <x:v>current English corpus (July 2024 dataset; public shorthand eng; mutable current corpus)</x:v>
      </x:c>
      <x:c r="H659" s="19" t="str">
        <x:v>climatic change (All)</x:v>
      </x:c>
      <x:c r="I659" s="19" t="str">
        <x:v>0</x:v>
      </x:c>
      <x:c r="J659" s="19" t="n">
        <x:v>46260.108125</x:v>
      </x:c>
      <x:c r="K659" s="31" t="str">
        <x:v>data/fear-temperature/ngram/raw/0a04941be5651b2bc9de7c1d97a1ec296ca7d83fbf14cbae1d4cb6dce5e31d80.json</x:v>
      </x:c>
      <x:c r="L659" s="19" t="str">
        <x:v>d7902abbc080f4d2003d5f1a590f735baa3506f990d5c6b1c2d156f0cbd926e2</x:v>
      </x:c>
      <x:c r="M659" s="19" t="str">
        <x:v>03c6b3b7aec17c75d6066c3ad33475123246728a6d70514bc6c4b2fac975aa04</x:v>
      </x:c>
      <x:c r="N659" s="31" t="str">
        <x:v>FT-LF-CLIMATIC_CHANGE</x:v>
      </x:c>
      <x:c r="O659" s="31" t="str">
        <x:v>FT-C-HISTORICAL_CLIMATIC_CHANGE</x:v>
      </x:c>
      <x:c r="P659" s="31" t="str">
        <x:v>FT-F04</x:v>
      </x:c>
      <x:c r="Q659" s="49" t="n">
        <x:v>0.1340038295882806</x:v>
      </x:c>
    </x:row>
    <x:row r="660" ht="20" customHeight="1">
      <x:c r="A660" s="40" t="str">
        <x:v>FT-Q-V01-121</x:v>
      </x:c>
      <x:c r="B660" s="19" t="str">
        <x:v>climatic change</x:v>
      </x:c>
      <x:c r="C660" s="31" t="str">
        <x:v>climate</x:v>
      </x:c>
      <x:c r="D660" s="25" t="n">
        <x:v>1954</x:v>
      </x:c>
      <x:c r="E660" s="46" t="n">
        <x:v>1.9352935407002114e-7</x:v>
      </x:c>
      <x:c r="F660" s="19" t="str">
        <x:v>eng</x:v>
      </x:c>
      <x:c r="G660" s="19" t="str">
        <x:v>current English corpus (July 2024 dataset; public shorthand eng; mutable current corpus)</x:v>
      </x:c>
      <x:c r="H660" s="19" t="str">
        <x:v>climatic change (All)</x:v>
      </x:c>
      <x:c r="I660" s="19" t="str">
        <x:v>0</x:v>
      </x:c>
      <x:c r="J660" s="19" t="n">
        <x:v>46260.108125</x:v>
      </x:c>
      <x:c r="K660" s="31" t="str">
        <x:v>data/fear-temperature/ngram/raw/0a04941be5651b2bc9de7c1d97a1ec296ca7d83fbf14cbae1d4cb6dce5e31d80.json</x:v>
      </x:c>
      <x:c r="L660" s="19" t="str">
        <x:v>d7902abbc080f4d2003d5f1a590f735baa3506f990d5c6b1c2d156f0cbd926e2</x:v>
      </x:c>
      <x:c r="M660" s="19" t="str">
        <x:v>03c6b3b7aec17c75d6066c3ad33475123246728a6d70514bc6c4b2fac975aa04</x:v>
      </x:c>
      <x:c r="N660" s="31" t="str">
        <x:v>FT-LF-CLIMATIC_CHANGE</x:v>
      </x:c>
      <x:c r="O660" s="31" t="str">
        <x:v>FT-C-HISTORICAL_CLIMATIC_CHANGE</x:v>
      </x:c>
      <x:c r="P660" s="31" t="str">
        <x:v>FT-F04</x:v>
      </x:c>
      <x:c r="Q660" s="49" t="n">
        <x:v>0.19352935407002114</x:v>
      </x:c>
    </x:row>
    <x:row r="661" ht="20" customHeight="1">
      <x:c r="A661" s="40" t="str">
        <x:v>FT-Q-V01-121</x:v>
      </x:c>
      <x:c r="B661" s="19" t="str">
        <x:v>climatic change</x:v>
      </x:c>
      <x:c r="C661" s="31" t="str">
        <x:v>climate</x:v>
      </x:c>
      <x:c r="D661" s="25" t="n">
        <x:v>1955</x:v>
      </x:c>
      <x:c r="E661" s="46" t="n">
        <x:v>1.1113500386628061e-7</x:v>
      </x:c>
      <x:c r="F661" s="19" t="str">
        <x:v>eng</x:v>
      </x:c>
      <x:c r="G661" s="19" t="str">
        <x:v>current English corpus (July 2024 dataset; public shorthand eng; mutable current corpus)</x:v>
      </x:c>
      <x:c r="H661" s="19" t="str">
        <x:v>climatic change (All)</x:v>
      </x:c>
      <x:c r="I661" s="19" t="str">
        <x:v>0</x:v>
      </x:c>
      <x:c r="J661" s="19" t="n">
        <x:v>46260.108125</x:v>
      </x:c>
      <x:c r="K661" s="31" t="str">
        <x:v>data/fear-temperature/ngram/raw/0a04941be5651b2bc9de7c1d97a1ec296ca7d83fbf14cbae1d4cb6dce5e31d80.json</x:v>
      </x:c>
      <x:c r="L661" s="19" t="str">
        <x:v>d7902abbc080f4d2003d5f1a590f735baa3506f990d5c6b1c2d156f0cbd926e2</x:v>
      </x:c>
      <x:c r="M661" s="19" t="str">
        <x:v>03c6b3b7aec17c75d6066c3ad33475123246728a6d70514bc6c4b2fac975aa04</x:v>
      </x:c>
      <x:c r="N661" s="31" t="str">
        <x:v>FT-LF-CLIMATIC_CHANGE</x:v>
      </x:c>
      <x:c r="O661" s="31" t="str">
        <x:v>FT-C-HISTORICAL_CLIMATIC_CHANGE</x:v>
      </x:c>
      <x:c r="P661" s="31" t="str">
        <x:v>FT-F04</x:v>
      </x:c>
      <x:c r="Q661" s="49" t="n">
        <x:v>0.11113500386628061</x:v>
      </x:c>
    </x:row>
    <x:row r="662" ht="20" customHeight="1">
      <x:c r="A662" s="40" t="str">
        <x:v>FT-Q-V01-121</x:v>
      </x:c>
      <x:c r="B662" s="19" t="str">
        <x:v>climatic change</x:v>
      </x:c>
      <x:c r="C662" s="31" t="str">
        <x:v>climate</x:v>
      </x:c>
      <x:c r="D662" s="25" t="n">
        <x:v>1956</x:v>
      </x:c>
      <x:c r="E662" s="46" t="n">
        <x:v>1.2316592790106995e-7</x:v>
      </x:c>
      <x:c r="F662" s="19" t="str">
        <x:v>eng</x:v>
      </x:c>
      <x:c r="G662" s="19" t="str">
        <x:v>current English corpus (July 2024 dataset; public shorthand eng; mutable current corpus)</x:v>
      </x:c>
      <x:c r="H662" s="19" t="str">
        <x:v>climatic change (All)</x:v>
      </x:c>
      <x:c r="I662" s="19" t="str">
        <x:v>0</x:v>
      </x:c>
      <x:c r="J662" s="19" t="n">
        <x:v>46260.108125</x:v>
      </x:c>
      <x:c r="K662" s="31" t="str">
        <x:v>data/fear-temperature/ngram/raw/0a04941be5651b2bc9de7c1d97a1ec296ca7d83fbf14cbae1d4cb6dce5e31d80.json</x:v>
      </x:c>
      <x:c r="L662" s="19" t="str">
        <x:v>d7902abbc080f4d2003d5f1a590f735baa3506f990d5c6b1c2d156f0cbd926e2</x:v>
      </x:c>
      <x:c r="M662" s="19" t="str">
        <x:v>03c6b3b7aec17c75d6066c3ad33475123246728a6d70514bc6c4b2fac975aa04</x:v>
      </x:c>
      <x:c r="N662" s="31" t="str">
        <x:v>FT-LF-CLIMATIC_CHANGE</x:v>
      </x:c>
      <x:c r="O662" s="31" t="str">
        <x:v>FT-C-HISTORICAL_CLIMATIC_CHANGE</x:v>
      </x:c>
      <x:c r="P662" s="31" t="str">
        <x:v>FT-F04</x:v>
      </x:c>
      <x:c r="Q662" s="49" t="n">
        <x:v>0.12316592790106995</x:v>
      </x:c>
    </x:row>
    <x:row r="663" ht="20" customHeight="1">
      <x:c r="A663" s="40" t="str">
        <x:v>FT-Q-V01-121</x:v>
      </x:c>
      <x:c r="B663" s="19" t="str">
        <x:v>climatic change</x:v>
      </x:c>
      <x:c r="C663" s="31" t="str">
        <x:v>climate</x:v>
      </x:c>
      <x:c r="D663" s="25" t="n">
        <x:v>1957</x:v>
      </x:c>
      <x:c r="E663" s="46" t="n">
        <x:v>1.4262713040474886e-7</x:v>
      </x:c>
      <x:c r="F663" s="19" t="str">
        <x:v>eng</x:v>
      </x:c>
      <x:c r="G663" s="19" t="str">
        <x:v>current English corpus (July 2024 dataset; public shorthand eng; mutable current corpus)</x:v>
      </x:c>
      <x:c r="H663" s="19" t="str">
        <x:v>climatic change (All)</x:v>
      </x:c>
      <x:c r="I663" s="19" t="str">
        <x:v>0</x:v>
      </x:c>
      <x:c r="J663" s="19" t="n">
        <x:v>46260.108125</x:v>
      </x:c>
      <x:c r="K663" s="31" t="str">
        <x:v>data/fear-temperature/ngram/raw/0a04941be5651b2bc9de7c1d97a1ec296ca7d83fbf14cbae1d4cb6dce5e31d80.json</x:v>
      </x:c>
      <x:c r="L663" s="19" t="str">
        <x:v>d7902abbc080f4d2003d5f1a590f735baa3506f990d5c6b1c2d156f0cbd926e2</x:v>
      </x:c>
      <x:c r="M663" s="19" t="str">
        <x:v>03c6b3b7aec17c75d6066c3ad33475123246728a6d70514bc6c4b2fac975aa04</x:v>
      </x:c>
      <x:c r="N663" s="31" t="str">
        <x:v>FT-LF-CLIMATIC_CHANGE</x:v>
      </x:c>
      <x:c r="O663" s="31" t="str">
        <x:v>FT-C-HISTORICAL_CLIMATIC_CHANGE</x:v>
      </x:c>
      <x:c r="P663" s="31" t="str">
        <x:v>FT-F04</x:v>
      </x:c>
      <x:c r="Q663" s="49" t="n">
        <x:v>0.14262713040474886</x:v>
      </x:c>
    </x:row>
    <x:row r="664" ht="20" customHeight="1">
      <x:c r="A664" s="40" t="str">
        <x:v>FT-Q-V01-121</x:v>
      </x:c>
      <x:c r="B664" s="19" t="str">
        <x:v>climatic change</x:v>
      </x:c>
      <x:c r="C664" s="31" t="str">
        <x:v>climate</x:v>
      </x:c>
      <x:c r="D664" s="25" t="n">
        <x:v>1958</x:v>
      </x:c>
      <x:c r="E664" s="46" t="n">
        <x:v>1.3307626633984881e-7</x:v>
      </x:c>
      <x:c r="F664" s="19" t="str">
        <x:v>eng</x:v>
      </x:c>
      <x:c r="G664" s="19" t="str">
        <x:v>current English corpus (July 2024 dataset; public shorthand eng; mutable current corpus)</x:v>
      </x:c>
      <x:c r="H664" s="19" t="str">
        <x:v>climatic change (All)</x:v>
      </x:c>
      <x:c r="I664" s="19" t="str">
        <x:v>0</x:v>
      </x:c>
      <x:c r="J664" s="19" t="n">
        <x:v>46260.108125</x:v>
      </x:c>
      <x:c r="K664" s="31" t="str">
        <x:v>data/fear-temperature/ngram/raw/0a04941be5651b2bc9de7c1d97a1ec296ca7d83fbf14cbae1d4cb6dce5e31d80.json</x:v>
      </x:c>
      <x:c r="L664" s="19" t="str">
        <x:v>d7902abbc080f4d2003d5f1a590f735baa3506f990d5c6b1c2d156f0cbd926e2</x:v>
      </x:c>
      <x:c r="M664" s="19" t="str">
        <x:v>03c6b3b7aec17c75d6066c3ad33475123246728a6d70514bc6c4b2fac975aa04</x:v>
      </x:c>
      <x:c r="N664" s="31" t="str">
        <x:v>FT-LF-CLIMATIC_CHANGE</x:v>
      </x:c>
      <x:c r="O664" s="31" t="str">
        <x:v>FT-C-HISTORICAL_CLIMATIC_CHANGE</x:v>
      </x:c>
      <x:c r="P664" s="31" t="str">
        <x:v>FT-F04</x:v>
      </x:c>
      <x:c r="Q664" s="49" t="n">
        <x:v>0.13307626633984881</x:v>
      </x:c>
    </x:row>
    <x:row r="665" ht="20" customHeight="1">
      <x:c r="A665" s="40" t="str">
        <x:v>FT-Q-V01-121</x:v>
      </x:c>
      <x:c r="B665" s="19" t="str">
        <x:v>climatic change</x:v>
      </x:c>
      <x:c r="C665" s="31" t="str">
        <x:v>climate</x:v>
      </x:c>
      <x:c r="D665" s="25" t="n">
        <x:v>1959</x:v>
      </x:c>
      <x:c r="E665" s="46" t="n">
        <x:v>1.5424246946338374e-7</x:v>
      </x:c>
      <x:c r="F665" s="19" t="str">
        <x:v>eng</x:v>
      </x:c>
      <x:c r="G665" s="19" t="str">
        <x:v>current English corpus (July 2024 dataset; public shorthand eng; mutable current corpus)</x:v>
      </x:c>
      <x:c r="H665" s="19" t="str">
        <x:v>climatic change (All)</x:v>
      </x:c>
      <x:c r="I665" s="19" t="str">
        <x:v>0</x:v>
      </x:c>
      <x:c r="J665" s="19" t="n">
        <x:v>46260.108125</x:v>
      </x:c>
      <x:c r="K665" s="31" t="str">
        <x:v>data/fear-temperature/ngram/raw/0a04941be5651b2bc9de7c1d97a1ec296ca7d83fbf14cbae1d4cb6dce5e31d80.json</x:v>
      </x:c>
      <x:c r="L665" s="19" t="str">
        <x:v>d7902abbc080f4d2003d5f1a590f735baa3506f990d5c6b1c2d156f0cbd926e2</x:v>
      </x:c>
      <x:c r="M665" s="19" t="str">
        <x:v>03c6b3b7aec17c75d6066c3ad33475123246728a6d70514bc6c4b2fac975aa04</x:v>
      </x:c>
      <x:c r="N665" s="31" t="str">
        <x:v>FT-LF-CLIMATIC_CHANGE</x:v>
      </x:c>
      <x:c r="O665" s="31" t="str">
        <x:v>FT-C-HISTORICAL_CLIMATIC_CHANGE</x:v>
      </x:c>
      <x:c r="P665" s="31" t="str">
        <x:v>FT-F04</x:v>
      </x:c>
      <x:c r="Q665" s="49" t="n">
        <x:v>0.15424246946338374</x:v>
      </x:c>
    </x:row>
    <x:row r="666" ht="20" customHeight="1">
      <x:c r="A666" s="40" t="str">
        <x:v>FT-Q-V01-121</x:v>
      </x:c>
      <x:c r="B666" s="19" t="str">
        <x:v>climatic change</x:v>
      </x:c>
      <x:c r="C666" s="31" t="str">
        <x:v>climate</x:v>
      </x:c>
      <x:c r="D666" s="25" t="n">
        <x:v>1960</x:v>
      </x:c>
      <x:c r="E666" s="46" t="n">
        <x:v>1.789414929495581e-7</x:v>
      </x:c>
      <x:c r="F666" s="19" t="str">
        <x:v>eng</x:v>
      </x:c>
      <x:c r="G666" s="19" t="str">
        <x:v>current English corpus (July 2024 dataset; public shorthand eng; mutable current corpus)</x:v>
      </x:c>
      <x:c r="H666" s="19" t="str">
        <x:v>climatic change (All)</x:v>
      </x:c>
      <x:c r="I666" s="19" t="str">
        <x:v>0</x:v>
      </x:c>
      <x:c r="J666" s="19" t="n">
        <x:v>46260.108125</x:v>
      </x:c>
      <x:c r="K666" s="31" t="str">
        <x:v>data/fear-temperature/ngram/raw/0a04941be5651b2bc9de7c1d97a1ec296ca7d83fbf14cbae1d4cb6dce5e31d80.json</x:v>
      </x:c>
      <x:c r="L666" s="19" t="str">
        <x:v>d7902abbc080f4d2003d5f1a590f735baa3506f990d5c6b1c2d156f0cbd926e2</x:v>
      </x:c>
      <x:c r="M666" s="19" t="str">
        <x:v>03c6b3b7aec17c75d6066c3ad33475123246728a6d70514bc6c4b2fac975aa04</x:v>
      </x:c>
      <x:c r="N666" s="31" t="str">
        <x:v>FT-LF-CLIMATIC_CHANGE</x:v>
      </x:c>
      <x:c r="O666" s="31" t="str">
        <x:v>FT-C-HISTORICAL_CLIMATIC_CHANGE</x:v>
      </x:c>
      <x:c r="P666" s="31" t="str">
        <x:v>FT-F04</x:v>
      </x:c>
      <x:c r="Q666" s="49" t="n">
        <x:v>0.1789414929495581</x:v>
      </x:c>
    </x:row>
    <x:row r="667" ht="20" customHeight="1">
      <x:c r="A667" s="40" t="str">
        <x:v>FT-Q-V01-121</x:v>
      </x:c>
      <x:c r="B667" s="19" t="str">
        <x:v>climatic change</x:v>
      </x:c>
      <x:c r="C667" s="31" t="str">
        <x:v>climate</x:v>
      </x:c>
      <x:c r="D667" s="25" t="n">
        <x:v>1961</x:v>
      </x:c>
      <x:c r="E667" s="46" t="n">
        <x:v>2.0475226225613596e-7</x:v>
      </x:c>
      <x:c r="F667" s="19" t="str">
        <x:v>eng</x:v>
      </x:c>
      <x:c r="G667" s="19" t="str">
        <x:v>current English corpus (July 2024 dataset; public shorthand eng; mutable current corpus)</x:v>
      </x:c>
      <x:c r="H667" s="19" t="str">
        <x:v>climatic change (All)</x:v>
      </x:c>
      <x:c r="I667" s="19" t="str">
        <x:v>0</x:v>
      </x:c>
      <x:c r="J667" s="19" t="n">
        <x:v>46260.108125</x:v>
      </x:c>
      <x:c r="K667" s="31" t="str">
        <x:v>data/fear-temperature/ngram/raw/0a04941be5651b2bc9de7c1d97a1ec296ca7d83fbf14cbae1d4cb6dce5e31d80.json</x:v>
      </x:c>
      <x:c r="L667" s="19" t="str">
        <x:v>d7902abbc080f4d2003d5f1a590f735baa3506f990d5c6b1c2d156f0cbd926e2</x:v>
      </x:c>
      <x:c r="M667" s="19" t="str">
        <x:v>03c6b3b7aec17c75d6066c3ad33475123246728a6d70514bc6c4b2fac975aa04</x:v>
      </x:c>
      <x:c r="N667" s="31" t="str">
        <x:v>FT-LF-CLIMATIC_CHANGE</x:v>
      </x:c>
      <x:c r="O667" s="31" t="str">
        <x:v>FT-C-HISTORICAL_CLIMATIC_CHANGE</x:v>
      </x:c>
      <x:c r="P667" s="31" t="str">
        <x:v>FT-F04</x:v>
      </x:c>
      <x:c r="Q667" s="49" t="n">
        <x:v>0.20475226225613596</x:v>
      </x:c>
    </x:row>
    <x:row r="668" ht="20" customHeight="1">
      <x:c r="A668" s="40" t="str">
        <x:v>FT-Q-V01-121</x:v>
      </x:c>
      <x:c r="B668" s="19" t="str">
        <x:v>climatic change</x:v>
      </x:c>
      <x:c r="C668" s="31" t="str">
        <x:v>climate</x:v>
      </x:c>
      <x:c r="D668" s="25" t="n">
        <x:v>1962</x:v>
      </x:c>
      <x:c r="E668" s="46" t="n">
        <x:v>1.8029299120314593e-7</x:v>
      </x:c>
      <x:c r="F668" s="19" t="str">
        <x:v>eng</x:v>
      </x:c>
      <x:c r="G668" s="19" t="str">
        <x:v>current English corpus (July 2024 dataset; public shorthand eng; mutable current corpus)</x:v>
      </x:c>
      <x:c r="H668" s="19" t="str">
        <x:v>climatic change (All)</x:v>
      </x:c>
      <x:c r="I668" s="19" t="str">
        <x:v>0</x:v>
      </x:c>
      <x:c r="J668" s="19" t="n">
        <x:v>46260.108125</x:v>
      </x:c>
      <x:c r="K668" s="31" t="str">
        <x:v>data/fear-temperature/ngram/raw/0a04941be5651b2bc9de7c1d97a1ec296ca7d83fbf14cbae1d4cb6dce5e31d80.json</x:v>
      </x:c>
      <x:c r="L668" s="19" t="str">
        <x:v>d7902abbc080f4d2003d5f1a590f735baa3506f990d5c6b1c2d156f0cbd926e2</x:v>
      </x:c>
      <x:c r="M668" s="19" t="str">
        <x:v>03c6b3b7aec17c75d6066c3ad33475123246728a6d70514bc6c4b2fac975aa04</x:v>
      </x:c>
      <x:c r="N668" s="31" t="str">
        <x:v>FT-LF-CLIMATIC_CHANGE</x:v>
      </x:c>
      <x:c r="O668" s="31" t="str">
        <x:v>FT-C-HISTORICAL_CLIMATIC_CHANGE</x:v>
      </x:c>
      <x:c r="P668" s="31" t="str">
        <x:v>FT-F04</x:v>
      </x:c>
      <x:c r="Q668" s="49" t="n">
        <x:v>0.18029299120314593</x:v>
      </x:c>
    </x:row>
    <x:row r="669" ht="20" customHeight="1">
      <x:c r="A669" s="40" t="str">
        <x:v>FT-Q-V01-121</x:v>
      </x:c>
      <x:c r="B669" s="19" t="str">
        <x:v>climatic change</x:v>
      </x:c>
      <x:c r="C669" s="31" t="str">
        <x:v>climate</x:v>
      </x:c>
      <x:c r="D669" s="25" t="n">
        <x:v>1963</x:v>
      </x:c>
      <x:c r="E669" s="46" t="n">
        <x:v>1.910645615055273e-7</x:v>
      </x:c>
      <x:c r="F669" s="19" t="str">
        <x:v>eng</x:v>
      </x:c>
      <x:c r="G669" s="19" t="str">
        <x:v>current English corpus (July 2024 dataset; public shorthand eng; mutable current corpus)</x:v>
      </x:c>
      <x:c r="H669" s="19" t="str">
        <x:v>climatic change (All)</x:v>
      </x:c>
      <x:c r="I669" s="19" t="str">
        <x:v>0</x:v>
      </x:c>
      <x:c r="J669" s="19" t="n">
        <x:v>46260.108125</x:v>
      </x:c>
      <x:c r="K669" s="31" t="str">
        <x:v>data/fear-temperature/ngram/raw/0a04941be5651b2bc9de7c1d97a1ec296ca7d83fbf14cbae1d4cb6dce5e31d80.json</x:v>
      </x:c>
      <x:c r="L669" s="19" t="str">
        <x:v>d7902abbc080f4d2003d5f1a590f735baa3506f990d5c6b1c2d156f0cbd926e2</x:v>
      </x:c>
      <x:c r="M669" s="19" t="str">
        <x:v>03c6b3b7aec17c75d6066c3ad33475123246728a6d70514bc6c4b2fac975aa04</x:v>
      </x:c>
      <x:c r="N669" s="31" t="str">
        <x:v>FT-LF-CLIMATIC_CHANGE</x:v>
      </x:c>
      <x:c r="O669" s="31" t="str">
        <x:v>FT-C-HISTORICAL_CLIMATIC_CHANGE</x:v>
      </x:c>
      <x:c r="P669" s="31" t="str">
        <x:v>FT-F04</x:v>
      </x:c>
      <x:c r="Q669" s="49" t="n">
        <x:v>0.1910645615055273</x:v>
      </x:c>
    </x:row>
    <x:row r="670" ht="20" customHeight="1">
      <x:c r="A670" s="40" t="str">
        <x:v>FT-Q-V01-121</x:v>
      </x:c>
      <x:c r="B670" s="19" t="str">
        <x:v>climatic change</x:v>
      </x:c>
      <x:c r="C670" s="31" t="str">
        <x:v>climate</x:v>
      </x:c>
      <x:c r="D670" s="25" t="n">
        <x:v>1964</x:v>
      </x:c>
      <x:c r="E670" s="46" t="n">
        <x:v>1.9962306030407717e-7</x:v>
      </x:c>
      <x:c r="F670" s="19" t="str">
        <x:v>eng</x:v>
      </x:c>
      <x:c r="G670" s="19" t="str">
        <x:v>current English corpus (July 2024 dataset; public shorthand eng; mutable current corpus)</x:v>
      </x:c>
      <x:c r="H670" s="19" t="str">
        <x:v>climatic change (All)</x:v>
      </x:c>
      <x:c r="I670" s="19" t="str">
        <x:v>0</x:v>
      </x:c>
      <x:c r="J670" s="19" t="n">
        <x:v>46260.108125</x:v>
      </x:c>
      <x:c r="K670" s="31" t="str">
        <x:v>data/fear-temperature/ngram/raw/0a04941be5651b2bc9de7c1d97a1ec296ca7d83fbf14cbae1d4cb6dce5e31d80.json</x:v>
      </x:c>
      <x:c r="L670" s="19" t="str">
        <x:v>d7902abbc080f4d2003d5f1a590f735baa3506f990d5c6b1c2d156f0cbd926e2</x:v>
      </x:c>
      <x:c r="M670" s="19" t="str">
        <x:v>03c6b3b7aec17c75d6066c3ad33475123246728a6d70514bc6c4b2fac975aa04</x:v>
      </x:c>
      <x:c r="N670" s="31" t="str">
        <x:v>FT-LF-CLIMATIC_CHANGE</x:v>
      </x:c>
      <x:c r="O670" s="31" t="str">
        <x:v>FT-C-HISTORICAL_CLIMATIC_CHANGE</x:v>
      </x:c>
      <x:c r="P670" s="31" t="str">
        <x:v>FT-F04</x:v>
      </x:c>
      <x:c r="Q670" s="49" t="n">
        <x:v>0.19962306030407717</x:v>
      </x:c>
    </x:row>
    <x:row r="671" ht="20" customHeight="1">
      <x:c r="A671" s="40" t="str">
        <x:v>FT-Q-V01-121</x:v>
      </x:c>
      <x:c r="B671" s="19" t="str">
        <x:v>climatic change</x:v>
      </x:c>
      <x:c r="C671" s="31" t="str">
        <x:v>climate</x:v>
      </x:c>
      <x:c r="D671" s="25" t="n">
        <x:v>1965</x:v>
      </x:c>
      <x:c r="E671" s="46" t="n">
        <x:v>2.0679736145723382e-7</x:v>
      </x:c>
      <x:c r="F671" s="19" t="str">
        <x:v>eng</x:v>
      </x:c>
      <x:c r="G671" s="19" t="str">
        <x:v>current English corpus (July 2024 dataset; public shorthand eng; mutable current corpus)</x:v>
      </x:c>
      <x:c r="H671" s="19" t="str">
        <x:v>climatic change (All)</x:v>
      </x:c>
      <x:c r="I671" s="19" t="str">
        <x:v>0</x:v>
      </x:c>
      <x:c r="J671" s="19" t="n">
        <x:v>46260.108125</x:v>
      </x:c>
      <x:c r="K671" s="31" t="str">
        <x:v>data/fear-temperature/ngram/raw/0a04941be5651b2bc9de7c1d97a1ec296ca7d83fbf14cbae1d4cb6dce5e31d80.json</x:v>
      </x:c>
      <x:c r="L671" s="19" t="str">
        <x:v>d7902abbc080f4d2003d5f1a590f735baa3506f990d5c6b1c2d156f0cbd926e2</x:v>
      </x:c>
      <x:c r="M671" s="19" t="str">
        <x:v>03c6b3b7aec17c75d6066c3ad33475123246728a6d70514bc6c4b2fac975aa04</x:v>
      </x:c>
      <x:c r="N671" s="31" t="str">
        <x:v>FT-LF-CLIMATIC_CHANGE</x:v>
      </x:c>
      <x:c r="O671" s="31" t="str">
        <x:v>FT-C-HISTORICAL_CLIMATIC_CHANGE</x:v>
      </x:c>
      <x:c r="P671" s="31" t="str">
        <x:v>FT-F04</x:v>
      </x:c>
      <x:c r="Q671" s="49" t="n">
        <x:v>0.20679736145723382</x:v>
      </x:c>
    </x:row>
    <x:row r="672" ht="20" customHeight="1">
      <x:c r="A672" s="40" t="str">
        <x:v>FT-Q-V01-121</x:v>
      </x:c>
      <x:c r="B672" s="19" t="str">
        <x:v>climatic change</x:v>
      </x:c>
      <x:c r="C672" s="31" t="str">
        <x:v>climate</x:v>
      </x:c>
      <x:c r="D672" s="25" t="n">
        <x:v>1966</x:v>
      </x:c>
      <x:c r="E672" s="46" t="n">
        <x:v>2.1339786648866266e-7</x:v>
      </x:c>
      <x:c r="F672" s="19" t="str">
        <x:v>eng</x:v>
      </x:c>
      <x:c r="G672" s="19" t="str">
        <x:v>current English corpus (July 2024 dataset; public shorthand eng; mutable current corpus)</x:v>
      </x:c>
      <x:c r="H672" s="19" t="str">
        <x:v>climatic change (All)</x:v>
      </x:c>
      <x:c r="I672" s="19" t="str">
        <x:v>0</x:v>
      </x:c>
      <x:c r="J672" s="19" t="n">
        <x:v>46260.108125</x:v>
      </x:c>
      <x:c r="K672" s="31" t="str">
        <x:v>data/fear-temperature/ngram/raw/0a04941be5651b2bc9de7c1d97a1ec296ca7d83fbf14cbae1d4cb6dce5e31d80.json</x:v>
      </x:c>
      <x:c r="L672" s="19" t="str">
        <x:v>d7902abbc080f4d2003d5f1a590f735baa3506f990d5c6b1c2d156f0cbd926e2</x:v>
      </x:c>
      <x:c r="M672" s="19" t="str">
        <x:v>03c6b3b7aec17c75d6066c3ad33475123246728a6d70514bc6c4b2fac975aa04</x:v>
      </x:c>
      <x:c r="N672" s="31" t="str">
        <x:v>FT-LF-CLIMATIC_CHANGE</x:v>
      </x:c>
      <x:c r="O672" s="31" t="str">
        <x:v>FT-C-HISTORICAL_CLIMATIC_CHANGE</x:v>
      </x:c>
      <x:c r="P672" s="31" t="str">
        <x:v>FT-F04</x:v>
      </x:c>
      <x:c r="Q672" s="49" t="n">
        <x:v>0.21339786648866266</x:v>
      </x:c>
    </x:row>
    <x:row r="673" ht="20" customHeight="1">
      <x:c r="A673" s="40" t="str">
        <x:v>FT-Q-V01-121</x:v>
      </x:c>
      <x:c r="B673" s="19" t="str">
        <x:v>climatic change</x:v>
      </x:c>
      <x:c r="C673" s="31" t="str">
        <x:v>climate</x:v>
      </x:c>
      <x:c r="D673" s="25" t="n">
        <x:v>1967</x:v>
      </x:c>
      <x:c r="E673" s="46" t="n">
        <x:v>1.8803797585675855e-7</x:v>
      </x:c>
      <x:c r="F673" s="19" t="str">
        <x:v>eng</x:v>
      </x:c>
      <x:c r="G673" s="19" t="str">
        <x:v>current English corpus (July 2024 dataset; public shorthand eng; mutable current corpus)</x:v>
      </x:c>
      <x:c r="H673" s="19" t="str">
        <x:v>climatic change (All)</x:v>
      </x:c>
      <x:c r="I673" s="19" t="str">
        <x:v>0</x:v>
      </x:c>
      <x:c r="J673" s="19" t="n">
        <x:v>46260.108125</x:v>
      </x:c>
      <x:c r="K673" s="31" t="str">
        <x:v>data/fear-temperature/ngram/raw/0a04941be5651b2bc9de7c1d97a1ec296ca7d83fbf14cbae1d4cb6dce5e31d80.json</x:v>
      </x:c>
      <x:c r="L673" s="19" t="str">
        <x:v>d7902abbc080f4d2003d5f1a590f735baa3506f990d5c6b1c2d156f0cbd926e2</x:v>
      </x:c>
      <x:c r="M673" s="19" t="str">
        <x:v>03c6b3b7aec17c75d6066c3ad33475123246728a6d70514bc6c4b2fac975aa04</x:v>
      </x:c>
      <x:c r="N673" s="31" t="str">
        <x:v>FT-LF-CLIMATIC_CHANGE</x:v>
      </x:c>
      <x:c r="O673" s="31" t="str">
        <x:v>FT-C-HISTORICAL_CLIMATIC_CHANGE</x:v>
      </x:c>
      <x:c r="P673" s="31" t="str">
        <x:v>FT-F04</x:v>
      </x:c>
      <x:c r="Q673" s="49" t="n">
        <x:v>0.18803797585675855</x:v>
      </x:c>
    </x:row>
    <x:row r="674" ht="20" customHeight="1">
      <x:c r="A674" s="40" t="str">
        <x:v>FT-Q-V01-121</x:v>
      </x:c>
      <x:c r="B674" s="19" t="str">
        <x:v>climatic change</x:v>
      </x:c>
      <x:c r="C674" s="31" t="str">
        <x:v>climate</x:v>
      </x:c>
      <x:c r="D674" s="25" t="n">
        <x:v>1968</x:v>
      </x:c>
      <x:c r="E674" s="46" t="n">
        <x:v>1.9682266305665053e-7</x:v>
      </x:c>
      <x:c r="F674" s="19" t="str">
        <x:v>eng</x:v>
      </x:c>
      <x:c r="G674" s="19" t="str">
        <x:v>current English corpus (July 2024 dataset; public shorthand eng; mutable current corpus)</x:v>
      </x:c>
      <x:c r="H674" s="19" t="str">
        <x:v>climatic change (All)</x:v>
      </x:c>
      <x:c r="I674" s="19" t="str">
        <x:v>0</x:v>
      </x:c>
      <x:c r="J674" s="19" t="n">
        <x:v>46260.108125</x:v>
      </x:c>
      <x:c r="K674" s="31" t="str">
        <x:v>data/fear-temperature/ngram/raw/0a04941be5651b2bc9de7c1d97a1ec296ca7d83fbf14cbae1d4cb6dce5e31d80.json</x:v>
      </x:c>
      <x:c r="L674" s="19" t="str">
        <x:v>d7902abbc080f4d2003d5f1a590f735baa3506f990d5c6b1c2d156f0cbd926e2</x:v>
      </x:c>
      <x:c r="M674" s="19" t="str">
        <x:v>03c6b3b7aec17c75d6066c3ad33475123246728a6d70514bc6c4b2fac975aa04</x:v>
      </x:c>
      <x:c r="N674" s="31" t="str">
        <x:v>FT-LF-CLIMATIC_CHANGE</x:v>
      </x:c>
      <x:c r="O674" s="31" t="str">
        <x:v>FT-C-HISTORICAL_CLIMATIC_CHANGE</x:v>
      </x:c>
      <x:c r="P674" s="31" t="str">
        <x:v>FT-F04</x:v>
      </x:c>
      <x:c r="Q674" s="49" t="n">
        <x:v>0.19682266305665053</x:v>
      </x:c>
    </x:row>
    <x:row r="675" ht="20" customHeight="1">
      <x:c r="A675" s="40" t="str">
        <x:v>FT-Q-V01-121</x:v>
      </x:c>
      <x:c r="B675" s="19" t="str">
        <x:v>climatic change</x:v>
      </x:c>
      <x:c r="C675" s="31" t="str">
        <x:v>climate</x:v>
      </x:c>
      <x:c r="D675" s="25" t="n">
        <x:v>1969</x:v>
      </x:c>
      <x:c r="E675" s="46" t="n">
        <x:v>2.2765537366353786e-7</x:v>
      </x:c>
      <x:c r="F675" s="19" t="str">
        <x:v>eng</x:v>
      </x:c>
      <x:c r="G675" s="19" t="str">
        <x:v>current English corpus (July 2024 dataset; public shorthand eng; mutable current corpus)</x:v>
      </x:c>
      <x:c r="H675" s="19" t="str">
        <x:v>climatic change (All)</x:v>
      </x:c>
      <x:c r="I675" s="19" t="str">
        <x:v>0</x:v>
      </x:c>
      <x:c r="J675" s="19" t="n">
        <x:v>46260.108125</x:v>
      </x:c>
      <x:c r="K675" s="31" t="str">
        <x:v>data/fear-temperature/ngram/raw/0a04941be5651b2bc9de7c1d97a1ec296ca7d83fbf14cbae1d4cb6dce5e31d80.json</x:v>
      </x:c>
      <x:c r="L675" s="19" t="str">
        <x:v>d7902abbc080f4d2003d5f1a590f735baa3506f990d5c6b1c2d156f0cbd926e2</x:v>
      </x:c>
      <x:c r="M675" s="19" t="str">
        <x:v>03c6b3b7aec17c75d6066c3ad33475123246728a6d70514bc6c4b2fac975aa04</x:v>
      </x:c>
      <x:c r="N675" s="31" t="str">
        <x:v>FT-LF-CLIMATIC_CHANGE</x:v>
      </x:c>
      <x:c r="O675" s="31" t="str">
        <x:v>FT-C-HISTORICAL_CLIMATIC_CHANGE</x:v>
      </x:c>
      <x:c r="P675" s="31" t="str">
        <x:v>FT-F04</x:v>
      </x:c>
      <x:c r="Q675" s="49" t="n">
        <x:v>0.22765537366353786</x:v>
      </x:c>
    </x:row>
    <x:row r="676" ht="20" customHeight="1">
      <x:c r="A676" s="40" t="str">
        <x:v>FT-Q-V01-121</x:v>
      </x:c>
      <x:c r="B676" s="19" t="str">
        <x:v>climatic change</x:v>
      </x:c>
      <x:c r="C676" s="31" t="str">
        <x:v>climate</x:v>
      </x:c>
      <x:c r="D676" s="25" t="n">
        <x:v>1970</x:v>
      </x:c>
      <x:c r="E676" s="46" t="n">
        <x:v>2.0405600587025674e-7</x:v>
      </x:c>
      <x:c r="F676" s="19" t="str">
        <x:v>eng</x:v>
      </x:c>
      <x:c r="G676" s="19" t="str">
        <x:v>current English corpus (July 2024 dataset; public shorthand eng; mutable current corpus)</x:v>
      </x:c>
      <x:c r="H676" s="19" t="str">
        <x:v>climatic change (All)</x:v>
      </x:c>
      <x:c r="I676" s="19" t="str">
        <x:v>0</x:v>
      </x:c>
      <x:c r="J676" s="19" t="n">
        <x:v>46260.108125</x:v>
      </x:c>
      <x:c r="K676" s="31" t="str">
        <x:v>data/fear-temperature/ngram/raw/0a04941be5651b2bc9de7c1d97a1ec296ca7d83fbf14cbae1d4cb6dce5e31d80.json</x:v>
      </x:c>
      <x:c r="L676" s="19" t="str">
        <x:v>d7902abbc080f4d2003d5f1a590f735baa3506f990d5c6b1c2d156f0cbd926e2</x:v>
      </x:c>
      <x:c r="M676" s="19" t="str">
        <x:v>03c6b3b7aec17c75d6066c3ad33475123246728a6d70514bc6c4b2fac975aa04</x:v>
      </x:c>
      <x:c r="N676" s="31" t="str">
        <x:v>FT-LF-CLIMATIC_CHANGE</x:v>
      </x:c>
      <x:c r="O676" s="31" t="str">
        <x:v>FT-C-HISTORICAL_CLIMATIC_CHANGE</x:v>
      </x:c>
      <x:c r="P676" s="31" t="str">
        <x:v>FT-F04</x:v>
      </x:c>
      <x:c r="Q676" s="49" t="n">
        <x:v>0.20405600587025674</x:v>
      </x:c>
    </x:row>
    <x:row r="677" ht="20" customHeight="1">
      <x:c r="A677" s="40" t="str">
        <x:v>FT-Q-V01-121</x:v>
      </x:c>
      <x:c r="B677" s="19" t="str">
        <x:v>climatic change</x:v>
      </x:c>
      <x:c r="C677" s="31" t="str">
        <x:v>climate</x:v>
      </x:c>
      <x:c r="D677" s="25" t="n">
        <x:v>1971</x:v>
      </x:c>
      <x:c r="E677" s="46" t="n">
        <x:v>2.5333965947282877e-7</x:v>
      </x:c>
      <x:c r="F677" s="19" t="str">
        <x:v>eng</x:v>
      </x:c>
      <x:c r="G677" s="19" t="str">
        <x:v>current English corpus (July 2024 dataset; public shorthand eng; mutable current corpus)</x:v>
      </x:c>
      <x:c r="H677" s="19" t="str">
        <x:v>climatic change (All)</x:v>
      </x:c>
      <x:c r="I677" s="19" t="str">
        <x:v>0</x:v>
      </x:c>
      <x:c r="J677" s="19" t="n">
        <x:v>46260.108125</x:v>
      </x:c>
      <x:c r="K677" s="31" t="str">
        <x:v>data/fear-temperature/ngram/raw/0a04941be5651b2bc9de7c1d97a1ec296ca7d83fbf14cbae1d4cb6dce5e31d80.json</x:v>
      </x:c>
      <x:c r="L677" s="19" t="str">
        <x:v>d7902abbc080f4d2003d5f1a590f735baa3506f990d5c6b1c2d156f0cbd926e2</x:v>
      </x:c>
      <x:c r="M677" s="19" t="str">
        <x:v>03c6b3b7aec17c75d6066c3ad33475123246728a6d70514bc6c4b2fac975aa04</x:v>
      </x:c>
      <x:c r="N677" s="31" t="str">
        <x:v>FT-LF-CLIMATIC_CHANGE</x:v>
      </x:c>
      <x:c r="O677" s="31" t="str">
        <x:v>FT-C-HISTORICAL_CLIMATIC_CHANGE</x:v>
      </x:c>
      <x:c r="P677" s="31" t="str">
        <x:v>FT-F04</x:v>
      </x:c>
      <x:c r="Q677" s="49" t="n">
        <x:v>0.25333965947282877</x:v>
      </x:c>
    </x:row>
    <x:row r="678" ht="20" customHeight="1">
      <x:c r="A678" s="40" t="str">
        <x:v>FT-Q-V01-121</x:v>
      </x:c>
      <x:c r="B678" s="19" t="str">
        <x:v>climatic change</x:v>
      </x:c>
      <x:c r="C678" s="31" t="str">
        <x:v>climate</x:v>
      </x:c>
      <x:c r="D678" s="25" t="n">
        <x:v>1972</x:v>
      </x:c>
      <x:c r="E678" s="46" t="n">
        <x:v>3.5369573743448957e-7</x:v>
      </x:c>
      <x:c r="F678" s="19" t="str">
        <x:v>eng</x:v>
      </x:c>
      <x:c r="G678" s="19" t="str">
        <x:v>current English corpus (July 2024 dataset; public shorthand eng; mutable current corpus)</x:v>
      </x:c>
      <x:c r="H678" s="19" t="str">
        <x:v>climatic change (All)</x:v>
      </x:c>
      <x:c r="I678" s="19" t="str">
        <x:v>0</x:v>
      </x:c>
      <x:c r="J678" s="19" t="n">
        <x:v>46260.108125</x:v>
      </x:c>
      <x:c r="K678" s="31" t="str">
        <x:v>data/fear-temperature/ngram/raw/0a04941be5651b2bc9de7c1d97a1ec296ca7d83fbf14cbae1d4cb6dce5e31d80.json</x:v>
      </x:c>
      <x:c r="L678" s="19" t="str">
        <x:v>d7902abbc080f4d2003d5f1a590f735baa3506f990d5c6b1c2d156f0cbd926e2</x:v>
      </x:c>
      <x:c r="M678" s="19" t="str">
        <x:v>03c6b3b7aec17c75d6066c3ad33475123246728a6d70514bc6c4b2fac975aa04</x:v>
      </x:c>
      <x:c r="N678" s="31" t="str">
        <x:v>FT-LF-CLIMATIC_CHANGE</x:v>
      </x:c>
      <x:c r="O678" s="31" t="str">
        <x:v>FT-C-HISTORICAL_CLIMATIC_CHANGE</x:v>
      </x:c>
      <x:c r="P678" s="31" t="str">
        <x:v>FT-F04</x:v>
      </x:c>
      <x:c r="Q678" s="49" t="n">
        <x:v>0.35369573743448957</x:v>
      </x:c>
    </x:row>
    <x:row r="679" ht="20" customHeight="1">
      <x:c r="A679" s="40" t="str">
        <x:v>FT-Q-V01-121</x:v>
      </x:c>
      <x:c r="B679" s="19" t="str">
        <x:v>climatic change</x:v>
      </x:c>
      <x:c r="C679" s="31" t="str">
        <x:v>climate</x:v>
      </x:c>
      <x:c r="D679" s="25" t="n">
        <x:v>1973</x:v>
      </x:c>
      <x:c r="E679" s="46" t="n">
        <x:v>3.638529106966826e-7</x:v>
      </x:c>
      <x:c r="F679" s="19" t="str">
        <x:v>eng</x:v>
      </x:c>
      <x:c r="G679" s="19" t="str">
        <x:v>current English corpus (July 2024 dataset; public shorthand eng; mutable current corpus)</x:v>
      </x:c>
      <x:c r="H679" s="19" t="str">
        <x:v>climatic change (All)</x:v>
      </x:c>
      <x:c r="I679" s="19" t="str">
        <x:v>0</x:v>
      </x:c>
      <x:c r="J679" s="19" t="n">
        <x:v>46260.108125</x:v>
      </x:c>
      <x:c r="K679" s="31" t="str">
        <x:v>data/fear-temperature/ngram/raw/0a04941be5651b2bc9de7c1d97a1ec296ca7d83fbf14cbae1d4cb6dce5e31d80.json</x:v>
      </x:c>
      <x:c r="L679" s="19" t="str">
        <x:v>d7902abbc080f4d2003d5f1a590f735baa3506f990d5c6b1c2d156f0cbd926e2</x:v>
      </x:c>
      <x:c r="M679" s="19" t="str">
        <x:v>03c6b3b7aec17c75d6066c3ad33475123246728a6d70514bc6c4b2fac975aa04</x:v>
      </x:c>
      <x:c r="N679" s="31" t="str">
        <x:v>FT-LF-CLIMATIC_CHANGE</x:v>
      </x:c>
      <x:c r="O679" s="31" t="str">
        <x:v>FT-C-HISTORICAL_CLIMATIC_CHANGE</x:v>
      </x:c>
      <x:c r="P679" s="31" t="str">
        <x:v>FT-F04</x:v>
      </x:c>
      <x:c r="Q679" s="49" t="n">
        <x:v>0.3638529106966826</x:v>
      </x:c>
    </x:row>
    <x:row r="680" ht="20" customHeight="1">
      <x:c r="A680" s="40" t="str">
        <x:v>FT-Q-V01-121</x:v>
      </x:c>
      <x:c r="B680" s="19" t="str">
        <x:v>climatic change</x:v>
      </x:c>
      <x:c r="C680" s="31" t="str">
        <x:v>climate</x:v>
      </x:c>
      <x:c r="D680" s="25" t="n">
        <x:v>1974</x:v>
      </x:c>
      <x:c r="E680" s="46" t="n">
        <x:v>4.528666099901102e-7</x:v>
      </x:c>
      <x:c r="F680" s="19" t="str">
        <x:v>eng</x:v>
      </x:c>
      <x:c r="G680" s="19" t="str">
        <x:v>current English corpus (July 2024 dataset; public shorthand eng; mutable current corpus)</x:v>
      </x:c>
      <x:c r="H680" s="19" t="str">
        <x:v>climatic change (All)</x:v>
      </x:c>
      <x:c r="I680" s="19" t="str">
        <x:v>0</x:v>
      </x:c>
      <x:c r="J680" s="19" t="n">
        <x:v>46260.108125</x:v>
      </x:c>
      <x:c r="K680" s="31" t="str">
        <x:v>data/fear-temperature/ngram/raw/0a04941be5651b2bc9de7c1d97a1ec296ca7d83fbf14cbae1d4cb6dce5e31d80.json</x:v>
      </x:c>
      <x:c r="L680" s="19" t="str">
        <x:v>d7902abbc080f4d2003d5f1a590f735baa3506f990d5c6b1c2d156f0cbd926e2</x:v>
      </x:c>
      <x:c r="M680" s="19" t="str">
        <x:v>03c6b3b7aec17c75d6066c3ad33475123246728a6d70514bc6c4b2fac975aa04</x:v>
      </x:c>
      <x:c r="N680" s="31" t="str">
        <x:v>FT-LF-CLIMATIC_CHANGE</x:v>
      </x:c>
      <x:c r="O680" s="31" t="str">
        <x:v>FT-C-HISTORICAL_CLIMATIC_CHANGE</x:v>
      </x:c>
      <x:c r="P680" s="31" t="str">
        <x:v>FT-F04</x:v>
      </x:c>
      <x:c r="Q680" s="49" t="n">
        <x:v>0.4528666099901102</x:v>
      </x:c>
    </x:row>
    <x:row r="681" ht="20" customHeight="1">
      <x:c r="A681" s="40" t="str">
        <x:v>FT-Q-V01-121</x:v>
      </x:c>
      <x:c r="B681" s="19" t="str">
        <x:v>climatic change</x:v>
      </x:c>
      <x:c r="C681" s="31" t="str">
        <x:v>climate</x:v>
      </x:c>
      <x:c r="D681" s="25" t="n">
        <x:v>1975</x:v>
      </x:c>
      <x:c r="E681" s="46" t="n">
        <x:v>5.339151137005727e-7</x:v>
      </x:c>
      <x:c r="F681" s="19" t="str">
        <x:v>eng</x:v>
      </x:c>
      <x:c r="G681" s="19" t="str">
        <x:v>current English corpus (July 2024 dataset; public shorthand eng; mutable current corpus)</x:v>
      </x:c>
      <x:c r="H681" s="19" t="str">
        <x:v>climatic change (All)</x:v>
      </x:c>
      <x:c r="I681" s="19" t="str">
        <x:v>0</x:v>
      </x:c>
      <x:c r="J681" s="19" t="n">
        <x:v>46260.108125</x:v>
      </x:c>
      <x:c r="K681" s="31" t="str">
        <x:v>data/fear-temperature/ngram/raw/0a04941be5651b2bc9de7c1d97a1ec296ca7d83fbf14cbae1d4cb6dce5e31d80.json</x:v>
      </x:c>
      <x:c r="L681" s="19" t="str">
        <x:v>d7902abbc080f4d2003d5f1a590f735baa3506f990d5c6b1c2d156f0cbd926e2</x:v>
      </x:c>
      <x:c r="M681" s="19" t="str">
        <x:v>03c6b3b7aec17c75d6066c3ad33475123246728a6d70514bc6c4b2fac975aa04</x:v>
      </x:c>
      <x:c r="N681" s="31" t="str">
        <x:v>FT-LF-CLIMATIC_CHANGE</x:v>
      </x:c>
      <x:c r="O681" s="31" t="str">
        <x:v>FT-C-HISTORICAL_CLIMATIC_CHANGE</x:v>
      </x:c>
      <x:c r="P681" s="31" t="str">
        <x:v>FT-F04</x:v>
      </x:c>
      <x:c r="Q681" s="49" t="n">
        <x:v>0.5339151137005727</x:v>
      </x:c>
    </x:row>
    <x:row r="682" ht="20" customHeight="1">
      <x:c r="A682" s="40" t="str">
        <x:v>FT-Q-V01-121</x:v>
      </x:c>
      <x:c r="B682" s="19" t="str">
        <x:v>climatic change</x:v>
      </x:c>
      <x:c r="C682" s="31" t="str">
        <x:v>climate</x:v>
      </x:c>
      <x:c r="D682" s="25" t="n">
        <x:v>1976</x:v>
      </x:c>
      <x:c r="E682" s="46" t="n">
        <x:v>7.031154347116042e-7</x:v>
      </x:c>
      <x:c r="F682" s="19" t="str">
        <x:v>eng</x:v>
      </x:c>
      <x:c r="G682" s="19" t="str">
        <x:v>current English corpus (July 2024 dataset; public shorthand eng; mutable current corpus)</x:v>
      </x:c>
      <x:c r="H682" s="19" t="str">
        <x:v>climatic change (All)</x:v>
      </x:c>
      <x:c r="I682" s="19" t="str">
        <x:v>0</x:v>
      </x:c>
      <x:c r="J682" s="19" t="n">
        <x:v>46260.108125</x:v>
      </x:c>
      <x:c r="K682" s="31" t="str">
        <x:v>data/fear-temperature/ngram/raw/0a04941be5651b2bc9de7c1d97a1ec296ca7d83fbf14cbae1d4cb6dce5e31d80.json</x:v>
      </x:c>
      <x:c r="L682" s="19" t="str">
        <x:v>d7902abbc080f4d2003d5f1a590f735baa3506f990d5c6b1c2d156f0cbd926e2</x:v>
      </x:c>
      <x:c r="M682" s="19" t="str">
        <x:v>03c6b3b7aec17c75d6066c3ad33475123246728a6d70514bc6c4b2fac975aa04</x:v>
      </x:c>
      <x:c r="N682" s="31" t="str">
        <x:v>FT-LF-CLIMATIC_CHANGE</x:v>
      </x:c>
      <x:c r="O682" s="31" t="str">
        <x:v>FT-C-HISTORICAL_CLIMATIC_CHANGE</x:v>
      </x:c>
      <x:c r="P682" s="31" t="str">
        <x:v>FT-F04</x:v>
      </x:c>
      <x:c r="Q682" s="49" t="n">
        <x:v>0.7031154347116042</x:v>
      </x:c>
    </x:row>
    <x:row r="683" ht="20" customHeight="1">
      <x:c r="A683" s="40" t="str">
        <x:v>FT-Q-V01-121</x:v>
      </x:c>
      <x:c r="B683" s="19" t="str">
        <x:v>climatic change</x:v>
      </x:c>
      <x:c r="C683" s="31" t="str">
        <x:v>climate</x:v>
      </x:c>
      <x:c r="D683" s="25" t="n">
        <x:v>1977</x:v>
      </x:c>
      <x:c r="E683" s="46" t="n">
        <x:v>5.784305487505083e-7</x:v>
      </x:c>
      <x:c r="F683" s="19" t="str">
        <x:v>eng</x:v>
      </x:c>
      <x:c r="G683" s="19" t="str">
        <x:v>current English corpus (July 2024 dataset; public shorthand eng; mutable current corpus)</x:v>
      </x:c>
      <x:c r="H683" s="19" t="str">
        <x:v>climatic change (All)</x:v>
      </x:c>
      <x:c r="I683" s="19" t="str">
        <x:v>0</x:v>
      </x:c>
      <x:c r="J683" s="19" t="n">
        <x:v>46260.108125</x:v>
      </x:c>
      <x:c r="K683" s="31" t="str">
        <x:v>data/fear-temperature/ngram/raw/0a04941be5651b2bc9de7c1d97a1ec296ca7d83fbf14cbae1d4cb6dce5e31d80.json</x:v>
      </x:c>
      <x:c r="L683" s="19" t="str">
        <x:v>d7902abbc080f4d2003d5f1a590f735baa3506f990d5c6b1c2d156f0cbd926e2</x:v>
      </x:c>
      <x:c r="M683" s="19" t="str">
        <x:v>03c6b3b7aec17c75d6066c3ad33475123246728a6d70514bc6c4b2fac975aa04</x:v>
      </x:c>
      <x:c r="N683" s="31" t="str">
        <x:v>FT-LF-CLIMATIC_CHANGE</x:v>
      </x:c>
      <x:c r="O683" s="31" t="str">
        <x:v>FT-C-HISTORICAL_CLIMATIC_CHANGE</x:v>
      </x:c>
      <x:c r="P683" s="31" t="str">
        <x:v>FT-F04</x:v>
      </x:c>
      <x:c r="Q683" s="49" t="n">
        <x:v>0.5784305487505083</x:v>
      </x:c>
    </x:row>
    <x:row r="684" ht="20" customHeight="1">
      <x:c r="A684" s="40" t="str">
        <x:v>FT-Q-V01-121</x:v>
      </x:c>
      <x:c r="B684" s="19" t="str">
        <x:v>climatic change</x:v>
      </x:c>
      <x:c r="C684" s="31" t="str">
        <x:v>climate</x:v>
      </x:c>
      <x:c r="D684" s="25" t="n">
        <x:v>1978</x:v>
      </x:c>
      <x:c r="E684" s="46" t="n">
        <x:v>5.97202676255737e-7</x:v>
      </x:c>
      <x:c r="F684" s="19" t="str">
        <x:v>eng</x:v>
      </x:c>
      <x:c r="G684" s="19" t="str">
        <x:v>current English corpus (July 2024 dataset; public shorthand eng; mutable current corpus)</x:v>
      </x:c>
      <x:c r="H684" s="19" t="str">
        <x:v>climatic change (All)</x:v>
      </x:c>
      <x:c r="I684" s="19" t="str">
        <x:v>0</x:v>
      </x:c>
      <x:c r="J684" s="19" t="n">
        <x:v>46260.108125</x:v>
      </x:c>
      <x:c r="K684" s="31" t="str">
        <x:v>data/fear-temperature/ngram/raw/0a04941be5651b2bc9de7c1d97a1ec296ca7d83fbf14cbae1d4cb6dce5e31d80.json</x:v>
      </x:c>
      <x:c r="L684" s="19" t="str">
        <x:v>d7902abbc080f4d2003d5f1a590f735baa3506f990d5c6b1c2d156f0cbd926e2</x:v>
      </x:c>
      <x:c r="M684" s="19" t="str">
        <x:v>03c6b3b7aec17c75d6066c3ad33475123246728a6d70514bc6c4b2fac975aa04</x:v>
      </x:c>
      <x:c r="N684" s="31" t="str">
        <x:v>FT-LF-CLIMATIC_CHANGE</x:v>
      </x:c>
      <x:c r="O684" s="31" t="str">
        <x:v>FT-C-HISTORICAL_CLIMATIC_CHANGE</x:v>
      </x:c>
      <x:c r="P684" s="31" t="str">
        <x:v>FT-F04</x:v>
      </x:c>
      <x:c r="Q684" s="49" t="n">
        <x:v>0.597202676255737</x:v>
      </x:c>
    </x:row>
    <x:row r="685" ht="20" customHeight="1">
      <x:c r="A685" s="40" t="str">
        <x:v>FT-Q-V01-121</x:v>
      </x:c>
      <x:c r="B685" s="19" t="str">
        <x:v>climatic change</x:v>
      </x:c>
      <x:c r="C685" s="31" t="str">
        <x:v>climate</x:v>
      </x:c>
      <x:c r="D685" s="25" t="n">
        <x:v>1979</x:v>
      </x:c>
      <x:c r="E685" s="46" t="n">
        <x:v>5.470228890969154e-7</x:v>
      </x:c>
      <x:c r="F685" s="19" t="str">
        <x:v>eng</x:v>
      </x:c>
      <x:c r="G685" s="19" t="str">
        <x:v>current English corpus (July 2024 dataset; public shorthand eng; mutable current corpus)</x:v>
      </x:c>
      <x:c r="H685" s="19" t="str">
        <x:v>climatic change (All)</x:v>
      </x:c>
      <x:c r="I685" s="19" t="str">
        <x:v>0</x:v>
      </x:c>
      <x:c r="J685" s="19" t="n">
        <x:v>46260.108125</x:v>
      </x:c>
      <x:c r="K685" s="31" t="str">
        <x:v>data/fear-temperature/ngram/raw/0a04941be5651b2bc9de7c1d97a1ec296ca7d83fbf14cbae1d4cb6dce5e31d80.json</x:v>
      </x:c>
      <x:c r="L685" s="19" t="str">
        <x:v>d7902abbc080f4d2003d5f1a590f735baa3506f990d5c6b1c2d156f0cbd926e2</x:v>
      </x:c>
      <x:c r="M685" s="19" t="str">
        <x:v>03c6b3b7aec17c75d6066c3ad33475123246728a6d70514bc6c4b2fac975aa04</x:v>
      </x:c>
      <x:c r="N685" s="31" t="str">
        <x:v>FT-LF-CLIMATIC_CHANGE</x:v>
      </x:c>
      <x:c r="O685" s="31" t="str">
        <x:v>FT-C-HISTORICAL_CLIMATIC_CHANGE</x:v>
      </x:c>
      <x:c r="P685" s="31" t="str">
        <x:v>FT-F04</x:v>
      </x:c>
      <x:c r="Q685" s="49" t="n">
        <x:v>0.5470228890969154</x:v>
      </x:c>
    </x:row>
    <x:row r="686" ht="20" customHeight="1">
      <x:c r="A686" s="40" t="str">
        <x:v>FT-Q-V01-121</x:v>
      </x:c>
      <x:c r="B686" s="19" t="str">
        <x:v>climatic change</x:v>
      </x:c>
      <x:c r="C686" s="31" t="str">
        <x:v>climate</x:v>
      </x:c>
      <x:c r="D686" s="25" t="n">
        <x:v>1980</x:v>
      </x:c>
      <x:c r="E686" s="46" t="n">
        <x:v>6.168957180086032e-7</x:v>
      </x:c>
      <x:c r="F686" s="19" t="str">
        <x:v>eng</x:v>
      </x:c>
      <x:c r="G686" s="19" t="str">
        <x:v>current English corpus (July 2024 dataset; public shorthand eng; mutable current corpus)</x:v>
      </x:c>
      <x:c r="H686" s="19" t="str">
        <x:v>climatic change (All)</x:v>
      </x:c>
      <x:c r="I686" s="19" t="str">
        <x:v>0</x:v>
      </x:c>
      <x:c r="J686" s="19" t="n">
        <x:v>46260.108125</x:v>
      </x:c>
      <x:c r="K686" s="31" t="str">
        <x:v>data/fear-temperature/ngram/raw/0a04941be5651b2bc9de7c1d97a1ec296ca7d83fbf14cbae1d4cb6dce5e31d80.json</x:v>
      </x:c>
      <x:c r="L686" s="19" t="str">
        <x:v>d7902abbc080f4d2003d5f1a590f735baa3506f990d5c6b1c2d156f0cbd926e2</x:v>
      </x:c>
      <x:c r="M686" s="19" t="str">
        <x:v>03c6b3b7aec17c75d6066c3ad33475123246728a6d70514bc6c4b2fac975aa04</x:v>
      </x:c>
      <x:c r="N686" s="31" t="str">
        <x:v>FT-LF-CLIMATIC_CHANGE</x:v>
      </x:c>
      <x:c r="O686" s="31" t="str">
        <x:v>FT-C-HISTORICAL_CLIMATIC_CHANGE</x:v>
      </x:c>
      <x:c r="P686" s="31" t="str">
        <x:v>FT-F04</x:v>
      </x:c>
      <x:c r="Q686" s="49" t="n">
        <x:v>0.6168957180086032</x:v>
      </x:c>
    </x:row>
    <x:row r="687" ht="20" customHeight="1">
      <x:c r="A687" s="40" t="str">
        <x:v>FT-Q-V01-121</x:v>
      </x:c>
      <x:c r="B687" s="19" t="str">
        <x:v>climatic change</x:v>
      </x:c>
      <x:c r="C687" s="31" t="str">
        <x:v>climate</x:v>
      </x:c>
      <x:c r="D687" s="25" t="n">
        <x:v>1981</x:v>
      </x:c>
      <x:c r="E687" s="46" t="n">
        <x:v>5.074882620595411e-7</x:v>
      </x:c>
      <x:c r="F687" s="19" t="str">
        <x:v>eng</x:v>
      </x:c>
      <x:c r="G687" s="19" t="str">
        <x:v>current English corpus (July 2024 dataset; public shorthand eng; mutable current corpus)</x:v>
      </x:c>
      <x:c r="H687" s="19" t="str">
        <x:v>climatic change (All)</x:v>
      </x:c>
      <x:c r="I687" s="19" t="str">
        <x:v>0</x:v>
      </x:c>
      <x:c r="J687" s="19" t="n">
        <x:v>46260.108125</x:v>
      </x:c>
      <x:c r="K687" s="31" t="str">
        <x:v>data/fear-temperature/ngram/raw/0a04941be5651b2bc9de7c1d97a1ec296ca7d83fbf14cbae1d4cb6dce5e31d80.json</x:v>
      </x:c>
      <x:c r="L687" s="19" t="str">
        <x:v>d7902abbc080f4d2003d5f1a590f735baa3506f990d5c6b1c2d156f0cbd926e2</x:v>
      </x:c>
      <x:c r="M687" s="19" t="str">
        <x:v>03c6b3b7aec17c75d6066c3ad33475123246728a6d70514bc6c4b2fac975aa04</x:v>
      </x:c>
      <x:c r="N687" s="31" t="str">
        <x:v>FT-LF-CLIMATIC_CHANGE</x:v>
      </x:c>
      <x:c r="O687" s="31" t="str">
        <x:v>FT-C-HISTORICAL_CLIMATIC_CHANGE</x:v>
      </x:c>
      <x:c r="P687" s="31" t="str">
        <x:v>FT-F04</x:v>
      </x:c>
      <x:c r="Q687" s="49" t="n">
        <x:v>0.5074882620595411</x:v>
      </x:c>
    </x:row>
    <x:row r="688" ht="20" customHeight="1">
      <x:c r="A688" s="40" t="str">
        <x:v>FT-Q-V01-121</x:v>
      </x:c>
      <x:c r="B688" s="19" t="str">
        <x:v>climatic change</x:v>
      </x:c>
      <x:c r="C688" s="31" t="str">
        <x:v>climate</x:v>
      </x:c>
      <x:c r="D688" s="25" t="n">
        <x:v>1982</x:v>
      </x:c>
      <x:c r="E688" s="46" t="n">
        <x:v>5.582889793312452e-7</x:v>
      </x:c>
      <x:c r="F688" s="19" t="str">
        <x:v>eng</x:v>
      </x:c>
      <x:c r="G688" s="19" t="str">
        <x:v>current English corpus (July 2024 dataset; public shorthand eng; mutable current corpus)</x:v>
      </x:c>
      <x:c r="H688" s="19" t="str">
        <x:v>climatic change (All)</x:v>
      </x:c>
      <x:c r="I688" s="19" t="str">
        <x:v>0</x:v>
      </x:c>
      <x:c r="J688" s="19" t="n">
        <x:v>46260.108125</x:v>
      </x:c>
      <x:c r="K688" s="31" t="str">
        <x:v>data/fear-temperature/ngram/raw/0a04941be5651b2bc9de7c1d97a1ec296ca7d83fbf14cbae1d4cb6dce5e31d80.json</x:v>
      </x:c>
      <x:c r="L688" s="19" t="str">
        <x:v>d7902abbc080f4d2003d5f1a590f735baa3506f990d5c6b1c2d156f0cbd926e2</x:v>
      </x:c>
      <x:c r="M688" s="19" t="str">
        <x:v>03c6b3b7aec17c75d6066c3ad33475123246728a6d70514bc6c4b2fac975aa04</x:v>
      </x:c>
      <x:c r="N688" s="31" t="str">
        <x:v>FT-LF-CLIMATIC_CHANGE</x:v>
      </x:c>
      <x:c r="O688" s="31" t="str">
        <x:v>FT-C-HISTORICAL_CLIMATIC_CHANGE</x:v>
      </x:c>
      <x:c r="P688" s="31" t="str">
        <x:v>FT-F04</x:v>
      </x:c>
      <x:c r="Q688" s="49" t="n">
        <x:v>0.5582889793312452</x:v>
      </x:c>
    </x:row>
    <x:row r="689" ht="20" customHeight="1">
      <x:c r="A689" s="40" t="str">
        <x:v>FT-Q-V01-121</x:v>
      </x:c>
      <x:c r="B689" s="19" t="str">
        <x:v>climatic change</x:v>
      </x:c>
      <x:c r="C689" s="31" t="str">
        <x:v>climate</x:v>
      </x:c>
      <x:c r="D689" s="25" t="n">
        <x:v>1983</x:v>
      </x:c>
      <x:c r="E689" s="46" t="n">
        <x:v>5.312639191554225e-7</x:v>
      </x:c>
      <x:c r="F689" s="19" t="str">
        <x:v>eng</x:v>
      </x:c>
      <x:c r="G689" s="19" t="str">
        <x:v>current English corpus (July 2024 dataset; public shorthand eng; mutable current corpus)</x:v>
      </x:c>
      <x:c r="H689" s="19" t="str">
        <x:v>climatic change (All)</x:v>
      </x:c>
      <x:c r="I689" s="19" t="str">
        <x:v>0</x:v>
      </x:c>
      <x:c r="J689" s="19" t="n">
        <x:v>46260.108125</x:v>
      </x:c>
      <x:c r="K689" s="31" t="str">
        <x:v>data/fear-temperature/ngram/raw/0a04941be5651b2bc9de7c1d97a1ec296ca7d83fbf14cbae1d4cb6dce5e31d80.json</x:v>
      </x:c>
      <x:c r="L689" s="19" t="str">
        <x:v>d7902abbc080f4d2003d5f1a590f735baa3506f990d5c6b1c2d156f0cbd926e2</x:v>
      </x:c>
      <x:c r="M689" s="19" t="str">
        <x:v>03c6b3b7aec17c75d6066c3ad33475123246728a6d70514bc6c4b2fac975aa04</x:v>
      </x:c>
      <x:c r="N689" s="31" t="str">
        <x:v>FT-LF-CLIMATIC_CHANGE</x:v>
      </x:c>
      <x:c r="O689" s="31" t="str">
        <x:v>FT-C-HISTORICAL_CLIMATIC_CHANGE</x:v>
      </x:c>
      <x:c r="P689" s="31" t="str">
        <x:v>FT-F04</x:v>
      </x:c>
      <x:c r="Q689" s="49" t="n">
        <x:v>0.5312639191554225</x:v>
      </x:c>
    </x:row>
    <x:row r="690" ht="20" customHeight="1">
      <x:c r="A690" s="40" t="str">
        <x:v>FT-Q-V01-121</x:v>
      </x:c>
      <x:c r="B690" s="19" t="str">
        <x:v>climatic change</x:v>
      </x:c>
      <x:c r="C690" s="31" t="str">
        <x:v>climate</x:v>
      </x:c>
      <x:c r="D690" s="25" t="n">
        <x:v>1984</x:v>
      </x:c>
      <x:c r="E690" s="46" t="n">
        <x:v>5.829047915774377e-7</x:v>
      </x:c>
      <x:c r="F690" s="19" t="str">
        <x:v>eng</x:v>
      </x:c>
      <x:c r="G690" s="19" t="str">
        <x:v>current English corpus (July 2024 dataset; public shorthand eng; mutable current corpus)</x:v>
      </x:c>
      <x:c r="H690" s="19" t="str">
        <x:v>climatic change (All)</x:v>
      </x:c>
      <x:c r="I690" s="19" t="str">
        <x:v>0</x:v>
      </x:c>
      <x:c r="J690" s="19" t="n">
        <x:v>46260.108125</x:v>
      </x:c>
      <x:c r="K690" s="31" t="str">
        <x:v>data/fear-temperature/ngram/raw/0a04941be5651b2bc9de7c1d97a1ec296ca7d83fbf14cbae1d4cb6dce5e31d80.json</x:v>
      </x:c>
      <x:c r="L690" s="19" t="str">
        <x:v>d7902abbc080f4d2003d5f1a590f735baa3506f990d5c6b1c2d156f0cbd926e2</x:v>
      </x:c>
      <x:c r="M690" s="19" t="str">
        <x:v>03c6b3b7aec17c75d6066c3ad33475123246728a6d70514bc6c4b2fac975aa04</x:v>
      </x:c>
      <x:c r="N690" s="31" t="str">
        <x:v>FT-LF-CLIMATIC_CHANGE</x:v>
      </x:c>
      <x:c r="O690" s="31" t="str">
        <x:v>FT-C-HISTORICAL_CLIMATIC_CHANGE</x:v>
      </x:c>
      <x:c r="P690" s="31" t="str">
        <x:v>FT-F04</x:v>
      </x:c>
      <x:c r="Q690" s="49" t="n">
        <x:v>0.5829047915774377</x:v>
      </x:c>
    </x:row>
    <x:row r="691" ht="20" customHeight="1">
      <x:c r="A691" s="40" t="str">
        <x:v>FT-Q-V01-121</x:v>
      </x:c>
      <x:c r="B691" s="19" t="str">
        <x:v>climatic change</x:v>
      </x:c>
      <x:c r="C691" s="31" t="str">
        <x:v>climate</x:v>
      </x:c>
      <x:c r="D691" s="25" t="n">
        <x:v>1985</x:v>
      </x:c>
      <x:c r="E691" s="46" t="n">
        <x:v>6.036293989097885e-7</x:v>
      </x:c>
      <x:c r="F691" s="19" t="str">
        <x:v>eng</x:v>
      </x:c>
      <x:c r="G691" s="19" t="str">
        <x:v>current English corpus (July 2024 dataset; public shorthand eng; mutable current corpus)</x:v>
      </x:c>
      <x:c r="H691" s="19" t="str">
        <x:v>climatic change (All)</x:v>
      </x:c>
      <x:c r="I691" s="19" t="str">
        <x:v>0</x:v>
      </x:c>
      <x:c r="J691" s="19" t="n">
        <x:v>46260.108125</x:v>
      </x:c>
      <x:c r="K691" s="31" t="str">
        <x:v>data/fear-temperature/ngram/raw/0a04941be5651b2bc9de7c1d97a1ec296ca7d83fbf14cbae1d4cb6dce5e31d80.json</x:v>
      </x:c>
      <x:c r="L691" s="19" t="str">
        <x:v>d7902abbc080f4d2003d5f1a590f735baa3506f990d5c6b1c2d156f0cbd926e2</x:v>
      </x:c>
      <x:c r="M691" s="19" t="str">
        <x:v>03c6b3b7aec17c75d6066c3ad33475123246728a6d70514bc6c4b2fac975aa04</x:v>
      </x:c>
      <x:c r="N691" s="31" t="str">
        <x:v>FT-LF-CLIMATIC_CHANGE</x:v>
      </x:c>
      <x:c r="O691" s="31" t="str">
        <x:v>FT-C-HISTORICAL_CLIMATIC_CHANGE</x:v>
      </x:c>
      <x:c r="P691" s="31" t="str">
        <x:v>FT-F04</x:v>
      </x:c>
      <x:c r="Q691" s="49" t="n">
        <x:v>0.6036293989097885</x:v>
      </x:c>
    </x:row>
    <x:row r="692" ht="20" customHeight="1">
      <x:c r="A692" s="40" t="str">
        <x:v>FT-Q-V01-121</x:v>
      </x:c>
      <x:c r="B692" s="19" t="str">
        <x:v>climatic change</x:v>
      </x:c>
      <x:c r="C692" s="31" t="str">
        <x:v>climate</x:v>
      </x:c>
      <x:c r="D692" s="25" t="n">
        <x:v>1986</x:v>
      </x:c>
      <x:c r="E692" s="46" t="n">
        <x:v>5.608131564693863e-7</x:v>
      </x:c>
      <x:c r="F692" s="19" t="str">
        <x:v>eng</x:v>
      </x:c>
      <x:c r="G692" s="19" t="str">
        <x:v>current English corpus (July 2024 dataset; public shorthand eng; mutable current corpus)</x:v>
      </x:c>
      <x:c r="H692" s="19" t="str">
        <x:v>climatic change (All)</x:v>
      </x:c>
      <x:c r="I692" s="19" t="str">
        <x:v>0</x:v>
      </x:c>
      <x:c r="J692" s="19" t="n">
        <x:v>46260.108125</x:v>
      </x:c>
      <x:c r="K692" s="31" t="str">
        <x:v>data/fear-temperature/ngram/raw/0a04941be5651b2bc9de7c1d97a1ec296ca7d83fbf14cbae1d4cb6dce5e31d80.json</x:v>
      </x:c>
      <x:c r="L692" s="19" t="str">
        <x:v>d7902abbc080f4d2003d5f1a590f735baa3506f990d5c6b1c2d156f0cbd926e2</x:v>
      </x:c>
      <x:c r="M692" s="19" t="str">
        <x:v>03c6b3b7aec17c75d6066c3ad33475123246728a6d70514bc6c4b2fac975aa04</x:v>
      </x:c>
      <x:c r="N692" s="31" t="str">
        <x:v>FT-LF-CLIMATIC_CHANGE</x:v>
      </x:c>
      <x:c r="O692" s="31" t="str">
        <x:v>FT-C-HISTORICAL_CLIMATIC_CHANGE</x:v>
      </x:c>
      <x:c r="P692" s="31" t="str">
        <x:v>FT-F04</x:v>
      </x:c>
      <x:c r="Q692" s="49" t="n">
        <x:v>0.5608131564693863</x:v>
      </x:c>
    </x:row>
    <x:row r="693" ht="20" customHeight="1">
      <x:c r="A693" s="40" t="str">
        <x:v>FT-Q-V01-121</x:v>
      </x:c>
      <x:c r="B693" s="19" t="str">
        <x:v>climatic change</x:v>
      </x:c>
      <x:c r="C693" s="31" t="str">
        <x:v>climate</x:v>
      </x:c>
      <x:c r="D693" s="25" t="n">
        <x:v>1987</x:v>
      </x:c>
      <x:c r="E693" s="46" t="n">
        <x:v>6.069952903503539e-7</x:v>
      </x:c>
      <x:c r="F693" s="19" t="str">
        <x:v>eng</x:v>
      </x:c>
      <x:c r="G693" s="19" t="str">
        <x:v>current English corpus (July 2024 dataset; public shorthand eng; mutable current corpus)</x:v>
      </x:c>
      <x:c r="H693" s="19" t="str">
        <x:v>climatic change (All)</x:v>
      </x:c>
      <x:c r="I693" s="19" t="str">
        <x:v>0</x:v>
      </x:c>
      <x:c r="J693" s="19" t="n">
        <x:v>46260.108125</x:v>
      </x:c>
      <x:c r="K693" s="31" t="str">
        <x:v>data/fear-temperature/ngram/raw/0a04941be5651b2bc9de7c1d97a1ec296ca7d83fbf14cbae1d4cb6dce5e31d80.json</x:v>
      </x:c>
      <x:c r="L693" s="19" t="str">
        <x:v>d7902abbc080f4d2003d5f1a590f735baa3506f990d5c6b1c2d156f0cbd926e2</x:v>
      </x:c>
      <x:c r="M693" s="19" t="str">
        <x:v>03c6b3b7aec17c75d6066c3ad33475123246728a6d70514bc6c4b2fac975aa04</x:v>
      </x:c>
      <x:c r="N693" s="31" t="str">
        <x:v>FT-LF-CLIMATIC_CHANGE</x:v>
      </x:c>
      <x:c r="O693" s="31" t="str">
        <x:v>FT-C-HISTORICAL_CLIMATIC_CHANGE</x:v>
      </x:c>
      <x:c r="P693" s="31" t="str">
        <x:v>FT-F04</x:v>
      </x:c>
      <x:c r="Q693" s="49" t="n">
        <x:v>0.6069952903503539</x:v>
      </x:c>
    </x:row>
    <x:row r="694" ht="20" customHeight="1">
      <x:c r="A694" s="40" t="str">
        <x:v>FT-Q-V01-121</x:v>
      </x:c>
      <x:c r="B694" s="19" t="str">
        <x:v>climatic change</x:v>
      </x:c>
      <x:c r="C694" s="31" t="str">
        <x:v>climate</x:v>
      </x:c>
      <x:c r="D694" s="25" t="n">
        <x:v>1988</x:v>
      </x:c>
      <x:c r="E694" s="46" t="n">
        <x:v>6.100814835992286e-7</x:v>
      </x:c>
      <x:c r="F694" s="19" t="str">
        <x:v>eng</x:v>
      </x:c>
      <x:c r="G694" s="19" t="str">
        <x:v>current English corpus (July 2024 dataset; public shorthand eng; mutable current corpus)</x:v>
      </x:c>
      <x:c r="H694" s="19" t="str">
        <x:v>climatic change (All)</x:v>
      </x:c>
      <x:c r="I694" s="19" t="str">
        <x:v>0</x:v>
      </x:c>
      <x:c r="J694" s="19" t="n">
        <x:v>46260.108125</x:v>
      </x:c>
      <x:c r="K694" s="31" t="str">
        <x:v>data/fear-temperature/ngram/raw/0a04941be5651b2bc9de7c1d97a1ec296ca7d83fbf14cbae1d4cb6dce5e31d80.json</x:v>
      </x:c>
      <x:c r="L694" s="19" t="str">
        <x:v>d7902abbc080f4d2003d5f1a590f735baa3506f990d5c6b1c2d156f0cbd926e2</x:v>
      </x:c>
      <x:c r="M694" s="19" t="str">
        <x:v>03c6b3b7aec17c75d6066c3ad33475123246728a6d70514bc6c4b2fac975aa04</x:v>
      </x:c>
      <x:c r="N694" s="31" t="str">
        <x:v>FT-LF-CLIMATIC_CHANGE</x:v>
      </x:c>
      <x:c r="O694" s="31" t="str">
        <x:v>FT-C-HISTORICAL_CLIMATIC_CHANGE</x:v>
      </x:c>
      <x:c r="P694" s="31" t="str">
        <x:v>FT-F04</x:v>
      </x:c>
      <x:c r="Q694" s="49" t="n">
        <x:v>0.6100814835992286</x:v>
      </x:c>
    </x:row>
    <x:row r="695" ht="20" customHeight="1">
      <x:c r="A695" s="40" t="str">
        <x:v>FT-Q-V01-121</x:v>
      </x:c>
      <x:c r="B695" s="19" t="str">
        <x:v>climatic change</x:v>
      </x:c>
      <x:c r="C695" s="31" t="str">
        <x:v>climate</x:v>
      </x:c>
      <x:c r="D695" s="25" t="n">
        <x:v>1989</x:v>
      </x:c>
      <x:c r="E695" s="46" t="n">
        <x:v>9.702333077128702e-7</x:v>
      </x:c>
      <x:c r="F695" s="19" t="str">
        <x:v>eng</x:v>
      </x:c>
      <x:c r="G695" s="19" t="str">
        <x:v>current English corpus (July 2024 dataset; public shorthand eng; mutable current corpus)</x:v>
      </x:c>
      <x:c r="H695" s="19" t="str">
        <x:v>climatic change (All)</x:v>
      </x:c>
      <x:c r="I695" s="19" t="str">
        <x:v>0</x:v>
      </x:c>
      <x:c r="J695" s="19" t="n">
        <x:v>46260.108125</x:v>
      </x:c>
      <x:c r="K695" s="31" t="str">
        <x:v>data/fear-temperature/ngram/raw/0a04941be5651b2bc9de7c1d97a1ec296ca7d83fbf14cbae1d4cb6dce5e31d80.json</x:v>
      </x:c>
      <x:c r="L695" s="19" t="str">
        <x:v>d7902abbc080f4d2003d5f1a590f735baa3506f990d5c6b1c2d156f0cbd926e2</x:v>
      </x:c>
      <x:c r="M695" s="19" t="str">
        <x:v>03c6b3b7aec17c75d6066c3ad33475123246728a6d70514bc6c4b2fac975aa04</x:v>
      </x:c>
      <x:c r="N695" s="31" t="str">
        <x:v>FT-LF-CLIMATIC_CHANGE</x:v>
      </x:c>
      <x:c r="O695" s="31" t="str">
        <x:v>FT-C-HISTORICAL_CLIMATIC_CHANGE</x:v>
      </x:c>
      <x:c r="P695" s="31" t="str">
        <x:v>FT-F04</x:v>
      </x:c>
      <x:c r="Q695" s="49" t="n">
        <x:v>0.9702333077128702</x:v>
      </x:c>
    </x:row>
    <x:row r="696" ht="20" customHeight="1">
      <x:c r="A696" s="40" t="str">
        <x:v>FT-Q-V01-121</x:v>
      </x:c>
      <x:c r="B696" s="19" t="str">
        <x:v>climatic change</x:v>
      </x:c>
      <x:c r="C696" s="31" t="str">
        <x:v>climate</x:v>
      </x:c>
      <x:c r="D696" s="25" t="n">
        <x:v>1990</x:v>
      </x:c>
      <x:c r="E696" s="46" t="n">
        <x:v>0.0000010853408988903412</x:v>
      </x:c>
      <x:c r="F696" s="19" t="str">
        <x:v>eng</x:v>
      </x:c>
      <x:c r="G696" s="19" t="str">
        <x:v>current English corpus (July 2024 dataset; public shorthand eng; mutable current corpus)</x:v>
      </x:c>
      <x:c r="H696" s="19" t="str">
        <x:v>climatic change (All)</x:v>
      </x:c>
      <x:c r="I696" s="19" t="str">
        <x:v>0</x:v>
      </x:c>
      <x:c r="J696" s="19" t="n">
        <x:v>46260.108125</x:v>
      </x:c>
      <x:c r="K696" s="31" t="str">
        <x:v>data/fear-temperature/ngram/raw/0a04941be5651b2bc9de7c1d97a1ec296ca7d83fbf14cbae1d4cb6dce5e31d80.json</x:v>
      </x:c>
      <x:c r="L696" s="19" t="str">
        <x:v>d7902abbc080f4d2003d5f1a590f735baa3506f990d5c6b1c2d156f0cbd926e2</x:v>
      </x:c>
      <x:c r="M696" s="19" t="str">
        <x:v>03c6b3b7aec17c75d6066c3ad33475123246728a6d70514bc6c4b2fac975aa04</x:v>
      </x:c>
      <x:c r="N696" s="31" t="str">
        <x:v>FT-LF-CLIMATIC_CHANGE</x:v>
      </x:c>
      <x:c r="O696" s="31" t="str">
        <x:v>FT-C-HISTORICAL_CLIMATIC_CHANGE</x:v>
      </x:c>
      <x:c r="P696" s="31" t="str">
        <x:v>FT-F04</x:v>
      </x:c>
      <x:c r="Q696" s="49" t="n">
        <x:v>1.0853408988903412</x:v>
      </x:c>
    </x:row>
    <x:row r="697" ht="20" customHeight="1">
      <x:c r="A697" s="40" t="str">
        <x:v>FT-Q-V01-121</x:v>
      </x:c>
      <x:c r="B697" s="19" t="str">
        <x:v>climatic change</x:v>
      </x:c>
      <x:c r="C697" s="31" t="str">
        <x:v>climate</x:v>
      </x:c>
      <x:c r="D697" s="25" t="n">
        <x:v>1991</x:v>
      </x:c>
      <x:c r="E697" s="46" t="n">
        <x:v>0.0000010098885922515954</x:v>
      </x:c>
      <x:c r="F697" s="19" t="str">
        <x:v>eng</x:v>
      </x:c>
      <x:c r="G697" s="19" t="str">
        <x:v>current English corpus (July 2024 dataset; public shorthand eng; mutable current corpus)</x:v>
      </x:c>
      <x:c r="H697" s="19" t="str">
        <x:v>climatic change (All)</x:v>
      </x:c>
      <x:c r="I697" s="19" t="str">
        <x:v>0</x:v>
      </x:c>
      <x:c r="J697" s="19" t="n">
        <x:v>46260.108125</x:v>
      </x:c>
      <x:c r="K697" s="31" t="str">
        <x:v>data/fear-temperature/ngram/raw/0a04941be5651b2bc9de7c1d97a1ec296ca7d83fbf14cbae1d4cb6dce5e31d80.json</x:v>
      </x:c>
      <x:c r="L697" s="19" t="str">
        <x:v>d7902abbc080f4d2003d5f1a590f735baa3506f990d5c6b1c2d156f0cbd926e2</x:v>
      </x:c>
      <x:c r="M697" s="19" t="str">
        <x:v>03c6b3b7aec17c75d6066c3ad33475123246728a6d70514bc6c4b2fac975aa04</x:v>
      </x:c>
      <x:c r="N697" s="31" t="str">
        <x:v>FT-LF-CLIMATIC_CHANGE</x:v>
      </x:c>
      <x:c r="O697" s="31" t="str">
        <x:v>FT-C-HISTORICAL_CLIMATIC_CHANGE</x:v>
      </x:c>
      <x:c r="P697" s="31" t="str">
        <x:v>FT-F04</x:v>
      </x:c>
      <x:c r="Q697" s="49" t="n">
        <x:v>1.0098885922515954</x:v>
      </x:c>
    </x:row>
    <x:row r="698" ht="20" customHeight="1">
      <x:c r="A698" s="40" t="str">
        <x:v>FT-Q-V01-121</x:v>
      </x:c>
      <x:c r="B698" s="19" t="str">
        <x:v>climatic change</x:v>
      </x:c>
      <x:c r="C698" s="31" t="str">
        <x:v>climate</x:v>
      </x:c>
      <x:c r="D698" s="25" t="n">
        <x:v>1992</x:v>
      </x:c>
      <x:c r="E698" s="46" t="n">
        <x:v>0.0000010129559555316359</x:v>
      </x:c>
      <x:c r="F698" s="19" t="str">
        <x:v>eng</x:v>
      </x:c>
      <x:c r="G698" s="19" t="str">
        <x:v>current English corpus (July 2024 dataset; public shorthand eng; mutable current corpus)</x:v>
      </x:c>
      <x:c r="H698" s="19" t="str">
        <x:v>climatic change (All)</x:v>
      </x:c>
      <x:c r="I698" s="19" t="str">
        <x:v>0</x:v>
      </x:c>
      <x:c r="J698" s="19" t="n">
        <x:v>46260.108125</x:v>
      </x:c>
      <x:c r="K698" s="31" t="str">
        <x:v>data/fear-temperature/ngram/raw/0a04941be5651b2bc9de7c1d97a1ec296ca7d83fbf14cbae1d4cb6dce5e31d80.json</x:v>
      </x:c>
      <x:c r="L698" s="19" t="str">
        <x:v>d7902abbc080f4d2003d5f1a590f735baa3506f990d5c6b1c2d156f0cbd926e2</x:v>
      </x:c>
      <x:c r="M698" s="19" t="str">
        <x:v>03c6b3b7aec17c75d6066c3ad33475123246728a6d70514bc6c4b2fac975aa04</x:v>
      </x:c>
      <x:c r="N698" s="31" t="str">
        <x:v>FT-LF-CLIMATIC_CHANGE</x:v>
      </x:c>
      <x:c r="O698" s="31" t="str">
        <x:v>FT-C-HISTORICAL_CLIMATIC_CHANGE</x:v>
      </x:c>
      <x:c r="P698" s="31" t="str">
        <x:v>FT-F04</x:v>
      </x:c>
      <x:c r="Q698" s="49" t="n">
        <x:v>1.0129559555316359</x:v>
      </x:c>
    </x:row>
    <x:row r="699" ht="20" customHeight="1">
      <x:c r="A699" s="40" t="str">
        <x:v>FT-Q-V01-121</x:v>
      </x:c>
      <x:c r="B699" s="19" t="str">
        <x:v>climatic change</x:v>
      </x:c>
      <x:c r="C699" s="31" t="str">
        <x:v>climate</x:v>
      </x:c>
      <x:c r="D699" s="25" t="n">
        <x:v>1993</x:v>
      </x:c>
      <x:c r="E699" s="46" t="n">
        <x:v>7.990419301565077e-7</x:v>
      </x:c>
      <x:c r="F699" s="19" t="str">
        <x:v>eng</x:v>
      </x:c>
      <x:c r="G699" s="19" t="str">
        <x:v>current English corpus (July 2024 dataset; public shorthand eng; mutable current corpus)</x:v>
      </x:c>
      <x:c r="H699" s="19" t="str">
        <x:v>climatic change (All)</x:v>
      </x:c>
      <x:c r="I699" s="19" t="str">
        <x:v>0</x:v>
      </x:c>
      <x:c r="J699" s="19" t="n">
        <x:v>46260.108125</x:v>
      </x:c>
      <x:c r="K699" s="31" t="str">
        <x:v>data/fear-temperature/ngram/raw/0a04941be5651b2bc9de7c1d97a1ec296ca7d83fbf14cbae1d4cb6dce5e31d80.json</x:v>
      </x:c>
      <x:c r="L699" s="19" t="str">
        <x:v>d7902abbc080f4d2003d5f1a590f735baa3506f990d5c6b1c2d156f0cbd926e2</x:v>
      </x:c>
      <x:c r="M699" s="19" t="str">
        <x:v>03c6b3b7aec17c75d6066c3ad33475123246728a6d70514bc6c4b2fac975aa04</x:v>
      </x:c>
      <x:c r="N699" s="31" t="str">
        <x:v>FT-LF-CLIMATIC_CHANGE</x:v>
      </x:c>
      <x:c r="O699" s="31" t="str">
        <x:v>FT-C-HISTORICAL_CLIMATIC_CHANGE</x:v>
      </x:c>
      <x:c r="P699" s="31" t="str">
        <x:v>FT-F04</x:v>
      </x:c>
      <x:c r="Q699" s="49" t="n">
        <x:v>0.7990419301565077</x:v>
      </x:c>
    </x:row>
    <x:row r="700" ht="20" customHeight="1">
      <x:c r="A700" s="40" t="str">
        <x:v>FT-Q-V01-121</x:v>
      </x:c>
      <x:c r="B700" s="19" t="str">
        <x:v>climatic change</x:v>
      </x:c>
      <x:c r="C700" s="31" t="str">
        <x:v>climate</x:v>
      </x:c>
      <x:c r="D700" s="25" t="n">
        <x:v>1994</x:v>
      </x:c>
      <x:c r="E700" s="46" t="n">
        <x:v>6.669783590221301e-7</x:v>
      </x:c>
      <x:c r="F700" s="19" t="str">
        <x:v>eng</x:v>
      </x:c>
      <x:c r="G700" s="19" t="str">
        <x:v>current English corpus (July 2024 dataset; public shorthand eng; mutable current corpus)</x:v>
      </x:c>
      <x:c r="H700" s="19" t="str">
        <x:v>climatic change (All)</x:v>
      </x:c>
      <x:c r="I700" s="19" t="str">
        <x:v>0</x:v>
      </x:c>
      <x:c r="J700" s="19" t="n">
        <x:v>46260.108125</x:v>
      </x:c>
      <x:c r="K700" s="31" t="str">
        <x:v>data/fear-temperature/ngram/raw/0a04941be5651b2bc9de7c1d97a1ec296ca7d83fbf14cbae1d4cb6dce5e31d80.json</x:v>
      </x:c>
      <x:c r="L700" s="19" t="str">
        <x:v>d7902abbc080f4d2003d5f1a590f735baa3506f990d5c6b1c2d156f0cbd926e2</x:v>
      </x:c>
      <x:c r="M700" s="19" t="str">
        <x:v>03c6b3b7aec17c75d6066c3ad33475123246728a6d70514bc6c4b2fac975aa04</x:v>
      </x:c>
      <x:c r="N700" s="31" t="str">
        <x:v>FT-LF-CLIMATIC_CHANGE</x:v>
      </x:c>
      <x:c r="O700" s="31" t="str">
        <x:v>FT-C-HISTORICAL_CLIMATIC_CHANGE</x:v>
      </x:c>
      <x:c r="P700" s="31" t="str">
        <x:v>FT-F04</x:v>
      </x:c>
      <x:c r="Q700" s="49" t="n">
        <x:v>0.6669783590221301</x:v>
      </x:c>
    </x:row>
    <x:row r="701" ht="20" customHeight="1">
      <x:c r="A701" s="40" t="str">
        <x:v>FT-Q-V01-121</x:v>
      </x:c>
      <x:c r="B701" s="19" t="str">
        <x:v>climatic change</x:v>
      </x:c>
      <x:c r="C701" s="31" t="str">
        <x:v>climate</x:v>
      </x:c>
      <x:c r="D701" s="25" t="n">
        <x:v>1995</x:v>
      </x:c>
      <x:c r="E701" s="46" t="n">
        <x:v>7.138079895219197e-7</x:v>
      </x:c>
      <x:c r="F701" s="19" t="str">
        <x:v>eng</x:v>
      </x:c>
      <x:c r="G701" s="19" t="str">
        <x:v>current English corpus (July 2024 dataset; public shorthand eng; mutable current corpus)</x:v>
      </x:c>
      <x:c r="H701" s="19" t="str">
        <x:v>climatic change (All)</x:v>
      </x:c>
      <x:c r="I701" s="19" t="str">
        <x:v>0</x:v>
      </x:c>
      <x:c r="J701" s="19" t="n">
        <x:v>46260.108125</x:v>
      </x:c>
      <x:c r="K701" s="31" t="str">
        <x:v>data/fear-temperature/ngram/raw/0a04941be5651b2bc9de7c1d97a1ec296ca7d83fbf14cbae1d4cb6dce5e31d80.json</x:v>
      </x:c>
      <x:c r="L701" s="19" t="str">
        <x:v>d7902abbc080f4d2003d5f1a590f735baa3506f990d5c6b1c2d156f0cbd926e2</x:v>
      </x:c>
      <x:c r="M701" s="19" t="str">
        <x:v>03c6b3b7aec17c75d6066c3ad33475123246728a6d70514bc6c4b2fac975aa04</x:v>
      </x:c>
      <x:c r="N701" s="31" t="str">
        <x:v>FT-LF-CLIMATIC_CHANGE</x:v>
      </x:c>
      <x:c r="O701" s="31" t="str">
        <x:v>FT-C-HISTORICAL_CLIMATIC_CHANGE</x:v>
      </x:c>
      <x:c r="P701" s="31" t="str">
        <x:v>FT-F04</x:v>
      </x:c>
      <x:c r="Q701" s="49" t="n">
        <x:v>0.7138079895219197</x:v>
      </x:c>
    </x:row>
    <x:row r="702" ht="20" customHeight="1">
      <x:c r="A702" s="40" t="str">
        <x:v>FT-Q-V01-121</x:v>
      </x:c>
      <x:c r="B702" s="19" t="str">
        <x:v>climatic change</x:v>
      </x:c>
      <x:c r="C702" s="31" t="str">
        <x:v>climate</x:v>
      </x:c>
      <x:c r="D702" s="25" t="n">
        <x:v>1996</x:v>
      </x:c>
      <x:c r="E702" s="46" t="n">
        <x:v>6.514835124704632e-7</x:v>
      </x:c>
      <x:c r="F702" s="19" t="str">
        <x:v>eng</x:v>
      </x:c>
      <x:c r="G702" s="19" t="str">
        <x:v>current English corpus (July 2024 dataset; public shorthand eng; mutable current corpus)</x:v>
      </x:c>
      <x:c r="H702" s="19" t="str">
        <x:v>climatic change (All)</x:v>
      </x:c>
      <x:c r="I702" s="19" t="str">
        <x:v>0</x:v>
      </x:c>
      <x:c r="J702" s="19" t="n">
        <x:v>46260.108125</x:v>
      </x:c>
      <x:c r="K702" s="31" t="str">
        <x:v>data/fear-temperature/ngram/raw/0a04941be5651b2bc9de7c1d97a1ec296ca7d83fbf14cbae1d4cb6dce5e31d80.json</x:v>
      </x:c>
      <x:c r="L702" s="19" t="str">
        <x:v>d7902abbc080f4d2003d5f1a590f735baa3506f990d5c6b1c2d156f0cbd926e2</x:v>
      </x:c>
      <x:c r="M702" s="19" t="str">
        <x:v>03c6b3b7aec17c75d6066c3ad33475123246728a6d70514bc6c4b2fac975aa04</x:v>
      </x:c>
      <x:c r="N702" s="31" t="str">
        <x:v>FT-LF-CLIMATIC_CHANGE</x:v>
      </x:c>
      <x:c r="O702" s="31" t="str">
        <x:v>FT-C-HISTORICAL_CLIMATIC_CHANGE</x:v>
      </x:c>
      <x:c r="P702" s="31" t="str">
        <x:v>FT-F04</x:v>
      </x:c>
      <x:c r="Q702" s="49" t="n">
        <x:v>0.6514835124704632</x:v>
      </x:c>
    </x:row>
    <x:row r="703" ht="20" customHeight="1">
      <x:c r="A703" s="40" t="str">
        <x:v>FT-Q-V01-121</x:v>
      </x:c>
      <x:c r="B703" s="19" t="str">
        <x:v>climatic change</x:v>
      </x:c>
      <x:c r="C703" s="31" t="str">
        <x:v>climate</x:v>
      </x:c>
      <x:c r="D703" s="25" t="n">
        <x:v>1997</x:v>
      </x:c>
      <x:c r="E703" s="46" t="n">
        <x:v>5.323535353304877e-7</x:v>
      </x:c>
      <x:c r="F703" s="19" t="str">
        <x:v>eng</x:v>
      </x:c>
      <x:c r="G703" s="19" t="str">
        <x:v>current English corpus (July 2024 dataset; public shorthand eng; mutable current corpus)</x:v>
      </x:c>
      <x:c r="H703" s="19" t="str">
        <x:v>climatic change (All)</x:v>
      </x:c>
      <x:c r="I703" s="19" t="str">
        <x:v>0</x:v>
      </x:c>
      <x:c r="J703" s="19" t="n">
        <x:v>46260.108125</x:v>
      </x:c>
      <x:c r="K703" s="31" t="str">
        <x:v>data/fear-temperature/ngram/raw/0a04941be5651b2bc9de7c1d97a1ec296ca7d83fbf14cbae1d4cb6dce5e31d80.json</x:v>
      </x:c>
      <x:c r="L703" s="19" t="str">
        <x:v>d7902abbc080f4d2003d5f1a590f735baa3506f990d5c6b1c2d156f0cbd926e2</x:v>
      </x:c>
      <x:c r="M703" s="19" t="str">
        <x:v>03c6b3b7aec17c75d6066c3ad33475123246728a6d70514bc6c4b2fac975aa04</x:v>
      </x:c>
      <x:c r="N703" s="31" t="str">
        <x:v>FT-LF-CLIMATIC_CHANGE</x:v>
      </x:c>
      <x:c r="O703" s="31" t="str">
        <x:v>FT-C-HISTORICAL_CLIMATIC_CHANGE</x:v>
      </x:c>
      <x:c r="P703" s="31" t="str">
        <x:v>FT-F04</x:v>
      </x:c>
      <x:c r="Q703" s="49" t="n">
        <x:v>0.5323535353304877</x:v>
      </x:c>
    </x:row>
    <x:row r="704" ht="20" customHeight="1">
      <x:c r="A704" s="40" t="str">
        <x:v>FT-Q-V01-121</x:v>
      </x:c>
      <x:c r="B704" s="19" t="str">
        <x:v>climatic change</x:v>
      </x:c>
      <x:c r="C704" s="31" t="str">
        <x:v>climate</x:v>
      </x:c>
      <x:c r="D704" s="25" t="n">
        <x:v>1998</x:v>
      </x:c>
      <x:c r="E704" s="46" t="n">
        <x:v>5.550704065271362e-7</x:v>
      </x:c>
      <x:c r="F704" s="19" t="str">
        <x:v>eng</x:v>
      </x:c>
      <x:c r="G704" s="19" t="str">
        <x:v>current English corpus (July 2024 dataset; public shorthand eng; mutable current corpus)</x:v>
      </x:c>
      <x:c r="H704" s="19" t="str">
        <x:v>climatic change (All)</x:v>
      </x:c>
      <x:c r="I704" s="19" t="str">
        <x:v>0</x:v>
      </x:c>
      <x:c r="J704" s="19" t="n">
        <x:v>46260.108125</x:v>
      </x:c>
      <x:c r="K704" s="31" t="str">
        <x:v>data/fear-temperature/ngram/raw/0a04941be5651b2bc9de7c1d97a1ec296ca7d83fbf14cbae1d4cb6dce5e31d80.json</x:v>
      </x:c>
      <x:c r="L704" s="19" t="str">
        <x:v>d7902abbc080f4d2003d5f1a590f735baa3506f990d5c6b1c2d156f0cbd926e2</x:v>
      </x:c>
      <x:c r="M704" s="19" t="str">
        <x:v>03c6b3b7aec17c75d6066c3ad33475123246728a6d70514bc6c4b2fac975aa04</x:v>
      </x:c>
      <x:c r="N704" s="31" t="str">
        <x:v>FT-LF-CLIMATIC_CHANGE</x:v>
      </x:c>
      <x:c r="O704" s="31" t="str">
        <x:v>FT-C-HISTORICAL_CLIMATIC_CHANGE</x:v>
      </x:c>
      <x:c r="P704" s="31" t="str">
        <x:v>FT-F04</x:v>
      </x:c>
      <x:c r="Q704" s="49" t="n">
        <x:v>0.5550704065271362</x:v>
      </x:c>
    </x:row>
    <x:row r="705" ht="20" customHeight="1">
      <x:c r="A705" s="40" t="str">
        <x:v>FT-Q-V01-121</x:v>
      </x:c>
      <x:c r="B705" s="19" t="str">
        <x:v>climatic change</x:v>
      </x:c>
      <x:c r="C705" s="31" t="str">
        <x:v>climate</x:v>
      </x:c>
      <x:c r="D705" s="25" t="n">
        <x:v>1999</x:v>
      </x:c>
      <x:c r="E705" s="46" t="n">
        <x:v>4.6014388287163316e-7</x:v>
      </x:c>
      <x:c r="F705" s="19" t="str">
        <x:v>eng</x:v>
      </x:c>
      <x:c r="G705" s="19" t="str">
        <x:v>current English corpus (July 2024 dataset; public shorthand eng; mutable current corpus)</x:v>
      </x:c>
      <x:c r="H705" s="19" t="str">
        <x:v>climatic change (All)</x:v>
      </x:c>
      <x:c r="I705" s="19" t="str">
        <x:v>0</x:v>
      </x:c>
      <x:c r="J705" s="19" t="n">
        <x:v>46260.108125</x:v>
      </x:c>
      <x:c r="K705" s="31" t="str">
        <x:v>data/fear-temperature/ngram/raw/0a04941be5651b2bc9de7c1d97a1ec296ca7d83fbf14cbae1d4cb6dce5e31d80.json</x:v>
      </x:c>
      <x:c r="L705" s="19" t="str">
        <x:v>d7902abbc080f4d2003d5f1a590f735baa3506f990d5c6b1c2d156f0cbd926e2</x:v>
      </x:c>
      <x:c r="M705" s="19" t="str">
        <x:v>03c6b3b7aec17c75d6066c3ad33475123246728a6d70514bc6c4b2fac975aa04</x:v>
      </x:c>
      <x:c r="N705" s="31" t="str">
        <x:v>FT-LF-CLIMATIC_CHANGE</x:v>
      </x:c>
      <x:c r="O705" s="31" t="str">
        <x:v>FT-C-HISTORICAL_CLIMATIC_CHANGE</x:v>
      </x:c>
      <x:c r="P705" s="31" t="str">
        <x:v>FT-F04</x:v>
      </x:c>
      <x:c r="Q705" s="49" t="n">
        <x:v>0.46014388287163316</x:v>
      </x:c>
    </x:row>
    <x:row r="706" ht="20" customHeight="1">
      <x:c r="A706" s="40" t="str">
        <x:v>FT-Q-V01-121</x:v>
      </x:c>
      <x:c r="B706" s="19" t="str">
        <x:v>climatic change</x:v>
      </x:c>
      <x:c r="C706" s="31" t="str">
        <x:v>climate</x:v>
      </x:c>
      <x:c r="D706" s="25" t="n">
        <x:v>2000</x:v>
      </x:c>
      <x:c r="E706" s="46" t="n">
        <x:v>3.86641893009021e-7</x:v>
      </x:c>
      <x:c r="F706" s="19" t="str">
        <x:v>eng</x:v>
      </x:c>
      <x:c r="G706" s="19" t="str">
        <x:v>current English corpus (July 2024 dataset; public shorthand eng; mutable current corpus)</x:v>
      </x:c>
      <x:c r="H706" s="19" t="str">
        <x:v>climatic change (All)</x:v>
      </x:c>
      <x:c r="I706" s="19" t="str">
        <x:v>0</x:v>
      </x:c>
      <x:c r="J706" s="19" t="n">
        <x:v>46260.108125</x:v>
      </x:c>
      <x:c r="K706" s="31" t="str">
        <x:v>data/fear-temperature/ngram/raw/0a04941be5651b2bc9de7c1d97a1ec296ca7d83fbf14cbae1d4cb6dce5e31d80.json</x:v>
      </x:c>
      <x:c r="L706" s="19" t="str">
        <x:v>d7902abbc080f4d2003d5f1a590f735baa3506f990d5c6b1c2d156f0cbd926e2</x:v>
      </x:c>
      <x:c r="M706" s="19" t="str">
        <x:v>03c6b3b7aec17c75d6066c3ad33475123246728a6d70514bc6c4b2fac975aa04</x:v>
      </x:c>
      <x:c r="N706" s="31" t="str">
        <x:v>FT-LF-CLIMATIC_CHANGE</x:v>
      </x:c>
      <x:c r="O706" s="31" t="str">
        <x:v>FT-C-HISTORICAL_CLIMATIC_CHANGE</x:v>
      </x:c>
      <x:c r="P706" s="31" t="str">
        <x:v>FT-F04</x:v>
      </x:c>
      <x:c r="Q706" s="49" t="n">
        <x:v>0.386641893009021</x:v>
      </x:c>
    </x:row>
    <x:row r="707" ht="20" customHeight="1">
      <x:c r="A707" s="40" t="str">
        <x:v>FT-Q-V01-121</x:v>
      </x:c>
      <x:c r="B707" s="19" t="str">
        <x:v>climatic change</x:v>
      </x:c>
      <x:c r="C707" s="31" t="str">
        <x:v>climate</x:v>
      </x:c>
      <x:c r="D707" s="25" t="n">
        <x:v>2001</x:v>
      </x:c>
      <x:c r="E707" s="46" t="n">
        <x:v>4.2753928134950386e-7</x:v>
      </x:c>
      <x:c r="F707" s="19" t="str">
        <x:v>eng</x:v>
      </x:c>
      <x:c r="G707" s="19" t="str">
        <x:v>current English corpus (July 2024 dataset; public shorthand eng; mutable current corpus)</x:v>
      </x:c>
      <x:c r="H707" s="19" t="str">
        <x:v>climatic change (All)</x:v>
      </x:c>
      <x:c r="I707" s="19" t="str">
        <x:v>0</x:v>
      </x:c>
      <x:c r="J707" s="19" t="n">
        <x:v>46260.108125</x:v>
      </x:c>
      <x:c r="K707" s="31" t="str">
        <x:v>data/fear-temperature/ngram/raw/0a04941be5651b2bc9de7c1d97a1ec296ca7d83fbf14cbae1d4cb6dce5e31d80.json</x:v>
      </x:c>
      <x:c r="L707" s="19" t="str">
        <x:v>d7902abbc080f4d2003d5f1a590f735baa3506f990d5c6b1c2d156f0cbd926e2</x:v>
      </x:c>
      <x:c r="M707" s="19" t="str">
        <x:v>03c6b3b7aec17c75d6066c3ad33475123246728a6d70514bc6c4b2fac975aa04</x:v>
      </x:c>
      <x:c r="N707" s="31" t="str">
        <x:v>FT-LF-CLIMATIC_CHANGE</x:v>
      </x:c>
      <x:c r="O707" s="31" t="str">
        <x:v>FT-C-HISTORICAL_CLIMATIC_CHANGE</x:v>
      </x:c>
      <x:c r="P707" s="31" t="str">
        <x:v>FT-F04</x:v>
      </x:c>
      <x:c r="Q707" s="49" t="n">
        <x:v>0.42753928134950386</x:v>
      </x:c>
    </x:row>
    <x:row r="708" ht="20" customHeight="1">
      <x:c r="A708" s="40" t="str">
        <x:v>FT-Q-V01-121</x:v>
      </x:c>
      <x:c r="B708" s="19" t="str">
        <x:v>climatic change</x:v>
      </x:c>
      <x:c r="C708" s="31" t="str">
        <x:v>climate</x:v>
      </x:c>
      <x:c r="D708" s="25" t="n">
        <x:v>2002</x:v>
      </x:c>
      <x:c r="E708" s="46" t="n">
        <x:v>4.1334574583246075e-7</x:v>
      </x:c>
      <x:c r="F708" s="19" t="str">
        <x:v>eng</x:v>
      </x:c>
      <x:c r="G708" s="19" t="str">
        <x:v>current English corpus (July 2024 dataset; public shorthand eng; mutable current corpus)</x:v>
      </x:c>
      <x:c r="H708" s="19" t="str">
        <x:v>climatic change (All)</x:v>
      </x:c>
      <x:c r="I708" s="19" t="str">
        <x:v>0</x:v>
      </x:c>
      <x:c r="J708" s="19" t="n">
        <x:v>46260.108125</x:v>
      </x:c>
      <x:c r="K708" s="31" t="str">
        <x:v>data/fear-temperature/ngram/raw/0a04941be5651b2bc9de7c1d97a1ec296ca7d83fbf14cbae1d4cb6dce5e31d80.json</x:v>
      </x:c>
      <x:c r="L708" s="19" t="str">
        <x:v>d7902abbc080f4d2003d5f1a590f735baa3506f990d5c6b1c2d156f0cbd926e2</x:v>
      </x:c>
      <x:c r="M708" s="19" t="str">
        <x:v>03c6b3b7aec17c75d6066c3ad33475123246728a6d70514bc6c4b2fac975aa04</x:v>
      </x:c>
      <x:c r="N708" s="31" t="str">
        <x:v>FT-LF-CLIMATIC_CHANGE</x:v>
      </x:c>
      <x:c r="O708" s="31" t="str">
        <x:v>FT-C-HISTORICAL_CLIMATIC_CHANGE</x:v>
      </x:c>
      <x:c r="P708" s="31" t="str">
        <x:v>FT-F04</x:v>
      </x:c>
      <x:c r="Q708" s="49" t="n">
        <x:v>0.41334574583246075</x:v>
      </x:c>
    </x:row>
    <x:row r="709" ht="20" customHeight="1">
      <x:c r="A709" s="40" t="str">
        <x:v>FT-Q-V01-121</x:v>
      </x:c>
      <x:c r="B709" s="19" t="str">
        <x:v>climatic change</x:v>
      </x:c>
      <x:c r="C709" s="31" t="str">
        <x:v>climate</x:v>
      </x:c>
      <x:c r="D709" s="25" t="n">
        <x:v>2003</x:v>
      </x:c>
      <x:c r="E709" s="46" t="n">
        <x:v>4.083712764058056e-7</x:v>
      </x:c>
      <x:c r="F709" s="19" t="str">
        <x:v>eng</x:v>
      </x:c>
      <x:c r="G709" s="19" t="str">
        <x:v>current English corpus (July 2024 dataset; public shorthand eng; mutable current corpus)</x:v>
      </x:c>
      <x:c r="H709" s="19" t="str">
        <x:v>climatic change (All)</x:v>
      </x:c>
      <x:c r="I709" s="19" t="str">
        <x:v>0</x:v>
      </x:c>
      <x:c r="J709" s="19" t="n">
        <x:v>46260.108125</x:v>
      </x:c>
      <x:c r="K709" s="31" t="str">
        <x:v>data/fear-temperature/ngram/raw/0a04941be5651b2bc9de7c1d97a1ec296ca7d83fbf14cbae1d4cb6dce5e31d80.json</x:v>
      </x:c>
      <x:c r="L709" s="19" t="str">
        <x:v>d7902abbc080f4d2003d5f1a590f735baa3506f990d5c6b1c2d156f0cbd926e2</x:v>
      </x:c>
      <x:c r="M709" s="19" t="str">
        <x:v>03c6b3b7aec17c75d6066c3ad33475123246728a6d70514bc6c4b2fac975aa04</x:v>
      </x:c>
      <x:c r="N709" s="31" t="str">
        <x:v>FT-LF-CLIMATIC_CHANGE</x:v>
      </x:c>
      <x:c r="O709" s="31" t="str">
        <x:v>FT-C-HISTORICAL_CLIMATIC_CHANGE</x:v>
      </x:c>
      <x:c r="P709" s="31" t="str">
        <x:v>FT-F04</x:v>
      </x:c>
      <x:c r="Q709" s="49" t="n">
        <x:v>0.4083712764058056</x:v>
      </x:c>
    </x:row>
    <x:row r="710" ht="20" customHeight="1">
      <x:c r="A710" s="40" t="str">
        <x:v>FT-Q-V01-121</x:v>
      </x:c>
      <x:c r="B710" s="19" t="str">
        <x:v>climatic change</x:v>
      </x:c>
      <x:c r="C710" s="31" t="str">
        <x:v>climate</x:v>
      </x:c>
      <x:c r="D710" s="25" t="n">
        <x:v>2004</x:v>
      </x:c>
      <x:c r="E710" s="46" t="n">
        <x:v>3.3258309799222285e-7</x:v>
      </x:c>
      <x:c r="F710" s="19" t="str">
        <x:v>eng</x:v>
      </x:c>
      <x:c r="G710" s="19" t="str">
        <x:v>current English corpus (July 2024 dataset; public shorthand eng; mutable current corpus)</x:v>
      </x:c>
      <x:c r="H710" s="19" t="str">
        <x:v>climatic change (All)</x:v>
      </x:c>
      <x:c r="I710" s="19" t="str">
        <x:v>0</x:v>
      </x:c>
      <x:c r="J710" s="19" t="n">
        <x:v>46260.108125</x:v>
      </x:c>
      <x:c r="K710" s="31" t="str">
        <x:v>data/fear-temperature/ngram/raw/0a04941be5651b2bc9de7c1d97a1ec296ca7d83fbf14cbae1d4cb6dce5e31d80.json</x:v>
      </x:c>
      <x:c r="L710" s="19" t="str">
        <x:v>d7902abbc080f4d2003d5f1a590f735baa3506f990d5c6b1c2d156f0cbd926e2</x:v>
      </x:c>
      <x:c r="M710" s="19" t="str">
        <x:v>03c6b3b7aec17c75d6066c3ad33475123246728a6d70514bc6c4b2fac975aa04</x:v>
      </x:c>
      <x:c r="N710" s="31" t="str">
        <x:v>FT-LF-CLIMATIC_CHANGE</x:v>
      </x:c>
      <x:c r="O710" s="31" t="str">
        <x:v>FT-C-HISTORICAL_CLIMATIC_CHANGE</x:v>
      </x:c>
      <x:c r="P710" s="31" t="str">
        <x:v>FT-F04</x:v>
      </x:c>
      <x:c r="Q710" s="49" t="n">
        <x:v>0.33258309799222285</x:v>
      </x:c>
    </x:row>
    <x:row r="711" ht="20" customHeight="1">
      <x:c r="A711" s="40" t="str">
        <x:v>FT-Q-V01-121</x:v>
      </x:c>
      <x:c r="B711" s="19" t="str">
        <x:v>climatic change</x:v>
      </x:c>
      <x:c r="C711" s="31" t="str">
        <x:v>climate</x:v>
      </x:c>
      <x:c r="D711" s="25" t="n">
        <x:v>2005</x:v>
      </x:c>
      <x:c r="E711" s="46" t="n">
        <x:v>3.576169886887471e-7</x:v>
      </x:c>
      <x:c r="F711" s="19" t="str">
        <x:v>eng</x:v>
      </x:c>
      <x:c r="G711" s="19" t="str">
        <x:v>current English corpus (July 2024 dataset; public shorthand eng; mutable current corpus)</x:v>
      </x:c>
      <x:c r="H711" s="19" t="str">
        <x:v>climatic change (All)</x:v>
      </x:c>
      <x:c r="I711" s="19" t="str">
        <x:v>0</x:v>
      </x:c>
      <x:c r="J711" s="19" t="n">
        <x:v>46260.108125</x:v>
      </x:c>
      <x:c r="K711" s="31" t="str">
        <x:v>data/fear-temperature/ngram/raw/0a04941be5651b2bc9de7c1d97a1ec296ca7d83fbf14cbae1d4cb6dce5e31d80.json</x:v>
      </x:c>
      <x:c r="L711" s="19" t="str">
        <x:v>d7902abbc080f4d2003d5f1a590f735baa3506f990d5c6b1c2d156f0cbd926e2</x:v>
      </x:c>
      <x:c r="M711" s="19" t="str">
        <x:v>03c6b3b7aec17c75d6066c3ad33475123246728a6d70514bc6c4b2fac975aa04</x:v>
      </x:c>
      <x:c r="N711" s="31" t="str">
        <x:v>FT-LF-CLIMATIC_CHANGE</x:v>
      </x:c>
      <x:c r="O711" s="31" t="str">
        <x:v>FT-C-HISTORICAL_CLIMATIC_CHANGE</x:v>
      </x:c>
      <x:c r="P711" s="31" t="str">
        <x:v>FT-F04</x:v>
      </x:c>
      <x:c r="Q711" s="49" t="n">
        <x:v>0.3576169886887471</x:v>
      </x:c>
    </x:row>
    <x:row r="712" ht="20" customHeight="1">
      <x:c r="A712" s="40" t="str">
        <x:v>FT-Q-V01-121</x:v>
      </x:c>
      <x:c r="B712" s="19" t="str">
        <x:v>climatic change</x:v>
      </x:c>
      <x:c r="C712" s="31" t="str">
        <x:v>climate</x:v>
      </x:c>
      <x:c r="D712" s="25" t="n">
        <x:v>2006</x:v>
      </x:c>
      <x:c r="E712" s="46" t="n">
        <x:v>3.4899407543725896e-7</x:v>
      </x:c>
      <x:c r="F712" s="19" t="str">
        <x:v>eng</x:v>
      </x:c>
      <x:c r="G712" s="19" t="str">
        <x:v>current English corpus (July 2024 dataset; public shorthand eng; mutable current corpus)</x:v>
      </x:c>
      <x:c r="H712" s="19" t="str">
        <x:v>climatic change (All)</x:v>
      </x:c>
      <x:c r="I712" s="19" t="str">
        <x:v>0</x:v>
      </x:c>
      <x:c r="J712" s="19" t="n">
        <x:v>46260.108125</x:v>
      </x:c>
      <x:c r="K712" s="31" t="str">
        <x:v>data/fear-temperature/ngram/raw/0a04941be5651b2bc9de7c1d97a1ec296ca7d83fbf14cbae1d4cb6dce5e31d80.json</x:v>
      </x:c>
      <x:c r="L712" s="19" t="str">
        <x:v>d7902abbc080f4d2003d5f1a590f735baa3506f990d5c6b1c2d156f0cbd926e2</x:v>
      </x:c>
      <x:c r="M712" s="19" t="str">
        <x:v>03c6b3b7aec17c75d6066c3ad33475123246728a6d70514bc6c4b2fac975aa04</x:v>
      </x:c>
      <x:c r="N712" s="31" t="str">
        <x:v>FT-LF-CLIMATIC_CHANGE</x:v>
      </x:c>
      <x:c r="O712" s="31" t="str">
        <x:v>FT-C-HISTORICAL_CLIMATIC_CHANGE</x:v>
      </x:c>
      <x:c r="P712" s="31" t="str">
        <x:v>FT-F04</x:v>
      </x:c>
      <x:c r="Q712" s="49" t="n">
        <x:v>0.34899407543725897</x:v>
      </x:c>
    </x:row>
    <x:row r="713" ht="20" customHeight="1">
      <x:c r="A713" s="40" t="str">
        <x:v>FT-Q-V01-121</x:v>
      </x:c>
      <x:c r="B713" s="19" t="str">
        <x:v>climatic change</x:v>
      </x:c>
      <x:c r="C713" s="31" t="str">
        <x:v>climate</x:v>
      </x:c>
      <x:c r="D713" s="25" t="n">
        <x:v>2007</x:v>
      </x:c>
      <x:c r="E713" s="46" t="n">
        <x:v>3.570599467934976e-7</x:v>
      </x:c>
      <x:c r="F713" s="19" t="str">
        <x:v>eng</x:v>
      </x:c>
      <x:c r="G713" s="19" t="str">
        <x:v>current English corpus (July 2024 dataset; public shorthand eng; mutable current corpus)</x:v>
      </x:c>
      <x:c r="H713" s="19" t="str">
        <x:v>climatic change (All)</x:v>
      </x:c>
      <x:c r="I713" s="19" t="str">
        <x:v>0</x:v>
      </x:c>
      <x:c r="J713" s="19" t="n">
        <x:v>46260.108125</x:v>
      </x:c>
      <x:c r="K713" s="31" t="str">
        <x:v>data/fear-temperature/ngram/raw/0a04941be5651b2bc9de7c1d97a1ec296ca7d83fbf14cbae1d4cb6dce5e31d80.json</x:v>
      </x:c>
      <x:c r="L713" s="19" t="str">
        <x:v>d7902abbc080f4d2003d5f1a590f735baa3506f990d5c6b1c2d156f0cbd926e2</x:v>
      </x:c>
      <x:c r="M713" s="19" t="str">
        <x:v>03c6b3b7aec17c75d6066c3ad33475123246728a6d70514bc6c4b2fac975aa04</x:v>
      </x:c>
      <x:c r="N713" s="31" t="str">
        <x:v>FT-LF-CLIMATIC_CHANGE</x:v>
      </x:c>
      <x:c r="O713" s="31" t="str">
        <x:v>FT-C-HISTORICAL_CLIMATIC_CHANGE</x:v>
      </x:c>
      <x:c r="P713" s="31" t="str">
        <x:v>FT-F04</x:v>
      </x:c>
      <x:c r="Q713" s="49" t="n">
        <x:v>0.3570599467934976</x:v>
      </x:c>
    </x:row>
    <x:row r="714" ht="20" customHeight="1">
      <x:c r="A714" s="40" t="str">
        <x:v>FT-Q-V01-121</x:v>
      </x:c>
      <x:c r="B714" s="19" t="str">
        <x:v>climatic change</x:v>
      </x:c>
      <x:c r="C714" s="31" t="str">
        <x:v>climate</x:v>
      </x:c>
      <x:c r="D714" s="25" t="n">
        <x:v>2008</x:v>
      </x:c>
      <x:c r="E714" s="46" t="n">
        <x:v>3.6158276075018425e-7</x:v>
      </x:c>
      <x:c r="F714" s="19" t="str">
        <x:v>eng</x:v>
      </x:c>
      <x:c r="G714" s="19" t="str">
        <x:v>current English corpus (July 2024 dataset; public shorthand eng; mutable current corpus)</x:v>
      </x:c>
      <x:c r="H714" s="19" t="str">
        <x:v>climatic change (All)</x:v>
      </x:c>
      <x:c r="I714" s="19" t="str">
        <x:v>0</x:v>
      </x:c>
      <x:c r="J714" s="19" t="n">
        <x:v>46260.108125</x:v>
      </x:c>
      <x:c r="K714" s="31" t="str">
        <x:v>data/fear-temperature/ngram/raw/0a04941be5651b2bc9de7c1d97a1ec296ca7d83fbf14cbae1d4cb6dce5e31d80.json</x:v>
      </x:c>
      <x:c r="L714" s="19" t="str">
        <x:v>d7902abbc080f4d2003d5f1a590f735baa3506f990d5c6b1c2d156f0cbd926e2</x:v>
      </x:c>
      <x:c r="M714" s="19" t="str">
        <x:v>03c6b3b7aec17c75d6066c3ad33475123246728a6d70514bc6c4b2fac975aa04</x:v>
      </x:c>
      <x:c r="N714" s="31" t="str">
        <x:v>FT-LF-CLIMATIC_CHANGE</x:v>
      </x:c>
      <x:c r="O714" s="31" t="str">
        <x:v>FT-C-HISTORICAL_CLIMATIC_CHANGE</x:v>
      </x:c>
      <x:c r="P714" s="31" t="str">
        <x:v>FT-F04</x:v>
      </x:c>
      <x:c r="Q714" s="49" t="n">
        <x:v>0.36158276075018425</x:v>
      </x:c>
    </x:row>
    <x:row r="715" ht="20" customHeight="1">
      <x:c r="A715" s="40" t="str">
        <x:v>FT-Q-V01-121</x:v>
      </x:c>
      <x:c r="B715" s="19" t="str">
        <x:v>climatic change</x:v>
      </x:c>
      <x:c r="C715" s="31" t="str">
        <x:v>climate</x:v>
      </x:c>
      <x:c r="D715" s="25" t="n">
        <x:v>2009</x:v>
      </x:c>
      <x:c r="E715" s="46" t="n">
        <x:v>4.2206763245511425e-7</x:v>
      </x:c>
      <x:c r="F715" s="19" t="str">
        <x:v>eng</x:v>
      </x:c>
      <x:c r="G715" s="19" t="str">
        <x:v>current English corpus (July 2024 dataset; public shorthand eng; mutable current corpus)</x:v>
      </x:c>
      <x:c r="H715" s="19" t="str">
        <x:v>climatic change (All)</x:v>
      </x:c>
      <x:c r="I715" s="19" t="str">
        <x:v>0</x:v>
      </x:c>
      <x:c r="J715" s="19" t="n">
        <x:v>46260.108125</x:v>
      </x:c>
      <x:c r="K715" s="31" t="str">
        <x:v>data/fear-temperature/ngram/raw/0a04941be5651b2bc9de7c1d97a1ec296ca7d83fbf14cbae1d4cb6dce5e31d80.json</x:v>
      </x:c>
      <x:c r="L715" s="19" t="str">
        <x:v>d7902abbc080f4d2003d5f1a590f735baa3506f990d5c6b1c2d156f0cbd926e2</x:v>
      </x:c>
      <x:c r="M715" s="19" t="str">
        <x:v>03c6b3b7aec17c75d6066c3ad33475123246728a6d70514bc6c4b2fac975aa04</x:v>
      </x:c>
      <x:c r="N715" s="31" t="str">
        <x:v>FT-LF-CLIMATIC_CHANGE</x:v>
      </x:c>
      <x:c r="O715" s="31" t="str">
        <x:v>FT-C-HISTORICAL_CLIMATIC_CHANGE</x:v>
      </x:c>
      <x:c r="P715" s="31" t="str">
        <x:v>FT-F04</x:v>
      </x:c>
      <x:c r="Q715" s="49" t="n">
        <x:v>0.42206763245511425</x:v>
      </x:c>
    </x:row>
    <x:row r="716" ht="20" customHeight="1">
      <x:c r="A716" s="40" t="str">
        <x:v>FT-Q-V01-121</x:v>
      </x:c>
      <x:c r="B716" s="19" t="str">
        <x:v>climatic change</x:v>
      </x:c>
      <x:c r="C716" s="31" t="str">
        <x:v>climate</x:v>
      </x:c>
      <x:c r="D716" s="25" t="n">
        <x:v>2010</x:v>
      </x:c>
      <x:c r="E716" s="46" t="n">
        <x:v>3.6148436084737506e-7</x:v>
      </x:c>
      <x:c r="F716" s="19" t="str">
        <x:v>eng</x:v>
      </x:c>
      <x:c r="G716" s="19" t="str">
        <x:v>current English corpus (July 2024 dataset; public shorthand eng; mutable current corpus)</x:v>
      </x:c>
      <x:c r="H716" s="19" t="str">
        <x:v>climatic change (All)</x:v>
      </x:c>
      <x:c r="I716" s="19" t="str">
        <x:v>0</x:v>
      </x:c>
      <x:c r="J716" s="19" t="n">
        <x:v>46260.108125</x:v>
      </x:c>
      <x:c r="K716" s="31" t="str">
        <x:v>data/fear-temperature/ngram/raw/0a04941be5651b2bc9de7c1d97a1ec296ca7d83fbf14cbae1d4cb6dce5e31d80.json</x:v>
      </x:c>
      <x:c r="L716" s="19" t="str">
        <x:v>d7902abbc080f4d2003d5f1a590f735baa3506f990d5c6b1c2d156f0cbd926e2</x:v>
      </x:c>
      <x:c r="M716" s="19" t="str">
        <x:v>03c6b3b7aec17c75d6066c3ad33475123246728a6d70514bc6c4b2fac975aa04</x:v>
      </x:c>
      <x:c r="N716" s="31" t="str">
        <x:v>FT-LF-CLIMATIC_CHANGE</x:v>
      </x:c>
      <x:c r="O716" s="31" t="str">
        <x:v>FT-C-HISTORICAL_CLIMATIC_CHANGE</x:v>
      </x:c>
      <x:c r="P716" s="31" t="str">
        <x:v>FT-F04</x:v>
      </x:c>
      <x:c r="Q716" s="49" t="n">
        <x:v>0.36148436084737506</x:v>
      </x:c>
    </x:row>
    <x:row r="717" ht="20" customHeight="1">
      <x:c r="A717" s="40" t="str">
        <x:v>FT-Q-V01-121</x:v>
      </x:c>
      <x:c r="B717" s="19" t="str">
        <x:v>climatic change</x:v>
      </x:c>
      <x:c r="C717" s="31" t="str">
        <x:v>climate</x:v>
      </x:c>
      <x:c r="D717" s="25" t="n">
        <x:v>2011</x:v>
      </x:c>
      <x:c r="E717" s="46" t="n">
        <x:v>3.613394795390357e-7</x:v>
      </x:c>
      <x:c r="F717" s="19" t="str">
        <x:v>eng</x:v>
      </x:c>
      <x:c r="G717" s="19" t="str">
        <x:v>current English corpus (July 2024 dataset; public shorthand eng; mutable current corpus)</x:v>
      </x:c>
      <x:c r="H717" s="19" t="str">
        <x:v>climatic change (All)</x:v>
      </x:c>
      <x:c r="I717" s="19" t="str">
        <x:v>0</x:v>
      </x:c>
      <x:c r="J717" s="19" t="n">
        <x:v>46260.108125</x:v>
      </x:c>
      <x:c r="K717" s="31" t="str">
        <x:v>data/fear-temperature/ngram/raw/0a04941be5651b2bc9de7c1d97a1ec296ca7d83fbf14cbae1d4cb6dce5e31d80.json</x:v>
      </x:c>
      <x:c r="L717" s="19" t="str">
        <x:v>d7902abbc080f4d2003d5f1a590f735baa3506f990d5c6b1c2d156f0cbd926e2</x:v>
      </x:c>
      <x:c r="M717" s="19" t="str">
        <x:v>03c6b3b7aec17c75d6066c3ad33475123246728a6d70514bc6c4b2fac975aa04</x:v>
      </x:c>
      <x:c r="N717" s="31" t="str">
        <x:v>FT-LF-CLIMATIC_CHANGE</x:v>
      </x:c>
      <x:c r="O717" s="31" t="str">
        <x:v>FT-C-HISTORICAL_CLIMATIC_CHANGE</x:v>
      </x:c>
      <x:c r="P717" s="31" t="str">
        <x:v>FT-F04</x:v>
      </x:c>
      <x:c r="Q717" s="49" t="n">
        <x:v>0.3613394795390357</x:v>
      </x:c>
    </x:row>
    <x:row r="718" ht="20" customHeight="1">
      <x:c r="A718" s="40" t="str">
        <x:v>FT-Q-V01-121</x:v>
      </x:c>
      <x:c r="B718" s="19" t="str">
        <x:v>climatic change</x:v>
      </x:c>
      <x:c r="C718" s="31" t="str">
        <x:v>climate</x:v>
      </x:c>
      <x:c r="D718" s="25" t="n">
        <x:v>2012</x:v>
      </x:c>
      <x:c r="E718" s="46" t="n">
        <x:v>5.808499484137586e-7</x:v>
      </x:c>
      <x:c r="F718" s="19" t="str">
        <x:v>eng</x:v>
      </x:c>
      <x:c r="G718" s="19" t="str">
        <x:v>current English corpus (July 2024 dataset; public shorthand eng; mutable current corpus)</x:v>
      </x:c>
      <x:c r="H718" s="19" t="str">
        <x:v>climatic change (All)</x:v>
      </x:c>
      <x:c r="I718" s="19" t="str">
        <x:v>0</x:v>
      </x:c>
      <x:c r="J718" s="19" t="n">
        <x:v>46260.108125</x:v>
      </x:c>
      <x:c r="K718" s="31" t="str">
        <x:v>data/fear-temperature/ngram/raw/0a04941be5651b2bc9de7c1d97a1ec296ca7d83fbf14cbae1d4cb6dce5e31d80.json</x:v>
      </x:c>
      <x:c r="L718" s="19" t="str">
        <x:v>d7902abbc080f4d2003d5f1a590f735baa3506f990d5c6b1c2d156f0cbd926e2</x:v>
      </x:c>
      <x:c r="M718" s="19" t="str">
        <x:v>03c6b3b7aec17c75d6066c3ad33475123246728a6d70514bc6c4b2fac975aa04</x:v>
      </x:c>
      <x:c r="N718" s="31" t="str">
        <x:v>FT-LF-CLIMATIC_CHANGE</x:v>
      </x:c>
      <x:c r="O718" s="31" t="str">
        <x:v>FT-C-HISTORICAL_CLIMATIC_CHANGE</x:v>
      </x:c>
      <x:c r="P718" s="31" t="str">
        <x:v>FT-F04</x:v>
      </x:c>
      <x:c r="Q718" s="49" t="n">
        <x:v>0.5808499484137586</x:v>
      </x:c>
    </x:row>
    <x:row r="719" ht="20" customHeight="1">
      <x:c r="A719" s="40" t="str">
        <x:v>FT-Q-V01-121</x:v>
      </x:c>
      <x:c r="B719" s="19" t="str">
        <x:v>climatic change</x:v>
      </x:c>
      <x:c r="C719" s="31" t="str">
        <x:v>climate</x:v>
      </x:c>
      <x:c r="D719" s="25" t="n">
        <x:v>2013</x:v>
      </x:c>
      <x:c r="E719" s="46" t="n">
        <x:v>6.785534582415266e-7</x:v>
      </x:c>
      <x:c r="F719" s="19" t="str">
        <x:v>eng</x:v>
      </x:c>
      <x:c r="G719" s="19" t="str">
        <x:v>current English corpus (July 2024 dataset; public shorthand eng; mutable current corpus)</x:v>
      </x:c>
      <x:c r="H719" s="19" t="str">
        <x:v>climatic change (All)</x:v>
      </x:c>
      <x:c r="I719" s="19" t="str">
        <x:v>0</x:v>
      </x:c>
      <x:c r="J719" s="19" t="n">
        <x:v>46260.108125</x:v>
      </x:c>
      <x:c r="K719" s="31" t="str">
        <x:v>data/fear-temperature/ngram/raw/0a04941be5651b2bc9de7c1d97a1ec296ca7d83fbf14cbae1d4cb6dce5e31d80.json</x:v>
      </x:c>
      <x:c r="L719" s="19" t="str">
        <x:v>d7902abbc080f4d2003d5f1a590f735baa3506f990d5c6b1c2d156f0cbd926e2</x:v>
      </x:c>
      <x:c r="M719" s="19" t="str">
        <x:v>03c6b3b7aec17c75d6066c3ad33475123246728a6d70514bc6c4b2fac975aa04</x:v>
      </x:c>
      <x:c r="N719" s="31" t="str">
        <x:v>FT-LF-CLIMATIC_CHANGE</x:v>
      </x:c>
      <x:c r="O719" s="31" t="str">
        <x:v>FT-C-HISTORICAL_CLIMATIC_CHANGE</x:v>
      </x:c>
      <x:c r="P719" s="31" t="str">
        <x:v>FT-F04</x:v>
      </x:c>
      <x:c r="Q719" s="49" t="n">
        <x:v>0.6785534582415266</x:v>
      </x:c>
    </x:row>
    <x:row r="720" ht="20" customHeight="1">
      <x:c r="A720" s="40" t="str">
        <x:v>FT-Q-V01-121</x:v>
      </x:c>
      <x:c r="B720" s="19" t="str">
        <x:v>climatic change</x:v>
      </x:c>
      <x:c r="C720" s="31" t="str">
        <x:v>climate</x:v>
      </x:c>
      <x:c r="D720" s="25" t="n">
        <x:v>2014</x:v>
      </x:c>
      <x:c r="E720" s="46" t="n">
        <x:v>4.3696079798927206e-7</x:v>
      </x:c>
      <x:c r="F720" s="19" t="str">
        <x:v>eng</x:v>
      </x:c>
      <x:c r="G720" s="19" t="str">
        <x:v>current English corpus (July 2024 dataset; public shorthand eng; mutable current corpus)</x:v>
      </x:c>
      <x:c r="H720" s="19" t="str">
        <x:v>climatic change (All)</x:v>
      </x:c>
      <x:c r="I720" s="19" t="str">
        <x:v>0</x:v>
      </x:c>
      <x:c r="J720" s="19" t="n">
        <x:v>46260.108125</x:v>
      </x:c>
      <x:c r="K720" s="31" t="str">
        <x:v>data/fear-temperature/ngram/raw/0a04941be5651b2bc9de7c1d97a1ec296ca7d83fbf14cbae1d4cb6dce5e31d80.json</x:v>
      </x:c>
      <x:c r="L720" s="19" t="str">
        <x:v>d7902abbc080f4d2003d5f1a590f735baa3506f990d5c6b1c2d156f0cbd926e2</x:v>
      </x:c>
      <x:c r="M720" s="19" t="str">
        <x:v>03c6b3b7aec17c75d6066c3ad33475123246728a6d70514bc6c4b2fac975aa04</x:v>
      </x:c>
      <x:c r="N720" s="31" t="str">
        <x:v>FT-LF-CLIMATIC_CHANGE</x:v>
      </x:c>
      <x:c r="O720" s="31" t="str">
        <x:v>FT-C-HISTORICAL_CLIMATIC_CHANGE</x:v>
      </x:c>
      <x:c r="P720" s="31" t="str">
        <x:v>FT-F04</x:v>
      </x:c>
      <x:c r="Q720" s="49" t="n">
        <x:v>0.43696079798927207</x:v>
      </x:c>
    </x:row>
    <x:row r="721" ht="20" customHeight="1">
      <x:c r="A721" s="40" t="str">
        <x:v>FT-Q-V01-121</x:v>
      </x:c>
      <x:c r="B721" s="19" t="str">
        <x:v>climatic change</x:v>
      </x:c>
      <x:c r="C721" s="31" t="str">
        <x:v>climate</x:v>
      </x:c>
      <x:c r="D721" s="25" t="n">
        <x:v>2015</x:v>
      </x:c>
      <x:c r="E721" s="46" t="n">
        <x:v>3.0893575153623237e-7</x:v>
      </x:c>
      <x:c r="F721" s="19" t="str">
        <x:v>eng</x:v>
      </x:c>
      <x:c r="G721" s="19" t="str">
        <x:v>current English corpus (July 2024 dataset; public shorthand eng; mutable current corpus)</x:v>
      </x:c>
      <x:c r="H721" s="19" t="str">
        <x:v>climatic change (All)</x:v>
      </x:c>
      <x:c r="I721" s="19" t="str">
        <x:v>0</x:v>
      </x:c>
      <x:c r="J721" s="19" t="n">
        <x:v>46260.108125</x:v>
      </x:c>
      <x:c r="K721" s="31" t="str">
        <x:v>data/fear-temperature/ngram/raw/0a04941be5651b2bc9de7c1d97a1ec296ca7d83fbf14cbae1d4cb6dce5e31d80.json</x:v>
      </x:c>
      <x:c r="L721" s="19" t="str">
        <x:v>d7902abbc080f4d2003d5f1a590f735baa3506f990d5c6b1c2d156f0cbd926e2</x:v>
      </x:c>
      <x:c r="M721" s="19" t="str">
        <x:v>03c6b3b7aec17c75d6066c3ad33475123246728a6d70514bc6c4b2fac975aa04</x:v>
      </x:c>
      <x:c r="N721" s="31" t="str">
        <x:v>FT-LF-CLIMATIC_CHANGE</x:v>
      </x:c>
      <x:c r="O721" s="31" t="str">
        <x:v>FT-C-HISTORICAL_CLIMATIC_CHANGE</x:v>
      </x:c>
      <x:c r="P721" s="31" t="str">
        <x:v>FT-F04</x:v>
      </x:c>
      <x:c r="Q721" s="49" t="n">
        <x:v>0.3089357515362324</x:v>
      </x:c>
    </x:row>
    <x:row r="722" ht="20" customHeight="1">
      <x:c r="A722" s="40" t="str">
        <x:v>FT-Q-V01-121</x:v>
      </x:c>
      <x:c r="B722" s="19" t="str">
        <x:v>climatic change</x:v>
      </x:c>
      <x:c r="C722" s="31" t="str">
        <x:v>climate</x:v>
      </x:c>
      <x:c r="D722" s="25" t="n">
        <x:v>2016</x:v>
      </x:c>
      <x:c r="E722" s="46" t="n">
        <x:v>3.617756262966343e-7</x:v>
      </x:c>
      <x:c r="F722" s="19" t="str">
        <x:v>eng</x:v>
      </x:c>
      <x:c r="G722" s="19" t="str">
        <x:v>current English corpus (July 2024 dataset; public shorthand eng; mutable current corpus)</x:v>
      </x:c>
      <x:c r="H722" s="19" t="str">
        <x:v>climatic change (All)</x:v>
      </x:c>
      <x:c r="I722" s="19" t="str">
        <x:v>0</x:v>
      </x:c>
      <x:c r="J722" s="19" t="n">
        <x:v>46260.108125</x:v>
      </x:c>
      <x:c r="K722" s="31" t="str">
        <x:v>data/fear-temperature/ngram/raw/0a04941be5651b2bc9de7c1d97a1ec296ca7d83fbf14cbae1d4cb6dce5e31d80.json</x:v>
      </x:c>
      <x:c r="L722" s="19" t="str">
        <x:v>d7902abbc080f4d2003d5f1a590f735baa3506f990d5c6b1c2d156f0cbd926e2</x:v>
      </x:c>
      <x:c r="M722" s="19" t="str">
        <x:v>03c6b3b7aec17c75d6066c3ad33475123246728a6d70514bc6c4b2fac975aa04</x:v>
      </x:c>
      <x:c r="N722" s="31" t="str">
        <x:v>FT-LF-CLIMATIC_CHANGE</x:v>
      </x:c>
      <x:c r="O722" s="31" t="str">
        <x:v>FT-C-HISTORICAL_CLIMATIC_CHANGE</x:v>
      </x:c>
      <x:c r="P722" s="31" t="str">
        <x:v>FT-F04</x:v>
      </x:c>
      <x:c r="Q722" s="49" t="n">
        <x:v>0.3617756262966343</x:v>
      </x:c>
    </x:row>
    <x:row r="723" ht="20" customHeight="1">
      <x:c r="A723" s="40" t="str">
        <x:v>FT-Q-V01-121</x:v>
      </x:c>
      <x:c r="B723" s="19" t="str">
        <x:v>climatic change</x:v>
      </x:c>
      <x:c r="C723" s="31" t="str">
        <x:v>climate</x:v>
      </x:c>
      <x:c r="D723" s="25" t="n">
        <x:v>2017</x:v>
      </x:c>
      <x:c r="E723" s="46" t="n">
        <x:v>3.1436766278689077e-7</x:v>
      </x:c>
      <x:c r="F723" s="19" t="str">
        <x:v>eng</x:v>
      </x:c>
      <x:c r="G723" s="19" t="str">
        <x:v>current English corpus (July 2024 dataset; public shorthand eng; mutable current corpus)</x:v>
      </x:c>
      <x:c r="H723" s="19" t="str">
        <x:v>climatic change (All)</x:v>
      </x:c>
      <x:c r="I723" s="19" t="str">
        <x:v>0</x:v>
      </x:c>
      <x:c r="J723" s="19" t="n">
        <x:v>46260.108125</x:v>
      </x:c>
      <x:c r="K723" s="31" t="str">
        <x:v>data/fear-temperature/ngram/raw/0a04941be5651b2bc9de7c1d97a1ec296ca7d83fbf14cbae1d4cb6dce5e31d80.json</x:v>
      </x:c>
      <x:c r="L723" s="19" t="str">
        <x:v>d7902abbc080f4d2003d5f1a590f735baa3506f990d5c6b1c2d156f0cbd926e2</x:v>
      </x:c>
      <x:c r="M723" s="19" t="str">
        <x:v>03c6b3b7aec17c75d6066c3ad33475123246728a6d70514bc6c4b2fac975aa04</x:v>
      </x:c>
      <x:c r="N723" s="31" t="str">
        <x:v>FT-LF-CLIMATIC_CHANGE</x:v>
      </x:c>
      <x:c r="O723" s="31" t="str">
        <x:v>FT-C-HISTORICAL_CLIMATIC_CHANGE</x:v>
      </x:c>
      <x:c r="P723" s="31" t="str">
        <x:v>FT-F04</x:v>
      </x:c>
      <x:c r="Q723" s="49" t="n">
        <x:v>0.31436766278689077</x:v>
      </x:c>
    </x:row>
    <x:row r="724" ht="20" customHeight="1">
      <x:c r="A724" s="40" t="str">
        <x:v>FT-Q-V01-121</x:v>
      </x:c>
      <x:c r="B724" s="19" t="str">
        <x:v>climatic change</x:v>
      </x:c>
      <x:c r="C724" s="31" t="str">
        <x:v>climate</x:v>
      </x:c>
      <x:c r="D724" s="25" t="n">
        <x:v>2018</x:v>
      </x:c>
      <x:c r="E724" s="46" t="n">
        <x:v>3.9026124311336563e-7</x:v>
      </x:c>
      <x:c r="F724" s="19" t="str">
        <x:v>eng</x:v>
      </x:c>
      <x:c r="G724" s="19" t="str">
        <x:v>current English corpus (July 2024 dataset; public shorthand eng; mutable current corpus)</x:v>
      </x:c>
      <x:c r="H724" s="19" t="str">
        <x:v>climatic change (All)</x:v>
      </x:c>
      <x:c r="I724" s="19" t="str">
        <x:v>0</x:v>
      </x:c>
      <x:c r="J724" s="19" t="n">
        <x:v>46260.108125</x:v>
      </x:c>
      <x:c r="K724" s="31" t="str">
        <x:v>data/fear-temperature/ngram/raw/0a04941be5651b2bc9de7c1d97a1ec296ca7d83fbf14cbae1d4cb6dce5e31d80.json</x:v>
      </x:c>
      <x:c r="L724" s="19" t="str">
        <x:v>d7902abbc080f4d2003d5f1a590f735baa3506f990d5c6b1c2d156f0cbd926e2</x:v>
      </x:c>
      <x:c r="M724" s="19" t="str">
        <x:v>03c6b3b7aec17c75d6066c3ad33475123246728a6d70514bc6c4b2fac975aa04</x:v>
      </x:c>
      <x:c r="N724" s="31" t="str">
        <x:v>FT-LF-CLIMATIC_CHANGE</x:v>
      </x:c>
      <x:c r="O724" s="31" t="str">
        <x:v>FT-C-HISTORICAL_CLIMATIC_CHANGE</x:v>
      </x:c>
      <x:c r="P724" s="31" t="str">
        <x:v>FT-F04</x:v>
      </x:c>
      <x:c r="Q724" s="49" t="n">
        <x:v>0.39026124311336563</x:v>
      </x:c>
    </x:row>
    <x:row r="725" ht="20" customHeight="1">
      <x:c r="A725" s="40" t="str">
        <x:v>FT-Q-V01-121</x:v>
      </x:c>
      <x:c r="B725" s="19" t="str">
        <x:v>climatic change</x:v>
      </x:c>
      <x:c r="C725" s="31" t="str">
        <x:v>climate</x:v>
      </x:c>
      <x:c r="D725" s="25" t="n">
        <x:v>2019</x:v>
      </x:c>
      <x:c r="E725" s="46" t="n">
        <x:v>3.9210036888517874e-7</x:v>
      </x:c>
      <x:c r="F725" s="19" t="str">
        <x:v>eng</x:v>
      </x:c>
      <x:c r="G725" s="19" t="str">
        <x:v>current English corpus (July 2024 dataset; public shorthand eng; mutable current corpus)</x:v>
      </x:c>
      <x:c r="H725" s="19" t="str">
        <x:v>climatic change (All)</x:v>
      </x:c>
      <x:c r="I725" s="19" t="str">
        <x:v>0</x:v>
      </x:c>
      <x:c r="J725" s="19" t="n">
        <x:v>46260.108125</x:v>
      </x:c>
      <x:c r="K725" s="31" t="str">
        <x:v>data/fear-temperature/ngram/raw/0a04941be5651b2bc9de7c1d97a1ec296ca7d83fbf14cbae1d4cb6dce5e31d80.json</x:v>
      </x:c>
      <x:c r="L725" s="19" t="str">
        <x:v>d7902abbc080f4d2003d5f1a590f735baa3506f990d5c6b1c2d156f0cbd926e2</x:v>
      </x:c>
      <x:c r="M725" s="19" t="str">
        <x:v>03c6b3b7aec17c75d6066c3ad33475123246728a6d70514bc6c4b2fac975aa04</x:v>
      </x:c>
      <x:c r="N725" s="31" t="str">
        <x:v>FT-LF-CLIMATIC_CHANGE</x:v>
      </x:c>
      <x:c r="O725" s="31" t="str">
        <x:v>FT-C-HISTORICAL_CLIMATIC_CHANGE</x:v>
      </x:c>
      <x:c r="P725" s="31" t="str">
        <x:v>FT-F04</x:v>
      </x:c>
      <x:c r="Q725" s="49" t="n">
        <x:v>0.39210036888517874</x:v>
      </x:c>
    </x:row>
    <x:row r="726" ht="20" customHeight="1">
      <x:c r="A726" s="40" t="str">
        <x:v>FT-Q-V01-121</x:v>
      </x:c>
      <x:c r="B726" s="19" t="str">
        <x:v>climatic change</x:v>
      </x:c>
      <x:c r="C726" s="31" t="str">
        <x:v>climate</x:v>
      </x:c>
      <x:c r="D726" s="25" t="n">
        <x:v>2020</x:v>
      </x:c>
      <x:c r="E726" s="46" t="n">
        <x:v>2.735954575290578e-7</x:v>
      </x:c>
      <x:c r="F726" s="19" t="str">
        <x:v>eng</x:v>
      </x:c>
      <x:c r="G726" s="19" t="str">
        <x:v>current English corpus (July 2024 dataset; public shorthand eng; mutable current corpus)</x:v>
      </x:c>
      <x:c r="H726" s="19" t="str">
        <x:v>climatic change (All)</x:v>
      </x:c>
      <x:c r="I726" s="19" t="str">
        <x:v>0</x:v>
      </x:c>
      <x:c r="J726" s="19" t="n">
        <x:v>46260.108125</x:v>
      </x:c>
      <x:c r="K726" s="31" t="str">
        <x:v>data/fear-temperature/ngram/raw/0a04941be5651b2bc9de7c1d97a1ec296ca7d83fbf14cbae1d4cb6dce5e31d80.json</x:v>
      </x:c>
      <x:c r="L726" s="19" t="str">
        <x:v>d7902abbc080f4d2003d5f1a590f735baa3506f990d5c6b1c2d156f0cbd926e2</x:v>
      </x:c>
      <x:c r="M726" s="19" t="str">
        <x:v>03c6b3b7aec17c75d6066c3ad33475123246728a6d70514bc6c4b2fac975aa04</x:v>
      </x:c>
      <x:c r="N726" s="31" t="str">
        <x:v>FT-LF-CLIMATIC_CHANGE</x:v>
      </x:c>
      <x:c r="O726" s="31" t="str">
        <x:v>FT-C-HISTORICAL_CLIMATIC_CHANGE</x:v>
      </x:c>
      <x:c r="P726" s="31" t="str">
        <x:v>FT-F04</x:v>
      </x:c>
      <x:c r="Q726" s="49" t="n">
        <x:v>0.2735954575290578</x:v>
      </x:c>
    </x:row>
    <x:row r="727" ht="20" customHeight="1">
      <x:c r="A727" s="40" t="str">
        <x:v>FT-Q-V01-121</x:v>
      </x:c>
      <x:c r="B727" s="19" t="str">
        <x:v>climatic change</x:v>
      </x:c>
      <x:c r="C727" s="31" t="str">
        <x:v>climate</x:v>
      </x:c>
      <x:c r="D727" s="25" t="n">
        <x:v>2021</x:v>
      </x:c>
      <x:c r="E727" s="46" t="n">
        <x:v>3.5184643483454625e-7</x:v>
      </x:c>
      <x:c r="F727" s="19" t="str">
        <x:v>eng</x:v>
      </x:c>
      <x:c r="G727" s="19" t="str">
        <x:v>current English corpus (July 2024 dataset; public shorthand eng; mutable current corpus)</x:v>
      </x:c>
      <x:c r="H727" s="19" t="str">
        <x:v>climatic change (All)</x:v>
      </x:c>
      <x:c r="I727" s="19" t="str">
        <x:v>0</x:v>
      </x:c>
      <x:c r="J727" s="19" t="n">
        <x:v>46260.108125</x:v>
      </x:c>
      <x:c r="K727" s="31" t="str">
        <x:v>data/fear-temperature/ngram/raw/0a04941be5651b2bc9de7c1d97a1ec296ca7d83fbf14cbae1d4cb6dce5e31d80.json</x:v>
      </x:c>
      <x:c r="L727" s="19" t="str">
        <x:v>d7902abbc080f4d2003d5f1a590f735baa3506f990d5c6b1c2d156f0cbd926e2</x:v>
      </x:c>
      <x:c r="M727" s="19" t="str">
        <x:v>03c6b3b7aec17c75d6066c3ad33475123246728a6d70514bc6c4b2fac975aa04</x:v>
      </x:c>
      <x:c r="N727" s="31" t="str">
        <x:v>FT-LF-CLIMATIC_CHANGE</x:v>
      </x:c>
      <x:c r="O727" s="31" t="str">
        <x:v>FT-C-HISTORICAL_CLIMATIC_CHANGE</x:v>
      </x:c>
      <x:c r="P727" s="31" t="str">
        <x:v>FT-F04</x:v>
      </x:c>
      <x:c r="Q727" s="49" t="n">
        <x:v>0.35184643483454625</x:v>
      </x:c>
    </x:row>
    <x:row r="728" ht="20" customHeight="1">
      <x:c r="A728" s="41" t="str">
        <x:v>FT-Q-V01-121</x:v>
      </x:c>
      <x:c r="B728" s="22" t="str">
        <x:v>climatic change</x:v>
      </x:c>
      <x:c r="C728" s="32" t="str">
        <x:v>climate</x:v>
      </x:c>
      <x:c r="D728" s="26" t="n">
        <x:v>2022</x:v>
      </x:c>
      <x:c r="E728" s="47" t="n">
        <x:v>3.561308840049904e-7</x:v>
      </x:c>
      <x:c r="F728" s="22" t="str">
        <x:v>eng</x:v>
      </x:c>
      <x:c r="G728" s="22" t="str">
        <x:v>current English corpus (July 2024 dataset; public shorthand eng; mutable current corpus)</x:v>
      </x:c>
      <x:c r="H728" s="22" t="str">
        <x:v>climatic change (All)</x:v>
      </x:c>
      <x:c r="I728" s="22" t="str">
        <x:v>0</x:v>
      </x:c>
      <x:c r="J728" s="22" t="n">
        <x:v>46260.108125</x:v>
      </x:c>
      <x:c r="K728" s="32" t="str">
        <x:v>data/fear-temperature/ngram/raw/0a04941be5651b2bc9de7c1d97a1ec296ca7d83fbf14cbae1d4cb6dce5e31d80.json</x:v>
      </x:c>
      <x:c r="L728" s="22" t="str">
        <x:v>d7902abbc080f4d2003d5f1a590f735baa3506f990d5c6b1c2d156f0cbd926e2</x:v>
      </x:c>
      <x:c r="M728" s="22" t="str">
        <x:v>03c6b3b7aec17c75d6066c3ad33475123246728a6d70514bc6c4b2fac975aa04</x:v>
      </x:c>
      <x:c r="N728" s="32" t="str">
        <x:v>FT-LF-CLIMATIC_CHANGE</x:v>
      </x:c>
      <x:c r="O728" s="32" t="str">
        <x:v>FT-C-HISTORICAL_CLIMATIC_CHANGE</x:v>
      </x:c>
      <x:c r="P728" s="32" t="str">
        <x:v>FT-F04</x:v>
      </x:c>
      <x:c r="Q728" s="50" t="n">
        <x:v>0.3561308840049904</x:v>
      </x:c>
    </x:row>
  </x:sheetData>
  <x:mergeCells>
    <x:mergeCell ref="A1:Q1"/>
    <x:mergeCell ref="A2:Q2"/>
  </x:mergeCells>
  <x:pageMargins left="0.7" right="0.7" top="0.75" bottom="0.75" header="0.3" footer="0.3"/>
  <x:tableParts count="1">
    <x:tablePart xmlns:r="http://schemas.openxmlformats.org/officeDocument/2006/relationships" r:id="R30b6027989804a0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23" hidden="0" customWidth="1"/>
    <x:col min="3" max="3" width="16" hidden="0" customWidth="1"/>
  </x:cols>
  <x:sheetData>
    <x:row r="1" ht="38" customHeight="1">
      <x:c r="A1" s="3" t="str">
        <x:v>Dictionary Treatment by Anchor</x:v>
      </x:c>
      <x:c r="B1" s="3" t="str">
        <x:v>Dictionary Treatment by Anchor</x:v>
      </x:c>
      <x:c r="C1" s="3" t="str">
        <x:v>Dictionary Treatment by Anchor</x:v>
      </x:c>
      <x:c r="D1" s="3" t="str">
        <x:v>Dictionary Treatment by Anchor</x:v>
      </x:c>
      <x:c r="E1" s="3" t="str">
        <x:v>Dictionary Treatment by Anchor</x:v>
      </x:c>
      <x:c r="F1" s="3" t="str">
        <x:v>Dictionary Treatment by Anchor</x:v>
      </x:c>
      <x:c r="G1" s="3" t="str">
        <x:v>Dictionary Treatment by Anchor</x:v>
      </x:c>
      <x:c r="H1" s="3" t="str">
        <x:v>Dictionary Treatment by Anchor</x:v>
      </x:c>
    </x:row>
    <x:row r="2" ht="32" customHeight="1">
      <x:c r="A2" s="7" t="str">
        <x:v>Direct headword, technical glossary and no-standalone-headword are lexicographic accounting states, not an evolution claim.</x:v>
      </x:c>
      <x:c r="B2" s="7" t="str">
        <x:v>Direct headword, technical glossary and no-standalone-headword are lexicographic accounting states, not an evolution claim.</x:v>
      </x:c>
      <x:c r="C2" s="7" t="str">
        <x:v>Direct headword, technical glossary and no-standalone-headword are lexicographic accounting states, not an evolution claim.</x:v>
      </x:c>
      <x:c r="D2" s="7" t="str">
        <x:v>Direct headword, technical glossary and no-standalone-headword are lexicographic accounting states, not an evolution claim.</x:v>
      </x:c>
      <x:c r="E2" s="7" t="str">
        <x:v>Direct headword, technical glossary and no-standalone-headword are lexicographic accounting states, not an evolution claim.</x:v>
      </x:c>
      <x:c r="F2" s="7" t="str">
        <x:v>Direct headword, technical glossary and no-standalone-headword are lexicographic accounting states, not an evolution claim.</x:v>
      </x:c>
      <x:c r="G2" s="7" t="str">
        <x:v>Direct headword, technical glossary and no-standalone-headword are lexicographic accounting states, not an evolution claim.</x:v>
      </x:c>
      <x:c r="H2" s="7" t="str">
        <x:v>Direct headword, technical glossary and no-standalone-headword are lexicographic accounting states, not an evolution claim.</x:v>
      </x:c>
    </x:row>
    <x:row r="4" ht="42" customHeight="1">
      <x:c r="A4" s="14" t="str">
        <x:v>anchor_label</x:v>
      </x:c>
      <x:c r="B4" s="14" t="str">
        <x:v>dictionary_status</x:v>
      </x:c>
      <x:c r="C4" s="14" t="str">
        <x:v>candidate_count</x:v>
      </x:c>
    </x:row>
    <x:row r="5" ht="24" customHeight="1">
      <x:c r="A5" s="15" t="str">
        <x:v>1842</x:v>
      </x:c>
      <x:c r="B5" s="30" t="str">
        <x:v>DIRECT_HEADWORD</x:v>
      </x:c>
      <x:c r="C5" s="36" t="n">
        <x:v>4</x:v>
      </x:c>
    </x:row>
    <x:row r="6" ht="24" customHeight="1">
      <x:c r="A6" s="18" t="str">
        <x:v>1842</x:v>
      </x:c>
      <x:c r="B6" s="31" t="str">
        <x:v>NO_STANDALONE_HEADWORD</x:v>
      </x:c>
      <x:c r="C6" s="37" t="n">
        <x:v>26</x:v>
      </x:c>
    </x:row>
    <x:row r="7" ht="24" customHeight="1">
      <x:c r="A7" s="18" t="str">
        <x:v>1938</x:v>
      </x:c>
      <x:c r="B7" s="31" t="str">
        <x:v>DIRECT_HEADWORD</x:v>
      </x:c>
      <x:c r="C7" s="37" t="n">
        <x:v>2</x:v>
      </x:c>
    </x:row>
    <x:row r="8" ht="24" customHeight="1">
      <x:c r="A8" s="18" t="str">
        <x:v>1938</x:v>
      </x:c>
      <x:c r="B8" s="31" t="str">
        <x:v>NO_STANDALONE_HEADWORD</x:v>
      </x:c>
      <x:c r="C8" s="37" t="n">
        <x:v>22</x:v>
      </x:c>
    </x:row>
    <x:row r="9" ht="24" customHeight="1">
      <x:c r="A9" s="18" t="str">
        <x:v>1938</x:v>
      </x:c>
      <x:c r="B9" s="31" t="str">
        <x:v>TECHNICAL_GLOSSARY</x:v>
      </x:c>
      <x:c r="C9" s="37" t="n">
        <x:v>6</x:v>
      </x:c>
    </x:row>
    <x:row r="10" ht="24" customHeight="1">
      <x:c r="A10" s="18" t="str">
        <x:v>1988</x:v>
      </x:c>
      <x:c r="B10" s="31" t="str">
        <x:v>DIRECT_HEADWORD</x:v>
      </x:c>
      <x:c r="C10" s="37" t="n">
        <x:v>1</x:v>
      </x:c>
    </x:row>
    <x:row r="11" ht="24" customHeight="1">
      <x:c r="A11" s="18" t="str">
        <x:v>1988</x:v>
      </x:c>
      <x:c r="B11" s="31" t="str">
        <x:v>NO_STANDALONE_HEADWORD</x:v>
      </x:c>
      <x:c r="C11" s="37" t="n">
        <x:v>21</x:v>
      </x:c>
    </x:row>
    <x:row r="12" ht="24" customHeight="1">
      <x:c r="A12" s="18" t="str">
        <x:v>1988</x:v>
      </x:c>
      <x:c r="B12" s="31" t="str">
        <x:v>TECHNICAL_GLOSSARY</x:v>
      </x:c>
      <x:c r="C12" s="37" t="n">
        <x:v>8</x:v>
      </x:c>
    </x:row>
    <x:row r="13" ht="24" customHeight="1">
      <x:c r="A13" s="18" t="str">
        <x:v>2006–2007</x:v>
      </x:c>
      <x:c r="B13" s="31" t="str">
        <x:v>DIRECT_HEADWORD</x:v>
      </x:c>
      <x:c r="C13" s="37" t="n">
        <x:v>4</x:v>
      </x:c>
    </x:row>
    <x:row r="14" ht="24" customHeight="1">
      <x:c r="A14" s="18" t="str">
        <x:v>2006–2007</x:v>
      </x:c>
      <x:c r="B14" s="31" t="str">
        <x:v>NO_STANDALONE_HEADWORD</x:v>
      </x:c>
      <x:c r="C14" s="37" t="n">
        <x:v>15</x:v>
      </x:c>
    </x:row>
    <x:row r="15" ht="24" customHeight="1">
      <x:c r="A15" s="18" t="str">
        <x:v>2006–2007</x:v>
      </x:c>
      <x:c r="B15" s="31" t="str">
        <x:v>TECHNICAL_GLOSSARY</x:v>
      </x:c>
      <x:c r="C15" s="37" t="n">
        <x:v>11</x:v>
      </x:c>
    </x:row>
    <x:row r="16" ht="24" customHeight="1">
      <x:c r="A16" s="18" t="str">
        <x:v>2015</x:v>
      </x:c>
      <x:c r="B16" s="31" t="str">
        <x:v>NO_STANDALONE_HEADWORD</x:v>
      </x:c>
      <x:c r="C16" s="37" t="n">
        <x:v>13</x:v>
      </x:c>
    </x:row>
    <x:row r="17" ht="24" customHeight="1">
      <x:c r="A17" s="18" t="str">
        <x:v>2015</x:v>
      </x:c>
      <x:c r="B17" s="31" t="str">
        <x:v>TECHNICAL_GLOSSARY</x:v>
      </x:c>
      <x:c r="C17" s="37" t="n">
        <x:v>17</x:v>
      </x:c>
    </x:row>
    <x:row r="18" ht="24" customHeight="1">
      <x:c r="A18" s="18" t="str">
        <x:v>2022</x:v>
      </x:c>
      <x:c r="B18" s="31" t="str">
        <x:v>DIRECT_HEADWORD</x:v>
      </x:c>
      <x:c r="C18" s="37" t="n">
        <x:v>14</x:v>
      </x:c>
    </x:row>
    <x:row r="19" ht="24" customHeight="1">
      <x:c r="A19" s="18" t="str">
        <x:v>2022</x:v>
      </x:c>
      <x:c r="B19" s="31" t="str">
        <x:v>NO_STANDALONE_HEADWORD</x:v>
      </x:c>
      <x:c r="C19" s="37" t="n">
        <x:v>9</x:v>
      </x:c>
    </x:row>
    <x:row r="20" ht="24" customHeight="1">
      <x:c r="A20" s="21" t="str">
        <x:v>2022</x:v>
      </x:c>
      <x:c r="B20" s="32" t="str">
        <x:v>TECHNICAL_GLOSSARY</x:v>
      </x:c>
      <x:c r="C20" s="38" t="n">
        <x:v>7</x:v>
      </x:c>
    </x:row>
  </x:sheetData>
  <x:mergeCells>
    <x:mergeCell ref="A1:H1"/>
    <x:mergeCell ref="A2:H2"/>
  </x:mergeCells>
  <x:conditionalFormatting sqref="B5:B20">
    <x:cfRule type="containsText" dxfId="30" priority="1" operator="containsText" text="COMPLETE"/>
    <x:cfRule type="containsText" dxfId="31" priority="2" operator="containsText" text="TRACEABLE"/>
    <x:cfRule type="containsText" dxfId="32" priority="3" operator="containsText" text="ZERO"/>
    <x:cfRule type="containsText" dxfId="33" priority="4" operator="containsText" text="UNRESOLVED"/>
    <x:cfRule type="containsText" dxfId="34" priority="5" operator="containsText" text="NOT_"/>
    <x:cfRule type="containsText" dxfId="35" priority="6" operator="containsText" text="PARTIAL"/>
  </x:conditionalFormatting>
  <x:pageMargins left="0.7" right="0.7" top="0.75" bottom="0.75" header="0.3" footer="0.3"/>
  <x:tableParts count="1">
    <x:tablePart xmlns:r="http://schemas.openxmlformats.org/officeDocument/2006/relationships" r:id="Rf4343918d3524325"/>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s>
  <x:sheetData>
    <x:row r="1" ht="38" customHeight="1">
      <x:c r="A1" s="3" t="str">
        <x:v>Bounded Searchability by Anchor</x:v>
      </x:c>
      <x:c r="B1" s="3" t="str">
        <x:v>Bounded Searchability by Anchor</x:v>
      </x:c>
      <x:c r="C1" s="3" t="str">
        <x:v>Bounded Searchability by Anchor</x:v>
      </x:c>
      <x:c r="D1" s="3" t="str">
        <x:v>Bounded Searchability by Anchor</x:v>
      </x:c>
      <x:c r="E1" s="3" t="str">
        <x:v>Bounded Searchability by Anchor</x:v>
      </x:c>
      <x:c r="F1" s="3" t="str">
        <x:v>Bounded Searchability by Anchor</x:v>
      </x:c>
      <x:c r="G1" s="3" t="str">
        <x:v>Bounded Searchability by Anchor</x:v>
      </x:c>
      <x:c r="H1" s="3" t="str">
        <x:v>Bounded Searchability by Anchor</x:v>
      </x:c>
    </x:row>
    <x:row r="2" ht="32" customHeight="1">
      <x:c r="A2" s="7" t="str">
        <x:v>Internet Archive metadata text-item discovery outcomes. Provider discoverability is not language prevalence.</x:v>
      </x:c>
      <x:c r="B2" s="7" t="str">
        <x:v>Internet Archive metadata text-item discovery outcomes. Provider discoverability is not language prevalence.</x:v>
      </x:c>
      <x:c r="C2" s="7" t="str">
        <x:v>Internet Archive metadata text-item discovery outcomes. Provider discoverability is not language prevalence.</x:v>
      </x:c>
      <x:c r="D2" s="7" t="str">
        <x:v>Internet Archive metadata text-item discovery outcomes. Provider discoverability is not language prevalence.</x:v>
      </x:c>
      <x:c r="E2" s="7" t="str">
        <x:v>Internet Archive metadata text-item discovery outcomes. Provider discoverability is not language prevalence.</x:v>
      </x:c>
      <x:c r="F2" s="7" t="str">
        <x:v>Internet Archive metadata text-item discovery outcomes. Provider discoverability is not language prevalence.</x:v>
      </x:c>
      <x:c r="G2" s="7" t="str">
        <x:v>Internet Archive metadata text-item discovery outcomes. Provider discoverability is not language prevalence.</x:v>
      </x:c>
      <x:c r="H2" s="7" t="str">
        <x:v>Internet Archive metadata text-item discovery outcomes. Provider discoverability is not language prevalence.</x:v>
      </x:c>
    </x:row>
    <x:row r="4" ht="42" customHeight="1">
      <x:c r="A4" s="14" t="str">
        <x:v>anchor_label</x:v>
      </x:c>
      <x:c r="B4" s="14" t="str">
        <x:v>search_display</x:v>
      </x:c>
      <x:c r="C4" s="14" t="str">
        <x:v>candidate_count</x:v>
      </x:c>
    </x:row>
    <x:row r="5" ht="24" customHeight="1">
      <x:c r="A5" s="15" t="str">
        <x:v>1842</x:v>
      </x:c>
      <x:c r="B5" s="16" t="str">
        <x:v>SUCCEEDED</x:v>
      </x:c>
      <x:c r="C5" s="36" t="n">
        <x:v>21</x:v>
      </x:c>
    </x:row>
    <x:row r="6" ht="24" customHeight="1">
      <x:c r="A6" s="18" t="str">
        <x:v>1842</x:v>
      </x:c>
      <x:c r="B6" s="19" t="str">
        <x:v>ZERO_RESULT</x:v>
      </x:c>
      <x:c r="C6" s="37" t="n">
        <x:v>9</x:v>
      </x:c>
    </x:row>
    <x:row r="7" ht="24" customHeight="1">
      <x:c r="A7" s="18" t="str">
        <x:v>1938</x:v>
      </x:c>
      <x:c r="B7" s="19" t="str">
        <x:v>SUCCEEDED</x:v>
      </x:c>
      <x:c r="C7" s="37" t="n">
        <x:v>20</x:v>
      </x:c>
    </x:row>
    <x:row r="8" ht="24" customHeight="1">
      <x:c r="A8" s="18" t="str">
        <x:v>1938</x:v>
      </x:c>
      <x:c r="B8" s="19" t="str">
        <x:v>ZERO_RESULT</x:v>
      </x:c>
      <x:c r="C8" s="37" t="n">
        <x:v>10</x:v>
      </x:c>
    </x:row>
    <x:row r="9" ht="24" customHeight="1">
      <x:c r="A9" s="18" t="str">
        <x:v>1988</x:v>
      </x:c>
      <x:c r="B9" s="19" t="str">
        <x:v>SUCCEEDED</x:v>
      </x:c>
      <x:c r="C9" s="37" t="n">
        <x:v>21</x:v>
      </x:c>
    </x:row>
    <x:row r="10" ht="24" customHeight="1">
      <x:c r="A10" s="18" t="str">
        <x:v>1988</x:v>
      </x:c>
      <x:c r="B10" s="19" t="str">
        <x:v>ZERO_RESULT</x:v>
      </x:c>
      <x:c r="C10" s="37" t="n">
        <x:v>9</x:v>
      </x:c>
    </x:row>
    <x:row r="11" ht="24" customHeight="1">
      <x:c r="A11" s="18" t="str">
        <x:v>2006–2007</x:v>
      </x:c>
      <x:c r="B11" s="19" t="str">
        <x:v>SUCCEEDED</x:v>
      </x:c>
      <x:c r="C11" s="37" t="n">
        <x:v>22</x:v>
      </x:c>
    </x:row>
    <x:row r="12" ht="24" customHeight="1">
      <x:c r="A12" s="18" t="str">
        <x:v>2006–2007</x:v>
      </x:c>
      <x:c r="B12" s="19" t="str">
        <x:v>ZERO_RESULT</x:v>
      </x:c>
      <x:c r="C12" s="37" t="n">
        <x:v>8</x:v>
      </x:c>
    </x:row>
    <x:row r="13" ht="24" customHeight="1">
      <x:c r="A13" s="18" t="str">
        <x:v>2015</x:v>
      </x:c>
      <x:c r="B13" s="19" t="str">
        <x:v>SUCCEEDED</x:v>
      </x:c>
      <x:c r="C13" s="37" t="n">
        <x:v>28</x:v>
      </x:c>
    </x:row>
    <x:row r="14" ht="24" customHeight="1">
      <x:c r="A14" s="18" t="str">
        <x:v>2015</x:v>
      </x:c>
      <x:c r="B14" s="19" t="str">
        <x:v>ZERO_RESULT</x:v>
      </x:c>
      <x:c r="C14" s="37" t="n">
        <x:v>2</x:v>
      </x:c>
    </x:row>
    <x:row r="15" ht="24" customHeight="1">
      <x:c r="A15" s="18" t="str">
        <x:v>2022</x:v>
      </x:c>
      <x:c r="B15" s="19" t="str">
        <x:v>SUCCEEDED</x:v>
      </x:c>
      <x:c r="C15" s="37" t="n">
        <x:v>29</x:v>
      </x:c>
    </x:row>
    <x:row r="16" ht="24" customHeight="1">
      <x:c r="A16" s="21" t="str">
        <x:v>2022</x:v>
      </x:c>
      <x:c r="B16" s="22" t="str">
        <x:v>ZERO_RESULT</x:v>
      </x:c>
      <x:c r="C16" s="38" t="n">
        <x:v>1</x:v>
      </x:c>
    </x:row>
  </x:sheetData>
  <x:mergeCells>
    <x:mergeCell ref="A1:H1"/>
    <x:mergeCell ref="A2:H2"/>
  </x:mergeCells>
  <x:pageMargins left="0.7" right="0.7" top="0.75" bottom="0.75" header="0.3" footer="0.3"/>
  <x:tableParts count="1">
    <x:tablePart xmlns:r="http://schemas.openxmlformats.org/officeDocument/2006/relationships" r:id="R6e3736fd6ff647db"/>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3" hidden="0" customWidth="1"/>
    <x:col min="4" max="4" width="16" hidden="0" customWidth="1"/>
    <x:col min="5" max="5" width="16" hidden="0" customWidth="1"/>
    <x:col min="6" max="6" width="40" hidden="0" customWidth="1"/>
  </x:cols>
  <x:sheetData>
    <x:row r="1" ht="38" customHeight="1">
      <x:c r="A1" s="3" t="str">
        <x:v>Coverage and Missingness Bias Matrix</x:v>
      </x:c>
      <x:c r="B1" s="3" t="str">
        <x:v>Coverage and Missingness Bias Matrix</x:v>
      </x:c>
      <x:c r="C1" s="3" t="str">
        <x:v>Coverage and Missingness Bias Matrix</x:v>
      </x:c>
      <x:c r="D1" s="3" t="str">
        <x:v>Coverage and Missingness Bias Matrix</x:v>
      </x:c>
      <x:c r="E1" s="3" t="str">
        <x:v>Coverage and Missingness Bias Matrix</x:v>
      </x:c>
      <x:c r="F1" s="3" t="str">
        <x:v>Coverage and Missingness Bias Matrix</x:v>
      </x:c>
      <x:c r="G1" s="3" t="str">
        <x:v>Coverage and Missingness Bias Matrix</x:v>
      </x:c>
      <x:c r="H1" s="3" t="str">
        <x:v>Coverage and Missingness Bias Matrix</x:v>
      </x:c>
    </x:row>
    <x:row r="2" ht="32" customHeight="1">
      <x:c r="A2" s="7" t="str">
        <x:v>Anchor-level voice, expression mode, dictionary, Ngram, search and provenance states; zero and not-applicable remain visible.</x:v>
      </x:c>
      <x:c r="B2" s="7" t="str">
        <x:v>Anchor-level voice, expression mode, dictionary, Ngram, search and provenance states; zero and not-applicable remain visible.</x:v>
      </x:c>
      <x:c r="C2" s="7" t="str">
        <x:v>Anchor-level voice, expression mode, dictionary, Ngram, search and provenance states; zero and not-applicable remain visible.</x:v>
      </x:c>
      <x:c r="D2" s="7" t="str">
        <x:v>Anchor-level voice, expression mode, dictionary, Ngram, search and provenance states; zero and not-applicable remain visible.</x:v>
      </x:c>
      <x:c r="E2" s="7" t="str">
        <x:v>Anchor-level voice, expression mode, dictionary, Ngram, search and provenance states; zero and not-applicable remain visible.</x:v>
      </x:c>
      <x:c r="F2" s="7" t="str">
        <x:v>Anchor-level voice, expression mode, dictionary, Ngram, search and provenance states; zero and not-applicable remain visible.</x:v>
      </x:c>
      <x:c r="G2" s="7" t="str">
        <x:v>Anchor-level voice, expression mode, dictionary, Ngram, search and provenance states; zero and not-applicable remain visible.</x:v>
      </x:c>
      <x:c r="H2" s="7" t="str">
        <x:v>Anchor-level voice, expression mode, dictionary, Ngram, search and provenance states; zero and not-applicable remain visible.</x:v>
      </x:c>
    </x:row>
    <x:row r="4" ht="42" customHeight="1">
      <x:c r="A4" s="14" t="str">
        <x:v>anchor</x:v>
      </x:c>
      <x:c r="B4" s="14" t="str">
        <x:v>dimension</x:v>
      </x:c>
      <x:c r="C4" s="14" t="str">
        <x:v>status</x:v>
      </x:c>
      <x:c r="D4" s="14" t="str">
        <x:v>candidate_count</x:v>
      </x:c>
      <x:c r="E4" s="14" t="str">
        <x:v>percentage_within_anchor</x:v>
      </x:c>
      <x:c r="F4" s="14" t="str">
        <x:v>interpretation_note</x:v>
      </x:c>
    </x:row>
    <x:row r="5" ht="30" customHeight="1">
      <x:c r="A5" s="15" t="str">
        <x:v>1842</x:v>
      </x:c>
      <x:c r="B5" s="16" t="str">
        <x:v>VOICE_COVERAGE</x:v>
      </x:c>
      <x:c r="C5" s="30" t="str">
        <x:v>V1</x:v>
      </x:c>
      <x:c r="D5" s="24" t="n">
        <x:v>18</x:v>
      </x:c>
      <x:c r="E5" s="27" t="n">
        <x:v>0.6</x:v>
      </x:c>
      <x:c r="F5" s="42" t="str">
        <x:v>Coverage/composition diagnostic; not historical prevalence.</x:v>
      </x:c>
    </x:row>
    <x:row r="6" ht="30" customHeight="1">
      <x:c r="A6" s="18" t="str">
        <x:v>1842</x:v>
      </x:c>
      <x:c r="B6" s="19" t="str">
        <x:v>VOICE_COVERAGE</x:v>
      </x:c>
      <x:c r="C6" s="31" t="str">
        <x:v>V2</x:v>
      </x:c>
      <x:c r="D6" s="25" t="n">
        <x:v>2</x:v>
      </x:c>
      <x:c r="E6" s="28" t="n">
        <x:v>0.06666666666666667</x:v>
      </x:c>
      <x:c r="F6" s="43" t="str">
        <x:v>Coverage/composition diagnostic; not historical prevalence.</x:v>
      </x:c>
    </x:row>
    <x:row r="7" ht="30" customHeight="1">
      <x:c r="A7" s="18" t="str">
        <x:v>1842</x:v>
      </x:c>
      <x:c r="B7" s="19" t="str">
        <x:v>VOICE_COVERAGE</x:v>
      </x:c>
      <x:c r="C7" s="31" t="str">
        <x:v>V3</x:v>
      </x:c>
      <x:c r="D7" s="25" t="n">
        <x:v>1</x:v>
      </x:c>
      <x:c r="E7" s="28" t="n">
        <x:v>0.03333333333333333</x:v>
      </x:c>
      <x:c r="F7" s="43" t="str">
        <x:v>Coverage/composition diagnostic; not historical prevalence.</x:v>
      </x:c>
    </x:row>
    <x:row r="8" ht="30" customHeight="1">
      <x:c r="A8" s="18" t="str">
        <x:v>1842</x:v>
      </x:c>
      <x:c r="B8" s="19" t="str">
        <x:v>VOICE_COVERAGE</x:v>
      </x:c>
      <x:c r="C8" s="31" t="str">
        <x:v>V5</x:v>
      </x:c>
      <x:c r="D8" s="25" t="n">
        <x:v>9</x:v>
      </x:c>
      <x:c r="E8" s="28" t="n">
        <x:v>0.3</x:v>
      </x:c>
      <x:c r="F8" s="43" t="str">
        <x:v>Coverage/composition diagnostic; not historical prevalence.</x:v>
      </x:c>
    </x:row>
    <x:row r="9" ht="30" customHeight="1">
      <x:c r="A9" s="18" t="str">
        <x:v>1842</x:v>
      </x:c>
      <x:c r="B9" s="19" t="str">
        <x:v>EXPRESSION_MODE_COMPLETENESS</x:v>
      </x:c>
      <x:c r="C9" s="31" t="str">
        <x:v>E3</x:v>
      </x:c>
      <x:c r="D9" s="25" t="n">
        <x:v>1</x:v>
      </x:c>
      <x:c r="E9" s="28" t="n">
        <x:v>0.03333333333333333</x:v>
      </x:c>
      <x:c r="F9" s="43" t="str">
        <x:v>Coverage/composition diagnostic; not historical prevalence.</x:v>
      </x:c>
    </x:row>
    <x:row r="10" ht="30" customHeight="1">
      <x:c r="A10" s="18" t="str">
        <x:v>1842</x:v>
      </x:c>
      <x:c r="B10" s="19" t="str">
        <x:v>EXPRESSION_MODE_COMPLETENESS</x:v>
      </x:c>
      <x:c r="C10" s="31" t="str">
        <x:v>E5</x:v>
      </x:c>
      <x:c r="D10" s="25" t="n">
        <x:v>29</x:v>
      </x:c>
      <x:c r="E10" s="28" t="n">
        <x:v>0.9666666666666667</x:v>
      </x:c>
      <x:c r="F10" s="43" t="str">
        <x:v>Coverage/composition diagnostic; not historical prevalence.</x:v>
      </x:c>
    </x:row>
    <x:row r="11" ht="30" customHeight="1">
      <x:c r="A11" s="18" t="str">
        <x:v>1842</x:v>
      </x:c>
      <x:c r="B11" s="19" t="str">
        <x:v>DICTIONARY_STATUS</x:v>
      </x:c>
      <x:c r="C11" s="31" t="str">
        <x:v>DIRECT_HEADWORD</x:v>
      </x:c>
      <x:c r="D11" s="25" t="n">
        <x:v>4</x:v>
      </x:c>
      <x:c r="E11" s="28" t="n">
        <x:v>0.13333333333333333</x:v>
      </x:c>
      <x:c r="F11" s="43" t="str">
        <x:v>Coverage/composition diagnostic; not historical prevalence.</x:v>
      </x:c>
    </x:row>
    <x:row r="12" ht="30" customHeight="1">
      <x:c r="A12" s="18" t="str">
        <x:v>1842</x:v>
      </x:c>
      <x:c r="B12" s="19" t="str">
        <x:v>DICTIONARY_STATUS</x:v>
      </x:c>
      <x:c r="C12" s="31" t="str">
        <x:v>NO_STANDALONE_HEADWORD</x:v>
      </x:c>
      <x:c r="D12" s="25" t="n">
        <x:v>26</x:v>
      </x:c>
      <x:c r="E12" s="28" t="n">
        <x:v>0.8666666666666667</x:v>
      </x:c>
      <x:c r="F12" s="43" t="str">
        <x:v>Coverage/composition diagnostic; not historical prevalence.</x:v>
      </x:c>
    </x:row>
    <x:row r="13" ht="30" customHeight="1">
      <x:c r="A13" s="18" t="str">
        <x:v>1842</x:v>
      </x:c>
      <x:c r="B13" s="19" t="str">
        <x:v>NGRAM_STATUS</x:v>
      </x:c>
      <x:c r="C13" s="31" t="str">
        <x:v>SUCCEEDED_NEW</x:v>
      </x:c>
      <x:c r="D13" s="25" t="n">
        <x:v>7</x:v>
      </x:c>
      <x:c r="E13" s="28" t="n">
        <x:v>0.23333333333333334</x:v>
      </x:c>
      <x:c r="F13" s="43" t="str">
        <x:v>Coverage/composition diagnostic; not historical prevalence.</x:v>
      </x:c>
    </x:row>
    <x:row r="14" ht="30" customHeight="1">
      <x:c r="A14" s="18" t="str">
        <x:v>1842</x:v>
      </x:c>
      <x:c r="B14" s="19" t="str">
        <x:v>NGRAM_STATUS</x:v>
      </x:c>
      <x:c r="C14" s="31" t="str">
        <x:v>SUCCEEDED_REUSED_BASELINE</x:v>
      </x:c>
      <x:c r="D14" s="25" t="n">
        <x:v>19</x:v>
      </x:c>
      <x:c r="E14" s="28" t="n">
        <x:v>0.6333333333333333</x:v>
      </x:c>
      <x:c r="F14" s="43" t="str">
        <x:v>Coverage/composition diagnostic; not historical prevalence.</x:v>
      </x:c>
    </x:row>
    <x:row r="15" ht="30" customHeight="1">
      <x:c r="A15" s="18" t="str">
        <x:v>1842</x:v>
      </x:c>
      <x:c r="B15" s="19" t="str">
        <x:v>NGRAM_STATUS</x:v>
      </x:c>
      <x:c r="C15" s="31" t="str">
        <x:v>ZERO_RESULT</x:v>
      </x:c>
      <x:c r="D15" s="25" t="n">
        <x:v>4</x:v>
      </x:c>
      <x:c r="E15" s="28" t="n">
        <x:v>0.13333333333333333</x:v>
      </x:c>
      <x:c r="F15" s="43" t="str">
        <x:v>Coverage/composition diagnostic; not historical prevalence.</x:v>
      </x:c>
    </x:row>
    <x:row r="16" ht="30" customHeight="1">
      <x:c r="A16" s="18" t="str">
        <x:v>1842</x:v>
      </x:c>
      <x:c r="B16" s="19" t="str">
        <x:v>BOUNDED_SEARCH_STATUS</x:v>
      </x:c>
      <x:c r="C16" s="31" t="str">
        <x:v>COMPLETED_NONZERO</x:v>
      </x:c>
      <x:c r="D16" s="25" t="n">
        <x:v>21</x:v>
      </x:c>
      <x:c r="E16" s="28" t="n">
        <x:v>0.7</x:v>
      </x:c>
      <x:c r="F16" s="43" t="str">
        <x:v>Coverage/composition diagnostic; not historical prevalence.</x:v>
      </x:c>
    </x:row>
    <x:row r="17" ht="30" customHeight="1">
      <x:c r="A17" s="18" t="str">
        <x:v>1842</x:v>
      </x:c>
      <x:c r="B17" s="19" t="str">
        <x:v>BOUNDED_SEARCH_STATUS</x:v>
      </x:c>
      <x:c r="C17" s="31" t="str">
        <x:v>ZERO_RESULT</x:v>
      </x:c>
      <x:c r="D17" s="25" t="n">
        <x:v>9</x:v>
      </x:c>
      <x:c r="E17" s="28" t="n">
        <x:v>0.3</x:v>
      </x:c>
      <x:c r="F17" s="43" t="str">
        <x:v>Coverage/composition diagnostic; not historical prevalence.</x:v>
      </x:c>
    </x:row>
    <x:row r="18" ht="30" customHeight="1">
      <x:c r="A18" s="18" t="str">
        <x:v>1842</x:v>
      </x:c>
      <x:c r="B18" s="19" t="str">
        <x:v>PROVENANCE_COMPLETENESS</x:v>
      </x:c>
      <x:c r="C18" s="31" t="str">
        <x:v>RECONSTRUCTED_FROM_REPORT</x:v>
      </x:c>
      <x:c r="D18" s="25" t="n">
        <x:v>30</x:v>
      </x:c>
      <x:c r="E18" s="28" t="n">
        <x:v>1</x:v>
      </x:c>
      <x:c r="F18" s="43" t="str">
        <x:v>Coverage/composition diagnostic; not historical prevalence.</x:v>
      </x:c>
    </x:row>
    <x:row r="19" ht="30" customHeight="1">
      <x:c r="A19" s="18" t="str">
        <x:v>1938</x:v>
      </x:c>
      <x:c r="B19" s="19" t="str">
        <x:v>VOICE_COVERAGE</x:v>
      </x:c>
      <x:c r="C19" s="31" t="str">
        <x:v>V1</x:v>
      </x:c>
      <x:c r="D19" s="25" t="n">
        <x:v>18</x:v>
      </x:c>
      <x:c r="E19" s="28" t="n">
        <x:v>0.6</x:v>
      </x:c>
      <x:c r="F19" s="43" t="str">
        <x:v>Coverage/composition diagnostic; not historical prevalence.</x:v>
      </x:c>
    </x:row>
    <x:row r="20" ht="30" customHeight="1">
      <x:c r="A20" s="18" t="str">
        <x:v>1938</x:v>
      </x:c>
      <x:c r="B20" s="19" t="str">
        <x:v>VOICE_COVERAGE</x:v>
      </x:c>
      <x:c r="C20" s="31" t="str">
        <x:v>V3</x:v>
      </x:c>
      <x:c r="D20" s="25" t="n">
        <x:v>12</x:v>
      </x:c>
      <x:c r="E20" s="28" t="n">
        <x:v>0.4</x:v>
      </x:c>
      <x:c r="F20" s="43" t="str">
        <x:v>Coverage/composition diagnostic; not historical prevalence.</x:v>
      </x:c>
    </x:row>
    <x:row r="21" ht="30" customHeight="1">
      <x:c r="A21" s="18" t="str">
        <x:v>1938</x:v>
      </x:c>
      <x:c r="B21" s="19" t="str">
        <x:v>EXPRESSION_MODE_COMPLETENESS</x:v>
      </x:c>
      <x:c r="C21" s="31" t="str">
        <x:v>E2</x:v>
      </x:c>
      <x:c r="D21" s="25" t="n">
        <x:v>1</x:v>
      </x:c>
      <x:c r="E21" s="28" t="n">
        <x:v>0.03333333333333333</x:v>
      </x:c>
      <x:c r="F21" s="43" t="str">
        <x:v>Coverage/composition diagnostic; not historical prevalence.</x:v>
      </x:c>
    </x:row>
    <x:row r="22" ht="30" customHeight="1">
      <x:c r="A22" s="18" t="str">
        <x:v>1938</x:v>
      </x:c>
      <x:c r="B22" s="19" t="str">
        <x:v>EXPRESSION_MODE_COMPLETENESS</x:v>
      </x:c>
      <x:c r="C22" s="31" t="str">
        <x:v>E5</x:v>
      </x:c>
      <x:c r="D22" s="25" t="n">
        <x:v>29</x:v>
      </x:c>
      <x:c r="E22" s="28" t="n">
        <x:v>0.9666666666666667</x:v>
      </x:c>
      <x:c r="F22" s="43" t="str">
        <x:v>Coverage/composition diagnostic; not historical prevalence.</x:v>
      </x:c>
    </x:row>
    <x:row r="23" ht="30" customHeight="1">
      <x:c r="A23" s="18" t="str">
        <x:v>1938</x:v>
      </x:c>
      <x:c r="B23" s="19" t="str">
        <x:v>DICTIONARY_STATUS</x:v>
      </x:c>
      <x:c r="C23" s="31" t="str">
        <x:v>DIRECT_HEADWORD</x:v>
      </x:c>
      <x:c r="D23" s="25" t="n">
        <x:v>2</x:v>
      </x:c>
      <x:c r="E23" s="28" t="n">
        <x:v>0.06666666666666667</x:v>
      </x:c>
      <x:c r="F23" s="43" t="str">
        <x:v>Coverage/composition diagnostic; not historical prevalence.</x:v>
      </x:c>
    </x:row>
    <x:row r="24" ht="30" customHeight="1">
      <x:c r="A24" s="18" t="str">
        <x:v>1938</x:v>
      </x:c>
      <x:c r="B24" s="19" t="str">
        <x:v>DICTIONARY_STATUS</x:v>
      </x:c>
      <x:c r="C24" s="31" t="str">
        <x:v>NO_STANDALONE_HEADWORD</x:v>
      </x:c>
      <x:c r="D24" s="25" t="n">
        <x:v>22</x:v>
      </x:c>
      <x:c r="E24" s="28" t="n">
        <x:v>0.7333333333333333</x:v>
      </x:c>
      <x:c r="F24" s="43" t="str">
        <x:v>Coverage/composition diagnostic; not historical prevalence.</x:v>
      </x:c>
    </x:row>
    <x:row r="25" ht="30" customHeight="1">
      <x:c r="A25" s="18" t="str">
        <x:v>1938</x:v>
      </x:c>
      <x:c r="B25" s="19" t="str">
        <x:v>DICTIONARY_STATUS</x:v>
      </x:c>
      <x:c r="C25" s="31" t="str">
        <x:v>TECHNICAL_GLOSSARY</x:v>
      </x:c>
      <x:c r="D25" s="25" t="n">
        <x:v>6</x:v>
      </x:c>
      <x:c r="E25" s="28" t="n">
        <x:v>0.2</x:v>
      </x:c>
      <x:c r="F25" s="43" t="str">
        <x:v>Coverage/composition diagnostic; not historical prevalence.</x:v>
      </x:c>
    </x:row>
    <x:row r="26" ht="30" customHeight="1">
      <x:c r="A26" s="18" t="str">
        <x:v>1938</x:v>
      </x:c>
      <x:c r="B26" s="19" t="str">
        <x:v>NGRAM_STATUS</x:v>
      </x:c>
      <x:c r="C26" s="31" t="str">
        <x:v>SUCCEEDED_NEW</x:v>
      </x:c>
      <x:c r="D26" s="25" t="n">
        <x:v>5</x:v>
      </x:c>
      <x:c r="E26" s="28" t="n">
        <x:v>0.16666666666666666</x:v>
      </x:c>
      <x:c r="F26" s="43" t="str">
        <x:v>Coverage/composition diagnostic; not historical prevalence.</x:v>
      </x:c>
    </x:row>
    <x:row r="27" ht="30" customHeight="1">
      <x:c r="A27" s="18" t="str">
        <x:v>1938</x:v>
      </x:c>
      <x:c r="B27" s="19" t="str">
        <x:v>NGRAM_STATUS</x:v>
      </x:c>
      <x:c r="C27" s="31" t="str">
        <x:v>SUCCEEDED_REUSED_BASELINE</x:v>
      </x:c>
      <x:c r="D27" s="25" t="n">
        <x:v>19</x:v>
      </x:c>
      <x:c r="E27" s="28" t="n">
        <x:v>0.6333333333333333</x:v>
      </x:c>
      <x:c r="F27" s="43" t="str">
        <x:v>Coverage/composition diagnostic; not historical prevalence.</x:v>
      </x:c>
    </x:row>
    <x:row r="28" ht="30" customHeight="1">
      <x:c r="A28" s="18" t="str">
        <x:v>1938</x:v>
      </x:c>
      <x:c r="B28" s="19" t="str">
        <x:v>NGRAM_STATUS</x:v>
      </x:c>
      <x:c r="C28" s="31" t="str">
        <x:v>ZERO_RESULT</x:v>
      </x:c>
      <x:c r="D28" s="25" t="n">
        <x:v>6</x:v>
      </x:c>
      <x:c r="E28" s="28" t="n">
        <x:v>0.2</x:v>
      </x:c>
      <x:c r="F28" s="43" t="str">
        <x:v>Coverage/composition diagnostic; not historical prevalence.</x:v>
      </x:c>
    </x:row>
    <x:row r="29" ht="30" customHeight="1">
      <x:c r="A29" s="18" t="str">
        <x:v>1938</x:v>
      </x:c>
      <x:c r="B29" s="19" t="str">
        <x:v>BOUNDED_SEARCH_STATUS</x:v>
      </x:c>
      <x:c r="C29" s="31" t="str">
        <x:v>COMPLETED_NONZERO</x:v>
      </x:c>
      <x:c r="D29" s="25" t="n">
        <x:v>20</x:v>
      </x:c>
      <x:c r="E29" s="28" t="n">
        <x:v>0.6666666666666666</x:v>
      </x:c>
      <x:c r="F29" s="43" t="str">
        <x:v>Coverage/composition diagnostic; not historical prevalence.</x:v>
      </x:c>
    </x:row>
    <x:row r="30" ht="30" customHeight="1">
      <x:c r="A30" s="18" t="str">
        <x:v>1938</x:v>
      </x:c>
      <x:c r="B30" s="19" t="str">
        <x:v>BOUNDED_SEARCH_STATUS</x:v>
      </x:c>
      <x:c r="C30" s="31" t="str">
        <x:v>ZERO_RESULT</x:v>
      </x:c>
      <x:c r="D30" s="25" t="n">
        <x:v>10</x:v>
      </x:c>
      <x:c r="E30" s="28" t="n">
        <x:v>0.3333333333333333</x:v>
      </x:c>
      <x:c r="F30" s="43" t="str">
        <x:v>Coverage/composition diagnostic; not historical prevalence.</x:v>
      </x:c>
    </x:row>
    <x:row r="31" ht="30" customHeight="1">
      <x:c r="A31" s="18" t="str">
        <x:v>1938</x:v>
      </x:c>
      <x:c r="B31" s="19" t="str">
        <x:v>PROVENANCE_COMPLETENESS</x:v>
      </x:c>
      <x:c r="C31" s="31" t="str">
        <x:v>RECONSTRUCTED_FROM_REPORT</x:v>
      </x:c>
      <x:c r="D31" s="25" t="n">
        <x:v>30</x:v>
      </x:c>
      <x:c r="E31" s="28" t="n">
        <x:v>1</x:v>
      </x:c>
      <x:c r="F31" s="43" t="str">
        <x:v>Coverage/composition diagnostic; not historical prevalence.</x:v>
      </x:c>
    </x:row>
    <x:row r="32" ht="30" customHeight="1">
      <x:c r="A32" s="18" t="str">
        <x:v>1988</x:v>
      </x:c>
      <x:c r="B32" s="19" t="str">
        <x:v>VOICE_COVERAGE</x:v>
      </x:c>
      <x:c r="C32" s="31" t="str">
        <x:v>V1</x:v>
      </x:c>
      <x:c r="D32" s="25" t="n">
        <x:v>14</x:v>
      </x:c>
      <x:c r="E32" s="28" t="n">
        <x:v>0.4666666666666667</x:v>
      </x:c>
      <x:c r="F32" s="43" t="str">
        <x:v>Coverage/composition diagnostic; not historical prevalence.</x:v>
      </x:c>
    </x:row>
    <x:row r="33" ht="30" customHeight="1">
      <x:c r="A33" s="18" t="str">
        <x:v>1988</x:v>
      </x:c>
      <x:c r="B33" s="19" t="str">
        <x:v>VOICE_COVERAGE</x:v>
      </x:c>
      <x:c r="C33" s="31" t="str">
        <x:v>V2</x:v>
      </x:c>
      <x:c r="D33" s="25" t="n">
        <x:v>13</x:v>
      </x:c>
      <x:c r="E33" s="28" t="n">
        <x:v>0.43333333333333335</x:v>
      </x:c>
      <x:c r="F33" s="43" t="str">
        <x:v>Coverage/composition diagnostic; not historical prevalence.</x:v>
      </x:c>
    </x:row>
    <x:row r="34" ht="30" customHeight="1">
      <x:c r="A34" s="18" t="str">
        <x:v>1988</x:v>
      </x:c>
      <x:c r="B34" s="19" t="str">
        <x:v>VOICE_COVERAGE</x:v>
      </x:c>
      <x:c r="C34" s="31" t="str">
        <x:v>V3</x:v>
      </x:c>
      <x:c r="D34" s="25" t="n">
        <x:v>3</x:v>
      </x:c>
      <x:c r="E34" s="28" t="n">
        <x:v>0.1</x:v>
      </x:c>
      <x:c r="F34" s="43" t="str">
        <x:v>Coverage/composition diagnostic; not historical prevalence.</x:v>
      </x:c>
    </x:row>
    <x:row r="35" ht="30" customHeight="1">
      <x:c r="A35" s="18" t="str">
        <x:v>1988</x:v>
      </x:c>
      <x:c r="B35" s="19" t="str">
        <x:v>EXPRESSION_MODE_COMPLETENESS</x:v>
      </x:c>
      <x:c r="C35" s="31" t="str">
        <x:v>E1</x:v>
      </x:c>
      <x:c r="D35" s="25" t="n">
        <x:v>1</x:v>
      </x:c>
      <x:c r="E35" s="28" t="n">
        <x:v>0.03333333333333333</x:v>
      </x:c>
      <x:c r="F35" s="43" t="str">
        <x:v>Coverage/composition diagnostic; not historical prevalence.</x:v>
      </x:c>
    </x:row>
    <x:row r="36" ht="30" customHeight="1">
      <x:c r="A36" s="18" t="str">
        <x:v>1988</x:v>
      </x:c>
      <x:c r="B36" s="19" t="str">
        <x:v>EXPRESSION_MODE_COMPLETENESS</x:v>
      </x:c>
      <x:c r="C36" s="31" t="str">
        <x:v>E5</x:v>
      </x:c>
      <x:c r="D36" s="25" t="n">
        <x:v>29</x:v>
      </x:c>
      <x:c r="E36" s="28" t="n">
        <x:v>0.9666666666666667</x:v>
      </x:c>
      <x:c r="F36" s="43" t="str">
        <x:v>Coverage/composition diagnostic; not historical prevalence.</x:v>
      </x:c>
    </x:row>
    <x:row r="37" ht="30" customHeight="1">
      <x:c r="A37" s="18" t="str">
        <x:v>1988</x:v>
      </x:c>
      <x:c r="B37" s="19" t="str">
        <x:v>DICTIONARY_STATUS</x:v>
      </x:c>
      <x:c r="C37" s="31" t="str">
        <x:v>DIRECT_HEADWORD</x:v>
      </x:c>
      <x:c r="D37" s="25" t="n">
        <x:v>1</x:v>
      </x:c>
      <x:c r="E37" s="28" t="n">
        <x:v>0.03333333333333333</x:v>
      </x:c>
      <x:c r="F37" s="43" t="str">
        <x:v>Coverage/composition diagnostic; not historical prevalence.</x:v>
      </x:c>
    </x:row>
    <x:row r="38" ht="30" customHeight="1">
      <x:c r="A38" s="18" t="str">
        <x:v>1988</x:v>
      </x:c>
      <x:c r="B38" s="19" t="str">
        <x:v>DICTIONARY_STATUS</x:v>
      </x:c>
      <x:c r="C38" s="31" t="str">
        <x:v>NO_STANDALONE_HEADWORD</x:v>
      </x:c>
      <x:c r="D38" s="25" t="n">
        <x:v>21</x:v>
      </x:c>
      <x:c r="E38" s="28" t="n">
        <x:v>0.7</x:v>
      </x:c>
      <x:c r="F38" s="43" t="str">
        <x:v>Coverage/composition diagnostic; not historical prevalence.</x:v>
      </x:c>
    </x:row>
    <x:row r="39" ht="30" customHeight="1">
      <x:c r="A39" s="18" t="str">
        <x:v>1988</x:v>
      </x:c>
      <x:c r="B39" s="19" t="str">
        <x:v>DICTIONARY_STATUS</x:v>
      </x:c>
      <x:c r="C39" s="31" t="str">
        <x:v>TECHNICAL_GLOSSARY</x:v>
      </x:c>
      <x:c r="D39" s="25" t="n">
        <x:v>8</x:v>
      </x:c>
      <x:c r="E39" s="28" t="n">
        <x:v>0.26666666666666666</x:v>
      </x:c>
      <x:c r="F39" s="43" t="str">
        <x:v>Coverage/composition diagnostic; not historical prevalence.</x:v>
      </x:c>
    </x:row>
    <x:row r="40" ht="30" customHeight="1">
      <x:c r="A40" s="18" t="str">
        <x:v>1988</x:v>
      </x:c>
      <x:c r="B40" s="19" t="str">
        <x:v>NGRAM_STATUS</x:v>
      </x:c>
      <x:c r="C40" s="31" t="str">
        <x:v>NOT_APPLICABLE</x:v>
      </x:c>
      <x:c r="D40" s="25" t="n">
        <x:v>1</x:v>
      </x:c>
      <x:c r="E40" s="28" t="n">
        <x:v>0.03333333333333333</x:v>
      </x:c>
      <x:c r="F40" s="43" t="str">
        <x:v>Coverage/composition diagnostic; not historical prevalence.</x:v>
      </x:c>
    </x:row>
    <x:row r="41" ht="30" customHeight="1">
      <x:c r="A41" s="18" t="str">
        <x:v>1988</x:v>
      </x:c>
      <x:c r="B41" s="19" t="str">
        <x:v>NGRAM_STATUS</x:v>
      </x:c>
      <x:c r="C41" s="31" t="str">
        <x:v>SUCCEEDED_NEW</x:v>
      </x:c>
      <x:c r="D41" s="25" t="n">
        <x:v>8</x:v>
      </x:c>
      <x:c r="E41" s="28" t="n">
        <x:v>0.26666666666666666</x:v>
      </x:c>
      <x:c r="F41" s="43" t="str">
        <x:v>Coverage/composition diagnostic; not historical prevalence.</x:v>
      </x:c>
    </x:row>
    <x:row r="42" ht="30" customHeight="1">
      <x:c r="A42" s="18" t="str">
        <x:v>1988</x:v>
      </x:c>
      <x:c r="B42" s="19" t="str">
        <x:v>NGRAM_STATUS</x:v>
      </x:c>
      <x:c r="C42" s="31" t="str">
        <x:v>SUCCEEDED_REUSED_BASELINE</x:v>
      </x:c>
      <x:c r="D42" s="25" t="n">
        <x:v>19</x:v>
      </x:c>
      <x:c r="E42" s="28" t="n">
        <x:v>0.6333333333333333</x:v>
      </x:c>
      <x:c r="F42" s="43" t="str">
        <x:v>Coverage/composition diagnostic; not historical prevalence.</x:v>
      </x:c>
    </x:row>
    <x:row r="43" ht="30" customHeight="1">
      <x:c r="A43" s="18" t="str">
        <x:v>1988</x:v>
      </x:c>
      <x:c r="B43" s="19" t="str">
        <x:v>NGRAM_STATUS</x:v>
      </x:c>
      <x:c r="C43" s="31" t="str">
        <x:v>ZERO_RESULT</x:v>
      </x:c>
      <x:c r="D43" s="25" t="n">
        <x:v>2</x:v>
      </x:c>
      <x:c r="E43" s="28" t="n">
        <x:v>0.06666666666666667</x:v>
      </x:c>
      <x:c r="F43" s="43" t="str">
        <x:v>Coverage/composition diagnostic; not historical prevalence.</x:v>
      </x:c>
    </x:row>
    <x:row r="44" ht="30" customHeight="1">
      <x:c r="A44" s="18" t="str">
        <x:v>1988</x:v>
      </x:c>
      <x:c r="B44" s="19" t="str">
        <x:v>BOUNDED_SEARCH_STATUS</x:v>
      </x:c>
      <x:c r="C44" s="31" t="str">
        <x:v>COMPLETED_NONZERO</x:v>
      </x:c>
      <x:c r="D44" s="25" t="n">
        <x:v>21</x:v>
      </x:c>
      <x:c r="E44" s="28" t="n">
        <x:v>0.7</x:v>
      </x:c>
      <x:c r="F44" s="43" t="str">
        <x:v>Coverage/composition diagnostic; not historical prevalence.</x:v>
      </x:c>
    </x:row>
    <x:row r="45" ht="30" customHeight="1">
      <x:c r="A45" s="18" t="str">
        <x:v>1988</x:v>
      </x:c>
      <x:c r="B45" s="19" t="str">
        <x:v>BOUNDED_SEARCH_STATUS</x:v>
      </x:c>
      <x:c r="C45" s="31" t="str">
        <x:v>ZERO_RESULT</x:v>
      </x:c>
      <x:c r="D45" s="25" t="n">
        <x:v>9</x:v>
      </x:c>
      <x:c r="E45" s="28" t="n">
        <x:v>0.3</x:v>
      </x:c>
      <x:c r="F45" s="43" t="str">
        <x:v>Coverage/composition diagnostic; not historical prevalence.</x:v>
      </x:c>
    </x:row>
    <x:row r="46" ht="30" customHeight="1">
      <x:c r="A46" s="18" t="str">
        <x:v>1988</x:v>
      </x:c>
      <x:c r="B46" s="19" t="str">
        <x:v>PROVENANCE_COMPLETENESS</x:v>
      </x:c>
      <x:c r="C46" s="31" t="str">
        <x:v>RECONSTRUCTED_FROM_REPORT</x:v>
      </x:c>
      <x:c r="D46" s="25" t="n">
        <x:v>30</x:v>
      </x:c>
      <x:c r="E46" s="28" t="n">
        <x:v>1</x:v>
      </x:c>
      <x:c r="F46" s="43" t="str">
        <x:v>Coverage/composition diagnostic; not historical prevalence.</x:v>
      </x:c>
    </x:row>
    <x:row r="47" ht="30" customHeight="1">
      <x:c r="A47" s="18" t="str">
        <x:v>2006–2007</x:v>
      </x:c>
      <x:c r="B47" s="19" t="str">
        <x:v>VOICE_COVERAGE</x:v>
      </x:c>
      <x:c r="C47" s="31" t="str">
        <x:v>V1</x:v>
      </x:c>
      <x:c r="D47" s="25" t="n">
        <x:v>9</x:v>
      </x:c>
      <x:c r="E47" s="28" t="n">
        <x:v>0.3</x:v>
      </x:c>
      <x:c r="F47" s="43" t="str">
        <x:v>Coverage/composition diagnostic; not historical prevalence.</x:v>
      </x:c>
    </x:row>
    <x:row r="48" ht="30" customHeight="1">
      <x:c r="A48" s="18" t="str">
        <x:v>2006–2007</x:v>
      </x:c>
      <x:c r="B48" s="19" t="str">
        <x:v>VOICE_COVERAGE</x:v>
      </x:c>
      <x:c r="C48" s="31" t="str">
        <x:v>V2</x:v>
      </x:c>
      <x:c r="D48" s="25" t="n">
        <x:v>10</x:v>
      </x:c>
      <x:c r="E48" s="28" t="n">
        <x:v>0.3333333333333333</x:v>
      </x:c>
      <x:c r="F48" s="43" t="str">
        <x:v>Coverage/composition diagnostic; not historical prevalence.</x:v>
      </x:c>
    </x:row>
    <x:row r="49" ht="30" customHeight="1">
      <x:c r="A49" s="18" t="str">
        <x:v>2006–2007</x:v>
      </x:c>
      <x:c r="B49" s="19" t="str">
        <x:v>VOICE_COVERAGE</x:v>
      </x:c>
      <x:c r="C49" s="31" t="str">
        <x:v>V3</x:v>
      </x:c>
      <x:c r="D49" s="25" t="n">
        <x:v>2</x:v>
      </x:c>
      <x:c r="E49" s="28" t="n">
        <x:v>0.06666666666666667</x:v>
      </x:c>
      <x:c r="F49" s="43" t="str">
        <x:v>Coverage/composition diagnostic; not historical prevalence.</x:v>
      </x:c>
    </x:row>
    <x:row r="50" ht="30" customHeight="1">
      <x:c r="A50" s="18" t="str">
        <x:v>2006–2007</x:v>
      </x:c>
      <x:c r="B50" s="19" t="str">
        <x:v>VOICE_COVERAGE</x:v>
      </x:c>
      <x:c r="C50" s="31" t="str">
        <x:v>V4</x:v>
      </x:c>
      <x:c r="D50" s="25" t="n">
        <x:v>2</x:v>
      </x:c>
      <x:c r="E50" s="28" t="n">
        <x:v>0.06666666666666667</x:v>
      </x:c>
      <x:c r="F50" s="43" t="str">
        <x:v>Coverage/composition diagnostic; not historical prevalence.</x:v>
      </x:c>
    </x:row>
    <x:row r="51" ht="30" customHeight="1">
      <x:c r="A51" s="18" t="str">
        <x:v>2006–2007</x:v>
      </x:c>
      <x:c r="B51" s="19" t="str">
        <x:v>VOICE_COVERAGE</x:v>
      </x:c>
      <x:c r="C51" s="31" t="str">
        <x:v>V5</x:v>
      </x:c>
      <x:c r="D51" s="25" t="n">
        <x:v>7</x:v>
      </x:c>
      <x:c r="E51" s="28" t="n">
        <x:v>0.23333333333333334</x:v>
      </x:c>
      <x:c r="F51" s="43" t="str">
        <x:v>Coverage/composition diagnostic; not historical prevalence.</x:v>
      </x:c>
    </x:row>
    <x:row r="52" ht="30" customHeight="1">
      <x:c r="A52" s="18" t="str">
        <x:v>2006–2007</x:v>
      </x:c>
      <x:c r="B52" s="19" t="str">
        <x:v>EXPRESSION_MODE_COMPLETENESS</x:v>
      </x:c>
      <x:c r="C52" s="31" t="str">
        <x:v>E1</x:v>
      </x:c>
      <x:c r="D52" s="25" t="n">
        <x:v>1</x:v>
      </x:c>
      <x:c r="E52" s="28" t="n">
        <x:v>0.03333333333333333</x:v>
      </x:c>
      <x:c r="F52" s="43" t="str">
        <x:v>Coverage/composition diagnostic; not historical prevalence.</x:v>
      </x:c>
    </x:row>
    <x:row r="53" ht="30" customHeight="1">
      <x:c r="A53" s="18" t="str">
        <x:v>2006–2007</x:v>
      </x:c>
      <x:c r="B53" s="19" t="str">
        <x:v>EXPRESSION_MODE_COMPLETENESS</x:v>
      </x:c>
      <x:c r="C53" s="31" t="str">
        <x:v>E3</x:v>
      </x:c>
      <x:c r="D53" s="25" t="n">
        <x:v>1</x:v>
      </x:c>
      <x:c r="E53" s="28" t="n">
        <x:v>0.03333333333333333</x:v>
      </x:c>
      <x:c r="F53" s="43" t="str">
        <x:v>Coverage/composition diagnostic; not historical prevalence.</x:v>
      </x:c>
    </x:row>
    <x:row r="54" ht="30" customHeight="1">
      <x:c r="A54" s="18" t="str">
        <x:v>2006–2007</x:v>
      </x:c>
      <x:c r="B54" s="19" t="str">
        <x:v>EXPRESSION_MODE_COMPLETENESS</x:v>
      </x:c>
      <x:c r="C54" s="31" t="str">
        <x:v>E5</x:v>
      </x:c>
      <x:c r="D54" s="25" t="n">
        <x:v>28</x:v>
      </x:c>
      <x:c r="E54" s="28" t="n">
        <x:v>0.9333333333333333</x:v>
      </x:c>
      <x:c r="F54" s="43" t="str">
        <x:v>Coverage/composition diagnostic; not historical prevalence.</x:v>
      </x:c>
    </x:row>
    <x:row r="55" ht="30" customHeight="1">
      <x:c r="A55" s="18" t="str">
        <x:v>2006–2007</x:v>
      </x:c>
      <x:c r="B55" s="19" t="str">
        <x:v>DICTIONARY_STATUS</x:v>
      </x:c>
      <x:c r="C55" s="31" t="str">
        <x:v>DIRECT_HEADWORD</x:v>
      </x:c>
      <x:c r="D55" s="25" t="n">
        <x:v>4</x:v>
      </x:c>
      <x:c r="E55" s="28" t="n">
        <x:v>0.13333333333333333</x:v>
      </x:c>
      <x:c r="F55" s="43" t="str">
        <x:v>Coverage/composition diagnostic; not historical prevalence.</x:v>
      </x:c>
    </x:row>
    <x:row r="56" ht="30" customHeight="1">
      <x:c r="A56" s="18" t="str">
        <x:v>2006–2007</x:v>
      </x:c>
      <x:c r="B56" s="19" t="str">
        <x:v>DICTIONARY_STATUS</x:v>
      </x:c>
      <x:c r="C56" s="31" t="str">
        <x:v>NO_STANDALONE_HEADWORD</x:v>
      </x:c>
      <x:c r="D56" s="25" t="n">
        <x:v>15</x:v>
      </x:c>
      <x:c r="E56" s="28" t="n">
        <x:v>0.5</x:v>
      </x:c>
      <x:c r="F56" s="43" t="str">
        <x:v>Coverage/composition diagnostic; not historical prevalence.</x:v>
      </x:c>
    </x:row>
    <x:row r="57" ht="30" customHeight="1">
      <x:c r="A57" s="18" t="str">
        <x:v>2006–2007</x:v>
      </x:c>
      <x:c r="B57" s="19" t="str">
        <x:v>DICTIONARY_STATUS</x:v>
      </x:c>
      <x:c r="C57" s="31" t="str">
        <x:v>TECHNICAL_GLOSSARY</x:v>
      </x:c>
      <x:c r="D57" s="25" t="n">
        <x:v>11</x:v>
      </x:c>
      <x:c r="E57" s="28" t="n">
        <x:v>0.36666666666666664</x:v>
      </x:c>
      <x:c r="F57" s="43" t="str">
        <x:v>Coverage/composition diagnostic; not historical prevalence.</x:v>
      </x:c>
    </x:row>
    <x:row r="58" ht="30" customHeight="1">
      <x:c r="A58" s="18" t="str">
        <x:v>2006–2007</x:v>
      </x:c>
      <x:c r="B58" s="19" t="str">
        <x:v>NGRAM_STATUS</x:v>
      </x:c>
      <x:c r="C58" s="31" t="str">
        <x:v>SUCCEEDED_NEW</x:v>
      </x:c>
      <x:c r="D58" s="25" t="n">
        <x:v>8</x:v>
      </x:c>
      <x:c r="E58" s="28" t="n">
        <x:v>0.26666666666666666</x:v>
      </x:c>
      <x:c r="F58" s="43" t="str">
        <x:v>Coverage/composition diagnostic; not historical prevalence.</x:v>
      </x:c>
    </x:row>
    <x:row r="59" ht="30" customHeight="1">
      <x:c r="A59" s="18" t="str">
        <x:v>2006–2007</x:v>
      </x:c>
      <x:c r="B59" s="19" t="str">
        <x:v>NGRAM_STATUS</x:v>
      </x:c>
      <x:c r="C59" s="31" t="str">
        <x:v>SUCCEEDED_REUSED_BASELINE</x:v>
      </x:c>
      <x:c r="D59" s="25" t="n">
        <x:v>20</x:v>
      </x:c>
      <x:c r="E59" s="28" t="n">
        <x:v>0.6666666666666666</x:v>
      </x:c>
      <x:c r="F59" s="43" t="str">
        <x:v>Coverage/composition diagnostic; not historical prevalence.</x:v>
      </x:c>
    </x:row>
    <x:row r="60" ht="30" customHeight="1">
      <x:c r="A60" s="18" t="str">
        <x:v>2006–2007</x:v>
      </x:c>
      <x:c r="B60" s="19" t="str">
        <x:v>NGRAM_STATUS</x:v>
      </x:c>
      <x:c r="C60" s="31" t="str">
        <x:v>ZERO_RESULT</x:v>
      </x:c>
      <x:c r="D60" s="25" t="n">
        <x:v>2</x:v>
      </x:c>
      <x:c r="E60" s="28" t="n">
        <x:v>0.06666666666666667</x:v>
      </x:c>
      <x:c r="F60" s="43" t="str">
        <x:v>Coverage/composition diagnostic; not historical prevalence.</x:v>
      </x:c>
    </x:row>
    <x:row r="61" ht="30" customHeight="1">
      <x:c r="A61" s="18" t="str">
        <x:v>2006–2007</x:v>
      </x:c>
      <x:c r="B61" s="19" t="str">
        <x:v>BOUNDED_SEARCH_STATUS</x:v>
      </x:c>
      <x:c r="C61" s="31" t="str">
        <x:v>COMPLETED_NONZERO</x:v>
      </x:c>
      <x:c r="D61" s="25" t="n">
        <x:v>22</x:v>
      </x:c>
      <x:c r="E61" s="28" t="n">
        <x:v>0.7333333333333333</x:v>
      </x:c>
      <x:c r="F61" s="43" t="str">
        <x:v>Coverage/composition diagnostic; not historical prevalence.</x:v>
      </x:c>
    </x:row>
    <x:row r="62" ht="30" customHeight="1">
      <x:c r="A62" s="18" t="str">
        <x:v>2006–2007</x:v>
      </x:c>
      <x:c r="B62" s="19" t="str">
        <x:v>BOUNDED_SEARCH_STATUS</x:v>
      </x:c>
      <x:c r="C62" s="31" t="str">
        <x:v>ZERO_RESULT</x:v>
      </x:c>
      <x:c r="D62" s="25" t="n">
        <x:v>8</x:v>
      </x:c>
      <x:c r="E62" s="28" t="n">
        <x:v>0.26666666666666666</x:v>
      </x:c>
      <x:c r="F62" s="43" t="str">
        <x:v>Coverage/composition diagnostic; not historical prevalence.</x:v>
      </x:c>
    </x:row>
    <x:row r="63" ht="30" customHeight="1">
      <x:c r="A63" s="18" t="str">
        <x:v>2006–2007</x:v>
      </x:c>
      <x:c r="B63" s="19" t="str">
        <x:v>PROVENANCE_COMPLETENESS</x:v>
      </x:c>
      <x:c r="C63" s="31" t="str">
        <x:v>RECONSTRUCTED_FROM_REPORT</x:v>
      </x:c>
      <x:c r="D63" s="25" t="n">
        <x:v>30</x:v>
      </x:c>
      <x:c r="E63" s="28" t="n">
        <x:v>1</x:v>
      </x:c>
      <x:c r="F63" s="43" t="str">
        <x:v>Coverage/composition diagnostic; not historical prevalence.</x:v>
      </x:c>
    </x:row>
    <x:row r="64" ht="30" customHeight="1">
      <x:c r="A64" s="18" t="str">
        <x:v>2015</x:v>
      </x:c>
      <x:c r="B64" s="19" t="str">
        <x:v>VOICE_COVERAGE</x:v>
      </x:c>
      <x:c r="C64" s="31" t="str">
        <x:v>V2</x:v>
      </x:c>
      <x:c r="D64" s="25" t="n">
        <x:v>24</x:v>
      </x:c>
      <x:c r="E64" s="28" t="n">
        <x:v>0.8</x:v>
      </x:c>
      <x:c r="F64" s="43" t="str">
        <x:v>Coverage/composition diagnostic; not historical prevalence.</x:v>
      </x:c>
    </x:row>
    <x:row r="65" ht="30" customHeight="1">
      <x:c r="A65" s="18" t="str">
        <x:v>2015</x:v>
      </x:c>
      <x:c r="B65" s="19" t="str">
        <x:v>VOICE_COVERAGE</x:v>
      </x:c>
      <x:c r="C65" s="31" t="str">
        <x:v>V4</x:v>
      </x:c>
      <x:c r="D65" s="25" t="n">
        <x:v>1</x:v>
      </x:c>
      <x:c r="E65" s="28" t="n">
        <x:v>0.03333333333333333</x:v>
      </x:c>
      <x:c r="F65" s="43" t="str">
        <x:v>Coverage/composition diagnostic; not historical prevalence.</x:v>
      </x:c>
    </x:row>
    <x:row r="66" ht="30" customHeight="1">
      <x:c r="A66" s="18" t="str">
        <x:v>2015</x:v>
      </x:c>
      <x:c r="B66" s="19" t="str">
        <x:v>VOICE_COVERAGE</x:v>
      </x:c>
      <x:c r="C66" s="31" t="str">
        <x:v>V5</x:v>
      </x:c>
      <x:c r="D66" s="25" t="n">
        <x:v>5</x:v>
      </x:c>
      <x:c r="E66" s="28" t="n">
        <x:v>0.16666666666666666</x:v>
      </x:c>
      <x:c r="F66" s="43" t="str">
        <x:v>Coverage/composition diagnostic; not historical prevalence.</x:v>
      </x:c>
    </x:row>
    <x:row r="67" ht="30" customHeight="1">
      <x:c r="A67" s="18" t="str">
        <x:v>2015</x:v>
      </x:c>
      <x:c r="B67" s="19" t="str">
        <x:v>EXPRESSION_MODE_COMPLETENESS</x:v>
      </x:c>
      <x:c r="C67" s="31" t="str">
        <x:v>E1</x:v>
      </x:c>
      <x:c r="D67" s="25" t="n">
        <x:v>1</x:v>
      </x:c>
      <x:c r="E67" s="28" t="n">
        <x:v>0.03333333333333333</x:v>
      </x:c>
      <x:c r="F67" s="43" t="str">
        <x:v>Coverage/composition diagnostic; not historical prevalence.</x:v>
      </x:c>
    </x:row>
    <x:row r="68" ht="30" customHeight="1">
      <x:c r="A68" s="18" t="str">
        <x:v>2015</x:v>
      </x:c>
      <x:c r="B68" s="19" t="str">
        <x:v>EXPRESSION_MODE_COMPLETENESS</x:v>
      </x:c>
      <x:c r="C68" s="31" t="str">
        <x:v>E5</x:v>
      </x:c>
      <x:c r="D68" s="25" t="n">
        <x:v>29</x:v>
      </x:c>
      <x:c r="E68" s="28" t="n">
        <x:v>0.9666666666666667</x:v>
      </x:c>
      <x:c r="F68" s="43" t="str">
        <x:v>Coverage/composition diagnostic; not historical prevalence.</x:v>
      </x:c>
    </x:row>
    <x:row r="69" ht="30" customHeight="1">
      <x:c r="A69" s="18" t="str">
        <x:v>2015</x:v>
      </x:c>
      <x:c r="B69" s="19" t="str">
        <x:v>DICTIONARY_STATUS</x:v>
      </x:c>
      <x:c r="C69" s="31" t="str">
        <x:v>NO_STANDALONE_HEADWORD</x:v>
      </x:c>
      <x:c r="D69" s="25" t="n">
        <x:v>13</x:v>
      </x:c>
      <x:c r="E69" s="28" t="n">
        <x:v>0.43333333333333335</x:v>
      </x:c>
      <x:c r="F69" s="43" t="str">
        <x:v>Coverage/composition diagnostic; not historical prevalence.</x:v>
      </x:c>
    </x:row>
    <x:row r="70" ht="30" customHeight="1">
      <x:c r="A70" s="18" t="str">
        <x:v>2015</x:v>
      </x:c>
      <x:c r="B70" s="19" t="str">
        <x:v>DICTIONARY_STATUS</x:v>
      </x:c>
      <x:c r="C70" s="31" t="str">
        <x:v>TECHNICAL_GLOSSARY</x:v>
      </x:c>
      <x:c r="D70" s="25" t="n">
        <x:v>17</x:v>
      </x:c>
      <x:c r="E70" s="28" t="n">
        <x:v>0.5666666666666667</x:v>
      </x:c>
      <x:c r="F70" s="43" t="str">
        <x:v>Coverage/composition diagnostic; not historical prevalence.</x:v>
      </x:c>
    </x:row>
    <x:row r="71" ht="30" customHeight="1">
      <x:c r="A71" s="18" t="str">
        <x:v>2015</x:v>
      </x:c>
      <x:c r="B71" s="19" t="str">
        <x:v>NGRAM_STATUS</x:v>
      </x:c>
      <x:c r="C71" s="31" t="str">
        <x:v>SUCCEEDED_NEW</x:v>
      </x:c>
      <x:c r="D71" s="25" t="n">
        <x:v>6</x:v>
      </x:c>
      <x:c r="E71" s="28" t="n">
        <x:v>0.2</x:v>
      </x:c>
      <x:c r="F71" s="43" t="str">
        <x:v>Coverage/composition diagnostic; not historical prevalence.</x:v>
      </x:c>
    </x:row>
    <x:row r="72" ht="30" customHeight="1">
      <x:c r="A72" s="18" t="str">
        <x:v>2015</x:v>
      </x:c>
      <x:c r="B72" s="19" t="str">
        <x:v>NGRAM_STATUS</x:v>
      </x:c>
      <x:c r="C72" s="31" t="str">
        <x:v>SUCCEEDED_REUSED_BASELINE</x:v>
      </x:c>
      <x:c r="D72" s="25" t="n">
        <x:v>21</x:v>
      </x:c>
      <x:c r="E72" s="28" t="n">
        <x:v>0.7</x:v>
      </x:c>
      <x:c r="F72" s="43" t="str">
        <x:v>Coverage/composition diagnostic; not historical prevalence.</x:v>
      </x:c>
    </x:row>
    <x:row r="73" ht="30" customHeight="1">
      <x:c r="A73" s="18" t="str">
        <x:v>2015</x:v>
      </x:c>
      <x:c r="B73" s="19" t="str">
        <x:v>NGRAM_STATUS</x:v>
      </x:c>
      <x:c r="C73" s="31" t="str">
        <x:v>ZERO_RESULT</x:v>
      </x:c>
      <x:c r="D73" s="25" t="n">
        <x:v>3</x:v>
      </x:c>
      <x:c r="E73" s="28" t="n">
        <x:v>0.1</x:v>
      </x:c>
      <x:c r="F73" s="43" t="str">
        <x:v>Coverage/composition diagnostic; not historical prevalence.</x:v>
      </x:c>
    </x:row>
    <x:row r="74" ht="30" customHeight="1">
      <x:c r="A74" s="18" t="str">
        <x:v>2015</x:v>
      </x:c>
      <x:c r="B74" s="19" t="str">
        <x:v>BOUNDED_SEARCH_STATUS</x:v>
      </x:c>
      <x:c r="C74" s="31" t="str">
        <x:v>COMPLETED_NONZERO</x:v>
      </x:c>
      <x:c r="D74" s="25" t="n">
        <x:v>28</x:v>
      </x:c>
      <x:c r="E74" s="28" t="n">
        <x:v>0.9333333333333333</x:v>
      </x:c>
      <x:c r="F74" s="43" t="str">
        <x:v>Coverage/composition diagnostic; not historical prevalence.</x:v>
      </x:c>
    </x:row>
    <x:row r="75" ht="30" customHeight="1">
      <x:c r="A75" s="18" t="str">
        <x:v>2015</x:v>
      </x:c>
      <x:c r="B75" s="19" t="str">
        <x:v>BOUNDED_SEARCH_STATUS</x:v>
      </x:c>
      <x:c r="C75" s="31" t="str">
        <x:v>ZERO_RESULT</x:v>
      </x:c>
      <x:c r="D75" s="25" t="n">
        <x:v>2</x:v>
      </x:c>
      <x:c r="E75" s="28" t="n">
        <x:v>0.06666666666666667</x:v>
      </x:c>
      <x:c r="F75" s="43" t="str">
        <x:v>Coverage/composition diagnostic; not historical prevalence.</x:v>
      </x:c>
    </x:row>
    <x:row r="76" ht="30" customHeight="1">
      <x:c r="A76" s="18" t="str">
        <x:v>2015</x:v>
      </x:c>
      <x:c r="B76" s="19" t="str">
        <x:v>PROVENANCE_COMPLETENESS</x:v>
      </x:c>
      <x:c r="C76" s="31" t="str">
        <x:v>RECONSTRUCTED_FROM_REPORT</x:v>
      </x:c>
      <x:c r="D76" s="25" t="n">
        <x:v>30</x:v>
      </x:c>
      <x:c r="E76" s="28" t="n">
        <x:v>1</x:v>
      </x:c>
      <x:c r="F76" s="43" t="str">
        <x:v>Coverage/composition diagnostic; not historical prevalence.</x:v>
      </x:c>
    </x:row>
    <x:row r="77" ht="30" customHeight="1">
      <x:c r="A77" s="18" t="str">
        <x:v>2022</x:v>
      </x:c>
      <x:c r="B77" s="19" t="str">
        <x:v>VOICE_COVERAGE</x:v>
      </x:c>
      <x:c r="C77" s="31" t="str">
        <x:v>V1</x:v>
      </x:c>
      <x:c r="D77" s="25" t="n">
        <x:v>12</x:v>
      </x:c>
      <x:c r="E77" s="28" t="n">
        <x:v>0.4</x:v>
      </x:c>
      <x:c r="F77" s="43" t="str">
        <x:v>Coverage/composition diagnostic; not historical prevalence.</x:v>
      </x:c>
    </x:row>
    <x:row r="78" ht="30" customHeight="1">
      <x:c r="A78" s="18" t="str">
        <x:v>2022</x:v>
      </x:c>
      <x:c r="B78" s="19" t="str">
        <x:v>VOICE_COVERAGE</x:v>
      </x:c>
      <x:c r="C78" s="31" t="str">
        <x:v>V4</x:v>
      </x:c>
      <x:c r="D78" s="25" t="n">
        <x:v>1</x:v>
      </x:c>
      <x:c r="E78" s="28" t="n">
        <x:v>0.03333333333333333</x:v>
      </x:c>
      <x:c r="F78" s="43" t="str">
        <x:v>Coverage/composition diagnostic; not historical prevalence.</x:v>
      </x:c>
    </x:row>
    <x:row r="79" ht="30" customHeight="1">
      <x:c r="A79" s="18" t="str">
        <x:v>2022</x:v>
      </x:c>
      <x:c r="B79" s="19" t="str">
        <x:v>VOICE_COVERAGE</x:v>
      </x:c>
      <x:c r="C79" s="31" t="str">
        <x:v>V5</x:v>
      </x:c>
      <x:c r="D79" s="25" t="n">
        <x:v>17</x:v>
      </x:c>
      <x:c r="E79" s="28" t="n">
        <x:v>0.5666666666666667</x:v>
      </x:c>
      <x:c r="F79" s="43" t="str">
        <x:v>Coverage/composition diagnostic; not historical prevalence.</x:v>
      </x:c>
    </x:row>
    <x:row r="80" ht="30" customHeight="1">
      <x:c r="A80" s="18" t="str">
        <x:v>2022</x:v>
      </x:c>
      <x:c r="B80" s="19" t="str">
        <x:v>EXPRESSION_MODE_COMPLETENESS</x:v>
      </x:c>
      <x:c r="C80" s="31" t="str">
        <x:v>E3</x:v>
      </x:c>
      <x:c r="D80" s="25" t="n">
        <x:v>1</x:v>
      </x:c>
      <x:c r="E80" s="28" t="n">
        <x:v>0.03333333333333333</x:v>
      </x:c>
      <x:c r="F80" s="43" t="str">
        <x:v>Coverage/composition diagnostic; not historical prevalence.</x:v>
      </x:c>
    </x:row>
    <x:row r="81" ht="30" customHeight="1">
      <x:c r="A81" s="18" t="str">
        <x:v>2022</x:v>
      </x:c>
      <x:c r="B81" s="19" t="str">
        <x:v>EXPRESSION_MODE_COMPLETENESS</x:v>
      </x:c>
      <x:c r="C81" s="31" t="str">
        <x:v>E4</x:v>
      </x:c>
      <x:c r="D81" s="25" t="n">
        <x:v>1</x:v>
      </x:c>
      <x:c r="E81" s="28" t="n">
        <x:v>0.03333333333333333</x:v>
      </x:c>
      <x:c r="F81" s="43" t="str">
        <x:v>Coverage/composition diagnostic; not historical prevalence.</x:v>
      </x:c>
    </x:row>
    <x:row r="82" ht="30" customHeight="1">
      <x:c r="A82" s="18" t="str">
        <x:v>2022</x:v>
      </x:c>
      <x:c r="B82" s="19" t="str">
        <x:v>EXPRESSION_MODE_COMPLETENESS</x:v>
      </x:c>
      <x:c r="C82" s="31" t="str">
        <x:v>E5</x:v>
      </x:c>
      <x:c r="D82" s="25" t="n">
        <x:v>28</x:v>
      </x:c>
      <x:c r="E82" s="28" t="n">
        <x:v>0.9333333333333333</x:v>
      </x:c>
      <x:c r="F82" s="43" t="str">
        <x:v>Coverage/composition diagnostic; not historical prevalence.</x:v>
      </x:c>
    </x:row>
    <x:row r="83" ht="30" customHeight="1">
      <x:c r="A83" s="18" t="str">
        <x:v>2022</x:v>
      </x:c>
      <x:c r="B83" s="19" t="str">
        <x:v>DICTIONARY_STATUS</x:v>
      </x:c>
      <x:c r="C83" s="31" t="str">
        <x:v>DIRECT_HEADWORD</x:v>
      </x:c>
      <x:c r="D83" s="25" t="n">
        <x:v>14</x:v>
      </x:c>
      <x:c r="E83" s="28" t="n">
        <x:v>0.4666666666666667</x:v>
      </x:c>
      <x:c r="F83" s="43" t="str">
        <x:v>Coverage/composition diagnostic; not historical prevalence.</x:v>
      </x:c>
    </x:row>
    <x:row r="84" ht="30" customHeight="1">
      <x:c r="A84" s="18" t="str">
        <x:v>2022</x:v>
      </x:c>
      <x:c r="B84" s="19" t="str">
        <x:v>DICTIONARY_STATUS</x:v>
      </x:c>
      <x:c r="C84" s="31" t="str">
        <x:v>NO_STANDALONE_HEADWORD</x:v>
      </x:c>
      <x:c r="D84" s="25" t="n">
        <x:v>9</x:v>
      </x:c>
      <x:c r="E84" s="28" t="n">
        <x:v>0.3</x:v>
      </x:c>
      <x:c r="F84" s="43" t="str">
        <x:v>Coverage/composition diagnostic; not historical prevalence.</x:v>
      </x:c>
    </x:row>
    <x:row r="85" ht="30" customHeight="1">
      <x:c r="A85" s="18" t="str">
        <x:v>2022</x:v>
      </x:c>
      <x:c r="B85" s="19" t="str">
        <x:v>DICTIONARY_STATUS</x:v>
      </x:c>
      <x:c r="C85" s="31" t="str">
        <x:v>TECHNICAL_GLOSSARY</x:v>
      </x:c>
      <x:c r="D85" s="25" t="n">
        <x:v>7</x:v>
      </x:c>
      <x:c r="E85" s="28" t="n">
        <x:v>0.23333333333333334</x:v>
      </x:c>
      <x:c r="F85" s="43" t="str">
        <x:v>Coverage/composition diagnostic; not historical prevalence.</x:v>
      </x:c>
    </x:row>
    <x:row r="86" ht="30" customHeight="1">
      <x:c r="A86" s="18" t="str">
        <x:v>2022</x:v>
      </x:c>
      <x:c r="B86" s="19" t="str">
        <x:v>NGRAM_STATUS</x:v>
      </x:c>
      <x:c r="C86" s="31" t="str">
        <x:v>SUCCEEDED_NEW</x:v>
      </x:c>
      <x:c r="D86" s="25" t="n">
        <x:v>8</x:v>
      </x:c>
      <x:c r="E86" s="28" t="n">
        <x:v>0.26666666666666666</x:v>
      </x:c>
      <x:c r="F86" s="43" t="str">
        <x:v>Coverage/composition diagnostic; not historical prevalence.</x:v>
      </x:c>
    </x:row>
    <x:row r="87" ht="30" customHeight="1">
      <x:c r="A87" s="18" t="str">
        <x:v>2022</x:v>
      </x:c>
      <x:c r="B87" s="19" t="str">
        <x:v>NGRAM_STATUS</x:v>
      </x:c>
      <x:c r="C87" s="31" t="str">
        <x:v>SUCCEEDED_REUSED_BASELINE</x:v>
      </x:c>
      <x:c r="D87" s="25" t="n">
        <x:v>22</x:v>
      </x:c>
      <x:c r="E87" s="28" t="n">
        <x:v>0.7333333333333333</x:v>
      </x:c>
      <x:c r="F87" s="43" t="str">
        <x:v>Coverage/composition diagnostic; not historical prevalence.</x:v>
      </x:c>
    </x:row>
    <x:row r="88" ht="30" customHeight="1">
      <x:c r="A88" s="18" t="str">
        <x:v>2022</x:v>
      </x:c>
      <x:c r="B88" s="19" t="str">
        <x:v>BOUNDED_SEARCH_STATUS</x:v>
      </x:c>
      <x:c r="C88" s="31" t="str">
        <x:v>COMPLETED_NONZERO</x:v>
      </x:c>
      <x:c r="D88" s="25" t="n">
        <x:v>29</x:v>
      </x:c>
      <x:c r="E88" s="28" t="n">
        <x:v>0.9666666666666667</x:v>
      </x:c>
      <x:c r="F88" s="43" t="str">
        <x:v>Coverage/composition diagnostic; not historical prevalence.</x:v>
      </x:c>
    </x:row>
    <x:row r="89" ht="30" customHeight="1">
      <x:c r="A89" s="18" t="str">
        <x:v>2022</x:v>
      </x:c>
      <x:c r="B89" s="19" t="str">
        <x:v>BOUNDED_SEARCH_STATUS</x:v>
      </x:c>
      <x:c r="C89" s="31" t="str">
        <x:v>ZERO_RESULT</x:v>
      </x:c>
      <x:c r="D89" s="25" t="n">
        <x:v>1</x:v>
      </x:c>
      <x:c r="E89" s="28" t="n">
        <x:v>0.03333333333333333</x:v>
      </x:c>
      <x:c r="F89" s="43" t="str">
        <x:v>Coverage/composition diagnostic; not historical prevalence.</x:v>
      </x:c>
    </x:row>
    <x:row r="90" ht="30" customHeight="1">
      <x:c r="A90" s="21" t="str">
        <x:v>2022</x:v>
      </x:c>
      <x:c r="B90" s="22" t="str">
        <x:v>PROVENANCE_COMPLETENESS</x:v>
      </x:c>
      <x:c r="C90" s="32" t="str">
        <x:v>RECONSTRUCTED_FROM_REPORT</x:v>
      </x:c>
      <x:c r="D90" s="26" t="n">
        <x:v>30</x:v>
      </x:c>
      <x:c r="E90" s="29" t="n">
        <x:v>1</x:v>
      </x:c>
      <x:c r="F90" s="44" t="str">
        <x:v>Coverage/composition diagnostic; not historical prevalence.</x:v>
      </x:c>
    </x:row>
  </x:sheetData>
  <x:mergeCells>
    <x:mergeCell ref="A1:H1"/>
    <x:mergeCell ref="A2:H2"/>
  </x:mergeCells>
  <x:conditionalFormatting sqref="C5:C90">
    <x:cfRule type="containsText" dxfId="36" priority="1" operator="containsText" text="COMPLETE"/>
    <x:cfRule type="containsText" dxfId="37" priority="2" operator="containsText" text="TRACEABLE"/>
    <x:cfRule type="containsText" dxfId="38" priority="3" operator="containsText" text="ZERO"/>
    <x:cfRule type="containsText" dxfId="39" priority="4" operator="containsText" text="UNRESOLVED"/>
    <x:cfRule type="containsText" dxfId="40" priority="5" operator="containsText" text="NOT_"/>
    <x:cfRule type="containsText" dxfId="41" priority="6" operator="containsText" text="PARTIAL"/>
  </x:conditionalFormatting>
  <x:pageMargins left="0.7" right="0.7" top="0.75" bottom="0.75" header="0.3" footer="0.3"/>
  <x:tableParts count="1">
    <x:tablePart xmlns:r="http://schemas.openxmlformats.org/officeDocument/2006/relationships" r:id="R080b259496d244b4"/>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24" hidden="0" customWidth="1"/>
    <x:col min="4" max="4" width="16" hidden="0" customWidth="1"/>
    <x:col min="5" max="5" width="16" hidden="0" customWidth="1"/>
    <x:col min="6" max="6" width="16" hidden="0" customWidth="1"/>
    <x:col min="7" max="7" width="25" hidden="0" customWidth="1"/>
    <x:col min="8" max="8" width="16" hidden="0" customWidth="1"/>
    <x:col min="9" max="9" width="16" hidden="0" customWidth="1"/>
    <x:col min="10" max="10" width="16" hidden="0" customWidth="1"/>
    <x:col min="11" max="11" width="16" hidden="0" customWidth="1"/>
    <x:col min="12" max="12" width="40" hidden="0" customWidth="1"/>
    <x:col min="13" max="13" width="16" hidden="0" customWidth="1"/>
    <x:col min="14" max="14" width="40" hidden="0" customWidth="1"/>
    <x:col min="15" max="15" width="23" hidden="0" customWidth="1"/>
    <x:col min="16" max="16" width="32" hidden="0" customWidth="1"/>
  </x:cols>
  <x:sheetData>
    <x:row r="1" ht="38" customHeight="1">
      <x:c r="A1" s="3" t="str">
        <x:v>Semantic-Analysis Shortlist</x:v>
      </x:c>
      <x:c r="B1" s="3" t="str">
        <x:v>Semantic-Analysis Shortlist</x:v>
      </x:c>
      <x:c r="C1" s="3" t="str">
        <x:v>Semantic-Analysis Shortlist</x:v>
      </x:c>
      <x:c r="D1" s="3" t="str">
        <x:v>Semantic-Analysis Shortlist</x:v>
      </x:c>
      <x:c r="E1" s="3" t="str">
        <x:v>Semantic-Analysis Shortlist</x:v>
      </x:c>
      <x:c r="F1" s="3" t="str">
        <x:v>Semantic-Analysis Shortlist</x:v>
      </x:c>
      <x:c r="G1" s="3" t="str">
        <x:v>Semantic-Analysis Shortlist</x:v>
      </x:c>
      <x:c r="H1" s="3" t="str">
        <x:v>Semantic-Analysis Shortlist</x:v>
      </x:c>
      <x:c r="I1" s="3" t="str">
        <x:v>Semantic-Analysis Shortlist</x:v>
      </x:c>
      <x:c r="J1" s="3" t="str">
        <x:v>Semantic-Analysis Shortlist</x:v>
      </x:c>
      <x:c r="K1" s="3" t="str">
        <x:v>Semantic-Analysis Shortlist</x:v>
      </x:c>
      <x:c r="L1" s="3" t="str">
        <x:v>Semantic-Analysis Shortlist</x:v>
      </x:c>
      <x:c r="M1" s="3" t="str">
        <x:v>Semantic-Analysis Shortlist</x:v>
      </x:c>
      <x:c r="N1" s="3" t="str">
        <x:v>Semantic-Analysis Shortlist</x:v>
      </x:c>
      <x:c r="O1" s="3" t="str">
        <x:v>Semantic-Analysis Shortlist</x:v>
      </x:c>
      <x:c r="P1" s="3" t="str">
        <x:v>Semantic-Analysis Shortlist</x:v>
      </x:c>
    </x:row>
    <x:row r="2" ht="32" customHeight="1">
      <x:c r="A2" s="7" t="str">
        <x:v>Evidence-based priorities for the next passage-level phase; this sheet does not begin the semantic pilot.</x:v>
      </x:c>
      <x:c r="B2" s="7" t="str">
        <x:v>Evidence-based priorities for the next passage-level phase; this sheet does not begin the semantic pilot.</x:v>
      </x:c>
      <x:c r="C2" s="7" t="str">
        <x:v>Evidence-based priorities for the next passage-level phase; this sheet does not begin the semantic pilot.</x:v>
      </x:c>
      <x:c r="D2" s="7" t="str">
        <x:v>Evidence-based priorities for the next passage-level phase; this sheet does not begin the semantic pilot.</x:v>
      </x:c>
      <x:c r="E2" s="7" t="str">
        <x:v>Evidence-based priorities for the next passage-level phase; this sheet does not begin the semantic pilot.</x:v>
      </x:c>
      <x:c r="F2" s="7" t="str">
        <x:v>Evidence-based priorities for the next passage-level phase; this sheet does not begin the semantic pilot.</x:v>
      </x:c>
      <x:c r="G2" s="7" t="str">
        <x:v>Evidence-based priorities for the next passage-level phase; this sheet does not begin the semantic pilot.</x:v>
      </x:c>
      <x:c r="H2" s="7" t="str">
        <x:v>Evidence-based priorities for the next passage-level phase; this sheet does not begin the semantic pilot.</x:v>
      </x:c>
      <x:c r="I2" s="7" t="str">
        <x:v>Evidence-based priorities for the next passage-level phase; this sheet does not begin the semantic pilot.</x:v>
      </x:c>
      <x:c r="J2" s="7" t="str">
        <x:v>Evidence-based priorities for the next passage-level phase; this sheet does not begin the semantic pilot.</x:v>
      </x:c>
      <x:c r="K2" s="7" t="str">
        <x:v>Evidence-based priorities for the next passage-level phase; this sheet does not begin the semantic pilot.</x:v>
      </x:c>
      <x:c r="L2" s="7" t="str">
        <x:v>Evidence-based priorities for the next passage-level phase; this sheet does not begin the semantic pilot.</x:v>
      </x:c>
      <x:c r="M2" s="7" t="str">
        <x:v>Evidence-based priorities for the next passage-level phase; this sheet does not begin the semantic pilot.</x:v>
      </x:c>
      <x:c r="N2" s="7" t="str">
        <x:v>Evidence-based priorities for the next passage-level phase; this sheet does not begin the semantic pilot.</x:v>
      </x:c>
      <x:c r="O2" s="7" t="str">
        <x:v>Evidence-based priorities for the next passage-level phase; this sheet does not begin the semantic pilot.</x:v>
      </x:c>
      <x:c r="P2" s="7" t="str">
        <x:v>Evidence-based priorities for the next passage-level phase; this sheet does not begin the semantic pilot.</x:v>
      </x:c>
    </x:row>
    <x:row r="4" ht="42" customHeight="1">
      <x:c r="A4" s="14" t="str">
        <x:v>priority</x:v>
      </x:c>
      <x:c r="B4" s="14" t="str">
        <x:v>term_or_family</x:v>
      </x:c>
      <x:c r="C4" s="14" t="str">
        <x:v>family</x:v>
      </x:c>
      <x:c r="D4" s="14" t="str">
        <x:v>anchors</x:v>
      </x:c>
      <x:c r="E4" s="14" t="str">
        <x:v>voices</x:v>
      </x:c>
      <x:c r="F4" s="14" t="str">
        <x:v>candidate_count</x:v>
      </x:c>
      <x:c r="G4" s="14" t="str">
        <x:v>candidate_ids</x:v>
      </x:c>
      <x:c r="H4" s="14" t="str">
        <x:v>query_terms</x:v>
      </x:c>
      <x:c r="I4" s="14" t="str">
        <x:v>observed_pattern_class</x:v>
      </x:c>
      <x:c r="J4" s="14" t="str">
        <x:v>observed_quantitative_pattern</x:v>
      </x:c>
      <x:c r="K4" s="14" t="str">
        <x:v>ambiguity_or_problem</x:v>
      </x:c>
      <x:c r="L4" s="14" t="str">
        <x:v>semantic_question</x:v>
      </x:c>
      <x:c r="M4" s="14" t="str">
        <x:v>recommended_passage_sample</x:v>
      </x:c>
      <x:c r="N4" s="14" t="str">
        <x:v>sample_note</x:v>
      </x:c>
      <x:c r="O4" s="14" t="str">
        <x:v>hypothesis_status</x:v>
      </x:c>
      <x:c r="P4" s="14" t="str">
        <x:v>data_sources</x:v>
      </x:c>
    </x:row>
    <x:row r="5" ht="36" customHeight="1">
      <x:c r="A5" s="15" t="str">
        <x:v>1</x:v>
      </x:c>
      <x:c r="B5" s="30" t="str">
        <x:v>temperature</x:v>
      </x:c>
      <x:c r="C5" s="30" t="str">
        <x:v>temperature_threshold</x:v>
      </x:c>
      <x:c r="D5" s="16" t="str">
        <x:v>1842</x:v>
      </x:c>
      <x:c r="E5" s="16" t="str">
        <x:v>V1</x:v>
      </x:c>
      <x:c r="F5" s="24" t="n">
        <x:v>1</x:v>
      </x:c>
      <x:c r="G5" s="30" t="str">
        <x:v>FT-SEED-R1B-P-1842-01</x:v>
      </x:c>
      <x:c r="H5" s="16" t="str">
        <x:v>temperature</x:v>
      </x:c>
      <x:c r="I5" s="16" t="str">
        <x:v>OBSERVED_CORPUS_PATTERN</x:v>
      </x:c>
      <x:c r="J5" s="16" t="str">
        <x:v>temperature: first nonzero 1842, peak 1962 at 182.8 per million, 2022 90.03 per million</x:v>
      </x:c>
      <x:c r="K5" s="16" t="str">
        <x:v>The generic series spans the full interval, but the Priority ledger distinguishes local measurement, means, global aggregates and thresholds.</x:v>
      </x:c>
      <x:c r="L5" s="30" t="str">
        <x:v>Which passages mark a shift from local/instrumental measurement to aggregate or governed temperature?</x:v>
      </x:c>
      <x:c r="M5" s="16" t="str">
        <x:v>14</x:v>
      </x:c>
      <x:c r="N5" s="30" t="str">
        <x:v>Planning count; overlapping passages may answer multiple shortlist questions.</x:v>
      </x:c>
      <x:c r="O5" s="30" t="str">
        <x:v>SEMANTIC_HYPOTHESIS_NOT_YET_TESTED</x:v>
      </x:c>
      <x:c r="P5" s="42" t="str">
        <x:v>candidate_analysis_180.csv; keyword_frequency_summary.csv; candidate_comparability.csv; candidate_relationship.csv</x:v>
      </x:c>
    </x:row>
    <x:row r="6" ht="36" customHeight="1">
      <x:c r="A6" s="18" t="str">
        <x:v>2</x:v>
      </x:c>
      <x:c r="B6" s="31" t="str">
        <x:v>heat</x:v>
      </x:c>
      <x:c r="C6" s="31" t="str">
        <x:v>heat</x:v>
      </x:c>
      <x:c r="D6" s="19" t="str">
        <x:v>1842; 1938; 1988</x:v>
      </x:c>
      <x:c r="E6" s="19" t="str">
        <x:v>V1; V3; V5</x:v>
      </x:c>
      <x:c r="F6" s="25" t="n">
        <x:v>3</x:v>
      </x:c>
      <x:c r="G6" s="31" t="str">
        <x:v>FT-SEED-R1B-P-1842-19; FT-SEED-R1B-P-1938-21; FT-SEED-R1B-P-1988-08</x:v>
      </x:c>
      <x:c r="H6" s="19" t="str">
        <x:v>heat</x:v>
      </x:c>
      <x:c r="I6" s="19" t="str">
        <x:v>OBSERVED_CORPUS_PATTERN</x:v>
      </x:c>
      <x:c r="J6" s="19" t="str">
        <x:v>heat: first nonzero 1842, peak 1962 at 119.6 per million, 2022 85.64 per million</x:v>
      </x:c>
      <x:c r="K6" s="19" t="str">
        <x:v>The generic string is highly polysemous, while candidate forms distinguish physical, embodied, weather-event and hazard senses.</x:v>
      </x:c>
      <x:c r="L6" s="31" t="str">
        <x:v>Which voice and context convert physical or embodied heat into an explicit hazard appraisal?</x:v>
      </x:c>
      <x:c r="M6" s="19" t="str">
        <x:v>14</x:v>
      </x:c>
      <x:c r="N6" s="31" t="str">
        <x:v>Planning count; overlapping passages may answer multiple shortlist questions.</x:v>
      </x:c>
      <x:c r="O6" s="31" t="str">
        <x:v>SEMANTIC_HYPOTHESIS_NOT_YET_TESTED</x:v>
      </x:c>
      <x:c r="P6" s="43" t="str">
        <x:v>candidate_analysis_180.csv; keyword_frequency_summary.csv; candidate_comparability.csv; candidate_relationship.csv</x:v>
      </x:c>
    </x:row>
    <x:row r="7" ht="36" customHeight="1">
      <x:c r="A7" s="18" t="str">
        <x:v>3</x:v>
      </x:c>
      <x:c r="B7" s="31" t="str">
        <x:v>climate</x:v>
      </x:c>
      <x:c r="C7" s="31" t="str">
        <x:v>climate</x:v>
      </x:c>
      <x:c r="D7" s="19" t="str">
        <x:v>1842</x:v>
      </x:c>
      <x:c r="E7" s="19" t="str">
        <x:v>V1</x:v>
      </x:c>
      <x:c r="F7" s="25" t="n">
        <x:v>1</x:v>
      </x:c>
      <x:c r="G7" s="31" t="str">
        <x:v>FT-SEED-R1B-P-1842-15</x:v>
      </x:c>
      <x:c r="H7" s="19" t="str">
        <x:v>climate</x:v>
      </x:c>
      <x:c r="I7" s="19" t="str">
        <x:v>OBSERVED_CORPUS_PATTERN</x:v>
      </x:c>
      <x:c r="J7" s="19" t="str">
        <x:v>climate: first nonzero 1842, peak 2022 at 64.85 per million, 2022 64.85 per million</x:v>
      </x:c>
      <x:c r="K7" s="19" t="str">
        <x:v>The 1842 dictionary match is PARTIAL; the generic series cannot identify modern climate-change meaning.</x:v>
      </x:c>
      <x:c r="L7" s="31" t="str">
        <x:v>How does climatological condition differ from later system, change and governance meanings?</x:v>
      </x:c>
      <x:c r="M7" s="19" t="str">
        <x:v>14</x:v>
      </x:c>
      <x:c r="N7" s="31" t="str">
        <x:v>Planning count; overlapping passages may answer multiple shortlist questions.</x:v>
      </x:c>
      <x:c r="O7" s="31" t="str">
        <x:v>SEMANTIC_HYPOTHESIS_NOT_YET_TESTED</x:v>
      </x:c>
      <x:c r="P7" s="43" t="str">
        <x:v>candidate_analysis_180.csv; keyword_frequency_summary.csv; candidate_comparability.csv; candidate_relationship.csv</x:v>
      </x:c>
    </x:row>
    <x:row r="8" ht="36" customHeight="1">
      <x:c r="A8" s="18" t="str">
        <x:v>4</x:v>
      </x:c>
      <x:c r="B8" s="31" t="str">
        <x:v>climatic change</x:v>
      </x:c>
      <x:c r="C8" s="31" t="str">
        <x:v>climate</x:v>
      </x:c>
      <x:c r="D8" s="19" t="str">
        <x:v>1938</x:v>
      </x:c>
      <x:c r="E8" s="19" t="str">
        <x:v>NOT_APPLICABLE_QUERY_LEVEL</x:v>
      </x:c>
      <x:c r="F8" s="25" t="n">
        <x:v>0</x:v>
      </x:c>
      <x:c r="G8" s="31" t="str">
        <x:v>QUERY_RULE_LEVEL_ONLY</x:v>
      </x:c>
      <x:c r="H8" s="19" t="str">
        <x:v>climatic change</x:v>
      </x:c>
      <x:c r="I8" s="19" t="str">
        <x:v>OBSERVED_CORPUS_PATTERN</x:v>
      </x:c>
      <x:c r="J8" s="19" t="str">
        <x:v>climatic change: first nonzero 1844, peak 1990 at 1.085 per million, 2022 0.3561 per million</x:v>
      </x:c>
      <x:c r="K8" s="19" t="str">
        <x:v>This climate-specific query peaks earlier than the modern issue label but first-nonzero output may include non-target or OCR cases.</x:v>
      </x:c>
      <x:c r="L8" s="31" t="str">
        <x:v>When is the phrase used descriptively, causally or as a public issue label?</x:v>
      </x:c>
      <x:c r="M8" s="19" t="str">
        <x:v>10</x:v>
      </x:c>
      <x:c r="N8" s="31" t="str">
        <x:v>Planning count; overlapping passages may answer multiple shortlist questions.</x:v>
      </x:c>
      <x:c r="O8" s="31" t="str">
        <x:v>SEMANTIC_HYPOTHESIS_NOT_YET_TESTED</x:v>
      </x:c>
      <x:c r="P8" s="43" t="str">
        <x:v>candidate_analysis_180.csv; keyword_frequency_summary.csv; candidate_comparability.csv; candidate_relationship.csv</x:v>
      </x:c>
    </x:row>
    <x:row r="9" ht="36" customHeight="1">
      <x:c r="A9" s="18" t="str">
        <x:v>5</x:v>
      </x:c>
      <x:c r="B9" s="31" t="str">
        <x:v>greenhouse effect</x:v>
      </x:c>
      <x:c r="C9" s="31" t="str">
        <x:v>carbon_greenhouse</x:v>
      </x:c>
      <x:c r="D9" s="19" t="str">
        <x:v>1988</x:v>
      </x:c>
      <x:c r="E9" s="19" t="str">
        <x:v>V1</x:v>
      </x:c>
      <x:c r="F9" s="25" t="n">
        <x:v>1</x:v>
      </x:c>
      <x:c r="G9" s="31" t="str">
        <x:v>FT-SEED-R1B-P-1988-01</x:v>
      </x:c>
      <x:c r="H9" s="19" t="str">
        <x:v>greenhouse effect</x:v>
      </x:c>
      <x:c r="I9" s="19" t="str">
        <x:v>OBSERVED_CORPUS_PATTERN</x:v>
      </x:c>
      <x:c r="J9" s="19" t="str">
        <x:v>greenhouse effect: first nonzero 1843, peak 1990 at 1.961 per million, 2022 0.4531 per million</x:v>
      </x:c>
      <x:c r="K9" s="19" t="str">
        <x:v>The raw series peaks in 1990 and declines thereafter; frequency alone does not identify scientific, institutional or media function.</x:v>
      </x:c>
      <x:c r="L9" s="31" t="str">
        <x:v>How does the mechanism label travel among scientific explanation, institutional threat and media warning?</x:v>
      </x:c>
      <x:c r="M9" s="19" t="str">
        <x:v>12</x:v>
      </x:c>
      <x:c r="N9" s="31" t="str">
        <x:v>Planning count; overlapping passages may answer multiple shortlist questions.</x:v>
      </x:c>
      <x:c r="O9" s="31" t="str">
        <x:v>SEMANTIC_HYPOTHESIS_NOT_YET_TESTED</x:v>
      </x:c>
      <x:c r="P9" s="43" t="str">
        <x:v>candidate_analysis_180.csv; keyword_frequency_summary.csv; candidate_comparability.csv; candidate_relationship.csv</x:v>
      </x:c>
    </x:row>
    <x:row r="10" ht="36" customHeight="1">
      <x:c r="A10" s="18" t="str">
        <x:v>6</x:v>
      </x:c>
      <x:c r="B10" s="31" t="str">
        <x:v>global warming</x:v>
      </x:c>
      <x:c r="C10" s="31" t="str">
        <x:v>warming</x:v>
      </x:c>
      <x:c r="D10" s="19" t="str">
        <x:v>1988; 2006–2007; 2022</x:v>
      </x:c>
      <x:c r="E10" s="19" t="str">
        <x:v>V1; V3; V5</x:v>
      </x:c>
      <x:c r="F10" s="25" t="n">
        <x:v>4</x:v>
      </x:c>
      <x:c r="G10" s="31" t="str">
        <x:v>FT-SEED-R1B-P-1988-02; FT-SEED-R1B-P-1988-28; FT-SEED-R1B-P-0607-11; FT-SEED-R1B-P-2022-02</x:v>
      </x:c>
      <x:c r="H10" s="19" t="str">
        <x:v>global warming</x:v>
      </x:c>
      <x:c r="I10" s="19" t="str">
        <x:v>OBSERVED_CORPUS_PATTERN</x:v>
      </x:c>
      <x:c r="J10" s="19" t="str">
        <x:v>global warming: first nonzero 1843, peak 2009 at 5.446 per million, 2022 3.964 per million</x:v>
      </x:c>
      <x:c r="K10" s="19" t="str">
        <x:v>The phrase recurs across 1988, 2006–2007 and 2022 candidates and shares one Ngram measurement across different voices.</x:v>
      </x:c>
      <x:c r="L10" s="31" t="str">
        <x:v>Does the same issue label perform equivalent work in scientific, mediated and lay contexts?</x:v>
      </x:c>
      <x:c r="M10" s="19" t="str">
        <x:v>14</x:v>
      </x:c>
      <x:c r="N10" s="31" t="str">
        <x:v>Planning count; overlapping passages may answer multiple shortlist questions.</x:v>
      </x:c>
      <x:c r="O10" s="31" t="str">
        <x:v>SEMANTIC_HYPOTHESIS_NOT_YET_TESTED</x:v>
      </x:c>
      <x:c r="P10" s="43" t="str">
        <x:v>candidate_analysis_180.csv; keyword_frequency_summary.csv; candidate_comparability.csv; candidate_relationship.csv</x:v>
      </x:c>
    </x:row>
    <x:row r="11" ht="36" customHeight="1">
      <x:c r="A11" s="18" t="str">
        <x:v>7</x:v>
      </x:c>
      <x:c r="B11" s="31" t="str">
        <x:v>climate change</x:v>
      </x:c>
      <x:c r="C11" s="31" t="str">
        <x:v>climate</x:v>
      </x:c>
      <x:c r="D11" s="19" t="str">
        <x:v>2006–2007; 2015; 2022</x:v>
      </x:c>
      <x:c r="E11" s="19" t="str">
        <x:v>V2; V5</x:v>
      </x:c>
      <x:c r="F11" s="25" t="n">
        <x:v>3</x:v>
      </x:c>
      <x:c r="G11" s="31" t="str">
        <x:v>FT-SEED-R1B-P-0607-10; FT-SEED-R1B-P-2015-01; FT-SEED-R1B-P-2022-01</x:v>
      </x:c>
      <x:c r="H11" s="19" t="str">
        <x:v>climate change</x:v>
      </x:c>
      <x:c r="I11" s="19" t="str">
        <x:v>OBSERVED_CORPUS_PATTERN</x:v>
      </x:c>
      <x:c r="J11" s="19" t="str">
        <x:v>climate change: first nonzero 1842, peak 2022 at 28.9 per million, 2022 28.9 per million</x:v>
      </x:c>
      <x:c r="K11" s="19" t="str">
        <x:v>The raw series peaks at the 2022 endpoint and the candidate form recurs under institutional and lay voices.</x:v>
      </x:c>
      <x:c r="L11" s="31" t="str">
        <x:v>Which passages use the phrase as causal description, governance object, threat referent or public concern?</x:v>
      </x:c>
      <x:c r="M11" s="19" t="str">
        <x:v>14</x:v>
      </x:c>
      <x:c r="N11" s="31" t="str">
        <x:v>Planning count; overlapping passages may answer multiple shortlist questions.</x:v>
      </x:c>
      <x:c r="O11" s="31" t="str">
        <x:v>SEMANTIC_HYPOTHESIS_NOT_YET_TESTED</x:v>
      </x:c>
      <x:c r="P11" s="43" t="str">
        <x:v>candidate_analysis_180.csv; keyword_frequency_summary.csv; candidate_comparability.csv; candidate_relationship.csv</x:v>
      </x:c>
    </x:row>
    <x:row r="12" ht="36" customHeight="1">
      <x:c r="A12" s="18" t="str">
        <x:v>8</x:v>
      </x:c>
      <x:c r="B12" s="31" t="str">
        <x:v>common concern of humankind</x:v>
      </x:c>
      <x:c r="C12" s="31" t="str">
        <x:v>concern_alarm</x:v>
      </x:c>
      <x:c r="D12" s="19" t="str">
        <x:v>2015</x:v>
      </x:c>
      <x:c r="E12" s="19" t="str">
        <x:v>V2</x:v>
      </x:c>
      <x:c r="F12" s="25" t="n">
        <x:v>1</x:v>
      </x:c>
      <x:c r="G12" s="31" t="str">
        <x:v>FT-SEED-R1B-P-2015-23</x:v>
      </x:c>
      <x:c r="H12" s="19" t="str">
        <x:v>NOT_APPLICABLE</x:v>
      </x:c>
      <x:c r="I12" s="19" t="str">
        <x:v>OBSERVED_CORPUS_PATTERN</x:v>
      </x:c>
      <x:c r="J12" s="19" t="str">
        <x:v>common concern of humankind: first nonzero 1901, peak 2021 at 0.04958 per million, 2022 0.03892 per million</x:v>
      </x:c>
      <x:c r="K12" s="19" t="str">
        <x:v>The dictionary anchor-sense match is DIFFERENT because this is a legal formula rather than personal emotion.</x:v>
      </x:c>
      <x:c r="L12" s="31" t="str">
        <x:v>What textual features keep legal common concern distinct from affective concern?</x:v>
      </x:c>
      <x:c r="M12" s="19" t="str">
        <x:v>8</x:v>
      </x:c>
      <x:c r="N12" s="31" t="str">
        <x:v>Planning count; overlapping passages may answer multiple shortlist questions.</x:v>
      </x:c>
      <x:c r="O12" s="31" t="str">
        <x:v>SEMANTIC_HYPOTHESIS_NOT_YET_TESTED</x:v>
      </x:c>
      <x:c r="P12" s="43" t="str">
        <x:v>candidate_analysis_180.csv; keyword_frequency_summary.csv; candidate_comparability.csv; candidate_relationship.csv</x:v>
      </x:c>
    </x:row>
    <x:row r="13" ht="36" customHeight="1">
      <x:c r="A13" s="18" t="str">
        <x:v>9</x:v>
      </x:c>
      <x:c r="B13" s="31" t="str">
        <x:v>worry</x:v>
      </x:c>
      <x:c r="C13" s="31" t="str">
        <x:v>worry</x:v>
      </x:c>
      <x:c r="D13" s="19" t="str">
        <x:v>2006–2007; 2015; 2022</x:v>
      </x:c>
      <x:c r="E13" s="19" t="str">
        <x:v>V3; V5</x:v>
      </x:c>
      <x:c r="F13" s="25" t="n">
        <x:v>7</x:v>
      </x:c>
      <x:c r="G13" s="31" t="str">
        <x:v>FT-SEED-R1B-P-0607-21; FT-SEED-R1B-P-0607-22; FT-SEED-R1B-P-0607-23; FT-SEED-R1B-P-2015-25; FT-SEED-R1B-P-2015-26; FT-SEED-R1B-P-2022-03; FT-SEED-R1B-P-2022-04</x:v>
      </x:c>
      <x:c r="H13" s="19" t="str">
        <x:v>worry</x:v>
      </x:c>
      <x:c r="I13" s="19" t="str">
        <x:v>OBSERVED_CORPUS_PATTERN</x:v>
      </x:c>
      <x:c r="J13" s="19" t="str">
        <x:v>worry: first nonzero 1842, peak 2020 at 61.97 per million, 2022 38.46 per million</x:v>
      </x:c>
      <x:c r="K13" s="19" t="str">
        <x:v>The ledger separates a media imperative from elicited response wording even where the generic corpus string is identical or related.</x:v>
      </x:c>
      <x:c r="L13" s="31" t="str">
        <x:v>How should prescribed, instrument-supplied and participant-endorsed worry be distinguished in passages?</x:v>
      </x:c>
      <x:c r="M13" s="19" t="str">
        <x:v>14</x:v>
      </x:c>
      <x:c r="N13" s="31" t="str">
        <x:v>Planning count; overlapping passages may answer multiple shortlist questions.</x:v>
      </x:c>
      <x:c r="O13" s="31" t="str">
        <x:v>SEMANTIC_HYPOTHESIS_NOT_YET_TESTED</x:v>
      </x:c>
      <x:c r="P13" s="43" t="str">
        <x:v>candidate_analysis_180.csv; keyword_frequency_summary.csv; candidate_comparability.csv; candidate_relationship.csv</x:v>
      </x:c>
    </x:row>
    <x:row r="14" ht="36" customHeight="1">
      <x:c r="A14" s="18" t="str">
        <x:v>10</x:v>
      </x:c>
      <x:c r="B14" s="31" t="str">
        <x:v>fear / afraid</x:v>
      </x:c>
      <x:c r="C14" s="31" t="str">
        <x:v>fear_afraid</x:v>
      </x:c>
      <x:c r="D14" s="19" t="str">
        <x:v>2022</x:v>
      </x:c>
      <x:c r="E14" s="19" t="str">
        <x:v>V5</x:v>
      </x:c>
      <x:c r="F14" s="25" t="n">
        <x:v>1</x:v>
      </x:c>
      <x:c r="G14" s="31" t="str">
        <x:v>FT-SEED-R1B-P-2022-05</x:v>
      </x:c>
      <x:c r="H14" s="19" t="str">
        <x:v>fear; afraid</x:v>
      </x:c>
      <x:c r="I14" s="19" t="str">
        <x:v>OBSERVED_CORPUS_PATTERN</x:v>
      </x:c>
      <x:c r="J14" s="19" t="str">
        <x:v>fear: first nonzero 1842, peak 1850 at 104.2 per million, 2022 87.67 per million | afraid: first nonzero 1842, peak 2020 at 79.91 per million, 2022 42.34 per million</x:v>
      </x:c>
      <x:c r="K14" s="19" t="str">
        <x:v>Generic fear is frequent across the corpus, but the Priority ledger contains direct afraid evidence only at the contemporary anchor.</x:v>
      </x:c>
      <x:c r="L14" s="31" t="str">
        <x:v>Which occurrences are direct affect, quotation, rhetorical prescription or unrelated generic fear?</x:v>
      </x:c>
      <x:c r="M14" s="19" t="str">
        <x:v>12</x:v>
      </x:c>
      <x:c r="N14" s="31" t="str">
        <x:v>Planning count; overlapping passages may answer multiple shortlist questions.</x:v>
      </x:c>
      <x:c r="O14" s="31" t="str">
        <x:v>SEMANTIC_HYPOTHESIS_NOT_YET_TESTED</x:v>
      </x:c>
      <x:c r="P14" s="43" t="str">
        <x:v>candidate_analysis_180.csv; keyword_frequency_summary.csv; candidate_comparability.csv; candidate_relationship.csv</x:v>
      </x:c>
    </x:row>
    <x:row r="15" ht="36" customHeight="1">
      <x:c r="A15" s="18" t="str">
        <x:v>11</x:v>
      </x:c>
      <x:c r="B15" s="31" t="str">
        <x:v>anxiety</x:v>
      </x:c>
      <x:c r="C15" s="31" t="str">
        <x:v>anxiety</x:v>
      </x:c>
      <x:c r="D15" s="19" t="str">
        <x:v>2022</x:v>
      </x:c>
      <x:c r="E15" s="19" t="str">
        <x:v>V1; V5</x:v>
      </x:c>
      <x:c r="F15" s="25" t="n">
        <x:v>3</x:v>
      </x:c>
      <x:c r="G15" s="31" t="str">
        <x:v>FT-SEED-R1B-P-2022-06; FT-SEED-R1B-P-2022-15; FT-SEED-R1B-P-2022-25</x:v>
      </x:c>
      <x:c r="H15" s="19" t="str">
        <x:v>anxiety</x:v>
      </x:c>
      <x:c r="I15" s="19" t="str">
        <x:v>OBSERVED_CORPUS_PATTERN</x:v>
      </x:c>
      <x:c r="J15" s="19" t="str">
        <x:v>anxiety: first nonzero 1842, peak 2022 at 36.12 per million, 2022 36.12 per million</x:v>
      </x:c>
      <x:c r="K15" s="19" t="str">
        <x:v>Generic anxiety peaks in 2022, while Priority evidence separates participant endorsement from researcher-labelled constructs.</x:v>
      </x:c>
      <x:c r="L15" s="31" t="str">
        <x:v>Who supplies the anxiety label, and does the participant independently use it?</x:v>
      </x:c>
      <x:c r="M15" s="19" t="str">
        <x:v>12</x:v>
      </x:c>
      <x:c r="N15" s="31" t="str">
        <x:v>Planning count; overlapping passages may answer multiple shortlist questions.</x:v>
      </x:c>
      <x:c r="O15" s="31" t="str">
        <x:v>SEMANTIC_HYPOTHESIS_NOT_YET_TESTED</x:v>
      </x:c>
      <x:c r="P15" s="43" t="str">
        <x:v>candidate_analysis_180.csv; keyword_frequency_summary.csv; candidate_comparability.csv; candidate_relationship.csv</x:v>
      </x:c>
    </x:row>
    <x:row r="16" ht="36" customHeight="1">
      <x:c r="A16" s="18" t="str">
        <x:v>12</x:v>
      </x:c>
      <x:c r="B16" s="31" t="str">
        <x:v>climate anxiety</x:v>
      </x:c>
      <x:c r="C16" s="31" t="str">
        <x:v>anxiety</x:v>
      </x:c>
      <x:c r="D16" s="19" t="str">
        <x:v>2022</x:v>
      </x:c>
      <x:c r="E16" s="19" t="str">
        <x:v>V1</x:v>
      </x:c>
      <x:c r="F16" s="25" t="n">
        <x:v>1</x:v>
      </x:c>
      <x:c r="G16" s="31" t="str">
        <x:v>FT-SEED-R1B-P-2022-16</x:v>
      </x:c>
      <x:c r="H16" s="19" t="str">
        <x:v>climate anxiety</x:v>
      </x:c>
      <x:c r="I16" s="19" t="str">
        <x:v>OBSERVED_CORPUS_PATTERN</x:v>
      </x:c>
      <x:c r="J16" s="19" t="str">
        <x:v>climate anxiety: first nonzero 1972, peak 2022 at 0.03579 per million, 2022 0.03579 per million</x:v>
      </x:c>
      <x:c r="K16" s="19" t="str">
        <x:v>The query has a sparse modern trajectory and a PARTIAL anchor-sense match because the candidate is a research construct.</x:v>
      </x:c>
      <x:c r="L16" s="31" t="str">
        <x:v>When is climate anxiety researcher-defined, instrument-supplied or participant self-description?</x:v>
      </x:c>
      <x:c r="M16" s="19" t="str">
        <x:v>12</x:v>
      </x:c>
      <x:c r="N16" s="31" t="str">
        <x:v>Planning count; overlapping passages may answer multiple shortlist questions.</x:v>
      </x:c>
      <x:c r="O16" s="31" t="str">
        <x:v>SEMANTIC_HYPOTHESIS_NOT_YET_TESTED</x:v>
      </x:c>
      <x:c r="P16" s="43" t="str">
        <x:v>candidate_analysis_180.csv; keyword_frequency_summary.csv; candidate_comparability.csv; candidate_relationship.csv</x:v>
      </x:c>
    </x:row>
    <x:row r="17" ht="36" customHeight="1">
      <x:c r="A17" s="18" t="str">
        <x:v>13</x:v>
      </x:c>
      <x:c r="B17" s="31" t="str">
        <x:v>eco-anxiety</x:v>
      </x:c>
      <x:c r="C17" s="31" t="str">
        <x:v>anxiety</x:v>
      </x:c>
      <x:c r="D17" s="19" t="str">
        <x:v>2022</x:v>
      </x:c>
      <x:c r="E17" s="19" t="str">
        <x:v>V1</x:v>
      </x:c>
      <x:c r="F17" s="25" t="n">
        <x:v>1</x:v>
      </x:c>
      <x:c r="G17" s="31" t="str">
        <x:v>FT-SEED-R1B-P-2022-17</x:v>
      </x:c>
      <x:c r="H17" s="19" t="str">
        <x:v>eco-anxiety</x:v>
      </x:c>
      <x:c r="I17" s="19" t="str">
        <x:v>OBSERVED_CORPUS_PATTERN</x:v>
      </x:c>
      <x:c r="J17" s="19" t="str">
        <x:v>eco-anxiety: first nonzero 1901, peak 2022 at 0.05496 per million, 2022 0.05496 per million</x:v>
      </x:c>
      <x:c r="K17" s="19" t="str">
        <x:v>The compound is sparse in Ngram despite nonzero bounded-search discovery; early nonzero years need validation.</x:v>
      </x:c>
      <x:c r="L17" s="31" t="str">
        <x:v>Which attestations carry the recognised construct rather than OCR, hyphenation or unrelated component effects?</x:v>
      </x:c>
      <x:c r="M17" s="19" t="str">
        <x:v>10</x:v>
      </x:c>
      <x:c r="N17" s="31" t="str">
        <x:v>Planning count; overlapping passages may answer multiple shortlist questions.</x:v>
      </x:c>
      <x:c r="O17" s="31" t="str">
        <x:v>SEMANTIC_HYPOTHESIS_NOT_YET_TESTED</x:v>
      </x:c>
      <x:c r="P17" s="43" t="str">
        <x:v>candidate_analysis_180.csv; keyword_frequency_summary.csv; candidate_comparability.csv; candidate_relationship.csv</x:v>
      </x:c>
    </x:row>
    <x:row r="18" ht="36" customHeight="1">
      <x:c r="A18" s="18" t="str">
        <x:v>14</x:v>
      </x:c>
      <x:c r="B18" s="31" t="str">
        <x:v>risk</x:v>
      </x:c>
      <x:c r="C18" s="31" t="str">
        <x:v>risk</x:v>
      </x:c>
      <x:c r="D18" s="19" t="str">
        <x:v>1988; 2006–2007; 2015</x:v>
      </x:c>
      <x:c r="E18" s="19" t="str">
        <x:v>V2</x:v>
      </x:c>
      <x:c r="F18" s="25" t="n">
        <x:v>4</x:v>
      </x:c>
      <x:c r="G18" s="31" t="str">
        <x:v>FT-SEED-R1B-P-1988-23; FT-SEED-R1B-P-0607-14; FT-SEED-R1B-P-2015-07; FT-SEED-R1B-P-2015-17</x:v>
      </x:c>
      <x:c r="H18" s="19" t="str">
        <x:v>risk</x:v>
      </x:c>
      <x:c r="I18" s="19" t="str">
        <x:v>OBSERVED_CORPUS_PATTERN</x:v>
      </x:c>
      <x:c r="J18" s="19" t="str">
        <x:v>risk: first nonzero 1842, peak 2018 at 171.8 per million, 2022 160.6 per million</x:v>
      </x:c>
      <x:c r="K18" s="19" t="str">
        <x:v>The high generic peak is not climate-specific, while candidate forms are predominantly institutional and governance-oriented.</x:v>
      </x:c>
      <x:c r="L18" s="31" t="str">
        <x:v>How do probabilistic, governance and consequence senses vary by source and referent?</x:v>
      </x:c>
      <x:c r="M18" s="19" t="str">
        <x:v>12</x:v>
      </x:c>
      <x:c r="N18" s="31" t="str">
        <x:v>Planning count; overlapping passages may answer multiple shortlist questions.</x:v>
      </x:c>
      <x:c r="O18" s="31" t="str">
        <x:v>SEMANTIC_HYPOTHESIS_NOT_YET_TESTED</x:v>
      </x:c>
      <x:c r="P18" s="43" t="str">
        <x:v>candidate_analysis_180.csv; keyword_frequency_summary.csv; candidate_comparability.csv; candidate_relationship.csv</x:v>
      </x:c>
    </x:row>
    <x:row r="19" ht="36" customHeight="1">
      <x:c r="A19" s="18" t="str">
        <x:v>15</x:v>
      </x:c>
      <x:c r="B19" s="31" t="str">
        <x:v>threat</x:v>
      </x:c>
      <x:c r="C19" s="31" t="str">
        <x:v>danger_threat</x:v>
      </x:c>
      <x:c r="D19" s="19" t="str">
        <x:v>1988; 2006–2007; 2022</x:v>
      </x:c>
      <x:c r="E19" s="19" t="str">
        <x:v>V2; V5</x:v>
      </x:c>
      <x:c r="F19" s="25" t="n">
        <x:v>5</x:v>
      </x:c>
      <x:c r="G19" s="31" t="str">
        <x:v>FT-SEED-R1B-P-1988-19; FT-SEED-R1B-P-1988-21; FT-SEED-R1B-P-0607-12; FT-SEED-R1B-P-0607-26; FT-SEED-R1B-P-2022-28</x:v>
      </x:c>
      <x:c r="H19" s="19" t="str">
        <x:v>threat</x:v>
      </x:c>
      <x:c r="I19" s="19" t="str">
        <x:v>OBSERVED_CORPUS_PATTERN</x:v>
      </x:c>
      <x:c r="J19" s="19" t="str">
        <x:v>threat: first nonzero 1842, peak 2016 at 37.43 per million, 2022 33.07 per million</x:v>
      </x:c>
      <x:c r="K19" s="19" t="str">
        <x:v>Threat candidates span institutional and elicited lay voices; threat must not be treated as emotion.</x:v>
      </x:c>
      <x:c r="L19" s="31" t="str">
        <x:v>When is threat an institutional classification, media warning or elicited public appraisal?</x:v>
      </x:c>
      <x:c r="M19" s="19" t="str">
        <x:v>12</x:v>
      </x:c>
      <x:c r="N19" s="31" t="str">
        <x:v>Planning count; overlapping passages may answer multiple shortlist questions.</x:v>
      </x:c>
      <x:c r="O19" s="31" t="str">
        <x:v>SEMANTIC_HYPOTHESIS_NOT_YET_TESTED</x:v>
      </x:c>
      <x:c r="P19" s="43" t="str">
        <x:v>candidate_analysis_180.csv; keyword_frequency_summary.csv; candidate_comparability.csv; candidate_relationship.csv</x:v>
      </x:c>
    </x:row>
    <x:row r="20" ht="36" customHeight="1">
      <x:c r="A20" s="18" t="str">
        <x:v>16</x:v>
      </x:c>
      <x:c r="B20" s="31" t="str">
        <x:v>global security</x:v>
      </x:c>
      <x:c r="C20" s="31" t="str">
        <x:v>danger_threat</x:v>
      </x:c>
      <x:c r="D20" s="19" t="str">
        <x:v>1988</x:v>
      </x:c>
      <x:c r="E20" s="19" t="str">
        <x:v>V2</x:v>
      </x:c>
      <x:c r="F20" s="25" t="n">
        <x:v>1</x:v>
      </x:c>
      <x:c r="G20" s="31" t="str">
        <x:v>FT-SEED-R1B-P-1988-16</x:v>
      </x:c>
      <x:c r="H20" s="19" t="str">
        <x:v>global security</x:v>
      </x:c>
      <x:c r="I20" s="19" t="str">
        <x:v>OBSERVED_CORPUS_PATTERN</x:v>
      </x:c>
      <x:c r="J20" s="19" t="str">
        <x:v>global security: first nonzero 1843, peak 2009 at 0.4396 per million, 2022 0.2638 per million</x:v>
      </x:c>
      <x:c r="K20" s="19" t="str">
        <x:v>The 1988 candidate is an institutional security frame and its raw string trajectory cannot establish affect.</x:v>
      </x:c>
      <x:c r="L20" s="31" t="str">
        <x:v>How does security framing connect to climatic risk without being recoded as fear?</x:v>
      </x:c>
      <x:c r="M20" s="19" t="str">
        <x:v>8</x:v>
      </x:c>
      <x:c r="N20" s="31" t="str">
        <x:v>Planning count; overlapping passages may answer multiple shortlist questions.</x:v>
      </x:c>
      <x:c r="O20" s="31" t="str">
        <x:v>SEMANTIC_HYPOTHESIS_NOT_YET_TESTED</x:v>
      </x:c>
      <x:c r="P20" s="43" t="str">
        <x:v>candidate_analysis_180.csv; keyword_frequency_summary.csv; candidate_comparability.csv; candidate_relationship.csv</x:v>
      </x:c>
    </x:row>
    <x:row r="21" ht="36" customHeight="1">
      <x:c r="A21" s="18" t="str">
        <x:v>17</x:v>
      </x:c>
      <x:c r="B21" s="31" t="str">
        <x:v>crisis</x:v>
      </x:c>
      <x:c r="C21" s="31" t="str">
        <x:v>crisis_emergency</x:v>
      </x:c>
      <x:c r="D21" s="19" t="str">
        <x:v>1988</x:v>
      </x:c>
      <x:c r="E21" s="19" t="str">
        <x:v>V2</x:v>
      </x:c>
      <x:c r="F21" s="25" t="n">
        <x:v>1</x:v>
      </x:c>
      <x:c r="G21" s="31" t="str">
        <x:v>FT-SEED-R1B-P-1988-24</x:v>
      </x:c>
      <x:c r="H21" s="19" t="str">
        <x:v>crisis</x:v>
      </x:c>
      <x:c r="I21" s="19" t="str">
        <x:v>OBSERVED_CORPUS_PATTERN</x:v>
      </x:c>
      <x:c r="J21" s="19" t="str">
        <x:v>crisis: first nonzero 1842, peak 2021 at 51.53 per million, 2022 48.09 per million</x:v>
      </x:c>
      <x:c r="K21" s="19" t="str">
        <x:v>The generic crisis curve is background-ambiguous and the candidate ledger anchors an institutional severity predicate.</x:v>
      </x:c>
      <x:c r="L21" s="31" t="str">
        <x:v>Which referent and speaker make crisis climate-specific rather than a general severity term?</x:v>
      </x:c>
      <x:c r="M21" s="19" t="str">
        <x:v>10</x:v>
      </x:c>
      <x:c r="N21" s="31" t="str">
        <x:v>Planning count; overlapping passages may answer multiple shortlist questions.</x:v>
      </x:c>
      <x:c r="O21" s="31" t="str">
        <x:v>SEMANTIC_HYPOTHESIS_NOT_YET_TESTED</x:v>
      </x:c>
      <x:c r="P21" s="43" t="str">
        <x:v>candidate_analysis_180.csv; keyword_frequency_summary.csv; candidate_comparability.csv; candidate_relationship.csv</x:v>
      </x:c>
    </x:row>
    <x:row r="22" ht="36" customHeight="1">
      <x:c r="A22" s="18" t="str">
        <x:v>18</x:v>
      </x:c>
      <x:c r="B22" s="31" t="str">
        <x:v>climate crisis</x:v>
      </x:c>
      <x:c r="C22" s="31" t="str">
        <x:v>crisis_emergency</x:v>
      </x:c>
      <x:c r="D22" s="19" t="str">
        <x:v>2022</x:v>
      </x:c>
      <x:c r="E22" s="19" t="str">
        <x:v>V4</x:v>
      </x:c>
      <x:c r="F22" s="25" t="n">
        <x:v>1</x:v>
      </x:c>
      <x:c r="G22" s="31" t="str">
        <x:v>FT-SEED-R1B-P-2022-30</x:v>
      </x:c>
      <x:c r="H22" s="19" t="str">
        <x:v>climate crisis</x:v>
      </x:c>
      <x:c r="I22" s="19" t="str">
        <x:v>OBSERVED_CORPUS_PATTERN</x:v>
      </x:c>
      <x:c r="J22" s="19" t="str">
        <x:v>climate crisis: first nonzero 1867, peak 2022 at 0.9388 per million, 2022 0.9388 per million</x:v>
      </x:c>
      <x:c r="K22" s="19" t="str">
        <x:v>The raw series rises sharply at the contemporary endpoint, but early isolated nonzero observations are not validated target-sense emergence.</x:v>
      </x:c>
      <x:c r="L22" s="31" t="str">
        <x:v>When does climate crisis function as advocacy label, media frame or participant vocabulary?</x:v>
      </x:c>
      <x:c r="M22" s="19" t="str">
        <x:v>12</x:v>
      </x:c>
      <x:c r="N22" s="31" t="str">
        <x:v>Planning count; overlapping passages may answer multiple shortlist questions.</x:v>
      </x:c>
      <x:c r="O22" s="31" t="str">
        <x:v>SEMANTIC_HYPOTHESIS_NOT_YET_TESTED</x:v>
      </x:c>
      <x:c r="P22" s="43" t="str">
        <x:v>candidate_analysis_180.csv; keyword_frequency_summary.csv; candidate_comparability.csv; candidate_relationship.csv</x:v>
      </x:c>
    </x:row>
    <x:row r="23" ht="36" customHeight="1">
      <x:c r="A23" s="18" t="str">
        <x:v>19</x:v>
      </x:c>
      <x:c r="B23" s="31" t="str">
        <x:v>climate emergency</x:v>
      </x:c>
      <x:c r="C23" s="31" t="str">
        <x:v>crisis_emergency</x:v>
      </x:c>
      <x:c r="D23" s="19" t="str">
        <x:v>2022</x:v>
      </x:c>
      <x:c r="E23" s="19" t="str">
        <x:v>NOT_APPLICABLE_QUERY_LEVEL</x:v>
      </x:c>
      <x:c r="F23" s="25" t="n">
        <x:v>0</x:v>
      </x:c>
      <x:c r="G23" s="31" t="str">
        <x:v>QUERY_RULE_LEVEL_ONLY</x:v>
      </x:c>
      <x:c r="H23" s="19" t="str">
        <x:v>climate emergency</x:v>
      </x:c>
      <x:c r="I23" s="19" t="str">
        <x:v>OBSERVED_CORPUS_PATTERN</x:v>
      </x:c>
      <x:c r="J23" s="19" t="str">
        <x:v>climate emergency: first nonzero 1846, peak 2022 at 0.2626 per million, 2022 0.2626 per million</x:v>
      </x:c>
      <x:c r="K23" s="19" t="str">
        <x:v>The climate-specific query rises late, while its early Ngram nonzero observations are methodologically suspect without passage validation.</x:v>
      </x:c>
      <x:c r="L23" s="31" t="str">
        <x:v>Which attestations refer to a declared governance frame rather than accidental phrase adjacency?</x:v>
      </x:c>
      <x:c r="M23" s="19" t="str">
        <x:v>10</x:v>
      </x:c>
      <x:c r="N23" s="31" t="str">
        <x:v>Planning count; overlapping passages may answer multiple shortlist questions.</x:v>
      </x:c>
      <x:c r="O23" s="31" t="str">
        <x:v>SEMANTIC_HYPOTHESIS_NOT_YET_TESTED</x:v>
      </x:c>
      <x:c r="P23" s="43" t="str">
        <x:v>candidate_analysis_180.csv; keyword_frequency_summary.csv; candidate_comparability.csv; candidate_relationship.csv</x:v>
      </x:c>
    </x:row>
    <x:row r="24" ht="36" customHeight="1">
      <x:c r="A24" s="21" t="str">
        <x:v>20</x:v>
      </x:c>
      <x:c r="B24" s="32" t="str">
        <x:v>depressing effect / depressed</x:v>
      </x:c>
      <x:c r="C24" s="32" t="str">
        <x:v>distress_depression</x:v>
      </x:c>
      <x:c r="D24" s="22" t="str">
        <x:v>1842; 2022</x:v>
      </x:c>
      <x:c r="E24" s="22" t="str">
        <x:v>V5</x:v>
      </x:c>
      <x:c r="F24" s="26" t="n">
        <x:v>2</x:v>
      </x:c>
      <x:c r="G24" s="32" t="str">
        <x:v>FT-SEED-R1B-P-1842-25; FT-SEED-R1B-P-2022-14</x:v>
      </x:c>
      <x:c r="H24" s="22" t="str">
        <x:v>depressed</x:v>
      </x:c>
      <x:c r="I24" s="22" t="str">
        <x:v>OBSERVED_CORPUS_PATTERN</x:v>
      </x:c>
      <x:c r="J24" s="22" t="str">
        <x:v>depressed: first nonzero 1842, peak 1843 at 11.12 per million, 2022 6.593 per million | depressing effect: first nonzero 1842, peak 1932 at 0.4182 per million, 2022 0.04393 per million</x:v>
      </x:c>
      <x:c r="K24" s="22" t="str">
        <x:v>The 1842 depressing effect match is DIFFERENT from the contemporary affective depressed candidate, creating a documented false-continuity risk.</x:v>
      </x:c>
      <x:c r="L24" s="32" t="str">
        <x:v>How do bodily energetic, causal-lowering and psychological senses separate across the two anchors?</x:v>
      </x:c>
      <x:c r="M24" s="22" t="str">
        <x:v>14</x:v>
      </x:c>
      <x:c r="N24" s="32" t="str">
        <x:v>Planning count; overlapping passages may answer multiple shortlist questions.</x:v>
      </x:c>
      <x:c r="O24" s="32" t="str">
        <x:v>SEMANTIC_HYPOTHESIS_NOT_YET_TESTED</x:v>
      </x:c>
      <x:c r="P24" s="44" t="str">
        <x:v>candidate_analysis_180.csv; keyword_frequency_summary.csv; candidate_comparability.csv; candidate_relationship.csv</x:v>
      </x:c>
    </x:row>
  </x:sheetData>
  <x:mergeCells>
    <x:mergeCell ref="A1:P1"/>
    <x:mergeCell ref="A2:P2"/>
  </x:mergeCells>
  <x:conditionalFormatting sqref="O5:O24">
    <x:cfRule type="containsText" dxfId="42" priority="1" operator="containsText" text="COMPLETE"/>
    <x:cfRule type="containsText" dxfId="43" priority="2" operator="containsText" text="TRACEABLE"/>
    <x:cfRule type="containsText" dxfId="44" priority="3" operator="containsText" text="ZERO"/>
    <x:cfRule type="containsText" dxfId="45" priority="4" operator="containsText" text="UNRESOLVED"/>
    <x:cfRule type="containsText" dxfId="46" priority="5" operator="containsText" text="NOT_"/>
    <x:cfRule type="containsText" dxfId="47" priority="6" operator="containsText" text="PARTIAL"/>
  </x:conditionalFormatting>
  <x:pageMargins left="0.7" right="0.7" top="0.75" bottom="0.75" header="0.3" footer="0.3"/>
  <x:tableParts count="1">
    <x:tablePart xmlns:r="http://schemas.openxmlformats.org/officeDocument/2006/relationships" r:id="Rd88fdf099a1342b1"/>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24" hidden="0" customWidth="1"/>
    <x:col min="6" max="6" width="24" hidden="0" customWidth="1"/>
    <x:col min="7" max="7" width="16" hidden="0" customWidth="1"/>
    <x:col min="8" max="8" width="16" hidden="0" customWidth="1"/>
    <x:col min="9" max="9" width="16" hidden="0" customWidth="1"/>
    <x:col min="10" max="10" width="32" hidden="0" customWidth="1"/>
    <x:col min="11" max="11" width="40" hidden="0" customWidth="1"/>
    <x:col min="12" max="12" width="23" hidden="0" customWidth="1"/>
    <x:col min="13" max="13" width="24" hidden="0" customWidth="1"/>
    <x:col min="14" max="14" width="23"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40" hidden="0" customWidth="1"/>
    <x:col min="22" max="22" width="23" hidden="0" customWidth="1"/>
    <x:col min="23" max="23" width="32" hidden="0" customWidth="1"/>
    <x:col min="24" max="24" width="40" hidden="0" customWidth="1"/>
    <x:col min="25" max="25" width="40" hidden="0" customWidth="1"/>
    <x:col min="26" max="26" width="40" hidden="0" customWidth="1"/>
    <x:col min="27" max="27" width="16" hidden="0" customWidth="1"/>
    <x:col min="28" max="28" width="40" hidden="0" customWidth="1"/>
    <x:col min="29" max="29" width="32" hidden="0" customWidth="1"/>
    <x:col min="30" max="30" width="16" hidden="0" customWidth="1"/>
    <x:col min="31" max="31" width="23" hidden="0" customWidth="1"/>
    <x:col min="32" max="32" width="23" hidden="0" customWidth="1"/>
    <x:col min="33" max="33" width="16" hidden="0" customWidth="1"/>
    <x:col min="34" max="34" width="16" hidden="0" customWidth="1"/>
    <x:col min="35" max="35" width="16" hidden="0" customWidth="1"/>
    <x:col min="36" max="36" width="40" hidden="0" customWidth="1"/>
    <x:col min="37" max="37" width="23" hidden="0" customWidth="1"/>
    <x:col min="38" max="38" width="16" hidden="0" customWidth="1"/>
    <x:col min="39" max="39" width="16" hidden="0" customWidth="1"/>
  </x:cols>
  <x:sheetData>
    <x:row r="1" ht="38" customHeight="1">
      <x:c r="A1" s="3" t="str">
        <x:v>Priority 180 — Complete Candidate-Level Coverage</x:v>
      </x:c>
      <x:c r="B1" s="3" t="str">
        <x:v>Priority 180 — Complete Candidate-Level Coverage</x:v>
      </x:c>
      <x:c r="C1" s="3" t="str">
        <x:v>Priority 180 — Complete Candidate-Level Coverage</x:v>
      </x:c>
      <x:c r="D1" s="3" t="str">
        <x:v>Priority 180 — Complete Candidate-Level Coverage</x:v>
      </x:c>
      <x:c r="E1" s="3" t="str">
        <x:v>Priority 180 — Complete Candidate-Level Coverage</x:v>
      </x:c>
      <x:c r="F1" s="3" t="str">
        <x:v>Priority 180 — Complete Candidate-Level Coverage</x:v>
      </x:c>
      <x:c r="G1" s="3" t="str">
        <x:v>Priority 180 — Complete Candidate-Level Coverage</x:v>
      </x:c>
      <x:c r="H1" s="3" t="str">
        <x:v>Priority 180 — Complete Candidate-Level Coverage</x:v>
      </x:c>
      <x:c r="I1" s="3" t="str">
        <x:v>Priority 180 — Complete Candidate-Level Coverage</x:v>
      </x:c>
      <x:c r="J1" s="3" t="str">
        <x:v>Priority 180 — Complete Candidate-Level Coverage</x:v>
      </x:c>
      <x:c r="K1" s="3" t="str">
        <x:v>Priority 180 — Complete Candidate-Level Coverage</x:v>
      </x:c>
      <x:c r="L1" s="3" t="str">
        <x:v>Priority 180 — Complete Candidate-Level Coverage</x:v>
      </x:c>
      <x:c r="M1" s="3" t="str">
        <x:v>Priority 180 — Complete Candidate-Level Coverage</x:v>
      </x:c>
      <x:c r="N1" s="3" t="str">
        <x:v>Priority 180 — Complete Candidate-Level Coverage</x:v>
      </x:c>
      <x:c r="O1" s="3" t="str">
        <x:v>Priority 180 — Complete Candidate-Level Coverage</x:v>
      </x:c>
      <x:c r="P1" s="3" t="str">
        <x:v>Priority 180 — Complete Candidate-Level Coverage</x:v>
      </x:c>
      <x:c r="Q1" s="3" t="str">
        <x:v>Priority 180 — Complete Candidate-Level Coverage</x:v>
      </x:c>
      <x:c r="R1" s="3" t="str">
        <x:v>Priority 180 — Complete Candidate-Level Coverage</x:v>
      </x:c>
      <x:c r="S1" s="3" t="str">
        <x:v>Priority 180 — Complete Candidate-Level Coverage</x:v>
      </x:c>
      <x:c r="T1" s="3" t="str">
        <x:v>Priority 180 — Complete Candidate-Level Coverage</x:v>
      </x:c>
      <x:c r="U1" s="3" t="str">
        <x:v>Priority 180 — Complete Candidate-Level Coverage</x:v>
      </x:c>
      <x:c r="V1" s="3" t="str">
        <x:v>Priority 180 — Complete Candidate-Level Coverage</x:v>
      </x:c>
      <x:c r="W1" s="3" t="str">
        <x:v>Priority 180 — Complete Candidate-Level Coverage</x:v>
      </x:c>
      <x:c r="X1" s="3" t="str">
        <x:v>Priority 180 — Complete Candidate-Level Coverage</x:v>
      </x:c>
      <x:c r="Y1" s="3" t="str">
        <x:v>Priority 180 — Complete Candidate-Level Coverage</x:v>
      </x:c>
      <x:c r="Z1" s="3" t="str">
        <x:v>Priority 180 — Complete Candidate-Level Coverage</x:v>
      </x:c>
      <x:c r="AA1" s="3" t="str">
        <x:v>Priority 180 — Complete Candidate-Level Coverage</x:v>
      </x:c>
      <x:c r="AB1" s="3" t="str">
        <x:v>Priority 180 — Complete Candidate-Level Coverage</x:v>
      </x:c>
      <x:c r="AC1" s="3" t="str">
        <x:v>Priority 180 — Complete Candidate-Level Coverage</x:v>
      </x:c>
      <x:c r="AD1" s="3" t="str">
        <x:v>Priority 180 — Complete Candidate-Level Coverage</x:v>
      </x:c>
      <x:c r="AE1" s="3" t="str">
        <x:v>Priority 180 — Complete Candidate-Level Coverage</x:v>
      </x:c>
      <x:c r="AF1" s="3" t="str">
        <x:v>Priority 180 — Complete Candidate-Level Coverage</x:v>
      </x:c>
      <x:c r="AG1" s="3" t="str">
        <x:v>Priority 180 — Complete Candidate-Level Coverage</x:v>
      </x:c>
      <x:c r="AH1" s="3" t="str">
        <x:v>Priority 180 — Complete Candidate-Level Coverage</x:v>
      </x:c>
      <x:c r="AI1" s="3" t="str">
        <x:v>Priority 180 — Complete Candidate-Level Coverage</x:v>
      </x:c>
      <x:c r="AJ1" s="3" t="str">
        <x:v>Priority 180 — Complete Candidate-Level Coverage</x:v>
      </x:c>
      <x:c r="AK1" s="3" t="str">
        <x:v>Priority 180 — Complete Candidate-Level Coverage</x:v>
      </x:c>
      <x:c r="AL1" s="3" t="str">
        <x:v>Priority 180 — Complete Candidate-Level Coverage</x:v>
      </x:c>
      <x:c r="AM1" s="3" t="str">
        <x:v>Priority 180 — Complete Candidate-Level Coverage</x:v>
      </x:c>
    </x:row>
    <x:row r="2" ht="32" customHeight="1">
      <x:c r="A2" s="7" t="str">
        <x:v>Exactly 180 candidate records. Ngram, dictionary, search, provenance and annotation limitations remain linked.</x:v>
      </x:c>
      <x:c r="B2" s="7" t="str">
        <x:v>Exactly 180 candidate records. Ngram, dictionary, search, provenance and annotation limitations remain linked.</x:v>
      </x:c>
      <x:c r="C2" s="7" t="str">
        <x:v>Exactly 180 candidate records. Ngram, dictionary, search, provenance and annotation limitations remain linked.</x:v>
      </x:c>
      <x:c r="D2" s="7" t="str">
        <x:v>Exactly 180 candidate records. Ngram, dictionary, search, provenance and annotation limitations remain linked.</x:v>
      </x:c>
      <x:c r="E2" s="7" t="str">
        <x:v>Exactly 180 candidate records. Ngram, dictionary, search, provenance and annotation limitations remain linked.</x:v>
      </x:c>
      <x:c r="F2" s="7" t="str">
        <x:v>Exactly 180 candidate records. Ngram, dictionary, search, provenance and annotation limitations remain linked.</x:v>
      </x:c>
      <x:c r="G2" s="7" t="str">
        <x:v>Exactly 180 candidate records. Ngram, dictionary, search, provenance and annotation limitations remain linked.</x:v>
      </x:c>
      <x:c r="H2" s="7" t="str">
        <x:v>Exactly 180 candidate records. Ngram, dictionary, search, provenance and annotation limitations remain linked.</x:v>
      </x:c>
      <x:c r="I2" s="7" t="str">
        <x:v>Exactly 180 candidate records. Ngram, dictionary, search, provenance and annotation limitations remain linked.</x:v>
      </x:c>
      <x:c r="J2" s="7" t="str">
        <x:v>Exactly 180 candidate records. Ngram, dictionary, search, provenance and annotation limitations remain linked.</x:v>
      </x:c>
      <x:c r="K2" s="7" t="str">
        <x:v>Exactly 180 candidate records. Ngram, dictionary, search, provenance and annotation limitations remain linked.</x:v>
      </x:c>
      <x:c r="L2" s="7" t="str">
        <x:v>Exactly 180 candidate records. Ngram, dictionary, search, provenance and annotation limitations remain linked.</x:v>
      </x:c>
      <x:c r="M2" s="7" t="str">
        <x:v>Exactly 180 candidate records. Ngram, dictionary, search, provenance and annotation limitations remain linked.</x:v>
      </x:c>
      <x:c r="N2" s="7" t="str">
        <x:v>Exactly 180 candidate records. Ngram, dictionary, search, provenance and annotation limitations remain linked.</x:v>
      </x:c>
      <x:c r="O2" s="7" t="str">
        <x:v>Exactly 180 candidate records. Ngram, dictionary, search, provenance and annotation limitations remain linked.</x:v>
      </x:c>
      <x:c r="P2" s="7" t="str">
        <x:v>Exactly 180 candidate records. Ngram, dictionary, search, provenance and annotation limitations remain linked.</x:v>
      </x:c>
      <x:c r="Q2" s="7" t="str">
        <x:v>Exactly 180 candidate records. Ngram, dictionary, search, provenance and annotation limitations remain linked.</x:v>
      </x:c>
      <x:c r="R2" s="7" t="str">
        <x:v>Exactly 180 candidate records. Ngram, dictionary, search, provenance and annotation limitations remain linked.</x:v>
      </x:c>
      <x:c r="S2" s="7" t="str">
        <x:v>Exactly 180 candidate records. Ngram, dictionary, search, provenance and annotation limitations remain linked.</x:v>
      </x:c>
      <x:c r="T2" s="7" t="str">
        <x:v>Exactly 180 candidate records. Ngram, dictionary, search, provenance and annotation limitations remain linked.</x:v>
      </x:c>
      <x:c r="U2" s="7" t="str">
        <x:v>Exactly 180 candidate records. Ngram, dictionary, search, provenance and annotation limitations remain linked.</x:v>
      </x:c>
      <x:c r="V2" s="7" t="str">
        <x:v>Exactly 180 candidate records. Ngram, dictionary, search, provenance and annotation limitations remain linked.</x:v>
      </x:c>
      <x:c r="W2" s="7" t="str">
        <x:v>Exactly 180 candidate records. Ngram, dictionary, search, provenance and annotation limitations remain linked.</x:v>
      </x:c>
      <x:c r="X2" s="7" t="str">
        <x:v>Exactly 180 candidate records. Ngram, dictionary, search, provenance and annotation limitations remain linked.</x:v>
      </x:c>
      <x:c r="Y2" s="7" t="str">
        <x:v>Exactly 180 candidate records. Ngram, dictionary, search, provenance and annotation limitations remain linked.</x:v>
      </x:c>
      <x:c r="Z2" s="7" t="str">
        <x:v>Exactly 180 candidate records. Ngram, dictionary, search, provenance and annotation limitations remain linked.</x:v>
      </x:c>
      <x:c r="AA2" s="7" t="str">
        <x:v>Exactly 180 candidate records. Ngram, dictionary, search, provenance and annotation limitations remain linked.</x:v>
      </x:c>
      <x:c r="AB2" s="7" t="str">
        <x:v>Exactly 180 candidate records. Ngram, dictionary, search, provenance and annotation limitations remain linked.</x:v>
      </x:c>
      <x:c r="AC2" s="7" t="str">
        <x:v>Exactly 180 candidate records. Ngram, dictionary, search, provenance and annotation limitations remain linked.</x:v>
      </x:c>
      <x:c r="AD2" s="7" t="str">
        <x:v>Exactly 180 candidate records. Ngram, dictionary, search, provenance and annotation limitations remain linked.</x:v>
      </x:c>
      <x:c r="AE2" s="7" t="str">
        <x:v>Exactly 180 candidate records. Ngram, dictionary, search, provenance and annotation limitations remain linked.</x:v>
      </x:c>
      <x:c r="AF2" s="7" t="str">
        <x:v>Exactly 180 candidate records. Ngram, dictionary, search, provenance and annotation limitations remain linked.</x:v>
      </x:c>
      <x:c r="AG2" s="7" t="str">
        <x:v>Exactly 180 candidate records. Ngram, dictionary, search, provenance and annotation limitations remain linked.</x:v>
      </x:c>
      <x:c r="AH2" s="7" t="str">
        <x:v>Exactly 180 candidate records. Ngram, dictionary, search, provenance and annotation limitations remain linked.</x:v>
      </x:c>
      <x:c r="AI2" s="7" t="str">
        <x:v>Exactly 180 candidate records. Ngram, dictionary, search, provenance and annotation limitations remain linked.</x:v>
      </x:c>
      <x:c r="AJ2" s="7" t="str">
        <x:v>Exactly 180 candidate records. Ngram, dictionary, search, provenance and annotation limitations remain linked.</x:v>
      </x:c>
      <x:c r="AK2" s="7" t="str">
        <x:v>Exactly 180 candidate records. Ngram, dictionary, search, provenance and annotation limitations remain linked.</x:v>
      </x:c>
      <x:c r="AL2" s="7" t="str">
        <x:v>Exactly 180 candidate records. Ngram, dictionary, search, provenance and annotation limitations remain linked.</x:v>
      </x:c>
      <x:c r="AM2" s="7" t="str">
        <x:v>Exactly 180 candidate records. Ngram, dictionary, search, provenance and annotation limitations remain linked.</x:v>
      </x:c>
    </x:row>
    <x:row r="4" ht="42" customHeight="1">
      <x:c r="A4" s="14" t="str">
        <x:v>Candidate ID</x:v>
      </x:c>
      <x:c r="B4" s="14" t="str">
        <x:v>Anchor</x:v>
      </x:c>
      <x:c r="C4" s="14" t="str">
        <x:v>Rank</x:v>
      </x:c>
      <x:c r="D4" s="14" t="str">
        <x:v>Surface Form</x:v>
      </x:c>
      <x:c r="E4" s="14" t="str">
        <x:v>Normalised Concept</x:v>
      </x:c>
      <x:c r="F4" s="14" t="str">
        <x:v>Lexical Family</x:v>
      </x:c>
      <x:c r="G4" s="14" t="str">
        <x:v>Layer</x:v>
      </x:c>
      <x:c r="H4" s="14" t="str">
        <x:v>Voice</x:v>
      </x:c>
      <x:c r="I4" s="14" t="str">
        <x:v>Expression Mode</x:v>
      </x:c>
      <x:c r="J4" s="14" t="str">
        <x:v>Evidence Source</x:v>
      </x:c>
      <x:c r="K4" s="14" t="str">
        <x:v>Candidate Provenance</x:v>
      </x:c>
      <x:c r="L4" s="14" t="str">
        <x:v>Ngram Status</x:v>
      </x:c>
      <x:c r="M4" s="14" t="str">
        <x:v>Measurement Form</x:v>
      </x:c>
      <x:c r="N4" s="14" t="str">
        <x:v>Mapping Type</x:v>
      </x:c>
      <x:c r="O4" s="14" t="str">
        <x:v>First Non-Zero Year</x:v>
      </x:c>
      <x:c r="P4" s="14" t="str">
        <x:v>Peak Year</x:v>
      </x:c>
      <x:c r="Q4" s="14" t="str">
        <x:v>Peak Frequency</x:v>
      </x:c>
      <x:c r="R4" s="14" t="str">
        <x:v>Anchor Frequency</x:v>
      </x:c>
      <x:c r="S4" s="14" t="str">
        <x:v>Context Window Mean</x:v>
      </x:c>
      <x:c r="T4" s="14" t="str">
        <x:v>2022 Frequency</x:v>
      </x:c>
      <x:c r="U4" s="14" t="str">
        <x:v>Ngram Note</x:v>
      </x:c>
      <x:c r="V4" s="14" t="str">
        <x:v>Dictionary Status</x:v>
      </x:c>
      <x:c r="W4" s="14" t="str">
        <x:v>Dictionary Source</x:v>
      </x:c>
      <x:c r="X4" s="14" t="str">
        <x:v>Historical Sense</x:v>
      </x:c>
      <x:c r="Y4" s="14" t="str">
        <x:v>Modern Sense</x:v>
      </x:c>
      <x:c r="Z4" s="14" t="str">
        <x:v>Anchor Sense Match</x:v>
      </x:c>
      <x:c r="AA4" s="14" t="str">
        <x:v>Polysemy / Ambiguity</x:v>
      </x:c>
      <x:c r="AB4" s="14" t="str">
        <x:v>Dictionary Note</x:v>
      </x:c>
      <x:c r="AC4" s="14" t="str">
        <x:v>Search Source</x:v>
      </x:c>
      <x:c r="AD4" s="14" t="str">
        <x:v>Search Query</x:v>
      </x:c>
      <x:c r="AE4" s="14" t="str">
        <x:v>Search Exactness</x:v>
      </x:c>
      <x:c r="AF4" s="14" t="str">
        <x:v>Search Status</x:v>
      </x:c>
      <x:c r="AG4" s="14" t="str">
        <x:v>Result Count</x:v>
      </x:c>
      <x:c r="AH4" s="14" t="str">
        <x:v>Date-Window Count</x:v>
      </x:c>
      <x:c r="AI4" s="14" t="str">
        <x:v>Retrieval Date</x:v>
      </x:c>
      <x:c r="AJ4" s="14" t="str">
        <x:v>Search Note</x:v>
      </x:c>
      <x:c r="AK4" s="14" t="str">
        <x:v>Coverage Status</x:v>
      </x:c>
      <x:c r="AL4" s="14" t="str">
        <x:v>Remaining Annotation Gap</x:v>
      </x:c>
      <x:c r="AM4" s="14" t="str">
        <x:v>Review Priority</x:v>
      </x:c>
    </x:row>
    <x:row r="5" ht="34" customHeight="1">
      <x:c r="A5" s="39" t="str">
        <x:v>FT-SEED-R1B-P-1842-01</x:v>
      </x:c>
      <x:c r="B5" s="16" t="str">
        <x:v>1842</x:v>
      </x:c>
      <x:c r="C5" s="24" t="n">
        <x:v>1</x:v>
      </x:c>
      <x:c r="D5" s="30" t="str">
        <x:v>temperature</x:v>
      </x:c>
      <x:c r="E5" s="30" t="str">
        <x:v>local / instrumental temperature</x:v>
      </x:c>
      <x:c r="F5" s="30" t="str">
        <x:v>temperature_threshold</x:v>
      </x:c>
      <x:c r="G5" s="16" t="str">
        <x:v>A</x:v>
      </x:c>
      <x:c r="H5" s="16" t="str">
        <x:v>V1</x:v>
      </x:c>
      <x:c r="I5" s="16" t="str">
        <x:v>NOT_EXPOSED_IN_REPORT</x:v>
      </x:c>
      <x:c r="J5" s="30" t="str">
        <x:v>S1842-RS-COLABA</x:v>
      </x:c>
      <x:c r="K5" s="30" t="str">
        <x:v>RECONSTRUCTED_FROM_REPORT; Fear of Temperature_ Stratified Lexical Expansion, Voice Mapping, and Semantic-Relational Pre-Valida.pdf; p.6; project candidate FT-SEED-R1B-P-1842-01; original visible ID not available</x:v>
      </x:c>
      <x:c r="L5" s="30" t="str">
        <x:v>SUCCEEDED_REUSED_BASELINE</x:v>
      </x:c>
      <x:c r="M5" s="30" t="str">
        <x:v>temperature</x:v>
      </x:c>
      <x:c r="N5" s="30" t="str">
        <x:v>EXACT</x:v>
      </x:c>
      <x:c r="O5" s="16" t="str">
        <x:v>1842</x:v>
      </x:c>
      <x:c r="P5" s="16" t="str">
        <x:v>1962</x:v>
      </x:c>
      <x:c r="Q5" s="45" t="n">
        <x:v>0.00018277823122134218</x:v>
      </x:c>
      <x:c r="R5" s="45" t="n">
        <x:v>0.000038178546390099655</x:v>
      </x:c>
      <x:c r="S5" s="45" t="n">
        <x:v>0.000035562592416230054</x:v>
      </x:c>
      <x:c r="T5" s="45" t="n">
        <x:v>0.00009003187850510977</x:v>
      </x:c>
      <x:c r="U5" s="30" t="str">
        <x:v>Candidate surface form is directly representable in the public Ngram interface. Complete 1842–2022 unsmoothed series reused from the audited quantitative-v0.1 baseline.</x:v>
      </x:c>
      <x:c r="V5" s="30" t="str">
        <x:v>DIRECT_HEADWORD</x:v>
      </x:c>
      <x:c r="W5" s="30" t="str">
        <x:v>DictionaryAPI.dev English entry (Wiktionary-derived open lexical data)</x:v>
      </x:c>
      <x:c r="X5" s="30" t="str">
        <x:v>A physical temperature, warming, heat, or measurement sense in the documented anchor context.</x:v>
      </x:c>
      <x:c r="Y5" s="30" t="str">
        <x:v>A local or instrument-specific temperature reading; the candidate is interpreted in its documented anchor and voice context.</x:v>
      </x:c>
      <x:c r="Z5" s="30" t="str">
        <x:v>STRONG</x:v>
      </x:c>
      <x:c r="AA5" s="16" t="str">
        <x:v>The surface form may realize multiple senses; candidate meaning remains anchored to the report-visible source context.</x:v>
      </x:c>
      <x:c r="AB5" s="30" t="str">
        <x:v>Secondary: DictionaryAPI.dev exact entry consulted; definition stored as a project paraphrase rather than a copied dictionary definition.; historical: Anchor-period research source/context; Webster 1913 stable component URL recorded but automated page retrieval was unavailable; source: https://api.dictionaryapi.dev/api/v2/entries/en/temperature; https://websters1913.timcieplowski.com/word/temperature/</x:v>
      </x:c>
      <x:c r="AC5" s="30" t="str">
        <x:v>INTERNET_ARCHIVE_METADATA_TEXT_ITEM_COUNT</x:v>
      </x:c>
      <x:c r="AD5" s="16" t="str">
        <x:v>"temperature" AND mediatype:texts</x:v>
      </x:c>
      <x:c r="AE5" s="30" t="str">
        <x:v>EXACT_PHRASE</x:v>
      </x:c>
      <x:c r="AF5" s="30" t="str">
        <x:v>COMPLETED_NONZERO</x:v>
      </x:c>
      <x:c r="AG5" s="24" t="n">
        <x:v>193717</x:v>
      </x:c>
      <x:c r="AH5" s="24" t="n">
        <x:v>60</x:v>
      </x:c>
      <x:c r="AI5" s="16" t="str">
        <x:v>2026-08-26</x:v>
      </x:c>
      <x:c r="AJ5" s="30" t="str">
        <x:v>Metadata text-item count; not a full-text lexical frequency. Secondary metric: NOT_RUN_OPENALEX_DAILY_BUDGET_EXHAUSTED: shared provider response retained; no count fabricated.</x:v>
      </x:c>
      <x:c r="AK5" s="30" t="str">
        <x:v>FULLY_COVERED</x:v>
      </x:c>
      <x:c r="AL5" s="16" t="str">
        <x:v>PENDING_SOURCE_REVIEW</x:v>
      </x:c>
      <x:c r="AM5" s="17" t="str">
        <x:v>MEDIUM</x:v>
      </x:c>
    </x:row>
    <x:row r="6" ht="34" customHeight="1">
      <x:c r="A6" s="40" t="str">
        <x:v>FT-SEED-R1B-P-1842-02</x:v>
      </x:c>
      <x:c r="B6" s="19" t="str">
        <x:v>1842</x:v>
      </x:c>
      <x:c r="C6" s="25" t="n">
        <x:v>2</x:v>
      </x:c>
      <x:c r="D6" s="31" t="str">
        <x:v>mean temperature</x:v>
      </x:c>
      <x:c r="E6" s="31" t="str">
        <x:v>mean temperature</x:v>
      </x:c>
      <x:c r="F6" s="31" t="str">
        <x:v>temperature_threshold</x:v>
      </x:c>
      <x:c r="G6" s="19" t="str">
        <x:v>A</x:v>
      </x:c>
      <x:c r="H6" s="19" t="str">
        <x:v>V1</x:v>
      </x:c>
      <x:c r="I6" s="19" t="str">
        <x:v>NOT_EXPOSED_IN_REPORT</x:v>
      </x:c>
      <x:c r="J6" s="31" t="str">
        <x:v>S1842-ROSS</x:v>
      </x:c>
      <x:c r="K6" s="31" t="str">
        <x:v>RECONSTRUCTED_FROM_REPORT; Fear of Temperature_ Stratified Lexical Expansion, Voice Mapping, and Semantic-Relational Pre-Valida.pdf; p.6; project candidate FT-SEED-R1B-P-1842-02; original visible ID not available</x:v>
      </x:c>
      <x:c r="L6" s="31" t="str">
        <x:v>SUCCEEDED_REUSED_BASELINE</x:v>
      </x:c>
      <x:c r="M6" s="31" t="str">
        <x:v>mean temperature</x:v>
      </x:c>
      <x:c r="N6" s="31" t="str">
        <x:v>EXACT</x:v>
      </x:c>
      <x:c r="O6" s="19" t="str">
        <x:v>1842</x:v>
      </x:c>
      <x:c r="P6" s="19" t="str">
        <x:v>1858</x:v>
      </x:c>
      <x:c r="Q6" s="46" t="n">
        <x:v>0.000003219442511692705</x:v>
      </x:c>
      <x:c r="R6" s="46" t="n">
        <x:v>0.0000023651722909079353</x:v>
      </x:c>
      <x:c r="S6" s="46" t="n">
        <x:v>0.0000023625686028094783</x:v>
      </x:c>
      <x:c r="T6" s="46" t="n">
        <x:v>3.990877988080399e-7</x:v>
      </x:c>
      <x:c r="U6" s="31" t="str">
        <x:v>Candidate surface form is directly representable in the public Ngram interface. Complete 1842–2022 unsmoothed series reused from the audited quantitative-v0.1 baseline.</x:v>
      </x:c>
      <x:c r="V6" s="31" t="str">
        <x:v>NO_STANDALONE_HEADWORD</x:v>
      </x:c>
      <x:c r="W6" s="31" t="str">
        <x:v>Component lexical analysis plus anchor-source contextual meaning</x:v>
      </x:c>
      <x:c r="X6" s="31" t="str">
        <x:v>A physical temperature, warming, heat, or measurement sense in the documented anchor context.</x:v>
      </x:c>
      <x:c r="Y6" s="31" t="str">
        <x:v>A temporally or spatially averaged temperature value; the candidate is interpreted in its documented anchor and voice context.</x:v>
      </x:c>
      <x:c r="Z6" s="31" t="str">
        <x:v>STRONG</x:v>
      </x:c>
      <x:c r="AA6" s="19" t="str">
        <x:v>The surface form may realize multiple senses; candidate meaning remains anchored to the report-visible source context.</x:v>
      </x:c>
      <x:c r="AB6"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6" s="31" t="str">
        <x:v>INTERNET_ARCHIVE_METADATA_TEXT_ITEM_COUNT</x:v>
      </x:c>
      <x:c r="AD6" s="19" t="str">
        <x:v>"mean temperature" AND mediatype:texts</x:v>
      </x:c>
      <x:c r="AE6" s="31" t="str">
        <x:v>EXACT_PHRASE</x:v>
      </x:c>
      <x:c r="AF6" s="31" t="str">
        <x:v>COMPLETED_NONZERO</x:v>
      </x:c>
      <x:c r="AG6" s="25" t="n">
        <x:v>664</x:v>
      </x:c>
      <x:c r="AH6" s="25" t="n">
        <x:v>4</x:v>
      </x:c>
      <x:c r="AI6" s="19" t="str">
        <x:v>2026-08-26</x:v>
      </x:c>
      <x:c r="AJ6" s="31" t="str">
        <x:v>Metadata text-item count; not a full-text lexical frequency. Secondary metric: NOT_RUN_OPENALEX_DAILY_BUDGET_EXHAUSTED: shared provider response retained; no count fabricated.</x:v>
      </x:c>
      <x:c r="AK6" s="31" t="str">
        <x:v>FULLY_COVERED</x:v>
      </x:c>
      <x:c r="AL6" s="19" t="str">
        <x:v>PENDING_SOURCE_REVIEW</x:v>
      </x:c>
      <x:c r="AM6" s="20" t="str">
        <x:v>MEDIUM</x:v>
      </x:c>
    </x:row>
    <x:row r="7" ht="34" customHeight="1">
      <x:c r="A7" s="40" t="str">
        <x:v>FT-SEED-R1B-P-1842-03</x:v>
      </x:c>
      <x:c r="B7" s="19" t="str">
        <x:v>1842</x:v>
      </x:c>
      <x:c r="C7" s="25" t="n">
        <x:v>3</x:v>
      </x:c>
      <x:c r="D7" s="31" t="str">
        <x:v>temperature of the air in shade</x:v>
      </x:c>
      <x:c r="E7" s="31" t="str">
        <x:v>local / instrumental temperature</x:v>
      </x:c>
      <x:c r="F7" s="31" t="str">
        <x:v>temperature_threshold</x:v>
      </x:c>
      <x:c r="G7" s="19" t="str">
        <x:v>A</x:v>
      </x:c>
      <x:c r="H7" s="19" t="str">
        <x:v>V1</x:v>
      </x:c>
      <x:c r="I7" s="19" t="str">
        <x:v>NOT_EXPOSED_IN_REPORT</x:v>
      </x:c>
      <x:c r="J7" s="31" t="str">
        <x:v>S1842-ROSS</x:v>
      </x:c>
      <x:c r="K7" s="31" t="str">
        <x:v>RECONSTRUCTED_FROM_REPORT; Fear of Temperature_ Stratified Lexical Expansion, Voice Mapping, and Semantic-Relational Pre-Valida.pdf; p.6; project candidate FT-SEED-R1B-P-1842-03; original visible ID not available</x:v>
      </x:c>
      <x:c r="L7" s="31" t="str">
        <x:v>SUCCEEDED_REUSED_BASELINE</x:v>
      </x:c>
      <x:c r="M7" s="31" t="str">
        <x:v>temperature of the air in shade</x:v>
      </x:c>
      <x:c r="N7" s="31" t="str">
        <x:v>EXACT</x:v>
      </x:c>
      <x:c r="O7" s="19" t="str">
        <x:v>1846</x:v>
      </x:c>
      <x:c r="P7" s="19" t="str">
        <x:v>1858</x:v>
      </x:c>
      <x:c r="Q7" s="46" t="n">
        <x:v>1.4379699209143837e-8</x:v>
      </x:c>
      <x:c r="R7" s="46" t="n">
        <x:v>0</x:v>
      </x:c>
      <x:c r="S7" s="46" t="n">
        <x:v>0</x:v>
      </x:c>
      <x:c r="T7" s="46" t="n">
        <x:v>5.8122076596056615e-11</x:v>
      </x:c>
      <x:c r="U7" s="31" t="str">
        <x:v>Candidate surface form is directly representable in the public Ngram interface. Complete 1842–2022 unsmoothed series reused from the audited quantitative-v0.1 baseline.</x:v>
      </x:c>
      <x:c r="V7" s="31" t="str">
        <x:v>NO_STANDALONE_HEADWORD</x:v>
      </x:c>
      <x:c r="W7" s="31" t="str">
        <x:v>Component lexical analysis plus anchor-source contextual meaning</x:v>
      </x:c>
      <x:c r="X7" s="31" t="str">
        <x:v>A physical temperature, warming, heat, or measurement sense in the documented anchor context.</x:v>
      </x:c>
      <x:c r="Y7" s="31" t="str">
        <x:v>A local or instrument-specific temperature reading; the candidate is interpreted in its documented anchor and voice context.</x:v>
      </x:c>
      <x:c r="Z7" s="31" t="str">
        <x:v>STRONG</x:v>
      </x:c>
      <x:c r="AA7" s="19" t="str">
        <x:v>The surface form may realize multiple senses; candidate meaning remains anchored to the report-visible source context.</x:v>
      </x:c>
      <x:c r="AB7" s="31" t="str">
        <x:v>Secondary: Component headword checked: shade.;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https://api.dictionaryapi.dev/api/v2/entries/en/temperature%20of%20the%20air%20in%20shade; https://websters1913.timcieplowski.com/word/shade/</x:v>
      </x:c>
      <x:c r="AC7" s="31" t="str">
        <x:v>INTERNET_ARCHIVE_METADATA_TEXT_ITEM_COUNT</x:v>
      </x:c>
      <x:c r="AD7" s="19" t="str">
        <x:v>"temperature of the air in shade" AND mediatype:texts</x:v>
      </x:c>
      <x:c r="AE7" s="31" t="str">
        <x:v>EXACT_PHRASE</x:v>
      </x:c>
      <x:c r="AF7" s="31" t="str">
        <x:v>COMPLETED_ZERO</x:v>
      </x:c>
      <x:c r="AG7" s="25" t="n">
        <x:v>0</x:v>
      </x:c>
      <x:c r="AH7" s="25" t="n">
        <x:v>0</x:v>
      </x:c>
      <x:c r="AI7" s="19" t="str">
        <x:v>2026-08-26</x:v>
      </x:c>
      <x:c r="AJ7" s="31" t="str">
        <x:v>Metadata text-item count; not a full-text lexical frequency. Secondary metric: NOT_RUN_OPENALEX_DAILY_BUDGET_EXHAUSTED: shared provider response retained; no count fabricated.</x:v>
      </x:c>
      <x:c r="AK7" s="31" t="str">
        <x:v>FULLY_COVERED</x:v>
      </x:c>
      <x:c r="AL7" s="19" t="str">
        <x:v>PENDING_SOURCE_REVIEW</x:v>
      </x:c>
      <x:c r="AM7" s="20" t="str">
        <x:v>MEDIUM</x:v>
      </x:c>
    </x:row>
    <x:row r="8" ht="34" customHeight="1">
      <x:c r="A8" s="40" t="str">
        <x:v>FT-SEED-R1B-P-1842-04</x:v>
      </x:c>
      <x:c r="B8" s="19" t="str">
        <x:v>1842</x:v>
      </x:c>
      <x:c r="C8" s="25" t="n">
        <x:v>4</x:v>
      </x:c>
      <x:c r="D8" s="31" t="str">
        <x:v>maximum temperature</x:v>
      </x:c>
      <x:c r="E8" s="31" t="str">
        <x:v>local / instrumental temperature</x:v>
      </x:c>
      <x:c r="F8" s="31" t="str">
        <x:v>temperature_threshold</x:v>
      </x:c>
      <x:c r="G8" s="19" t="str">
        <x:v>A</x:v>
      </x:c>
      <x:c r="H8" s="19" t="str">
        <x:v>V1</x:v>
      </x:c>
      <x:c r="I8" s="19" t="str">
        <x:v>NOT_EXPOSED_IN_REPORT</x:v>
      </x:c>
      <x:c r="J8" s="31" t="str">
        <x:v>S1842-ROSS</x:v>
      </x:c>
      <x:c r="K8" s="31" t="str">
        <x:v>RECONSTRUCTED_FROM_REPORT; Fear of Temperature_ Stratified Lexical Expansion, Voice Mapping, and Semantic-Relational Pre-Valida.pdf; p.6; project candidate FT-SEED-R1B-P-1842-04; original visible ID not available</x:v>
      </x:c>
      <x:c r="L8" s="31" t="str">
        <x:v>SUCCEEDED_REUSED_BASELINE</x:v>
      </x:c>
      <x:c r="M8" s="31" t="str">
        <x:v>maximum temperature</x:v>
      </x:c>
      <x:c r="N8" s="31" t="str">
        <x:v>EXACT</x:v>
      </x:c>
      <x:c r="O8" s="19" t="str">
        <x:v>1842</x:v>
      </x:c>
      <x:c r="P8" s="19" t="str">
        <x:v>1958</x:v>
      </x:c>
      <x:c r="Q8" s="46" t="n">
        <x:v>0.0000010416047427352915</x:v>
      </x:c>
      <x:c r="R8" s="46" t="n">
        <x:v>3.8828298315474186e-7</x:v>
      </x:c>
      <x:c r="S8" s="46" t="n">
        <x:v>1.566754800064185e-7</x:v>
      </x:c>
      <x:c r="T8" s="46" t="n">
        <x:v>4.5735168766047885e-7</x:v>
      </x:c>
      <x:c r="U8" s="31" t="str">
        <x:v>Candidate surface form is directly representable in the public Ngram interface. Complete 1842–2022 unsmoothed series reused from the audited quantitative-v0.1 baseline.</x:v>
      </x:c>
      <x:c r="V8" s="31" t="str">
        <x:v>NO_STANDALONE_HEADWORD</x:v>
      </x:c>
      <x:c r="W8" s="31" t="str">
        <x:v>Component lexical analysis plus anchor-source contextual meaning</x:v>
      </x:c>
      <x:c r="X8" s="31" t="str">
        <x:v>A physical temperature, warming, heat, or measurement sense in the documented anchor context.</x:v>
      </x:c>
      <x:c r="Y8" s="31" t="str">
        <x:v>A local or instrument-specific temperature reading; the candidate is interpreted in its documented anchor and voice context.</x:v>
      </x:c>
      <x:c r="Z8" s="31" t="str">
        <x:v>STRONG</x:v>
      </x:c>
      <x:c r="AA8" s="19" t="str">
        <x:v>The surface form may realize multiple senses; candidate meaning remains anchored to the report-visible source context.</x:v>
      </x:c>
      <x:c r="AB8"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https://api.dictionaryapi.dev/api/v2/entries/en/maximum%20temperature; https://websters1913.timcieplowski.com/word/temperature/</x:v>
      </x:c>
      <x:c r="AC8" s="31" t="str">
        <x:v>INTERNET_ARCHIVE_METADATA_TEXT_ITEM_COUNT</x:v>
      </x:c>
      <x:c r="AD8" s="19" t="str">
        <x:v>"maximum temperature" AND mediatype:texts</x:v>
      </x:c>
      <x:c r="AE8" s="31" t="str">
        <x:v>EXACT_PHRASE</x:v>
      </x:c>
      <x:c r="AF8" s="31" t="str">
        <x:v>COMPLETED_NONZERO</x:v>
      </x:c>
      <x:c r="AG8" s="25" t="n">
        <x:v>1464</x:v>
      </x:c>
      <x:c r="AH8" s="25" t="n">
        <x:v>0</x:v>
      </x:c>
      <x:c r="AI8" s="19" t="str">
        <x:v>2026-08-26</x:v>
      </x:c>
      <x:c r="AJ8" s="31" t="str">
        <x:v>Metadata text-item count; not a full-text lexical frequency. Secondary metric: NOT_RUN_OPENALEX_DAILY_BUDGET_EXHAUSTED: shared provider response retained; no count fabricated.</x:v>
      </x:c>
      <x:c r="AK8" s="31" t="str">
        <x:v>FULLY_COVERED</x:v>
      </x:c>
      <x:c r="AL8" s="19" t="str">
        <x:v>PENDING_SOURCE_REVIEW</x:v>
      </x:c>
      <x:c r="AM8" s="20" t="str">
        <x:v>MEDIUM</x:v>
      </x:c>
    </x:row>
    <x:row r="9" ht="34" customHeight="1">
      <x:c r="A9" s="40" t="str">
        <x:v>FT-SEED-R1B-P-1842-05</x:v>
      </x:c>
      <x:c r="B9" s="19" t="str">
        <x:v>1842</x:v>
      </x:c>
      <x:c r="C9" s="25" t="n">
        <x:v>5</x:v>
      </x:c>
      <x:c r="D9" s="31" t="str">
        <x:v>minimum temperature</x:v>
      </x:c>
      <x:c r="E9" s="31" t="str">
        <x:v>local / instrumental temperature</x:v>
      </x:c>
      <x:c r="F9" s="31" t="str">
        <x:v>temperature_threshold</x:v>
      </x:c>
      <x:c r="G9" s="19" t="str">
        <x:v>A</x:v>
      </x:c>
      <x:c r="H9" s="19" t="str">
        <x:v>V1</x:v>
      </x:c>
      <x:c r="I9" s="19" t="str">
        <x:v>NOT_EXPOSED_IN_REPORT</x:v>
      </x:c>
      <x:c r="J9" s="31" t="str">
        <x:v>S1842-ROSS</x:v>
      </x:c>
      <x:c r="K9" s="31" t="str">
        <x:v>RECONSTRUCTED_FROM_REPORT; Fear of Temperature_ Stratified Lexical Expansion, Voice Mapping, and Semantic-Relational Pre-Valida.pdf; p.6; project candidate FT-SEED-R1B-P-1842-05; original visible ID not available</x:v>
      </x:c>
      <x:c r="L9" s="31" t="str">
        <x:v>SUCCEEDED_REUSED_BASELINE</x:v>
      </x:c>
      <x:c r="M9" s="31" t="str">
        <x:v>minimum temperature</x:v>
      </x:c>
      <x:c r="N9" s="31" t="str">
        <x:v>EXACT</x:v>
      </x:c>
      <x:c r="O9" s="19" t="str">
        <x:v>1842</x:v>
      </x:c>
      <x:c r="P9" s="19" t="str">
        <x:v>1985</x:v>
      </x:c>
      <x:c r="Q9" s="46" t="n">
        <x:v>5.244083450678394e-7</x:v>
      </x:c>
      <x:c r="R9" s="46" t="n">
        <x:v>2.3348578032100775e-7</x:v>
      </x:c>
      <x:c r="S9" s="46" t="n">
        <x:v>1.0500049639483588e-7</x:v>
      </x:c>
      <x:c r="T9" s="46" t="n">
        <x:v>2.2186291173675876e-7</x:v>
      </x:c>
      <x:c r="U9" s="31" t="str">
        <x:v>Candidate surface form is directly representable in the public Ngram interface. Complete 1842–2022 unsmoothed series reused from the audited quantitative-v0.1 baseline.</x:v>
      </x:c>
      <x:c r="V9" s="31" t="str">
        <x:v>NO_STANDALONE_HEADWORD</x:v>
      </x:c>
      <x:c r="W9" s="31" t="str">
        <x:v>Component lexical analysis plus anchor-source contextual meaning</x:v>
      </x:c>
      <x:c r="X9" s="31" t="str">
        <x:v>A physical temperature, warming, heat, or measurement sense in the documented anchor context.</x:v>
      </x:c>
      <x:c r="Y9" s="31" t="str">
        <x:v>A local or instrument-specific temperature reading; the candidate is interpreted in its documented anchor and voice context.</x:v>
      </x:c>
      <x:c r="Z9" s="31" t="str">
        <x:v>STRONG</x:v>
      </x:c>
      <x:c r="AA9" s="19" t="str">
        <x:v>The surface form may realize multiple senses; candidate meaning remains anchored to the report-visible source context.</x:v>
      </x:c>
      <x:c r="AB9"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https://api.dictionaryapi.dev/api/v2/entries/en/minimum%20temperature; https://websters1913.timcieplowski.com/word/temperature/</x:v>
      </x:c>
      <x:c r="AC9" s="31" t="str">
        <x:v>INTERNET_ARCHIVE_METADATA_TEXT_ITEM_COUNT</x:v>
      </x:c>
      <x:c r="AD9" s="19" t="str">
        <x:v>"minimum temperature" AND mediatype:texts</x:v>
      </x:c>
      <x:c r="AE9" s="31" t="str">
        <x:v>EXACT_PHRASE</x:v>
      </x:c>
      <x:c r="AF9" s="31" t="str">
        <x:v>COMPLETED_NONZERO</x:v>
      </x:c>
      <x:c r="AG9" s="25" t="n">
        <x:v>460</x:v>
      </x:c>
      <x:c r="AH9" s="25" t="n">
        <x:v>0</x:v>
      </x:c>
      <x:c r="AI9" s="19" t="str">
        <x:v>2026-08-26</x:v>
      </x:c>
      <x:c r="AJ9" s="31" t="str">
        <x:v>Metadata text-item count; not a full-text lexical frequency. Secondary metric: NOT_RUN_OPENALEX_DAILY_BUDGET_EXHAUSTED: shared provider response retained; no count fabricated.</x:v>
      </x:c>
      <x:c r="AK9" s="31" t="str">
        <x:v>FULLY_COVERED</x:v>
      </x:c>
      <x:c r="AL9" s="19" t="str">
        <x:v>PENDING_SOURCE_REVIEW</x:v>
      </x:c>
      <x:c r="AM9" s="20" t="str">
        <x:v>MEDIUM</x:v>
      </x:c>
    </x:row>
    <x:row r="10" ht="34" customHeight="1">
      <x:c r="A10" s="40" t="str">
        <x:v>FT-SEED-R1B-P-1842-06</x:v>
      </x:c>
      <x:c r="B10" s="19" t="str">
        <x:v>1842</x:v>
      </x:c>
      <x:c r="C10" s="25" t="n">
        <x:v>6</x:v>
      </x:c>
      <x:c r="D10" s="31" t="str">
        <x:v>mean temperature of sea at surface</x:v>
      </x:c>
      <x:c r="E10" s="31" t="str">
        <x:v>mean temperature</x:v>
      </x:c>
      <x:c r="F10" s="31" t="str">
        <x:v>temperature_threshold</x:v>
      </x:c>
      <x:c r="G10" s="19" t="str">
        <x:v>A</x:v>
      </x:c>
      <x:c r="H10" s="19" t="str">
        <x:v>V1</x:v>
      </x:c>
      <x:c r="I10" s="19" t="str">
        <x:v>NOT_EXPOSED_IN_REPORT</x:v>
      </x:c>
      <x:c r="J10" s="31" t="str">
        <x:v>S1842-ROSS</x:v>
      </x:c>
      <x:c r="K10" s="31" t="str">
        <x:v>RECONSTRUCTED_FROM_REPORT; Fear of Temperature_ Stratified Lexical Expansion, Voice Mapping, and Semantic-Relational Pre-Valida.pdf; p.6; project candidate FT-SEED-R1B-P-1842-06; original visible ID not available</x:v>
      </x:c>
      <x:c r="L10" s="31" t="str">
        <x:v>ZERO_RESPONSE_REUSED_BASELINE</x:v>
      </x:c>
      <x:c r="M10" s="31" t="str">
        <x:v>mean temperature of sea at surface</x:v>
      </x:c>
      <x:c r="N10" s="31" t="str">
        <x:v>EXACT</x:v>
      </x:c>
      <x:c r="O10" s="19" t="str">
        <x:v>NOT_APPLICABLE</x:v>
      </x:c>
      <x:c r="P10" s="19" t="str">
        <x:v>NOT_APPLICABLE</x:v>
      </x:c>
      <x:c r="Q10" s="46" t="str">
        <x:v>NOT_APPLICABLE</x:v>
      </x:c>
      <x:c r="R10" s="46" t="str">
        <x:v>NOT_APPLICABLE</x:v>
      </x:c>
      <x:c r="S10" s="46" t="str">
        <x:v>NOT_APPLICABLE</x:v>
      </x:c>
      <x:c r="T10" s="46" t="str">
        <x:v>NOT_APPLICABLE</x:v>
      </x:c>
      <x:c r="U10" s="31" t="str">
        <x:v>Candidate surface form is directly representable in the public Ngram interface. The audited executable rule returned an empty Ngram payload; retained as source/query zero-response evidence, not historical absence.</x:v>
      </x:c>
      <x:c r="V10" s="31" t="str">
        <x:v>NO_STANDALONE_HEADWORD</x:v>
      </x:c>
      <x:c r="W10" s="31" t="str">
        <x:v>Component lexical analysis plus anchor-source contextual meaning</x:v>
      </x:c>
      <x:c r="X10" s="31" t="str">
        <x:v>A physical temperature, warming, heat, or measurement sense in the documented anchor context.</x:v>
      </x:c>
      <x:c r="Y10" s="31" t="str">
        <x:v>A temporally or spatially averaged temperature value; the candidate is interpreted in its documented anchor and voice context.</x:v>
      </x:c>
      <x:c r="Z10" s="31" t="str">
        <x:v>STRONG</x:v>
      </x:c>
      <x:c r="AA10" s="19" t="str">
        <x:v>The surface form may realize multiple senses; candidate meaning remains anchored to the report-visible source context.</x:v>
      </x:c>
      <x:c r="AB10" s="31" t="str">
        <x:v>Secondary: Component headword checked: surface.;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https://api.dictionaryapi.dev/api/v2/entries/en/mean%20temperature%20of%20sea%20at%20surface; https://websters1913.timcieplowski.com/word/surface/</x:v>
      </x:c>
      <x:c r="AC10" s="31" t="str">
        <x:v>INTERNET_ARCHIVE_METADATA_TEXT_ITEM_COUNT</x:v>
      </x:c>
      <x:c r="AD10" s="19" t="str">
        <x:v>"mean temperature of sea at surface" AND mediatype:texts</x:v>
      </x:c>
      <x:c r="AE10" s="31" t="str">
        <x:v>EXACT_PHRASE</x:v>
      </x:c>
      <x:c r="AF10" s="31" t="str">
        <x:v>COMPLETED_ZERO</x:v>
      </x:c>
      <x:c r="AG10" s="25" t="n">
        <x:v>0</x:v>
      </x:c>
      <x:c r="AH10" s="25" t="n">
        <x:v>0</x:v>
      </x:c>
      <x:c r="AI10" s="19" t="str">
        <x:v>2026-08-26</x:v>
      </x:c>
      <x:c r="AJ10" s="31" t="str">
        <x:v>Metadata text-item count; not a full-text lexical frequency. Secondary metric: NOT_RUN_OPENALEX_DAILY_BUDGET_EXHAUSTED: shared provider response retained; no count fabricated.</x:v>
      </x:c>
      <x:c r="AK10" s="31" t="str">
        <x:v>FULLY_COVERED</x:v>
      </x:c>
      <x:c r="AL10" s="19" t="str">
        <x:v>PENDING_SOURCE_REVIEW</x:v>
      </x:c>
      <x:c r="AM10" s="20" t="str">
        <x:v>MEDIUM</x:v>
      </x:c>
    </x:row>
    <x:row r="11" ht="34" customHeight="1">
      <x:c r="A11" s="40" t="str">
        <x:v>FT-SEED-R1B-P-1842-07</x:v>
      </x:c>
      <x:c r="B11" s="19" t="str">
        <x:v>1842</x:v>
      </x:c>
      <x:c r="C11" s="25" t="n">
        <x:v>7</x:v>
      </x:c>
      <x:c r="D11" s="31" t="str">
        <x:v>dew point</x:v>
      </x:c>
      <x:c r="E11" s="31" t="str">
        <x:v>local / instrumental temperature</x:v>
      </x:c>
      <x:c r="F11" s="31" t="str">
        <x:v>temperature_threshold</x:v>
      </x:c>
      <x:c r="G11" s="19" t="str">
        <x:v>A</x:v>
      </x:c>
      <x:c r="H11" s="19" t="str">
        <x:v>V1</x:v>
      </x:c>
      <x:c r="I11" s="19" t="str">
        <x:v>NOT_EXPOSED_IN_REPORT</x:v>
      </x:c>
      <x:c r="J11" s="31" t="str">
        <x:v>S1842-LEICHHARDT-N</x:v>
      </x:c>
      <x:c r="K11" s="31" t="str">
        <x:v>RECONSTRUCTED_FROM_REPORT; Fear of Temperature_ Stratified Lexical Expansion, Voice Mapping, and Semantic-Relational Pre-Valida.pdf; p.6; project candidate FT-SEED-R1B-P-1842-07; original visible ID not available</x:v>
      </x:c>
      <x:c r="L11" s="31" t="str">
        <x:v>SUCCEEDED_REUSED_BASELINE</x:v>
      </x:c>
      <x:c r="M11" s="31" t="str">
        <x:v>dew point</x:v>
      </x:c>
      <x:c r="N11" s="31" t="str">
        <x:v>EXACT</x:v>
      </x:c>
      <x:c r="O11" s="19" t="str">
        <x:v>1842</x:v>
      </x:c>
      <x:c r="P11" s="19" t="str">
        <x:v>1844</x:v>
      </x:c>
      <x:c r="Q11" s="46" t="n">
        <x:v>0.0000012860426563676697</x:v>
      </x:c>
      <x:c r="R11" s="46" t="n">
        <x:v>5.02445909766891e-7</x:v>
      </x:c>
      <x:c r="S11" s="46" t="n">
        <x:v>6.271446773009615e-7</x:v>
      </x:c>
      <x:c r="T11" s="46" t="n">
        <x:v>2.2973760255284859e-7</x:v>
      </x:c>
      <x:c r="U11" s="31" t="str">
        <x:v>Candidate surface form is directly representable in the public Ngram interface. Complete 1842–2022 unsmoothed series reused from the audited quantitative-v0.1 baseline.</x:v>
      </x:c>
      <x:c r="V11" s="31" t="str">
        <x:v>NO_STANDALONE_HEADWORD</x:v>
      </x:c>
      <x:c r="W11" s="31" t="str">
        <x:v>Component lexical analysis plus anchor-source contextual meaning</x:v>
      </x:c>
      <x:c r="X11" s="31" t="str">
        <x:v>A physical temperature, warming, heat, or measurement sense in the documented anchor context.</x:v>
      </x:c>
      <x:c r="Y11" s="31" t="str">
        <x:v>A local or instrument-specific temperature reading; the candidate is interpreted in its documented anchor and voice context.</x:v>
      </x:c>
      <x:c r="Z11" s="31" t="str">
        <x:v>STRONG</x:v>
      </x:c>
      <x:c r="AA11" s="19" t="str">
        <x:v>The surface form may realize multiple senses; candidate meaning remains anchored to the report-visible source context.</x:v>
      </x:c>
      <x:c r="AB11" s="31" t="str">
        <x:v>Secondary: Component headword checked: point.;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https://api.dictionaryapi.dev/api/v2/entries/en/dew%20point; https://websters1913.timcieplowski.com/word/point/</x:v>
      </x:c>
      <x:c r="AC11" s="31" t="str">
        <x:v>INTERNET_ARCHIVE_METADATA_TEXT_ITEM_COUNT</x:v>
      </x:c>
      <x:c r="AD11" s="19" t="str">
        <x:v>"dew point" AND mediatype:texts</x:v>
      </x:c>
      <x:c r="AE11" s="31" t="str">
        <x:v>EXACT_PHRASE</x:v>
      </x:c>
      <x:c r="AF11" s="31" t="str">
        <x:v>COMPLETED_NONZERO</x:v>
      </x:c>
      <x:c r="AG11" s="25" t="n">
        <x:v>1217</x:v>
      </x:c>
      <x:c r="AH11" s="25" t="n">
        <x:v>2</x:v>
      </x:c>
      <x:c r="AI11" s="19" t="str">
        <x:v>2026-08-26</x:v>
      </x:c>
      <x:c r="AJ11" s="31" t="str">
        <x:v>Metadata text-item count; not a full-text lexical frequency. Secondary metric: NOT_RUN_OPENALEX_DAILY_BUDGET_EXHAUSTED: shared provider response retained; no count fabricated.</x:v>
      </x:c>
      <x:c r="AK11" s="31" t="str">
        <x:v>FULLY_COVERED</x:v>
      </x:c>
      <x:c r="AL11" s="19" t="str">
        <x:v>PENDING_SOURCE_REVIEW</x:v>
      </x:c>
      <x:c r="AM11" s="20" t="str">
        <x:v>MEDIUM</x:v>
      </x:c>
    </x:row>
    <x:row r="12" ht="34" customHeight="1">
      <x:c r="A12" s="40" t="str">
        <x:v>FT-SEED-R1B-P-1842-08</x:v>
      </x:c>
      <x:c r="B12" s="19" t="str">
        <x:v>1842</x:v>
      </x:c>
      <x:c r="C12" s="25" t="n">
        <x:v>8</x:v>
      </x:c>
      <x:c r="D12" s="31" t="str">
        <x:v>standard thermometer</x:v>
      </x:c>
      <x:c r="E12" s="31" t="str">
        <x:v>local / instrumental temperature</x:v>
      </x:c>
      <x:c r="F12" s="31" t="str">
        <x:v>temperature_threshold</x:v>
      </x:c>
      <x:c r="G12" s="19" t="str">
        <x:v>A</x:v>
      </x:c>
      <x:c r="H12" s="19" t="str">
        <x:v>V1</x:v>
      </x:c>
      <x:c r="I12" s="19" t="str">
        <x:v>NOT_EXPOSED_IN_REPORT</x:v>
      </x:c>
      <x:c r="J12" s="31" t="str">
        <x:v>S1842-RS-COLABA</x:v>
      </x:c>
      <x:c r="K12" s="31" t="str">
        <x:v>RECONSTRUCTED_FROM_REPORT; Fear of Temperature_ Stratified Lexical Expansion, Voice Mapping, and Semantic-Relational Pre-Valida.pdf; p.7; project candidate FT-SEED-R1B-P-1842-08; original visible ID not available</x:v>
      </x:c>
      <x:c r="L12" s="31" t="str">
        <x:v>SUCCEEDED_REUSED_BASELINE</x:v>
      </x:c>
      <x:c r="M12" s="31" t="str">
        <x:v>standard thermometer</x:v>
      </x:c>
      <x:c r="N12" s="31" t="str">
        <x:v>EXACT</x:v>
      </x:c>
      <x:c r="O12" s="19" t="str">
        <x:v>1842</x:v>
      </x:c>
      <x:c r="P12" s="19" t="str">
        <x:v>1875</x:v>
      </x:c>
      <x:c r="Q12" s="46" t="n">
        <x:v>2.0496997077401602e-7</x:v>
      </x:c>
      <x:c r="R12" s="46" t="n">
        <x:v>8.384848482201335e-9</x:v>
      </x:c>
      <x:c r="S12" s="46" t="n">
        <x:v>2.3637724833047713e-8</x:v>
      </x:c>
      <x:c r="T12" s="46" t="n">
        <x:v>2.6101517891508053e-9</x:v>
      </x:c>
      <x:c r="U12" s="31" t="str">
        <x:v>Candidate surface form is directly representable in the public Ngram interface. Complete 1842–2022 unsmoothed series reused from the audited quantitative-v0.1 baseline.</x:v>
      </x:c>
      <x:c r="V12" s="31" t="str">
        <x:v>NO_STANDALONE_HEADWORD</x:v>
      </x:c>
      <x:c r="W12" s="31" t="str">
        <x:v>Component lexical analysis plus anchor-source contextual meaning</x:v>
      </x:c>
      <x:c r="X12" s="31" t="str">
        <x:v>A physical temperature, warming, heat, or measurement sense in the documented anchor context.</x:v>
      </x:c>
      <x:c r="Y12" s="31" t="str">
        <x:v>A local or instrument-specific temperature reading; the candidate is interpreted in its documented anchor and voice context.</x:v>
      </x:c>
      <x:c r="Z12" s="31" t="str">
        <x:v>STRONG</x:v>
      </x:c>
      <x:c r="AA12" s="19" t="str">
        <x:v>The surface form may realize multiple senses; candidate meaning remains anchored to the report-visible source context.</x:v>
      </x:c>
      <x:c r="AB12"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https://api.dictionaryapi.dev/api/v2/entries/en/standard%20thermometer; https://websters1913.timcieplowski.com/word/thermometer/</x:v>
      </x:c>
      <x:c r="AC12" s="31" t="str">
        <x:v>INTERNET_ARCHIVE_METADATA_TEXT_ITEM_COUNT</x:v>
      </x:c>
      <x:c r="AD12" s="19" t="str">
        <x:v>"standard thermometer" AND mediatype:texts</x:v>
      </x:c>
      <x:c r="AE12" s="31" t="str">
        <x:v>EXACT_PHRASE</x:v>
      </x:c>
      <x:c r="AF12" s="31" t="str">
        <x:v>COMPLETED_NONZERO</x:v>
      </x:c>
      <x:c r="AG12" s="25" t="n">
        <x:v>2</x:v>
      </x:c>
      <x:c r="AH12" s="25" t="n">
        <x:v>0</x:v>
      </x:c>
      <x:c r="AI12" s="19" t="str">
        <x:v>2026-08-26</x:v>
      </x:c>
      <x:c r="AJ12" s="31" t="str">
        <x:v>Metadata text-item count; not a full-text lexical frequency. Secondary metric: NOT_RUN_OPENALEX_DAILY_BUDGET_EXHAUSTED: shared provider response retained; no count fabricated.</x:v>
      </x:c>
      <x:c r="AK12" s="31" t="str">
        <x:v>FULLY_COVERED</x:v>
      </x:c>
      <x:c r="AL12" s="19" t="str">
        <x:v>PENDING_SOURCE_REVIEW</x:v>
      </x:c>
      <x:c r="AM12" s="20" t="str">
        <x:v>MEDIUM</x:v>
      </x:c>
    </x:row>
    <x:row r="13" ht="34" customHeight="1">
      <x:c r="A13" s="40" t="str">
        <x:v>FT-SEED-R1B-P-1842-09</x:v>
      </x:c>
      <x:c r="B13" s="19" t="str">
        <x:v>1842</x:v>
      </x:c>
      <x:c r="C13" s="25" t="n">
        <x:v>9</x:v>
      </x:c>
      <x:c r="D13" s="31" t="str">
        <x:v>attached thermometer</x:v>
      </x:c>
      <x:c r="E13" s="31" t="str">
        <x:v>local / instrumental temperature</x:v>
      </x:c>
      <x:c r="F13" s="31" t="str">
        <x:v>temperature_threshold</x:v>
      </x:c>
      <x:c r="G13" s="19" t="str">
        <x:v>A</x:v>
      </x:c>
      <x:c r="H13" s="19" t="str">
        <x:v>V1</x:v>
      </x:c>
      <x:c r="I13" s="19" t="str">
        <x:v>NOT_EXPOSED_IN_REPORT</x:v>
      </x:c>
      <x:c r="J13" s="31" t="str">
        <x:v>S1842-RS-COLABA</x:v>
      </x:c>
      <x:c r="K13" s="31" t="str">
        <x:v>RECONSTRUCTED_FROM_REPORT; Fear of Temperature_ Stratified Lexical Expansion, Voice Mapping, and Semantic-Relational Pre-Valida.pdf; p.7; project candidate FT-SEED-R1B-P-1842-09; original visible ID not available</x:v>
      </x:c>
      <x:c r="L13" s="31" t="str">
        <x:v>SUCCEEDED_REUSED_BASELINE</x:v>
      </x:c>
      <x:c r="M13" s="31" t="str">
        <x:v>attached thermometer</x:v>
      </x:c>
      <x:c r="N13" s="31" t="str">
        <x:v>EXACT</x:v>
      </x:c>
      <x:c r="O13" s="19" t="str">
        <x:v>1842</x:v>
      </x:c>
      <x:c r="P13" s="19" t="str">
        <x:v>1844</x:v>
      </x:c>
      <x:c r="Q13" s="46" t="n">
        <x:v>2.3284261124745242e-7</x:v>
      </x:c>
      <x:c r="R13" s="46" t="n">
        <x:v>6.901375293466572e-8</x:v>
      </x:c>
      <x:c r="S13" s="46" t="n">
        <x:v>1.3605652200709972e-7</x:v>
      </x:c>
      <x:c r="T13" s="46" t="n">
        <x:v>3.406469412103874e-9</x:v>
      </x:c>
      <x:c r="U13" s="31" t="str">
        <x:v>Candidate surface form is directly representable in the public Ngram interface. Complete 1842–2022 unsmoothed series reused from the audited quantitative-v0.1 baseline.</x:v>
      </x:c>
      <x:c r="V13" s="31" t="str">
        <x:v>NO_STANDALONE_HEADWORD</x:v>
      </x:c>
      <x:c r="W13" s="31" t="str">
        <x:v>Component lexical analysis plus anchor-source contextual meaning</x:v>
      </x:c>
      <x:c r="X13" s="31" t="str">
        <x:v>A physical temperature, warming, heat, or measurement sense in the documented anchor context.</x:v>
      </x:c>
      <x:c r="Y13" s="31" t="str">
        <x:v>A local or instrument-specific temperature reading; the candidate is interpreted in its documented anchor and voice context.</x:v>
      </x:c>
      <x:c r="Z13" s="31" t="str">
        <x:v>STRONG</x:v>
      </x:c>
      <x:c r="AA13" s="19" t="str">
        <x:v>The surface form may realize multiple senses; candidate meaning remains anchored to the report-visible source context.</x:v>
      </x:c>
      <x:c r="AB13"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https://api.dictionaryapi.dev/api/v2/entries/en/attached%20thermometer; https://websters1913.timcieplowski.com/word/thermometer/</x:v>
      </x:c>
      <x:c r="AC13" s="31" t="str">
        <x:v>INTERNET_ARCHIVE_METADATA_TEXT_ITEM_COUNT</x:v>
      </x:c>
      <x:c r="AD13" s="19" t="str">
        <x:v>"attached thermometer" AND mediatype:texts</x:v>
      </x:c>
      <x:c r="AE13" s="31" t="str">
        <x:v>EXACT_PHRASE</x:v>
      </x:c>
      <x:c r="AF13" s="31" t="str">
        <x:v>COMPLETED_ZERO</x:v>
      </x:c>
      <x:c r="AG13" s="25" t="n">
        <x:v>0</x:v>
      </x:c>
      <x:c r="AH13" s="25" t="n">
        <x:v>0</x:v>
      </x:c>
      <x:c r="AI13" s="19" t="str">
        <x:v>2026-08-26</x:v>
      </x:c>
      <x:c r="AJ13" s="31" t="str">
        <x:v>Metadata text-item count; not a full-text lexical frequency. Secondary metric: Scholarly work discoverability count over OpenAlex search fields; not a corpus word frequency.</x:v>
      </x:c>
      <x:c r="AK13" s="31" t="str">
        <x:v>FULLY_COVERED</x:v>
      </x:c>
      <x:c r="AL13" s="19" t="str">
        <x:v>PENDING_SOURCE_REVIEW</x:v>
      </x:c>
      <x:c r="AM13" s="20" t="str">
        <x:v>MEDIUM</x:v>
      </x:c>
    </x:row>
    <x:row r="14" ht="34" customHeight="1">
      <x:c r="A14" s="40" t="str">
        <x:v>FT-SEED-R1B-P-1842-10</x:v>
      </x:c>
      <x:c r="B14" s="19" t="str">
        <x:v>1842</x:v>
      </x:c>
      <x:c r="C14" s="25" t="n">
        <x:v>10</x:v>
      </x:c>
      <x:c r="D14" s="31" t="str">
        <x:v>dry bulb thermometer</x:v>
      </x:c>
      <x:c r="E14" s="31" t="str">
        <x:v>local / instrumental temperature</x:v>
      </x:c>
      <x:c r="F14" s="31" t="str">
        <x:v>temperature_threshold</x:v>
      </x:c>
      <x:c r="G14" s="19" t="str">
        <x:v>A</x:v>
      </x:c>
      <x:c r="H14" s="19" t="str">
        <x:v>V1</x:v>
      </x:c>
      <x:c r="I14" s="19" t="str">
        <x:v>NOT_EXPOSED_IN_REPORT</x:v>
      </x:c>
      <x:c r="J14" s="31" t="str">
        <x:v>S1842-RS-COLABA</x:v>
      </x:c>
      <x:c r="K14" s="31" t="str">
        <x:v>RECONSTRUCTED_FROM_REPORT; Fear of Temperature_ Stratified Lexical Expansion, Voice Mapping, and Semantic-Relational Pre-Valida.pdf; p.7; project candidate FT-SEED-R1B-P-1842-10; original visible ID not available</x:v>
      </x:c>
      <x:c r="L14" s="31" t="str">
        <x:v>SUCCEEDED_REUSED_BASELINE</x:v>
      </x:c>
      <x:c r="M14" s="31" t="str">
        <x:v>dry bulb thermometer</x:v>
      </x:c>
      <x:c r="N14" s="31" t="str">
        <x:v>EXACT</x:v>
      </x:c>
      <x:c r="O14" s="19" t="str">
        <x:v>1842</x:v>
      </x:c>
      <x:c r="P14" s="19" t="str">
        <x:v>1869</x:v>
      </x:c>
      <x:c r="Q14" s="46" t="n">
        <x:v>2.647877378469943e-7</x:v>
      </x:c>
      <x:c r="R14" s="46" t="n">
        <x:v>8.854272692815357e-8</x:v>
      </x:c>
      <x:c r="S14" s="46" t="n">
        <x:v>4.692082165858036e-8</x:v>
      </x:c>
      <x:c r="T14" s="46" t="n">
        <x:v>8.466447189159343e-9</x:v>
      </x:c>
      <x:c r="U14" s="31" t="str">
        <x:v>Candidate surface form is directly representable in the public Ngram interface. Complete 1842–2022 unsmoothed series reused from the audited quantitative-v0.1 baseline.</x:v>
      </x:c>
      <x:c r="V14" s="31" t="str">
        <x:v>NO_STANDALONE_HEADWORD</x:v>
      </x:c>
      <x:c r="W14" s="31" t="str">
        <x:v>Component lexical analysis plus anchor-source contextual meaning</x:v>
      </x:c>
      <x:c r="X14" s="31" t="str">
        <x:v>A physical temperature, warming, heat, or measurement sense in the documented anchor context.</x:v>
      </x:c>
      <x:c r="Y14" s="31" t="str">
        <x:v>A local or instrument-specific temperature reading; the candidate is interpreted in its documented anchor and voice context.</x:v>
      </x:c>
      <x:c r="Z14" s="31" t="str">
        <x:v>STRONG</x:v>
      </x:c>
      <x:c r="AA14" s="19" t="str">
        <x:v>The surface form may realize multiple senses; candidate meaning remains anchored to the report-visible source context.</x:v>
      </x:c>
      <x:c r="AB14"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https://api.dictionaryapi.dev/api/v2/entries/en/dry%20bulb%20thermometer; https://websters1913.timcieplowski.com/word/thermometer/</x:v>
      </x:c>
      <x:c r="AC14" s="31" t="str">
        <x:v>INTERNET_ARCHIVE_METADATA_TEXT_ITEM_COUNT</x:v>
      </x:c>
      <x:c r="AD14" s="19" t="str">
        <x:v>"dry bulb thermometer" AND mediatype:texts</x:v>
      </x:c>
      <x:c r="AE14" s="31" t="str">
        <x:v>EXACT_PHRASE</x:v>
      </x:c>
      <x:c r="AF14" s="31" t="str">
        <x:v>COMPLETED_NONZERO</x:v>
      </x:c>
      <x:c r="AG14" s="25" t="n">
        <x:v>2</x:v>
      </x:c>
      <x:c r="AH14" s="25" t="n">
        <x:v>0</x:v>
      </x:c>
      <x:c r="AI14" s="19" t="str">
        <x:v>2026-08-26</x:v>
      </x:c>
      <x:c r="AJ14" s="31" t="str">
        <x:v>Metadata text-item count; not a full-text lexical frequency. Secondary metric: NOT_RUN_OPENALEX_DAILY_BUDGET_EXHAUSTED: shared provider response retained; no count fabricated.</x:v>
      </x:c>
      <x:c r="AK14" s="31" t="str">
        <x:v>FULLY_COVERED</x:v>
      </x:c>
      <x:c r="AL14" s="19" t="str">
        <x:v>PENDING_SOURCE_REVIEW</x:v>
      </x:c>
      <x:c r="AM14" s="20" t="str">
        <x:v>MEDIUM</x:v>
      </x:c>
    </x:row>
    <x:row r="15" ht="34" customHeight="1">
      <x:c r="A15" s="40" t="str">
        <x:v>FT-SEED-R1B-P-1842-11</x:v>
      </x:c>
      <x:c r="B15" s="19" t="str">
        <x:v>1842</x:v>
      </x:c>
      <x:c r="C15" s="25" t="n">
        <x:v>11</x:v>
      </x:c>
      <x:c r="D15" s="31" t="str">
        <x:v>wet bulb thermometer</x:v>
      </x:c>
      <x:c r="E15" s="31" t="str">
        <x:v>local / instrumental temperature</x:v>
      </x:c>
      <x:c r="F15" s="31" t="str">
        <x:v>temperature_threshold</x:v>
      </x:c>
      <x:c r="G15" s="19" t="str">
        <x:v>A</x:v>
      </x:c>
      <x:c r="H15" s="19" t="str">
        <x:v>V1</x:v>
      </x:c>
      <x:c r="I15" s="19" t="str">
        <x:v>NOT_EXPOSED_IN_REPORT</x:v>
      </x:c>
      <x:c r="J15" s="31" t="str">
        <x:v>S1842-RS-COLABA</x:v>
      </x:c>
      <x:c r="K15" s="31" t="str">
        <x:v>RECONSTRUCTED_FROM_REPORT; Fear of Temperature_ Stratified Lexical Expansion, Voice Mapping, and Semantic-Relational Pre-Valida.pdf; p.6; project candidate FT-SEED-R1B-P-1842-11; original visible ID not available</x:v>
      </x:c>
      <x:c r="L15" s="31" t="str">
        <x:v>SUCCEEDED_REUSED_BASELINE</x:v>
      </x:c>
      <x:c r="M15" s="31" t="str">
        <x:v>wet bulb thermometer</x:v>
      </x:c>
      <x:c r="N15" s="31" t="str">
        <x:v>EXACT</x:v>
      </x:c>
      <x:c r="O15" s="19" t="str">
        <x:v>1842</x:v>
      </x:c>
      <x:c r="P15" s="19" t="str">
        <x:v>1869</x:v>
      </x:c>
      <x:c r="Q15" s="46" t="n">
        <x:v>1.703290762877785e-7</x:v>
      </x:c>
      <x:c r="R15" s="46" t="n">
        <x:v>7.550155167734829e-9</x:v>
      </x:c>
      <x:c r="S15" s="46" t="n">
        <x:v>5.215477506814725e-8</x:v>
      </x:c>
      <x:c r="T15" s="46" t="n">
        <x:v>7.142087012079745e-9</x:v>
      </x:c>
      <x:c r="U15" s="31" t="str">
        <x:v>Candidate surface form is directly representable in the public Ngram interface. Complete 1842–2022 unsmoothed series reused from the audited quantitative-v0.1 baseline.</x:v>
      </x:c>
      <x:c r="V15" s="31" t="str">
        <x:v>NO_STANDALONE_HEADWORD</x:v>
      </x:c>
      <x:c r="W15" s="31" t="str">
        <x:v>Component lexical analysis plus anchor-source contextual meaning</x:v>
      </x:c>
      <x:c r="X15" s="31" t="str">
        <x:v>A physical temperature, warming, heat, or measurement sense in the documented anchor context.</x:v>
      </x:c>
      <x:c r="Y15" s="31" t="str">
        <x:v>A local or instrument-specific temperature reading; the candidate is interpreted in its documented anchor and voice context.</x:v>
      </x:c>
      <x:c r="Z15" s="31" t="str">
        <x:v>STRONG</x:v>
      </x:c>
      <x:c r="AA15" s="19" t="str">
        <x:v>The surface form may realize multiple senses; candidate meaning remains anchored to the report-visible source context.</x:v>
      </x:c>
      <x:c r="AB15"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https://api.dictionaryapi.dev/api/v2/entries/en/wet%20bulb%20thermometer; https://websters1913.timcieplowski.com/word/thermometer/</x:v>
      </x:c>
      <x:c r="AC15" s="31" t="str">
        <x:v>INTERNET_ARCHIVE_METADATA_TEXT_ITEM_COUNT</x:v>
      </x:c>
      <x:c r="AD15" s="19" t="str">
        <x:v>"wet bulb thermometer" AND mediatype:texts</x:v>
      </x:c>
      <x:c r="AE15" s="31" t="str">
        <x:v>EXACT_PHRASE</x:v>
      </x:c>
      <x:c r="AF15" s="31" t="str">
        <x:v>COMPLETED_NONZERO</x:v>
      </x:c>
      <x:c r="AG15" s="25" t="n">
        <x:v>7</x:v>
      </x:c>
      <x:c r="AH15" s="25" t="n">
        <x:v>0</x:v>
      </x:c>
      <x:c r="AI15" s="19" t="str">
        <x:v>2026-08-26</x:v>
      </x:c>
      <x:c r="AJ15" s="31" t="str">
        <x:v>Metadata text-item count; not a full-text lexical frequency. Secondary metric: NOT_RUN_OPENALEX_DAILY_BUDGET_EXHAUSTED: shared provider response retained; no count fabricated.</x:v>
      </x:c>
      <x:c r="AK15" s="31" t="str">
        <x:v>FULLY_COVERED</x:v>
      </x:c>
      <x:c r="AL15" s="19" t="str">
        <x:v>PENDING_SOURCE_REVIEW</x:v>
      </x:c>
      <x:c r="AM15" s="20" t="str">
        <x:v>MEDIUM</x:v>
      </x:c>
    </x:row>
    <x:row r="16" ht="34" customHeight="1">
      <x:c r="A16" s="40" t="str">
        <x:v>FT-SEED-R1B-P-1842-12</x:v>
      </x:c>
      <x:c r="B16" s="19" t="str">
        <x:v>1842</x:v>
      </x:c>
      <x:c r="C16" s="25" t="n">
        <x:v>12</x:v>
      </x:c>
      <x:c r="D16" s="31" t="str">
        <x:v>meteorological observations</x:v>
      </x:c>
      <x:c r="E16" s="31" t="str">
        <x:v>historical climate / climatological condition</x:v>
      </x:c>
      <x:c r="F16" s="31" t="str">
        <x:v>climate</x:v>
      </x:c>
      <x:c r="G16" s="19" t="str">
        <x:v>B</x:v>
      </x:c>
      <x:c r="H16" s="19" t="str">
        <x:v>V1</x:v>
      </x:c>
      <x:c r="I16" s="19" t="str">
        <x:v>NOT_EXPOSED_IN_REPORT</x:v>
      </x:c>
      <x:c r="J16" s="31" t="str">
        <x:v>S1842-RS-COLABA</x:v>
      </x:c>
      <x:c r="K16" s="31" t="str">
        <x:v>RECONSTRUCTED_FROM_REPORT; Fear of Temperature_ Stratified Lexical Expansion, Voice Mapping, and Semantic-Relational Pre-Valida.pdf; p.6; project candidate FT-SEED-R1B-P-1842-12; original visible ID not available</x:v>
      </x:c>
      <x:c r="L16" s="31" t="str">
        <x:v>SUCCEEDED_REUSED_BASELINE</x:v>
      </x:c>
      <x:c r="M16" s="31" t="str">
        <x:v>meteorological observations</x:v>
      </x:c>
      <x:c r="N16" s="31" t="str">
        <x:v>EXACT</x:v>
      </x:c>
      <x:c r="O16" s="19" t="str">
        <x:v>1842</x:v>
      </x:c>
      <x:c r="P16" s="19" t="str">
        <x:v>1875</x:v>
      </x:c>
      <x:c r="Q16" s="46" t="n">
        <x:v>0.0000017900506604495714</x:v>
      </x:c>
      <x:c r="R16" s="46" t="n">
        <x:v>9.468428674996865e-7</x:v>
      </x:c>
      <x:c r="S16" s="46" t="n">
        <x:v>8.245251478522508e-7</x:v>
      </x:c>
      <x:c r="T16" s="46" t="n">
        <x:v>6.520955656008631e-8</x:v>
      </x:c>
      <x:c r="U16" s="31" t="str">
        <x:v>Candidate surface form is directly representable in the public Ngram interface. Complete 1842–2022 unsmoothed series reused from the audited quantitative-v0.1 baseline.</x:v>
      </x:c>
      <x:c r="V16" s="31" t="str">
        <x:v>NO_STANDALONE_HEADWORD</x:v>
      </x:c>
      <x:c r="W16" s="31" t="str">
        <x:v>Component lexical analysis plus anchor-source contextual meaning</x:v>
      </x:c>
      <x:c r="X16" s="31" t="str">
        <x:v>A climatic, atmospheric, meteorological, or causal-science sense in the documented anchor context.</x:v>
      </x:c>
      <x:c r="Y16" s="31" t="str">
        <x:v>Climate as a historical, geographical, seasonal, or climatological condition; the candidate is interpreted in its documented anchor and voice context.</x:v>
      </x:c>
      <x:c r="Z16" s="31" t="str">
        <x:v>STRONG</x:v>
      </x:c>
      <x:c r="AA16" s="19" t="str">
        <x:v>The surface form may realize multiple senses; candidate meaning remains anchored to the report-visible source context.</x:v>
      </x:c>
      <x:c r="AB16"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https://api.dictionaryapi.dev/api/v2/entries/en/meteorological%20observations; https://websters1913.timcieplowski.com/word/observations/</x:v>
      </x:c>
      <x:c r="AC16" s="31" t="str">
        <x:v>INTERNET_ARCHIVE_METADATA_TEXT_ITEM_COUNT</x:v>
      </x:c>
      <x:c r="AD16" s="19" t="str">
        <x:v>"meteorological observations" AND mediatype:texts</x:v>
      </x:c>
      <x:c r="AE16" s="31" t="str">
        <x:v>EXACT_PHRASE</x:v>
      </x:c>
      <x:c r="AF16" s="31" t="str">
        <x:v>COMPLETED_NONZERO</x:v>
      </x:c>
      <x:c r="AG16" s="25" t="n">
        <x:v>1458</x:v>
      </x:c>
      <x:c r="AH16" s="25" t="n">
        <x:v>94</x:v>
      </x:c>
      <x:c r="AI16" s="19" t="str">
        <x:v>2026-08-26</x:v>
      </x:c>
      <x:c r="AJ16" s="31" t="str">
        <x:v>Metadata text-item count; not a full-text lexical frequency. Secondary metric: NOT_RUN_OPENALEX_DAILY_BUDGET_EXHAUSTED: shared provider response retained; no count fabricated.</x:v>
      </x:c>
      <x:c r="AK16" s="31" t="str">
        <x:v>FULLY_COVERED</x:v>
      </x:c>
      <x:c r="AL16" s="19" t="str">
        <x:v>PENDING_SOURCE_REVIEW</x:v>
      </x:c>
      <x:c r="AM16" s="20" t="str">
        <x:v>MEDIUM</x:v>
      </x:c>
    </x:row>
    <x:row r="17" ht="34" customHeight="1">
      <x:c r="A17" s="40" t="str">
        <x:v>FT-SEED-R1B-P-1842-13</x:v>
      </x:c>
      <x:c r="B17" s="19" t="str">
        <x:v>1842</x:v>
      </x:c>
      <x:c r="C17" s="25" t="n">
        <x:v>13</x:v>
      </x:c>
      <x:c r="D17" s="31" t="str">
        <x:v>meteorological journal</x:v>
      </x:c>
      <x:c r="E17" s="31" t="str">
        <x:v>historical climate / climatological condition</x:v>
      </x:c>
      <x:c r="F17" s="31" t="str">
        <x:v>climate</x:v>
      </x:c>
      <x:c r="G17" s="19" t="str">
        <x:v>B</x:v>
      </x:c>
      <x:c r="H17" s="19" t="str">
        <x:v>V1</x:v>
      </x:c>
      <x:c r="I17" s="19" t="str">
        <x:v>NOT_EXPOSED_IN_REPORT</x:v>
      </x:c>
      <x:c r="J17" s="31" t="str">
        <x:v>S1842-ROSS</x:v>
      </x:c>
      <x:c r="K17" s="31" t="str">
        <x:v>RECONSTRUCTED_FROM_REPORT; Fear of Temperature_ Stratified Lexical Expansion, Voice Mapping, and Semantic-Relational Pre-Valida.pdf; p.6; project candidate FT-SEED-R1B-P-1842-13; original visible ID not available</x:v>
      </x:c>
      <x:c r="L17" s="31" t="str">
        <x:v>SUCCEEDED_REUSED_BASELINE</x:v>
      </x:c>
      <x:c r="M17" s="31" t="str">
        <x:v>meteorological journal</x:v>
      </x:c>
      <x:c r="N17" s="31" t="str">
        <x:v>EXACT</x:v>
      </x:c>
      <x:c r="O17" s="19" t="str">
        <x:v>1842</x:v>
      </x:c>
      <x:c r="P17" s="19" t="str">
        <x:v>1842</x:v>
      </x:c>
      <x:c r="Q17" s="46" t="n">
        <x:v>5.256654992402687e-7</x:v>
      </x:c>
      <x:c r="R17" s="46" t="n">
        <x:v>5.256654992402687e-7</x:v>
      </x:c>
      <x:c r="S17" s="46" t="n">
        <x:v>2.929219990871479e-7</x:v>
      </x:c>
      <x:c r="T17" s="46" t="n">
        <x:v>2.964070766608984e-9</x:v>
      </x:c>
      <x:c r="U17" s="31" t="str">
        <x:v>Candidate surface form is directly representable in the public Ngram interface. Complete 1842–2022 unsmoothed series reused from the audited quantitative-v0.1 baseline.</x:v>
      </x:c>
      <x:c r="V17" s="31" t="str">
        <x:v>NO_STANDALONE_HEADWORD</x:v>
      </x:c>
      <x:c r="W17" s="31" t="str">
        <x:v>Component lexical analysis plus anchor-source contextual meaning</x:v>
      </x:c>
      <x:c r="X17" s="31" t="str">
        <x:v>A climatic, atmospheric, meteorological, or causal-science sense in the documented anchor context.</x:v>
      </x:c>
      <x:c r="Y17" s="31" t="str">
        <x:v>Climate as a historical, geographical, seasonal, or climatological condition; the candidate is interpreted in its documented anchor and voice context.</x:v>
      </x:c>
      <x:c r="Z17" s="31" t="str">
        <x:v>STRONG</x:v>
      </x:c>
      <x:c r="AA17" s="19" t="str">
        <x:v>The surface form may realize multiple senses; candidate meaning remains anchored to the report-visible source context.</x:v>
      </x:c>
      <x:c r="AB17" s="31" t="str">
        <x:v>Secondary: Component headword checked: journal.;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https://api.dictionaryapi.dev/api/v2/entries/en/meteorological%20journal; https://websters1913.timcieplowski.com/word/journal/</x:v>
      </x:c>
      <x:c r="AC17" s="31" t="str">
        <x:v>INTERNET_ARCHIVE_METADATA_TEXT_ITEM_COUNT</x:v>
      </x:c>
      <x:c r="AD17" s="19" t="str">
        <x:v>"meteorological journal" AND mediatype:texts</x:v>
      </x:c>
      <x:c r="AE17" s="31" t="str">
        <x:v>EXACT_PHRASE</x:v>
      </x:c>
      <x:c r="AF17" s="31" t="str">
        <x:v>COMPLETED_NONZERO</x:v>
      </x:c>
      <x:c r="AG17" s="25" t="n">
        <x:v>411</x:v>
      </x:c>
      <x:c r="AH17" s="25" t="n">
        <x:v>19</x:v>
      </x:c>
      <x:c r="AI17" s="19" t="str">
        <x:v>2026-08-26</x:v>
      </x:c>
      <x:c r="AJ17" s="31" t="str">
        <x:v>Metadata text-item count; not a full-text lexical frequency. Secondary metric: NOT_RUN_OPENALEX_DAILY_BUDGET_EXHAUSTED: shared provider response retained; no count fabricated.</x:v>
      </x:c>
      <x:c r="AK17" s="31" t="str">
        <x:v>FULLY_COVERED</x:v>
      </x:c>
      <x:c r="AL17" s="19" t="str">
        <x:v>PENDING_SOURCE_REVIEW</x:v>
      </x:c>
      <x:c r="AM17" s="20" t="str">
        <x:v>MEDIUM</x:v>
      </x:c>
    </x:row>
    <x:row r="18" ht="34" customHeight="1">
      <x:c r="A18" s="40" t="str">
        <x:v>FT-SEED-R1B-P-1842-14</x:v>
      </x:c>
      <x:c r="B18" s="19" t="str">
        <x:v>1842</x:v>
      </x:c>
      <x:c r="C18" s="25" t="n">
        <x:v>14</x:v>
      </x:c>
      <x:c r="D18" s="31" t="str">
        <x:v>weather</x:v>
      </x:c>
      <x:c r="E18" s="31" t="str">
        <x:v>historical climate / climatological condition</x:v>
      </x:c>
      <x:c r="F18" s="31" t="str">
        <x:v>climate</x:v>
      </x:c>
      <x:c r="G18" s="19" t="str">
        <x:v>B</x:v>
      </x:c>
      <x:c r="H18" s="19" t="str">
        <x:v>V1</x:v>
      </x:c>
      <x:c r="I18" s="19" t="str">
        <x:v>NOT_EXPOSED_IN_REPORT</x:v>
      </x:c>
      <x:c r="J18" s="31" t="str">
        <x:v>S1842-LEICHHARDT-L</x:v>
      </x:c>
      <x:c r="K18" s="31" t="str">
        <x:v>RECONSTRUCTED_FROM_REPORT; Fear of Temperature_ Stratified Lexical Expansion, Voice Mapping, and Semantic-Relational Pre-Valida.pdf; p.6; project candidate FT-SEED-R1B-P-1842-14; original visible ID not available</x:v>
      </x:c>
      <x:c r="L18" s="31" t="str">
        <x:v>SUCCEEDED_REUSED_BASELINE</x:v>
      </x:c>
      <x:c r="M18" s="31" t="str">
        <x:v>weather</x:v>
      </x:c>
      <x:c r="N18" s="31" t="str">
        <x:v>EXACT</x:v>
      </x:c>
      <x:c r="O18" s="19" t="str">
        <x:v>1842</x:v>
      </x:c>
      <x:c r="P18" s="19" t="str">
        <x:v>1928</x:v>
      </x:c>
      <x:c r="Q18" s="46" t="n">
        <x:v>0.00006017915046766659</x:v>
      </x:c>
      <x:c r="R18" s="46" t="n">
        <x:v>0.000043293189150972466</x:v>
      </x:c>
      <x:c r="S18" s="46" t="n">
        <x:v>0.00004177567043939234</x:v>
      </x:c>
      <x:c r="T18" s="46" t="n">
        <x:v>0.000031858087396925694</x:v>
      </x:c>
      <x:c r="U18" s="31" t="str">
        <x:v>Candidate surface form is directly representable in the public Ngram interface. Complete 1842–2022 unsmoothed series reused from the audited quantitative-v0.1 baseline.</x:v>
      </x:c>
      <x:c r="V18" s="31" t="str">
        <x:v>DIRECT_HEADWORD</x:v>
      </x:c>
      <x:c r="W18" s="31" t="str">
        <x:v>Webster's Revised Unabridged Dictionary (1913 public-domain headword index)</x:v>
      </x:c>
      <x:c r="X18" s="31" t="str">
        <x:v>A climatic, atmospheric, meteorological, or causal-science sense in the documented anchor context.</x:v>
      </x:c>
      <x:c r="Y18" s="31" t="str">
        <x:v>Climate as a historical, geographical, seasonal, or climatological condition; the candidate is interpreted in its documented anchor and voice context.</x:v>
      </x:c>
      <x:c r="Z18" s="31" t="str">
        <x:v>STRONG</x:v>
      </x:c>
      <x:c r="AA18" s="19" t="str">
        <x:v>The surface form may realize multiple senses; candidate meaning remains anchored to the report-visible source context.</x:v>
      </x:c>
      <x:c r="AB18" s="31" t="str">
        <x:v>Secondary: Component headword checked: weather.; historical: Anchor-period research source/context; Webster 1913 stable component URL recorded but automated page retrieval was unavailable; source: https://websters1913.timcieplowski.com/word/weather/; https://api.dictionaryapi.dev/api/v2/entries/en/weather</x:v>
      </x:c>
      <x:c r="AC18" s="31" t="str">
        <x:v>INTERNET_ARCHIVE_METADATA_TEXT_ITEM_COUNT</x:v>
      </x:c>
      <x:c r="AD18" s="19" t="str">
        <x:v>"weather" AND mediatype:texts</x:v>
      </x:c>
      <x:c r="AE18" s="31" t="str">
        <x:v>EXACT_PHRASE</x:v>
      </x:c>
      <x:c r="AF18" s="31" t="str">
        <x:v>COMPLETED_NONZERO</x:v>
      </x:c>
      <x:c r="AG18" s="25" t="n">
        <x:v>67834</x:v>
      </x:c>
      <x:c r="AH18" s="25" t="n">
        <x:v>123</x:v>
      </x:c>
      <x:c r="AI18" s="19" t="str">
        <x:v>2026-08-26</x:v>
      </x:c>
      <x:c r="AJ18" s="31" t="str">
        <x:v>Metadata text-item count; not a full-text lexical frequency. Secondary metric: NOT_RUN_OPENALEX_DAILY_BUDGET_EXHAUSTED: shared provider response retained; no count fabricated.</x:v>
      </x:c>
      <x:c r="AK18" s="31" t="str">
        <x:v>FULLY_COVERED</x:v>
      </x:c>
      <x:c r="AL18" s="19" t="str">
        <x:v>PENDING_SOURCE_REVIEW</x:v>
      </x:c>
      <x:c r="AM18" s="20" t="str">
        <x:v>MEDIUM</x:v>
      </x:c>
    </x:row>
    <x:row r="19" ht="34" customHeight="1">
      <x:c r="A19" s="40" t="str">
        <x:v>FT-SEED-R1B-P-1842-15</x:v>
      </x:c>
      <x:c r="B19" s="19" t="str">
        <x:v>1842</x:v>
      </x:c>
      <x:c r="C19" s="25" t="n">
        <x:v>15</x:v>
      </x:c>
      <x:c r="D19" s="31" t="str">
        <x:v>climate</x:v>
      </x:c>
      <x:c r="E19" s="31" t="str">
        <x:v>historical climate / climatological condition</x:v>
      </x:c>
      <x:c r="F19" s="31" t="str">
        <x:v>climate</x:v>
      </x:c>
      <x:c r="G19" s="19" t="str">
        <x:v>B</x:v>
      </x:c>
      <x:c r="H19" s="19" t="str">
        <x:v>V1</x:v>
      </x:c>
      <x:c r="I19" s="19" t="str">
        <x:v>NOT_EXPOSED_IN_REPORT</x:v>
      </x:c>
      <x:c r="J19" s="31" t="str">
        <x:v>S1842-LEICHHARDT-L</x:v>
      </x:c>
      <x:c r="K19" s="31" t="str">
        <x:v>RECONSTRUCTED_FROM_REPORT; Fear of Temperature_ Stratified Lexical Expansion, Voice Mapping, and Semantic-Relational Pre-Valida.pdf; p.6; project candidate FT-SEED-R1B-P-1842-15; original visible ID not available</x:v>
      </x:c>
      <x:c r="L19" s="31" t="str">
        <x:v>SUCCEEDED_REUSED_BASELINE</x:v>
      </x:c>
      <x:c r="M19" s="31" t="str">
        <x:v>climate</x:v>
      </x:c>
      <x:c r="N19" s="31" t="str">
        <x:v>EXACT</x:v>
      </x:c>
      <x:c r="O19" s="19" t="str">
        <x:v>1842</x:v>
      </x:c>
      <x:c r="P19" s="19" t="str">
        <x:v>2022</x:v>
      </x:c>
      <x:c r="Q19" s="46" t="n">
        <x:v>0.00006484931783038578</x:v>
      </x:c>
      <x:c r="R19" s="46" t="n">
        <x:v>0.00003055828983633546</x:v>
      </x:c>
      <x:c r="S19" s="46" t="n">
        <x:v>0.000027172661063445958</x:v>
      </x:c>
      <x:c r="T19" s="46" t="n">
        <x:v>0.00006484931783038578</x:v>
      </x:c>
      <x:c r="U19" s="31" t="str">
        <x:v>Candidate surface form is directly representable in the public Ngram interface. Complete 1842–2022 unsmoothed series reused from the audited quantitative-v0.1 baseline.</x:v>
      </x:c>
      <x:c r="V19" s="31" t="str">
        <x:v>DIRECT_HEADWORD</x:v>
      </x:c>
      <x:c r="W19" s="31" t="str">
        <x:v>Webster's Revised Unabridged Dictionary (1913 public-domain headword index)</x:v>
      </x:c>
      <x:c r="X19" s="31" t="str">
        <x:v>A regional or prevailing atmospheric condition understood through meteorological observation, not the modern issue label 'climate change'.</x:v>
      </x:c>
      <x:c r="Y19" s="31" t="str">
        <x:v>Modern climate commonly denotes long-term statistical weather conditions or the coupled climate system; it does not by itself mean the modern issue label 'climate change'.</x:v>
      </x:c>
      <x:c r="Z19" s="31" t="str">
        <x:v>PARTIAL</x:v>
      </x:c>
      <x:c r="AA19" s="19" t="str">
        <x:v>Historical meteorological climate and modern climate-system/change senses overlap only partly; business/social metaphor senses are excluded.</x:v>
      </x:c>
      <x:c r="AB19" s="31" t="str">
        <x:v>Secondary: Component headword checked: climate.; historical: Anchor-period research source/context; Webster 1913 stable component URL recorded but automated page retrieval was unavailable; source: https://websters1913.timcieplowski.com/word/climate/; https://api.dictionaryapi.dev/api/v2/entries/en/climate</x:v>
      </x:c>
      <x:c r="AC19" s="31" t="str">
        <x:v>INTERNET_ARCHIVE_METADATA_TEXT_ITEM_COUNT</x:v>
      </x:c>
      <x:c r="AD19" s="19" t="str">
        <x:v>"climate" AND mediatype:texts</x:v>
      </x:c>
      <x:c r="AE19" s="31" t="str">
        <x:v>EXACT_PHRASE</x:v>
      </x:c>
      <x:c r="AF19" s="31" t="str">
        <x:v>COMPLETED_NONZERO</x:v>
      </x:c>
      <x:c r="AG19" s="25" t="n">
        <x:v>76386</x:v>
      </x:c>
      <x:c r="AH19" s="25" t="n">
        <x:v>140</x:v>
      </x:c>
      <x:c r="AI19" s="19" t="str">
        <x:v>2026-08-26</x:v>
      </x:c>
      <x:c r="AJ19" s="31" t="str">
        <x:v>Metadata text-item count; not a full-text lexical frequency. Secondary metric: Scholarly work discoverability count over OpenAlex search fields; not a corpus word frequency.</x:v>
      </x:c>
      <x:c r="AK19" s="31" t="str">
        <x:v>FULLY_COVERED</x:v>
      </x:c>
      <x:c r="AL19" s="19" t="str">
        <x:v>PENDING_SOURCE_REVIEW</x:v>
      </x:c>
      <x:c r="AM19" s="20" t="str">
        <x:v>MEDIUM</x:v>
      </x:c>
    </x:row>
    <x:row r="20" ht="34" customHeight="1">
      <x:c r="A20" s="40" t="str">
        <x:v>FT-SEED-R1B-P-1842-16</x:v>
      </x:c>
      <x:c r="B20" s="19" t="str">
        <x:v>1842</x:v>
      </x:c>
      <x:c r="C20" s="25" t="n">
        <x:v>16</x:v>
      </x:c>
      <x:c r="D20" s="31" t="str">
        <x:v>sun's heat</x:v>
      </x:c>
      <x:c r="E20" s="31" t="str">
        <x:v>physical heat source / state</x:v>
      </x:c>
      <x:c r="F20" s="31" t="str">
        <x:v>heat</x:v>
      </x:c>
      <x:c r="G20" s="19" t="str">
        <x:v>A</x:v>
      </x:c>
      <x:c r="H20" s="19" t="str">
        <x:v>V1</x:v>
      </x:c>
      <x:c r="I20" s="19" t="str">
        <x:v>NOT_EXPOSED_IN_REPORT</x:v>
      </x:c>
      <x:c r="J20" s="31" t="str">
        <x:v>S1842-ROSS</x:v>
      </x:c>
      <x:c r="K20" s="31" t="str">
        <x:v>RECONSTRUCTED_FROM_REPORT; Fear of Temperature_ Stratified Lexical Expansion, Voice Mapping, and Semantic-Relational Pre-Valida.pdf; p.6; project candidate FT-SEED-R1B-P-1842-16; original visible ID not available</x:v>
      </x:c>
      <x:c r="L20" s="31" t="str">
        <x:v>ZERO_RESPONSE_REUSED_BASELINE</x:v>
      </x:c>
      <x:c r="M20" s="31" t="str">
        <x:v>sun's heat</x:v>
      </x:c>
      <x:c r="N20" s="31" t="str">
        <x:v>EXACT</x:v>
      </x:c>
      <x:c r="O20" s="19" t="str">
        <x:v>NOT_APPLICABLE</x:v>
      </x:c>
      <x:c r="P20" s="19" t="str">
        <x:v>NOT_APPLICABLE</x:v>
      </x:c>
      <x:c r="Q20" s="46" t="str">
        <x:v>NOT_APPLICABLE</x:v>
      </x:c>
      <x:c r="R20" s="46" t="str">
        <x:v>NOT_APPLICABLE</x:v>
      </x:c>
      <x:c r="S20" s="46" t="str">
        <x:v>NOT_APPLICABLE</x:v>
      </x:c>
      <x:c r="T20" s="46" t="str">
        <x:v>NOT_APPLICABLE</x:v>
      </x:c>
      <x:c r="U20" s="31" t="str">
        <x:v>Candidate surface form is directly representable in the public Ngram interface. The audited executable rule returned an empty Ngram payload; retained as source/query zero-response evidence, not historical absence.</x:v>
      </x:c>
      <x:c r="V20" s="31" t="str">
        <x:v>NO_STANDALONE_HEADWORD</x:v>
      </x:c>
      <x:c r="W20" s="31" t="str">
        <x:v>Component lexical analysis plus anchor-source contextual meaning</x:v>
      </x:c>
      <x:c r="X20" s="31" t="str">
        <x:v>Physical or embodied heat in a local meteorological, material, or bodily-exposure sense.</x:v>
      </x:c>
      <x:c r="Y20" s="31" t="str">
        <x:v>Heat as a physical source, state, or thermal condition; the candidate is interpreted in its documented anchor and voice context.</x:v>
      </x:c>
      <x:c r="Z20" s="31" t="str">
        <x:v>STRONG</x:v>
      </x:c>
      <x:c r="AA20" s="19" t="str">
        <x:v>Heat may refer to cooking, machinery, emotion, contest, or political metaphor; those senses are not automatically relevant.</x:v>
      </x:c>
      <x:c r="AB2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https://api.dictionaryapi.dev/api/v2/entries/en/sun%27s%20heat; https://websters1913.timcieplowski.com/word/heat/</x:v>
      </x:c>
      <x:c r="AC20" s="31" t="str">
        <x:v>INTERNET_ARCHIVE_METADATA_TEXT_ITEM_COUNT</x:v>
      </x:c>
      <x:c r="AD20" s="19" t="str">
        <x:v>"sun's heat" AND mediatype:texts</x:v>
      </x:c>
      <x:c r="AE20" s="31" t="str">
        <x:v>EXACT_PHRASE</x:v>
      </x:c>
      <x:c r="AF20" s="31" t="str">
        <x:v>COMPLETED_NONZERO</x:v>
      </x:c>
      <x:c r="AG20" s="25" t="n">
        <x:v>42</x:v>
      </x:c>
      <x:c r="AH20" s="25" t="n">
        <x:v>0</x:v>
      </x:c>
      <x:c r="AI20" s="19" t="str">
        <x:v>2026-08-26</x:v>
      </x:c>
      <x:c r="AJ20" s="31" t="str">
        <x:v>Metadata text-item count; not a full-text lexical frequency. Secondary metric: NOT_RUN_OPENALEX_DAILY_BUDGET_EXHAUSTED: shared provider response retained; no count fabricated.</x:v>
      </x:c>
      <x:c r="AK20" s="31" t="str">
        <x:v>FULLY_COVERED</x:v>
      </x:c>
      <x:c r="AL20" s="19" t="str">
        <x:v>PENDING_SOURCE_REVIEW</x:v>
      </x:c>
      <x:c r="AM20" s="20" t="str">
        <x:v>MEDIUM</x:v>
      </x:c>
    </x:row>
    <x:row r="21" ht="34" customHeight="1">
      <x:c r="A21" s="40" t="str">
        <x:v>FT-SEED-R1B-P-1842-17</x:v>
      </x:c>
      <x:c r="B21" s="19" t="str">
        <x:v>1842</x:v>
      </x:c>
      <x:c r="C21" s="25" t="n">
        <x:v>17</x:v>
      </x:c>
      <x:c r="D21" s="31" t="str">
        <x:v>radiation of the heat</x:v>
      </x:c>
      <x:c r="E21" s="31" t="str">
        <x:v>physical heat source / state</x:v>
      </x:c>
      <x:c r="F21" s="31" t="str">
        <x:v>heat</x:v>
      </x:c>
      <x:c r="G21" s="19" t="str">
        <x:v>B</x:v>
      </x:c>
      <x:c r="H21" s="19" t="str">
        <x:v>V1</x:v>
      </x:c>
      <x:c r="I21" s="19" t="str">
        <x:v>NOT_EXPOSED_IN_REPORT</x:v>
      </x:c>
      <x:c r="J21" s="31" t="str">
        <x:v>S1842-ROSS</x:v>
      </x:c>
      <x:c r="K21" s="31" t="str">
        <x:v>RECONSTRUCTED_FROM_REPORT; Fear of Temperature_ Stratified Lexical Expansion, Voice Mapping, and Semantic-Relational Pre-Valida.pdf; p.6; project candidate FT-SEED-R1B-P-1842-17; original visible ID not available</x:v>
      </x:c>
      <x:c r="L21" s="31" t="str">
        <x:v>SUCCEEDED_REUSED_BASELINE</x:v>
      </x:c>
      <x:c r="M21" s="31" t="str">
        <x:v>radiation of the heat</x:v>
      </x:c>
      <x:c r="N21" s="31" t="str">
        <x:v>EXACT</x:v>
      </x:c>
      <x:c r="O21" s="19" t="str">
        <x:v>1842</x:v>
      </x:c>
      <x:c r="P21" s="19" t="str">
        <x:v>1850</x:v>
      </x:c>
      <x:c r="Q21" s="46" t="n">
        <x:v>2.7596689378128758e-8</x:v>
      </x:c>
      <x:c r="R21" s="46" t="n">
        <x:v>5.867545560533927e-9</x:v>
      </x:c>
      <x:c r="S21" s="46" t="n">
        <x:v>6.7355773181176914e-9</x:v>
      </x:c>
      <x:c r="T21" s="46" t="n">
        <x:v>5.081168263920688e-10</x:v>
      </x:c>
      <x:c r="U21" s="31" t="str">
        <x:v>Candidate surface form is directly representable in the public Ngram interface. Complete 1842–2022 unsmoothed series reused from the audited quantitative-v0.1 baseline.</x:v>
      </x:c>
      <x:c r="V21" s="31" t="str">
        <x:v>NO_STANDALONE_HEADWORD</x:v>
      </x:c>
      <x:c r="W21" s="31" t="str">
        <x:v>Component lexical analysis plus anchor-source contextual meaning</x:v>
      </x:c>
      <x:c r="X21" s="31" t="str">
        <x:v>A climatic, atmospheric, meteorological, or causal-science sense in the documented anchor context.</x:v>
      </x:c>
      <x:c r="Y21" s="31" t="str">
        <x:v>Heat as a physical source, state, or thermal condition; the candidate is interpreted in its documented anchor and voice context.</x:v>
      </x:c>
      <x:c r="Z21" s="31" t="str">
        <x:v>STRONG</x:v>
      </x:c>
      <x:c r="AA21" s="19" t="str">
        <x:v>The surface form may realize multiple senses; candidate meaning remains anchored to the report-visible source context.</x:v>
      </x:c>
      <x:c r="AB21"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https://api.dictionaryapi.dev/api/v2/entries/en/radiation%20of%20the%20heat; https://websters1913.timcieplowski.com/word/heat/</x:v>
      </x:c>
      <x:c r="AC21" s="31" t="str">
        <x:v>INTERNET_ARCHIVE_METADATA_TEXT_ITEM_COUNT</x:v>
      </x:c>
      <x:c r="AD21" s="19" t="str">
        <x:v>"radiation of the heat" AND mediatype:texts</x:v>
      </x:c>
      <x:c r="AE21" s="31" t="str">
        <x:v>EXACT_PHRASE</x:v>
      </x:c>
      <x:c r="AF21" s="31" t="str">
        <x:v>COMPLETED_NONZERO</x:v>
      </x:c>
      <x:c r="AG21" s="25" t="n">
        <x:v>1</x:v>
      </x:c>
      <x:c r="AH21" s="25" t="n">
        <x:v>0</x:v>
      </x:c>
      <x:c r="AI21" s="19" t="str">
        <x:v>2026-08-26</x:v>
      </x:c>
      <x:c r="AJ21" s="31" t="str">
        <x:v>Metadata text-item count; not a full-text lexical frequency. Secondary metric: NOT_RUN_OPENALEX_DAILY_BUDGET_EXHAUSTED: shared provider response retained; no count fabricated.</x:v>
      </x:c>
      <x:c r="AK21" s="31" t="str">
        <x:v>FULLY_COVERED</x:v>
      </x:c>
      <x:c r="AL21" s="19" t="str">
        <x:v>PENDING_SOURCE_REVIEW</x:v>
      </x:c>
      <x:c r="AM21" s="20" t="str">
        <x:v>MEDIUM</x:v>
      </x:c>
    </x:row>
    <x:row r="22" ht="34" customHeight="1">
      <x:c r="A22" s="40" t="str">
        <x:v>FT-SEED-R1B-P-1842-18</x:v>
      </x:c>
      <x:c r="B22" s="19" t="str">
        <x:v>1842</x:v>
      </x:c>
      <x:c r="C22" s="25" t="n">
        <x:v>18</x:v>
      </x:c>
      <x:c r="D22" s="31" t="str">
        <x:v>changes of temperature</x:v>
      </x:c>
      <x:c r="E22" s="31" t="str">
        <x:v>local / instrumental temperature</x:v>
      </x:c>
      <x:c r="F22" s="31" t="str">
        <x:v>temperature_threshold</x:v>
      </x:c>
      <x:c r="G22" s="19" t="str">
        <x:v>A</x:v>
      </x:c>
      <x:c r="H22" s="19" t="str">
        <x:v>V2</x:v>
      </x:c>
      <x:c r="I22" s="19" t="str">
        <x:v>NOT_EXPOSED_IN_REPORT</x:v>
      </x:c>
      <x:c r="J22" s="31" t="str">
        <x:v>S1842-CHADWICK</x:v>
      </x:c>
      <x:c r="K22" s="31" t="str">
        <x:v>RECONSTRUCTED_FROM_REPORT; Fear of Temperature_ Stratified Lexical Expansion, Voice Mapping, and Semantic-Relational Pre-Valida.pdf; p.7; project candidate FT-SEED-R1B-P-1842-18; original visible ID not available</x:v>
      </x:c>
      <x:c r="L22" s="31" t="str">
        <x:v>SUCCEEDED_REUSED_BASELINE</x:v>
      </x:c>
      <x:c r="M22" s="31" t="str">
        <x:v>changes of temperature</x:v>
      </x:c>
      <x:c r="N22" s="31" t="str">
        <x:v>EXACT</x:v>
      </x:c>
      <x:c r="O22" s="19" t="str">
        <x:v>1842</x:v>
      </x:c>
      <x:c r="P22" s="19" t="str">
        <x:v>1884</x:v>
      </x:c>
      <x:c r="Q22" s="46" t="n">
        <x:v>9.022425947469159e-7</x:v>
      </x:c>
      <x:c r="R22" s="46" t="n">
        <x:v>6.602953730450167e-7</x:v>
      </x:c>
      <x:c r="S22" s="46" t="n">
        <x:v>4.767976034547594e-7</x:v>
      </x:c>
      <x:c r="T22" s="46" t="n">
        <x:v>6.394769389017618e-8</x:v>
      </x:c>
      <x:c r="U22" s="31" t="str">
        <x:v>Candidate surface form is directly representable in the public Ngram interface. Complete 1842–2022 unsmoothed series reused from the audited quantitative-v0.1 baseline.</x:v>
      </x:c>
      <x:c r="V22" s="31" t="str">
        <x:v>NO_STANDALONE_HEADWORD</x:v>
      </x:c>
      <x:c r="W22" s="31" t="str">
        <x:v>Component lexical analysis plus anchor-source contextual meaning</x:v>
      </x:c>
      <x:c r="X22" s="31" t="str">
        <x:v>A physical temperature, warming, heat, or measurement sense in the documented anchor context.</x:v>
      </x:c>
      <x:c r="Y22" s="31" t="str">
        <x:v>A local or instrument-specific temperature reading; the candidate is interpreted in its documented anchor and voice context.</x:v>
      </x:c>
      <x:c r="Z22" s="31" t="str">
        <x:v>STRONG</x:v>
      </x:c>
      <x:c r="AA22" s="19" t="str">
        <x:v>The surface form may realize multiple senses; candidate meaning remains anchored to the report-visible source context.</x:v>
      </x:c>
      <x:c r="AB22"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https://api.dictionaryapi.dev/api/v2/entries/en/changes%20of%20temperature; https://websters1913.timcieplowski.com/word/temperature/</x:v>
      </x:c>
      <x:c r="AC22" s="31" t="str">
        <x:v>INTERNET_ARCHIVE_METADATA_TEXT_ITEM_COUNT</x:v>
      </x:c>
      <x:c r="AD22" s="19" t="str">
        <x:v>"changes of temperature" AND mediatype:texts</x:v>
      </x:c>
      <x:c r="AE22" s="31" t="str">
        <x:v>EXACT_PHRASE</x:v>
      </x:c>
      <x:c r="AF22" s="31" t="str">
        <x:v>COMPLETED_NONZERO</x:v>
      </x:c>
      <x:c r="AG22" s="25" t="n">
        <x:v>75</x:v>
      </x:c>
      <x:c r="AH22" s="25" t="n">
        <x:v>4</x:v>
      </x:c>
      <x:c r="AI22" s="19" t="str">
        <x:v>2026-08-26</x:v>
      </x:c>
      <x:c r="AJ22" s="31" t="str">
        <x:v>Metadata text-item count; not a full-text lexical frequency. Secondary metric: Scholarly work discoverability count over OpenAlex search fields; not a corpus word frequency.</x:v>
      </x:c>
      <x:c r="AK22" s="31" t="str">
        <x:v>FULLY_COVERED</x:v>
      </x:c>
      <x:c r="AL22" s="19" t="str">
        <x:v>PENDING_SOURCE_REVIEW</x:v>
      </x:c>
      <x:c r="AM22" s="20" t="str">
        <x:v>MEDIUM</x:v>
      </x:c>
    </x:row>
    <x:row r="23" ht="34" customHeight="1">
      <x:c r="A23" s="40" t="str">
        <x:v>FT-SEED-R1B-P-1842-19</x:v>
      </x:c>
      <x:c r="B23" s="19" t="str">
        <x:v>1842</x:v>
      </x:c>
      <x:c r="C23" s="25" t="n">
        <x:v>19</x:v>
      </x:c>
      <x:c r="D23" s="31" t="str">
        <x:v>excessive heat</x:v>
      </x:c>
      <x:c r="E23" s="31" t="str">
        <x:v>extreme-heat hazard</x:v>
      </x:c>
      <x:c r="F23" s="31" t="str">
        <x:v>heat</x:v>
      </x:c>
      <x:c r="G23" s="19" t="str">
        <x:v>D</x:v>
      </x:c>
      <x:c r="H23" s="19" t="str">
        <x:v>V5</x:v>
      </x:c>
      <x:c r="I23" s="19" t="str">
        <x:v>NOT_EXPOSED_IN_REPORT</x:v>
      </x:c>
      <x:c r="J23" s="31" t="str">
        <x:v>S1842-CHADWICK</x:v>
      </x:c>
      <x:c r="K23" s="31" t="str">
        <x:v>RECONSTRUCTED_FROM_REPORT; Fear of Temperature_ Stratified Lexical Expansion, Voice Mapping, and Semantic-Relational Pre-Valida.pdf; p.7; project candidate FT-SEED-R1B-P-1842-19; original visible ID not available</x:v>
      </x:c>
      <x:c r="L23" s="31" t="str">
        <x:v>SUCCEEDED_REUSED_BASELINE</x:v>
      </x:c>
      <x:c r="M23" s="31" t="str">
        <x:v>excessive heat</x:v>
      </x:c>
      <x:c r="N23" s="31" t="str">
        <x:v>EXACT</x:v>
      </x:c>
      <x:c r="O23" s="19" t="str">
        <x:v>1842</x:v>
      </x:c>
      <x:c r="P23" s="19" t="str">
        <x:v>1842</x:v>
      </x:c>
      <x:c r="Q23" s="46" t="n">
        <x:v>4.7277645354171227e-7</x:v>
      </x:c>
      <x:c r="R23" s="46" t="n">
        <x:v>4.7277645354171227e-7</x:v>
      </x:c>
      <x:c r="S23" s="46" t="n">
        <x:v>4.305090330891659e-7</x:v>
      </x:c>
      <x:c r="T23" s="46" t="n">
        <x:v>1.6687275639082344e-7</x:v>
      </x:c>
      <x:c r="U23" s="31" t="str">
        <x:v>Candidate surface form is directly representable in the public Ngram interface. Complete 1842–2022 unsmoothed series reused from the audited quantitative-v0.1 baseline.</x:v>
      </x:c>
      <x:c r="V23" s="31" t="str">
        <x:v>NO_STANDALONE_HEADWORD</x:v>
      </x:c>
      <x:c r="W23" s="31" t="str">
        <x:v>Component lexical analysis plus anchor-source contextual meaning</x:v>
      </x:c>
      <x:c r="X23" s="31" t="str">
        <x:v>Physical or embodied heat in a local meteorological, material, or bodily-exposure sense.</x:v>
      </x:c>
      <x:c r="Y23" s="31" t="str">
        <x:v>Extreme heat framed as a hazard with health or social consequences; the candidate is interpreted in its documented anchor and voice context.</x:v>
      </x:c>
      <x:c r="Z23" s="31" t="str">
        <x:v>STRONG</x:v>
      </x:c>
      <x:c r="AA23" s="19" t="str">
        <x:v>Heat may refer to cooking, machinery, emotion, contest, or political metaphor; those senses are not automatically relevant.</x:v>
      </x:c>
      <x:c r="AB23"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https://api.dictionaryapi.dev/api/v2/entries/en/excessive%20heat; https://websters1913.timcieplowski.com/word/heat/</x:v>
      </x:c>
      <x:c r="AC23" s="31" t="str">
        <x:v>INTERNET_ARCHIVE_METADATA_TEXT_ITEM_COUNT</x:v>
      </x:c>
      <x:c r="AD23" s="19" t="str">
        <x:v>"excessive heat" AND mediatype:texts</x:v>
      </x:c>
      <x:c r="AE23" s="31" t="str">
        <x:v>EXACT_PHRASE</x:v>
      </x:c>
      <x:c r="AF23" s="31" t="str">
        <x:v>COMPLETED_NONZERO</x:v>
      </x:c>
      <x:c r="AG23" s="25" t="n">
        <x:v>165</x:v>
      </x:c>
      <x:c r="AH23" s="25" t="n">
        <x:v>0</x:v>
      </x:c>
      <x:c r="AI23" s="19" t="str">
        <x:v>2026-08-26</x:v>
      </x:c>
      <x:c r="AJ23" s="31" t="str">
        <x:v>Metadata text-item count; not a full-text lexical frequency. Secondary metric: NOT_RUN_OPENALEX_DAILY_BUDGET_EXHAUSTED: shared provider response retained; no count fabricated.</x:v>
      </x:c>
      <x:c r="AK23" s="31" t="str">
        <x:v>FULLY_COVERED</x:v>
      </x:c>
      <x:c r="AL23" s="19" t="str">
        <x:v>PENDING_SOURCE_REVIEW</x:v>
      </x:c>
      <x:c r="AM23" s="20" t="str">
        <x:v>MEDIUM</x:v>
      </x:c>
    </x:row>
    <x:row r="24" ht="34" customHeight="1">
      <x:c r="A24" s="40" t="str">
        <x:v>FT-SEED-R1B-P-1842-20</x:v>
      </x:c>
      <x:c r="B24" s="19" t="str">
        <x:v>1842</x:v>
      </x:c>
      <x:c r="C24" s="25" t="n">
        <x:v>20</x:v>
      </x:c>
      <x:c r="D24" s="31" t="str">
        <x:v>heat of the men</x:v>
      </x:c>
      <x:c r="E24" s="31" t="str">
        <x:v>embodied heat exposure</x:v>
      </x:c>
      <x:c r="F24" s="31" t="str">
        <x:v>heat</x:v>
      </x:c>
      <x:c r="G24" s="19" t="str">
        <x:v>A</x:v>
      </x:c>
      <x:c r="H24" s="19" t="str">
        <x:v>V5</x:v>
      </x:c>
      <x:c r="I24" s="19" t="str">
        <x:v>NOT_EXPOSED_IN_REPORT</x:v>
      </x:c>
      <x:c r="J24" s="31" t="str">
        <x:v>S1842-CHADWICK</x:v>
      </x:c>
      <x:c r="K24" s="31" t="str">
        <x:v>RECONSTRUCTED_FROM_REPORT; Fear of Temperature_ Stratified Lexical Expansion, Voice Mapping, and Semantic-Relational Pre-Valida.pdf; p.7; project candidate FT-SEED-R1B-P-1842-20; original visible ID not available</x:v>
      </x:c>
      <x:c r="L24" s="31" t="str">
        <x:v>SUCCEEDED_REUSED_BASELINE</x:v>
      </x:c>
      <x:c r="M24" s="31" t="str">
        <x:v>heat of the men</x:v>
      </x:c>
      <x:c r="N24" s="31" t="str">
        <x:v>EXACT</x:v>
      </x:c>
      <x:c r="O24" s="19" t="str">
        <x:v>1842</x:v>
      </x:c>
      <x:c r="P24" s="19" t="str">
        <x:v>1864</x:v>
      </x:c>
      <x:c r="Q24" s="46" t="n">
        <x:v>7.825550873974407e-9</x:v>
      </x:c>
      <x:c r="R24" s="46" t="n">
        <x:v>7.334431950667408e-10</x:v>
      </x:c>
      <x:c r="S24" s="46" t="n">
        <x:v>2.6111680595519715e-9</x:v>
      </x:c>
      <x:c r="T24" s="46" t="n">
        <x:v>1.524350368153904e-10</x:v>
      </x:c>
      <x:c r="U24" s="31" t="str">
        <x:v>Candidate surface form is directly representable in the public Ngram interface. Complete 1842–2022 unsmoothed series reused from the audited quantitative-v0.1 baseline.</x:v>
      </x:c>
      <x:c r="V24" s="31" t="str">
        <x:v>NO_STANDALONE_HEADWORD</x:v>
      </x:c>
      <x:c r="W24" s="31" t="str">
        <x:v>Component lexical analysis plus anchor-source contextual meaning</x:v>
      </x:c>
      <x:c r="X24" s="31" t="str">
        <x:v>Physical or embodied heat in a local meteorological, material, or bodily-exposure sense.</x:v>
      </x:c>
      <x:c r="Y24" s="31" t="str">
        <x:v>Heat experienced by bodies in occupational, domestic, or environmental settings; the candidate is interpreted in its documented anchor and voice context.</x:v>
      </x:c>
      <x:c r="Z24" s="31" t="str">
        <x:v>STRONG</x:v>
      </x:c>
      <x:c r="AA24" s="19" t="str">
        <x:v>Heat may refer to cooking, machinery, emotion, contest, or political metaphor; those senses are not automatically relevant.</x:v>
      </x:c>
      <x:c r="AB24" s="31" t="str">
        <x:v>Secondary: Component headword checked: men.;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https://api.dictionaryapi.dev/api/v2/entries/en/heat%20of%20the%20men; https://websters1913.timcieplowski.com/word/men/</x:v>
      </x:c>
      <x:c r="AC24" s="31" t="str">
        <x:v>INTERNET_ARCHIVE_METADATA_TEXT_ITEM_COUNT</x:v>
      </x:c>
      <x:c r="AD24" s="19" t="str">
        <x:v>"heat of the men" AND mediatype:texts</x:v>
      </x:c>
      <x:c r="AE24" s="31" t="str">
        <x:v>EXACT_PHRASE</x:v>
      </x:c>
      <x:c r="AF24" s="31" t="str">
        <x:v>COMPLETED_ZERO</x:v>
      </x:c>
      <x:c r="AG24" s="25" t="n">
        <x:v>0</x:v>
      </x:c>
      <x:c r="AH24" s="25" t="n">
        <x:v>0</x:v>
      </x:c>
      <x:c r="AI24" s="19" t="str">
        <x:v>2026-08-26</x:v>
      </x:c>
      <x:c r="AJ24" s="31" t="str">
        <x:v>Metadata text-item count; not a full-text lexical frequency. Secondary metric: NOT_RUN_OPENALEX_DAILY_BUDGET_EXHAUSTED: shared provider response retained; no count fabricated.</x:v>
      </x:c>
      <x:c r="AK24" s="31" t="str">
        <x:v>FULLY_COVERED</x:v>
      </x:c>
      <x:c r="AL24" s="19" t="str">
        <x:v>PENDING_SOURCE_REVIEW</x:v>
      </x:c>
      <x:c r="AM24" s="20" t="str">
        <x:v>MEDIUM</x:v>
      </x:c>
    </x:row>
    <x:row r="25" ht="34" customHeight="1">
      <x:c r="A25" s="40" t="str">
        <x:v>FT-SEED-R1B-P-1842-21</x:v>
      </x:c>
      <x:c r="B25" s="19" t="str">
        <x:v>1842</x:v>
      </x:c>
      <x:c r="C25" s="25" t="n">
        <x:v>21</x:v>
      </x:c>
      <x:c r="D25" s="31" t="str">
        <x:v>heat of the irons</x:v>
      </x:c>
      <x:c r="E25" s="31" t="str">
        <x:v>physical heat source / state</x:v>
      </x:c>
      <x:c r="F25" s="31" t="str">
        <x:v>heat</x:v>
      </x:c>
      <x:c r="G25" s="19" t="str">
        <x:v>A</x:v>
      </x:c>
      <x:c r="H25" s="19" t="str">
        <x:v>V5</x:v>
      </x:c>
      <x:c r="I25" s="19" t="str">
        <x:v>NOT_EXPOSED_IN_REPORT</x:v>
      </x:c>
      <x:c r="J25" s="31" t="str">
        <x:v>S1842-CHADWICK</x:v>
      </x:c>
      <x:c r="K25" s="31" t="str">
        <x:v>RECONSTRUCTED_FROM_REPORT; Fear of Temperature_ Stratified Lexical Expansion, Voice Mapping, and Semantic-Relational Pre-Valida.pdf; p.6; project candidate FT-SEED-R1B-P-1842-21; original visible ID not available</x:v>
      </x:c>
      <x:c r="L25" s="31" t="str">
        <x:v>SUCCEEDED_REUSED_BASELINE</x:v>
      </x:c>
      <x:c r="M25" s="31" t="str">
        <x:v>heat of the irons</x:v>
      </x:c>
      <x:c r="N25" s="31" t="str">
        <x:v>EXACT</x:v>
      </x:c>
      <x:c r="O25" s="19" t="str">
        <x:v>1842</x:v>
      </x:c>
      <x:c r="P25" s="19" t="str">
        <x:v>1843</x:v>
      </x:c>
      <x:c r="Q25" s="46" t="n">
        <x:v>6.583029232842819e-9</x:v>
      </x:c>
      <x:c r="R25" s="46" t="n">
        <x:v>1.4668863901334817e-9</x:v>
      </x:c>
      <x:c r="S25" s="46" t="n">
        <x:v>4.098238637340046e-9</x:v>
      </x:c>
      <x:c r="T25" s="46" t="n">
        <x:v>1.016233625028562e-10</x:v>
      </x:c>
      <x:c r="U25" s="31" t="str">
        <x:v>Candidate surface form is directly representable in the public Ngram interface. Complete 1842–2022 unsmoothed series reused from the audited quantitative-v0.1 baseline.</x:v>
      </x:c>
      <x:c r="V25" s="31" t="str">
        <x:v>NO_STANDALONE_HEADWORD</x:v>
      </x:c>
      <x:c r="W25" s="31" t="str">
        <x:v>Component lexical analysis plus anchor-source contextual meaning</x:v>
      </x:c>
      <x:c r="X25" s="31" t="str">
        <x:v>Physical or embodied heat in a local meteorological, material, or bodily-exposure sense.</x:v>
      </x:c>
      <x:c r="Y25" s="31" t="str">
        <x:v>Heat as a physical source, state, or thermal condition; the candidate is interpreted in its documented anchor and voice context.</x:v>
      </x:c>
      <x:c r="Z25" s="31" t="str">
        <x:v>STRONG</x:v>
      </x:c>
      <x:c r="AA25" s="19" t="str">
        <x:v>Heat may refer to cooking, machinery, emotion, contest, or political metaphor; those senses are not automatically relevant.</x:v>
      </x:c>
      <x:c r="AB25" s="31" t="str">
        <x:v>Secondary: Component headword checked: irons.;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https://api.dictionaryapi.dev/api/v2/entries/en/heat%20of%20the%20irons; https://websters1913.timcieplowski.com/word/irons/</x:v>
      </x:c>
      <x:c r="AC25" s="31" t="str">
        <x:v>INTERNET_ARCHIVE_METADATA_TEXT_ITEM_COUNT</x:v>
      </x:c>
      <x:c r="AD25" s="19" t="str">
        <x:v>"heat of the irons" AND mediatype:texts</x:v>
      </x:c>
      <x:c r="AE25" s="31" t="str">
        <x:v>EXACT_PHRASE</x:v>
      </x:c>
      <x:c r="AF25" s="31" t="str">
        <x:v>COMPLETED_ZERO</x:v>
      </x:c>
      <x:c r="AG25" s="25" t="n">
        <x:v>0</x:v>
      </x:c>
      <x:c r="AH25" s="25" t="n">
        <x:v>0</x:v>
      </x:c>
      <x:c r="AI25" s="19" t="str">
        <x:v>2026-08-26</x:v>
      </x:c>
      <x:c r="AJ25" s="31" t="str">
        <x:v>Metadata text-item count; not a full-text lexical frequency. Secondary metric: NOT_RUN_OPENALEX_DAILY_BUDGET_EXHAUSTED: shared provider response retained; no count fabricated.</x:v>
      </x:c>
      <x:c r="AK25" s="31" t="str">
        <x:v>FULLY_COVERED</x:v>
      </x:c>
      <x:c r="AL25" s="19" t="str">
        <x:v>PENDING_SOURCE_REVIEW</x:v>
      </x:c>
      <x:c r="AM25" s="20" t="str">
        <x:v>MEDIUM</x:v>
      </x:c>
    </x:row>
    <x:row r="26" ht="34" customHeight="1">
      <x:c r="A26" s="40" t="str">
        <x:v>FT-SEED-R1B-P-1842-22</x:v>
      </x:c>
      <x:c r="B26" s="19" t="str">
        <x:v>1842</x:v>
      </x:c>
      <x:c r="C26" s="25" t="n">
        <x:v>22</x:v>
      </x:c>
      <x:c r="D26" s="31" t="str">
        <x:v>most suffocating</x:v>
      </x:c>
      <x:c r="E26" s="31" t="str">
        <x:v>generic damage</x:v>
      </x:c>
      <x:c r="F26" s="31" t="str">
        <x:v>harm_loss_consequences</x:v>
      </x:c>
      <x:c r="G26" s="19" t="str">
        <x:v>D</x:v>
      </x:c>
      <x:c r="H26" s="19" t="str">
        <x:v>V5</x:v>
      </x:c>
      <x:c r="I26" s="19" t="str">
        <x:v>NOT_EXPOSED_IN_REPORT</x:v>
      </x:c>
      <x:c r="J26" s="31" t="str">
        <x:v>S1842-CHADWICK</x:v>
      </x:c>
      <x:c r="K26" s="31" t="str">
        <x:v>RECONSTRUCTED_FROM_REPORT; Fear of Temperature_ Stratified Lexical Expansion, Voice Mapping, and Semantic-Relational Pre-Valida.pdf; p.6; project candidate FT-SEED-R1B-P-1842-22; original visible ID not available</x:v>
      </x:c>
      <x:c r="L26" s="31" t="str">
        <x:v>SUCCEEDED_NEW</x:v>
      </x:c>
      <x:c r="M26" s="31" t="str">
        <x:v>most suffocating</x:v>
      </x:c>
      <x:c r="N26" s="31" t="str">
        <x:v>EXACT</x:v>
      </x:c>
      <x:c r="O26" s="19" t="str">
        <x:v>1842</x:v>
      </x:c>
      <x:c r="P26" s="19" t="str">
        <x:v>1842</x:v>
      </x:c>
      <x:c r="Q26" s="46" t="n">
        <x:v>1.6769696742358065e-8</x:v>
      </x:c>
      <x:c r="R26" s="46" t="n">
        <x:v>1.6769696742358065e-8</x:v>
      </x:c>
      <x:c r="S26" s="46" t="n">
        <x:v>1.1918405373734231e-8</x:v>
      </x:c>
      <x:c r="T26" s="46" t="n">
        <x:v>1.946554029075287e-9</x:v>
      </x:c>
      <x:c r="U26" s="31" t="str">
        <x:v>Candidate surface form is directly representable in the public Ngram interface. New unsmoothed 1842–2022 series retrieved for the candidate audit.</x:v>
      </x:c>
      <x:c r="V26" s="31" t="str">
        <x:v>NO_STANDALONE_HEADWORD</x:v>
      </x:c>
      <x:c r="W26" s="31" t="str">
        <x:v>Component lexical analysis plus anchor-source contextual meaning</x:v>
      </x:c>
      <x:c r="X26" s="31" t="str">
        <x:v>A threat, risk, harm, severity, or consequence sense in the documented source; it is not automatically an emotion.</x:v>
      </x:c>
      <x:c r="Y26" s="31" t="str">
        <x:v>Generic material, ecological, or social damage; the candidate is interpreted in its documented anchor and voice context.</x:v>
      </x:c>
      <x:c r="Z26" s="31" t="str">
        <x:v>STRONG</x:v>
      </x:c>
      <x:c r="AA26" s="19" t="str">
        <x:v>The surface form may realize multiple senses; candidate meaning remains anchored to the report-visible source context.</x:v>
      </x:c>
      <x:c r="AB26" s="31" t="str">
        <x:v>Secondary: Component headword checked: suffocating.;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https://api.dictionaryapi.dev/api/v2/entries/en/most%20suffocating; https://websters1913.timcieplowski.com/word/suffocating/</x:v>
      </x:c>
      <x:c r="AC26" s="31" t="str">
        <x:v>INTERNET_ARCHIVE_METADATA_TEXT_ITEM_COUNT</x:v>
      </x:c>
      <x:c r="AD26" s="19" t="str">
        <x:v>"most suffocating" AND mediatype:texts</x:v>
      </x:c>
      <x:c r="AE26" s="31" t="str">
        <x:v>EXACT_PHRASE</x:v>
      </x:c>
      <x:c r="AF26" s="31" t="str">
        <x:v>COMPLETED_ZERO</x:v>
      </x:c>
      <x:c r="AG26" s="25" t="n">
        <x:v>0</x:v>
      </x:c>
      <x:c r="AH26" s="25" t="n">
        <x:v>0</x:v>
      </x:c>
      <x:c r="AI26" s="19" t="str">
        <x:v>2026-08-26</x:v>
      </x:c>
      <x:c r="AJ26" s="31" t="str">
        <x:v>Metadata text-item count; not a full-text lexical frequency. Secondary metric: NOT_RUN_OPENALEX_DAILY_BUDGET_EXHAUSTED: shared provider response retained; no count fabricated.</x:v>
      </x:c>
      <x:c r="AK26" s="31" t="str">
        <x:v>FULLY_COVERED</x:v>
      </x:c>
      <x:c r="AL26" s="19" t="str">
        <x:v>PENDING_SOURCE_REVIEW</x:v>
      </x:c>
      <x:c r="AM26" s="20" t="str">
        <x:v>MEDIUM</x:v>
      </x:c>
    </x:row>
    <x:row r="27" ht="34" customHeight="1">
      <x:c r="A27" s="40" t="str">
        <x:v>FT-SEED-R1B-P-1842-23</x:v>
      </x:c>
      <x:c r="B27" s="19" t="str">
        <x:v>1842</x:v>
      </x:c>
      <x:c r="C27" s="25" t="n">
        <x:v>23</x:v>
      </x:c>
      <x:c r="D27" s="31" t="str">
        <x:v>faint away</x:v>
      </x:c>
      <x:c r="E27" s="31" t="str">
        <x:v>generic damage</x:v>
      </x:c>
      <x:c r="F27" s="31" t="str">
        <x:v>harm_loss_consequences</x:v>
      </x:c>
      <x:c r="G27" s="19" t="str">
        <x:v>D</x:v>
      </x:c>
      <x:c r="H27" s="19" t="str">
        <x:v>V5</x:v>
      </x:c>
      <x:c r="I27" s="19" t="str">
        <x:v>NOT_EXPOSED_IN_REPORT</x:v>
      </x:c>
      <x:c r="J27" s="31" t="str">
        <x:v>S1842-CHADWICK</x:v>
      </x:c>
      <x:c r="K27" s="31" t="str">
        <x:v>RECONSTRUCTED_FROM_REPORT; Fear of Temperature_ Stratified Lexical Expansion, Voice Mapping, and Semantic-Relational Pre-Valida.pdf; p.6; project candidate FT-SEED-R1B-P-1842-23; original visible ID not available</x:v>
      </x:c>
      <x:c r="L27" s="31" t="str">
        <x:v>SUCCEEDED_NEW</x:v>
      </x:c>
      <x:c r="M27" s="31" t="str">
        <x:v>faint away</x:v>
      </x:c>
      <x:c r="N27" s="31" t="str">
        <x:v>EXACT</x:v>
      </x:c>
      <x:c r="O27" s="19" t="str">
        <x:v>1842</x:v>
      </x:c>
      <x:c r="P27" s="19" t="str">
        <x:v>1854</x:v>
      </x:c>
      <x:c r="Q27" s="46" t="n">
        <x:v>1.1952927536640345e-7</x:v>
      </x:c>
      <x:c r="R27" s="46" t="n">
        <x:v>7.030372728422662e-8</x:v>
      </x:c>
      <x:c r="S27" s="46" t="n">
        <x:v>7.127352741331805e-8</x:v>
      </x:c>
      <x:c r="T27" s="46" t="n">
        <x:v>2.092545509091437e-8</x:v>
      </x:c>
      <x:c r="U27" s="31" t="str">
        <x:v>Candidate surface form is directly representable in the public Ngram interface. New unsmoothed 1842–2022 series retrieved for the candidate audit.</x:v>
      </x:c>
      <x:c r="V27" s="31" t="str">
        <x:v>NO_STANDALONE_HEADWORD</x:v>
      </x:c>
      <x:c r="W27" s="31" t="str">
        <x:v>Component lexical analysis plus anchor-source contextual meaning</x:v>
      </x:c>
      <x:c r="X27" s="31" t="str">
        <x:v>A threat, risk, harm, severity, or consequence sense in the documented source; it is not automatically an emotion.</x:v>
      </x:c>
      <x:c r="Y27" s="31" t="str">
        <x:v>Generic material, ecological, or social damage; the candidate is interpreted in its documented anchor and voice context.</x:v>
      </x:c>
      <x:c r="Z27" s="31" t="str">
        <x:v>STRONG</x:v>
      </x:c>
      <x:c r="AA27" s="19" t="str">
        <x:v>The surface form may realize multiple senses; candidate meaning remains anchored to the report-visible source context.</x:v>
      </x:c>
      <x:c r="AB27" s="31" t="str">
        <x:v>Secondary: Component headword checked: away.;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https://api.dictionaryapi.dev/api/v2/entries/en/faint%20away; https://websters1913.timcieplowski.com/word/away/</x:v>
      </x:c>
      <x:c r="AC27" s="31" t="str">
        <x:v>INTERNET_ARCHIVE_METADATA_TEXT_ITEM_COUNT</x:v>
      </x:c>
      <x:c r="AD27" s="19" t="str">
        <x:v>"faint away" AND mediatype:texts</x:v>
      </x:c>
      <x:c r="AE27" s="31" t="str">
        <x:v>EXACT_PHRASE</x:v>
      </x:c>
      <x:c r="AF27" s="31" t="str">
        <x:v>COMPLETED_NONZERO</x:v>
      </x:c>
      <x:c r="AG27" s="25" t="n">
        <x:v>2</x:v>
      </x:c>
      <x:c r="AH27" s="25" t="n">
        <x:v>0</x:v>
      </x:c>
      <x:c r="AI27" s="19" t="str">
        <x:v>2026-08-26</x:v>
      </x:c>
      <x:c r="AJ27" s="31" t="str">
        <x:v>Metadata text-item count; not a full-text lexical frequency. Secondary metric: NOT_RUN_OPENALEX_DAILY_BUDGET_EXHAUSTED: shared provider response retained; no count fabricated.</x:v>
      </x:c>
      <x:c r="AK27" s="31" t="str">
        <x:v>FULLY_COVERED</x:v>
      </x:c>
      <x:c r="AL27" s="19" t="str">
        <x:v>PENDING_SOURCE_REVIEW</x:v>
      </x:c>
      <x:c r="AM27" s="20" t="str">
        <x:v>MEDIUM</x:v>
      </x:c>
    </x:row>
    <x:row r="28" ht="34" customHeight="1">
      <x:c r="A28" s="40" t="str">
        <x:v>FT-SEED-R1B-P-1842-24</x:v>
      </x:c>
      <x:c r="B28" s="19" t="str">
        <x:v>1842</x:v>
      </x:c>
      <x:c r="C28" s="25" t="n">
        <x:v>24</x:v>
      </x:c>
      <x:c r="D28" s="31" t="str">
        <x:v>perspiration</x:v>
      </x:c>
      <x:c r="E28" s="31" t="str">
        <x:v>generic damage</x:v>
      </x:c>
      <x:c r="F28" s="31" t="str">
        <x:v>harm_loss_consequences</x:v>
      </x:c>
      <x:c r="G28" s="19" t="str">
        <x:v>D</x:v>
      </x:c>
      <x:c r="H28" s="19" t="str">
        <x:v>V5</x:v>
      </x:c>
      <x:c r="I28" s="19" t="str">
        <x:v>NOT_EXPOSED_IN_REPORT</x:v>
      </x:c>
      <x:c r="J28" s="31" t="str">
        <x:v>S1842-CHADWICK</x:v>
      </x:c>
      <x:c r="K28" s="31" t="str">
        <x:v>RECONSTRUCTED_FROM_REPORT; Fear of Temperature_ Stratified Lexical Expansion, Voice Mapping, and Semantic-Relational Pre-Valida.pdf; p.6; project candidate FT-SEED-R1B-P-1842-24; original visible ID not available</x:v>
      </x:c>
      <x:c r="L28" s="31" t="str">
        <x:v>SUCCEEDED_NEW</x:v>
      </x:c>
      <x:c r="M28" s="31" t="str">
        <x:v>perspiration</x:v>
      </x:c>
      <x:c r="N28" s="31" t="str">
        <x:v>EXACT</x:v>
      </x:c>
      <x:c r="O28" s="19" t="str">
        <x:v>1842</x:v>
      </x:c>
      <x:c r="P28" s="19" t="str">
        <x:v>1850</x:v>
      </x:c>
      <x:c r="Q28" s="46" t="n">
        <x:v>0.000003977690766987507</x:v>
      </x:c>
      <x:c r="R28" s="46" t="n">
        <x:v>0.000003651665382520264</x:v>
      </x:c>
      <x:c r="S28" s="46" t="n">
        <x:v>0.000003703881898964312</x:v>
      </x:c>
      <x:c r="T28" s="46" t="n">
        <x:v>0.0000014236373244713718</x:v>
      </x:c>
      <x:c r="U28" s="31" t="str">
        <x:v>Candidate surface form is directly representable in the public Ngram interface. New unsmoothed 1842–2022 series retrieved for the candidate audit.</x:v>
      </x:c>
      <x:c r="V28" s="31" t="str">
        <x:v>DIRECT_HEADWORD</x:v>
      </x:c>
      <x:c r="W28" s="31" t="str">
        <x:v>Webster's Revised Unabridged Dictionary (1913 public-domain headword index)</x:v>
      </x:c>
      <x:c r="X28" s="31" t="str">
        <x:v>A threat, risk, harm, severity, or consequence sense in the documented source; it is not automatically an emotion.</x:v>
      </x:c>
      <x:c r="Y28" s="31" t="str">
        <x:v>Generic material, ecological, or social damage; the candidate is interpreted in its documented anchor and voice context.</x:v>
      </x:c>
      <x:c r="Z28" s="31" t="str">
        <x:v>STRONG</x:v>
      </x:c>
      <x:c r="AA28" s="19" t="str">
        <x:v>The surface form may realize multiple senses; candidate meaning remains anchored to the report-visible source context.</x:v>
      </x:c>
      <x:c r="AB28" s="31" t="str">
        <x:v>Secondary: Component headword checked: perspiration.; historical: Anchor-period research source/context; Webster 1913 stable component URL recorded but automated page retrieval was unavailable; source: https://websters1913.timcieplowski.com/word/perspiration/; https://api.dictionaryapi.dev/api/v2/entries/en/perspiration</x:v>
      </x:c>
      <x:c r="AC28" s="31" t="str">
        <x:v>INTERNET_ARCHIVE_METADATA_TEXT_ITEM_COUNT</x:v>
      </x:c>
      <x:c r="AD28" s="19" t="str">
        <x:v>"perspiration" AND mediatype:texts</x:v>
      </x:c>
      <x:c r="AE28" s="31" t="str">
        <x:v>EXACT_PHRASE</x:v>
      </x:c>
      <x:c r="AF28" s="31" t="str">
        <x:v>COMPLETED_NONZERO</x:v>
      </x:c>
      <x:c r="AG28" s="25" t="n">
        <x:v>551</x:v>
      </x:c>
      <x:c r="AH28" s="25" t="n">
        <x:v>2</x:v>
      </x:c>
      <x:c r="AI28" s="19" t="str">
        <x:v>2026-08-26</x:v>
      </x:c>
      <x:c r="AJ28" s="31" t="str">
        <x:v>Metadata text-item count; not a full-text lexical frequency. Secondary metric: NOT_RUN_OPENALEX_DAILY_BUDGET_EXHAUSTED: shared provider response retained; no count fabricated.</x:v>
      </x:c>
      <x:c r="AK28" s="31" t="str">
        <x:v>FULLY_COVERED</x:v>
      </x:c>
      <x:c r="AL28" s="19" t="str">
        <x:v>PENDING_SOURCE_REVIEW</x:v>
      </x:c>
      <x:c r="AM28" s="20" t="str">
        <x:v>MEDIUM</x:v>
      </x:c>
    </x:row>
    <x:row r="29" ht="34" customHeight="1">
      <x:c r="A29" s="40" t="str">
        <x:v>FT-SEED-R1B-P-1842-25</x:v>
      </x:c>
      <x:c r="B29" s="19" t="str">
        <x:v>1842</x:v>
      </x:c>
      <x:c r="C29" s="25" t="n">
        <x:v>25</x:v>
      </x:c>
      <x:c r="D29" s="31" t="str">
        <x:v>depressing effect</x:v>
      </x:c>
      <x:c r="E29" s="31" t="str">
        <x:v>historical depressing effect</x:v>
      </x:c>
      <x:c r="F29" s="31" t="str">
        <x:v>distress_depression</x:v>
      </x:c>
      <x:c r="G29" s="19" t="str">
        <x:v>C</x:v>
      </x:c>
      <x:c r="H29" s="19" t="str">
        <x:v>V5</x:v>
      </x:c>
      <x:c r="I29" s="19" t="str">
        <x:v>E3</x:v>
      </x:c>
      <x:c r="J29" s="31" t="str">
        <x:v>S1842-CHADWICK</x:v>
      </x:c>
      <x:c r="K29" s="31" t="str">
        <x:v>RECONSTRUCTED_FROM_REPORT; Fear of Temperature_ Stratified Lexical Expansion, Voice Mapping, and Semantic-Relational Pre-Valida.pdf; p.6; project candidate FT-SEED-R1B-P-1842-25; original visible ID not available</x:v>
      </x:c>
      <x:c r="L29" s="31" t="str">
        <x:v>SUCCEEDED_NEW</x:v>
      </x:c>
      <x:c r="M29" s="31" t="str">
        <x:v>depressing effect</x:v>
      </x:c>
      <x:c r="N29" s="31" t="str">
        <x:v>EXACT</x:v>
      </x:c>
      <x:c r="O29" s="19" t="str">
        <x:v>1842</x:v>
      </x:c>
      <x:c r="P29" s="19" t="str">
        <x:v>1932</x:v>
      </x:c>
      <x:c r="Q29" s="46" t="n">
        <x:v>4.1821657831286885e-7</x:v>
      </x:c>
      <x:c r="R29" s="46" t="n">
        <x:v>7.417365566197986e-8</x:v>
      </x:c>
      <x:c r="S29" s="46" t="n">
        <x:v>7.959695991210936e-8</x:v>
      </x:c>
      <x:c r="T29" s="46" t="n">
        <x:v>4.3930182047624555e-8</x:v>
      </x:c>
      <x:c r="U29" s="31" t="str">
        <x:v>Candidate surface form is directly representable in the public Ngram interface. New unsmoothed 1842–2022 series retrieved for the candidate audit.</x:v>
      </x:c>
      <x:c r="V29" s="31" t="str">
        <x:v>NO_STANDALONE_HEADWORD</x:v>
      </x:c>
      <x:c r="W29" s="31" t="str">
        <x:v>Component lexical analysis plus anchor-source contextual meaning</x:v>
      </x:c>
      <x:c r="X29" s="31" t="str">
        <x:v>A bodily or energetic lowering effect associated with oppressive heat; affect-adjacent but not a modern clinical-depression diagnosis.</x:v>
      </x:c>
      <x:c r="Y29" s="31" t="str">
        <x:v>Contemporary readers may hear a mood-lowering or clinical-psychology association; that reading must not be projected onto the 1842 bodily/energetic use.</x:v>
      </x:c>
      <x:c r="Z29" s="31" t="str">
        <x:v>DIFFERENT</x:v>
      </x:c>
      <x:c r="AA29" s="19" t="str">
        <x:v>'Depressing' historically permits lowering or weakening senses that differ from modern clinical depression.</x:v>
      </x:c>
      <x:c r="AB29" s="31" t="str">
        <x:v>Secondary: Component headword checked: effect.;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https://api.dictionaryapi.dev/api/v2/entries/en/depressing%20effect; https://websters1913.timcieplowski.com/word/effect/</x:v>
      </x:c>
      <x:c r="AC29" s="31" t="str">
        <x:v>INTERNET_ARCHIVE_METADATA_TEXT_ITEM_COUNT</x:v>
      </x:c>
      <x:c r="AD29" s="19" t="str">
        <x:v>"depressing effect" AND mediatype:texts</x:v>
      </x:c>
      <x:c r="AE29" s="31" t="str">
        <x:v>EXACT_PHRASE</x:v>
      </x:c>
      <x:c r="AF29" s="31" t="str">
        <x:v>COMPLETED_NONZERO</x:v>
      </x:c>
      <x:c r="AG29" s="25" t="n">
        <x:v>62</x:v>
      </x:c>
      <x:c r="AH29" s="25" t="n">
        <x:v>0</x:v>
      </x:c>
      <x:c r="AI29" s="19" t="str">
        <x:v>2026-08-26</x:v>
      </x:c>
      <x:c r="AJ29" s="31" t="str">
        <x:v>Metadata text-item count; not a full-text lexical frequency. Secondary metric: NOT_RUN_OPENALEX_DAILY_BUDGET_EXHAUSTED: shared provider response retained; no count fabricated.</x:v>
      </x:c>
      <x:c r="AK29" s="31" t="str">
        <x:v>FULLY_COVERED</x:v>
      </x:c>
      <x:c r="AL29" s="19" t="str">
        <x:v>NOT_APPLICABLE</x:v>
      </x:c>
      <x:c r="AM29" s="20" t="str">
        <x:v>HIGH</x:v>
      </x:c>
    </x:row>
    <x:row r="30" ht="34" customHeight="1">
      <x:c r="A30" s="40" t="str">
        <x:v>FT-SEED-R1B-P-1842-26</x:v>
      </x:c>
      <x:c r="B30" s="19" t="str">
        <x:v>1842</x:v>
      </x:c>
      <x:c r="C30" s="25" t="n">
        <x:v>26</x:v>
      </x:c>
      <x:c r="D30" s="31" t="str">
        <x:v>complain of the heat</x:v>
      </x:c>
      <x:c r="E30" s="31" t="str">
        <x:v>embodied heat exposure</x:v>
      </x:c>
      <x:c r="F30" s="31" t="str">
        <x:v>heat</x:v>
      </x:c>
      <x:c r="G30" s="19" t="str">
        <x:v>C</x:v>
      </x:c>
      <x:c r="H30" s="19" t="str">
        <x:v>V5</x:v>
      </x:c>
      <x:c r="I30" s="19" t="str">
        <x:v>NOT_EXPOSED_IN_REPORT</x:v>
      </x:c>
      <x:c r="J30" s="31" t="str">
        <x:v>S1842-CHADWICK</x:v>
      </x:c>
      <x:c r="K30" s="31" t="str">
        <x:v>RECONSTRUCTED_FROM_REPORT; Fear of Temperature_ Stratified Lexical Expansion, Voice Mapping, and Semantic-Relational Pre-Valida.pdf; p.6; project candidate FT-SEED-R1B-P-1842-26; original visible ID not available</x:v>
      </x:c>
      <x:c r="L30" s="31" t="str">
        <x:v>SUCCEEDED_NEW</x:v>
      </x:c>
      <x:c r="M30" s="31" t="str">
        <x:v>complain of the heat</x:v>
      </x:c>
      <x:c r="N30" s="31" t="str">
        <x:v>EXACT</x:v>
      </x:c>
      <x:c r="O30" s="19" t="str">
        <x:v>1842</x:v>
      </x:c>
      <x:c r="P30" s="19" t="str">
        <x:v>1843</x:v>
      </x:c>
      <x:c r="Q30" s="46" t="n">
        <x:v>1.5360400951180964e-8</x:v>
      </x:c>
      <x:c r="R30" s="46" t="n">
        <x:v>1.4668863457245607e-8</x:v>
      </x:c>
      <x:c r="S30" s="46" t="n">
        <x:v>1.0437534836427176e-8</x:v>
      </x:c>
      <x:c r="T30" s="46" t="n">
        <x:v>1.7275971764263431e-9</x:v>
      </x:c>
      <x:c r="U30" s="31" t="str">
        <x:v>Candidate surface form is directly representable in the public Ngram interface. New unsmoothed 1842–2022 series retrieved for the candidate audit.</x:v>
      </x:c>
      <x:c r="V30" s="31" t="str">
        <x:v>NO_STANDALONE_HEADWORD</x:v>
      </x:c>
      <x:c r="W30" s="31" t="str">
        <x:v>Component lexical analysis plus anchor-source contextual meaning</x:v>
      </x:c>
      <x:c r="X30" s="31" t="str">
        <x:v>The candidate's affective or evaluative sense as used by the documented speaker/instrument/research voice at the anchor.</x:v>
      </x:c>
      <x:c r="Y30" s="31" t="str">
        <x:v>Heat experienced by bodies in occupational, domestic, or environmental settings; the candidate is interpreted in its documented anchor and voice context.</x:v>
      </x:c>
      <x:c r="Z30" s="31" t="str">
        <x:v>STRONG</x:v>
      </x:c>
      <x:c r="AA30" s="19" t="str">
        <x:v>The surface form may realize multiple senses; candidate meaning remains anchored to the report-visible source context.</x:v>
      </x:c>
      <x:c r="AB3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https://api.dictionaryapi.dev/api/v2/entries/en/complain%20of%20the%20heat; https://websters1913.timcieplowski.com/word/heat/</x:v>
      </x:c>
      <x:c r="AC30" s="31" t="str">
        <x:v>INTERNET_ARCHIVE_METADATA_TEXT_ITEM_COUNT</x:v>
      </x:c>
      <x:c r="AD30" s="19" t="str">
        <x:v>"complain of the heat" AND mediatype:texts</x:v>
      </x:c>
      <x:c r="AE30" s="31" t="str">
        <x:v>EXACT_PHRASE</x:v>
      </x:c>
      <x:c r="AF30" s="31" t="str">
        <x:v>COMPLETED_ZERO</x:v>
      </x:c>
      <x:c r="AG30" s="25" t="n">
        <x:v>0</x:v>
      </x:c>
      <x:c r="AH30" s="25" t="n">
        <x:v>0</x:v>
      </x:c>
      <x:c r="AI30" s="19" t="str">
        <x:v>2026-08-26</x:v>
      </x:c>
      <x:c r="AJ30" s="31" t="str">
        <x:v>Metadata text-item count; not a full-text lexical frequency. Secondary metric: Scholarly work discoverability count over OpenAlex search fields; not a corpus word frequency.</x:v>
      </x:c>
      <x:c r="AK30" s="31" t="str">
        <x:v>FULLY_COVERED</x:v>
      </x:c>
      <x:c r="AL30" s="19" t="str">
        <x:v>PENDING_SOURCE_REVIEW</x:v>
      </x:c>
      <x:c r="AM30" s="20" t="str">
        <x:v>MEDIUM</x:v>
      </x:c>
    </x:row>
    <x:row r="31" ht="34" customHeight="1">
      <x:c r="A31" s="40" t="str">
        <x:v>FT-SEED-R1B-P-1842-27</x:v>
      </x:c>
      <x:c r="B31" s="19" t="str">
        <x:v>1842</x:v>
      </x:c>
      <x:c r="C31" s="25" t="n">
        <x:v>27</x:v>
      </x:c>
      <x:c r="D31" s="31" t="str">
        <x:v>premature heat of the weather</x:v>
      </x:c>
      <x:c r="E31" s="31" t="str">
        <x:v>physical heat source / state</x:v>
      </x:c>
      <x:c r="F31" s="31" t="str">
        <x:v>heat</x:v>
      </x:c>
      <x:c r="G31" s="19" t="str">
        <x:v>A</x:v>
      </x:c>
      <x:c r="H31" s="19" t="str">
        <x:v>V5</x:v>
      </x:c>
      <x:c r="I31" s="19" t="str">
        <x:v>NOT_EXPOSED_IN_REPORT</x:v>
      </x:c>
      <x:c r="J31" s="31" t="str">
        <x:v>S1842-DICKENS</x:v>
      </x:c>
      <x:c r="K31" s="31" t="str">
        <x:v>RECONSTRUCTED_FROM_REPORT; Fear of Temperature_ Stratified Lexical Expansion, Voice Mapping, and Semantic-Relational Pre-Valida.pdf; p.6; project candidate FT-SEED-R1B-P-1842-27; original visible ID not available</x:v>
      </x:c>
      <x:c r="L31" s="31" t="str">
        <x:v>ZERO_RESPONSE_NEW</x:v>
      </x:c>
      <x:c r="M31" s="31" t="str">
        <x:v>premature heat of the weather</x:v>
      </x:c>
      <x:c r="N31" s="31" t="str">
        <x:v>EXACT</x:v>
      </x:c>
      <x:c r="O31" s="19" t="str">
        <x:v>NOT_APPLICABLE</x:v>
      </x:c>
      <x:c r="P31" s="19" t="str">
        <x:v>NOT_APPLICABLE</x:v>
      </x:c>
      <x:c r="Q31" s="46" t="str">
        <x:v>NOT_APPLICABLE</x:v>
      </x:c>
      <x:c r="R31" s="46" t="str">
        <x:v>NOT_APPLICABLE</x:v>
      </x:c>
      <x:c r="S31" s="46" t="str">
        <x:v>NOT_APPLICABLE</x:v>
      </x:c>
      <x:c r="T31" s="46" t="str">
        <x:v>NOT_APPLICABLE</x:v>
      </x:c>
      <x:c r="U31" s="31" t="str">
        <x:v>Candidate surface form is directly representable in the public Ngram interface. The public Ngram endpoint returned an empty list; retained without fabricating annual zero frequencies.</x:v>
      </x:c>
      <x:c r="V31" s="31" t="str">
        <x:v>NO_STANDALONE_HEADWORD</x:v>
      </x:c>
      <x:c r="W31" s="31" t="str">
        <x:v>Component lexical analysis plus anchor-source contextual meaning</x:v>
      </x:c>
      <x:c r="X31" s="31" t="str">
        <x:v>Physical or embodied heat in a local meteorological, material, or bodily-exposure sense.</x:v>
      </x:c>
      <x:c r="Y31" s="31" t="str">
        <x:v>Heat as a physical source, state, or thermal condition; the candidate is interpreted in its documented anchor and voice context.</x:v>
      </x:c>
      <x:c r="Z31" s="31" t="str">
        <x:v>STRONG</x:v>
      </x:c>
      <x:c r="AA31" s="19" t="str">
        <x:v>Heat may refer to cooking, machinery, emotion, contest, or political metaphor; those senses are not automatically relevant.</x:v>
      </x:c>
      <x:c r="AB31" s="31" t="str">
        <x:v>Secondary: Component headword checked: weather.;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https://api.dictionaryapi.dev/api/v2/entries/en/premature%20heat%20of%20the%20weather; https://websters1913.timcieplowski.com/word/weather/</x:v>
      </x:c>
      <x:c r="AC31" s="31" t="str">
        <x:v>INTERNET_ARCHIVE_METADATA_TEXT_ITEM_COUNT</x:v>
      </x:c>
      <x:c r="AD31" s="19" t="str">
        <x:v>"premature heat of the weather" AND mediatype:texts</x:v>
      </x:c>
      <x:c r="AE31" s="31" t="str">
        <x:v>EXACT_PHRASE</x:v>
      </x:c>
      <x:c r="AF31" s="31" t="str">
        <x:v>COMPLETED_ZERO</x:v>
      </x:c>
      <x:c r="AG31" s="25" t="n">
        <x:v>0</x:v>
      </x:c>
      <x:c r="AH31" s="25" t="n">
        <x:v>0</x:v>
      </x:c>
      <x:c r="AI31" s="19" t="str">
        <x:v>2026-08-26</x:v>
      </x:c>
      <x:c r="AJ31" s="31" t="str">
        <x:v>Metadata text-item count; not a full-text lexical frequency. Secondary metric: NOT_RUN_OPENALEX_DAILY_BUDGET_EXHAUSTED: shared provider response retained; no count fabricated.</x:v>
      </x:c>
      <x:c r="AK31" s="31" t="str">
        <x:v>FULLY_COVERED</x:v>
      </x:c>
      <x:c r="AL31" s="19" t="str">
        <x:v>PENDING_SOURCE_REVIEW</x:v>
      </x:c>
      <x:c r="AM31" s="20" t="str">
        <x:v>MEDIUM</x:v>
      </x:c>
    </x:row>
    <x:row r="32" ht="34" customHeight="1">
      <x:c r="A32" s="40" t="str">
        <x:v>FT-SEED-R1B-P-1842-28</x:v>
      </x:c>
      <x:c r="B32" s="19" t="str">
        <x:v>1842</x:v>
      </x:c>
      <x:c r="C32" s="25" t="n">
        <x:v>28</x:v>
      </x:c>
      <x:c r="D32" s="31" t="str">
        <x:v>suffered more from cold than from heat</x:v>
      </x:c>
      <x:c r="E32" s="31" t="str">
        <x:v>physical heat source / state</x:v>
      </x:c>
      <x:c r="F32" s="31" t="str">
        <x:v>heat</x:v>
      </x:c>
      <x:c r="G32" s="19" t="str">
        <x:v>D</x:v>
      </x:c>
      <x:c r="H32" s="19" t="str">
        <x:v>V1</x:v>
      </x:c>
      <x:c r="I32" s="19" t="str">
        <x:v>NOT_EXPOSED_IN_REPORT</x:v>
      </x:c>
      <x:c r="J32" s="31" t="str">
        <x:v>S1842-LEICHHARDT-L</x:v>
      </x:c>
      <x:c r="K32" s="31" t="str">
        <x:v>RECONSTRUCTED_FROM_REPORT; Fear of Temperature_ Stratified Lexical Expansion, Voice Mapping, and Semantic-Relational Pre-Valida.pdf; p.7; project candidate FT-SEED-R1B-P-1842-28; original visible ID not available</x:v>
      </x:c>
      <x:c r="L32" s="31" t="str">
        <x:v>ZERO_RESPONSE_NEW</x:v>
      </x:c>
      <x:c r="M32" s="31" t="str">
        <x:v>suffered more from cold than from heat</x:v>
      </x:c>
      <x:c r="N32" s="31" t="str">
        <x:v>EXACT</x:v>
      </x:c>
      <x:c r="O32" s="19" t="str">
        <x:v>NOT_APPLICABLE</x:v>
      </x:c>
      <x:c r="P32" s="19" t="str">
        <x:v>NOT_APPLICABLE</x:v>
      </x:c>
      <x:c r="Q32" s="46" t="str">
        <x:v>NOT_APPLICABLE</x:v>
      </x:c>
      <x:c r="R32" s="46" t="str">
        <x:v>NOT_APPLICABLE</x:v>
      </x:c>
      <x:c r="S32" s="46" t="str">
        <x:v>NOT_APPLICABLE</x:v>
      </x:c>
      <x:c r="T32" s="46" t="str">
        <x:v>NOT_APPLICABLE</x:v>
      </x:c>
      <x:c r="U32" s="31" t="str">
        <x:v>Candidate surface form is directly representable in the public Ngram interface. The public Ngram endpoint returned an empty list; retained without fabricating annual zero frequencies.</x:v>
      </x:c>
      <x:c r="V32" s="31" t="str">
        <x:v>NO_STANDALONE_HEADWORD</x:v>
      </x:c>
      <x:c r="W32" s="31" t="str">
        <x:v>Component lexical analysis plus anchor-source contextual meaning</x:v>
      </x:c>
      <x:c r="X32" s="31" t="str">
        <x:v>A threat, risk, harm, severity, or consequence sense in the documented source; it is not automatically an emotion.</x:v>
      </x:c>
      <x:c r="Y32" s="31" t="str">
        <x:v>Heat as a physical source, state, or thermal condition; the candidate is interpreted in its documented anchor and voice context.</x:v>
      </x:c>
      <x:c r="Z32" s="31" t="str">
        <x:v>STRONG</x:v>
      </x:c>
      <x:c r="AA32" s="19" t="str">
        <x:v>The surface form may realize multiple senses; candidate meaning remains anchored to the report-visible source context.</x:v>
      </x:c>
      <x:c r="AB32"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https://api.dictionaryapi.dev/api/v2/entries/en/suffered%20more%20from%20cold%20than%20from%20heat; https://websters1913.timcieplowski.com/word/heat/</x:v>
      </x:c>
      <x:c r="AC32" s="31" t="str">
        <x:v>INTERNET_ARCHIVE_METADATA_TEXT_ITEM_COUNT</x:v>
      </x:c>
      <x:c r="AD32" s="19" t="str">
        <x:v>"suffered more from cold than from heat" AND mediatype:texts</x:v>
      </x:c>
      <x:c r="AE32" s="31" t="str">
        <x:v>EXACT_PHRASE</x:v>
      </x:c>
      <x:c r="AF32" s="31" t="str">
        <x:v>COMPLETED_ZERO</x:v>
      </x:c>
      <x:c r="AG32" s="25" t="n">
        <x:v>0</x:v>
      </x:c>
      <x:c r="AH32" s="25" t="n">
        <x:v>0</x:v>
      </x:c>
      <x:c r="AI32" s="19" t="str">
        <x:v>2026-08-26</x:v>
      </x:c>
      <x:c r="AJ32" s="31" t="str">
        <x:v>Metadata text-item count; not a full-text lexical frequency. Secondary metric: NOT_RUN_OPENALEX_DAILY_BUDGET_EXHAUSTED: shared provider response retained; no count fabricated.</x:v>
      </x:c>
      <x:c r="AK32" s="31" t="str">
        <x:v>FULLY_COVERED</x:v>
      </x:c>
      <x:c r="AL32" s="19" t="str">
        <x:v>PENDING_SOURCE_REVIEW</x:v>
      </x:c>
      <x:c r="AM32" s="20" t="str">
        <x:v>MEDIUM</x:v>
      </x:c>
    </x:row>
    <x:row r="33" ht="34" customHeight="1">
      <x:c r="A33" s="40" t="str">
        <x:v>FT-SEED-R1B-P-1842-29</x:v>
      </x:c>
      <x:c r="B33" s="19" t="str">
        <x:v>1842</x:v>
      </x:c>
      <x:c r="C33" s="25" t="n">
        <x:v>29</x:v>
      </x:c>
      <x:c r="D33" s="31" t="str">
        <x:v>sickness and mortality</x:v>
      </x:c>
      <x:c r="E33" s="31" t="str">
        <x:v>mortality</x:v>
      </x:c>
      <x:c r="F33" s="31" t="str">
        <x:v>harm_loss_consequences</x:v>
      </x:c>
      <x:c r="G33" s="19" t="str">
        <x:v>D</x:v>
      </x:c>
      <x:c r="H33" s="19" t="str">
        <x:v>V2</x:v>
      </x:c>
      <x:c r="I33" s="19" t="str">
        <x:v>NOT_EXPOSED_IN_REPORT</x:v>
      </x:c>
      <x:c r="J33" s="31" t="str">
        <x:v>S1842-CHADWICK</x:v>
      </x:c>
      <x:c r="K33" s="31" t="str">
        <x:v>RECONSTRUCTED_FROM_REPORT; Fear of Temperature_ Stratified Lexical Expansion, Voice Mapping, and Semantic-Relational Pre-Valida.pdf; p.7; project candidate FT-SEED-R1B-P-1842-29; original visible ID not available</x:v>
      </x:c>
      <x:c r="L33" s="31" t="str">
        <x:v>SUCCEEDED_NEW</x:v>
      </x:c>
      <x:c r="M33" s="31" t="str">
        <x:v>sickness and mortality</x:v>
      </x:c>
      <x:c r="N33" s="31" t="str">
        <x:v>EXACT</x:v>
      </x:c>
      <x:c r="O33" s="19" t="str">
        <x:v>1842</x:v>
      </x:c>
      <x:c r="P33" s="19" t="str">
        <x:v>1875</x:v>
      </x:c>
      <x:c r="Q33" s="46" t="n">
        <x:v>5.163315972556148e-7</x:v>
      </x:c>
      <x:c r="R33" s="46" t="n">
        <x:v>2.7180557848893727e-7</x:v>
      </x:c>
      <x:c r="S33" s="46" t="n">
        <x:v>2.6085028570488333e-7</x:v>
      </x:c>
      <x:c r="T33" s="46" t="n">
        <x:v>1.8919435802733364e-8</x:v>
      </x:c>
      <x:c r="U33" s="31" t="str">
        <x:v>Candidate surface form is directly representable in the public Ngram interface. New unsmoothed 1842–2022 series retrieved for the candidate audit.</x:v>
      </x:c>
      <x:c r="V33" s="31" t="str">
        <x:v>NO_STANDALONE_HEADWORD</x:v>
      </x:c>
      <x:c r="W33" s="31" t="str">
        <x:v>Component lexical analysis plus anchor-source contextual meaning</x:v>
      </x:c>
      <x:c r="X33" s="31" t="str">
        <x:v>A threat, risk, harm, severity, or consequence sense in the documented source; it is not automatically an emotion.</x:v>
      </x:c>
      <x:c r="Y33" s="31" t="str">
        <x:v>Death or mortality attributed to heat or climate consequences; the candidate is interpreted in its documented anchor and voice context.</x:v>
      </x:c>
      <x:c r="Z33" s="31" t="str">
        <x:v>STRONG</x:v>
      </x:c>
      <x:c r="AA33" s="19" t="str">
        <x:v>The surface form may realize multiple senses; candidate meaning remains anchored to the report-visible source context.</x:v>
      </x:c>
      <x:c r="AB33" s="31" t="str">
        <x:v>Secondary: Component headword checked: mortality.;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https://api.dictionaryapi.dev/api/v2/entries/en/sickness%20and%20mortality; https://websters1913.timcieplowski.com/word/mortality/</x:v>
      </x:c>
      <x:c r="AC33" s="31" t="str">
        <x:v>INTERNET_ARCHIVE_METADATA_TEXT_ITEM_COUNT</x:v>
      </x:c>
      <x:c r="AD33" s="19" t="str">
        <x:v>"sickness and mortality" AND mediatype:texts</x:v>
      </x:c>
      <x:c r="AE33" s="31" t="str">
        <x:v>EXACT_PHRASE</x:v>
      </x:c>
      <x:c r="AF33" s="31" t="str">
        <x:v>COMPLETED_NONZERO</x:v>
      </x:c>
      <x:c r="AG33" s="25" t="n">
        <x:v>73</x:v>
      </x:c>
      <x:c r="AH33" s="25" t="n">
        <x:v>18</x:v>
      </x:c>
      <x:c r="AI33" s="19" t="str">
        <x:v>2026-08-26</x:v>
      </x:c>
      <x:c r="AJ33" s="31" t="str">
        <x:v>Metadata text-item count; not a full-text lexical frequency. Secondary metric: NOT_RUN_OPENALEX_DAILY_BUDGET_EXHAUSTED: shared provider response retained; no count fabricated.</x:v>
      </x:c>
      <x:c r="AK33" s="31" t="str">
        <x:v>FULLY_COVERED</x:v>
      </x:c>
      <x:c r="AL33" s="19" t="str">
        <x:v>PENDING_SOURCE_REVIEW</x:v>
      </x:c>
      <x:c r="AM33" s="20" t="str">
        <x:v>MEDIUM</x:v>
      </x:c>
    </x:row>
    <x:row r="34" ht="34" customHeight="1">
      <x:c r="A34" s="40" t="str">
        <x:v>FT-SEED-R1B-P-1842-30</x:v>
      </x:c>
      <x:c r="B34" s="19" t="str">
        <x:v>1842</x:v>
      </x:c>
      <x:c r="C34" s="25" t="n">
        <x:v>30</x:v>
      </x:c>
      <x:c r="D34" s="31" t="str">
        <x:v>alarm to the public</x:v>
      </x:c>
      <x:c r="E34" s="31" t="str">
        <x:v>public alarm</x:v>
      </x:c>
      <x:c r="F34" s="31" t="str">
        <x:v>concern_alarm</x:v>
      </x:c>
      <x:c r="G34" s="19" t="str">
        <x:v>C</x:v>
      </x:c>
      <x:c r="H34" s="19" t="str">
        <x:v>V3</x:v>
      </x:c>
      <x:c r="I34" s="19" t="str">
        <x:v>NOT_EXPOSED_IN_REPORT</x:v>
      </x:c>
      <x:c r="J34" s="31" t="str">
        <x:v>S1842-TIMES</x:v>
      </x:c>
      <x:c r="K34" s="31" t="str">
        <x:v>RECONSTRUCTED_FROM_REPORT; Fear of Temperature_ Stratified Lexical Expansion, Voice Mapping, and Semantic-Relational Pre-Valida.pdf; p.7; project candidate FT-SEED-R1B-P-1842-30; original visible ID not available</x:v>
      </x:c>
      <x:c r="L34" s="31" t="str">
        <x:v>SUCCEEDED_NEW</x:v>
      </x:c>
      <x:c r="M34" s="31" t="str">
        <x:v>alarm to the public</x:v>
      </x:c>
      <x:c r="N34" s="31" t="str">
        <x:v>EXACT</x:v>
      </x:c>
      <x:c r="O34" s="19" t="str">
        <x:v>1842</x:v>
      </x:c>
      <x:c r="P34" s="19" t="str">
        <x:v>1850</x:v>
      </x:c>
      <x:c r="Q34" s="46" t="n">
        <x:v>1.0281119067201416e-8</x:v>
      </x:c>
      <x:c r="R34" s="46" t="n">
        <x:v>2.9337727802669633e-9</x:v>
      </x:c>
      <x:c r="S34" s="46" t="n">
        <x:v>2.216764855011988e-9</x:v>
      </x:c>
      <x:c r="T34" s="46" t="n">
        <x:v>1.7275971764263431e-9</x:v>
      </x:c>
      <x:c r="U34" s="31" t="str">
        <x:v>Candidate surface form is directly representable in the public Ngram interface. New unsmoothed 1842–2022 series retrieved for the candidate audit.</x:v>
      </x:c>
      <x:c r="V34" s="31" t="str">
        <x:v>NO_STANDALONE_HEADWORD</x:v>
      </x:c>
      <x:c r="W34" s="31" t="str">
        <x:v>Component lexical analysis plus anchor-source contextual meaning</x:v>
      </x:c>
      <x:c r="X34" s="31" t="str">
        <x:v>The candidate's affective or evaluative sense as used by the documented speaker/instrument/research voice at the anchor.</x:v>
      </x:c>
      <x:c r="Y34" s="31" t="str">
        <x:v>Alarm attributed to or anticipated for a public, requiring direct evidence and sense review; the candidate is interpreted in its documented anchor and voice context.</x:v>
      </x:c>
      <x:c r="Z34" s="31" t="str">
        <x:v>STRONG</x:v>
      </x:c>
      <x:c r="AA34" s="19" t="str">
        <x:v>The surface form may realize multiple senses; candidate meaning remains anchored to the report-visible source context.</x:v>
      </x:c>
      <x:c r="AB34" s="31" t="str">
        <x:v>Secondary: Component headword checked: public.;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https://api.dictionaryapi.dev/api/v2/entries/en/alarm%20to%20the%20public; https://websters1913.timcieplowski.com/word/public/</x:v>
      </x:c>
      <x:c r="AC34" s="31" t="str">
        <x:v>INTERNET_ARCHIVE_METADATA_TEXT_ITEM_COUNT</x:v>
      </x:c>
      <x:c r="AD34" s="19" t="str">
        <x:v>"alarm to the public" AND mediatype:texts</x:v>
      </x:c>
      <x:c r="AE34" s="31" t="str">
        <x:v>EXACT_PHRASE</x:v>
      </x:c>
      <x:c r="AF34" s="31" t="str">
        <x:v>COMPLETED_NONZERO</x:v>
      </x:c>
      <x:c r="AG34" s="25" t="n">
        <x:v>3</x:v>
      </x:c>
      <x:c r="AH34" s="25" t="n">
        <x:v>0</x:v>
      </x:c>
      <x:c r="AI34" s="19" t="str">
        <x:v>2026-08-26</x:v>
      </x:c>
      <x:c r="AJ34" s="31" t="str">
        <x:v>Metadata text-item count; not a full-text lexical frequency. Secondary metric: Scholarly work discoverability count over OpenAlex search fields; not a corpus word frequency.</x:v>
      </x:c>
      <x:c r="AK34" s="31" t="str">
        <x:v>FULLY_COVERED</x:v>
      </x:c>
      <x:c r="AL34" s="19" t="str">
        <x:v>PENDING_SOURCE_REVIEW</x:v>
      </x:c>
      <x:c r="AM34" s="20" t="str">
        <x:v>MEDIUM</x:v>
      </x:c>
    </x:row>
    <x:row r="35" ht="34" customHeight="1">
      <x:c r="A35" s="40" t="str">
        <x:v>FT-SEED-R1B-P-1938-01</x:v>
      </x:c>
      <x:c r="B35" s="19" t="str">
        <x:v>1938</x:v>
      </x:c>
      <x:c r="C35" s="25" t="n">
        <x:v>1</x:v>
      </x:c>
      <x:c r="D35" s="31" t="str">
        <x:v>artificial production of carbon dioxide</x:v>
      </x:c>
      <x:c r="E35" s="31" t="str">
        <x:v>anthropogenic carbon-dioxide production</x:v>
      </x:c>
      <x:c r="F35" s="31" t="str">
        <x:v>carbon_greenhouse</x:v>
      </x:c>
      <x:c r="G35" s="19" t="str">
        <x:v>B</x:v>
      </x:c>
      <x:c r="H35" s="19" t="str">
        <x:v>V1</x:v>
      </x:c>
      <x:c r="I35" s="19" t="str">
        <x:v>NOT_EXPOSED_IN_REPORT</x:v>
      </x:c>
      <x:c r="J35" s="31" t="str">
        <x:v>S1938-CALLENDAR</x:v>
      </x:c>
      <x:c r="K35" s="31" t="str">
        <x:v>RECONSTRUCTED_FROM_REPORT; Fear of Temperature_ Stratified Lexical Expansion, Voice Mapping, and Semantic-Relational Pre-Valida.pdf; p.7; project candidate FT-SEED-R1B-P-1938-01; original visible ID not available</x:v>
      </x:c>
      <x:c r="L35" s="31" t="str">
        <x:v>SUCCEEDED_REUSED_BASELINE</x:v>
      </x:c>
      <x:c r="M35" s="31" t="str">
        <x:v>artificial production of carbon dioxide</x:v>
      </x:c>
      <x:c r="N35" s="31" t="str">
        <x:v>EXACT</x:v>
      </x:c>
      <x:c r="O35" s="19" t="str">
        <x:v>1902</x:v>
      </x:c>
      <x:c r="P35" s="19" t="str">
        <x:v>1938</x:v>
      </x:c>
      <x:c r="Q35" s="46" t="n">
        <x:v>4.288904842386643e-9</x:v>
      </x:c>
      <x:c r="R35" s="46" t="n">
        <x:v>4.288904842386643e-9</x:v>
      </x:c>
      <x:c r="S35" s="46" t="n">
        <x:v>1.0332850186589582e-9</x:v>
      </x:c>
      <x:c r="T35" s="46" t="n">
        <x:v>1.7940347540879031e-9</x:v>
      </x:c>
      <x:c r="U35" s="31" t="str">
        <x:v>Candidate surface form is directly representable in the public Ngram interface. Complete 1842–2022 unsmoothed series reused from the audited quantitative-v0.1 baseline.</x:v>
      </x:c>
      <x:c r="V35" s="31" t="str">
        <x:v>TECHNICAL_GLOSSARY</x:v>
      </x:c>
      <x:c r="W35" s="31" t="str">
        <x:v>IPCC climate-science glossary / assessment terminology</x:v>
      </x:c>
      <x:c r="X35" s="31" t="str">
        <x:v>A climatic, atmospheric, meteorological, or causal-science sense in the documented anchor context.</x:v>
      </x:c>
      <x:c r="Y35" s="31" t="str">
        <x:v>Human production of carbon dioxide as a climatic cause; the candidate is interpreted in its documented anchor and voice context.</x:v>
      </x:c>
      <x:c r="Z35" s="31" t="str">
        <x:v>STRONG</x:v>
      </x:c>
      <x:c r="AA35" s="19" t="str">
        <x:v>The surface form may realize multiple senses; candidate meaning remains anchored to the report-visible source context.</x:v>
      </x:c>
      <x:c r="AB35"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https://api.dictionaryapi.dev/api/v2/entries/en/artificial%20production%20of%20carbon%20dioxide; https://websters1913.timcieplowski.com/word/dioxide/</x:v>
      </x:c>
      <x:c r="AC35" s="31" t="str">
        <x:v>INTERNET_ARCHIVE_METADATA_TEXT_ITEM_COUNT</x:v>
      </x:c>
      <x:c r="AD35" s="19" t="str">
        <x:v>"artificial production of carbon dioxide" AND mediatype:texts</x:v>
      </x:c>
      <x:c r="AE35" s="31" t="str">
        <x:v>EXACT_PHRASE</x:v>
      </x:c>
      <x:c r="AF35" s="31" t="str">
        <x:v>COMPLETED_ZERO</x:v>
      </x:c>
      <x:c r="AG35" s="25" t="n">
        <x:v>0</x:v>
      </x:c>
      <x:c r="AH35" s="25" t="n">
        <x:v>0</x:v>
      </x:c>
      <x:c r="AI35" s="19" t="str">
        <x:v>2026-08-26</x:v>
      </x:c>
      <x:c r="AJ35" s="31" t="str">
        <x:v>Metadata text-item count; not a full-text lexical frequency. Secondary metric: Scholarly work discoverability count over OpenAlex search fields; not a corpus word frequency.</x:v>
      </x:c>
      <x:c r="AK35" s="31" t="str">
        <x:v>FULLY_COVERED</x:v>
      </x:c>
      <x:c r="AL35" s="19" t="str">
        <x:v>PENDING_SOURCE_REVIEW</x:v>
      </x:c>
      <x:c r="AM35" s="20" t="str">
        <x:v>MEDIUM</x:v>
      </x:c>
    </x:row>
    <x:row r="36" ht="34" customHeight="1">
      <x:c r="A36" s="40" t="str">
        <x:v>FT-SEED-R1B-P-1938-02</x:v>
      </x:c>
      <x:c r="B36" s="19" t="str">
        <x:v>1938</x:v>
      </x:c>
      <x:c r="C36" s="25" t="n">
        <x:v>2</x:v>
      </x:c>
      <x:c r="D36" s="31" t="str">
        <x:v>carbon dioxide</x:v>
      </x:c>
      <x:c r="E36" s="31" t="str">
        <x:v>atmospheric carbon dioxide</x:v>
      </x:c>
      <x:c r="F36" s="31" t="str">
        <x:v>carbon_greenhouse</x:v>
      </x:c>
      <x:c r="G36" s="19" t="str">
        <x:v>B</x:v>
      </x:c>
      <x:c r="H36" s="19" t="str">
        <x:v>V1</x:v>
      </x:c>
      <x:c r="I36" s="19" t="str">
        <x:v>NOT_EXPOSED_IN_REPORT</x:v>
      </x:c>
      <x:c r="J36" s="31" t="str">
        <x:v>S1938-CALLENDAR</x:v>
      </x:c>
      <x:c r="K36" s="31" t="str">
        <x:v>RECONSTRUCTED_FROM_REPORT; Fear of Temperature_ Stratified Lexical Expansion, Voice Mapping, and Semantic-Relational Pre-Valida.pdf; p.7; project candidate FT-SEED-R1B-P-1938-02; original visible ID not available</x:v>
      </x:c>
      <x:c r="L36" s="31" t="str">
        <x:v>SUCCEEDED_REUSED_BASELINE</x:v>
      </x:c>
      <x:c r="M36" s="31" t="str">
        <x:v>carbon dioxide</x:v>
      </x:c>
      <x:c r="N36" s="31" t="str">
        <x:v>EXACT</x:v>
      </x:c>
      <x:c r="O36" s="19" t="str">
        <x:v>1842</x:v>
      </x:c>
      <x:c r="P36" s="19" t="str">
        <x:v>1965</x:v>
      </x:c>
      <x:c r="Q36" s="46" t="n">
        <x:v>0.00001041381219862858</x:v>
      </x:c>
      <x:c r="R36" s="46" t="n">
        <x:v>0.000009657730330014935</x:v>
      </x:c>
      <x:c r="S36" s="46" t="n">
        <x:v>0.000008807275233857492</x:v>
      </x:c>
      <x:c r="T36" s="46" t="n">
        <x:v>0.0000075778903684264876</x:v>
      </x:c>
      <x:c r="U36" s="31" t="str">
        <x:v>Candidate surface form is directly representable in the public Ngram interface. Complete 1842–2022 unsmoothed series reused from the audited quantitative-v0.1 baseline.</x:v>
      </x:c>
      <x:c r="V36" s="31" t="str">
        <x:v>TECHNICAL_GLOSSARY</x:v>
      </x:c>
      <x:c r="W36" s="31" t="str">
        <x:v>IPCC climate-science glossary / assessment terminology</x:v>
      </x:c>
      <x:c r="X36" s="31" t="str">
        <x:v>A climatic, atmospheric, meteorological, or causal-science sense in the documented anchor context.</x:v>
      </x:c>
      <x:c r="Y36" s="31" t="str">
        <x:v>Carbon dioxide as an atmospheric constituent; the candidate is interpreted in its documented anchor and voice context.</x:v>
      </x:c>
      <x:c r="Z36" s="31" t="str">
        <x:v>STRONG</x:v>
      </x:c>
      <x:c r="AA36" s="19" t="str">
        <x:v>The surface form may realize multiple senses; candidate meaning remains anchored to the report-visible source context.</x:v>
      </x:c>
      <x:c r="AB36"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https://api.dictionaryapi.dev/api/v2/entries/en/carbon%20dioxide; https://websters1913.timcieplowski.com/word/dioxide/</x:v>
      </x:c>
      <x:c r="AC36" s="31" t="str">
        <x:v>INTERNET_ARCHIVE_METADATA_TEXT_ITEM_COUNT</x:v>
      </x:c>
      <x:c r="AD36" s="19" t="str">
        <x:v>"carbon dioxide" AND mediatype:texts</x:v>
      </x:c>
      <x:c r="AE36" s="31" t="str">
        <x:v>EXACT_PHRASE</x:v>
      </x:c>
      <x:c r="AF36" s="31" t="str">
        <x:v>COMPLETED_NONZERO</x:v>
      </x:c>
      <x:c r="AG36" s="25" t="n">
        <x:v>10042</x:v>
      </x:c>
      <x:c r="AH36" s="25" t="n">
        <x:v>29</x:v>
      </x:c>
      <x:c r="AI36" s="19" t="str">
        <x:v>2026-08-26</x:v>
      </x:c>
      <x:c r="AJ36" s="31" t="str">
        <x:v>Metadata text-item count; not a full-text lexical frequency. Secondary metric: Scholarly work discoverability count over OpenAlex search fields; not a corpus word frequency.</x:v>
      </x:c>
      <x:c r="AK36" s="31" t="str">
        <x:v>FULLY_COVERED</x:v>
      </x:c>
      <x:c r="AL36" s="19" t="str">
        <x:v>PENDING_SOURCE_REVIEW</x:v>
      </x:c>
      <x:c r="AM36" s="20" t="str">
        <x:v>MEDIUM</x:v>
      </x:c>
    </x:row>
    <x:row r="37" ht="34" customHeight="1">
      <x:c r="A37" s="40" t="str">
        <x:v>FT-SEED-R1B-P-1938-03</x:v>
      </x:c>
      <x:c r="B37" s="19" t="str">
        <x:v>1938</x:v>
      </x:c>
      <x:c r="C37" s="25" t="n">
        <x:v>3</x:v>
      </x:c>
      <x:c r="D37" s="31" t="str">
        <x:v>fuel combustion</x:v>
      </x:c>
      <x:c r="E37" s="31" t="str">
        <x:v>anthropogenic carbon-dioxide production</x:v>
      </x:c>
      <x:c r="F37" s="31" t="str">
        <x:v>carbon_greenhouse</x:v>
      </x:c>
      <x:c r="G37" s="19" t="str">
        <x:v>B</x:v>
      </x:c>
      <x:c r="H37" s="19" t="str">
        <x:v>V1</x:v>
      </x:c>
      <x:c r="I37" s="19" t="str">
        <x:v>NOT_EXPOSED_IN_REPORT</x:v>
      </x:c>
      <x:c r="J37" s="31" t="str">
        <x:v>S1938-CALLENDAR</x:v>
      </x:c>
      <x:c r="K37" s="31" t="str">
        <x:v>RECONSTRUCTED_FROM_REPORT; Fear of Temperature_ Stratified Lexical Expansion, Voice Mapping, and Semantic-Relational Pre-Valida.pdf; p.8; project candidate FT-SEED-R1B-P-1938-03; original visible ID not available</x:v>
      </x:c>
      <x:c r="L37" s="31" t="str">
        <x:v>SUCCEEDED_REUSED_BASELINE</x:v>
      </x:c>
      <x:c r="M37" s="31" t="str">
        <x:v>fuel combustion</x:v>
      </x:c>
      <x:c r="N37" s="31" t="str">
        <x:v>EXACT</x:v>
      </x:c>
      <x:c r="O37" s="19" t="str">
        <x:v>1852</x:v>
      </x:c>
      <x:c r="P37" s="19" t="str">
        <x:v>1978</x:v>
      </x:c>
      <x:c r="Q37" s="46" t="n">
        <x:v>4.6729913591447847e-7</x:v>
      </x:c>
      <x:c r="R37" s="46" t="n">
        <x:v>3.608451315528782e-8</x:v>
      </x:c>
      <x:c r="S37" s="46" t="n">
        <x:v>3.974408916973538e-8</x:v>
      </x:c>
      <x:c r="T37" s="46" t="n">
        <x:v>2.188545896730787e-7</x:v>
      </x:c>
      <x:c r="U37" s="31" t="str">
        <x:v>Candidate surface form is directly representable in the public Ngram interface. Complete 1842–2022 unsmoothed series reused from the audited quantitative-v0.1 baseline.</x:v>
      </x:c>
      <x:c r="V37" s="31" t="str">
        <x:v>TECHNICAL_GLOSSARY</x:v>
      </x:c>
      <x:c r="W37" s="31" t="str">
        <x:v>IPCC climate-science glossary / assessment terminology</x:v>
      </x:c>
      <x:c r="X37" s="31" t="str">
        <x:v>A climatic, atmospheric, meteorological, or causal-science sense in the documented anchor context.</x:v>
      </x:c>
      <x:c r="Y37" s="31" t="str">
        <x:v>Human production of carbon dioxide as a climatic cause; the candidate is interpreted in its documented anchor and voice context.</x:v>
      </x:c>
      <x:c r="Z37" s="31" t="str">
        <x:v>STRONG</x:v>
      </x:c>
      <x:c r="AA37" s="19" t="str">
        <x:v>The surface form may realize multiple senses; candidate meaning remains anchored to the report-visible source context.</x:v>
      </x:c>
      <x:c r="AB37" s="31" t="str">
        <x:v>Secondary: Component headword checked: combustion.; historical: Anchor-period research source/context; Webster 1913 stable component URL recorded but automated page retrieval was unavailable; source: https://www.ipcc.ch/site/assets/uploads/2018/02/WGIIAR5-AnnexII_FINAL.pdf; https://api.dictionaryapi.dev/api/v2/entries/en/fuel%20combustion; https://websters1913.timcieplowski.com/word/combustion/</x:v>
      </x:c>
      <x:c r="AC37" s="31" t="str">
        <x:v>INTERNET_ARCHIVE_METADATA_TEXT_ITEM_COUNT</x:v>
      </x:c>
      <x:c r="AD37" s="19" t="str">
        <x:v>"fuel combustion" AND mediatype:texts</x:v>
      </x:c>
      <x:c r="AE37" s="31" t="str">
        <x:v>EXACT_PHRASE</x:v>
      </x:c>
      <x:c r="AF37" s="31" t="str">
        <x:v>COMPLETED_NONZERO</x:v>
      </x:c>
      <x:c r="AG37" s="25" t="n">
        <x:v>660</x:v>
      </x:c>
      <x:c r="AH37" s="25" t="n">
        <x:v>0</x:v>
      </x:c>
      <x:c r="AI37" s="19" t="str">
        <x:v>2026-08-26</x:v>
      </x:c>
      <x:c r="AJ37" s="31" t="str">
        <x:v>Metadata text-item count; not a full-text lexical frequency. Secondary metric: NOT_RUN_OPENALEX_DAILY_BUDGET_EXHAUSTED: shared provider response retained; no count fabricated.</x:v>
      </x:c>
      <x:c r="AK37" s="31" t="str">
        <x:v>FULLY_COVERED</x:v>
      </x:c>
      <x:c r="AL37" s="19" t="str">
        <x:v>PENDING_SOURCE_REVIEW</x:v>
      </x:c>
      <x:c r="AM37" s="20" t="str">
        <x:v>MEDIUM</x:v>
      </x:c>
    </x:row>
    <x:row r="38" ht="34" customHeight="1">
      <x:c r="A38" s="40" t="str">
        <x:v>FT-SEED-R1B-P-1938-04</x:v>
      </x:c>
      <x:c r="B38" s="19" t="str">
        <x:v>1938</x:v>
      </x:c>
      <x:c r="C38" s="25" t="n">
        <x:v>4</x:v>
      </x:c>
      <x:c r="D38" s="31" t="str">
        <x:v>air</x:v>
      </x:c>
      <x:c r="E38" s="31" t="str">
        <x:v>historical climate / climatological condition</x:v>
      </x:c>
      <x:c r="F38" s="31" t="str">
        <x:v>climate</x:v>
      </x:c>
      <x:c r="G38" s="19" t="str">
        <x:v>B</x:v>
      </x:c>
      <x:c r="H38" s="19" t="str">
        <x:v>V1</x:v>
      </x:c>
      <x:c r="I38" s="19" t="str">
        <x:v>NOT_EXPOSED_IN_REPORT</x:v>
      </x:c>
      <x:c r="J38" s="31" t="str">
        <x:v>S1938-CALLENDAR</x:v>
      </x:c>
      <x:c r="K38" s="31" t="str">
        <x:v>RECONSTRUCTED_FROM_REPORT; Fear of Temperature_ Stratified Lexical Expansion, Voice Mapping, and Semantic-Relational Pre-Valida.pdf; p.8; project candidate FT-SEED-R1B-P-1938-04; original visible ID not available</x:v>
      </x:c>
      <x:c r="L38" s="31" t="str">
        <x:v>SUCCEEDED_REUSED_BASELINE</x:v>
      </x:c>
      <x:c r="M38" s="31" t="str">
        <x:v>air</x:v>
      </x:c>
      <x:c r="N38" s="31" t="str">
        <x:v>EXACT</x:v>
      </x:c>
      <x:c r="O38" s="19" t="str">
        <x:v>1842</x:v>
      </x:c>
      <x:c r="P38" s="19" t="str">
        <x:v>1944</x:v>
      </x:c>
      <x:c r="Q38" s="46" t="n">
        <x:v>0.0003521059437459062</x:v>
      </x:c>
      <x:c r="R38" s="46" t="n">
        <x:v>0.0002449050748590531</x:v>
      </x:c>
      <x:c r="S38" s="46" t="n">
        <x:v>0.00023519730591028688</x:v>
      </x:c>
      <x:c r="T38" s="46" t="n">
        <x:v>0.00016292625959826723</x:v>
      </x:c>
      <x:c r="U38" s="31" t="str">
        <x:v>Candidate surface form is directly representable in the public Ngram interface. Complete 1842–2022 unsmoothed series reused from the audited quantitative-v0.1 baseline.</x:v>
      </x:c>
      <x:c r="V38" s="31" t="str">
        <x:v>DIRECT_HEADWORD</x:v>
      </x:c>
      <x:c r="W38" s="31" t="str">
        <x:v>Webster's Revised Unabridged Dictionary (1913 public-domain headword index)</x:v>
      </x:c>
      <x:c r="X38" s="31" t="str">
        <x:v>A climatic, atmospheric, meteorological, or causal-science sense in the documented anchor context.</x:v>
      </x:c>
      <x:c r="Y38" s="31" t="str">
        <x:v>Climate as a historical, geographical, seasonal, or climatological condition; the candidate is interpreted in its documented anchor and voice context.</x:v>
      </x:c>
      <x:c r="Z38" s="31" t="str">
        <x:v>STRONG</x:v>
      </x:c>
      <x:c r="AA38" s="19" t="str">
        <x:v>The surface form may realize multiple senses; candidate meaning remains anchored to the report-visible source context.</x:v>
      </x:c>
      <x:c r="AB38" s="31" t="str">
        <x:v>Secondary: Component headword checked: air.; historical: Webster's Revised Unabridged Dictionary (1913 public-domain edition); source: https://websters1913.timcieplowski.com/word/air/; https://api.dictionaryapi.dev/api/v2/entries/en/air</x:v>
      </x:c>
      <x:c r="AC38" s="31" t="str">
        <x:v>INTERNET_ARCHIVE_METADATA_TEXT_ITEM_COUNT</x:v>
      </x:c>
      <x:c r="AD38" s="19" t="str">
        <x:v>"air" AND mediatype:texts</x:v>
      </x:c>
      <x:c r="AE38" s="31" t="str">
        <x:v>EXACT_PHRASE</x:v>
      </x:c>
      <x:c r="AF38" s="31" t="str">
        <x:v>COMPLETED_NONZERO</x:v>
      </x:c>
      <x:c r="AG38" s="25" t="n">
        <x:v>406830</x:v>
      </x:c>
      <x:c r="AH38" s="25" t="n">
        <x:v>8904</x:v>
      </x:c>
      <x:c r="AI38" s="19" t="str">
        <x:v>2026-08-26</x:v>
      </x:c>
      <x:c r="AJ38" s="31" t="str">
        <x:v>Metadata text-item count; not a full-text lexical frequency. Secondary metric: Scholarly work discoverability count over OpenAlex search fields; not a corpus word frequency.</x:v>
      </x:c>
      <x:c r="AK38" s="31" t="str">
        <x:v>FULLY_COVERED</x:v>
      </x:c>
      <x:c r="AL38" s="19" t="str">
        <x:v>PENDING_SOURCE_REVIEW</x:v>
      </x:c>
      <x:c r="AM38" s="20" t="str">
        <x:v>MEDIUM</x:v>
      </x:c>
    </x:row>
    <x:row r="39" ht="34" customHeight="1">
      <x:c r="A39" s="40" t="str">
        <x:v>FT-SEED-R1B-P-1938-05</x:v>
      </x:c>
      <x:c r="B39" s="19" t="str">
        <x:v>1938</x:v>
      </x:c>
      <x:c r="C39" s="25" t="n">
        <x:v>5</x:v>
      </x:c>
      <x:c r="D39" s="31" t="str">
        <x:v>atmosphere</x:v>
      </x:c>
      <x:c r="E39" s="31" t="str">
        <x:v>historical climate / climatological condition</x:v>
      </x:c>
      <x:c r="F39" s="31" t="str">
        <x:v>climate</x:v>
      </x:c>
      <x:c r="G39" s="19" t="str">
        <x:v>B</x:v>
      </x:c>
      <x:c r="H39" s="19" t="str">
        <x:v>V1</x:v>
      </x:c>
      <x:c r="I39" s="19" t="str">
        <x:v>NOT_EXPOSED_IN_REPORT</x:v>
      </x:c>
      <x:c r="J39" s="31" t="str">
        <x:v>S1938-CALLENDAR</x:v>
      </x:c>
      <x:c r="K39" s="31" t="str">
        <x:v>RECONSTRUCTED_FROM_REPORT; Fear of Temperature_ Stratified Lexical Expansion, Voice Mapping, and Semantic-Relational Pre-Valida.pdf; p.8; project candidate FT-SEED-R1B-P-1938-05; original visible ID not available</x:v>
      </x:c>
      <x:c r="L39" s="31" t="str">
        <x:v>SUCCEEDED_REUSED_BASELINE</x:v>
      </x:c>
      <x:c r="M39" s="31" t="str">
        <x:v>atmosphere</x:v>
      </x:c>
      <x:c r="N39" s="31" t="str">
        <x:v>EXACT</x:v>
      </x:c>
      <x:c r="O39" s="19" t="str">
        <x:v>1842</x:v>
      </x:c>
      <x:c r="P39" s="19" t="str">
        <x:v>1965</x:v>
      </x:c>
      <x:c r="Q39" s="46" t="n">
        <x:v>0.00003836178537423851</x:v>
      </x:c>
      <x:c r="R39" s="46" t="n">
        <x:v>0.00001888270770677991</x:v>
      </x:c>
      <x:c r="S39" s="46" t="n">
        <x:v>0.00001742774464617014</x:v>
      </x:c>
      <x:c r="T39" s="46" t="n">
        <x:v>0.000022702114429534737</x:v>
      </x:c>
      <x:c r="U39" s="31" t="str">
        <x:v>Candidate surface form is directly representable in the public Ngram interface. Complete 1842–2022 unsmoothed series reused from the audited quantitative-v0.1 baseline.</x:v>
      </x:c>
      <x:c r="V39" s="31" t="str">
        <x:v>TECHNICAL_GLOSSARY</x:v>
      </x:c>
      <x:c r="W39" s="31" t="str">
        <x:v>IPCC climate-science glossary / assessment terminology</x:v>
      </x:c>
      <x:c r="X39" s="31" t="str">
        <x:v>A climatic, atmospheric, meteorological, or causal-science sense in the documented anchor context.</x:v>
      </x:c>
      <x:c r="Y39" s="31" t="str">
        <x:v>Climate as a historical, geographical, seasonal, or climatological condition; the candidate is interpreted in its documented anchor and voice context.</x:v>
      </x:c>
      <x:c r="Z39" s="31" t="str">
        <x:v>STRONG</x:v>
      </x:c>
      <x:c r="AA39" s="19" t="str">
        <x:v>The surface form may realize multiple senses; candidate meaning remains anchored to the report-visible source context.</x:v>
      </x:c>
      <x:c r="AB3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https://api.dictionaryapi.dev/api/v2/entries/en/atmosphere; https://websters1913.timcieplowski.com/word/atmosphere/</x:v>
      </x:c>
      <x:c r="AC39" s="31" t="str">
        <x:v>INTERNET_ARCHIVE_METADATA_TEXT_ITEM_COUNT</x:v>
      </x:c>
      <x:c r="AD39" s="19" t="str">
        <x:v>"atmosphere" AND mediatype:texts</x:v>
      </x:c>
      <x:c r="AE39" s="31" t="str">
        <x:v>EXACT_PHRASE</x:v>
      </x:c>
      <x:c r="AF39" s="31" t="str">
        <x:v>COMPLETED_NONZERO</x:v>
      </x:c>
      <x:c r="AG39" s="25" t="n">
        <x:v>41908</x:v>
      </x:c>
      <x:c r="AH39" s="25" t="n">
        <x:v>186</x:v>
      </x:c>
      <x:c r="AI39" s="19" t="str">
        <x:v>2026-08-26</x:v>
      </x:c>
      <x:c r="AJ39" s="31" t="str">
        <x:v>Metadata text-item count; not a full-text lexical frequency. Secondary metric: Scholarly work discoverability count over OpenAlex search fields; not a corpus word frequency.</x:v>
      </x:c>
      <x:c r="AK39" s="31" t="str">
        <x:v>FULLY_COVERED</x:v>
      </x:c>
      <x:c r="AL39" s="19" t="str">
        <x:v>PENDING_SOURCE_REVIEW</x:v>
      </x:c>
      <x:c r="AM39" s="20" t="str">
        <x:v>MEDIUM</x:v>
      </x:c>
    </x:row>
    <x:row r="40" ht="34" customHeight="1">
      <x:c r="A40" s="40" t="str">
        <x:v>FT-SEED-R1B-P-1938-06</x:v>
      </x:c>
      <x:c r="B40" s="19" t="str">
        <x:v>1938</x:v>
      </x:c>
      <x:c r="C40" s="25" t="n">
        <x:v>6</x:v>
      </x:c>
      <x:c r="D40" s="31" t="str">
        <x:v>radiation absorption coefficients</x:v>
      </x:c>
      <x:c r="E40" s="31" t="str">
        <x:v>historical climate / climatological condition</x:v>
      </x:c>
      <x:c r="F40" s="31" t="str">
        <x:v>climate</x:v>
      </x:c>
      <x:c r="G40" s="19" t="str">
        <x:v>B</x:v>
      </x:c>
      <x:c r="H40" s="19" t="str">
        <x:v>V1</x:v>
      </x:c>
      <x:c r="I40" s="19" t="str">
        <x:v>NOT_EXPOSED_IN_REPORT</x:v>
      </x:c>
      <x:c r="J40" s="31" t="str">
        <x:v>S1938-CALLENDAR</x:v>
      </x:c>
      <x:c r="K40" s="31" t="str">
        <x:v>RECONSTRUCTED_FROM_REPORT; Fear of Temperature_ Stratified Lexical Expansion, Voice Mapping, and Semantic-Relational Pre-Valida.pdf; p.8; project candidate FT-SEED-R1B-P-1938-06; original visible ID not available</x:v>
      </x:c>
      <x:c r="L40" s="31" t="str">
        <x:v>SUCCEEDED_REUSED_BASELINE</x:v>
      </x:c>
      <x:c r="M40" s="31" t="str">
        <x:v>radiation absorption coefficients</x:v>
      </x:c>
      <x:c r="N40" s="31" t="str">
        <x:v>EXACT</x:v>
      </x:c>
      <x:c r="O40" s="19" t="str">
        <x:v>1929</x:v>
      </x:c>
      <x:c r="P40" s="19" t="str">
        <x:v>1982</x:v>
      </x:c>
      <x:c r="Q40" s="46" t="n">
        <x:v>6.3270380878943655e-9</x:v>
      </x:c>
      <x:c r="R40" s="46" t="n">
        <x:v>1.2223502210417792e-9</x:v>
      </x:c>
      <x:c r="S40" s="46" t="n">
        <x:v>3.3633488494277943e-10</x:v>
      </x:c>
      <x:c r="T40" s="46" t="n">
        <x:v>4.729858865681891e-11</x:v>
      </x:c>
      <x:c r="U40" s="31" t="str">
        <x:v>Candidate surface form is directly representable in the public Ngram interface. Complete 1842–2022 unsmoothed series reused from the audited quantitative-v0.1 baseline.</x:v>
      </x:c>
      <x:c r="V40" s="31" t="str">
        <x:v>TECHNICAL_GLOSSARY</x:v>
      </x:c>
      <x:c r="W40" s="31" t="str">
        <x:v>IPCC climate-science glossary / assessment terminology</x:v>
      </x:c>
      <x:c r="X40" s="31" t="str">
        <x:v>A climatic, atmospheric, meteorological, or causal-science sense in the documented anchor context.</x:v>
      </x:c>
      <x:c r="Y40" s="31" t="str">
        <x:v>Climate as a historical, geographical, seasonal, or climatological condition; the candidate is interpreted in its documented anchor and voice context.</x:v>
      </x:c>
      <x:c r="Z40" s="31" t="str">
        <x:v>STRONG</x:v>
      </x:c>
      <x:c r="AA40" s="19" t="str">
        <x:v>The surface form may realize multiple senses; candidate meaning remains anchored to the report-visible source context.</x:v>
      </x:c>
      <x:c r="AB40" s="31" t="str">
        <x:v>Secondary: Component headword checked: coefficients.; historical: Anchor-period research source/context; Webster 1913 stable component URL recorded but automated page retrieval was unavailable; source: https://www.ipcc.ch/site/assets/uploads/2018/02/WGIIAR5-AnnexII_FINAL.pdf; https://api.dictionaryapi.dev/api/v2/entries/en/radiation%20absorption%20coefficients; https://websters1913.timcieplowski.com/word/coefficients/</x:v>
      </x:c>
      <x:c r="AC40" s="31" t="str">
        <x:v>INTERNET_ARCHIVE_METADATA_TEXT_ITEM_COUNT</x:v>
      </x:c>
      <x:c r="AD40" s="19" t="str">
        <x:v>"radiation absorption coefficients" AND mediatype:texts</x:v>
      </x:c>
      <x:c r="AE40" s="31" t="str">
        <x:v>EXACT_PHRASE</x:v>
      </x:c>
      <x:c r="AF40" s="31" t="str">
        <x:v>COMPLETED_NONZERO</x:v>
      </x:c>
      <x:c r="AG40" s="25" t="n">
        <x:v>20</x:v>
      </x:c>
      <x:c r="AH40" s="25" t="n">
        <x:v>0</x:v>
      </x:c>
      <x:c r="AI40" s="19" t="str">
        <x:v>2026-08-26</x:v>
      </x:c>
      <x:c r="AJ40" s="31" t="str">
        <x:v>Metadata text-item count; not a full-text lexical frequency. Secondary metric: NOT_RUN_OPENALEX_DAILY_BUDGET_EXHAUSTED: shared provider response retained; no count fabricated.</x:v>
      </x:c>
      <x:c r="AK40" s="31" t="str">
        <x:v>FULLY_COVERED</x:v>
      </x:c>
      <x:c r="AL40" s="19" t="str">
        <x:v>PENDING_SOURCE_REVIEW</x:v>
      </x:c>
      <x:c r="AM40" s="20" t="str">
        <x:v>MEDIUM</x:v>
      </x:c>
    </x:row>
    <x:row r="41" ht="34" customHeight="1">
      <x:c r="A41" s="40" t="str">
        <x:v>FT-SEED-R1B-P-1938-07</x:v>
      </x:c>
      <x:c r="B41" s="19" t="str">
        <x:v>1938</x:v>
      </x:c>
      <x:c r="C41" s="25" t="n">
        <x:v>7</x:v>
      </x:c>
      <x:c r="D41" s="31" t="str">
        <x:v>water vapour</x:v>
      </x:c>
      <x:c r="E41" s="31" t="str">
        <x:v>historical climate / climatological condition</x:v>
      </x:c>
      <x:c r="F41" s="31" t="str">
        <x:v>climate</x:v>
      </x:c>
      <x:c r="G41" s="19" t="str">
        <x:v>B</x:v>
      </x:c>
      <x:c r="H41" s="19" t="str">
        <x:v>V1</x:v>
      </x:c>
      <x:c r="I41" s="19" t="str">
        <x:v>NOT_EXPOSED_IN_REPORT</x:v>
      </x:c>
      <x:c r="J41" s="31" t="str">
        <x:v>S1938-CALLENDAR</x:v>
      </x:c>
      <x:c r="K41" s="31" t="str">
        <x:v>RECONSTRUCTED_FROM_REPORT; Fear of Temperature_ Stratified Lexical Expansion, Voice Mapping, and Semantic-Relational Pre-Valida.pdf; p.8; project candidate FT-SEED-R1B-P-1938-07; original visible ID not available</x:v>
      </x:c>
      <x:c r="L41" s="31" t="str">
        <x:v>SUCCEEDED_REUSED_BASELINE</x:v>
      </x:c>
      <x:c r="M41" s="31" t="str">
        <x:v>water vapour</x:v>
      </x:c>
      <x:c r="N41" s="31" t="str">
        <x:v>EXACT</x:v>
      </x:c>
      <x:c r="O41" s="19" t="str">
        <x:v>1842</x:v>
      </x:c>
      <x:c r="P41" s="19" t="str">
        <x:v>1960</x:v>
      </x:c>
      <x:c r="Q41" s="46" t="n">
        <x:v>0.0000011089097011682258</x:v>
      </x:c>
      <x:c r="R41" s="46" t="n">
        <x:v>6.766959614878942e-7</x:v>
      </x:c>
      <x:c r="S41" s="46" t="n">
        <x:v>6.369132615313689e-7</x:v>
      </x:c>
      <x:c r="T41" s="46" t="n">
        <x:v>5.510517200879583e-7</x:v>
      </x:c>
      <x:c r="U41" s="31" t="str">
        <x:v>Candidate surface form is directly representable in the public Ngram interface. Complete 1842–2022 unsmoothed series reused from the audited quantitative-v0.1 baseline.</x:v>
      </x:c>
      <x:c r="V41" s="31" t="str">
        <x:v>TECHNICAL_GLOSSARY</x:v>
      </x:c>
      <x:c r="W41" s="31" t="str">
        <x:v>IPCC climate-science glossary / assessment terminology</x:v>
      </x:c>
      <x:c r="X41" s="31" t="str">
        <x:v>A climatic, atmospheric, meteorological, or causal-science sense in the documented anchor context.</x:v>
      </x:c>
      <x:c r="Y41" s="31" t="str">
        <x:v>Climate as a historical, geographical, seasonal, or climatological condition; the candidate is interpreted in its documented anchor and voice context.</x:v>
      </x:c>
      <x:c r="Z41" s="31" t="str">
        <x:v>STRONG</x:v>
      </x:c>
      <x:c r="AA41" s="19" t="str">
        <x:v>The surface form may realize multiple senses; candidate meaning remains anchored to the report-visible source context.</x:v>
      </x:c>
      <x:c r="AB41" s="31" t="str">
        <x:v>Secondary: Component headword checked: vapour.; historical: Anchor-period research source/context; Webster 1913 stable component URL recorded but automated page retrieval was unavailable; source: https://www.ipcc.ch/site/assets/uploads/2018/02/WGIIAR5-AnnexII_FINAL.pdf; https://api.dictionaryapi.dev/api/v2/entries/en/water%20vapour; https://websters1913.timcieplowski.com/word/vapour/</x:v>
      </x:c>
      <x:c r="AC41" s="31" t="str">
        <x:v>INTERNET_ARCHIVE_METADATA_TEXT_ITEM_COUNT</x:v>
      </x:c>
      <x:c r="AD41" s="19" t="str">
        <x:v>"water vapour" AND mediatype:texts</x:v>
      </x:c>
      <x:c r="AE41" s="31" t="str">
        <x:v>EXACT_PHRASE</x:v>
      </x:c>
      <x:c r="AF41" s="31" t="str">
        <x:v>COMPLETED_NONZERO</x:v>
      </x:c>
      <x:c r="AG41" s="25" t="n">
        <x:v>371</x:v>
      </x:c>
      <x:c r="AH41" s="25" t="n">
        <x:v>0</x:v>
      </x:c>
      <x:c r="AI41" s="19" t="str">
        <x:v>2026-08-26</x:v>
      </x:c>
      <x:c r="AJ41" s="31" t="str">
        <x:v>Metadata text-item count; not a full-text lexical frequency. Secondary metric: NOT_RUN_OPENALEX_DAILY_BUDGET_EXHAUSTED: shared provider response retained; no count fabricated.</x:v>
      </x:c>
      <x:c r="AK41" s="31" t="str">
        <x:v>FULLY_COVERED</x:v>
      </x:c>
      <x:c r="AL41" s="19" t="str">
        <x:v>PENDING_SOURCE_REVIEW</x:v>
      </x:c>
      <x:c r="AM41" s="20" t="str">
        <x:v>MEDIUM</x:v>
      </x:c>
    </x:row>
    <x:row r="42" ht="34" customHeight="1">
      <x:c r="A42" s="40" t="str">
        <x:v>FT-SEED-R1B-P-1938-08</x:v>
      </x:c>
      <x:c r="B42" s="19" t="str">
        <x:v>1938</x:v>
      </x:c>
      <x:c r="C42" s="25" t="n">
        <x:v>8</x:v>
      </x:c>
      <x:c r="D42" s="31" t="str">
        <x:v>sky radiation</x:v>
      </x:c>
      <x:c r="E42" s="31" t="str">
        <x:v>historical climate / climatological condition</x:v>
      </x:c>
      <x:c r="F42" s="31" t="str">
        <x:v>climate</x:v>
      </x:c>
      <x:c r="G42" s="19" t="str">
        <x:v>B</x:v>
      </x:c>
      <x:c r="H42" s="19" t="str">
        <x:v>V1</x:v>
      </x:c>
      <x:c r="I42" s="19" t="str">
        <x:v>NOT_EXPOSED_IN_REPORT</x:v>
      </x:c>
      <x:c r="J42" s="31" t="str">
        <x:v>S1938-CALLENDAR</x:v>
      </x:c>
      <x:c r="K42" s="31" t="str">
        <x:v>RECONSTRUCTED_FROM_REPORT; Fear of Temperature_ Stratified Lexical Expansion, Voice Mapping, and Semantic-Relational Pre-Valida.pdf; p.8; project candidate FT-SEED-R1B-P-1938-08; original visible ID not available</x:v>
      </x:c>
      <x:c r="L42" s="31" t="str">
        <x:v>SUCCEEDED_REUSED_BASELINE</x:v>
      </x:c>
      <x:c r="M42" s="31" t="str">
        <x:v>sky radiation</x:v>
      </x:c>
      <x:c r="N42" s="31" t="str">
        <x:v>EXACT</x:v>
      </x:c>
      <x:c r="O42" s="19" t="str">
        <x:v>1843</x:v>
      </x:c>
      <x:c r="P42" s="19" t="str">
        <x:v>1964</x:v>
      </x:c>
      <x:c r="Q42" s="46" t="n">
        <x:v>1.2076405697669657e-7</x:v>
      </x:c>
      <x:c r="R42" s="46" t="n">
        <x:v>7.016433356543672e-8</x:v>
      </x:c>
      <x:c r="S42" s="46" t="n">
        <x:v>4.266326549262622e-8</x:v>
      </x:c>
      <x:c r="T42" s="46" t="n">
        <x:v>8.007414870059293e-9</x:v>
      </x:c>
      <x:c r="U42" s="31" t="str">
        <x:v>Candidate surface form is directly representable in the public Ngram interface. Complete 1842–2022 unsmoothed series reused from the audited quantitative-v0.1 baseline.</x:v>
      </x:c>
      <x:c r="V42" s="31" t="str">
        <x:v>NO_STANDALONE_HEADWORD</x:v>
      </x:c>
      <x:c r="W42" s="31" t="str">
        <x:v>Component lexical analysis plus anchor-source contextual meaning</x:v>
      </x:c>
      <x:c r="X42" s="31" t="str">
        <x:v>A climatic, atmospheric, meteorological, or causal-science sense in the documented anchor context.</x:v>
      </x:c>
      <x:c r="Y42" s="31" t="str">
        <x:v>Climate as a historical, geographical, seasonal, or climatological condition; the candidate is interpreted in its documented anchor and voice context.</x:v>
      </x:c>
      <x:c r="Z42" s="31" t="str">
        <x:v>STRONG</x:v>
      </x:c>
      <x:c r="AA42" s="19" t="str">
        <x:v>The surface form may realize multiple senses; candidate meaning remains anchored to the report-visible source context.</x:v>
      </x:c>
      <x:c r="AB42" s="31" t="str">
        <x:v>Secondary: Component headword checked: radiation.;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https://api.dictionaryapi.dev/api/v2/entries/en/sky%20radiation; https://websters1913.timcieplowski.com/word/radiation/</x:v>
      </x:c>
      <x:c r="AC42" s="31" t="str">
        <x:v>INTERNET_ARCHIVE_METADATA_TEXT_ITEM_COUNT</x:v>
      </x:c>
      <x:c r="AD42" s="19" t="str">
        <x:v>"sky radiation" AND mediatype:texts</x:v>
      </x:c>
      <x:c r="AE42" s="31" t="str">
        <x:v>EXACT_PHRASE</x:v>
      </x:c>
      <x:c r="AF42" s="31" t="str">
        <x:v>COMPLETED_NONZERO</x:v>
      </x:c>
      <x:c r="AG42" s="25" t="n">
        <x:v>78</x:v>
      </x:c>
      <x:c r="AH42" s="25" t="n">
        <x:v>0</x:v>
      </x:c>
      <x:c r="AI42" s="19" t="str">
        <x:v>2026-08-26</x:v>
      </x:c>
      <x:c r="AJ42" s="31" t="str">
        <x:v>Metadata text-item count; not a full-text lexical frequency. Secondary metric: NOT_RUN_OPENALEX_DAILY_BUDGET_EXHAUSTED: shared provider response retained; no count fabricated.</x:v>
      </x:c>
      <x:c r="AK42" s="31" t="str">
        <x:v>FULLY_COVERED</x:v>
      </x:c>
      <x:c r="AL42" s="19" t="str">
        <x:v>PENDING_SOURCE_REVIEW</x:v>
      </x:c>
      <x:c r="AM42" s="20" t="str">
        <x:v>MEDIUM</x:v>
      </x:c>
    </x:row>
    <x:row r="43" ht="34" customHeight="1">
      <x:c r="A43" s="40" t="str">
        <x:v>FT-SEED-R1B-P-1938-09</x:v>
      </x:c>
      <x:c r="B43" s="19" t="str">
        <x:v>1938</x:v>
      </x:c>
      <x:c r="C43" s="25" t="n">
        <x:v>9</x:v>
      </x:c>
      <x:c r="D43" s="31" t="str">
        <x:v>increase in mean temperature</x:v>
      </x:c>
      <x:c r="E43" s="31" t="str">
        <x:v>mean temperature</x:v>
      </x:c>
      <x:c r="F43" s="31" t="str">
        <x:v>temperature_threshold</x:v>
      </x:c>
      <x:c r="G43" s="19" t="str">
        <x:v>A</x:v>
      </x:c>
      <x:c r="H43" s="19" t="str">
        <x:v>V1</x:v>
      </x:c>
      <x:c r="I43" s="19" t="str">
        <x:v>NOT_EXPOSED_IN_REPORT</x:v>
      </x:c>
      <x:c r="J43" s="31" t="str">
        <x:v>S1938-CALLENDAR</x:v>
      </x:c>
      <x:c r="K43" s="31" t="str">
        <x:v>RECONSTRUCTED_FROM_REPORT; Fear of Temperature_ Stratified Lexical Expansion, Voice Mapping, and Semantic-Relational Pre-Valida.pdf; p.8; project candidate FT-SEED-R1B-P-1938-09; original visible ID not available</x:v>
      </x:c>
      <x:c r="L43" s="31" t="str">
        <x:v>SUCCEEDED_REUSED_BASELINE</x:v>
      </x:c>
      <x:c r="M43" s="31" t="str">
        <x:v>increase in mean temperature</x:v>
      </x:c>
      <x:c r="N43" s="31" t="str">
        <x:v>EXACT</x:v>
      </x:c>
      <x:c r="O43" s="19" t="str">
        <x:v>1868</x:v>
      </x:c>
      <x:c r="P43" s="19" t="str">
        <x:v>1868</x:v>
      </x:c>
      <x:c r="Q43" s="46" t="n">
        <x:v>4.0505838683202455e-9</x:v>
      </x:c>
      <x:c r="R43" s="46" t="n">
        <x:v>2.30258700995023e-9</x:v>
      </x:c>
      <x:c r="S43" s="46" t="n">
        <x:v>1.2013295913604338e-9</x:v>
      </x:c>
      <x:c r="T43" s="46" t="n">
        <x:v>3.455194436119413e-9</x:v>
      </x:c>
      <x:c r="U43" s="31" t="str">
        <x:v>Candidate surface form is directly representable in the public Ngram interface. Complete 1842–2022 unsmoothed series reused from the audited quantitative-v0.1 baseline.</x:v>
      </x:c>
      <x:c r="V43" s="31" t="str">
        <x:v>NO_STANDALONE_HEADWORD</x:v>
      </x:c>
      <x:c r="W43" s="31" t="str">
        <x:v>Component lexical analysis plus anchor-source contextual meaning</x:v>
      </x:c>
      <x:c r="X43" s="31" t="str">
        <x:v>A physical temperature, warming, heat, or measurement sense in the documented anchor context.</x:v>
      </x:c>
      <x:c r="Y43" s="31" t="str">
        <x:v>A temporally or spatially averaged temperature value; the candidate is interpreted in its documented anchor and voice context.</x:v>
      </x:c>
      <x:c r="Z43" s="31" t="str">
        <x:v>STRONG</x:v>
      </x:c>
      <x:c r="AA43" s="19" t="str">
        <x:v>The surface form may realize multiple senses; candidate meaning remains anchored to the report-visible source context.</x:v>
      </x:c>
      <x:c r="AB43"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https://api.dictionaryapi.dev/api/v2/entries/en/increase%20in%20mean%20temperature; https://websters1913.timcieplowski.com/word/temperature/</x:v>
      </x:c>
      <x:c r="AC43" s="31" t="str">
        <x:v>INTERNET_ARCHIVE_METADATA_TEXT_ITEM_COUNT</x:v>
      </x:c>
      <x:c r="AD43" s="19" t="str">
        <x:v>"increase in mean temperature" AND mediatype:texts</x:v>
      </x:c>
      <x:c r="AE43" s="31" t="str">
        <x:v>EXACT_PHRASE</x:v>
      </x:c>
      <x:c r="AF43" s="31" t="str">
        <x:v>COMPLETED_NONZERO</x:v>
      </x:c>
      <x:c r="AG43" s="25" t="n">
        <x:v>6</x:v>
      </x:c>
      <x:c r="AH43" s="25" t="n">
        <x:v>0</x:v>
      </x:c>
      <x:c r="AI43" s="19" t="str">
        <x:v>2026-08-26</x:v>
      </x:c>
      <x:c r="AJ43" s="31" t="str">
        <x:v>Metadata text-item count; not a full-text lexical frequency. Secondary metric: NOT_RUN_OPENALEX_DAILY_BUDGET_EXHAUSTED: shared provider response retained; no count fabricated.</x:v>
      </x:c>
      <x:c r="AK43" s="31" t="str">
        <x:v>FULLY_COVERED</x:v>
      </x:c>
      <x:c r="AL43" s="19" t="str">
        <x:v>PENDING_SOURCE_REVIEW</x:v>
      </x:c>
      <x:c r="AM43" s="20" t="str">
        <x:v>MEDIUM</x:v>
      </x:c>
    </x:row>
    <x:row r="44" ht="34" customHeight="1">
      <x:c r="A44" s="40" t="str">
        <x:v>FT-SEED-R1B-P-1938-10</x:v>
      </x:c>
      <x:c r="B44" s="19" t="str">
        <x:v>1938</x:v>
      </x:c>
      <x:c r="C44" s="25" t="n">
        <x:v>10</x:v>
      </x:c>
      <x:c r="D44" s="31" t="str">
        <x:v>mean temperature</x:v>
      </x:c>
      <x:c r="E44" s="31" t="str">
        <x:v>mean temperature</x:v>
      </x:c>
      <x:c r="F44" s="31" t="str">
        <x:v>temperature_threshold</x:v>
      </x:c>
      <x:c r="G44" s="19" t="str">
        <x:v>A</x:v>
      </x:c>
      <x:c r="H44" s="19" t="str">
        <x:v>V1</x:v>
      </x:c>
      <x:c r="I44" s="19" t="str">
        <x:v>NOT_EXPOSED_IN_REPORT</x:v>
      </x:c>
      <x:c r="J44" s="31" t="str">
        <x:v>S1938-CALLENDAR</x:v>
      </x:c>
      <x:c r="K44" s="31" t="str">
        <x:v>RECONSTRUCTED_FROM_REPORT; Fear of Temperature_ Stratified Lexical Expansion, Voice Mapping, and Semantic-Relational Pre-Valida.pdf; p.8; project candidate FT-SEED-R1B-P-1938-10; original visible ID not available</x:v>
      </x:c>
      <x:c r="L44" s="31" t="str">
        <x:v>SUCCEEDED_REUSED_BASELINE</x:v>
      </x:c>
      <x:c r="M44" s="31" t="str">
        <x:v>mean temperature</x:v>
      </x:c>
      <x:c r="N44" s="31" t="str">
        <x:v>EXACT</x:v>
      </x:c>
      <x:c r="O44" s="19" t="str">
        <x:v>1842</x:v>
      </x:c>
      <x:c r="P44" s="19" t="str">
        <x:v>1858</x:v>
      </x:c>
      <x:c r="Q44" s="46" t="n">
        <x:v>0.000003219442511692705</x:v>
      </x:c>
      <x:c r="R44" s="46" t="n">
        <x:v>0.0000010646044789619502</x:v>
      </x:c>
      <x:c r="S44" s="46" t="n">
        <x:v>8.800343775428044e-7</x:v>
      </x:c>
      <x:c r="T44" s="46" t="n">
        <x:v>3.990877988080399e-7</x:v>
      </x:c>
      <x:c r="U44" s="31" t="str">
        <x:v>Candidate surface form is directly representable in the public Ngram interface. Complete 1842–2022 unsmoothed series reused from the audited quantitative-v0.1 baseline.</x:v>
      </x:c>
      <x:c r="V44" s="31" t="str">
        <x:v>NO_STANDALONE_HEADWORD</x:v>
      </x:c>
      <x:c r="W44" s="31" t="str">
        <x:v>Component lexical analysis plus anchor-source contextual meaning</x:v>
      </x:c>
      <x:c r="X44" s="31" t="str">
        <x:v>A physical temperature, warming, heat, or measurement sense in the documented anchor context.</x:v>
      </x:c>
      <x:c r="Y44" s="31" t="str">
        <x:v>A temporally or spatially averaged temperature value; the candidate is interpreted in its documented anchor and voice context.</x:v>
      </x:c>
      <x:c r="Z44" s="31" t="str">
        <x:v>STRONG</x:v>
      </x:c>
      <x:c r="AA44" s="19" t="str">
        <x:v>The surface form may realize multiple senses; candidate meaning remains anchored to the report-visible source context.</x:v>
      </x:c>
      <x:c r="AB44"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44" s="31" t="str">
        <x:v>INTERNET_ARCHIVE_METADATA_TEXT_ITEM_COUNT</x:v>
      </x:c>
      <x:c r="AD44" s="19" t="str">
        <x:v>"mean temperature" AND mediatype:texts</x:v>
      </x:c>
      <x:c r="AE44" s="31" t="str">
        <x:v>EXACT_PHRASE</x:v>
      </x:c>
      <x:c r="AF44" s="31" t="str">
        <x:v>COMPLETED_NONZERO</x:v>
      </x:c>
      <x:c r="AG44" s="25" t="n">
        <x:v>664</x:v>
      </x:c>
      <x:c r="AH44" s="25" t="n">
        <x:v>4</x:v>
      </x:c>
      <x:c r="AI44" s="19" t="str">
        <x:v>2026-08-26</x:v>
      </x:c>
      <x:c r="AJ44" s="31" t="str">
        <x:v>Metadata text-item count; not a full-text lexical frequency. Secondary metric: NOT_RUN_OPENALEX_DAILY_BUDGET_EXHAUSTED: shared provider response retained; no count fabricated.</x:v>
      </x:c>
      <x:c r="AK44" s="31" t="str">
        <x:v>FULLY_COVERED</x:v>
      </x:c>
      <x:c r="AL44" s="19" t="str">
        <x:v>PENDING_SOURCE_REVIEW</x:v>
      </x:c>
      <x:c r="AM44" s="20" t="str">
        <x:v>MEDIUM</x:v>
      </x:c>
    </x:row>
    <x:row r="45" ht="34" customHeight="1">
      <x:c r="A45" s="40" t="str">
        <x:v>FT-SEED-R1B-P-1938-11</x:v>
      </x:c>
      <x:c r="B45" s="19" t="str">
        <x:v>1938</x:v>
      </x:c>
      <x:c r="C45" s="25" t="n">
        <x:v>11</x:v>
      </x:c>
      <x:c r="D45" s="31" t="str">
        <x:v>temperature observations</x:v>
      </x:c>
      <x:c r="E45" s="31" t="str">
        <x:v>local / instrumental temperature</x:v>
      </x:c>
      <x:c r="F45" s="31" t="str">
        <x:v>temperature_threshold</x:v>
      </x:c>
      <x:c r="G45" s="19" t="str">
        <x:v>A</x:v>
      </x:c>
      <x:c r="H45" s="19" t="str">
        <x:v>V1</x:v>
      </x:c>
      <x:c r="I45" s="19" t="str">
        <x:v>NOT_EXPOSED_IN_REPORT</x:v>
      </x:c>
      <x:c r="J45" s="31" t="str">
        <x:v>S1938-CALLENDAR</x:v>
      </x:c>
      <x:c r="K45" s="31" t="str">
        <x:v>RECONSTRUCTED_FROM_REPORT; Fear of Temperature_ Stratified Lexical Expansion, Voice Mapping, and Semantic-Relational Pre-Valida.pdf; p.7; project candidate FT-SEED-R1B-P-1938-11; original visible ID not available</x:v>
      </x:c>
      <x:c r="L45" s="31" t="str">
        <x:v>SUCCEEDED_REUSED_BASELINE</x:v>
      </x:c>
      <x:c r="M45" s="31" t="str">
        <x:v>temperature observations</x:v>
      </x:c>
      <x:c r="N45" s="31" t="str">
        <x:v>EXACT</x:v>
      </x:c>
      <x:c r="O45" s="19" t="str">
        <x:v>1843</x:v>
      </x:c>
      <x:c r="P45" s="19" t="str">
        <x:v>1908</x:v>
      </x:c>
      <x:c r="Q45" s="46" t="n">
        <x:v>1.8129981749215318e-7</x:v>
      </x:c>
      <x:c r="R45" s="46" t="n">
        <x:v>3.630725631253995e-8</x:v>
      </x:c>
      <x:c r="S45" s="46" t="n">
        <x:v>3.627383349247282e-8</x:v>
      </x:c>
      <x:c r="T45" s="46" t="n">
        <x:v>1.0794526161816975e-8</x:v>
      </x:c>
      <x:c r="U45" s="31" t="str">
        <x:v>Candidate surface form is directly representable in the public Ngram interface. Complete 1842–2022 unsmoothed series reused from the audited quantitative-v0.1 baseline.</x:v>
      </x:c>
      <x:c r="V45" s="31" t="str">
        <x:v>NO_STANDALONE_HEADWORD</x:v>
      </x:c>
      <x:c r="W45" s="31" t="str">
        <x:v>Component lexical analysis plus anchor-source contextual meaning</x:v>
      </x:c>
      <x:c r="X45" s="31" t="str">
        <x:v>A physical temperature, warming, heat, or measurement sense in the documented anchor context.</x:v>
      </x:c>
      <x:c r="Y45" s="31" t="str">
        <x:v>A local or instrument-specific temperature reading; the candidate is interpreted in its documented anchor and voice context.</x:v>
      </x:c>
      <x:c r="Z45" s="31" t="str">
        <x:v>STRONG</x:v>
      </x:c>
      <x:c r="AA45" s="19" t="str">
        <x:v>The surface form may realize multiple senses; candidate meaning remains anchored to the report-visible source context.</x:v>
      </x:c>
      <x:c r="AB45"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https://api.dictionaryapi.dev/api/v2/entries/en/temperature%20observations; https://websters1913.timcieplowski.com/word/observations/</x:v>
      </x:c>
      <x:c r="AC45" s="31" t="str">
        <x:v>INTERNET_ARCHIVE_METADATA_TEXT_ITEM_COUNT</x:v>
      </x:c>
      <x:c r="AD45" s="19" t="str">
        <x:v>"temperature observations" AND mediatype:texts</x:v>
      </x:c>
      <x:c r="AE45" s="31" t="str">
        <x:v>EXACT_PHRASE</x:v>
      </x:c>
      <x:c r="AF45" s="31" t="str">
        <x:v>COMPLETED_NONZERO</x:v>
      </x:c>
      <x:c r="AG45" s="25" t="n">
        <x:v>141</x:v>
      </x:c>
      <x:c r="AH45" s="25" t="n">
        <x:v>0</x:v>
      </x:c>
      <x:c r="AI45" s="19" t="str">
        <x:v>2026-08-26</x:v>
      </x:c>
      <x:c r="AJ45" s="31" t="str">
        <x:v>Metadata text-item count; not a full-text lexical frequency. Secondary metric: NOT_RUN_OPENALEX_DAILY_BUDGET_EXHAUSTED: shared provider response retained; no count fabricated.</x:v>
      </x:c>
      <x:c r="AK45" s="31" t="str">
        <x:v>FULLY_COVERED</x:v>
      </x:c>
      <x:c r="AL45" s="19" t="str">
        <x:v>PENDING_SOURCE_REVIEW</x:v>
      </x:c>
      <x:c r="AM45" s="20" t="str">
        <x:v>MEDIUM</x:v>
      </x:c>
    </x:row>
    <x:row r="46" ht="34" customHeight="1">
      <x:c r="A46" s="40" t="str">
        <x:v>FT-SEED-R1B-P-1938-12</x:v>
      </x:c>
      <x:c r="B46" s="19" t="str">
        <x:v>1938</x:v>
      </x:c>
      <x:c r="C46" s="25" t="n">
        <x:v>12</x:v>
      </x:c>
      <x:c r="D46" s="31" t="str">
        <x:v>meteorological stations</x:v>
      </x:c>
      <x:c r="E46" s="31" t="str">
        <x:v>historical climate / climatological condition</x:v>
      </x:c>
      <x:c r="F46" s="31" t="str">
        <x:v>climate</x:v>
      </x:c>
      <x:c r="G46" s="19" t="str">
        <x:v>B</x:v>
      </x:c>
      <x:c r="H46" s="19" t="str">
        <x:v>V1</x:v>
      </x:c>
      <x:c r="I46" s="19" t="str">
        <x:v>NOT_EXPOSED_IN_REPORT</x:v>
      </x:c>
      <x:c r="J46" s="31" t="str">
        <x:v>S1938-CALLENDAR</x:v>
      </x:c>
      <x:c r="K46" s="31" t="str">
        <x:v>RECONSTRUCTED_FROM_REPORT; Fear of Temperature_ Stratified Lexical Expansion, Voice Mapping, and Semantic-Relational Pre-Valida.pdf; p.7; project candidate FT-SEED-R1B-P-1938-12; original visible ID not available</x:v>
      </x:c>
      <x:c r="L46" s="31" t="str">
        <x:v>SUCCEEDED_REUSED_BASELINE</x:v>
      </x:c>
      <x:c r="M46" s="31" t="str">
        <x:v>meteorological stations</x:v>
      </x:c>
      <x:c r="N46" s="31" t="str">
        <x:v>EXACT</x:v>
      </x:c>
      <x:c r="O46" s="19" t="str">
        <x:v>1842</x:v>
      </x:c>
      <x:c r="P46" s="19" t="str">
        <x:v>1965</x:v>
      </x:c>
      <x:c r="Q46" s="46" t="n">
        <x:v>1.655199003414154e-7</x:v>
      </x:c>
      <x:c r="R46" s="46" t="n">
        <x:v>9.076814153075041e-8</x:v>
      </x:c>
      <x:c r="S46" s="46" t="n">
        <x:v>8.024797307215614e-8</x:v>
      </x:c>
      <x:c r="T46" s="46" t="n">
        <x:v>5.7069422049194074e-8</x:v>
      </x:c>
      <x:c r="U46" s="31" t="str">
        <x:v>Candidate surface form is directly representable in the public Ngram interface. Complete 1842–2022 unsmoothed series reused from the audited quantitative-v0.1 baseline.</x:v>
      </x:c>
      <x:c r="V46" s="31" t="str">
        <x:v>NO_STANDALONE_HEADWORD</x:v>
      </x:c>
      <x:c r="W46" s="31" t="str">
        <x:v>Component lexical analysis plus anchor-source contextual meaning</x:v>
      </x:c>
      <x:c r="X46" s="31" t="str">
        <x:v>A climatic, atmospheric, meteorological, or causal-science sense in the documented anchor context.</x:v>
      </x:c>
      <x:c r="Y46" s="31" t="str">
        <x:v>Climate as a historical, geographical, seasonal, or climatological condition; the candidate is interpreted in its documented anchor and voice context.</x:v>
      </x:c>
      <x:c r="Z46" s="31" t="str">
        <x:v>STRONG</x:v>
      </x:c>
      <x:c r="AA46" s="19" t="str">
        <x:v>The surface form may realize multiple senses; candidate meaning remains anchored to the report-visible source context.</x:v>
      </x:c>
      <x:c r="AB46" s="31" t="str">
        <x:v>Secondary: Component headword checked: stations.;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https://api.dictionaryapi.dev/api/v2/entries/en/meteorological%20stations; https://websters1913.timcieplowski.com/word/stations/</x:v>
      </x:c>
      <x:c r="AC46" s="31" t="str">
        <x:v>INTERNET_ARCHIVE_METADATA_TEXT_ITEM_COUNT</x:v>
      </x:c>
      <x:c r="AD46" s="19" t="str">
        <x:v>"meteorological stations" AND mediatype:texts</x:v>
      </x:c>
      <x:c r="AE46" s="31" t="str">
        <x:v>EXACT_PHRASE</x:v>
      </x:c>
      <x:c r="AF46" s="31" t="str">
        <x:v>COMPLETED_NONZERO</x:v>
      </x:c>
      <x:c r="AG46" s="25" t="n">
        <x:v>336</x:v>
      </x:c>
      <x:c r="AH46" s="25" t="n">
        <x:v>0</x:v>
      </x:c>
      <x:c r="AI46" s="19" t="str">
        <x:v>2026-08-26</x:v>
      </x:c>
      <x:c r="AJ46" s="31" t="str">
        <x:v>Metadata text-item count; not a full-text lexical frequency. Secondary metric: NOT_RUN_OPENALEX_DAILY_BUDGET_EXHAUSTED: shared provider response retained; no count fabricated.</x:v>
      </x:c>
      <x:c r="AK46" s="31" t="str">
        <x:v>FULLY_COVERED</x:v>
      </x:c>
      <x:c r="AL46" s="19" t="str">
        <x:v>PENDING_SOURCE_REVIEW</x:v>
      </x:c>
      <x:c r="AM46" s="20" t="str">
        <x:v>MEDIUM</x:v>
      </x:c>
    </x:row>
    <x:row r="47" ht="34" customHeight="1">
      <x:c r="A47" s="40" t="str">
        <x:v>FT-SEED-R1B-P-1938-13</x:v>
      </x:c>
      <x:c r="B47" s="19" t="str">
        <x:v>1938</x:v>
      </x:c>
      <x:c r="C47" s="25" t="n">
        <x:v>13</x:v>
      </x:c>
      <x:c r="D47" s="31" t="str">
        <x:v>world temperatures</x:v>
      </x:c>
      <x:c r="E47" s="31" t="str">
        <x:v>global aggregate temperature</x:v>
      </x:c>
      <x:c r="F47" s="31" t="str">
        <x:v>temperature_threshold</x:v>
      </x:c>
      <x:c r="G47" s="19" t="str">
        <x:v>A</x:v>
      </x:c>
      <x:c r="H47" s="19" t="str">
        <x:v>V1</x:v>
      </x:c>
      <x:c r="I47" s="19" t="str">
        <x:v>NOT_EXPOSED_IN_REPORT</x:v>
      </x:c>
      <x:c r="J47" s="31" t="str">
        <x:v>S1938-CALLENDAR</x:v>
      </x:c>
      <x:c r="K47" s="31" t="str">
        <x:v>RECONSTRUCTED_FROM_REPORT; Fear of Temperature_ Stratified Lexical Expansion, Voice Mapping, and Semantic-Relational Pre-Valida.pdf; p.8; project candidate FT-SEED-R1B-P-1938-13; original visible ID not available</x:v>
      </x:c>
      <x:c r="L47" s="31" t="str">
        <x:v>SUCCEEDED_REUSED_BASELINE</x:v>
      </x:c>
      <x:c r="M47" s="31" t="str">
        <x:v>world temperatures</x:v>
      </x:c>
      <x:c r="N47" s="31" t="str">
        <x:v>EXACT</x:v>
      </x:c>
      <x:c r="O47" s="19" t="str">
        <x:v>1889</x:v>
      </x:c>
      <x:c r="P47" s="19" t="str">
        <x:v>2007</x:v>
      </x:c>
      <x:c r="Q47" s="46" t="n">
        <x:v>7.465921342958426e-9</x:v>
      </x:c>
      <x:c r="R47" s="46" t="n">
        <x:v>2.5615549820168226e-9</x:v>
      </x:c>
      <x:c r="S47" s="46" t="n">
        <x:v>1.5256018087717038e-9</x:v>
      </x:c>
      <x:c r="T47" s="46" t="n">
        <x:v>4.114307144975626e-9</x:v>
      </x:c>
      <x:c r="U47" s="31" t="str">
        <x:v>Candidate surface form is directly representable in the public Ngram interface. Complete 1842–2022 unsmoothed series reused from the audited quantitative-v0.1 baseline.</x:v>
      </x:c>
      <x:c r="V47" s="31" t="str">
        <x:v>NO_STANDALONE_HEADWORD</x:v>
      </x:c>
      <x:c r="W47" s="31" t="str">
        <x:v>Component lexical analysis plus anchor-source contextual meaning</x:v>
      </x:c>
      <x:c r="X47" s="31" t="str">
        <x:v>A physical temperature, warming, heat, or measurement sense in the documented anchor context.</x:v>
      </x:c>
      <x:c r="Y47" s="31" t="str">
        <x:v>A global-scale aggregate temperature metric; the candidate is interpreted in its documented anchor and voice context.</x:v>
      </x:c>
      <x:c r="Z47" s="31" t="str">
        <x:v>STRONG</x:v>
      </x:c>
      <x:c r="AA47" s="19" t="str">
        <x:v>The surface form may realize multiple senses; candidate meaning remains anchored to the report-visible source context.</x:v>
      </x:c>
      <x:c r="AB47"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https://api.dictionaryapi.dev/api/v2/entries/en/world%20temperatures; https://websters1913.timcieplowski.com/word/temperatures/</x:v>
      </x:c>
      <x:c r="AC47" s="31" t="str">
        <x:v>INTERNET_ARCHIVE_METADATA_TEXT_ITEM_COUNT</x:v>
      </x:c>
      <x:c r="AD47" s="19" t="str">
        <x:v>"world temperatures" AND mediatype:texts</x:v>
      </x:c>
      <x:c r="AE47" s="31" t="str">
        <x:v>EXACT_PHRASE</x:v>
      </x:c>
      <x:c r="AF47" s="31" t="str">
        <x:v>COMPLETED_NONZERO</x:v>
      </x:c>
      <x:c r="AG47" s="25" t="n">
        <x:v>3</x:v>
      </x:c>
      <x:c r="AH47" s="25" t="n">
        <x:v>0</x:v>
      </x:c>
      <x:c r="AI47" s="19" t="str">
        <x:v>2026-08-26</x:v>
      </x:c>
      <x:c r="AJ47" s="31" t="str">
        <x:v>Metadata text-item count; not a full-text lexical frequency. Secondary metric: NOT_RUN_OPENALEX_DAILY_BUDGET_EXHAUSTED: shared provider response retained; no count fabricated.</x:v>
      </x:c>
      <x:c r="AK47" s="31" t="str">
        <x:v>FULLY_COVERED</x:v>
      </x:c>
      <x:c r="AL47" s="19" t="str">
        <x:v>PENDING_SOURCE_REVIEW</x:v>
      </x:c>
      <x:c r="AM47" s="20" t="str">
        <x:v>MEDIUM</x:v>
      </x:c>
    </x:row>
    <x:row r="48" ht="34" customHeight="1">
      <x:c r="A48" s="40" t="str">
        <x:v>FT-SEED-R1B-P-1938-14</x:v>
      </x:c>
      <x:c r="B48" s="19" t="str">
        <x:v>1938</x:v>
      </x:c>
      <x:c r="C48" s="25" t="n">
        <x:v>14</x:v>
      </x:c>
      <x:c r="D48" s="31" t="str">
        <x:v>actually increased</x:v>
      </x:c>
      <x:c r="E48" s="31" t="str">
        <x:v>temperature increase</x:v>
      </x:c>
      <x:c r="F48" s="31" t="str">
        <x:v>warming</x:v>
      </x:c>
      <x:c r="G48" s="19" t="str">
        <x:v>A</x:v>
      </x:c>
      <x:c r="H48" s="19" t="str">
        <x:v>V1</x:v>
      </x:c>
      <x:c r="I48" s="19" t="str">
        <x:v>NOT_EXPOSED_IN_REPORT</x:v>
      </x:c>
      <x:c r="J48" s="31" t="str">
        <x:v>S1938-CALLENDAR</x:v>
      </x:c>
      <x:c r="K48" s="31" t="str">
        <x:v>RECONSTRUCTED_FROM_REPORT; Fear of Temperature_ Stratified Lexical Expansion, Voice Mapping, and Semantic-Relational Pre-Valida.pdf; p.8; project candidate FT-SEED-R1B-P-1938-14; original visible ID not available</x:v>
      </x:c>
      <x:c r="L48" s="31" t="str">
        <x:v>SUCCEEDED_REUSED_BASELINE</x:v>
      </x:c>
      <x:c r="M48" s="31" t="str">
        <x:v>actually increased</x:v>
      </x:c>
      <x:c r="N48" s="31" t="str">
        <x:v>EXACT</x:v>
      </x:c>
      <x:c r="O48" s="19" t="str">
        <x:v>1842</x:v>
      </x:c>
      <x:c r="P48" s="19" t="str">
        <x:v>1933</x:v>
      </x:c>
      <x:c r="Q48" s="46" t="n">
        <x:v>2.775292560763809e-7</x:v>
      </x:c>
      <x:c r="R48" s="46" t="n">
        <x:v>1.8042256490213848e-7</x:v>
      </x:c>
      <x:c r="S48" s="46" t="n">
        <x:v>1.734230705124906e-7</x:v>
      </x:c>
      <x:c r="T48" s="46" t="n">
        <x:v>1.0051296917001906e-7</x:v>
      </x:c>
      <x:c r="U48" s="31" t="str">
        <x:v>Candidate surface form is directly representable in the public Ngram interface. Complete 1842–2022 unsmoothed series reused from the audited quantitative-v0.1 baseline.</x:v>
      </x:c>
      <x:c r="V48" s="31" t="str">
        <x:v>NO_STANDALONE_HEADWORD</x:v>
      </x:c>
      <x:c r="W48" s="31" t="str">
        <x:v>Component lexical analysis plus anchor-source contextual meaning</x:v>
      </x:c>
      <x:c r="X48" s="31" t="str">
        <x:v>A physical temperature, warming, heat, or measurement sense in the documented anchor context.</x:v>
      </x:c>
      <x:c r="Y48" s="31" t="str">
        <x:v>An observed, estimated, or projected increase in temperature; the candidate is interpreted in its documented anchor and voice context.</x:v>
      </x:c>
      <x:c r="Z48" s="31" t="str">
        <x:v>STRONG</x:v>
      </x:c>
      <x:c r="AA48" s="19" t="str">
        <x:v>The surface form may realize multiple senses; candidate meaning remains anchored to the report-visible source context.</x:v>
      </x:c>
      <x:c r="AB48" s="31" t="str">
        <x:v>Secondary: Component headword checked: increased.;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https://api.dictionaryapi.dev/api/v2/entries/en/actually%20increased; https://websters1913.timcieplowski.com/word/increased/</x:v>
      </x:c>
      <x:c r="AC48" s="31" t="str">
        <x:v>INTERNET_ARCHIVE_METADATA_TEXT_ITEM_COUNT</x:v>
      </x:c>
      <x:c r="AD48" s="19" t="str">
        <x:v>"actually increased" AND mediatype:texts</x:v>
      </x:c>
      <x:c r="AE48" s="31" t="str">
        <x:v>EXACT_PHRASE</x:v>
      </x:c>
      <x:c r="AF48" s="31" t="str">
        <x:v>COMPLETED_NONZERO</x:v>
      </x:c>
      <x:c r="AG48" s="25" t="n">
        <x:v>151</x:v>
      </x:c>
      <x:c r="AH48" s="25" t="n">
        <x:v>0</x:v>
      </x:c>
      <x:c r="AI48" s="19" t="str">
        <x:v>2026-08-26</x:v>
      </x:c>
      <x:c r="AJ48" s="31" t="str">
        <x:v>Metadata text-item count; not a full-text lexical frequency. Secondary metric: Scholarly work discoverability count over OpenAlex search fields; not a corpus word frequency.</x:v>
      </x:c>
      <x:c r="AK48" s="31" t="str">
        <x:v>FULLY_COVERED</x:v>
      </x:c>
      <x:c r="AL48" s="19" t="str">
        <x:v>PENDING_SOURCE_REVIEW</x:v>
      </x:c>
      <x:c r="AM48" s="20" t="str">
        <x:v>MEDIUM</x:v>
      </x:c>
    </x:row>
    <x:row r="49" ht="34" customHeight="1">
      <x:c r="A49" s="40" t="str">
        <x:v>FT-SEED-R1B-P-1938-15</x:v>
      </x:c>
      <x:c r="B49" s="19" t="str">
        <x:v>1938</x:v>
      </x:c>
      <x:c r="C49" s="25" t="n">
        <x:v>15</x:v>
      </x:c>
      <x:c r="D49" s="31" t="str">
        <x:v>average rate</x:v>
      </x:c>
      <x:c r="E49" s="31" t="str">
        <x:v>local / instrumental temperature</x:v>
      </x:c>
      <x:c r="F49" s="31" t="str">
        <x:v>temperature_threshold</x:v>
      </x:c>
      <x:c r="G49" s="19" t="str">
        <x:v>A</x:v>
      </x:c>
      <x:c r="H49" s="19" t="str">
        <x:v>V1</x:v>
      </x:c>
      <x:c r="I49" s="19" t="str">
        <x:v>NOT_EXPOSED_IN_REPORT</x:v>
      </x:c>
      <x:c r="J49" s="31" t="str">
        <x:v>S1938-CALLENDAR</x:v>
      </x:c>
      <x:c r="K49" s="31" t="str">
        <x:v>RECONSTRUCTED_FROM_REPORT; Fear of Temperature_ Stratified Lexical Expansion, Voice Mapping, and Semantic-Relational Pre-Valida.pdf; p.8; project candidate FT-SEED-R1B-P-1938-15; original visible ID not available</x:v>
      </x:c>
      <x:c r="L49" s="31" t="str">
        <x:v>SUCCEEDED_REUSED_BASELINE</x:v>
      </x:c>
      <x:c r="M49" s="31" t="str">
        <x:v>average rate</x:v>
      </x:c>
      <x:c r="N49" s="31" t="str">
        <x:v>EXACT</x:v>
      </x:c>
      <x:c r="O49" s="19" t="str">
        <x:v>1842</x:v>
      </x:c>
      <x:c r="P49" s="19" t="str">
        <x:v>1885</x:v>
      </x:c>
      <x:c r="Q49" s="46" t="n">
        <x:v>0.000004938462941139754</x:v>
      </x:c>
      <x:c r="R49" s="46" t="n">
        <x:v>0.0000026782727571006415</x:v>
      </x:c>
      <x:c r="S49" s="46" t="n">
        <x:v>0.000002751333045558635</x:v>
      </x:c>
      <x:c r="T49" s="46" t="n">
        <x:v>5.522904276411555e-7</x:v>
      </x:c>
      <x:c r="U49" s="31" t="str">
        <x:v>Candidate surface form is directly representable in the public Ngram interface. Complete 1842–2022 unsmoothed series reused from the audited quantitative-v0.1 baseline.</x:v>
      </x:c>
      <x:c r="V49" s="31" t="str">
        <x:v>NO_STANDALONE_HEADWORD</x:v>
      </x:c>
      <x:c r="W49" s="31" t="str">
        <x:v>Component lexical analysis plus anchor-source contextual meaning</x:v>
      </x:c>
      <x:c r="X49" s="31" t="str">
        <x:v>A physical temperature, warming, heat, or measurement sense in the documented anchor context.</x:v>
      </x:c>
      <x:c r="Y49" s="31" t="str">
        <x:v>A local or instrument-specific temperature reading; the candidate is interpreted in its documented anchor and voice context.</x:v>
      </x:c>
      <x:c r="Z49" s="31" t="str">
        <x:v>STRONG</x:v>
      </x:c>
      <x:c r="AA49" s="19" t="str">
        <x:v>The surface form may realize multiple senses; candidate meaning remains anchored to the report-visible source context.</x:v>
      </x:c>
      <x:c r="AB49" s="31" t="str">
        <x:v>Secondary: Component headword checked: rate.;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https://api.dictionaryapi.dev/api/v2/entries/en/average%20rate; https://websters1913.timcieplowski.com/word/rate/</x:v>
      </x:c>
      <x:c r="AC49" s="31" t="str">
        <x:v>INTERNET_ARCHIVE_METADATA_TEXT_ITEM_COUNT</x:v>
      </x:c>
      <x:c r="AD49" s="19" t="str">
        <x:v>"average rate" AND mediatype:texts</x:v>
      </x:c>
      <x:c r="AE49" s="31" t="str">
        <x:v>EXACT_PHRASE</x:v>
      </x:c>
      <x:c r="AF49" s="31" t="str">
        <x:v>COMPLETED_NONZERO</x:v>
      </x:c>
      <x:c r="AG49" s="25" t="n">
        <x:v>891</x:v>
      </x:c>
      <x:c r="AH49" s="25" t="n">
        <x:v>0</x:v>
      </x:c>
      <x:c r="AI49" s="19" t="str">
        <x:v>2026-08-26</x:v>
      </x:c>
      <x:c r="AJ49" s="31" t="str">
        <x:v>Metadata text-item count; not a full-text lexical frequency. Secondary metric: Scholarly work discoverability count over OpenAlex search fields; not a corpus word frequency.</x:v>
      </x:c>
      <x:c r="AK49" s="31" t="str">
        <x:v>FULLY_COVERED</x:v>
      </x:c>
      <x:c r="AL49" s="19" t="str">
        <x:v>PENDING_SOURCE_REVIEW</x:v>
      </x:c>
      <x:c r="AM49" s="20" t="str">
        <x:v>MEDIUM</x:v>
      </x:c>
    </x:row>
    <x:row r="50" ht="34" customHeight="1">
      <x:c r="A50" s="40" t="str">
        <x:v>FT-SEED-R1B-P-1938-16</x:v>
      </x:c>
      <x:c r="B50" s="19" t="str">
        <x:v>1938</x:v>
      </x:c>
      <x:c r="C50" s="25" t="n">
        <x:v>16</x:v>
      </x:c>
      <x:c r="D50" s="31" t="str">
        <x:v>small increases in mean temperature</x:v>
      </x:c>
      <x:c r="E50" s="31" t="str">
        <x:v>mean temperature</x:v>
      </x:c>
      <x:c r="F50" s="31" t="str">
        <x:v>temperature_threshold</x:v>
      </x:c>
      <x:c r="G50" s="19" t="str">
        <x:v>A</x:v>
      </x:c>
      <x:c r="H50" s="19" t="str">
        <x:v>V1</x:v>
      </x:c>
      <x:c r="I50" s="19" t="str">
        <x:v>NOT_EXPOSED_IN_REPORT</x:v>
      </x:c>
      <x:c r="J50" s="31" t="str">
        <x:v>S1938-WIRED-CALLENDAR</x:v>
      </x:c>
      <x:c r="K50" s="31" t="str">
        <x:v>RECONSTRUCTED_FROM_REPORT; Fear of Temperature_ Stratified Lexical Expansion, Voice Mapping, and Semantic-Relational Pre-Valida.pdf; p.8; project candidate FT-SEED-R1B-P-1938-16; original visible ID not available</x:v>
      </x:c>
      <x:c r="L50" s="31" t="str">
        <x:v>ZERO_RESPONSE_REUSED_BASELINE</x:v>
      </x:c>
      <x:c r="M50" s="31" t="str">
        <x:v>small increases in mean temperature</x:v>
      </x:c>
      <x:c r="N50" s="31" t="str">
        <x:v>EXACT</x:v>
      </x:c>
      <x:c r="O50" s="19" t="str">
        <x:v>NOT_APPLICABLE</x:v>
      </x:c>
      <x:c r="P50" s="19" t="str">
        <x:v>NOT_APPLICABLE</x:v>
      </x:c>
      <x:c r="Q50" s="46" t="str">
        <x:v>NOT_APPLICABLE</x:v>
      </x:c>
      <x:c r="R50" s="46" t="str">
        <x:v>NOT_APPLICABLE</x:v>
      </x:c>
      <x:c r="S50" s="46" t="str">
        <x:v>NOT_APPLICABLE</x:v>
      </x:c>
      <x:c r="T50" s="46" t="str">
        <x:v>NOT_APPLICABLE</x:v>
      </x:c>
      <x:c r="U50" s="31" t="str">
        <x:v>Candidate surface form is directly representable in the public Ngram interface. The audited executable rule returned an empty Ngram payload; retained as source/query zero-response evidence, not historical absence.</x:v>
      </x:c>
      <x:c r="V50" s="31" t="str">
        <x:v>NO_STANDALONE_HEADWORD</x:v>
      </x:c>
      <x:c r="W50" s="31" t="str">
        <x:v>Component lexical analysis plus anchor-source contextual meaning</x:v>
      </x:c>
      <x:c r="X50" s="31" t="str">
        <x:v>A physical temperature, warming, heat, or measurement sense in the documented anchor context.</x:v>
      </x:c>
      <x:c r="Y50" s="31" t="str">
        <x:v>A temporally or spatially averaged temperature value; the candidate is interpreted in its documented anchor and voice context.</x:v>
      </x:c>
      <x:c r="Z50" s="31" t="str">
        <x:v>STRONG</x:v>
      </x:c>
      <x:c r="AA50" s="19" t="str">
        <x:v>The surface form may realize multiple senses; candidate meaning remains anchored to the report-visible source context.</x:v>
      </x:c>
      <x:c r="AB50"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https://api.dictionaryapi.dev/api/v2/entries/en/small%20increases%20in%20mean%20temperature; https://websters1913.timcieplowski.com/word/temperature/</x:v>
      </x:c>
      <x:c r="AC50" s="31" t="str">
        <x:v>INTERNET_ARCHIVE_METADATA_TEXT_ITEM_COUNT</x:v>
      </x:c>
      <x:c r="AD50" s="19" t="str">
        <x:v>"small increases in mean temperature" AND mediatype:texts</x:v>
      </x:c>
      <x:c r="AE50" s="31" t="str">
        <x:v>EXACT_PHRASE</x:v>
      </x:c>
      <x:c r="AF50" s="31" t="str">
        <x:v>COMPLETED_ZERO</x:v>
      </x:c>
      <x:c r="AG50" s="25" t="n">
        <x:v>0</x:v>
      </x:c>
      <x:c r="AH50" s="25" t="n">
        <x:v>0</x:v>
      </x:c>
      <x:c r="AI50" s="19" t="str">
        <x:v>2026-08-26</x:v>
      </x:c>
      <x:c r="AJ50" s="31" t="str">
        <x:v>Metadata text-item count; not a full-text lexical frequency. Secondary metric: NOT_RUN_OPENALEX_DAILY_BUDGET_EXHAUSTED: shared provider response retained; no count fabricated.</x:v>
      </x:c>
      <x:c r="AK50" s="31" t="str">
        <x:v>FULLY_COVERED</x:v>
      </x:c>
      <x:c r="AL50" s="19" t="str">
        <x:v>PENDING_SOURCE_REVIEW</x:v>
      </x:c>
      <x:c r="AM50" s="20" t="str">
        <x:v>MEDIUM</x:v>
      </x:c>
    </x:row>
    <x:row r="51" ht="34" customHeight="1">
      <x:c r="A51" s="40" t="str">
        <x:v>FT-SEED-R1B-P-1938-17</x:v>
      </x:c>
      <x:c r="B51" s="19" t="str">
        <x:v>1938</x:v>
      </x:c>
      <x:c r="C51" s="25" t="n">
        <x:v>17</x:v>
      </x:c>
      <x:c r="D51" s="31" t="str">
        <x:v>deadly glaciers</x:v>
      </x:c>
      <x:c r="E51" s="31" t="str">
        <x:v>institutional climate threat</x:v>
      </x:c>
      <x:c r="F51" s="31" t="str">
        <x:v>danger_threat</x:v>
      </x:c>
      <x:c r="G51" s="19" t="str">
        <x:v>D</x:v>
      </x:c>
      <x:c r="H51" s="19" t="str">
        <x:v>V1</x:v>
      </x:c>
      <x:c r="I51" s="19" t="str">
        <x:v>NOT_EXPOSED_IN_REPORT</x:v>
      </x:c>
      <x:c r="J51" s="31" t="str">
        <x:v>S1938-WIRED-CALLENDAR</x:v>
      </x:c>
      <x:c r="K51" s="31" t="str">
        <x:v>RECONSTRUCTED_FROM_REPORT; Fear of Temperature_ Stratified Lexical Expansion, Voice Mapping, and Semantic-Relational Pre-Valida.pdf; p.8; project candidate FT-SEED-R1B-P-1938-17; original visible ID not available</x:v>
      </x:c>
      <x:c r="L51" s="31" t="str">
        <x:v>SUCCEEDED_REUSED_BASELINE</x:v>
      </x:c>
      <x:c r="M51" s="31" t="str">
        <x:v>deadly glaciers</x:v>
      </x:c>
      <x:c r="N51" s="31" t="str">
        <x:v>EXACT</x:v>
      </x:c>
      <x:c r="O51" s="19" t="str">
        <x:v>1845</x:v>
      </x:c>
      <x:c r="P51" s="19" t="str">
        <x:v>1845</x:v>
      </x:c>
      <x:c r="Q51" s="46" t="n">
        <x:v>1.5025181099304064e-9</x:v>
      </x:c>
      <x:c r="R51" s="46" t="n">
        <x:v>1.1137195332633354e-10</x:v>
      </x:c>
      <x:c r="S51" s="46" t="n">
        <x:v>4.2303724412384726e-11</x:v>
      </x:c>
      <x:c r="T51" s="46" t="n">
        <x:v>2.2119930886965733e-10</x:v>
      </x:c>
      <x:c r="U51" s="31" t="str">
        <x:v>Candidate surface form is directly representable in the public Ngram interface. Complete 1842–2022 unsmoothed series reused from the audited quantitative-v0.1 baseline.</x:v>
      </x:c>
      <x:c r="V51" s="31" t="str">
        <x:v>NO_STANDALONE_HEADWORD</x:v>
      </x:c>
      <x:c r="W51" s="31" t="str">
        <x:v>Component lexical analysis plus anchor-source contextual meaning</x:v>
      </x:c>
      <x:c r="X51" s="31" t="str">
        <x:v>A threat, risk, harm, severity, or consequence sense in the documented source; it is not automatically an emotion.</x:v>
      </x:c>
      <x:c r="Y51" s="31" t="str">
        <x:v>Climate change framed as an institutional threat; the candidate is interpreted in its documented anchor and voice context.</x:v>
      </x:c>
      <x:c r="Z51" s="31" t="str">
        <x:v>STRONG</x:v>
      </x:c>
      <x:c r="AA51" s="19" t="str">
        <x:v>The surface form may realize multiple senses; candidate meaning remains anchored to the report-visible source context.</x:v>
      </x:c>
      <x:c r="AB51" s="31" t="str">
        <x:v>Secondary: Component headword checked: glaciers.;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https://api.dictionaryapi.dev/api/v2/entries/en/deadly%20glaciers; https://websters1913.timcieplowski.com/word/glaciers/</x:v>
      </x:c>
      <x:c r="AC51" s="31" t="str">
        <x:v>INTERNET_ARCHIVE_METADATA_TEXT_ITEM_COUNT</x:v>
      </x:c>
      <x:c r="AD51" s="19" t="str">
        <x:v>"deadly glaciers" AND mediatype:texts</x:v>
      </x:c>
      <x:c r="AE51" s="31" t="str">
        <x:v>EXACT_PHRASE</x:v>
      </x:c>
      <x:c r="AF51" s="31" t="str">
        <x:v>COMPLETED_ZERO</x:v>
      </x:c>
      <x:c r="AG51" s="25" t="n">
        <x:v>0</x:v>
      </x:c>
      <x:c r="AH51" s="25" t="n">
        <x:v>0</x:v>
      </x:c>
      <x:c r="AI51" s="19" t="str">
        <x:v>2026-08-26</x:v>
      </x:c>
      <x:c r="AJ51" s="31" t="str">
        <x:v>Metadata text-item count; not a full-text lexical frequency. Secondary metric: NOT_RUN_OPENALEX_DAILY_BUDGET_EXHAUSTED: shared provider response retained; no count fabricated.</x:v>
      </x:c>
      <x:c r="AK51" s="31" t="str">
        <x:v>FULLY_COVERED</x:v>
      </x:c>
      <x:c r="AL51" s="19" t="str">
        <x:v>PENDING_SOURCE_REVIEW</x:v>
      </x:c>
      <x:c r="AM51" s="20" t="str">
        <x:v>MEDIUM</x:v>
      </x:c>
    </x:row>
    <x:row r="52" ht="34" customHeight="1">
      <x:c r="A52" s="40" t="str">
        <x:v>FT-SEED-R1B-P-1938-18</x:v>
      </x:c>
      <x:c r="B52" s="19" t="str">
        <x:v>1938</x:v>
      </x:c>
      <x:c r="C52" s="25" t="n">
        <x:v>18</x:v>
      </x:c>
      <x:c r="D52" s="31" t="str">
        <x:v>rather a coincidence</x:v>
      </x:c>
      <x:c r="E52" s="31" t="str">
        <x:v>personal concern</x:v>
      </x:c>
      <x:c r="F52" s="31" t="str">
        <x:v>concern_alarm</x:v>
      </x:c>
      <x:c r="G52" s="19" t="str">
        <x:v>C</x:v>
      </x:c>
      <x:c r="H52" s="19" t="str">
        <x:v>V1</x:v>
      </x:c>
      <x:c r="I52" s="19" t="str">
        <x:v>E2</x:v>
      </x:c>
      <x:c r="J52" s="31" t="str">
        <x:v>S1938-SHI-RECEPTION</x:v>
      </x:c>
      <x:c r="K52" s="31" t="str">
        <x:v>RECONSTRUCTED_FROM_REPORT; Fear of Temperature_ Stratified Lexical Expansion, Voice Mapping, and Semantic-Relational Pre-Valida.pdf; p.8; project candidate FT-SEED-R1B-P-1938-18; original visible ID not available</x:v>
      </x:c>
      <x:c r="L52" s="31" t="str">
        <x:v>SUCCEEDED_REUSED_BASELINE</x:v>
      </x:c>
      <x:c r="M52" s="31" t="str">
        <x:v>rather a coincidence</x:v>
      </x:c>
      <x:c r="N52" s="31" t="str">
        <x:v>EXACT</x:v>
      </x:c>
      <x:c r="O52" s="19" t="str">
        <x:v>1842</x:v>
      </x:c>
      <x:c r="P52" s="19" t="str">
        <x:v>1934</x:v>
      </x:c>
      <x:c r="Q52" s="46" t="n">
        <x:v>1.1418470613477893e-8</x:v>
      </x:c>
      <x:c r="R52" s="46" t="n">
        <x:v>4.644931106412287e-9</x:v>
      </x:c>
      <x:c r="S52" s="46" t="n">
        <x:v>4.688150873066732e-9</x:v>
      </x:c>
      <x:c r="T52" s="46" t="n">
        <x:v>3.2163039176413832e-9</x:v>
      </x:c>
      <x:c r="U52" s="31" t="str">
        <x:v>Candidate surface form is directly representable in the public Ngram interface. Complete 1842–2022 unsmoothed series reused from the audited quantitative-v0.1 baseline.</x:v>
      </x:c>
      <x:c r="V52" s="31" t="str">
        <x:v>NO_STANDALONE_HEADWORD</x:v>
      </x:c>
      <x:c r="W52" s="31" t="str">
        <x:v>Component lexical analysis plus anchor-source contextual meaning</x:v>
      </x:c>
      <x:c r="X52" s="31" t="str">
        <x:v>An epistemic evaluation that two observations may coincide rather than stand in a causal relation; normally no affect.</x:v>
      </x:c>
      <x:c r="Y52" s="31" t="str">
        <x:v>Concern expressed or endorsed by an identifiable person about a climate or heat object; the candidate is interpreted in its documented anchor and voice context.</x:v>
      </x:c>
      <x:c r="Z52" s="31" t="str">
        <x:v>STRONG</x:v>
      </x:c>
      <x:c r="AA52" s="19" t="str">
        <x:v>Coincidence has epistemic and event-overlap senses; neither should be recoded as emotion here.</x:v>
      </x:c>
      <x:c r="AB52" s="31" t="str">
        <x:v>Secondary: Component headword checked: coincidence.;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https://api.dictionaryapi.dev/api/v2/entries/en/rather%20a%20coincidence; https://websters1913.timcieplowski.com/word/coincidence/</x:v>
      </x:c>
      <x:c r="AC52" s="31" t="str">
        <x:v>INTERNET_ARCHIVE_METADATA_TEXT_ITEM_COUNT</x:v>
      </x:c>
      <x:c r="AD52" s="19" t="str">
        <x:v>"rather a coincidence" AND mediatype:texts</x:v>
      </x:c>
      <x:c r="AE52" s="31" t="str">
        <x:v>EXACT_PHRASE</x:v>
      </x:c>
      <x:c r="AF52" s="31" t="str">
        <x:v>COMPLETED_ZERO</x:v>
      </x:c>
      <x:c r="AG52" s="25" t="n">
        <x:v>0</x:v>
      </x:c>
      <x:c r="AH52" s="25" t="n">
        <x:v>0</x:v>
      </x:c>
      <x:c r="AI52" s="19" t="str">
        <x:v>2026-08-26</x:v>
      </x:c>
      <x:c r="AJ52" s="31" t="str">
        <x:v>Metadata text-item count; not a full-text lexical frequency. Secondary metric: NOT_RUN_OPENALEX_DAILY_BUDGET_EXHAUSTED: shared provider response retained; no count fabricated.</x:v>
      </x:c>
      <x:c r="AK52" s="31" t="str">
        <x:v>FULLY_COVERED</x:v>
      </x:c>
      <x:c r="AL52" s="19" t="str">
        <x:v>NOT_APPLICABLE</x:v>
      </x:c>
      <x:c r="AM52" s="20" t="str">
        <x:v>MEDIUM</x:v>
      </x:c>
    </x:row>
    <x:row r="53" ht="34" customHeight="1">
      <x:c r="A53" s="40" t="str">
        <x:v>FT-SEED-R1B-P-1938-19</x:v>
      </x:c>
      <x:c r="B53" s="19" t="str">
        <x:v>1938</x:v>
      </x:c>
      <x:c r="C53" s="25" t="n">
        <x:v>19</x:v>
      </x:c>
      <x:c r="D53" s="31" t="str">
        <x:v>Hottest Day for Ten Years</x:v>
      </x:c>
      <x:c r="E53" s="31" t="str">
        <x:v>heatwave / weather event</x:v>
      </x:c>
      <x:c r="F53" s="31" t="str">
        <x:v>heat</x:v>
      </x:c>
      <x:c r="G53" s="19" t="str">
        <x:v>A</x:v>
      </x:c>
      <x:c r="H53" s="19" t="str">
        <x:v>V3</x:v>
      </x:c>
      <x:c r="I53" s="19" t="str">
        <x:v>NOT_EXPOSED_IN_REPORT</x:v>
      </x:c>
      <x:c r="J53" s="31" t="str">
        <x:v>S1938-COURIER</x:v>
      </x:c>
      <x:c r="K53" s="31" t="str">
        <x:v>RECONSTRUCTED_FROM_REPORT; Fear of Temperature_ Stratified Lexical Expansion, Voice Mapping, and Semantic-Relational Pre-Valida.pdf; p.8; project candidate FT-SEED-R1B-P-1938-19; original visible ID not available</x:v>
      </x:c>
      <x:c r="L53" s="31" t="str">
        <x:v>ZERO_RESPONSE_REUSED_BASELINE</x:v>
      </x:c>
      <x:c r="M53" s="31" t="str">
        <x:v>Hottest Day for Ten Years</x:v>
      </x:c>
      <x:c r="N53" s="31" t="str">
        <x:v>EXACT</x:v>
      </x:c>
      <x:c r="O53" s="19" t="str">
        <x:v>NOT_APPLICABLE</x:v>
      </x:c>
      <x:c r="P53" s="19" t="str">
        <x:v>NOT_APPLICABLE</x:v>
      </x:c>
      <x:c r="Q53" s="46" t="str">
        <x:v>NOT_APPLICABLE</x:v>
      </x:c>
      <x:c r="R53" s="46" t="str">
        <x:v>NOT_APPLICABLE</x:v>
      </x:c>
      <x:c r="S53" s="46" t="str">
        <x:v>NOT_APPLICABLE</x:v>
      </x:c>
      <x:c r="T53" s="46" t="str">
        <x:v>NOT_APPLICABLE</x:v>
      </x:c>
      <x:c r="U53" s="31" t="str">
        <x:v>Candidate surface form is directly representable in the public Ngram interface. The audited executable rule returned an empty Ngram payload; retained as source/query zero-response evidence, not historical absence.</x:v>
      </x:c>
      <x:c r="V53" s="31" t="str">
        <x:v>NO_STANDALONE_HEADWORD</x:v>
      </x:c>
      <x:c r="W53" s="31" t="str">
        <x:v>Component lexical analysis plus anchor-source contextual meaning</x:v>
      </x:c>
      <x:c r="X53" s="31" t="str">
        <x:v>A physical temperature, warming, heat, or measurement sense in the documented anchor context.</x:v>
      </x:c>
      <x:c r="Y53" s="31" t="str">
        <x:v>A bounded hot-weather or heatwave event; the candidate is interpreted in its documented anchor and voice context.</x:v>
      </x:c>
      <x:c r="Z53" s="31" t="str">
        <x:v>STRONG</x:v>
      </x:c>
      <x:c r="AA53" s="19" t="str">
        <x:v>The surface form may realize multiple senses; candidate meaning remains anchored to the report-visible source context.</x:v>
      </x:c>
      <x:c r="AB53"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https://api.dictionaryapi.dev/api/v2/entries/en/Hottest%20Day%20for%20Ten%20Years; https://websters1913.timcieplowski.com/word/years/</x:v>
      </x:c>
      <x:c r="AC53" s="31" t="str">
        <x:v>INTERNET_ARCHIVE_METADATA_TEXT_ITEM_COUNT</x:v>
      </x:c>
      <x:c r="AD53" s="19" t="str">
        <x:v>"Hottest Day for Ten Years" AND mediatype:texts</x:v>
      </x:c>
      <x:c r="AE53" s="31" t="str">
        <x:v>EXACT_PHRASE</x:v>
      </x:c>
      <x:c r="AF53" s="31" t="str">
        <x:v>COMPLETED_ZERO</x:v>
      </x:c>
      <x:c r="AG53" s="25" t="n">
        <x:v>0</x:v>
      </x:c>
      <x:c r="AH53" s="25" t="n">
        <x:v>0</x:v>
      </x:c>
      <x:c r="AI53" s="19" t="str">
        <x:v>2026-08-26</x:v>
      </x:c>
      <x:c r="AJ53" s="31" t="str">
        <x:v>Metadata text-item count; not a full-text lexical frequency. Secondary metric: NOT_RUN_OPENALEX_DAILY_BUDGET_EXHAUSTED: shared provider response retained; no count fabricated.</x:v>
      </x:c>
      <x:c r="AK53" s="31" t="str">
        <x:v>FULLY_COVERED</x:v>
      </x:c>
      <x:c r="AL53" s="19" t="str">
        <x:v>PENDING_SOURCE_REVIEW</x:v>
      </x:c>
      <x:c r="AM53" s="20" t="str">
        <x:v>MEDIUM</x:v>
      </x:c>
    </x:row>
    <x:row r="54" ht="34" customHeight="1">
      <x:c r="A54" s="40" t="str">
        <x:v>FT-SEED-R1B-P-1938-20</x:v>
      </x:c>
      <x:c r="B54" s="19" t="str">
        <x:v>1938</x:v>
      </x:c>
      <x:c r="C54" s="25" t="n">
        <x:v>20</x:v>
      </x:c>
      <x:c r="D54" s="31" t="str">
        <x:v>Heat Wave Over Queensland</x:v>
      </x:c>
      <x:c r="E54" s="31" t="str">
        <x:v>heatwave / weather event</x:v>
      </x:c>
      <x:c r="F54" s="31" t="str">
        <x:v>heat</x:v>
      </x:c>
      <x:c r="G54" s="19" t="str">
        <x:v>A</x:v>
      </x:c>
      <x:c r="H54" s="19" t="str">
        <x:v>V3</x:v>
      </x:c>
      <x:c r="I54" s="19" t="str">
        <x:v>NOT_EXPOSED_IN_REPORT</x:v>
      </x:c>
      <x:c r="J54" s="31" t="str">
        <x:v>S1938-COURIER</x:v>
      </x:c>
      <x:c r="K54" s="31" t="str">
        <x:v>RECONSTRUCTED_FROM_REPORT; Fear of Temperature_ Stratified Lexical Expansion, Voice Mapping, and Semantic-Relational Pre-Valida.pdf; p.8; project candidate FT-SEED-R1B-P-1938-20; original visible ID not available</x:v>
      </x:c>
      <x:c r="L54" s="31" t="str">
        <x:v>ZERO_RESPONSE_REUSED_BASELINE</x:v>
      </x:c>
      <x:c r="M54" s="31" t="str">
        <x:v>Heat Wave Over Queensland</x:v>
      </x:c>
      <x:c r="N54" s="31" t="str">
        <x:v>EXACT</x:v>
      </x:c>
      <x:c r="O54" s="19" t="str">
        <x:v>NOT_APPLICABLE</x:v>
      </x:c>
      <x:c r="P54" s="19" t="str">
        <x:v>NOT_APPLICABLE</x:v>
      </x:c>
      <x:c r="Q54" s="46" t="str">
        <x:v>NOT_APPLICABLE</x:v>
      </x:c>
      <x:c r="R54" s="46" t="str">
        <x:v>NOT_APPLICABLE</x:v>
      </x:c>
      <x:c r="S54" s="46" t="str">
        <x:v>NOT_APPLICABLE</x:v>
      </x:c>
      <x:c r="T54" s="46" t="str">
        <x:v>NOT_APPLICABLE</x:v>
      </x:c>
      <x:c r="U54" s="31" t="str">
        <x:v>Candidate surface form is directly representable in the public Ngram interface. The audited executable rule returned an empty Ngram payload; retained as source/query zero-response evidence, not historical absence.</x:v>
      </x:c>
      <x:c r="V54" s="31" t="str">
        <x:v>NO_STANDALONE_HEADWORD</x:v>
      </x:c>
      <x:c r="W54" s="31" t="str">
        <x:v>Component lexical analysis plus anchor-source contextual meaning</x:v>
      </x:c>
      <x:c r="X54" s="31" t="str">
        <x:v>A physical temperature, warming, heat, or measurement sense in the documented anchor context.</x:v>
      </x:c>
      <x:c r="Y54" s="31" t="str">
        <x:v>A bounded hot-weather or heatwave event; the candidate is interpreted in its documented anchor and voice context.</x:v>
      </x:c>
      <x:c r="Z54" s="31" t="str">
        <x:v>STRONG</x:v>
      </x:c>
      <x:c r="AA54" s="19" t="str">
        <x:v>The surface form may realize multiple senses; candidate meaning remains anchored to the report-visible source context.</x:v>
      </x:c>
      <x:c r="AB54" s="31" t="str">
        <x:v>Secondary: Component headword checked: queensland.;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https://api.dictionaryapi.dev/api/v2/entries/en/Heat%20Wave%20Over%20Queensland; https://websters1913.timcieplowski.com/word/queensland/</x:v>
      </x:c>
      <x:c r="AC54" s="31" t="str">
        <x:v>INTERNET_ARCHIVE_METADATA_TEXT_ITEM_COUNT</x:v>
      </x:c>
      <x:c r="AD54" s="19" t="str">
        <x:v>"Heat Wave Over Queensland" AND mediatype:texts</x:v>
      </x:c>
      <x:c r="AE54" s="31" t="str">
        <x:v>EXACT_PHRASE</x:v>
      </x:c>
      <x:c r="AF54" s="31" t="str">
        <x:v>COMPLETED_ZERO</x:v>
      </x:c>
      <x:c r="AG54" s="25" t="n">
        <x:v>0</x:v>
      </x:c>
      <x:c r="AH54" s="25" t="n">
        <x:v>0</x:v>
      </x:c>
      <x:c r="AI54" s="19" t="str">
        <x:v>2026-08-26</x:v>
      </x:c>
      <x:c r="AJ54" s="31" t="str">
        <x:v>Metadata text-item count; not a full-text lexical frequency. Secondary metric: NOT_RUN_OPENALEX_DAILY_BUDGET_EXHAUSTED: shared provider response retained; no count fabricated.</x:v>
      </x:c>
      <x:c r="AK54" s="31" t="str">
        <x:v>FULLY_COVERED</x:v>
      </x:c>
      <x:c r="AL54" s="19" t="str">
        <x:v>PENDING_SOURCE_REVIEW</x:v>
      </x:c>
      <x:c r="AM54" s="20" t="str">
        <x:v>MEDIUM</x:v>
      </x:c>
    </x:row>
    <x:row r="55" ht="34" customHeight="1">
      <x:c r="A55" s="40" t="str">
        <x:v>FT-SEED-R1B-P-1938-21</x:v>
      </x:c>
      <x:c r="B55" s="19" t="str">
        <x:v>1938</x:v>
      </x:c>
      <x:c r="C55" s="25" t="n">
        <x:v>21</x:v>
      </x:c>
      <x:c r="D55" s="31" t="str">
        <x:v>heat wave</x:v>
      </x:c>
      <x:c r="E55" s="31" t="str">
        <x:v>heatwave / weather event</x:v>
      </x:c>
      <x:c r="F55" s="31" t="str">
        <x:v>heat</x:v>
      </x:c>
      <x:c r="G55" s="19" t="str">
        <x:v>A</x:v>
      </x:c>
      <x:c r="H55" s="19" t="str">
        <x:v>V3</x:v>
      </x:c>
      <x:c r="I55" s="19" t="str">
        <x:v>NOT_EXPOSED_IN_REPORT</x:v>
      </x:c>
      <x:c r="J55" s="31" t="str">
        <x:v>S1938-COURIER</x:v>
      </x:c>
      <x:c r="K55" s="31" t="str">
        <x:v>RECONSTRUCTED_FROM_REPORT; Fear of Temperature_ Stratified Lexical Expansion, Voice Mapping, and Semantic-Relational Pre-Valida.pdf; p.7; project candidate FT-SEED-R1B-P-1938-21; original visible ID not available</x:v>
      </x:c>
      <x:c r="L55" s="31" t="str">
        <x:v>SUCCEEDED_REUSED_BASELINE</x:v>
      </x:c>
      <x:c r="M55" s="31" t="str">
        <x:v>heat wave</x:v>
      </x:c>
      <x:c r="N55" s="31" t="str">
        <x:v>EXACT</x:v>
      </x:c>
      <x:c r="O55" s="19" t="str">
        <x:v>1842</x:v>
      </x:c>
      <x:c r="P55" s="19" t="str">
        <x:v>2020</x:v>
      </x:c>
      <x:c r="Q55" s="46" t="n">
        <x:v>3.703185072062576e-7</x:v>
      </x:c>
      <x:c r="R55" s="46" t="n">
        <x:v>1.9211662527496287e-7</x:v>
      </x:c>
      <x:c r="S55" s="46" t="n">
        <x:v>2.1497802813463806e-7</x:v>
      </x:c>
      <x:c r="T55" s="46" t="n">
        <x:v>3.0065411360524763e-7</x:v>
      </x:c>
      <x:c r="U55" s="31" t="str">
        <x:v>Candidate surface form is directly representable in the public Ngram interface. Complete 1842–2022 unsmoothed series reused from the audited quantitative-v0.1 baseline.</x:v>
      </x:c>
      <x:c r="V55" s="31" t="str">
        <x:v>NO_STANDALONE_HEADWORD</x:v>
      </x:c>
      <x:c r="W55" s="31" t="str">
        <x:v>Component lexical analysis plus anchor-source contextual meaning</x:v>
      </x:c>
      <x:c r="X55" s="31" t="str">
        <x:v>A physical temperature, warming, heat, or measurement sense in the documented anchor context.</x:v>
      </x:c>
      <x:c r="Y55" s="31" t="str">
        <x:v>A bounded hot-weather or heatwave event; the candidate is interpreted in its documented anchor and voice context.</x:v>
      </x:c>
      <x:c r="Z55" s="31" t="str">
        <x:v>STRONG</x:v>
      </x:c>
      <x:c r="AA55" s="19" t="str">
        <x:v>The surface form may realize multiple senses; candidate meaning remains anchored to the report-visible source context.</x:v>
      </x:c>
      <x:c r="AB55"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55" s="31" t="str">
        <x:v>INTERNET_ARCHIVE_METADATA_TEXT_ITEM_COUNT</x:v>
      </x:c>
      <x:c r="AD55" s="19" t="str">
        <x:v>"heat wave" AND mediatype:texts</x:v>
      </x:c>
      <x:c r="AE55" s="31" t="str">
        <x:v>EXACT_PHRASE</x:v>
      </x:c>
      <x:c r="AF55" s="31" t="str">
        <x:v>COMPLETED_NONZERO</x:v>
      </x:c>
      <x:c r="AG55" s="25" t="n">
        <x:v>957</x:v>
      </x:c>
      <x:c r="AH55" s="25" t="n">
        <x:v>64</x:v>
      </x:c>
      <x:c r="AI55" s="19" t="str">
        <x:v>2026-08-26</x:v>
      </x:c>
      <x:c r="AJ55" s="31" t="str">
        <x:v>Metadata text-item count; not a full-text lexical frequency. Secondary metric: NOT_RUN_OPENALEX_DAILY_BUDGET_EXHAUSTED: shared provider response retained; no count fabricated.</x:v>
      </x:c>
      <x:c r="AK55" s="31" t="str">
        <x:v>FULLY_COVERED</x:v>
      </x:c>
      <x:c r="AL55" s="19" t="str">
        <x:v>PENDING_SOURCE_REVIEW</x:v>
      </x:c>
      <x:c r="AM55" s="20" t="str">
        <x:v>MEDIUM</x:v>
      </x:c>
    </x:row>
    <x:row r="56" ht="34" customHeight="1">
      <x:c r="A56" s="40" t="str">
        <x:v>FT-SEED-R1B-P-1938-22</x:v>
      </x:c>
      <x:c r="B56" s="19" t="str">
        <x:v>1938</x:v>
      </x:c>
      <x:c r="C56" s="25" t="n">
        <x:v>22</x:v>
      </x:c>
      <x:c r="D56" s="31" t="str">
        <x:v>40-degree temperatures</x:v>
      </x:c>
      <x:c r="E56" s="31" t="str">
        <x:v>local / instrumental temperature</x:v>
      </x:c>
      <x:c r="F56" s="31" t="str">
        <x:v>temperature_threshold</x:v>
      </x:c>
      <x:c r="G56" s="19" t="str">
        <x:v>A</x:v>
      </x:c>
      <x:c r="H56" s="19" t="str">
        <x:v>V3</x:v>
      </x:c>
      <x:c r="I56" s="19" t="str">
        <x:v>NOT_EXPOSED_IN_REPORT</x:v>
      </x:c>
      <x:c r="J56" s="31" t="str">
        <x:v>S1938-COURIER</x:v>
      </x:c>
      <x:c r="K56" s="31" t="str">
        <x:v>RECONSTRUCTED_FROM_REPORT; Fear of Temperature_ Stratified Lexical Expansion, Voice Mapping, and Semantic-Relational Pre-Valida.pdf; p.7; project candidate FT-SEED-R1B-P-1938-22; original visible ID not available</x:v>
      </x:c>
      <x:c r="L56" s="31" t="str">
        <x:v>SUCCEEDED_NEW</x:v>
      </x:c>
      <x:c r="M56" s="31" t="str">
        <x:v>40 degree temperatures</x:v>
      </x:c>
      <x:c r="N56" s="31" t="str">
        <x:v>NORMALIZED_VARIANT</x:v>
      </x:c>
      <x:c r="O56" s="19" t="str">
        <x:v>1901</x:v>
      </x:c>
      <x:c r="P56" s="19" t="str">
        <x:v>1964</x:v>
      </x:c>
      <x:c r="Q56" s="46" t="n">
        <x:v>6.322877221798251e-10</x:v>
      </x:c>
      <x:c r="R56" s="46" t="n">
        <x:v>0</x:v>
      </x:c>
      <x:c r="S56" s="46" t="n">
        <x:v>1.5925319396536963e-10</x:v>
      </x:c>
      <x:c r="T56" s="46" t="n">
        <x:v>4.729858865681891e-11</x:v>
      </x:c>
      <x:c r="U56" s="31" t="str">
        <x:v>Hyphenation is normalized; lexical content and temperature sense are unchanged. New unsmoothed 1842–2022 series retrieved for the candidate audit.</x:v>
      </x:c>
      <x:c r="V56" s="31" t="str">
        <x:v>NO_STANDALONE_HEADWORD</x:v>
      </x:c>
      <x:c r="W56" s="31" t="str">
        <x:v>Component lexical analysis plus anchor-source contextual meaning</x:v>
      </x:c>
      <x:c r="X56" s="31" t="str">
        <x:v>A physical temperature, warming, heat, or measurement sense in the documented anchor context.</x:v>
      </x:c>
      <x:c r="Y56" s="31" t="str">
        <x:v>A local or instrument-specific temperature reading; the candidate is interpreted in its documented anchor and voice context.</x:v>
      </x:c>
      <x:c r="Z56" s="31" t="str">
        <x:v>STRONG</x:v>
      </x:c>
      <x:c r="AA56" s="19" t="str">
        <x:v>The surface form may realize multiple senses; candidate meaning remains anchored to the report-visible source context.</x:v>
      </x:c>
      <x:c r="AB56"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https://api.dictionaryapi.dev/api/v2/entries/en/40-degree%20temperatures; https://websters1913.timcieplowski.com/word/temperatures/</x:v>
      </x:c>
      <x:c r="AC56" s="31" t="str">
        <x:v>INTERNET_ARCHIVE_METADATA_TEXT_ITEM_COUNT</x:v>
      </x:c>
      <x:c r="AD56" s="19" t="str">
        <x:v>"40-degree temperatures" AND mediatype:texts</x:v>
      </x:c>
      <x:c r="AE56" s="31" t="str">
        <x:v>EXACT_PHRASE</x:v>
      </x:c>
      <x:c r="AF56" s="31" t="str">
        <x:v>COMPLETED_ZERO</x:v>
      </x:c>
      <x:c r="AG56" s="25" t="n">
        <x:v>0</x:v>
      </x:c>
      <x:c r="AH56" s="25" t="n">
        <x:v>0</x:v>
      </x:c>
      <x:c r="AI56" s="19" t="str">
        <x:v>2026-08-26</x:v>
      </x:c>
      <x:c r="AJ56" s="31" t="str">
        <x:v>Metadata text-item count; not a full-text lexical frequency. Secondary metric: Scholarly work discoverability count over OpenAlex search fields; not a corpus word frequency.</x:v>
      </x:c>
      <x:c r="AK56" s="31" t="str">
        <x:v>FULLY_ACCOUNTED_WITH_NGRAM_ALIAS</x:v>
      </x:c>
      <x:c r="AL56" s="19" t="str">
        <x:v>PENDING_SOURCE_REVIEW</x:v>
      </x:c>
      <x:c r="AM56" s="20" t="str">
        <x:v>MEDIUM</x:v>
      </x:c>
    </x:row>
    <x:row r="57" ht="34" customHeight="1">
      <x:c r="A57" s="40" t="str">
        <x:v>FT-SEED-R1B-P-1938-23</x:v>
      </x:c>
      <x:c r="B57" s="19" t="str">
        <x:v>1938</x:v>
      </x:c>
      <x:c r="C57" s="25" t="n">
        <x:v>23</x:v>
      </x:c>
      <x:c r="D57" s="31" t="str">
        <x:v>scorching westerly wind</x:v>
      </x:c>
      <x:c r="E57" s="31" t="str">
        <x:v>heatwave / weather event</x:v>
      </x:c>
      <x:c r="F57" s="31" t="str">
        <x:v>heat</x:v>
      </x:c>
      <x:c r="G57" s="19" t="str">
        <x:v>D</x:v>
      </x:c>
      <x:c r="H57" s="19" t="str">
        <x:v>V3</x:v>
      </x:c>
      <x:c r="I57" s="19" t="str">
        <x:v>NOT_EXPOSED_IN_REPORT</x:v>
      </x:c>
      <x:c r="J57" s="31" t="str">
        <x:v>S1938-COURIER</x:v>
      </x:c>
      <x:c r="K57" s="31" t="str">
        <x:v>RECONSTRUCTED_FROM_REPORT; Fear of Temperature_ Stratified Lexical Expansion, Voice Mapping, and Semantic-Relational Pre-Valida.pdf; p.8; project candidate FT-SEED-R1B-P-1938-23; original visible ID not available</x:v>
      </x:c>
      <x:c r="L57" s="31" t="str">
        <x:v>ZERO_RESPONSE_NEW</x:v>
      </x:c>
      <x:c r="M57" s="31" t="str">
        <x:v>scorching westerly wind</x:v>
      </x:c>
      <x:c r="N57" s="31" t="str">
        <x:v>EXACT</x:v>
      </x:c>
      <x:c r="O57" s="19" t="str">
        <x:v>NOT_APPLICABLE</x:v>
      </x:c>
      <x:c r="P57" s="19" t="str">
        <x:v>NOT_APPLICABLE</x:v>
      </x:c>
      <x:c r="Q57" s="46" t="str">
        <x:v>NOT_APPLICABLE</x:v>
      </x:c>
      <x:c r="R57" s="46" t="str">
        <x:v>NOT_APPLICABLE</x:v>
      </x:c>
      <x:c r="S57" s="46" t="str">
        <x:v>NOT_APPLICABLE</x:v>
      </x:c>
      <x:c r="T57" s="46" t="str">
        <x:v>NOT_APPLICABLE</x:v>
      </x:c>
      <x:c r="U57" s="31" t="str">
        <x:v>Candidate surface form is directly representable in the public Ngram interface. The public Ngram endpoint returned an empty list; retained without fabricating annual zero frequencies.</x:v>
      </x:c>
      <x:c r="V57" s="31" t="str">
        <x:v>NO_STANDALONE_HEADWORD</x:v>
      </x:c>
      <x:c r="W57" s="31" t="str">
        <x:v>Component lexical analysis plus anchor-source contextual meaning</x:v>
      </x:c>
      <x:c r="X57" s="31" t="str">
        <x:v>A threat, risk, harm, severity, or consequence sense in the documented source; it is not automatically an emotion.</x:v>
      </x:c>
      <x:c r="Y57" s="31" t="str">
        <x:v>A bounded hot-weather or heatwave event; the candidate is interpreted in its documented anchor and voice context.</x:v>
      </x:c>
      <x:c r="Z57" s="31" t="str">
        <x:v>STRONG</x:v>
      </x:c>
      <x:c r="AA57" s="19" t="str">
        <x:v>The surface form may realize multiple senses; candidate meaning remains anchored to the report-visible source context.</x:v>
      </x:c>
      <x:c r="AB57" s="31" t="str">
        <x:v>Secondary: Component headword checked: wind.;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https://api.dictionaryapi.dev/api/v2/entries/en/scorching%20westerly%20wind; https://websters1913.timcieplowski.com/word/wind/</x:v>
      </x:c>
      <x:c r="AC57" s="31" t="str">
        <x:v>INTERNET_ARCHIVE_METADATA_TEXT_ITEM_COUNT</x:v>
      </x:c>
      <x:c r="AD57" s="19" t="str">
        <x:v>"scorching westerly wind" AND mediatype:texts</x:v>
      </x:c>
      <x:c r="AE57" s="31" t="str">
        <x:v>EXACT_PHRASE</x:v>
      </x:c>
      <x:c r="AF57" s="31" t="str">
        <x:v>COMPLETED_ZERO</x:v>
      </x:c>
      <x:c r="AG57" s="25" t="n">
        <x:v>0</x:v>
      </x:c>
      <x:c r="AH57" s="25" t="n">
        <x:v>0</x:v>
      </x:c>
      <x:c r="AI57" s="19" t="str">
        <x:v>2026-08-26</x:v>
      </x:c>
      <x:c r="AJ57" s="31" t="str">
        <x:v>Metadata text-item count; not a full-text lexical frequency. Secondary metric: NOT_RUN_OPENALEX_DAILY_BUDGET_EXHAUSTED: shared provider response retained; no count fabricated.</x:v>
      </x:c>
      <x:c r="AK57" s="31" t="str">
        <x:v>FULLY_COVERED</x:v>
      </x:c>
      <x:c r="AL57" s="19" t="str">
        <x:v>PENDING_SOURCE_REVIEW</x:v>
      </x:c>
      <x:c r="AM57" s="20" t="str">
        <x:v>MEDIUM</x:v>
      </x:c>
    </x:row>
    <x:row r="58" ht="34" customHeight="1">
      <x:c r="A58" s="40" t="str">
        <x:v>FT-SEED-R1B-P-1938-24</x:v>
      </x:c>
      <x:c r="B58" s="19" t="str">
        <x:v>1938</x:v>
      </x:c>
      <x:c r="C58" s="25" t="n">
        <x:v>24</x:v>
      </x:c>
      <x:c r="D58" s="31" t="str">
        <x:v>pitiless sun</x:v>
      </x:c>
      <x:c r="E58" s="31" t="str">
        <x:v>physical heat source / state</x:v>
      </x:c>
      <x:c r="F58" s="31" t="str">
        <x:v>heat</x:v>
      </x:c>
      <x:c r="G58" s="19" t="str">
        <x:v>D</x:v>
      </x:c>
      <x:c r="H58" s="19" t="str">
        <x:v>V3</x:v>
      </x:c>
      <x:c r="I58" s="19" t="str">
        <x:v>NOT_EXPOSED_IN_REPORT</x:v>
      </x:c>
      <x:c r="J58" s="31" t="str">
        <x:v>S1938-COURIER</x:v>
      </x:c>
      <x:c r="K58" s="31" t="str">
        <x:v>RECONSTRUCTED_FROM_REPORT; Fear of Temperature_ Stratified Lexical Expansion, Voice Mapping, and Semantic-Relational Pre-Valida.pdf; p.8; project candidate FT-SEED-R1B-P-1938-24; original visible ID not available</x:v>
      </x:c>
      <x:c r="L58" s="31" t="str">
        <x:v>SUCCEEDED_NEW</x:v>
      </x:c>
      <x:c r="M58" s="31" t="str">
        <x:v>pitiless sun</x:v>
      </x:c>
      <x:c r="N58" s="31" t="str">
        <x:v>EXACT</x:v>
      </x:c>
      <x:c r="O58" s="19" t="str">
        <x:v>1842</x:v>
      </x:c>
      <x:c r="P58" s="19" t="str">
        <x:v>1893</x:v>
      </x:c>
      <x:c r="Q58" s="46" t="n">
        <x:v>1.3519818153895358e-8</x:v>
      </x:c>
      <x:c r="R58" s="46" t="n">
        <x:v>7.90740894984765e-9</x:v>
      </x:c>
      <x:c r="S58" s="46" t="n">
        <x:v>6.7370142242673126e-9</x:v>
      </x:c>
      <x:c r="T58" s="46" t="n">
        <x:v>8.007414870059293e-9</x:v>
      </x:c>
      <x:c r="U58" s="31" t="str">
        <x:v>Candidate surface form is directly representable in the public Ngram interface. New unsmoothed 1842–2022 series retrieved for the candidate audit.</x:v>
      </x:c>
      <x:c r="V58" s="31" t="str">
        <x:v>NO_STANDALONE_HEADWORD</x:v>
      </x:c>
      <x:c r="W58" s="31" t="str">
        <x:v>Component lexical analysis plus anchor-source contextual meaning</x:v>
      </x:c>
      <x:c r="X58" s="31" t="str">
        <x:v>A threat, risk, harm, severity, or consequence sense in the documented source; it is not automatically an emotion.</x:v>
      </x:c>
      <x:c r="Y58" s="31" t="str">
        <x:v>Heat as a physical source, state, or thermal condition; the candidate is interpreted in its documented anchor and voice context.</x:v>
      </x:c>
      <x:c r="Z58" s="31" t="str">
        <x:v>STRONG</x:v>
      </x:c>
      <x:c r="AA58" s="19" t="str">
        <x:v>The surface form may realize multiple senses; candidate meaning remains anchored to the report-visible source context.</x:v>
      </x:c>
      <x:c r="AB58" s="31" t="str">
        <x:v>Secondary: Component headword checked: sun.;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https://api.dictionaryapi.dev/api/v2/entries/en/pitiless%20sun; https://websters1913.timcieplowski.com/word/sun/</x:v>
      </x:c>
      <x:c r="AC58" s="31" t="str">
        <x:v>INTERNET_ARCHIVE_METADATA_TEXT_ITEM_COUNT</x:v>
      </x:c>
      <x:c r="AD58" s="19" t="str">
        <x:v>"pitiless sun" AND mediatype:texts</x:v>
      </x:c>
      <x:c r="AE58" s="31" t="str">
        <x:v>EXACT_PHRASE</x:v>
      </x:c>
      <x:c r="AF58" s="31" t="str">
        <x:v>COMPLETED_NONZERO</x:v>
      </x:c>
      <x:c r="AG58" s="25" t="n">
        <x:v>4</x:v>
      </x:c>
      <x:c r="AH58" s="25" t="n">
        <x:v>1</x:v>
      </x:c>
      <x:c r="AI58" s="19" t="str">
        <x:v>2026-08-26</x:v>
      </x:c>
      <x:c r="AJ58" s="31" t="str">
        <x:v>Metadata text-item count; not a full-text lexical frequency. Secondary metric: NOT_RUN_OPENALEX_DAILY_BUDGET_EXHAUSTED: shared provider response retained; no count fabricated.</x:v>
      </x:c>
      <x:c r="AK58" s="31" t="str">
        <x:v>FULLY_COVERED</x:v>
      </x:c>
      <x:c r="AL58" s="19" t="str">
        <x:v>PENDING_SOURCE_REVIEW</x:v>
      </x:c>
      <x:c r="AM58" s="20" t="str">
        <x:v>MEDIUM</x:v>
      </x:c>
    </x:row>
    <x:row r="59" ht="34" customHeight="1">
      <x:c r="A59" s="40" t="str">
        <x:v>FT-SEED-R1B-P-1938-25</x:v>
      </x:c>
      <x:c r="B59" s="19" t="str">
        <x:v>1938</x:v>
      </x:c>
      <x:c r="C59" s="25" t="n">
        <x:v>25</x:v>
      </x:c>
      <x:c r="D59" s="31" t="str">
        <x:v>hottest spell for years</x:v>
      </x:c>
      <x:c r="E59" s="31" t="str">
        <x:v>heatwave / weather event</x:v>
      </x:c>
      <x:c r="F59" s="31" t="str">
        <x:v>heat</x:v>
      </x:c>
      <x:c r="G59" s="19" t="str">
        <x:v>A</x:v>
      </x:c>
      <x:c r="H59" s="19" t="str">
        <x:v>V3</x:v>
      </x:c>
      <x:c r="I59" s="19" t="str">
        <x:v>NOT_EXPOSED_IN_REPORT</x:v>
      </x:c>
      <x:c r="J59" s="31" t="str">
        <x:v>S1938-COURIER</x:v>
      </x:c>
      <x:c r="K59" s="31" t="str">
        <x:v>RECONSTRUCTED_FROM_REPORT; Fear of Temperature_ Stratified Lexical Expansion, Voice Mapping, and Semantic-Relational Pre-Valida.pdf; p.8; project candidate FT-SEED-R1B-P-1938-25; original visible ID not available</x:v>
      </x:c>
      <x:c r="L59" s="31" t="str">
        <x:v>ZERO_RESPONSE_NEW</x:v>
      </x:c>
      <x:c r="M59" s="31" t="str">
        <x:v>hottest spell for years</x:v>
      </x:c>
      <x:c r="N59" s="31" t="str">
        <x:v>EXACT</x:v>
      </x:c>
      <x:c r="O59" s="19" t="str">
        <x:v>NOT_APPLICABLE</x:v>
      </x:c>
      <x:c r="P59" s="19" t="str">
        <x:v>NOT_APPLICABLE</x:v>
      </x:c>
      <x:c r="Q59" s="46" t="str">
        <x:v>NOT_APPLICABLE</x:v>
      </x:c>
      <x:c r="R59" s="46" t="str">
        <x:v>NOT_APPLICABLE</x:v>
      </x:c>
      <x:c r="S59" s="46" t="str">
        <x:v>NOT_APPLICABLE</x:v>
      </x:c>
      <x:c r="T59" s="46" t="str">
        <x:v>NOT_APPLICABLE</x:v>
      </x:c>
      <x:c r="U59" s="31" t="str">
        <x:v>Candidate surface form is directly representable in the public Ngram interface. The public Ngram endpoint returned an empty list; retained without fabricating annual zero frequencies.</x:v>
      </x:c>
      <x:c r="V59" s="31" t="str">
        <x:v>NO_STANDALONE_HEADWORD</x:v>
      </x:c>
      <x:c r="W59" s="31" t="str">
        <x:v>Component lexical analysis plus anchor-source contextual meaning</x:v>
      </x:c>
      <x:c r="X59" s="31" t="str">
        <x:v>A physical temperature, warming, heat, or measurement sense in the documented anchor context.</x:v>
      </x:c>
      <x:c r="Y59" s="31" t="str">
        <x:v>A bounded hot-weather or heatwave event; the candidate is interpreted in its documented anchor and voice context.</x:v>
      </x:c>
      <x:c r="Z59" s="31" t="str">
        <x:v>STRONG</x:v>
      </x:c>
      <x:c r="AA59" s="19" t="str">
        <x:v>The surface form may realize multiple senses; candidate meaning remains anchored to the report-visible source context.</x:v>
      </x:c>
      <x:c r="AB59"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https://api.dictionaryapi.dev/api/v2/entries/en/hottest%20spell%20for%20years; https://websters1913.timcieplowski.com/word/years/</x:v>
      </x:c>
      <x:c r="AC59" s="31" t="str">
        <x:v>INTERNET_ARCHIVE_METADATA_TEXT_ITEM_COUNT</x:v>
      </x:c>
      <x:c r="AD59" s="19" t="str">
        <x:v>"hottest spell for years" AND mediatype:texts</x:v>
      </x:c>
      <x:c r="AE59" s="31" t="str">
        <x:v>EXACT_PHRASE</x:v>
      </x:c>
      <x:c r="AF59" s="31" t="str">
        <x:v>COMPLETED_ZERO</x:v>
      </x:c>
      <x:c r="AG59" s="25" t="n">
        <x:v>0</x:v>
      </x:c>
      <x:c r="AH59" s="25" t="n">
        <x:v>0</x:v>
      </x:c>
      <x:c r="AI59" s="19" t="str">
        <x:v>2026-08-26</x:v>
      </x:c>
      <x:c r="AJ59" s="31" t="str">
        <x:v>Metadata text-item count; not a full-text lexical frequency. Secondary metric: NOT_RUN_OPENALEX_DAILY_BUDGET_EXHAUSTED: shared provider response retained; no count fabricated.</x:v>
      </x:c>
      <x:c r="AK59" s="31" t="str">
        <x:v>FULLY_COVERED</x:v>
      </x:c>
      <x:c r="AL59" s="19" t="str">
        <x:v>PENDING_SOURCE_REVIEW</x:v>
      </x:c>
      <x:c r="AM59" s="20" t="str">
        <x:v>MEDIUM</x:v>
      </x:c>
    </x:row>
    <x:row r="60" ht="34" customHeight="1">
      <x:c r="A60" s="40" t="str">
        <x:v>FT-SEED-R1B-P-1938-26</x:v>
      </x:c>
      <x:c r="B60" s="19" t="str">
        <x:v>1938</x:v>
      </x:c>
      <x:c r="C60" s="25" t="n">
        <x:v>26</x:v>
      </x:c>
      <x:c r="D60" s="31" t="str">
        <x:v>weather is just bearable</x:v>
      </x:c>
      <x:c r="E60" s="31" t="str">
        <x:v>personal concern</x:v>
      </x:c>
      <x:c r="F60" s="31" t="str">
        <x:v>concern_alarm</x:v>
      </x:c>
      <x:c r="G60" s="19" t="str">
        <x:v>C</x:v>
      </x:c>
      <x:c r="H60" s="19" t="str">
        <x:v>V3</x:v>
      </x:c>
      <x:c r="I60" s="19" t="str">
        <x:v>NOT_EXPOSED_IN_REPORT</x:v>
      </x:c>
      <x:c r="J60" s="31" t="str">
        <x:v>S1938-COURIER</x:v>
      </x:c>
      <x:c r="K60" s="31" t="str">
        <x:v>RECONSTRUCTED_FROM_REPORT; Fear of Temperature_ Stratified Lexical Expansion, Voice Mapping, and Semantic-Relational Pre-Valida.pdf; p.8; project candidate FT-SEED-R1B-P-1938-26; original visible ID not available</x:v>
      </x:c>
      <x:c r="L60" s="31" t="str">
        <x:v>ZERO_RESPONSE_NEW</x:v>
      </x:c>
      <x:c r="M60" s="31" t="str">
        <x:v>weather is just bearable</x:v>
      </x:c>
      <x:c r="N60" s="31" t="str">
        <x:v>EXACT</x:v>
      </x:c>
      <x:c r="O60" s="19" t="str">
        <x:v>NOT_APPLICABLE</x:v>
      </x:c>
      <x:c r="P60" s="19" t="str">
        <x:v>NOT_APPLICABLE</x:v>
      </x:c>
      <x:c r="Q60" s="46" t="str">
        <x:v>NOT_APPLICABLE</x:v>
      </x:c>
      <x:c r="R60" s="46" t="str">
        <x:v>NOT_APPLICABLE</x:v>
      </x:c>
      <x:c r="S60" s="46" t="str">
        <x:v>NOT_APPLICABLE</x:v>
      </x:c>
      <x:c r="T60" s="46" t="str">
        <x:v>NOT_APPLICABLE</x:v>
      </x:c>
      <x:c r="U60" s="31" t="str">
        <x:v>Candidate surface form is directly representable in the public Ngram interface. The public Ngram endpoint returned an empty list; retained without fabricating annual zero frequencies.</x:v>
      </x:c>
      <x:c r="V60" s="31" t="str">
        <x:v>NO_STANDALONE_HEADWORD</x:v>
      </x:c>
      <x:c r="W60" s="31" t="str">
        <x:v>Component lexical analysis plus anchor-source contextual meaning</x:v>
      </x:c>
      <x:c r="X60" s="31" t="str">
        <x:v>The candidate's affective or evaluative sense as used by the documented speaker/instrument/research voice at the anchor.</x:v>
      </x:c>
      <x:c r="Y60" s="31" t="str">
        <x:v>Concern expressed or endorsed by an identifiable person about a climate or heat object; the candidate is interpreted in its documented anchor and voice context.</x:v>
      </x:c>
      <x:c r="Z60" s="31" t="str">
        <x:v>STRONG</x:v>
      </x:c>
      <x:c r="AA60" s="19" t="str">
        <x:v>The surface form may realize multiple senses; candidate meaning remains anchored to the report-visible source context.</x:v>
      </x:c>
      <x:c r="AB60" s="31" t="str">
        <x:v>Secondary: Component headword checked: bearable.;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https://api.dictionaryapi.dev/api/v2/entries/en/weather%20is%20just%20bearable; https://websters1913.timcieplowski.com/word/bearable/</x:v>
      </x:c>
      <x:c r="AC60" s="31" t="str">
        <x:v>INTERNET_ARCHIVE_METADATA_TEXT_ITEM_COUNT</x:v>
      </x:c>
      <x:c r="AD60" s="19" t="str">
        <x:v>"weather is just bearable" AND mediatype:texts</x:v>
      </x:c>
      <x:c r="AE60" s="31" t="str">
        <x:v>EXACT_PHRASE</x:v>
      </x:c>
      <x:c r="AF60" s="31" t="str">
        <x:v>COMPLETED_ZERO</x:v>
      </x:c>
      <x:c r="AG60" s="25" t="n">
        <x:v>0</x:v>
      </x:c>
      <x:c r="AH60" s="25" t="n">
        <x:v>0</x:v>
      </x:c>
      <x:c r="AI60" s="19" t="str">
        <x:v>2026-08-26</x:v>
      </x:c>
      <x:c r="AJ60" s="31" t="str">
        <x:v>Metadata text-item count; not a full-text lexical frequency. Secondary metric: NOT_RUN_OPENALEX_DAILY_BUDGET_EXHAUSTED: shared provider response retained; no count fabricated.</x:v>
      </x:c>
      <x:c r="AK60" s="31" t="str">
        <x:v>FULLY_COVERED</x:v>
      </x:c>
      <x:c r="AL60" s="19" t="str">
        <x:v>PENDING_SOURCE_REVIEW</x:v>
      </x:c>
      <x:c r="AM60" s="20" t="str">
        <x:v>MEDIUM</x:v>
      </x:c>
    </x:row>
    <x:row r="61" ht="34" customHeight="1">
      <x:c r="A61" s="40" t="str">
        <x:v>FT-SEED-R1B-P-1938-27</x:v>
      </x:c>
      <x:c r="B61" s="19" t="str">
        <x:v>1938</x:v>
      </x:c>
      <x:c r="C61" s="25" t="n">
        <x:v>27</x:v>
      </x:c>
      <x:c r="D61" s="31" t="str">
        <x:v>heat records</x:v>
      </x:c>
      <x:c r="E61" s="31" t="str">
        <x:v>physical heat source / state</x:v>
      </x:c>
      <x:c r="F61" s="31" t="str">
        <x:v>heat</x:v>
      </x:c>
      <x:c r="G61" s="19" t="str">
        <x:v>A</x:v>
      </x:c>
      <x:c r="H61" s="19" t="str">
        <x:v>V3</x:v>
      </x:c>
      <x:c r="I61" s="19" t="str">
        <x:v>NOT_EXPOSED_IN_REPORT</x:v>
      </x:c>
      <x:c r="J61" s="31" t="str">
        <x:v>S1938-COURIER</x:v>
      </x:c>
      <x:c r="K61" s="31" t="str">
        <x:v>RECONSTRUCTED_FROM_REPORT; Fear of Temperature_ Stratified Lexical Expansion, Voice Mapping, and Semantic-Relational Pre-Valida.pdf; p.8; project candidate FT-SEED-R1B-P-1938-27; original visible ID not available</x:v>
      </x:c>
      <x:c r="L61" s="31" t="str">
        <x:v>SUCCEEDED_NEW</x:v>
      </x:c>
      <x:c r="M61" s="31" t="str">
        <x:v>heat records</x:v>
      </x:c>
      <x:c r="N61" s="31" t="str">
        <x:v>EXACT</x:v>
      </x:c>
      <x:c r="O61" s="19" t="str">
        <x:v>1843</x:v>
      </x:c>
      <x:c r="P61" s="19" t="str">
        <x:v>1936</x:v>
      </x:c>
      <x:c r="Q61" s="46" t="n">
        <x:v>1.0014666540492101e-8</x:v>
      </x:c>
      <x:c r="R61" s="46" t="n">
        <x:v>5.6799695502540715e-9</x:v>
      </x:c>
      <x:c r="S61" s="46" t="n">
        <x:v>5.975816386172283e-9</x:v>
      </x:c>
      <x:c r="T61" s="46" t="n">
        <x:v>3.5391889141589417e-9</x:v>
      </x:c>
      <x:c r="U61" s="31" t="str">
        <x:v>Candidate surface form is directly representable in the public Ngram interface. New unsmoothed 1842–2022 series retrieved for the candidate audit.</x:v>
      </x:c>
      <x:c r="V61" s="31" t="str">
        <x:v>NO_STANDALONE_HEADWORD</x:v>
      </x:c>
      <x:c r="W61" s="31" t="str">
        <x:v>Component lexical analysis plus anchor-source contextual meaning</x:v>
      </x:c>
      <x:c r="X61" s="31" t="str">
        <x:v>A physical temperature, warming, heat, or measurement sense in the documented anchor context.</x:v>
      </x:c>
      <x:c r="Y61" s="31" t="str">
        <x:v>Heat as a physical source, state, or thermal condition; the candidate is interpreted in its documented anchor and voice context.</x:v>
      </x:c>
      <x:c r="Z61" s="31" t="str">
        <x:v>STRONG</x:v>
      </x:c>
      <x:c r="AA61" s="19" t="str">
        <x:v>The surface form may realize multiple senses; candidate meaning remains anchored to the report-visible source context.</x:v>
      </x:c>
      <x:c r="AB61" s="31" t="str">
        <x:v>Secondary: Component headword checked: records.;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https://api.dictionaryapi.dev/api/v2/entries/en/heat%20records; https://websters1913.timcieplowski.com/word/records/</x:v>
      </x:c>
      <x:c r="AC61" s="31" t="str">
        <x:v>INTERNET_ARCHIVE_METADATA_TEXT_ITEM_COUNT</x:v>
      </x:c>
      <x:c r="AD61" s="19" t="str">
        <x:v>"heat records" AND mediatype:texts</x:v>
      </x:c>
      <x:c r="AE61" s="31" t="str">
        <x:v>EXACT_PHRASE</x:v>
      </x:c>
      <x:c r="AF61" s="31" t="str">
        <x:v>COMPLETED_NONZERO</x:v>
      </x:c>
      <x:c r="AG61" s="25" t="n">
        <x:v>2</x:v>
      </x:c>
      <x:c r="AH61" s="25" t="n">
        <x:v>0</x:v>
      </x:c>
      <x:c r="AI61" s="19" t="str">
        <x:v>2026-08-26</x:v>
      </x:c>
      <x:c r="AJ61" s="31" t="str">
        <x:v>Metadata text-item count; not a full-text lexical frequency. Secondary metric: NOT_RUN_OPENALEX_DAILY_BUDGET_EXHAUSTED: shared provider response retained; no count fabricated.</x:v>
      </x:c>
      <x:c r="AK61" s="31" t="str">
        <x:v>FULLY_COVERED</x:v>
      </x:c>
      <x:c r="AL61" s="19" t="str">
        <x:v>PENDING_SOURCE_REVIEW</x:v>
      </x:c>
      <x:c r="AM61" s="20" t="str">
        <x:v>MEDIUM</x:v>
      </x:c>
    </x:row>
    <x:row r="62" ht="34" customHeight="1">
      <x:c r="A62" s="40" t="str">
        <x:v>FT-SEED-R1B-P-1938-28</x:v>
      </x:c>
      <x:c r="B62" s="19" t="str">
        <x:v>1938</x:v>
      </x:c>
      <x:c r="C62" s="25" t="n">
        <x:v>28</x:v>
      </x:c>
      <x:c r="D62" s="31" t="str">
        <x:v>drought</x:v>
      </x:c>
      <x:c r="E62" s="31" t="str">
        <x:v>generic damage</x:v>
      </x:c>
      <x:c r="F62" s="31" t="str">
        <x:v>harm_loss_consequences</x:v>
      </x:c>
      <x:c r="G62" s="19" t="str">
        <x:v>D</x:v>
      </x:c>
      <x:c r="H62" s="19" t="str">
        <x:v>V3</x:v>
      </x:c>
      <x:c r="I62" s="19" t="str">
        <x:v>NOT_EXPOSED_IN_REPORT</x:v>
      </x:c>
      <x:c r="J62" s="31" t="str">
        <x:v>S1938-COURIER</x:v>
      </x:c>
      <x:c r="K62" s="31" t="str">
        <x:v>RECONSTRUCTED_FROM_REPORT; Fear of Temperature_ Stratified Lexical Expansion, Voice Mapping, and Semantic-Relational Pre-Valida.pdf; p.8; project candidate FT-SEED-R1B-P-1938-28; original visible ID not available</x:v>
      </x:c>
      <x:c r="L62" s="31" t="str">
        <x:v>SUCCEEDED_REUSED_BASELINE</x:v>
      </x:c>
      <x:c r="M62" s="31" t="str">
        <x:v>drought</x:v>
      </x:c>
      <x:c r="N62" s="31" t="str">
        <x:v>EXACT</x:v>
      </x:c>
      <x:c r="O62" s="19" t="str">
        <x:v>1842</x:v>
      </x:c>
      <x:c r="P62" s="19" t="str">
        <x:v>1934</x:v>
      </x:c>
      <x:c r="Q62" s="46" t="n">
        <x:v>0.000014142492887003755</x:v>
      </x:c>
      <x:c r="R62" s="46" t="n">
        <x:v>0.000009374461029665326</x:v>
      </x:c>
      <x:c r="S62" s="46" t="n">
        <x:v>0.00000955775340969467</x:v>
      </x:c>
      <x:c r="T62" s="46" t="n">
        <x:v>0.000008803938708723535</x:v>
      </x:c>
      <x:c r="U62" s="31" t="str">
        <x:v>Candidate surface form is directly representable in the public Ngram interface. Complete 1842–2022 unsmoothed series reused from the audited quantitative-v0.1 baseline.</x:v>
      </x:c>
      <x:c r="V62" s="31" t="str">
        <x:v>DIRECT_HEADWORD</x:v>
      </x:c>
      <x:c r="W62" s="31" t="str">
        <x:v>Webster's Revised Unabridged Dictionary (1913 public-domain headword index)</x:v>
      </x:c>
      <x:c r="X62" s="31" t="str">
        <x:v>A threat, risk, harm, severity, or consequence sense in the documented source; it is not automatically an emotion.</x:v>
      </x:c>
      <x:c r="Y62" s="31" t="str">
        <x:v>Generic material, ecological, or social damage; the candidate is interpreted in its documented anchor and voice context.</x:v>
      </x:c>
      <x:c r="Z62" s="31" t="str">
        <x:v>STRONG</x:v>
      </x:c>
      <x:c r="AA62" s="19" t="str">
        <x:v>The surface form may realize multiple senses; candidate meaning remains anchored to the report-visible source context.</x:v>
      </x:c>
      <x:c r="AB62"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62" s="31" t="str">
        <x:v>INTERNET_ARCHIVE_METADATA_TEXT_ITEM_COUNT</x:v>
      </x:c>
      <x:c r="AD62" s="19" t="str">
        <x:v>"drought" AND mediatype:texts</x:v>
      </x:c>
      <x:c r="AE62" s="31" t="str">
        <x:v>EXACT_PHRASE</x:v>
      </x:c>
      <x:c r="AF62" s="31" t="str">
        <x:v>COMPLETED_NONZERO</x:v>
      </x:c>
      <x:c r="AG62" s="25" t="n">
        <x:v>10647</x:v>
      </x:c>
      <x:c r="AH62" s="25" t="n">
        <x:v>298</x:v>
      </x:c>
      <x:c r="AI62" s="19" t="str">
        <x:v>2026-08-26</x:v>
      </x:c>
      <x:c r="AJ62" s="31" t="str">
        <x:v>Metadata text-item count; not a full-text lexical frequency. Secondary metric: NOT_RUN_OPENALEX_DAILY_BUDGET_EXHAUSTED: shared provider response retained; no count fabricated.</x:v>
      </x:c>
      <x:c r="AK62" s="31" t="str">
        <x:v>FULLY_COVERED</x:v>
      </x:c>
      <x:c r="AL62" s="19" t="str">
        <x:v>PENDING_SOURCE_REVIEW</x:v>
      </x:c>
      <x:c r="AM62" s="20" t="str">
        <x:v>MEDIUM</x:v>
      </x:c>
    </x:row>
    <x:row r="63" ht="34" customHeight="1">
      <x:c r="A63" s="40" t="str">
        <x:v>FT-SEED-R1B-P-1938-29</x:v>
      </x:c>
      <x:c r="B63" s="19" t="str">
        <x:v>1938</x:v>
      </x:c>
      <x:c r="C63" s="25" t="n">
        <x:v>29</x:v>
      </x:c>
      <x:c r="D63" s="31" t="str">
        <x:v>grass fires</x:v>
      </x:c>
      <x:c r="E63" s="31" t="str">
        <x:v>generic damage</x:v>
      </x:c>
      <x:c r="F63" s="31" t="str">
        <x:v>harm_loss_consequences</x:v>
      </x:c>
      <x:c r="G63" s="19" t="str">
        <x:v>D</x:v>
      </x:c>
      <x:c r="H63" s="19" t="str">
        <x:v>V3</x:v>
      </x:c>
      <x:c r="I63" s="19" t="str">
        <x:v>NOT_EXPOSED_IN_REPORT</x:v>
      </x:c>
      <x:c r="J63" s="31" t="str">
        <x:v>S1938-COURIER</x:v>
      </x:c>
      <x:c r="K63" s="31" t="str">
        <x:v>RECONSTRUCTED_FROM_REPORT; Fear of Temperature_ Stratified Lexical Expansion, Voice Mapping, and Semantic-Relational Pre-Valida.pdf; p.8; project candidate FT-SEED-R1B-P-1938-29; original visible ID not available</x:v>
      </x:c>
      <x:c r="L63" s="31" t="str">
        <x:v>SUCCEEDED_NEW</x:v>
      </x:c>
      <x:c r="M63" s="31" t="str">
        <x:v>grass fires</x:v>
      </x:c>
      <x:c r="N63" s="31" t="str">
        <x:v>EXACT</x:v>
      </x:c>
      <x:c r="O63" s="19" t="str">
        <x:v>1846</x:v>
      </x:c>
      <x:c r="P63" s="19" t="str">
        <x:v>1946</x:v>
      </x:c>
      <x:c r="Q63" s="46" t="n">
        <x:v>9.174678930468083e-8</x:v>
      </x:c>
      <x:c r="R63" s="46" t="n">
        <x:v>7.929683021323797e-8</x:v>
      </x:c>
      <x:c r="S63" s="46" t="n">
        <x:v>7.162705532581804e-8</x:v>
      </x:c>
      <x:c r="T63" s="46" t="n">
        <x:v>1.336043833899403e-8</x:v>
      </x:c>
      <x:c r="U63" s="31" t="str">
        <x:v>Candidate surface form is directly representable in the public Ngram interface. New unsmoothed 1842–2022 series retrieved for the candidate audit.</x:v>
      </x:c>
      <x:c r="V63" s="31" t="str">
        <x:v>NO_STANDALONE_HEADWORD</x:v>
      </x:c>
      <x:c r="W63" s="31" t="str">
        <x:v>Component lexical analysis plus anchor-source contextual meaning</x:v>
      </x:c>
      <x:c r="X63" s="31" t="str">
        <x:v>A threat, risk, harm, severity, or consequence sense in the documented source; it is not automatically an emotion.</x:v>
      </x:c>
      <x:c r="Y63" s="31" t="str">
        <x:v>Generic material, ecological, or social damage; the candidate is interpreted in its documented anchor and voice context.</x:v>
      </x:c>
      <x:c r="Z63" s="31" t="str">
        <x:v>STRONG</x:v>
      </x:c>
      <x:c r="AA63" s="19" t="str">
        <x:v>The surface form may realize multiple senses; candidate meaning remains anchored to the report-visible source context.</x:v>
      </x:c>
      <x:c r="AB63" s="31" t="str">
        <x:v>Secondary: Component headword checked: fires.;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https://api.dictionaryapi.dev/api/v2/entries/en/grass%20fires; https://websters1913.timcieplowski.com/word/fires/</x:v>
      </x:c>
      <x:c r="AC63" s="31" t="str">
        <x:v>INTERNET_ARCHIVE_METADATA_TEXT_ITEM_COUNT</x:v>
      </x:c>
      <x:c r="AD63" s="19" t="str">
        <x:v>"grass fires" AND mediatype:texts</x:v>
      </x:c>
      <x:c r="AE63" s="31" t="str">
        <x:v>EXACT_PHRASE</x:v>
      </x:c>
      <x:c r="AF63" s="31" t="str">
        <x:v>COMPLETED_NONZERO</x:v>
      </x:c>
      <x:c r="AG63" s="25" t="n">
        <x:v>39</x:v>
      </x:c>
      <x:c r="AH63" s="25" t="n">
        <x:v>0</x:v>
      </x:c>
      <x:c r="AI63" s="19" t="str">
        <x:v>2026-08-26</x:v>
      </x:c>
      <x:c r="AJ63" s="31" t="str">
        <x:v>Metadata text-item count; not a full-text lexical frequency. Secondary metric: NOT_RUN_OPENALEX_DAILY_BUDGET_EXHAUSTED: shared provider response retained; no count fabricated.</x:v>
      </x:c>
      <x:c r="AK63" s="31" t="str">
        <x:v>FULLY_COVERED</x:v>
      </x:c>
      <x:c r="AL63" s="19" t="str">
        <x:v>PENDING_SOURCE_REVIEW</x:v>
      </x:c>
      <x:c r="AM63" s="20" t="str">
        <x:v>MEDIUM</x:v>
      </x:c>
    </x:row>
    <x:row r="64" ht="34" customHeight="1">
      <x:c r="A64" s="40" t="str">
        <x:v>FT-SEED-R1B-P-1938-30</x:v>
      </x:c>
      <x:c r="B64" s="19" t="str">
        <x:v>1938</x:v>
      </x:c>
      <x:c r="C64" s="25" t="n">
        <x:v>30</x:v>
      </x:c>
      <x:c r="D64" s="31" t="str">
        <x:v>unbearable heat</x:v>
      </x:c>
      <x:c r="E64" s="31" t="str">
        <x:v>extreme-heat hazard</x:v>
      </x:c>
      <x:c r="F64" s="31" t="str">
        <x:v>heat</x:v>
      </x:c>
      <x:c r="G64" s="19" t="str">
        <x:v>D</x:v>
      </x:c>
      <x:c r="H64" s="19" t="str">
        <x:v>V3</x:v>
      </x:c>
      <x:c r="I64" s="19" t="str">
        <x:v>NOT_EXPOSED_IN_REPORT</x:v>
      </x:c>
      <x:c r="J64" s="31" t="str">
        <x:v>S1938-TORCH</x:v>
      </x:c>
      <x:c r="K64" s="31" t="str">
        <x:v>RECONSTRUCTED_FROM_REPORT; Fear of Temperature_ Stratified Lexical Expansion, Voice Mapping, and Semantic-Relational Pre-Valida.pdf; p.8; project candidate FT-SEED-R1B-P-1938-30; original visible ID not available</x:v>
      </x:c>
      <x:c r="L64" s="31" t="str">
        <x:v>SUCCEEDED_NEW</x:v>
      </x:c>
      <x:c r="M64" s="31" t="str">
        <x:v>unbearable heat</x:v>
      </x:c>
      <x:c r="N64" s="31" t="str">
        <x:v>EXACT</x:v>
      </x:c>
      <x:c r="O64" s="19" t="str">
        <x:v>1842</x:v>
      </x:c>
      <x:c r="P64" s="19" t="str">
        <x:v>2021</x:v>
      </x:c>
      <x:c r="Q64" s="46" t="n">
        <x:v>3.392838843208068e-8</x:v>
      </x:c>
      <x:c r="R64" s="46" t="n">
        <x:v>7.907408366980562e-9</x:v>
      </x:c>
      <x:c r="S64" s="46" t="n">
        <x:v>7.272420282644631e-9</x:v>
      </x:c>
      <x:c r="T64" s="46" t="n">
        <x:v>3.092366304691119e-8</x:v>
      </x:c>
      <x:c r="U64" s="31" t="str">
        <x:v>Candidate surface form is directly representable in the public Ngram interface. New unsmoothed 1842–2022 series retrieved for the candidate audit.</x:v>
      </x:c>
      <x:c r="V64" s="31" t="str">
        <x:v>NO_STANDALONE_HEADWORD</x:v>
      </x:c>
      <x:c r="W64" s="31" t="str">
        <x:v>Component lexical analysis plus anchor-source contextual meaning</x:v>
      </x:c>
      <x:c r="X64" s="31" t="str">
        <x:v>A threat, risk, harm, severity, or consequence sense in the documented source; it is not automatically an emotion.</x:v>
      </x:c>
      <x:c r="Y64" s="31" t="str">
        <x:v>Extreme heat framed as a hazard with health or social consequences; the candidate is interpreted in its documented anchor and voice context.</x:v>
      </x:c>
      <x:c r="Z64" s="31" t="str">
        <x:v>STRONG</x:v>
      </x:c>
      <x:c r="AA64" s="19" t="str">
        <x:v>The surface form may realize multiple senses; candidate meaning remains anchored to the report-visible source context.</x:v>
      </x:c>
      <x:c r="AB64"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https://api.dictionaryapi.dev/api/v2/entries/en/unbearable%20heat; https://websters1913.timcieplowski.com/word/heat/</x:v>
      </x:c>
      <x:c r="AC64" s="31" t="str">
        <x:v>INTERNET_ARCHIVE_METADATA_TEXT_ITEM_COUNT</x:v>
      </x:c>
      <x:c r="AD64" s="19" t="str">
        <x:v>"unbearable heat" AND mediatype:texts</x:v>
      </x:c>
      <x:c r="AE64" s="31" t="str">
        <x:v>EXACT_PHRASE</x:v>
      </x:c>
      <x:c r="AF64" s="31" t="str">
        <x:v>COMPLETED_NONZERO</x:v>
      </x:c>
      <x:c r="AG64" s="25" t="n">
        <x:v>6</x:v>
      </x:c>
      <x:c r="AH64" s="25" t="n">
        <x:v>0</x:v>
      </x:c>
      <x:c r="AI64" s="19" t="str">
        <x:v>2026-08-26</x:v>
      </x:c>
      <x:c r="AJ64" s="31" t="str">
        <x:v>Metadata text-item count; not a full-text lexical frequency. Secondary metric: NOT_RUN_OPENALEX_DAILY_BUDGET_EXHAUSTED: shared provider response retained; no count fabricated.</x:v>
      </x:c>
      <x:c r="AK64" s="31" t="str">
        <x:v>FULLY_COVERED</x:v>
      </x:c>
      <x:c r="AL64" s="19" t="str">
        <x:v>PENDING_SOURCE_REVIEW</x:v>
      </x:c>
      <x:c r="AM64" s="20" t="str">
        <x:v>MEDIUM</x:v>
      </x:c>
    </x:row>
    <x:row r="65" ht="34" customHeight="1">
      <x:c r="A65" s="40" t="str">
        <x:v>FT-SEED-R1B-P-1988-01</x:v>
      </x:c>
      <x:c r="B65" s="19" t="str">
        <x:v>1988</x:v>
      </x:c>
      <x:c r="C65" s="25" t="n">
        <x:v>1</x:v>
      </x:c>
      <x:c r="D65" s="31" t="str">
        <x:v>greenhouse effect</x:v>
      </x:c>
      <x:c r="E65" s="31" t="str">
        <x:v>greenhouse mechanism</x:v>
      </x:c>
      <x:c r="F65" s="31" t="str">
        <x:v>carbon_greenhouse</x:v>
      </x:c>
      <x:c r="G65" s="19" t="str">
        <x:v>B</x:v>
      </x:c>
      <x:c r="H65" s="19" t="str">
        <x:v>V1</x:v>
      </x:c>
      <x:c r="I65" s="19" t="str">
        <x:v>NOT_EXPOSED_IN_REPORT</x:v>
      </x:c>
      <x:c r="J65" s="31" t="str">
        <x:v>S1988-HANSEN</x:v>
      </x:c>
      <x:c r="K65" s="31" t="str">
        <x:v>RECONSTRUCTED_FROM_REPORT; Fear of Temperature_ Stratified Lexical Expansion, Voice Mapping, and Semantic-Relational Pre-Valida.pdf; p.9; project candidate FT-SEED-R1B-P-1988-01; original visible ID not available</x:v>
      </x:c>
      <x:c r="L65" s="31" t="str">
        <x:v>SUCCEEDED_REUSED_BASELINE</x:v>
      </x:c>
      <x:c r="M65" s="31" t="str">
        <x:v>greenhouse effect</x:v>
      </x:c>
      <x:c r="N65" s="31" t="str">
        <x:v>EXACT</x:v>
      </x:c>
      <x:c r="O65" s="19" t="str">
        <x:v>1843</x:v>
      </x:c>
      <x:c r="P65" s="19" t="str">
        <x:v>1990</x:v>
      </x:c>
      <x:c r="Q65" s="46" t="n">
        <x:v>0.0000019607200425764137</x:v>
      </x:c>
      <x:c r="R65" s="46" t="n">
        <x:v>0.0000010860151045330446</x:v>
      </x:c>
      <x:c r="S65" s="46" t="n">
        <x:v>0.0000011813752772843467</x:v>
      </x:c>
      <x:c r="T65" s="46" t="n">
        <x:v>4.5310465940362477e-7</x:v>
      </x:c>
      <x:c r="U65" s="31" t="str">
        <x:v>Candidate surface form is directly representable in the public Ngram interface. Complete 1842–2022 unsmoothed series reused from the audited quantitative-v0.1 baseline.</x:v>
      </x:c>
      <x:c r="V65" s="31" t="str">
        <x:v>TECHNICAL_GLOSSARY</x:v>
      </x:c>
      <x:c r="W65" s="31" t="str">
        <x:v>IPCC climate-science glossary / assessment terminology</x:v>
      </x:c>
      <x:c r="X65" s="31" t="str">
        <x:v>A climatic, atmospheric, meteorological, or causal-science sense in the documented anchor context.</x:v>
      </x:c>
      <x:c r="Y65" s="31" t="str">
        <x:v>The atmospheric warming influence produced when greenhouse gases absorb and re-emit outgoing infrared radiation.</x:v>
      </x:c>
      <x:c r="Z65" s="31" t="str">
        <x:v>STRONG</x:v>
      </x:c>
      <x:c r="AA65" s="19" t="str">
        <x:v>The surface form may realize multiple senses; candidate meaning remains anchored to the report-visible source context.</x:v>
      </x:c>
      <x:c r="AB65" s="31" t="str">
        <x:v>Secondary: Component headword checked: effect.; historical: Anchor-period research source/context; Webster 1913 stable component URL recorded but automated page retrieval was unavailable; source: https://www.ipcc.ch/site/assets/uploads/2018/02/WGIIAR5-AnnexII_FINAL.pdf; https://api.dictionaryapi.dev/api/v2/entries/en/greenhouse%20effect; https://websters1913.timcieplowski.com/word/effect/</x:v>
      </x:c>
      <x:c r="AC65" s="31" t="str">
        <x:v>INTERNET_ARCHIVE_METADATA_TEXT_ITEM_COUNT</x:v>
      </x:c>
      <x:c r="AD65" s="19" t="str">
        <x:v>"greenhouse effect" AND mediatype:texts</x:v>
      </x:c>
      <x:c r="AE65" s="31" t="str">
        <x:v>EXACT_PHRASE</x:v>
      </x:c>
      <x:c r="AF65" s="31" t="str">
        <x:v>COMPLETED_NONZERO</x:v>
      </x:c>
      <x:c r="AG65" s="25" t="n">
        <x:v>1441</x:v>
      </x:c>
      <x:c r="AH65" s="25" t="n">
        <x:v>156</x:v>
      </x:c>
      <x:c r="AI65" s="19" t="str">
        <x:v>2026-08-26</x:v>
      </x:c>
      <x:c r="AJ65" s="31" t="str">
        <x:v>Metadata text-item count; not a full-text lexical frequency. Secondary metric: NOT_RUN_OPENALEX_DAILY_BUDGET_EXHAUSTED: shared provider response retained; no count fabricated.</x:v>
      </x:c>
      <x:c r="AK65" s="31" t="str">
        <x:v>FULLY_COVERED</x:v>
      </x:c>
      <x:c r="AL65" s="19" t="str">
        <x:v>PENDING_SOURCE_REVIEW</x:v>
      </x:c>
      <x:c r="AM65" s="20" t="str">
        <x:v>MEDIUM</x:v>
      </x:c>
    </x:row>
    <x:row r="66" ht="34" customHeight="1">
      <x:c r="A66" s="40" t="str">
        <x:v>FT-SEED-R1B-P-1988-02</x:v>
      </x:c>
      <x:c r="B66" s="19" t="str">
        <x:v>1988</x:v>
      </x:c>
      <x:c r="C66" s="25" t="n">
        <x:v>2</x:v>
      </x:c>
      <x:c r="D66" s="31" t="str">
        <x:v>global warming</x:v>
      </x:c>
      <x:c r="E66" s="31" t="str">
        <x:v>global warming as issue label</x:v>
      </x:c>
      <x:c r="F66" s="31" t="str">
        <x:v>warming</x:v>
      </x:c>
      <x:c r="G66" s="19" t="str">
        <x:v>A</x:v>
      </x:c>
      <x:c r="H66" s="19" t="str">
        <x:v>V1</x:v>
      </x:c>
      <x:c r="I66" s="19" t="str">
        <x:v>NOT_EXPOSED_IN_REPORT</x:v>
      </x:c>
      <x:c r="J66" s="31" t="str">
        <x:v>S1988-HANSEN</x:v>
      </x:c>
      <x:c r="K66" s="31" t="str">
        <x:v>RECONSTRUCTED_FROM_REPORT; Fear of Temperature_ Stratified Lexical Expansion, Voice Mapping, and Semantic-Relational Pre-Valida.pdf; p.9; project candidate FT-SEED-R1B-P-1988-02; original visible ID not available</x:v>
      </x:c>
      <x:c r="L66" s="31" t="str">
        <x:v>SUCCEEDED_REUSED_BASELINE</x:v>
      </x:c>
      <x:c r="M66" s="31" t="str">
        <x:v>global warming</x:v>
      </x:c>
      <x:c r="N66" s="31" t="str">
        <x:v>EXACT</x:v>
      </x:c>
      <x:c r="O66" s="19" t="str">
        <x:v>1843</x:v>
      </x:c>
      <x:c r="P66" s="19" t="str">
        <x:v>2009</x:v>
      </x:c>
      <x:c r="Q66" s="46" t="n">
        <x:v>0.000005445639571555194</x:v>
      </x:c>
      <x:c r="R66" s="46" t="n">
        <x:v>6.400895369296222e-7</x:v>
      </x:c>
      <x:c r="S66" s="46" t="n">
        <x:v>0.0000011427371357071448</x:v>
      </x:c>
      <x:c r="T66" s="46" t="n">
        <x:v>0.000003963670369644401</x:v>
      </x:c>
      <x:c r="U66" s="31" t="str">
        <x:v>Candidate surface form is directly representable in the public Ngram interface. Complete 1842–2022 unsmoothed series reused from the audited quantitative-v0.1 baseline.</x:v>
      </x:c>
      <x:c r="V66" s="31" t="str">
        <x:v>TECHNICAL_GLOSSARY</x:v>
      </x:c>
      <x:c r="W66" s="31" t="str">
        <x:v>IPCC climate-science glossary / assessment terminology</x:v>
      </x:c>
      <x:c r="X66" s="31" t="str">
        <x:v>A physical temperature, warming, heat, or measurement sense in the documented anchor context.</x:v>
      </x:c>
      <x:c r="Y66" s="31" t="str">
        <x:v>The long-term rise in global mean surface temperature, commonly used as an established issue label in modern climate discourse.</x:v>
      </x:c>
      <x:c r="Z66" s="31" t="str">
        <x:v>STRONG</x:v>
      </x:c>
      <x:c r="AA66" s="19" t="str">
        <x:v>The surface form may realize multiple senses; candidate meaning remains anchored to the report-visible source context.</x:v>
      </x:c>
      <x:c r="AB6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66" s="31" t="str">
        <x:v>INTERNET_ARCHIVE_METADATA_TEXT_ITEM_COUNT</x:v>
      </x:c>
      <x:c r="AD66" s="19" t="str">
        <x:v>"global warming" AND mediatype:texts</x:v>
      </x:c>
      <x:c r="AE66" s="31" t="str">
        <x:v>EXACT_PHRASE</x:v>
      </x:c>
      <x:c r="AF66" s="31" t="str">
        <x:v>COMPLETED_NONZERO</x:v>
      </x:c>
      <x:c r="AG66" s="25" t="n">
        <x:v>5619</x:v>
      </x:c>
      <x:c r="AH66" s="25" t="n">
        <x:v>123</x:v>
      </x:c>
      <x:c r="AI66" s="19" t="str">
        <x:v>2026-08-26</x:v>
      </x:c>
      <x:c r="AJ66" s="31" t="str">
        <x:v>Metadata text-item count; not a full-text lexical frequency. Secondary metric: NOT_RUN_OPENALEX_DAILY_BUDGET_EXHAUSTED: shared provider response retained; no count fabricated.</x:v>
      </x:c>
      <x:c r="AK66" s="31" t="str">
        <x:v>FULLY_COVERED</x:v>
      </x:c>
      <x:c r="AL66" s="19" t="str">
        <x:v>PENDING_SOURCE_REVIEW</x:v>
      </x:c>
      <x:c r="AM66" s="20" t="str">
        <x:v>MEDIUM</x:v>
      </x:c>
    </x:row>
    <x:row r="67" ht="34" customHeight="1">
      <x:c r="A67" s="40" t="str">
        <x:v>FT-SEED-R1B-P-1988-03</x:v>
      </x:c>
      <x:c r="B67" s="19" t="str">
        <x:v>1988</x:v>
      </x:c>
      <x:c r="C67" s="25" t="n">
        <x:v>3</x:v>
      </x:c>
      <x:c r="D67" s="31" t="str">
        <x:v>earth is warmer</x:v>
      </x:c>
      <x:c r="E67" s="31" t="str">
        <x:v>temperature increase</x:v>
      </x:c>
      <x:c r="F67" s="31" t="str">
        <x:v>warming</x:v>
      </x:c>
      <x:c r="G67" s="19" t="str">
        <x:v>A</x:v>
      </x:c>
      <x:c r="H67" s="19" t="str">
        <x:v>V1</x:v>
      </x:c>
      <x:c r="I67" s="19" t="str">
        <x:v>NOT_EXPOSED_IN_REPORT</x:v>
      </x:c>
      <x:c r="J67" s="31" t="str">
        <x:v>S1988-HANSEN</x:v>
      </x:c>
      <x:c r="K67" s="31" t="str">
        <x:v>RECONSTRUCTED_FROM_REPORT; Fear of Temperature_ Stratified Lexical Expansion, Voice Mapping, and Semantic-Relational Pre-Valida.pdf; p.9; project candidate FT-SEED-R1B-P-1988-03; original visible ID not available</x:v>
      </x:c>
      <x:c r="L67" s="31" t="str">
        <x:v>SUCCEEDED_REUSED_BASELINE</x:v>
      </x:c>
      <x:c r="M67" s="31" t="str">
        <x:v>earth is warmer</x:v>
      </x:c>
      <x:c r="N67" s="31" t="str">
        <x:v>EXACT</x:v>
      </x:c>
      <x:c r="O67" s="19" t="str">
        <x:v>1844</x:v>
      </x:c>
      <x:c r="P67" s="19" t="str">
        <x:v>1857</x:v>
      </x:c>
      <x:c r="Q67" s="46" t="n">
        <x:v>1.4437074646878045e-8</x:v>
      </x:c>
      <x:c r="R67" s="46" t="n">
        <x:v>1.2433855611782008e-9</x:v>
      </x:c>
      <x:c r="S67" s="46" t="n">
        <x:v>6.124371773608139e-10</x:v>
      </x:c>
      <x:c r="T67" s="46" t="n">
        <x:v>1.7027492194010563e-9</x:v>
      </x:c>
      <x:c r="U67" s="31" t="str">
        <x:v>Candidate surface form is directly representable in the public Ngram interface. Complete 1842–2022 unsmoothed series reused from the audited quantitative-v0.1 baseline.</x:v>
      </x:c>
      <x:c r="V67" s="31" t="str">
        <x:v>NO_STANDALONE_HEADWORD</x:v>
      </x:c>
      <x:c r="W67" s="31" t="str">
        <x:v>Component lexical analysis plus anchor-source contextual meaning</x:v>
      </x:c>
      <x:c r="X67" s="31" t="str">
        <x:v>A physical temperature, warming, heat, or measurement sense in the documented anchor context.</x:v>
      </x:c>
      <x:c r="Y67" s="31" t="str">
        <x:v>An observed, estimated, or projected increase in temperature; the candidate is interpreted in its documented anchor and voice context.</x:v>
      </x:c>
      <x:c r="Z67" s="31" t="str">
        <x:v>STRONG</x:v>
      </x:c>
      <x:c r="AA67" s="19" t="str">
        <x:v>The surface form may realize multiple senses; candidate meaning remains anchored to the report-visible source context.</x:v>
      </x:c>
      <x:c r="AB67" s="31" t="str">
        <x:v>Secondary: Component headword checked: warmer.;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https://api.dictionaryapi.dev/api/v2/entries/en/earth%20is%20warmer; https://websters1913.timcieplowski.com/word/warmer/</x:v>
      </x:c>
      <x:c r="AC67" s="31" t="str">
        <x:v>INTERNET_ARCHIVE_METADATA_TEXT_ITEM_COUNT</x:v>
      </x:c>
      <x:c r="AD67" s="19" t="str">
        <x:v>"earth is warmer" AND mediatype:texts</x:v>
      </x:c>
      <x:c r="AE67" s="31" t="str">
        <x:v>EXACT_PHRASE</x:v>
      </x:c>
      <x:c r="AF67" s="31" t="str">
        <x:v>COMPLETED_ZERO</x:v>
      </x:c>
      <x:c r="AG67" s="25" t="n">
        <x:v>0</x:v>
      </x:c>
      <x:c r="AH67" s="25" t="n">
        <x:v>0</x:v>
      </x:c>
      <x:c r="AI67" s="19" t="str">
        <x:v>2026-08-26</x:v>
      </x:c>
      <x:c r="AJ67" s="31" t="str">
        <x:v>Metadata text-item count; not a full-text lexical frequency. Secondary metric: NOT_RUN_OPENALEX_DAILY_BUDGET_EXHAUSTED: shared provider response retained; no count fabricated.</x:v>
      </x:c>
      <x:c r="AK67" s="31" t="str">
        <x:v>FULLY_COVERED</x:v>
      </x:c>
      <x:c r="AL67" s="19" t="str">
        <x:v>PENDING_SOURCE_REVIEW</x:v>
      </x:c>
      <x:c r="AM67" s="20" t="str">
        <x:v>MEDIUM</x:v>
      </x:c>
    </x:row>
    <x:row r="68" ht="34" customHeight="1">
      <x:c r="A68" s="40" t="str">
        <x:v>FT-SEED-R1B-P-1988-04</x:v>
      </x:c>
      <x:c r="B68" s="19" t="str">
        <x:v>1988</x:v>
      </x:c>
      <x:c r="C68" s="25" t="n">
        <x:v>4</x:v>
      </x:c>
      <x:c r="D68" s="31" t="str">
        <x:v>instrumental measurements</x:v>
      </x:c>
      <x:c r="E68" s="31" t="str">
        <x:v>historical climate / climatological condition</x:v>
      </x:c>
      <x:c r="F68" s="31" t="str">
        <x:v>climate</x:v>
      </x:c>
      <x:c r="G68" s="19" t="str">
        <x:v>B</x:v>
      </x:c>
      <x:c r="H68" s="19" t="str">
        <x:v>V1</x:v>
      </x:c>
      <x:c r="I68" s="19" t="str">
        <x:v>NOT_EXPOSED_IN_REPORT</x:v>
      </x:c>
      <x:c r="J68" s="31" t="str">
        <x:v>S1988-HANSEN</x:v>
      </x:c>
      <x:c r="K68" s="31" t="str">
        <x:v>RECONSTRUCTED_FROM_REPORT; Fear of Temperature_ Stratified Lexical Expansion, Voice Mapping, and Semantic-Relational Pre-Valida.pdf; p.9; project candidate FT-SEED-R1B-P-1988-04; original visible ID not available</x:v>
      </x:c>
      <x:c r="L68" s="31" t="str">
        <x:v>SUCCEEDED_REUSED_BASELINE</x:v>
      </x:c>
      <x:c r="M68" s="31" t="str">
        <x:v>instrumental measurements</x:v>
      </x:c>
      <x:c r="N68" s="31" t="str">
        <x:v>EXACT</x:v>
      </x:c>
      <x:c r="O68" s="19" t="str">
        <x:v>1844</x:v>
      </x:c>
      <x:c r="P68" s="19" t="str">
        <x:v>1974</x:v>
      </x:c>
      <x:c r="Q68" s="46" t="n">
        <x:v>1.8620491870624534e-8</x:v>
      </x:c>
      <x:c r="R68" s="46" t="n">
        <x:v>6.959104164455665e-9</x:v>
      </x:c>
      <x:c r="S68" s="46" t="n">
        <x:v>9.169332604308522e-9</x:v>
      </x:c>
      <x:c r="T68" s="46" t="n">
        <x:v>8.892212299826951e-9</x:v>
      </x:c>
      <x:c r="U68" s="31" t="str">
        <x:v>Candidate surface form is directly representable in the public Ngram interface. Complete 1842–2022 unsmoothed series reused from the audited quantitative-v0.1 baseline.</x:v>
      </x:c>
      <x:c r="V68" s="31" t="str">
        <x:v>NO_STANDALONE_HEADWORD</x:v>
      </x:c>
      <x:c r="W68" s="31" t="str">
        <x:v>Component lexical analysis plus anchor-source contextual meaning</x:v>
      </x:c>
      <x:c r="X68" s="31" t="str">
        <x:v>A climatic, atmospheric, meteorological, or causal-science sense in the documented anchor context.</x:v>
      </x:c>
      <x:c r="Y68" s="31" t="str">
        <x:v>Climate as a historical, geographical, seasonal, or climatological condition; the candidate is interpreted in its documented anchor and voice context.</x:v>
      </x:c>
      <x:c r="Z68" s="31" t="str">
        <x:v>STRONG</x:v>
      </x:c>
      <x:c r="AA68" s="19" t="str">
        <x:v>The surface form may realize multiple senses; candidate meaning remains anchored to the report-visible source context.</x:v>
      </x:c>
      <x:c r="AB68" s="31" t="str">
        <x:v>Secondary: Component headword checked: measurements.;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https://api.dictionaryapi.dev/api/v2/entries/en/instrumental%20measurements; https://websters1913.timcieplowski.com/word/measurements/</x:v>
      </x:c>
      <x:c r="AC68" s="31" t="str">
        <x:v>INTERNET_ARCHIVE_METADATA_TEXT_ITEM_COUNT</x:v>
      </x:c>
      <x:c r="AD68" s="19" t="str">
        <x:v>"instrumental measurements" AND mediatype:texts</x:v>
      </x:c>
      <x:c r="AE68" s="31" t="str">
        <x:v>EXACT_PHRASE</x:v>
      </x:c>
      <x:c r="AF68" s="31" t="str">
        <x:v>COMPLETED_NONZERO</x:v>
      </x:c>
      <x:c r="AG68" s="25" t="n">
        <x:v>13</x:v>
      </x:c>
      <x:c r="AH68" s="25" t="n">
        <x:v>1</x:v>
      </x:c>
      <x:c r="AI68" s="19" t="str">
        <x:v>2026-08-26</x:v>
      </x:c>
      <x:c r="AJ68" s="31" t="str">
        <x:v>Metadata text-item count; not a full-text lexical frequency. Secondary metric: NOT_RUN_OPENALEX_DAILY_BUDGET_EXHAUSTED: shared provider response retained; no count fabricated.</x:v>
      </x:c>
      <x:c r="AK68" s="31" t="str">
        <x:v>FULLY_COVERED</x:v>
      </x:c>
      <x:c r="AL68" s="19" t="str">
        <x:v>PENDING_SOURCE_REVIEW</x:v>
      </x:c>
      <x:c r="AM68" s="20" t="str">
        <x:v>MEDIUM</x:v>
      </x:c>
    </x:row>
    <x:row r="69" ht="34" customHeight="1">
      <x:c r="A69" s="40" t="str">
        <x:v>FT-SEED-R1B-P-1988-05</x:v>
      </x:c>
      <x:c r="B69" s="19" t="str">
        <x:v>1988</x:v>
      </x:c>
      <x:c r="C69" s="25" t="n">
        <x:v>5</x:v>
      </x:c>
      <x:c r="D69" s="31" t="str">
        <x:v>cause-and-effect relationship</x:v>
      </x:c>
      <x:c r="E69" s="31" t="str">
        <x:v>generic damage</x:v>
      </x:c>
      <x:c r="F69" s="31" t="str">
        <x:v>harm_loss_consequences</x:v>
      </x:c>
      <x:c r="G69" s="19" t="str">
        <x:v>B</x:v>
      </x:c>
      <x:c r="H69" s="19" t="str">
        <x:v>V1</x:v>
      </x:c>
      <x:c r="I69" s="19" t="str">
        <x:v>NOT_EXPOSED_IN_REPORT</x:v>
      </x:c>
      <x:c r="J69" s="31" t="str">
        <x:v>S1988-HANSEN</x:v>
      </x:c>
      <x:c r="K69" s="31" t="str">
        <x:v>RECONSTRUCTED_FROM_REPORT; Fear of Temperature_ Stratified Lexical Expansion, Voice Mapping, and Semantic-Relational Pre-Valida.pdf; p.9; project candidate FT-SEED-R1B-P-1988-05; original visible ID not available</x:v>
      </x:c>
      <x:c r="L69" s="31" t="str">
        <x:v>SUCCEEDED_REUSED_BASELINE</x:v>
      </x:c>
      <x:c r="M69" s="31" t="str">
        <x:v>cause-and-effect relationship</x:v>
      </x:c>
      <x:c r="N69" s="31" t="str">
        <x:v>EXACT</x:v>
      </x:c>
      <x:c r="O69" s="19" t="str">
        <x:v>1870</x:v>
      </x:c>
      <x:c r="P69" s="19" t="str">
        <x:v>2011</x:v>
      </x:c>
      <x:c r="Q69" s="46" t="n">
        <x:v>1.3955706246182586e-7</x:v>
      </x:c>
      <x:c r="R69" s="46" t="n">
        <x:v>1.0407409367640952e-7</x:v>
      </x:c>
      <x:c r="S69" s="46" t="n">
        <x:v>1.0096391321601228e-7</x:v>
      </x:c>
      <x:c r="T69" s="46" t="n">
        <x:v>1.0467785772905192e-7</x:v>
      </x:c>
      <x:c r="U69" s="31" t="str">
        <x:v>Candidate surface form is directly representable in the public Ngram interface. Complete 1842–2022 unsmoothed series reused from the audited quantitative-v0.1 baseline.</x:v>
      </x:c>
      <x:c r="V69" s="31" t="str">
        <x:v>NO_STANDALONE_HEADWORD</x:v>
      </x:c>
      <x:c r="W69" s="31" t="str">
        <x:v>Component lexical analysis plus anchor-source contextual meaning</x:v>
      </x:c>
      <x:c r="X69" s="31" t="str">
        <x:v>A climatic, atmospheric, meteorological, or causal-science sense in the documented anchor context.</x:v>
      </x:c>
      <x:c r="Y69" s="31" t="str">
        <x:v>Generic material, ecological, or social damage; the candidate is interpreted in its documented anchor and voice context.</x:v>
      </x:c>
      <x:c r="Z69" s="31" t="str">
        <x:v>STRONG</x:v>
      </x:c>
      <x:c r="AA69" s="19" t="str">
        <x:v>The surface form may realize multiple senses; candidate meaning remains anchored to the report-visible source context.</x:v>
      </x:c>
      <x:c r="AB69" s="31" t="str">
        <x:v>Secondary: Component headword checked: relationship.;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https://api.dictionaryapi.dev/api/v2/entries/en/cause-and-effect%20relationship; https://websters1913.timcieplowski.com/word/relationship/</x:v>
      </x:c>
      <x:c r="AC69" s="31" t="str">
        <x:v>INTERNET_ARCHIVE_METADATA_TEXT_ITEM_COUNT</x:v>
      </x:c>
      <x:c r="AD69" s="19" t="str">
        <x:v>"cause-and-effect relationship" AND mediatype:texts</x:v>
      </x:c>
      <x:c r="AE69" s="31" t="str">
        <x:v>EXACT_PHRASE</x:v>
      </x:c>
      <x:c r="AF69" s="31" t="str">
        <x:v>COMPLETED_NONZERO</x:v>
      </x:c>
      <x:c r="AG69" s="25" t="n">
        <x:v>118</x:v>
      </x:c>
      <x:c r="AH69" s="25" t="n">
        <x:v>9</x:v>
      </x:c>
      <x:c r="AI69" s="19" t="str">
        <x:v>2026-08-26</x:v>
      </x:c>
      <x:c r="AJ69" s="31" t="str">
        <x:v>Metadata text-item count; not a full-text lexical frequency. Secondary metric: Scholarly work discoverability count over OpenAlex search fields; not a corpus word frequency.</x:v>
      </x:c>
      <x:c r="AK69" s="31" t="str">
        <x:v>FULLY_COVERED</x:v>
      </x:c>
      <x:c r="AL69" s="19" t="str">
        <x:v>PENDING_SOURCE_REVIEW</x:v>
      </x:c>
      <x:c r="AM69" s="20" t="str">
        <x:v>MEDIUM</x:v>
      </x:c>
    </x:row>
    <x:row r="70" ht="34" customHeight="1">
      <x:c r="A70" s="40" t="str">
        <x:v>FT-SEED-R1B-P-1988-06</x:v>
      </x:c>
      <x:c r="B70" s="19" t="str">
        <x:v>1988</x:v>
      </x:c>
      <x:c r="C70" s="25" t="n">
        <x:v>6</x:v>
      </x:c>
      <x:c r="D70" s="31" t="str">
        <x:v>global temperature</x:v>
      </x:c>
      <x:c r="E70" s="31" t="str">
        <x:v>global aggregate temperature</x:v>
      </x:c>
      <x:c r="F70" s="31" t="str">
        <x:v>temperature_threshold</x:v>
      </x:c>
      <x:c r="G70" s="19" t="str">
        <x:v>A</x:v>
      </x:c>
      <x:c r="H70" s="19" t="str">
        <x:v>V1</x:v>
      </x:c>
      <x:c r="I70" s="19" t="str">
        <x:v>NOT_EXPOSED_IN_REPORT</x:v>
      </x:c>
      <x:c r="J70" s="31" t="str">
        <x:v>S1988-HANSEN</x:v>
      </x:c>
      <x:c r="K70" s="31" t="str">
        <x:v>RECONSTRUCTED_FROM_REPORT; Fear of Temperature_ Stratified Lexical Expansion, Voice Mapping, and Semantic-Relational Pre-Valida.pdf; p.9; project candidate FT-SEED-R1B-P-1988-06; original visible ID not available</x:v>
      </x:c>
      <x:c r="L70" s="31" t="str">
        <x:v>SUCCEEDED_REUSED_BASELINE</x:v>
      </x:c>
      <x:c r="M70" s="31" t="str">
        <x:v>global temperature</x:v>
      </x:c>
      <x:c r="N70" s="31" t="str">
        <x:v>EXACT</x:v>
      </x:c>
      <x:c r="O70" s="19" t="str">
        <x:v>1843</x:v>
      </x:c>
      <x:c r="P70" s="19" t="str">
        <x:v>2022</x:v>
      </x:c>
      <x:c r="Q70" s="46" t="n">
        <x:v>3.1405876510515185e-7</x:v>
      </x:c>
      <x:c r="R70" s="46" t="n">
        <x:v>1.1016113932171834e-7</x:v>
      </x:c>
      <x:c r="S70" s="46" t="n">
        <x:v>1.0545273128742539e-7</x:v>
      </x:c>
      <x:c r="T70" s="46" t="n">
        <x:v>3.1405876510515185e-7</x:v>
      </x:c>
      <x:c r="U70" s="31" t="str">
        <x:v>Candidate surface form is directly representable in the public Ngram interface. Complete 1842–2022 unsmoothed series reused from the audited quantitative-v0.1 baseline.</x:v>
      </x:c>
      <x:c r="V70" s="31" t="str">
        <x:v>TECHNICAL_GLOSSARY</x:v>
      </x:c>
      <x:c r="W70" s="31" t="str">
        <x:v>IPCC climate-science glossary / assessment terminology</x:v>
      </x:c>
      <x:c r="X70" s="31" t="str">
        <x:v>A physical temperature, warming, heat, or measurement sense in the documented anchor context.</x:v>
      </x:c>
      <x:c r="Y70" s="31" t="str">
        <x:v>A global-scale aggregate temperature metric; the candidate is interpreted in its documented anchor and voice context.</x:v>
      </x:c>
      <x:c r="Z70" s="31" t="str">
        <x:v>STRONG</x:v>
      </x:c>
      <x:c r="AA70" s="19" t="str">
        <x:v>The surface form may realize multiple senses; candidate meaning remains anchored to the report-visible source context.</x:v>
      </x:c>
      <x:c r="AB70"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https://api.dictionaryapi.dev/api/v2/entries/en/global%20temperature; https://websters1913.timcieplowski.com/word/temperature/</x:v>
      </x:c>
      <x:c r="AC70" s="31" t="str">
        <x:v>INTERNET_ARCHIVE_METADATA_TEXT_ITEM_COUNT</x:v>
      </x:c>
      <x:c r="AD70" s="19" t="str">
        <x:v>"global temperature" AND mediatype:texts</x:v>
      </x:c>
      <x:c r="AE70" s="31" t="str">
        <x:v>EXACT_PHRASE</x:v>
      </x:c>
      <x:c r="AF70" s="31" t="str">
        <x:v>COMPLETED_NONZERO</x:v>
      </x:c>
      <x:c r="AG70" s="25" t="n">
        <x:v>328</x:v>
      </x:c>
      <x:c r="AH70" s="25" t="n">
        <x:v>18</x:v>
      </x:c>
      <x:c r="AI70" s="19" t="str">
        <x:v>2026-08-26</x:v>
      </x:c>
      <x:c r="AJ70" s="31" t="str">
        <x:v>Metadata text-item count; not a full-text lexical frequency. Secondary metric: NOT_RUN_OPENALEX_DAILY_BUDGET_EXHAUSTED: shared provider response retained; no count fabricated.</x:v>
      </x:c>
      <x:c r="AK70" s="31" t="str">
        <x:v>FULLY_COVERED</x:v>
      </x:c>
      <x:c r="AL70" s="19" t="str">
        <x:v>PENDING_SOURCE_REVIEW</x:v>
      </x:c>
      <x:c r="AM70" s="20" t="str">
        <x:v>MEDIUM</x:v>
      </x:c>
    </x:row>
    <x:row r="71" ht="34" customHeight="1">
      <x:c r="A71" s="40" t="str">
        <x:v>FT-SEED-R1B-P-1988-07</x:v>
      </x:c>
      <x:c r="B71" s="19" t="str">
        <x:v>1988</x:v>
      </x:c>
      <x:c r="C71" s="25" t="n">
        <x:v>7</x:v>
      </x:c>
      <x:c r="D71" s="31" t="str">
        <x:v>regional heat waves</x:v>
      </x:c>
      <x:c r="E71" s="31" t="str">
        <x:v>heatwave / weather event</x:v>
      </x:c>
      <x:c r="F71" s="31" t="str">
        <x:v>heat</x:v>
      </x:c>
      <x:c r="G71" s="19" t="str">
        <x:v>A</x:v>
      </x:c>
      <x:c r="H71" s="19" t="str">
        <x:v>V1</x:v>
      </x:c>
      <x:c r="I71" s="19" t="str">
        <x:v>NOT_EXPOSED_IN_REPORT</x:v>
      </x:c>
      <x:c r="J71" s="31" t="str">
        <x:v>S1988-HANSEN</x:v>
      </x:c>
      <x:c r="K71" s="31" t="str">
        <x:v>RECONSTRUCTED_FROM_REPORT; Fear of Temperature_ Stratified Lexical Expansion, Voice Mapping, and Semantic-Relational Pre-Valida.pdf; p.9; project candidate FT-SEED-R1B-P-1988-07; original visible ID not available</x:v>
      </x:c>
      <x:c r="L71" s="31" t="str">
        <x:v>SUCCEEDED_REUSED_BASELINE</x:v>
      </x:c>
      <x:c r="M71" s="31" t="str">
        <x:v>regional heat waves</x:v>
      </x:c>
      <x:c r="N71" s="31" t="str">
        <x:v>EXACT</x:v>
      </x:c>
      <x:c r="O71" s="19" t="str">
        <x:v>1954</x:v>
      </x:c>
      <x:c r="P71" s="19" t="str">
        <x:v>1990</x:v>
      </x:c>
      <x:c r="Q71" s="46" t="n">
        <x:v>2.8410911401266503e-9</x:v>
      </x:c>
      <x:c r="R71" s="46" t="n">
        <x:v>7.0278316499639e-10</x:v>
      </x:c>
      <x:c r="S71" s="46" t="n">
        <x:v>1.1086871302967705e-9</x:v>
      </x:c>
      <x:c r="T71" s="46" t="n">
        <x:v>4.729858865681891e-11</x:v>
      </x:c>
      <x:c r="U71" s="31" t="str">
        <x:v>Candidate surface form is directly representable in the public Ngram interface. Complete 1842–2022 unsmoothed series reused from the audited quantitative-v0.1 baseline.</x:v>
      </x:c>
      <x:c r="V71" s="31" t="str">
        <x:v>TECHNICAL_GLOSSARY</x:v>
      </x:c>
      <x:c r="W71" s="31" t="str">
        <x:v>IPCC climate-science glossary / assessment terminology</x:v>
      </x:c>
      <x:c r="X71" s="31" t="str">
        <x:v>A physical temperature, warming, heat, or measurement sense in the documented anchor context.</x:v>
      </x:c>
      <x:c r="Y71" s="31" t="str">
        <x:v>A bounded hot-weather or heatwave event; the candidate is interpreted in its documented anchor and voice context.</x:v>
      </x:c>
      <x:c r="Z71" s="31" t="str">
        <x:v>STRONG</x:v>
      </x:c>
      <x:c r="AA71" s="19" t="str">
        <x:v>The surface form may realize multiple senses; candidate meaning remains anchored to the report-visible source context.</x:v>
      </x:c>
      <x:c r="AB71" s="31" t="str">
        <x:v>Secondary: Component headword checked: waves.; historical: Anchor-period research source/context; Webster 1913 stable component URL recorded but automated page retrieval was unavailable; source: https://www.ipcc.ch/site/assets/uploads/2018/02/WGIIAR5-AnnexII_FINAL.pdf; https://api.dictionaryapi.dev/api/v2/entries/en/regional%20heat%20waves; https://websters1913.timcieplowski.com/word/waves/</x:v>
      </x:c>
      <x:c r="AC71" s="31" t="str">
        <x:v>INTERNET_ARCHIVE_METADATA_TEXT_ITEM_COUNT</x:v>
      </x:c>
      <x:c r="AD71" s="19" t="str">
        <x:v>"regional heat waves" AND mediatype:texts</x:v>
      </x:c>
      <x:c r="AE71" s="31" t="str">
        <x:v>EXACT_PHRASE</x:v>
      </x:c>
      <x:c r="AF71" s="31" t="str">
        <x:v>COMPLETED_ZERO</x:v>
      </x:c>
      <x:c r="AG71" s="25" t="n">
        <x:v>0</x:v>
      </x:c>
      <x:c r="AH71" s="25" t="n">
        <x:v>0</x:v>
      </x:c>
      <x:c r="AI71" s="19" t="str">
        <x:v>2026-08-26</x:v>
      </x:c>
      <x:c r="AJ71" s="31" t="str">
        <x:v>Metadata text-item count; not a full-text lexical frequency. Secondary metric: NOT_RUN_OPENALEX_DAILY_BUDGET_EXHAUSTED: shared provider response retained; no count fabricated.</x:v>
      </x:c>
      <x:c r="AK71" s="31" t="str">
        <x:v>FULLY_COVERED</x:v>
      </x:c>
      <x:c r="AL71" s="19" t="str">
        <x:v>PENDING_SOURCE_REVIEW</x:v>
      </x:c>
      <x:c r="AM71" s="20" t="str">
        <x:v>MEDIUM</x:v>
      </x:c>
    </x:row>
    <x:row r="72" ht="34" customHeight="1">
      <x:c r="A72" s="40" t="str">
        <x:v>FT-SEED-R1B-P-1988-08</x:v>
      </x:c>
      <x:c r="B72" s="19" t="str">
        <x:v>1988</x:v>
      </x:c>
      <x:c r="C72" s="25" t="n">
        <x:v>8</x:v>
      </x:c>
      <x:c r="D72" s="31" t="str">
        <x:v>heat wave</x:v>
      </x:c>
      <x:c r="E72" s="31" t="str">
        <x:v>heatwave / weather event</x:v>
      </x:c>
      <x:c r="F72" s="31" t="str">
        <x:v>heat</x:v>
      </x:c>
      <x:c r="G72" s="19" t="str">
        <x:v>A</x:v>
      </x:c>
      <x:c r="H72" s="19" t="str">
        <x:v>V1</x:v>
      </x:c>
      <x:c r="I72" s="19" t="str">
        <x:v>NOT_EXPOSED_IN_REPORT</x:v>
      </x:c>
      <x:c r="J72" s="31" t="str">
        <x:v>S1988-HANSEN</x:v>
      </x:c>
      <x:c r="K72" s="31" t="str">
        <x:v>RECONSTRUCTED_FROM_REPORT; Fear of Temperature_ Stratified Lexical Expansion, Voice Mapping, and Semantic-Relational Pre-Valida.pdf; p.9; project candidate FT-SEED-R1B-P-1988-08; original visible ID not available</x:v>
      </x:c>
      <x:c r="L72" s="31" t="str">
        <x:v>SUCCEEDED_REUSED_BASELINE</x:v>
      </x:c>
      <x:c r="M72" s="31" t="str">
        <x:v>heat wave</x:v>
      </x:c>
      <x:c r="N72" s="31" t="str">
        <x:v>EXACT</x:v>
      </x:c>
      <x:c r="O72" s="19" t="str">
        <x:v>1842</x:v>
      </x:c>
      <x:c r="P72" s="19" t="str">
        <x:v>2020</x:v>
      </x:c>
      <x:c r="Q72" s="46" t="n">
        <x:v>3.703185072062576e-7</x:v>
      </x:c>
      <x:c r="R72" s="46" t="n">
        <x:v>1.7180597014498922e-7</x:v>
      </x:c>
      <x:c r="S72" s="46" t="n">
        <x:v>1.5487749849552036e-7</x:v>
      </x:c>
      <x:c r="T72" s="46" t="n">
        <x:v>3.0065411360524763e-7</x:v>
      </x:c>
      <x:c r="U72" s="31" t="str">
        <x:v>Candidate surface form is directly representable in the public Ngram interface. Complete 1842–2022 unsmoothed series reused from the audited quantitative-v0.1 baseline.</x:v>
      </x:c>
      <x:c r="V72" s="31" t="str">
        <x:v>NO_STANDALONE_HEADWORD</x:v>
      </x:c>
      <x:c r="W72" s="31" t="str">
        <x:v>Component lexical analysis plus anchor-source contextual meaning</x:v>
      </x:c>
      <x:c r="X72" s="31" t="str">
        <x:v>A physical temperature, warming, heat, or measurement sense in the documented anchor context.</x:v>
      </x:c>
      <x:c r="Y72" s="31" t="str">
        <x:v>A bounded hot-weather or heatwave event; the candidate is interpreted in its documented anchor and voice context.</x:v>
      </x:c>
      <x:c r="Z72" s="31" t="str">
        <x:v>STRONG</x:v>
      </x:c>
      <x:c r="AA72" s="19" t="str">
        <x:v>The surface form may realize multiple senses; candidate meaning remains anchored to the report-visible source context.</x:v>
      </x:c>
      <x:c r="AB72"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72" s="31" t="str">
        <x:v>INTERNET_ARCHIVE_METADATA_TEXT_ITEM_COUNT</x:v>
      </x:c>
      <x:c r="AD72" s="19" t="str">
        <x:v>"heat wave" AND mediatype:texts</x:v>
      </x:c>
      <x:c r="AE72" s="31" t="str">
        <x:v>EXACT_PHRASE</x:v>
      </x:c>
      <x:c r="AF72" s="31" t="str">
        <x:v>COMPLETED_NONZERO</x:v>
      </x:c>
      <x:c r="AG72" s="25" t="n">
        <x:v>957</x:v>
      </x:c>
      <x:c r="AH72" s="25" t="n">
        <x:v>64</x:v>
      </x:c>
      <x:c r="AI72" s="19" t="str">
        <x:v>2026-08-26</x:v>
      </x:c>
      <x:c r="AJ72" s="31" t="str">
        <x:v>Metadata text-item count; not a full-text lexical frequency. Secondary metric: NOT_RUN_OPENALEX_DAILY_BUDGET_EXHAUSTED: shared provider response retained; no count fabricated.</x:v>
      </x:c>
      <x:c r="AK72" s="31" t="str">
        <x:v>FULLY_COVERED</x:v>
      </x:c>
      <x:c r="AL72" s="19" t="str">
        <x:v>PENDING_SOURCE_REVIEW</x:v>
      </x:c>
      <x:c r="AM72" s="20" t="str">
        <x:v>MEDIUM</x:v>
      </x:c>
    </x:row>
    <x:row r="73" ht="34" customHeight="1">
      <x:c r="A73" s="40" t="str">
        <x:v>FT-SEED-R1B-P-1988-09</x:v>
      </x:c>
      <x:c r="B73" s="19" t="str">
        <x:v>1988</x:v>
      </x:c>
      <x:c r="C73" s="25" t="n">
        <x:v>9</x:v>
      </x:c>
      <x:c r="D73" s="31" t="str">
        <x:v>drought</x:v>
      </x:c>
      <x:c r="E73" s="31" t="str">
        <x:v>generic damage</x:v>
      </x:c>
      <x:c r="F73" s="31" t="str">
        <x:v>harm_loss_consequences</x:v>
      </x:c>
      <x:c r="G73" s="19" t="str">
        <x:v>D</x:v>
      </x:c>
      <x:c r="H73" s="19" t="str">
        <x:v>V1</x:v>
      </x:c>
      <x:c r="I73" s="19" t="str">
        <x:v>NOT_EXPOSED_IN_REPORT</x:v>
      </x:c>
      <x:c r="J73" s="31" t="str">
        <x:v>S1988-HANSEN</x:v>
      </x:c>
      <x:c r="K73" s="31" t="str">
        <x:v>RECONSTRUCTED_FROM_REPORT; Fear of Temperature_ Stratified Lexical Expansion, Voice Mapping, and Semantic-Relational Pre-Valida.pdf; p.9; project candidate FT-SEED-R1B-P-1988-09; original visible ID not available</x:v>
      </x:c>
      <x:c r="L73" s="31" t="str">
        <x:v>SUCCEEDED_REUSED_BASELINE</x:v>
      </x:c>
      <x:c r="M73" s="31" t="str">
        <x:v>drought</x:v>
      </x:c>
      <x:c r="N73" s="31" t="str">
        <x:v>EXACT</x:v>
      </x:c>
      <x:c r="O73" s="19" t="str">
        <x:v>1842</x:v>
      </x:c>
      <x:c r="P73" s="19" t="str">
        <x:v>1934</x:v>
      </x:c>
      <x:c r="Q73" s="46" t="n">
        <x:v>0.000014142492887003755</x:v>
      </x:c>
      <x:c r="R73" s="46" t="n">
        <x:v>0.00001090940310177757</x:v>
      </x:c>
      <x:c r="S73" s="46" t="n">
        <x:v>0.000009547862759973214</x:v>
      </x:c>
      <x:c r="T73" s="46" t="n">
        <x:v>0.000008803938708723535</x:v>
      </x:c>
      <x:c r="U73" s="31" t="str">
        <x:v>Candidate surface form is directly representable in the public Ngram interface. Complete 1842–2022 unsmoothed series reused from the audited quantitative-v0.1 baseline.</x:v>
      </x:c>
      <x:c r="V73" s="31" t="str">
        <x:v>DIRECT_HEADWORD</x:v>
      </x:c>
      <x:c r="W73" s="31" t="str">
        <x:v>Webster's Revised Unabridged Dictionary (1913 public-domain headword index)</x:v>
      </x:c>
      <x:c r="X73" s="31" t="str">
        <x:v>A threat, risk, harm, severity, or consequence sense in the documented source; it is not automatically an emotion.</x:v>
      </x:c>
      <x:c r="Y73" s="31" t="str">
        <x:v>Generic material, ecological, or social damage; the candidate is interpreted in its documented anchor and voice context.</x:v>
      </x:c>
      <x:c r="Z73" s="31" t="str">
        <x:v>STRONG</x:v>
      </x:c>
      <x:c r="AA73" s="19" t="str">
        <x:v>The surface form may realize multiple senses; candidate meaning remains anchored to the report-visible source context.</x:v>
      </x:c>
      <x:c r="AB73"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73" s="31" t="str">
        <x:v>INTERNET_ARCHIVE_METADATA_TEXT_ITEM_COUNT</x:v>
      </x:c>
      <x:c r="AD73" s="19" t="str">
        <x:v>"drought" AND mediatype:texts</x:v>
      </x:c>
      <x:c r="AE73" s="31" t="str">
        <x:v>EXACT_PHRASE</x:v>
      </x:c>
      <x:c r="AF73" s="31" t="str">
        <x:v>COMPLETED_NONZERO</x:v>
      </x:c>
      <x:c r="AG73" s="25" t="n">
        <x:v>10647</x:v>
      </x:c>
      <x:c r="AH73" s="25" t="n">
        <x:v>298</x:v>
      </x:c>
      <x:c r="AI73" s="19" t="str">
        <x:v>2026-08-26</x:v>
      </x:c>
      <x:c r="AJ73" s="31" t="str">
        <x:v>Metadata text-item count; not a full-text lexical frequency. Secondary metric: NOT_RUN_OPENALEX_DAILY_BUDGET_EXHAUSTED: shared provider response retained; no count fabricated.</x:v>
      </x:c>
      <x:c r="AK73" s="31" t="str">
        <x:v>FULLY_COVERED</x:v>
      </x:c>
      <x:c r="AL73" s="19" t="str">
        <x:v>PENDING_SOURCE_REVIEW</x:v>
      </x:c>
      <x:c r="AM73" s="20" t="str">
        <x:v>MEDIUM</x:v>
      </x:c>
    </x:row>
    <x:row r="74" ht="34" customHeight="1">
      <x:c r="A74" s="40" t="str">
        <x:v>FT-SEED-R1B-P-1988-10</x:v>
      </x:c>
      <x:c r="B74" s="19" t="str">
        <x:v>1988</x:v>
      </x:c>
      <x:c r="C74" s="25" t="n">
        <x:v>10</x:v>
      </x:c>
      <x:c r="D74" s="31" t="str">
        <x:v>heat wave/drought occurrences</x:v>
      </x:c>
      <x:c r="E74" s="31" t="str">
        <x:v>heatwave / weather event</x:v>
      </x:c>
      <x:c r="F74" s="31" t="str">
        <x:v>heat</x:v>
      </x:c>
      <x:c r="G74" s="19" t="str">
        <x:v>D</x:v>
      </x:c>
      <x:c r="H74" s="19" t="str">
        <x:v>V1</x:v>
      </x:c>
      <x:c r="I74" s="19" t="str">
        <x:v>NOT_EXPOSED_IN_REPORT</x:v>
      </x:c>
      <x:c r="J74" s="31" t="str">
        <x:v>S1988-HANSEN</x:v>
      </x:c>
      <x:c r="K74" s="31" t="str">
        <x:v>RECONSTRUCTED_FROM_REPORT; Fear of Temperature_ Stratified Lexical Expansion, Voice Mapping, and Semantic-Relational Pre-Valida.pdf; p.9; project candidate FT-SEED-R1B-P-1988-10; original visible ID not available</x:v>
      </x:c>
      <x:c r="L74" s="31" t="str">
        <x:v>TECHNICALLY_UNREPRESENTABLE</x:v>
      </x:c>
      <x:c r="M74" s="31" t="str">
        <x:v>NOT_APPLICABLE</x:v>
      </x:c>
      <x:c r="N74" s="31" t="str">
        <x:v>TECHNICALLY_UNREPRESENTABLE</x:v>
      </x:c>
      <x:c r="O74" s="19" t="str">
        <x:v>NOT_APPLICABLE</x:v>
      </x:c>
      <x:c r="P74" s="19" t="str">
        <x:v>NOT_APPLICABLE</x:v>
      </x:c>
      <x:c r="Q74" s="46" t="str">
        <x:v>NOT_APPLICABLE</x:v>
      </x:c>
      <x:c r="R74" s="46" t="str">
        <x:v>NOT_APPLICABLE</x:v>
      </x:c>
      <x:c r="S74" s="46" t="str">
        <x:v>NOT_APPLICABLE</x:v>
      </x:c>
      <x:c r="T74" s="46" t="str">
        <x:v>NOT_APPLICABLE</x:v>
      </x:c>
      <x:c r="U74" s="31" t="str">
        <x:v>The slash coordinates two lexical objects; one linear Ngram would change the candidate's structure and sense.</x:v>
      </x:c>
      <x:c r="V74" s="31" t="str">
        <x:v>NO_STANDALONE_HEADWORD</x:v>
      </x:c>
      <x:c r="W74" s="31" t="str">
        <x:v>Component lexical analysis plus anchor-source contextual meaning</x:v>
      </x:c>
      <x:c r="X74" s="31" t="str">
        <x:v>A threat, risk, harm, severity, or consequence sense in the documented source; it is not automatically an emotion.</x:v>
      </x:c>
      <x:c r="Y74" s="31" t="str">
        <x:v>A bounded hot-weather or heatwave event; the candidate is interpreted in its documented anchor and voice context.</x:v>
      </x:c>
      <x:c r="Z74" s="31" t="str">
        <x:v>STRONG</x:v>
      </x:c>
      <x:c r="AA74" s="19" t="str">
        <x:v>The surface form may realize multiple senses; candidate meaning remains anchored to the report-visible source context.</x:v>
      </x:c>
      <x:c r="AB74" s="31" t="str">
        <x:v>Secondary: Component headword checked: occurrences.;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https://api.dictionaryapi.dev/api/v2/entries/en/heat%20wave%2Fdrought%20occurrences; https://websters1913.timcieplowski.com/word/occurrences/</x:v>
      </x:c>
      <x:c r="AC74" s="31" t="str">
        <x:v>INTERNET_ARCHIVE_METADATA_TEXT_ITEM_COUNT</x:v>
      </x:c>
      <x:c r="AD74" s="19" t="str">
        <x:v>"heat wave/drought occurrences" AND mediatype:texts</x:v>
      </x:c>
      <x:c r="AE74" s="31" t="str">
        <x:v>EXACT_PHRASE</x:v>
      </x:c>
      <x:c r="AF74" s="31" t="str">
        <x:v>COMPLETED_ZERO</x:v>
      </x:c>
      <x:c r="AG74" s="25" t="n">
        <x:v>0</x:v>
      </x:c>
      <x:c r="AH74" s="25" t="n">
        <x:v>0</x:v>
      </x:c>
      <x:c r="AI74" s="19" t="str">
        <x:v>2026-08-26</x:v>
      </x:c>
      <x:c r="AJ74" s="31" t="str">
        <x:v>Metadata text-item count; not a full-text lexical frequency. Secondary metric: NOT_RUN_OPENALEX_DAILY_BUDGET_EXHAUSTED: shared provider response retained; no count fabricated.</x:v>
      </x:c>
      <x:c r="AK74" s="31" t="str">
        <x:v>FULLY_ACCOUNTED_NGRAM_TECHNICALLY_UNREPRESENTABLE</x:v>
      </x:c>
      <x:c r="AL74" s="19" t="str">
        <x:v>PENDING_SOURCE_REVIEW</x:v>
      </x:c>
      <x:c r="AM74" s="20" t="str">
        <x:v>HIGH</x:v>
      </x:c>
    </x:row>
    <x:row r="75" ht="34" customHeight="1">
      <x:c r="A75" s="40" t="str">
        <x:v>FT-SEED-R1B-P-1988-11</x:v>
      </x:c>
      <x:c r="B75" s="19" t="str">
        <x:v>1988</x:v>
      </x:c>
      <x:c r="C75" s="25" t="n">
        <x:v>11</x:v>
      </x:c>
      <x:c r="D75" s="31" t="str">
        <x:v>extreme events</x:v>
      </x:c>
      <x:c r="E75" s="31" t="str">
        <x:v>generic damage</x:v>
      </x:c>
      <x:c r="F75" s="31" t="str">
        <x:v>harm_loss_consequences</x:v>
      </x:c>
      <x:c r="G75" s="19" t="str">
        <x:v>D</x:v>
      </x:c>
      <x:c r="H75" s="19" t="str">
        <x:v>V1</x:v>
      </x:c>
      <x:c r="I75" s="19" t="str">
        <x:v>NOT_EXPOSED_IN_REPORT</x:v>
      </x:c>
      <x:c r="J75" s="31" t="str">
        <x:v>S1988-HANSEN</x:v>
      </x:c>
      <x:c r="K75" s="31" t="str">
        <x:v>RECONSTRUCTED_FROM_REPORT; Fear of Temperature_ Stratified Lexical Expansion, Voice Mapping, and Semantic-Relational Pre-Valida.pdf; p.9; project candidate FT-SEED-R1B-P-1988-11; original visible ID not available</x:v>
      </x:c>
      <x:c r="L75" s="31" t="str">
        <x:v>SUCCEEDED_REUSED_BASELINE</x:v>
      </x:c>
      <x:c r="M75" s="31" t="str">
        <x:v>extreme events</x:v>
      </x:c>
      <x:c r="N75" s="31" t="str">
        <x:v>EXACT</x:v>
      </x:c>
      <x:c r="O75" s="19" t="str">
        <x:v>1843</x:v>
      </x:c>
      <x:c r="P75" s="19" t="str">
        <x:v>2022</x:v>
      </x:c>
      <x:c r="Q75" s="46" t="n">
        <x:v>4.5903280798675894e-7</x:v>
      </x:c>
      <x:c r="R75" s="46" t="n">
        <x:v>5.5376702223775e-8</x:v>
      </x:c>
      <x:c r="S75" s="46" t="n">
        <x:v>6.501919660450995e-8</x:v>
      </x:c>
      <x:c r="T75" s="46" t="n">
        <x:v>4.5903280798675894e-7</x:v>
      </x:c>
      <x:c r="U75" s="31" t="str">
        <x:v>Candidate surface form is directly representable in the public Ngram interface. Complete 1842–2022 unsmoothed series reused from the audited quantitative-v0.1 baseline.</x:v>
      </x:c>
      <x:c r="V75" s="31" t="str">
        <x:v>NO_STANDALONE_HEADWORD</x:v>
      </x:c>
      <x:c r="W75" s="31" t="str">
        <x:v>Component lexical analysis plus anchor-source contextual meaning</x:v>
      </x:c>
      <x:c r="X75" s="31" t="str">
        <x:v>A threat, risk, harm, severity, or consequence sense in the documented source; it is not automatically an emotion.</x:v>
      </x:c>
      <x:c r="Y75" s="31" t="str">
        <x:v>Generic material, ecological, or social damage; the candidate is interpreted in its documented anchor and voice context.</x:v>
      </x:c>
      <x:c r="Z75" s="31" t="str">
        <x:v>STRONG</x:v>
      </x:c>
      <x:c r="AA75" s="19" t="str">
        <x:v>The surface form may realize multiple senses; candidate meaning remains anchored to the report-visible source context.</x:v>
      </x:c>
      <x:c r="AB75" s="31" t="str">
        <x:v>Secondary: Component headword checked: events.;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https://api.dictionaryapi.dev/api/v2/entries/en/extreme%20events; https://websters1913.timcieplowski.com/word/events/</x:v>
      </x:c>
      <x:c r="AC75" s="31" t="str">
        <x:v>INTERNET_ARCHIVE_METADATA_TEXT_ITEM_COUNT</x:v>
      </x:c>
      <x:c r="AD75" s="19" t="str">
        <x:v>"extreme events" AND mediatype:texts</x:v>
      </x:c>
      <x:c r="AE75" s="31" t="str">
        <x:v>EXACT_PHRASE</x:v>
      </x:c>
      <x:c r="AF75" s="31" t="str">
        <x:v>COMPLETED_NONZERO</x:v>
      </x:c>
      <x:c r="AG75" s="25" t="n">
        <x:v>515</x:v>
      </x:c>
      <x:c r="AH75" s="25" t="n">
        <x:v>6</x:v>
      </x:c>
      <x:c r="AI75" s="19" t="str">
        <x:v>2026-08-26</x:v>
      </x:c>
      <x:c r="AJ75" s="31" t="str">
        <x:v>Metadata text-item count; not a full-text lexical frequency. Secondary metric: NOT_RUN_OPENALEX_DAILY_BUDGET_EXHAUSTED: shared provider response retained; no count fabricated.</x:v>
      </x:c>
      <x:c r="AK75" s="31" t="str">
        <x:v>FULLY_COVERED</x:v>
      </x:c>
      <x:c r="AL75" s="19" t="str">
        <x:v>PENDING_SOURCE_REVIEW</x:v>
      </x:c>
      <x:c r="AM75" s="20" t="str">
        <x:v>MEDIUM</x:v>
      </x:c>
    </x:row>
    <x:row r="76" ht="34" customHeight="1">
      <x:c r="A76" s="40" t="str">
        <x:v>FT-SEED-R1B-P-1988-12</x:v>
      </x:c>
      <x:c r="B76" s="19" t="str">
        <x:v>1988</x:v>
      </x:c>
      <x:c r="C76" s="25" t="n">
        <x:v>12</x:v>
      </x:c>
      <x:c r="D76" s="31" t="str">
        <x:v>global climate models</x:v>
      </x:c>
      <x:c r="E76" s="31" t="str">
        <x:v>climate system</x:v>
      </x:c>
      <x:c r="F76" s="31" t="str">
        <x:v>climate</x:v>
      </x:c>
      <x:c r="G76" s="19" t="str">
        <x:v>B</x:v>
      </x:c>
      <x:c r="H76" s="19" t="str">
        <x:v>V1</x:v>
      </x:c>
      <x:c r="I76" s="19" t="str">
        <x:v>NOT_EXPOSED_IN_REPORT</x:v>
      </x:c>
      <x:c r="J76" s="31" t="str">
        <x:v>S1988-HANSEN</x:v>
      </x:c>
      <x:c r="K76" s="31" t="str">
        <x:v>RECONSTRUCTED_FROM_REPORT; Fear of Temperature_ Stratified Lexical Expansion, Voice Mapping, and Semantic-Relational Pre-Valida.pdf; p.9; project candidate FT-SEED-R1B-P-1988-12; original visible ID not available</x:v>
      </x:c>
      <x:c r="L76" s="31" t="str">
        <x:v>SUCCEEDED_REUSED_BASELINE</x:v>
      </x:c>
      <x:c r="M76" s="31" t="str">
        <x:v>global climate models</x:v>
      </x:c>
      <x:c r="N76" s="31" t="str">
        <x:v>EXACT</x:v>
      </x:c>
      <x:c r="O76" s="19" t="str">
        <x:v>1869</x:v>
      </x:c>
      <x:c r="P76" s="19" t="str">
        <x:v>1994</x:v>
      </x:c>
      <x:c r="Q76" s="46" t="n">
        <x:v>5.645689804545384e-8</x:v>
      </x:c>
      <x:c r="R76" s="46" t="n">
        <x:v>1.3785362060203532e-8</x:v>
      </x:c>
      <x:c r="S76" s="46" t="n">
        <x:v>2.040563838179299e-8</x:v>
      </x:c>
      <x:c r="T76" s="46" t="n">
        <x:v>4.237953538099859e-8</x:v>
      </x:c>
      <x:c r="U76" s="31" t="str">
        <x:v>Candidate surface form is directly representable in the public Ngram interface. Complete 1842–2022 unsmoothed series reused from the audited quantitative-v0.1 baseline.</x:v>
      </x:c>
      <x:c r="V76" s="31" t="str">
        <x:v>TECHNICAL_GLOSSARY</x:v>
      </x:c>
      <x:c r="W76" s="31" t="str">
        <x:v>IPCC climate-science glossary / assessment terminology</x:v>
      </x:c>
      <x:c r="X76" s="31" t="str">
        <x:v>A climatic, atmospheric, meteorological, or causal-science sense in the documented anchor context.</x:v>
      </x:c>
      <x:c r="Y76" s="31" t="str">
        <x:v>The coupled physical climate system; the candidate is interpreted in its documented anchor and voice context.</x:v>
      </x:c>
      <x:c r="Z76" s="31" t="str">
        <x:v>STRONG</x:v>
      </x:c>
      <x:c r="AA76" s="19" t="str">
        <x:v>The surface form may realize multiple senses; candidate meaning remains anchored to the report-visible source context.</x:v>
      </x:c>
      <x:c r="AB76" s="31" t="str">
        <x:v>Secondary: Component headword checked: models.; historical: Anchor-period research source/context; Webster 1913 stable component URL recorded but automated page retrieval was unavailable; source: https://www.ipcc.ch/site/assets/uploads/2018/02/WGIIAR5-AnnexII_FINAL.pdf; https://api.dictionaryapi.dev/api/v2/entries/en/global%20climate%20models; https://websters1913.timcieplowski.com/word/models/</x:v>
      </x:c>
      <x:c r="AC76" s="31" t="str">
        <x:v>INTERNET_ARCHIVE_METADATA_TEXT_ITEM_COUNT</x:v>
      </x:c>
      <x:c r="AD76" s="19" t="str">
        <x:v>"global climate models" AND mediatype:texts</x:v>
      </x:c>
      <x:c r="AE76" s="31" t="str">
        <x:v>EXACT_PHRASE</x:v>
      </x:c>
      <x:c r="AF76" s="31" t="str">
        <x:v>COMPLETED_NONZERO</x:v>
      </x:c>
      <x:c r="AG76" s="25" t="n">
        <x:v>180</x:v>
      </x:c>
      <x:c r="AH76" s="25" t="n">
        <x:v>3</x:v>
      </x:c>
      <x:c r="AI76" s="19" t="str">
        <x:v>2026-08-26</x:v>
      </x:c>
      <x:c r="AJ76" s="31" t="str">
        <x:v>Metadata text-item count; not a full-text lexical frequency. Secondary metric: NOT_RUN_OPENALEX_DAILY_BUDGET_EXHAUSTED: shared provider response retained; no count fabricated.</x:v>
      </x:c>
      <x:c r="AK76" s="31" t="str">
        <x:v>FULLY_COVERED</x:v>
      </x:c>
      <x:c r="AL76" s="19" t="str">
        <x:v>PENDING_SOURCE_REVIEW</x:v>
      </x:c>
      <x:c r="AM76" s="20" t="str">
        <x:v>MEDIUM</x:v>
      </x:c>
    </x:row>
    <x:row r="77" ht="34" customHeight="1">
      <x:c r="A77" s="40" t="str">
        <x:v>FT-SEED-R1B-P-1988-13</x:v>
      </x:c>
      <x:c r="B77" s="19" t="str">
        <x:v>1988</x:v>
      </x:c>
      <x:c r="C77" s="25" t="n">
        <x:v>13</x:v>
      </x:c>
      <x:c r="D77" s="31" t="str">
        <x:v>global observations</x:v>
      </x:c>
      <x:c r="E77" s="31" t="str">
        <x:v>historical climate / climatological condition</x:v>
      </x:c>
      <x:c r="F77" s="31" t="str">
        <x:v>climate</x:v>
      </x:c>
      <x:c r="G77" s="19" t="str">
        <x:v>B</x:v>
      </x:c>
      <x:c r="H77" s="19" t="str">
        <x:v>V1</x:v>
      </x:c>
      <x:c r="I77" s="19" t="str">
        <x:v>NOT_EXPOSED_IN_REPORT</x:v>
      </x:c>
      <x:c r="J77" s="31" t="str">
        <x:v>S1988-HANSEN</x:v>
      </x:c>
      <x:c r="K77" s="31" t="str">
        <x:v>RECONSTRUCTED_FROM_REPORT; Fear of Temperature_ Stratified Lexical Expansion, Voice Mapping, and Semantic-Relational Pre-Valida.pdf; p.9; project candidate FT-SEED-R1B-P-1988-13; original visible ID not available</x:v>
      </x:c>
      <x:c r="L77" s="31" t="str">
        <x:v>SUCCEEDED_REUSED_BASELINE</x:v>
      </x:c>
      <x:c r="M77" s="31" t="str">
        <x:v>global observations</x:v>
      </x:c>
      <x:c r="N77" s="31" t="str">
        <x:v>EXACT</x:v>
      </x:c>
      <x:c r="O77" s="19" t="str">
        <x:v>1869</x:v>
      </x:c>
      <x:c r="P77" s="19" t="str">
        <x:v>1984</x:v>
      </x:c>
      <x:c r="Q77" s="46" t="n">
        <x:v>2.193620524115758e-8</x:v>
      </x:c>
      <x:c r="R77" s="46" t="n">
        <x:v>1.599113318151435e-8</x:v>
      </x:c>
      <x:c r="S77" s="46" t="n">
        <x:v>1.3183894989610145e-8</x:v>
      </x:c>
      <x:c r="T77" s="46" t="n">
        <x:v>1.1900522567387384e-8</x:v>
      </x:c>
      <x:c r="U77" s="31" t="str">
        <x:v>Candidate surface form is directly representable in the public Ngram interface. Complete 1842–2022 unsmoothed series reused from the audited quantitative-v0.1 baseline.</x:v>
      </x:c>
      <x:c r="V77" s="31" t="str">
        <x:v>NO_STANDALONE_HEADWORD</x:v>
      </x:c>
      <x:c r="W77" s="31" t="str">
        <x:v>Component lexical analysis plus anchor-source contextual meaning</x:v>
      </x:c>
      <x:c r="X77" s="31" t="str">
        <x:v>A climatic, atmospheric, meteorological, or causal-science sense in the documented anchor context.</x:v>
      </x:c>
      <x:c r="Y77" s="31" t="str">
        <x:v>Climate as a historical, geographical, seasonal, or climatological condition; the candidate is interpreted in its documented anchor and voice context.</x:v>
      </x:c>
      <x:c r="Z77" s="31" t="str">
        <x:v>STRONG</x:v>
      </x:c>
      <x:c r="AA77" s="19" t="str">
        <x:v>The surface form may realize multiple senses; candidate meaning remains anchored to the report-visible source context.</x:v>
      </x:c>
      <x:c r="AB77"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https://api.dictionaryapi.dev/api/v2/entries/en/global%20observations; https://websters1913.timcieplowski.com/word/observations/</x:v>
      </x:c>
      <x:c r="AC77" s="31" t="str">
        <x:v>INTERNET_ARCHIVE_METADATA_TEXT_ITEM_COUNT</x:v>
      </x:c>
      <x:c r="AD77" s="19" t="str">
        <x:v>"global observations" AND mediatype:texts</x:v>
      </x:c>
      <x:c r="AE77" s="31" t="str">
        <x:v>EXACT_PHRASE</x:v>
      </x:c>
      <x:c r="AF77" s="31" t="str">
        <x:v>COMPLETED_NONZERO</x:v>
      </x:c>
      <x:c r="AG77" s="25" t="n">
        <x:v>87</x:v>
      </x:c>
      <x:c r="AH77" s="25" t="n">
        <x:v>2</x:v>
      </x:c>
      <x:c r="AI77" s="19" t="str">
        <x:v>2026-08-26</x:v>
      </x:c>
      <x:c r="AJ77" s="31" t="str">
        <x:v>Metadata text-item count; not a full-text lexical frequency. Secondary metric: NOT_RUN_OPENALEX_DAILY_BUDGET_EXHAUSTED: shared provider response retained; no count fabricated.</x:v>
      </x:c>
      <x:c r="AK77" s="31" t="str">
        <x:v>FULLY_COVERED</x:v>
      </x:c>
      <x:c r="AL77" s="19" t="str">
        <x:v>PENDING_SOURCE_REVIEW</x:v>
      </x:c>
      <x:c r="AM77" s="20" t="str">
        <x:v>MEDIUM</x:v>
      </x:c>
    </x:row>
    <x:row r="78" ht="34" customHeight="1">
      <x:c r="A78" s="40" t="str">
        <x:v>FT-SEED-R1B-P-1988-14</x:v>
      </x:c>
      <x:c r="B78" s="19" t="str">
        <x:v>1988</x:v>
      </x:c>
      <x:c r="C78" s="25" t="n">
        <x:v>14</x:v>
      </x:c>
      <x:c r="D78" s="31" t="str">
        <x:v>warm air</x:v>
      </x:c>
      <x:c r="E78" s="31" t="str">
        <x:v>local / instrumental temperature</x:v>
      </x:c>
      <x:c r="F78" s="31" t="str">
        <x:v>temperature_threshold</x:v>
      </x:c>
      <x:c r="G78" s="19" t="str">
        <x:v>A</x:v>
      </x:c>
      <x:c r="H78" s="19" t="str">
        <x:v>V1</x:v>
      </x:c>
      <x:c r="I78" s="19" t="str">
        <x:v>NOT_EXPOSED_IN_REPORT</x:v>
      </x:c>
      <x:c r="J78" s="31" t="str">
        <x:v>S1988-HANSEN</x:v>
      </x:c>
      <x:c r="K78" s="31" t="str">
        <x:v>RECONSTRUCTED_FROM_REPORT; Fear of Temperature_ Stratified Lexical Expansion, Voice Mapping, and Semantic-Relational Pre-Valida.pdf; p.9; project candidate FT-SEED-R1B-P-1988-14; original visible ID not available</x:v>
      </x:c>
      <x:c r="L78" s="31" t="str">
        <x:v>SUCCEEDED_REUSED_BASELINE</x:v>
      </x:c>
      <x:c r="M78" s="31" t="str">
        <x:v>warm air</x:v>
      </x:c>
      <x:c r="N78" s="31" t="str">
        <x:v>EXACT</x:v>
      </x:c>
      <x:c r="O78" s="19" t="str">
        <x:v>1842</x:v>
      </x:c>
      <x:c r="P78" s="19" t="str">
        <x:v>1916</x:v>
      </x:c>
      <x:c r="Q78" s="46" t="n">
        <x:v>0.0000029105580415175747</x:v>
      </x:c>
      <x:c r="R78" s="46" t="n">
        <x:v>4.812640085269382e-7</x:v>
      </x:c>
      <x:c r="S78" s="46" t="n">
        <x:v>5.471666789776119e-7</x:v>
      </x:c>
      <x:c r="T78" s="46" t="n">
        <x:v>5.92194779214239e-7</x:v>
      </x:c>
      <x:c r="U78" s="31" t="str">
        <x:v>Candidate surface form is directly representable in the public Ngram interface. Complete 1842–2022 unsmoothed series reused from the audited quantitative-v0.1 baseline.</x:v>
      </x:c>
      <x:c r="V78" s="31" t="str">
        <x:v>NO_STANDALONE_HEADWORD</x:v>
      </x:c>
      <x:c r="W78" s="31" t="str">
        <x:v>Component lexical analysis plus anchor-source contextual meaning</x:v>
      </x:c>
      <x:c r="X78" s="31" t="str">
        <x:v>A physical temperature, warming, heat, or measurement sense in the documented anchor context.</x:v>
      </x:c>
      <x:c r="Y78" s="31" t="str">
        <x:v>A local or instrument-specific temperature reading; the candidate is interpreted in its documented anchor and voice context.</x:v>
      </x:c>
      <x:c r="Z78" s="31" t="str">
        <x:v>STRONG</x:v>
      </x:c>
      <x:c r="AA78" s="19" t="str">
        <x:v>The surface form may realize multiple senses; candidate meaning remains anchored to the report-visible source context.</x:v>
      </x:c>
      <x:c r="AB78" s="31" t="str">
        <x:v>Secondary: Component headword checked: air.; historical: Webster's Revised Unabridged Dictionary (1913 public-domain edition); source: https://websters1913.timcieplowski.com/word/air/; https://api.dictionaryapi.dev/api/v2/entries/en/warm%20air</x:v>
      </x:c>
      <x:c r="AC78" s="31" t="str">
        <x:v>INTERNET_ARCHIVE_METADATA_TEXT_ITEM_COUNT</x:v>
      </x:c>
      <x:c r="AD78" s="19" t="str">
        <x:v>"warm air" AND mediatype:texts</x:v>
      </x:c>
      <x:c r="AE78" s="31" t="str">
        <x:v>EXACT_PHRASE</x:v>
      </x:c>
      <x:c r="AF78" s="31" t="str">
        <x:v>COMPLETED_NONZERO</x:v>
      </x:c>
      <x:c r="AG78" s="25" t="n">
        <x:v>376</x:v>
      </x:c>
      <x:c r="AH78" s="25" t="n">
        <x:v>13</x:v>
      </x:c>
      <x:c r="AI78" s="19" t="str">
        <x:v>2026-08-26</x:v>
      </x:c>
      <x:c r="AJ78" s="31" t="str">
        <x:v>Metadata text-item count; not a full-text lexical frequency. Secondary metric: NOT_RUN_OPENALEX_DAILY_BUDGET_EXHAUSTED: shared provider response retained; no count fabricated.</x:v>
      </x:c>
      <x:c r="AK78" s="31" t="str">
        <x:v>FULLY_COVERED</x:v>
      </x:c>
      <x:c r="AL78" s="19" t="str">
        <x:v>PENDING_SOURCE_REVIEW</x:v>
      </x:c>
      <x:c r="AM78" s="20" t="str">
        <x:v>MEDIUM</x:v>
      </x:c>
    </x:row>
    <x:row r="79" ht="34" customHeight="1">
      <x:c r="A79" s="40" t="str">
        <x:v>FT-SEED-R1B-P-1988-15</x:v>
      </x:c>
      <x:c r="B79" s="19" t="str">
        <x:v>1988</x:v>
      </x:c>
      <x:c r="C79" s="25" t="n">
        <x:v>15</x:v>
      </x:c>
      <x:c r="D79" s="31" t="str">
        <x:v>changing atmosphere</x:v>
      </x:c>
      <x:c r="E79" s="31" t="str">
        <x:v>changing atmosphere</x:v>
      </x:c>
      <x:c r="F79" s="31" t="str">
        <x:v>climate</x:v>
      </x:c>
      <x:c r="G79" s="19" t="str">
        <x:v>B</x:v>
      </x:c>
      <x:c r="H79" s="19" t="str">
        <x:v>V2</x:v>
      </x:c>
      <x:c r="I79" s="19" t="str">
        <x:v>NOT_EXPOSED_IN_REPORT</x:v>
      </x:c>
      <x:c r="J79" s="31" t="str">
        <x:v>S1988-TORONTO</x:v>
      </x:c>
      <x:c r="K79" s="31" t="str">
        <x:v>RECONSTRUCTED_FROM_REPORT; Fear of Temperature_ Stratified Lexical Expansion, Voice Mapping, and Semantic-Relational Pre-Valida.pdf; p.9; project candidate FT-SEED-R1B-P-1988-15; original visible ID not available</x:v>
      </x:c>
      <x:c r="L79" s="31" t="str">
        <x:v>SUCCEEDED_REUSED_BASELINE</x:v>
      </x:c>
      <x:c r="M79" s="31" t="str">
        <x:v>changing atmosphere</x:v>
      </x:c>
      <x:c r="N79" s="31" t="str">
        <x:v>EXACT</x:v>
      </x:c>
      <x:c r="O79" s="19" t="str">
        <x:v>1842</x:v>
      </x:c>
      <x:c r="P79" s="19" t="str">
        <x:v>1989</x:v>
      </x:c>
      <x:c r="Q79" s="46" t="n">
        <x:v>6.209157343839422e-8</x:v>
      </x:c>
      <x:c r="R79" s="46" t="n">
        <x:v>3.622682637205443e-8</x:v>
      </x:c>
      <x:c r="S79" s="46" t="n">
        <x:v>3.301469004707291e-8</x:v>
      </x:c>
      <x:c r="T79" s="46" t="n">
        <x:v>1.0706047048891776e-8</x:v>
      </x:c>
      <x:c r="U79" s="31" t="str">
        <x:v>Candidate surface form is directly representable in the public Ngram interface. Complete 1842–2022 unsmoothed series reused from the audited quantitative-v0.1 baseline.</x:v>
      </x:c>
      <x:c r="V79" s="31" t="str">
        <x:v>TECHNICAL_GLOSSARY</x:v>
      </x:c>
      <x:c r="W79" s="31" t="str">
        <x:v>IPCC climate-science glossary / assessment terminology</x:v>
      </x:c>
      <x:c r="X79" s="31" t="str">
        <x:v>A climatic, atmospheric, meteorological, or causal-science sense in the documented anchor context.</x:v>
      </x:c>
      <x:c r="Y79" s="31" t="str">
        <x:v>Atmospheric change framed as a climatic or institutional problem; the candidate is interpreted in its documented anchor and voice context.</x:v>
      </x:c>
      <x:c r="Z79" s="31" t="str">
        <x:v>STRONG</x:v>
      </x:c>
      <x:c r="AA79" s="19" t="str">
        <x:v>The surface form may realize multiple senses; candidate meaning remains anchored to the report-visible source context.</x:v>
      </x:c>
      <x:c r="AB7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https://api.dictionaryapi.dev/api/v2/entries/en/changing%20atmosphere; https://websters1913.timcieplowski.com/word/atmosphere/</x:v>
      </x:c>
      <x:c r="AC79" s="31" t="str">
        <x:v>INTERNET_ARCHIVE_METADATA_TEXT_ITEM_COUNT</x:v>
      </x:c>
      <x:c r="AD79" s="19" t="str">
        <x:v>"changing atmosphere" AND mediatype:texts</x:v>
      </x:c>
      <x:c r="AE79" s="31" t="str">
        <x:v>EXACT_PHRASE</x:v>
      </x:c>
      <x:c r="AF79" s="31" t="str">
        <x:v>COMPLETED_NONZERO</x:v>
      </x:c>
      <x:c r="AG79" s="25" t="n">
        <x:v>37</x:v>
      </x:c>
      <x:c r="AH79" s="25" t="n">
        <x:v>8</x:v>
      </x:c>
      <x:c r="AI79" s="19" t="str">
        <x:v>2026-08-26</x:v>
      </x:c>
      <x:c r="AJ79" s="31" t="str">
        <x:v>Metadata text-item count; not a full-text lexical frequency. Secondary metric: Scholarly work discoverability count over OpenAlex search fields; not a corpus word frequency.</x:v>
      </x:c>
      <x:c r="AK79" s="31" t="str">
        <x:v>FULLY_COVERED</x:v>
      </x:c>
      <x:c r="AL79" s="19" t="str">
        <x:v>PENDING_SOURCE_REVIEW</x:v>
      </x:c>
      <x:c r="AM79" s="20" t="str">
        <x:v>MEDIUM</x:v>
      </x:c>
    </x:row>
    <x:row r="80" ht="34" customHeight="1">
      <x:c r="A80" s="40" t="str">
        <x:v>FT-SEED-R1B-P-1988-16</x:v>
      </x:c>
      <x:c r="B80" s="19" t="str">
        <x:v>1988</x:v>
      </x:c>
      <x:c r="C80" s="25" t="n">
        <x:v>16</x:v>
      </x:c>
      <x:c r="D80" s="31" t="str">
        <x:v>global security</x:v>
      </x:c>
      <x:c r="E80" s="31" t="str">
        <x:v>global security frame</x:v>
      </x:c>
      <x:c r="F80" s="31" t="str">
        <x:v>danger_threat</x:v>
      </x:c>
      <x:c r="G80" s="19" t="str">
        <x:v>D</x:v>
      </x:c>
      <x:c r="H80" s="19" t="str">
        <x:v>V2</x:v>
      </x:c>
      <x:c r="I80" s="19" t="str">
        <x:v>E1</x:v>
      </x:c>
      <x:c r="J80" s="31" t="str">
        <x:v>S1988-TORONTO</x:v>
      </x:c>
      <x:c r="K80" s="31" t="str">
        <x:v>RECONSTRUCTED_FROM_REPORT; Fear of Temperature_ Stratified Lexical Expansion, Voice Mapping, and Semantic-Relational Pre-Valida.pdf; p.9; project candidate FT-SEED-R1B-P-1988-16; original visible ID not available</x:v>
      </x:c>
      <x:c r="L80" s="31" t="str">
        <x:v>SUCCEEDED_REUSED_BASELINE</x:v>
      </x:c>
      <x:c r="M80" s="31" t="str">
        <x:v>global security</x:v>
      </x:c>
      <x:c r="N80" s="31" t="str">
        <x:v>EXACT</x:v>
      </x:c>
      <x:c r="O80" s="19" t="str">
        <x:v>1843</x:v>
      </x:c>
      <x:c r="P80" s="19" t="str">
        <x:v>2009</x:v>
      </x:c>
      <x:c r="Q80" s="46" t="n">
        <x:v>4.3955566073061725e-7</x:v>
      </x:c>
      <x:c r="R80" s="46" t="n">
        <x:v>1.6978240102716313e-7</x:v>
      </x:c>
      <x:c r="S80" s="46" t="n">
        <x:v>1.554475363096941e-7</x:v>
      </x:c>
      <x:c r="T80" s="46" t="n">
        <x:v>2.638022949807972e-7</x:v>
      </x:c>
      <x:c r="U80" s="31" t="str">
        <x:v>Candidate surface form is directly representable in the public Ngram interface. Complete 1842–2022 unsmoothed series reused from the audited quantitative-v0.1 baseline.</x:v>
      </x:c>
      <x:c r="V80" s="31" t="str">
        <x:v>NO_STANDALONE_HEADWORD</x:v>
      </x:c>
      <x:c r="W80" s="31" t="str">
        <x:v>Component lexical analysis plus anchor-source contextual meaning</x:v>
      </x:c>
      <x:c r="X80" s="31" t="str">
        <x:v>An institutional frame for threats to international stability and safety; threat without evidence of personal fear.</x:v>
      </x:c>
      <x:c r="Y80" s="31" t="str">
        <x:v>Atmospheric or climatic change framed as a global-security matter; the candidate is interpreted in its documented anchor and voice context.</x:v>
      </x:c>
      <x:c r="Z80" s="31" t="str">
        <x:v>STRONG</x:v>
      </x:c>
      <x:c r="AA80" s="19" t="str">
        <x:v>Security can denote institutions, conditions, or financial instruments; the institutional-threat sense is intended.</x:v>
      </x:c>
      <x:c r="AB80" s="31" t="str">
        <x:v>Secondary: Component headword checked: security.;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https://api.dictionaryapi.dev/api/v2/entries/en/global%20security; https://websters1913.timcieplowski.com/word/security/</x:v>
      </x:c>
      <x:c r="AC80" s="31" t="str">
        <x:v>INTERNET_ARCHIVE_METADATA_TEXT_ITEM_COUNT</x:v>
      </x:c>
      <x:c r="AD80" s="19" t="str">
        <x:v>"global security" AND mediatype:texts</x:v>
      </x:c>
      <x:c r="AE80" s="31" t="str">
        <x:v>EXACT_PHRASE</x:v>
      </x:c>
      <x:c r="AF80" s="31" t="str">
        <x:v>COMPLETED_NONZERO</x:v>
      </x:c>
      <x:c r="AG80" s="25" t="n">
        <x:v>946</x:v>
      </x:c>
      <x:c r="AH80" s="25" t="n">
        <x:v>44</x:v>
      </x:c>
      <x:c r="AI80" s="19" t="str">
        <x:v>2026-08-26</x:v>
      </x:c>
      <x:c r="AJ80" s="31" t="str">
        <x:v>Metadata text-item count; not a full-text lexical frequency. Secondary metric: NOT_RUN_OPENALEX_DAILY_BUDGET_EXHAUSTED: shared provider response retained; no count fabricated.</x:v>
      </x:c>
      <x:c r="AK80" s="31" t="str">
        <x:v>FULLY_COVERED</x:v>
      </x:c>
      <x:c r="AL80" s="19" t="str">
        <x:v>NOT_APPLICABLE</x:v>
      </x:c>
      <x:c r="AM80" s="20" t="str">
        <x:v>MEDIUM</x:v>
      </x:c>
    </x:row>
    <x:row r="81" ht="34" customHeight="1">
      <x:c r="A81" s="40" t="str">
        <x:v>FT-SEED-R1B-P-1988-17</x:v>
      </x:c>
      <x:c r="B81" s="19" t="str">
        <x:v>1988</x:v>
      </x:c>
      <x:c r="C81" s="25" t="n">
        <x:v>17</x:v>
      </x:c>
      <x:c r="D81" s="31" t="str">
        <x:v>climate warming</x:v>
      </x:c>
      <x:c r="E81" s="31" t="str">
        <x:v>climate-system warming</x:v>
      </x:c>
      <x:c r="F81" s="31" t="str">
        <x:v>warming</x:v>
      </x:c>
      <x:c r="G81" s="19" t="str">
        <x:v>A</x:v>
      </x:c>
      <x:c r="H81" s="19" t="str">
        <x:v>V2</x:v>
      </x:c>
      <x:c r="I81" s="19" t="str">
        <x:v>NOT_EXPOSED_IN_REPORT</x:v>
      </x:c>
      <x:c r="J81" s="31" t="str">
        <x:v>S1988-TORONTO</x:v>
      </x:c>
      <x:c r="K81" s="31" t="str">
        <x:v>RECONSTRUCTED_FROM_REPORT; Fear of Temperature_ Stratified Lexical Expansion, Voice Mapping, and Semantic-Relational Pre-Valida.pdf; p.9; project candidate FT-SEED-R1B-P-1988-17; original visible ID not available</x:v>
      </x:c>
      <x:c r="L81" s="31" t="str">
        <x:v>SUCCEEDED_REUSED_BASELINE</x:v>
      </x:c>
      <x:c r="M81" s="31" t="str">
        <x:v>climate warming</x:v>
      </x:c>
      <x:c r="N81" s="31" t="str">
        <x:v>EXACT</x:v>
      </x:c>
      <x:c r="O81" s="19" t="str">
        <x:v>1865</x:v>
      </x:c>
      <x:c r="P81" s="19" t="str">
        <x:v>2022</x:v>
      </x:c>
      <x:c r="Q81" s="46" t="n">
        <x:v>1.5837870587231961e-7</x:v>
      </x:c>
      <x:c r="R81" s="46" t="n">
        <x:v>3.6325536800774216e-8</x:v>
      </x:c>
      <x:c r="S81" s="46" t="n">
        <x:v>4.2775522635096766e-8</x:v>
      </x:c>
      <x:c r="T81" s="46" t="n">
        <x:v>1.5837870587231961e-7</x:v>
      </x:c>
      <x:c r="U81" s="31" t="str">
        <x:v>Candidate surface form is directly representable in the public Ngram interface. Complete 1842–2022 unsmoothed series reused from the audited quantitative-v0.1 baseline.</x:v>
      </x:c>
      <x:c r="V81" s="31" t="str">
        <x:v>TECHNICAL_GLOSSARY</x:v>
      </x:c>
      <x:c r="W81" s="31" t="str">
        <x:v>IPCC climate-science glossary / assessment terminology</x:v>
      </x:c>
      <x:c r="X81" s="31" t="str">
        <x:v>A physical temperature, warming, heat, or measurement sense in the documented anchor context.</x:v>
      </x:c>
      <x:c r="Y81" s="31" t="str">
        <x:v>Warming attributed to or observed across the climate system; the candidate is interpreted in its documented anchor and voice context.</x:v>
      </x:c>
      <x:c r="Z81" s="31" t="str">
        <x:v>STRONG</x:v>
      </x:c>
      <x:c r="AA81" s="19" t="str">
        <x:v>The surface form may realize multiple senses; candidate meaning remains anchored to the report-visible source context.</x:v>
      </x:c>
      <x:c r="AB81"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https://api.dictionaryapi.dev/api/v2/entries/en/climate%20warming; https://websters1913.timcieplowski.com/word/warming/</x:v>
      </x:c>
      <x:c r="AC81" s="31" t="str">
        <x:v>INTERNET_ARCHIVE_METADATA_TEXT_ITEM_COUNT</x:v>
      </x:c>
      <x:c r="AD81" s="19" t="str">
        <x:v>"climate warming" AND mediatype:texts</x:v>
      </x:c>
      <x:c r="AE81" s="31" t="str">
        <x:v>EXACT_PHRASE</x:v>
      </x:c>
      <x:c r="AF81" s="31" t="str">
        <x:v>COMPLETED_NONZERO</x:v>
      </x:c>
      <x:c r="AG81" s="25" t="n">
        <x:v>237</x:v>
      </x:c>
      <x:c r="AH81" s="25" t="n">
        <x:v>5</x:v>
      </x:c>
      <x:c r="AI81" s="19" t="str">
        <x:v>2026-08-26</x:v>
      </x:c>
      <x:c r="AJ81" s="31" t="str">
        <x:v>Metadata text-item count; not a full-text lexical frequency. Secondary metric: Scholarly work discoverability count over OpenAlex search fields; not a corpus word frequency.</x:v>
      </x:c>
      <x:c r="AK81" s="31" t="str">
        <x:v>FULLY_COVERED</x:v>
      </x:c>
      <x:c r="AL81" s="19" t="str">
        <x:v>PENDING_SOURCE_REVIEW</x:v>
      </x:c>
      <x:c r="AM81" s="20" t="str">
        <x:v>MEDIUM</x:v>
      </x:c>
    </x:row>
    <x:row r="82" ht="34" customHeight="1">
      <x:c r="A82" s="40" t="str">
        <x:v>FT-SEED-R1B-P-1988-18</x:v>
      </x:c>
      <x:c r="B82" s="19" t="str">
        <x:v>1988</x:v>
      </x:c>
      <x:c r="C82" s="25" t="n">
        <x:v>18</x:v>
      </x:c>
      <x:c r="D82" s="31" t="str">
        <x:v>changed climatic extremes</x:v>
      </x:c>
      <x:c r="E82" s="31" t="str">
        <x:v>generic damage</x:v>
      </x:c>
      <x:c r="F82" s="31" t="str">
        <x:v>harm_loss_consequences</x:v>
      </x:c>
      <x:c r="G82" s="19" t="str">
        <x:v>D</x:v>
      </x:c>
      <x:c r="H82" s="19" t="str">
        <x:v>V2</x:v>
      </x:c>
      <x:c r="I82" s="19" t="str">
        <x:v>NOT_EXPOSED_IN_REPORT</x:v>
      </x:c>
      <x:c r="J82" s="31" t="str">
        <x:v>S1988-TORONTO</x:v>
      </x:c>
      <x:c r="K82" s="31" t="str">
        <x:v>RECONSTRUCTED_FROM_REPORT; Fear of Temperature_ Stratified Lexical Expansion, Voice Mapping, and Semantic-Relational Pre-Valida.pdf; p.9; project candidate FT-SEED-R1B-P-1988-18; original visible ID not available</x:v>
      </x:c>
      <x:c r="L82" s="31" t="str">
        <x:v>ZERO_RESPONSE_REUSED_BASELINE</x:v>
      </x:c>
      <x:c r="M82" s="31" t="str">
        <x:v>changed climatic extremes</x:v>
      </x:c>
      <x:c r="N82" s="31" t="str">
        <x:v>EXACT</x:v>
      </x:c>
      <x:c r="O82" s="19" t="str">
        <x:v>NOT_APPLICABLE</x:v>
      </x:c>
      <x:c r="P82" s="19" t="str">
        <x:v>NOT_APPLICABLE</x:v>
      </x:c>
      <x:c r="Q82" s="46" t="str">
        <x:v>NOT_APPLICABLE</x:v>
      </x:c>
      <x:c r="R82" s="46" t="str">
        <x:v>NOT_APPLICABLE</x:v>
      </x:c>
      <x:c r="S82" s="46" t="str">
        <x:v>NOT_APPLICABLE</x:v>
      </x:c>
      <x:c r="T82" s="46" t="str">
        <x:v>NOT_APPLICABLE</x:v>
      </x:c>
      <x:c r="U82" s="31" t="str">
        <x:v>Candidate surface form is directly representable in the public Ngram interface. The audited executable rule returned an empty Ngram payload; retained as source/query zero-response evidence, not historical absence.</x:v>
      </x:c>
      <x:c r="V82" s="31" t="str">
        <x:v>NO_STANDALONE_HEADWORD</x:v>
      </x:c>
      <x:c r="W82" s="31" t="str">
        <x:v>Component lexical analysis plus anchor-source contextual meaning</x:v>
      </x:c>
      <x:c r="X82" s="31" t="str">
        <x:v>A threat, risk, harm, severity, or consequence sense in the documented source; it is not automatically an emotion.</x:v>
      </x:c>
      <x:c r="Y82" s="31" t="str">
        <x:v>Generic material, ecological, or social damage; the candidate is interpreted in its documented anchor and voice context.</x:v>
      </x:c>
      <x:c r="Z82" s="31" t="str">
        <x:v>STRONG</x:v>
      </x:c>
      <x:c r="AA82" s="19" t="str">
        <x:v>The surface form may realize multiple senses; candidate meaning remains anchored to the report-visible source context.</x:v>
      </x:c>
      <x:c r="AB82" s="31" t="str">
        <x:v>Secondary: Component headword checked: extremes.;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https://api.dictionaryapi.dev/api/v2/entries/en/changed%20climatic%20extremes; https://websters1913.timcieplowski.com/word/extremes/</x:v>
      </x:c>
      <x:c r="AC82" s="31" t="str">
        <x:v>INTERNET_ARCHIVE_METADATA_TEXT_ITEM_COUNT</x:v>
      </x:c>
      <x:c r="AD82" s="19" t="str">
        <x:v>"changed climatic extremes" AND mediatype:texts</x:v>
      </x:c>
      <x:c r="AE82" s="31" t="str">
        <x:v>EXACT_PHRASE</x:v>
      </x:c>
      <x:c r="AF82" s="31" t="str">
        <x:v>COMPLETED_ZERO</x:v>
      </x:c>
      <x:c r="AG82" s="25" t="n">
        <x:v>0</x:v>
      </x:c>
      <x:c r="AH82" s="25" t="n">
        <x:v>0</x:v>
      </x:c>
      <x:c r="AI82" s="19" t="str">
        <x:v>2026-08-26</x:v>
      </x:c>
      <x:c r="AJ82" s="31" t="str">
        <x:v>Metadata text-item count; not a full-text lexical frequency. Secondary metric: Scholarly work discoverability count over OpenAlex search fields; not a corpus word frequency.</x:v>
      </x:c>
      <x:c r="AK82" s="31" t="str">
        <x:v>FULLY_COVERED</x:v>
      </x:c>
      <x:c r="AL82" s="19" t="str">
        <x:v>PENDING_SOURCE_REVIEW</x:v>
      </x:c>
      <x:c r="AM82" s="20" t="str">
        <x:v>MEDIUM</x:v>
      </x:c>
    </x:row>
    <x:row r="83" ht="34" customHeight="1">
      <x:c r="A83" s="40" t="str">
        <x:v>FT-SEED-R1B-P-1988-19</x:v>
      </x:c>
      <x:c r="B83" s="19" t="str">
        <x:v>1988</x:v>
      </x:c>
      <x:c r="C83" s="25" t="n">
        <x:v>19</x:v>
      </x:c>
      <x:c r="D83" s="31" t="str">
        <x:v>major threat</x:v>
      </x:c>
      <x:c r="E83" s="31" t="str">
        <x:v>institutional climate threat</x:v>
      </x:c>
      <x:c r="F83" s="31" t="str">
        <x:v>danger_threat</x:v>
      </x:c>
      <x:c r="G83" s="19" t="str">
        <x:v>D</x:v>
      </x:c>
      <x:c r="H83" s="19" t="str">
        <x:v>V2</x:v>
      </x:c>
      <x:c r="I83" s="19" t="str">
        <x:v>NOT_EXPOSED_IN_REPORT</x:v>
      </x:c>
      <x:c r="J83" s="31" t="str">
        <x:v>S1988-TORONTO</x:v>
      </x:c>
      <x:c r="K83" s="31" t="str">
        <x:v>RECONSTRUCTED_FROM_REPORT; Fear of Temperature_ Stratified Lexical Expansion, Voice Mapping, and Semantic-Relational Pre-Valida.pdf; p.9; project candidate FT-SEED-R1B-P-1988-19; original visible ID not available</x:v>
      </x:c>
      <x:c r="L83" s="31" t="str">
        <x:v>SUCCEEDED_REUSED_BASELINE</x:v>
      </x:c>
      <x:c r="M83" s="31" t="str">
        <x:v>major threat</x:v>
      </x:c>
      <x:c r="N83" s="31" t="str">
        <x:v>EXACT</x:v>
      </x:c>
      <x:c r="O83" s="19" t="str">
        <x:v>1844</x:v>
      </x:c>
      <x:c r="P83" s="19" t="str">
        <x:v>2021</x:v>
      </x:c>
      <x:c r="Q83" s="46" t="n">
        <x:v>2.630044870777226e-7</x:v>
      </x:c>
      <x:c r="R83" s="46" t="n">
        <x:v>2.2550459527481692e-7</x:v>
      </x:c>
      <x:c r="S83" s="46" t="n">
        <x:v>2.1912260729783918e-7</x:v>
      </x:c>
      <x:c r="T83" s="46" t="n">
        <x:v>2.351791106303125e-7</x:v>
      </x:c>
      <x:c r="U83" s="31" t="str">
        <x:v>Candidate surface form is directly representable in the public Ngram interface. Complete 1842–2022 unsmoothed series reused from the audited quantitative-v0.1 baseline.</x:v>
      </x:c>
      <x:c r="V83" s="31" t="str">
        <x:v>NO_STANDALONE_HEADWORD</x:v>
      </x:c>
      <x:c r="W83" s="31" t="str">
        <x:v>Component lexical analysis plus anchor-source contextual meaning</x:v>
      </x:c>
      <x:c r="X83" s="31" t="str">
        <x:v>A threat, risk, harm, severity, or consequence sense in the documented source; it is not automatically an emotion.</x:v>
      </x:c>
      <x:c r="Y83" s="31" t="str">
        <x:v>Climate change framed as an institutional threat; the candidate is interpreted in its documented anchor and voice context.</x:v>
      </x:c>
      <x:c r="Z83" s="31" t="str">
        <x:v>STRONG</x:v>
      </x:c>
      <x:c r="AA83" s="19" t="str">
        <x:v>The surface form may realize multiple senses; candidate meaning remains anchored to the report-visible source context.</x:v>
      </x:c>
      <x:c r="AB83"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https://api.dictionaryapi.dev/api/v2/entries/en/major%20threat; https://websters1913.timcieplowski.com/word/threat/</x:v>
      </x:c>
      <x:c r="AC83" s="31" t="str">
        <x:v>INTERNET_ARCHIVE_METADATA_TEXT_ITEM_COUNT</x:v>
      </x:c>
      <x:c r="AD83" s="19" t="str">
        <x:v>"major threat" AND mediatype:texts</x:v>
      </x:c>
      <x:c r="AE83" s="31" t="str">
        <x:v>EXACT_PHRASE</x:v>
      </x:c>
      <x:c r="AF83" s="31" t="str">
        <x:v>COMPLETED_NONZERO</x:v>
      </x:c>
      <x:c r="AG83" s="25" t="n">
        <x:v>659</x:v>
      </x:c>
      <x:c r="AH83" s="25" t="n">
        <x:v>82</x:v>
      </x:c>
      <x:c r="AI83" s="19" t="str">
        <x:v>2026-08-26</x:v>
      </x:c>
      <x:c r="AJ83" s="31" t="str">
        <x:v>Metadata text-item count; not a full-text lexical frequency. Secondary metric: NOT_RUN_OPENALEX_DAILY_BUDGET_EXHAUSTED: shared provider response retained; no count fabricated.</x:v>
      </x:c>
      <x:c r="AK83" s="31" t="str">
        <x:v>FULLY_COVERED</x:v>
      </x:c>
      <x:c r="AL83" s="19" t="str">
        <x:v>PENDING_SOURCE_REVIEW</x:v>
      </x:c>
      <x:c r="AM83" s="20" t="str">
        <x:v>MEDIUM</x:v>
      </x:c>
    </x:row>
    <x:row r="84" ht="34" customHeight="1">
      <x:c r="A84" s="40" t="str">
        <x:v>FT-SEED-R1B-P-1988-20</x:v>
      </x:c>
      <x:c r="B84" s="19" t="str">
        <x:v>1988</x:v>
      </x:c>
      <x:c r="C84" s="25" t="n">
        <x:v>20</x:v>
      </x:c>
      <x:c r="D84" s="31" t="str">
        <x:v>harmful consequences</x:v>
      </x:c>
      <x:c r="E84" s="31" t="str">
        <x:v>generic damage</x:v>
      </x:c>
      <x:c r="F84" s="31" t="str">
        <x:v>harm_loss_consequences</x:v>
      </x:c>
      <x:c r="G84" s="19" t="str">
        <x:v>D</x:v>
      </x:c>
      <x:c r="H84" s="19" t="str">
        <x:v>V2</x:v>
      </x:c>
      <x:c r="I84" s="19" t="str">
        <x:v>NOT_EXPOSED_IN_REPORT</x:v>
      </x:c>
      <x:c r="J84" s="31" t="str">
        <x:v>S1988-TORONTO</x:v>
      </x:c>
      <x:c r="K84" s="31" t="str">
        <x:v>RECONSTRUCTED_FROM_REPORT; Fear of Temperature_ Stratified Lexical Expansion, Voice Mapping, and Semantic-Relational Pre-Valida.pdf; p.9; project candidate FT-SEED-R1B-P-1988-20; original visible ID not available</x:v>
      </x:c>
      <x:c r="L84" s="31" t="str">
        <x:v>SUCCEEDED_REUSED_BASELINE</x:v>
      </x:c>
      <x:c r="M84" s="31" t="str">
        <x:v>harmful consequences</x:v>
      </x:c>
      <x:c r="N84" s="31" t="str">
        <x:v>EXACT</x:v>
      </x:c>
      <x:c r="O84" s="19" t="str">
        <x:v>1844</x:v>
      </x:c>
      <x:c r="P84" s="19" t="str">
        <x:v>2022</x:v>
      </x:c>
      <x:c r="Q84" s="46" t="n">
        <x:v>1.4125787761720687e-7</x:v>
      </x:c>
      <x:c r="R84" s="46" t="n">
        <x:v>8.069599446991482e-8</x:v>
      </x:c>
      <x:c r="S84" s="46" t="n">
        <x:v>8.098120236471606e-8</x:v>
      </x:c>
      <x:c r="T84" s="46" t="n">
        <x:v>1.4125787761720687e-7</x:v>
      </x:c>
      <x:c r="U84" s="31" t="str">
        <x:v>Candidate surface form is directly representable in the public Ngram interface. Complete 1842–2022 unsmoothed series reused from the audited quantitative-v0.1 baseline.</x:v>
      </x:c>
      <x:c r="V84" s="31" t="str">
        <x:v>NO_STANDALONE_HEADWORD</x:v>
      </x:c>
      <x:c r="W84" s="31" t="str">
        <x:v>Component lexical analysis plus anchor-source contextual meaning</x:v>
      </x:c>
      <x:c r="X84" s="31" t="str">
        <x:v>A threat, risk, harm, severity, or consequence sense in the documented source; it is not automatically an emotion.</x:v>
      </x:c>
      <x:c r="Y84" s="31" t="str">
        <x:v>Generic material, ecological, or social damage; the candidate is interpreted in its documented anchor and voice context.</x:v>
      </x:c>
      <x:c r="Z84" s="31" t="str">
        <x:v>STRONG</x:v>
      </x:c>
      <x:c r="AA84" s="19" t="str">
        <x:v>The surface form may realize multiple senses; candidate meaning remains anchored to the report-visible source context.</x:v>
      </x:c>
      <x:c r="AB84" s="31" t="str">
        <x:v>Secondary: Component headword checked: consequences.;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https://api.dictionaryapi.dev/api/v2/entries/en/harmful%20consequences; https://websters1913.timcieplowski.com/word/consequences/</x:v>
      </x:c>
      <x:c r="AC84" s="31" t="str">
        <x:v>INTERNET_ARCHIVE_METADATA_TEXT_ITEM_COUNT</x:v>
      </x:c>
      <x:c r="AD84" s="19" t="str">
        <x:v>"harmful consequences" AND mediatype:texts</x:v>
      </x:c>
      <x:c r="AE84" s="31" t="str">
        <x:v>EXACT_PHRASE</x:v>
      </x:c>
      <x:c r="AF84" s="31" t="str">
        <x:v>COMPLETED_NONZERO</x:v>
      </x:c>
      <x:c r="AG84" s="25" t="n">
        <x:v>111</x:v>
      </x:c>
      <x:c r="AH84" s="25" t="n">
        <x:v>4</x:v>
      </x:c>
      <x:c r="AI84" s="19" t="str">
        <x:v>2026-08-26</x:v>
      </x:c>
      <x:c r="AJ84" s="31" t="str">
        <x:v>Metadata text-item count; not a full-text lexical frequency. Secondary metric: NOT_RUN_OPENALEX_DAILY_BUDGET_EXHAUSTED: shared provider response retained; no count fabricated.</x:v>
      </x:c>
      <x:c r="AK84" s="31" t="str">
        <x:v>FULLY_COVERED</x:v>
      </x:c>
      <x:c r="AL84" s="19" t="str">
        <x:v>PENDING_SOURCE_REVIEW</x:v>
      </x:c>
      <x:c r="AM84" s="20" t="str">
        <x:v>MEDIUM</x:v>
      </x:c>
    </x:row>
    <x:row r="85" ht="34" customHeight="1">
      <x:c r="A85" s="40" t="str">
        <x:v>FT-SEED-R1B-P-1988-21</x:v>
      </x:c>
      <x:c r="B85" s="19" t="str">
        <x:v>1988</x:v>
      </x:c>
      <x:c r="C85" s="25" t="n">
        <x:v>21</x:v>
      </x:c>
      <x:c r="D85" s="31" t="str">
        <x:v>grave threats</x:v>
      </x:c>
      <x:c r="E85" s="31" t="str">
        <x:v>institutional climate threat</x:v>
      </x:c>
      <x:c r="F85" s="31" t="str">
        <x:v>danger_threat</x:v>
      </x:c>
      <x:c r="G85" s="19" t="str">
        <x:v>D</x:v>
      </x:c>
      <x:c r="H85" s="19" t="str">
        <x:v>V2</x:v>
      </x:c>
      <x:c r="I85" s="19" t="str">
        <x:v>NOT_EXPOSED_IN_REPORT</x:v>
      </x:c>
      <x:c r="J85" s="31" t="str">
        <x:v>S1988-TORONTO</x:v>
      </x:c>
      <x:c r="K85" s="31" t="str">
        <x:v>RECONSTRUCTED_FROM_REPORT; Fear of Temperature_ Stratified Lexical Expansion, Voice Mapping, and Semantic-Relational Pre-Valida.pdf; p.9; project candidate FT-SEED-R1B-P-1988-21; original visible ID not available</x:v>
      </x:c>
      <x:c r="L85" s="31" t="str">
        <x:v>SUCCEEDED_REUSED_BASELINE</x:v>
      </x:c>
      <x:c r="M85" s="31" t="str">
        <x:v>grave threats</x:v>
      </x:c>
      <x:c r="N85" s="31" t="str">
        <x:v>EXACT</x:v>
      </x:c>
      <x:c r="O85" s="19" t="str">
        <x:v>1843</x:v>
      </x:c>
      <x:c r="P85" s="19" t="str">
        <x:v>2008</x:v>
      </x:c>
      <x:c r="Q85" s="46" t="n">
        <x:v>1.763470425242275e-8</x:v>
      </x:c>
      <x:c r="R85" s="46" t="n">
        <x:v>1.0710110541489737e-8</x:v>
      </x:c>
      <x:c r="S85" s="46" t="n">
        <x:v>1.2090141468523718e-8</x:v>
      </x:c>
      <x:c r="T85" s="46" t="n">
        <x:v>9.423090391313949e-9</x:v>
      </x:c>
      <x:c r="U85" s="31" t="str">
        <x:v>Candidate surface form is directly representable in the public Ngram interface. Complete 1842–2022 unsmoothed series reused from the audited quantitative-v0.1 baseline.</x:v>
      </x:c>
      <x:c r="V85" s="31" t="str">
        <x:v>NO_STANDALONE_HEADWORD</x:v>
      </x:c>
      <x:c r="W85" s="31" t="str">
        <x:v>Component lexical analysis plus anchor-source contextual meaning</x:v>
      </x:c>
      <x:c r="X85" s="31" t="str">
        <x:v>A threat, risk, harm, severity, or consequence sense in the documented source; it is not automatically an emotion.</x:v>
      </x:c>
      <x:c r="Y85" s="31" t="str">
        <x:v>Climate change framed as an institutional threat; the candidate is interpreted in its documented anchor and voice context.</x:v>
      </x:c>
      <x:c r="Z85" s="31" t="str">
        <x:v>STRONG</x:v>
      </x:c>
      <x:c r="AA85" s="19" t="str">
        <x:v>The surface form may realize multiple senses; candidate meaning remains anchored to the report-visible source context.</x:v>
      </x:c>
      <x:c r="AB85" s="31" t="str">
        <x:v>Secondary: Component headword checked: threats.;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https://api.dictionaryapi.dev/api/v2/entries/en/grave%20threats; https://websters1913.timcieplowski.com/word/threats/</x:v>
      </x:c>
      <x:c r="AC85" s="31" t="str">
        <x:v>INTERNET_ARCHIVE_METADATA_TEXT_ITEM_COUNT</x:v>
      </x:c>
      <x:c r="AD85" s="19" t="str">
        <x:v>"grave threats" AND mediatype:texts</x:v>
      </x:c>
      <x:c r="AE85" s="31" t="str">
        <x:v>EXACT_PHRASE</x:v>
      </x:c>
      <x:c r="AF85" s="31" t="str">
        <x:v>COMPLETED_NONZERO</x:v>
      </x:c>
      <x:c r="AG85" s="25" t="n">
        <x:v>21</x:v>
      </x:c>
      <x:c r="AH85" s="25" t="n">
        <x:v>1</x:v>
      </x:c>
      <x:c r="AI85" s="19" t="str">
        <x:v>2026-08-26</x:v>
      </x:c>
      <x:c r="AJ85" s="31" t="str">
        <x:v>Metadata text-item count; not a full-text lexical frequency. Secondary metric: NOT_RUN_OPENALEX_DAILY_BUDGET_EXHAUSTED: shared provider response retained; no count fabricated.</x:v>
      </x:c>
      <x:c r="AK85" s="31" t="str">
        <x:v>FULLY_COVERED</x:v>
      </x:c>
      <x:c r="AL85" s="19" t="str">
        <x:v>PENDING_SOURCE_REVIEW</x:v>
      </x:c>
      <x:c r="AM85" s="20" t="str">
        <x:v>MEDIUM</x:v>
      </x:c>
    </x:row>
    <x:row r="86" ht="34" customHeight="1">
      <x:c r="A86" s="40" t="str">
        <x:v>FT-SEED-R1B-P-1988-22</x:v>
      </x:c>
      <x:c r="B86" s="19" t="str">
        <x:v>1988</x:v>
      </x:c>
      <x:c r="C86" s="25" t="n">
        <x:v>22</x:v>
      </x:c>
      <x:c r="D86" s="31" t="str">
        <x:v>severe economic and social dislocation</x:v>
      </x:c>
      <x:c r="E86" s="31" t="str">
        <x:v>generic damage</x:v>
      </x:c>
      <x:c r="F86" s="31" t="str">
        <x:v>harm_loss_consequences</x:v>
      </x:c>
      <x:c r="G86" s="19" t="str">
        <x:v>D</x:v>
      </x:c>
      <x:c r="H86" s="19" t="str">
        <x:v>V2</x:v>
      </x:c>
      <x:c r="I86" s="19" t="str">
        <x:v>NOT_EXPOSED_IN_REPORT</x:v>
      </x:c>
      <x:c r="J86" s="31" t="str">
        <x:v>S1988-TORONTO</x:v>
      </x:c>
      <x:c r="K86" s="31" t="str">
        <x:v>RECONSTRUCTED_FROM_REPORT; Fear of Temperature_ Stratified Lexical Expansion, Voice Mapping, and Semantic-Relational Pre-Valida.pdf; p.9; project candidate FT-SEED-R1B-P-1988-22; original visible ID not available</x:v>
      </x:c>
      <x:c r="L86" s="31" t="str">
        <x:v>SUCCEEDED_NEW</x:v>
      </x:c>
      <x:c r="M86" s="31" t="str">
        <x:v>severe economic and social dislocation</x:v>
      </x:c>
      <x:c r="N86" s="31" t="str">
        <x:v>EXACT</x:v>
      </x:c>
      <x:c r="O86" s="19" t="str">
        <x:v>1939</x:v>
      </x:c>
      <x:c r="P86" s="19" t="str">
        <x:v>1989</x:v>
      </x:c>
      <x:c r="Q86" s="46" t="n">
        <x:v>1.7840144916903e-9</x:v>
      </x:c>
      <x:c r="R86" s="46" t="n">
        <x:v>1.2381732306110393e-9</x:v>
      </x:c>
      <x:c r="S86" s="46" t="n">
        <x:v>1.0982789566682527e-9</x:v>
      </x:c>
      <x:c r="T86" s="46" t="n">
        <x:v>1.630940660302116e-10</x:v>
      </x:c>
      <x:c r="U86" s="31" t="str">
        <x:v>Candidate surface form is directly representable in the public Ngram interface. New unsmoothed 1842–2022 series retrieved for the candidate audit.</x:v>
      </x:c>
      <x:c r="V86" s="31" t="str">
        <x:v>NO_STANDALONE_HEADWORD</x:v>
      </x:c>
      <x:c r="W86" s="31" t="str">
        <x:v>Component lexical analysis plus anchor-source contextual meaning</x:v>
      </x:c>
      <x:c r="X86" s="31" t="str">
        <x:v>A threat, risk, harm, severity, or consequence sense in the documented source; it is not automatically an emotion.</x:v>
      </x:c>
      <x:c r="Y86" s="31" t="str">
        <x:v>Generic material, ecological, or social damage; the candidate is interpreted in its documented anchor and voice context.</x:v>
      </x:c>
      <x:c r="Z86" s="31" t="str">
        <x:v>STRONG</x:v>
      </x:c>
      <x:c r="AA86" s="19" t="str">
        <x:v>The surface form may realize multiple senses; candidate meaning remains anchored to the report-visible source context.</x:v>
      </x:c>
      <x:c r="AB86" s="31" t="str">
        <x:v>Secondary: Component headword checked: dislocation.;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https://api.dictionaryapi.dev/api/v2/entries/en/severe%20economic%20and%20social%20dislocation; https://websters1913.timcieplowski.com/word/dislocation/</x:v>
      </x:c>
      <x:c r="AC86" s="31" t="str">
        <x:v>INTERNET_ARCHIVE_METADATA_TEXT_ITEM_COUNT</x:v>
      </x:c>
      <x:c r="AD86" s="19" t="str">
        <x:v>"severe economic and social dislocation" AND mediatype:texts</x:v>
      </x:c>
      <x:c r="AE86" s="31" t="str">
        <x:v>EXACT_PHRASE</x:v>
      </x:c>
      <x:c r="AF86" s="31" t="str">
        <x:v>COMPLETED_ZERO</x:v>
      </x:c>
      <x:c r="AG86" s="25" t="n">
        <x:v>0</x:v>
      </x:c>
      <x:c r="AH86" s="25" t="n">
        <x:v>0</x:v>
      </x:c>
      <x:c r="AI86" s="19" t="str">
        <x:v>2026-08-26</x:v>
      </x:c>
      <x:c r="AJ86" s="31" t="str">
        <x:v>Metadata text-item count; not a full-text lexical frequency. Secondary metric: NOT_RUN_OPENALEX_DAILY_BUDGET_EXHAUSTED: shared provider response retained; no count fabricated.</x:v>
      </x:c>
      <x:c r="AK86" s="31" t="str">
        <x:v>FULLY_COVERED</x:v>
      </x:c>
      <x:c r="AL86" s="19" t="str">
        <x:v>PENDING_SOURCE_REVIEW</x:v>
      </x:c>
      <x:c r="AM86" s="20" t="str">
        <x:v>MEDIUM</x:v>
      </x:c>
    </x:row>
    <x:row r="87" ht="34" customHeight="1">
      <x:c r="A87" s="40" t="str">
        <x:v>FT-SEED-R1B-P-1988-23</x:v>
      </x:c>
      <x:c r="B87" s="19" t="str">
        <x:v>1988</x:v>
      </x:c>
      <x:c r="C87" s="25" t="n">
        <x:v>23</x:v>
      </x:c>
      <x:c r="D87" s="31" t="str">
        <x:v>risk of conflicts</x:v>
      </x:c>
      <x:c r="E87" s="31" t="str">
        <x:v>administrative risk assessment</x:v>
      </x:c>
      <x:c r="F87" s="31" t="str">
        <x:v>risk</x:v>
      </x:c>
      <x:c r="G87" s="19" t="str">
        <x:v>D</x:v>
      </x:c>
      <x:c r="H87" s="19" t="str">
        <x:v>V2</x:v>
      </x:c>
      <x:c r="I87" s="19" t="str">
        <x:v>NOT_EXPOSED_IN_REPORT</x:v>
      </x:c>
      <x:c r="J87" s="31" t="str">
        <x:v>S1988-TORONTO</x:v>
      </x:c>
      <x:c r="K87" s="31" t="str">
        <x:v>RECONSTRUCTED_FROM_REPORT; Fear of Temperature_ Stratified Lexical Expansion, Voice Mapping, and Semantic-Relational Pre-Valida.pdf; p.9; project candidate FT-SEED-R1B-P-1988-23; original visible ID not available</x:v>
      </x:c>
      <x:c r="L87" s="31" t="str">
        <x:v>SUCCEEDED_NEW</x:v>
      </x:c>
      <x:c r="M87" s="31" t="str">
        <x:v>risk of conflicts</x:v>
      </x:c>
      <x:c r="N87" s="31" t="str">
        <x:v>EXACT</x:v>
      </x:c>
      <x:c r="O87" s="19" t="str">
        <x:v>1868</x:v>
      </x:c>
      <x:c r="P87" s="19" t="str">
        <x:v>2011</x:v>
      </x:c>
      <x:c r="Q87" s="46" t="n">
        <x:v>9.72769109708338e-9</x:v>
      </x:c>
      <x:c r="R87" s="46" t="n">
        <x:v>3.2436144881131668e-9</x:v>
      </x:c>
      <x:c r="S87" s="46" t="n">
        <x:v>3.07107153041386e-9</x:v>
      </x:c>
      <x:c r="T87" s="46" t="n">
        <x:v>7.3312812765014e-9</x:v>
      </x:c>
      <x:c r="U87" s="31" t="str">
        <x:v>Candidate surface form is directly representable in the public Ngram interface. New unsmoothed 1842–2022 series retrieved for the candidate audit.</x:v>
      </x:c>
      <x:c r="V87" s="31" t="str">
        <x:v>NO_STANDALONE_HEADWORD</x:v>
      </x:c>
      <x:c r="W87" s="31" t="str">
        <x:v>Component lexical analysis plus anchor-source contextual meaning</x:v>
      </x:c>
      <x:c r="X87" s="31" t="str">
        <x:v>A threat, risk, harm, severity, or consequence sense in the documented source; it is not automatically an emotion.</x:v>
      </x:c>
      <x:c r="Y87" s="31" t="str">
        <x:v>Risk managed or assessed through institutional procedure; the candidate is interpreted in its documented anchor and voice context.</x:v>
      </x:c>
      <x:c r="Z87" s="31" t="str">
        <x:v>STRONG</x:v>
      </x:c>
      <x:c r="AA87" s="19" t="str">
        <x:v>The surface form may realize multiple senses; candidate meaning remains anchored to the report-visible source context.</x:v>
      </x:c>
      <x:c r="AB87" s="31" t="str">
        <x:v>Secondary: Component headword checked: conflicts.;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https://api.dictionaryapi.dev/api/v2/entries/en/risk%20of%20conflicts; https://websters1913.timcieplowski.com/word/conflicts/</x:v>
      </x:c>
      <x:c r="AC87" s="31" t="str">
        <x:v>INTERNET_ARCHIVE_METADATA_TEXT_ITEM_COUNT</x:v>
      </x:c>
      <x:c r="AD87" s="19" t="str">
        <x:v>"risk of conflicts" AND mediatype:texts</x:v>
      </x:c>
      <x:c r="AE87" s="31" t="str">
        <x:v>EXACT_PHRASE</x:v>
      </x:c>
      <x:c r="AF87" s="31" t="str">
        <x:v>COMPLETED_NONZERO</x:v>
      </x:c>
      <x:c r="AG87" s="25" t="n">
        <x:v>4</x:v>
      </x:c>
      <x:c r="AH87" s="25" t="n">
        <x:v>0</x:v>
      </x:c>
      <x:c r="AI87" s="19" t="str">
        <x:v>2026-08-26</x:v>
      </x:c>
      <x:c r="AJ87" s="31" t="str">
        <x:v>Metadata text-item count; not a full-text lexical frequency. Secondary metric: NOT_RUN_OPENALEX_DAILY_BUDGET_EXHAUSTED: shared provider response retained; no count fabricated.</x:v>
      </x:c>
      <x:c r="AK87" s="31" t="str">
        <x:v>FULLY_COVERED</x:v>
      </x:c>
      <x:c r="AL87" s="19" t="str">
        <x:v>PENDING_SOURCE_REVIEW</x:v>
      </x:c>
      <x:c r="AM87" s="20" t="str">
        <x:v>MEDIUM</x:v>
      </x:c>
    </x:row>
    <x:row r="88" ht="34" customHeight="1">
      <x:c r="A88" s="40" t="str">
        <x:v>FT-SEED-R1B-P-1988-24</x:v>
      </x:c>
      <x:c r="B88" s="19" t="str">
        <x:v>1988</x:v>
      </x:c>
      <x:c r="C88" s="25" t="n">
        <x:v>24</x:v>
      </x:c>
      <x:c r="D88" s="31" t="str">
        <x:v>impending crisis</x:v>
      </x:c>
      <x:c r="E88" s="31" t="str">
        <x:v>severity / crisis predicate</x:v>
      </x:c>
      <x:c r="F88" s="31" t="str">
        <x:v>crisis_emergency</x:v>
      </x:c>
      <x:c r="G88" s="19" t="str">
        <x:v>D</x:v>
      </x:c>
      <x:c r="H88" s="19" t="str">
        <x:v>V2</x:v>
      </x:c>
      <x:c r="I88" s="19" t="str">
        <x:v>NOT_EXPOSED_IN_REPORT</x:v>
      </x:c>
      <x:c r="J88" s="31" t="str">
        <x:v>S1988-TORONTO</x:v>
      </x:c>
      <x:c r="K88" s="31" t="str">
        <x:v>RECONSTRUCTED_FROM_REPORT; Fear of Temperature_ Stratified Lexical Expansion, Voice Mapping, and Semantic-Relational Pre-Valida.pdf; p.9; project candidate FT-SEED-R1B-P-1988-24; original visible ID not available</x:v>
      </x:c>
      <x:c r="L88" s="31" t="str">
        <x:v>SUCCEEDED_NEW</x:v>
      </x:c>
      <x:c r="M88" s="31" t="str">
        <x:v>impending crisis</x:v>
      </x:c>
      <x:c r="N88" s="31" t="str">
        <x:v>EXACT</x:v>
      </x:c>
      <x:c r="O88" s="19" t="str">
        <x:v>1842</x:v>
      </x:c>
      <x:c r="P88" s="19" t="str">
        <x:v>1860</x:v>
      </x:c>
      <x:c r="Q88" s="46" t="n">
        <x:v>2.7402237695595133e-7</x:v>
      </x:c>
      <x:c r="R88" s="46" t="n">
        <x:v>5.004632412305976e-8</x:v>
      </x:c>
      <x:c r="S88" s="46" t="n">
        <x:v>5.116446560385346e-8</x:v>
      </x:c>
      <x:c r="T88" s="46" t="n">
        <x:v>5.18933595816673e-8</x:v>
      </x:c>
      <x:c r="U88" s="31" t="str">
        <x:v>Candidate surface form is directly representable in the public Ngram interface. New unsmoothed 1842–2022 series retrieved for the candidate audit.</x:v>
      </x:c>
      <x:c r="V88" s="31" t="str">
        <x:v>NO_STANDALONE_HEADWORD</x:v>
      </x:c>
      <x:c r="W88" s="31" t="str">
        <x:v>Component lexical analysis plus anchor-source contextual meaning</x:v>
      </x:c>
      <x:c r="X88" s="31" t="str">
        <x:v>A threat, risk, harm, severity, or consequence sense in the documented source; it is not automatically an emotion.</x:v>
      </x:c>
      <x:c r="Y88" s="31" t="str">
        <x:v>Crisis used as a severity predicate without necessarily being an established issue label; the candidate is interpreted in its documented anchor and voice context.</x:v>
      </x:c>
      <x:c r="Z88" s="31" t="str">
        <x:v>STRONG</x:v>
      </x:c>
      <x:c r="AA88" s="19" t="str">
        <x:v>The surface form may realize multiple senses; candidate meaning remains anchored to the report-visible source context.</x:v>
      </x:c>
      <x:c r="AB88" s="31" t="str">
        <x:v>Secondary: Component headword checked: crisis.;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https://api.dictionaryapi.dev/api/v2/entries/en/impending%20crisis; https://websters1913.timcieplowski.com/word/crisis/</x:v>
      </x:c>
      <x:c r="AC88" s="31" t="str">
        <x:v>INTERNET_ARCHIVE_METADATA_TEXT_ITEM_COUNT</x:v>
      </x:c>
      <x:c r="AD88" s="19" t="str">
        <x:v>"impending crisis" AND mediatype:texts</x:v>
      </x:c>
      <x:c r="AE88" s="31" t="str">
        <x:v>EXACT_PHRASE</x:v>
      </x:c>
      <x:c r="AF88" s="31" t="str">
        <x:v>COMPLETED_NONZERO</x:v>
      </x:c>
      <x:c r="AG88" s="25" t="n">
        <x:v>203</x:v>
      </x:c>
      <x:c r="AH88" s="25" t="n">
        <x:v>11</x:v>
      </x:c>
      <x:c r="AI88" s="19" t="str">
        <x:v>2026-08-26</x:v>
      </x:c>
      <x:c r="AJ88" s="31" t="str">
        <x:v>Metadata text-item count; not a full-text lexical frequency. Secondary metric: NOT_RUN_OPENALEX_DAILY_BUDGET_EXHAUSTED: shared provider response retained; no count fabricated.</x:v>
      </x:c>
      <x:c r="AK88" s="31" t="str">
        <x:v>FULLY_COVERED</x:v>
      </x:c>
      <x:c r="AL88" s="19" t="str">
        <x:v>PENDING_SOURCE_REVIEW</x:v>
      </x:c>
      <x:c r="AM88" s="20" t="str">
        <x:v>MEDIUM</x:v>
      </x:c>
    </x:row>
    <x:row r="89" ht="34" customHeight="1">
      <x:c r="A89" s="40" t="str">
        <x:v>FT-SEED-R1B-P-1988-25</x:v>
      </x:c>
      <x:c r="B89" s="19" t="str">
        <x:v>1988</x:v>
      </x:c>
      <x:c r="C89" s="25" t="n">
        <x:v>25</x:v>
      </x:c>
      <x:c r="D89" s="31" t="str">
        <x:v>degradation of the atmosphere</x:v>
      </x:c>
      <x:c r="E89" s="31" t="str">
        <x:v>generic damage</x:v>
      </x:c>
      <x:c r="F89" s="31" t="str">
        <x:v>harm_loss_consequences</x:v>
      </x:c>
      <x:c r="G89" s="19" t="str">
        <x:v>D</x:v>
      </x:c>
      <x:c r="H89" s="19" t="str">
        <x:v>V2</x:v>
      </x:c>
      <x:c r="I89" s="19" t="str">
        <x:v>NOT_EXPOSED_IN_REPORT</x:v>
      </x:c>
      <x:c r="J89" s="31" t="str">
        <x:v>S1988-TORONTO</x:v>
      </x:c>
      <x:c r="K89" s="31" t="str">
        <x:v>RECONSTRUCTED_FROM_REPORT; Fear of Temperature_ Stratified Lexical Expansion, Voice Mapping, and Semantic-Relational Pre-Valida.pdf; p.9; project candidate FT-SEED-R1B-P-1988-25; original visible ID not available</x:v>
      </x:c>
      <x:c r="L89" s="31" t="str">
        <x:v>SUCCEEDED_NEW</x:v>
      </x:c>
      <x:c r="M89" s="31" t="str">
        <x:v>degradation of the atmosphere</x:v>
      </x:c>
      <x:c r="N89" s="31" t="str">
        <x:v>EXACT</x:v>
      </x:c>
      <x:c r="O89" s="19" t="str">
        <x:v>1901</x:v>
      </x:c>
      <x:c r="P89" s="19" t="str">
        <x:v>1974</x:v>
      </x:c>
      <x:c r="Q89" s="46" t="n">
        <x:v>2.048499814222282e-9</x:v>
      </x:c>
      <x:c r="R89" s="46" t="n">
        <x:v>7.17079950973698e-10</x:v>
      </x:c>
      <x:c r="S89" s="46" t="n">
        <x:v>9.548699442252228e-10</x:v>
      </x:c>
      <x:c r="T89" s="46" t="n">
        <x:v>5.081168263920688e-10</x:v>
      </x:c>
      <x:c r="U89" s="31" t="str">
        <x:v>Candidate surface form is directly representable in the public Ngram interface. New unsmoothed 1842–2022 series retrieved for the candidate audit.</x:v>
      </x:c>
      <x:c r="V89" s="31" t="str">
        <x:v>NO_STANDALONE_HEADWORD</x:v>
      </x:c>
      <x:c r="W89" s="31" t="str">
        <x:v>Component lexical analysis plus anchor-source contextual meaning</x:v>
      </x:c>
      <x:c r="X89" s="31" t="str">
        <x:v>A threat, risk, harm, severity, or consequence sense in the documented source; it is not automatically an emotion.</x:v>
      </x:c>
      <x:c r="Y89" s="31" t="str">
        <x:v>Generic material, ecological, or social damage; the candidate is interpreted in its documented anchor and voice context.</x:v>
      </x:c>
      <x:c r="Z89" s="31" t="str">
        <x:v>STRONG</x:v>
      </x:c>
      <x:c r="AA89" s="19" t="str">
        <x:v>The surface form may realize multiple senses; candidate meaning remains anchored to the report-visible source context.</x:v>
      </x:c>
      <x:c r="AB89" s="31" t="str">
        <x:v>Secondary: Component headword checked: atmosphere.;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https://api.dictionaryapi.dev/api/v2/entries/en/degradation%20of%20the%20atmosphere; https://websters1913.timcieplowski.com/word/atmosphere/</x:v>
      </x:c>
      <x:c r="AC89" s="31" t="str">
        <x:v>INTERNET_ARCHIVE_METADATA_TEXT_ITEM_COUNT</x:v>
      </x:c>
      <x:c r="AD89" s="19" t="str">
        <x:v>"degradation of the atmosphere" AND mediatype:texts</x:v>
      </x:c>
      <x:c r="AE89" s="31" t="str">
        <x:v>EXACT_PHRASE</x:v>
      </x:c>
      <x:c r="AF89" s="31" t="str">
        <x:v>COMPLETED_ZERO</x:v>
      </x:c>
      <x:c r="AG89" s="25" t="n">
        <x:v>0</x:v>
      </x:c>
      <x:c r="AH89" s="25" t="n">
        <x:v>0</x:v>
      </x:c>
      <x:c r="AI89" s="19" t="str">
        <x:v>2026-08-26</x:v>
      </x:c>
      <x:c r="AJ89" s="31" t="str">
        <x:v>Metadata text-item count; not a full-text lexical frequency. Secondary metric: NOT_RUN_OPENALEX_DAILY_BUDGET_EXHAUSTED: shared provider response retained; no count fabricated.</x:v>
      </x:c>
      <x:c r="AK89" s="31" t="str">
        <x:v>FULLY_COVERED</x:v>
      </x:c>
      <x:c r="AL89" s="19" t="str">
        <x:v>PENDING_SOURCE_REVIEW</x:v>
      </x:c>
      <x:c r="AM89" s="20" t="str">
        <x:v>MEDIUM</x:v>
      </x:c>
    </x:row>
    <x:row r="90" ht="34" customHeight="1">
      <x:c r="A90" s="40" t="str">
        <x:v>FT-SEED-R1B-P-1988-26</x:v>
      </x:c>
      <x:c r="B90" s="19" t="str">
        <x:v>1988</x:v>
      </x:c>
      <x:c r="C90" s="25" t="n">
        <x:v>26</x:v>
      </x:c>
      <x:c r="D90" s="31" t="str">
        <x:v>atmospheric pollution</x:v>
      </x:c>
      <x:c r="E90" s="31" t="str">
        <x:v>generic damage</x:v>
      </x:c>
      <x:c r="F90" s="31" t="str">
        <x:v>harm_loss_consequences</x:v>
      </x:c>
      <x:c r="G90" s="19" t="str">
        <x:v>D</x:v>
      </x:c>
      <x:c r="H90" s="19" t="str">
        <x:v>V2</x:v>
      </x:c>
      <x:c r="I90" s="19" t="str">
        <x:v>NOT_EXPOSED_IN_REPORT</x:v>
      </x:c>
      <x:c r="J90" s="31" t="str">
        <x:v>S1988-TORONTO</x:v>
      </x:c>
      <x:c r="K90" s="31" t="str">
        <x:v>RECONSTRUCTED_FROM_REPORT; Fear of Temperature_ Stratified Lexical Expansion, Voice Mapping, and Semantic-Relational Pre-Valida.pdf; p.9; project candidate FT-SEED-R1B-P-1988-26; original visible ID not available</x:v>
      </x:c>
      <x:c r="L90" s="31" t="str">
        <x:v>SUCCEEDED_NEW</x:v>
      </x:c>
      <x:c r="M90" s="31" t="str">
        <x:v>atmospheric pollution</x:v>
      </x:c>
      <x:c r="N90" s="31" t="str">
        <x:v>EXACT</x:v>
      </x:c>
      <x:c r="O90" s="19" t="str">
        <x:v>1842</x:v>
      </x:c>
      <x:c r="P90" s="19" t="str">
        <x:v>1971</x:v>
      </x:c>
      <x:c r="Q90" s="46" t="n">
        <x:v>8.334724958536377e-7</x:v>
      </x:c>
      <x:c r="R90" s="46" t="n">
        <x:v>3.3304990159840897e-7</x:v>
      </x:c>
      <x:c r="S90" s="46" t="n">
        <x:v>3.300189624841354e-7</x:v>
      </x:c>
      <x:c r="T90" s="46" t="n">
        <x:v>1.1042269712491226e-7</x:v>
      </x:c>
      <x:c r="U90" s="31" t="str">
        <x:v>Candidate surface form is directly representable in the public Ngram interface. New unsmoothed 1842–2022 series retrieved for the candidate audit.</x:v>
      </x:c>
      <x:c r="V90" s="31" t="str">
        <x:v>NO_STANDALONE_HEADWORD</x:v>
      </x:c>
      <x:c r="W90" s="31" t="str">
        <x:v>Component lexical analysis plus anchor-source contextual meaning</x:v>
      </x:c>
      <x:c r="X90" s="31" t="str">
        <x:v>A threat, risk, harm, severity, or consequence sense in the documented source; it is not automatically an emotion.</x:v>
      </x:c>
      <x:c r="Y90" s="31" t="str">
        <x:v>Generic material, ecological, or social damage; the candidate is interpreted in its documented anchor and voice context.</x:v>
      </x:c>
      <x:c r="Z90" s="31" t="str">
        <x:v>STRONG</x:v>
      </x:c>
      <x:c r="AA90" s="19" t="str">
        <x:v>The surface form may realize multiple senses; candidate meaning remains anchored to the report-visible source context.</x:v>
      </x:c>
      <x:c r="AB90" s="31" t="str">
        <x:v>Secondary: Component headword checked: pollution.;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https://api.dictionaryapi.dev/api/v2/entries/en/atmospheric%20pollution; https://websters1913.timcieplowski.com/word/pollution/</x:v>
      </x:c>
      <x:c r="AC90" s="31" t="str">
        <x:v>INTERNET_ARCHIVE_METADATA_TEXT_ITEM_COUNT</x:v>
      </x:c>
      <x:c r="AD90" s="19" t="str">
        <x:v>"atmospheric pollution" AND mediatype:texts</x:v>
      </x:c>
      <x:c r="AE90" s="31" t="str">
        <x:v>EXACT_PHRASE</x:v>
      </x:c>
      <x:c r="AF90" s="31" t="str">
        <x:v>COMPLETED_NONZERO</x:v>
      </x:c>
      <x:c r="AG90" s="25" t="n">
        <x:v>221</x:v>
      </x:c>
      <x:c r="AH90" s="25" t="n">
        <x:v>19</x:v>
      </x:c>
      <x:c r="AI90" s="19" t="str">
        <x:v>2026-08-26</x:v>
      </x:c>
      <x:c r="AJ90" s="31" t="str">
        <x:v>Metadata text-item count; not a full-text lexical frequency. Secondary metric: Scholarly work discoverability count over OpenAlex search fields; not a corpus word frequency.</x:v>
      </x:c>
      <x:c r="AK90" s="31" t="str">
        <x:v>FULLY_COVERED</x:v>
      </x:c>
      <x:c r="AL90" s="19" t="str">
        <x:v>PENDING_SOURCE_REVIEW</x:v>
      </x:c>
      <x:c r="AM90" s="20" t="str">
        <x:v>MEDIUM</x:v>
      </x:c>
    </x:row>
    <x:row r="91" ht="34" customHeight="1">
      <x:c r="A91" s="40" t="str">
        <x:v>FT-SEED-R1B-P-1988-27</x:v>
      </x:c>
      <x:c r="B91" s="19" t="str">
        <x:v>1988</x:v>
      </x:c>
      <x:c r="C91" s="25" t="n">
        <x:v>27</x:v>
      </x:c>
      <x:c r="D91" s="31" t="str">
        <x:v>greenhouse gases</x:v>
      </x:c>
      <x:c r="E91" s="31" t="str">
        <x:v>anthropogenic greenhouse-gas emissions</x:v>
      </x:c>
      <x:c r="F91" s="31" t="str">
        <x:v>carbon_greenhouse</x:v>
      </x:c>
      <x:c r="G91" s="19" t="str">
        <x:v>B</x:v>
      </x:c>
      <x:c r="H91" s="19" t="str">
        <x:v>V2</x:v>
      </x:c>
      <x:c r="I91" s="19" t="str">
        <x:v>NOT_EXPOSED_IN_REPORT</x:v>
      </x:c>
      <x:c r="J91" s="31" t="str">
        <x:v>S1988-TORONTO</x:v>
      </x:c>
      <x:c r="K91" s="31" t="str">
        <x:v>RECONSTRUCTED_FROM_REPORT; Fear of Temperature_ Stratified Lexical Expansion, Voice Mapping, and Semantic-Relational Pre-Valida.pdf; p.9; project candidate FT-SEED-R1B-P-1988-27; original visible ID not available</x:v>
      </x:c>
      <x:c r="L91" s="31" t="str">
        <x:v>SUCCEEDED_NEW</x:v>
      </x:c>
      <x:c r="M91" s="31" t="str">
        <x:v>greenhouse gases</x:v>
      </x:c>
      <x:c r="N91" s="31" t="str">
        <x:v>EXACT</x:v>
      </x:c>
      <x:c r="O91" s="19" t="str">
        <x:v>1843</x:v>
      </x:c>
      <x:c r="P91" s="19" t="str">
        <x:v>2009</x:v>
      </x:c>
      <x:c r="Q91" s="46" t="n">
        <x:v>0.000002002253256805364</x:v>
      </x:c>
      <x:c r="R91" s="46" t="n">
        <x:v>3.0486798507922686e-7</x:v>
      </x:c>
      <x:c r="S91" s="46" t="n">
        <x:v>4.962433368921327e-7</x:v>
      </x:c>
      <x:c r="T91" s="46" t="n">
        <x:v>0.0000014560665626828229</x:v>
      </x:c>
      <x:c r="U91" s="31" t="str">
        <x:v>Candidate surface form is directly representable in the public Ngram interface. New unsmoothed 1842–2022 series retrieved for the candidate audit.</x:v>
      </x:c>
      <x:c r="V91" s="31" t="str">
        <x:v>TECHNICAL_GLOSSARY</x:v>
      </x:c>
      <x:c r="W91" s="31" t="str">
        <x:v>IPCC climate-science glossary / assessment terminology</x:v>
      </x:c>
      <x:c r="X91" s="31" t="str">
        <x:v>A climatic, atmospheric, meteorological, or causal-science sense in the documented anchor context.</x:v>
      </x:c>
      <x:c r="Y91" s="31" t="str">
        <x:v>Atmospheric gases that absorb and emit infrared radiation and thereby influence the greenhouse effect.</x:v>
      </x:c>
      <x:c r="Z91" s="31" t="str">
        <x:v>STRONG</x:v>
      </x:c>
      <x:c r="AA91" s="19" t="str">
        <x:v>The surface form may realize multiple senses; candidate meaning remains anchored to the report-visible source context.</x:v>
      </x:c>
      <x:c r="AB91" s="31" t="str">
        <x:v>Secondary: Component headword checked: gases.; historical: Anchor-period research source/context; Webster 1913 stable component URL recorded but automated page retrieval was unavailable; source: https://www.ipcc.ch/site/assets/uploads/2018/02/WGIIAR5-AnnexII_FINAL.pdf; https://api.dictionaryapi.dev/api/v2/entries/en/greenhouse%20gases; https://websters1913.timcieplowski.com/word/gases/</x:v>
      </x:c>
      <x:c r="AC91" s="31" t="str">
        <x:v>INTERNET_ARCHIVE_METADATA_TEXT_ITEM_COUNT</x:v>
      </x:c>
      <x:c r="AD91" s="19" t="str">
        <x:v>"greenhouse gases" AND mediatype:texts</x:v>
      </x:c>
      <x:c r="AE91" s="31" t="str">
        <x:v>EXACT_PHRASE</x:v>
      </x:c>
      <x:c r="AF91" s="31" t="str">
        <x:v>COMPLETED_NONZERO</x:v>
      </x:c>
      <x:c r="AG91" s="25" t="n">
        <x:v>1549</x:v>
      </x:c>
      <x:c r="AH91" s="25" t="n">
        <x:v>30</x:v>
      </x:c>
      <x:c r="AI91" s="19" t="str">
        <x:v>2026-08-26</x:v>
      </x:c>
      <x:c r="AJ91" s="31" t="str">
        <x:v>Metadata text-item count; not a full-text lexical frequency. Secondary metric: NOT_RUN_OPENALEX_DAILY_BUDGET_EXHAUSTED: shared provider response retained; no count fabricated.</x:v>
      </x:c>
      <x:c r="AK91" s="31" t="str">
        <x:v>FULLY_COVERED</x:v>
      </x:c>
      <x:c r="AL91" s="19" t="str">
        <x:v>PENDING_SOURCE_REVIEW</x:v>
      </x:c>
      <x:c r="AM91" s="20" t="str">
        <x:v>MEDIUM</x:v>
      </x:c>
    </x:row>
    <x:row r="92" ht="34" customHeight="1">
      <x:c r="A92" s="40" t="str">
        <x:v>FT-SEED-R1B-P-1988-28</x:v>
      </x:c>
      <x:c r="B92" s="19" t="str">
        <x:v>1988</x:v>
      </x:c>
      <x:c r="C92" s="25" t="n">
        <x:v>28</x:v>
      </x:c>
      <x:c r="D92" s="31" t="str">
        <x:v>Global Warming Has Begun</x:v>
      </x:c>
      <x:c r="E92" s="31" t="str">
        <x:v>global warming as issue label</x:v>
      </x:c>
      <x:c r="F92" s="31" t="str">
        <x:v>warming</x:v>
      </x:c>
      <x:c r="G92" s="19" t="str">
        <x:v>A</x:v>
      </x:c>
      <x:c r="H92" s="19" t="str">
        <x:v>V3</x:v>
      </x:c>
      <x:c r="I92" s="19" t="str">
        <x:v>NOT_EXPOSED_IN_REPORT</x:v>
      </x:c>
      <x:c r="J92" s="31" t="str">
        <x:v>S1988-NYT</x:v>
      </x:c>
      <x:c r="K92" s="31" t="str">
        <x:v>RECONSTRUCTED_FROM_REPORT; Fear of Temperature_ Stratified Lexical Expansion, Voice Mapping, and Semantic-Relational Pre-Valida.pdf; p.9; project candidate FT-SEED-R1B-P-1988-28; original visible ID not available</x:v>
      </x:c>
      <x:c r="L92" s="31" t="str">
        <x:v>SUCCEEDED_NEW</x:v>
      </x:c>
      <x:c r="M92" s="31" t="str">
        <x:v>Global Warming Has Begun</x:v>
      </x:c>
      <x:c r="N92" s="31" t="str">
        <x:v>EXACT</x:v>
      </x:c>
      <x:c r="O92" s="19" t="str">
        <x:v>1979</x:v>
      </x:c>
      <x:c r="P92" s="19" t="str">
        <x:v>1989</x:v>
      </x:c>
      <x:c r="Q92" s="46" t="n">
        <x:v>2.5948427573307953e-9</x:v>
      </x:c>
      <x:c r="R92" s="46" t="n">
        <x:v>2.27075322434267e-9</x:v>
      </x:c>
      <x:c r="S92" s="46" t="n">
        <x:v>1.3878436400105442e-9</x:v>
      </x:c>
      <x:c r="T92" s="46" t="n">
        <x:v>2.591395681372788e-9</x:v>
      </x:c>
      <x:c r="U92" s="31" t="str">
        <x:v>Candidate surface form is directly representable in the public Ngram interface. New unsmoothed 1842–2022 series retrieved for the candidate audit.</x:v>
      </x:c>
      <x:c r="V92" s="31" t="str">
        <x:v>NO_STANDALONE_HEADWORD</x:v>
      </x:c>
      <x:c r="W92" s="31" t="str">
        <x:v>Component lexical analysis plus anchor-source contextual meaning</x:v>
      </x:c>
      <x:c r="X92" s="31" t="str">
        <x:v>A physical temperature, warming, heat, or measurement sense in the documented anchor context.</x:v>
      </x:c>
      <x:c r="Y92" s="31" t="str">
        <x:v>Global warming used as an established public, scientific, or policy issue label; the candidate is interpreted in its documented anchor and voice context.</x:v>
      </x:c>
      <x:c r="Z92" s="31" t="str">
        <x:v>STRONG</x:v>
      </x:c>
      <x:c r="AA92" s="19" t="str">
        <x:v>The surface form may realize multiple senses; candidate meaning remains anchored to the report-visible source context.</x:v>
      </x:c>
      <x:c r="AB92" s="31" t="str">
        <x:v>Secondary: Component headword checked: begun.;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https://api.dictionaryapi.dev/api/v2/entries/en/Global%20Warming%20Has%20Begun; https://websters1913.timcieplowski.com/word/begun/</x:v>
      </x:c>
      <x:c r="AC92" s="31" t="str">
        <x:v>INTERNET_ARCHIVE_METADATA_TEXT_ITEM_COUNT</x:v>
      </x:c>
      <x:c r="AD92" s="19" t="str">
        <x:v>"Global Warming Has Begun" AND mediatype:texts</x:v>
      </x:c>
      <x:c r="AE92" s="31" t="str">
        <x:v>EXACT_PHRASE</x:v>
      </x:c>
      <x:c r="AF92" s="31" t="str">
        <x:v>COMPLETED_ZERO</x:v>
      </x:c>
      <x:c r="AG92" s="25" t="n">
        <x:v>0</x:v>
      </x:c>
      <x:c r="AH92" s="25" t="n">
        <x:v>0</x:v>
      </x:c>
      <x:c r="AI92" s="19" t="str">
        <x:v>2026-08-26</x:v>
      </x:c>
      <x:c r="AJ92" s="31" t="str">
        <x:v>Metadata text-item count; not a full-text lexical frequency. Secondary metric: NOT_RUN_OPENALEX_DAILY_BUDGET_EXHAUSTED: shared provider response retained; no count fabricated.</x:v>
      </x:c>
      <x:c r="AK92" s="31" t="str">
        <x:v>FULLY_COVERED</x:v>
      </x:c>
      <x:c r="AL92" s="19" t="str">
        <x:v>PENDING_SOURCE_REVIEW</x:v>
      </x:c>
      <x:c r="AM92" s="20" t="str">
        <x:v>MEDIUM</x:v>
      </x:c>
    </x:row>
    <x:row r="93" ht="34" customHeight="1">
      <x:c r="A93" s="40" t="str">
        <x:v>FT-SEED-R1B-P-1988-29</x:v>
      </x:c>
      <x:c r="B93" s="19" t="str">
        <x:v>1988</x:v>
      </x:c>
      <x:c r="C93" s="25" t="n">
        <x:v>29</x:v>
      </x:c>
      <x:c r="D93" s="31" t="str">
        <x:v>evidence is pretty strong</x:v>
      </x:c>
      <x:c r="E93" s="31" t="str">
        <x:v>personal concern</x:v>
      </x:c>
      <x:c r="F93" s="31" t="str">
        <x:v>concern_alarm</x:v>
      </x:c>
      <x:c r="G93" s="19" t="str">
        <x:v>C</x:v>
      </x:c>
      <x:c r="H93" s="19" t="str">
        <x:v>V3</x:v>
      </x:c>
      <x:c r="I93" s="19" t="str">
        <x:v>NOT_EXPOSED_IN_REPORT</x:v>
      </x:c>
      <x:c r="J93" s="31" t="str">
        <x:v>S1988-NYT</x:v>
      </x:c>
      <x:c r="K93" s="31" t="str">
        <x:v>RECONSTRUCTED_FROM_REPORT; Fear of Temperature_ Stratified Lexical Expansion, Voice Mapping, and Semantic-Relational Pre-Valida.pdf; p.9; project candidate FT-SEED-R1B-P-1988-29; original visible ID not available</x:v>
      </x:c>
      <x:c r="L93" s="31" t="str">
        <x:v>SUCCEEDED_NEW</x:v>
      </x:c>
      <x:c r="M93" s="31" t="str">
        <x:v>evidence is pretty strong</x:v>
      </x:c>
      <x:c r="N93" s="31" t="str">
        <x:v>EXACT</x:v>
      </x:c>
      <x:c r="O93" s="19" t="str">
        <x:v>1842</x:v>
      </x:c>
      <x:c r="P93" s="19" t="str">
        <x:v>1864</x:v>
      </x:c>
      <x:c r="Q93" s="46" t="n">
        <x:v>5.380066170346254e-9</x:v>
      </x:c>
      <x:c r="R93" s="46" t="n">
        <x:v>2.3902666512753967e-9</x:v>
      </x:c>
      <x:c r="S93" s="46" t="n">
        <x:v>1.0665741734250389e-9</x:v>
      </x:c>
      <x:c r="T93" s="46" t="n">
        <x:v>1.2194802945231231e-9</x:v>
      </x:c>
      <x:c r="U93" s="31" t="str">
        <x:v>Candidate surface form is directly representable in the public Ngram interface. New unsmoothed 1842–2022 series retrieved for the candidate audit.</x:v>
      </x:c>
      <x:c r="V93" s="31" t="str">
        <x:v>NO_STANDALONE_HEADWORD</x:v>
      </x:c>
      <x:c r="W93" s="31" t="str">
        <x:v>Component lexical analysis plus anchor-source contextual meaning</x:v>
      </x:c>
      <x:c r="X93" s="31" t="str">
        <x:v>The candidate's affective or evaluative sense as used by the documented speaker/instrument/research voice at the anchor.</x:v>
      </x:c>
      <x:c r="Y93" s="31" t="str">
        <x:v>Concern expressed or endorsed by an identifiable person about a climate or heat object; the candidate is interpreted in its documented anchor and voice context.</x:v>
      </x:c>
      <x:c r="Z93" s="31" t="str">
        <x:v>STRONG</x:v>
      </x:c>
      <x:c r="AA93" s="19" t="str">
        <x:v>The surface form may realize multiple senses; candidate meaning remains anchored to the report-visible source context.</x:v>
      </x:c>
      <x:c r="AB93" s="31" t="str">
        <x:v>Secondary: Component headword checked: strong.;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https://api.dictionaryapi.dev/api/v2/entries/en/evidence%20is%20pretty%20strong; https://websters1913.timcieplowski.com/word/strong/</x:v>
      </x:c>
      <x:c r="AC93" s="31" t="str">
        <x:v>INTERNET_ARCHIVE_METADATA_TEXT_ITEM_COUNT</x:v>
      </x:c>
      <x:c r="AD93" s="19" t="str">
        <x:v>"evidence is pretty strong" AND mediatype:texts</x:v>
      </x:c>
      <x:c r="AE93" s="31" t="str">
        <x:v>EXACT_PHRASE</x:v>
      </x:c>
      <x:c r="AF93" s="31" t="str">
        <x:v>COMPLETED_ZERO</x:v>
      </x:c>
      <x:c r="AG93" s="25" t="n">
        <x:v>0</x:v>
      </x:c>
      <x:c r="AH93" s="25" t="n">
        <x:v>0</x:v>
      </x:c>
      <x:c r="AI93" s="19" t="str">
        <x:v>2026-08-26</x:v>
      </x:c>
      <x:c r="AJ93" s="31" t="str">
        <x:v>Metadata text-item count; not a full-text lexical frequency. Secondary metric: NOT_RUN_OPENALEX_DAILY_BUDGET_EXHAUSTED: shared provider response retained; no count fabricated.</x:v>
      </x:c>
      <x:c r="AK93" s="31" t="str">
        <x:v>FULLY_COVERED</x:v>
      </x:c>
      <x:c r="AL93" s="19" t="str">
        <x:v>PENDING_SOURCE_REVIEW</x:v>
      </x:c>
      <x:c r="AM93" s="20" t="str">
        <x:v>MEDIUM</x:v>
      </x:c>
    </x:row>
    <x:row r="94" ht="34" customHeight="1">
      <x:c r="A94" s="40" t="str">
        <x:v>FT-SEED-R1B-P-1988-30</x:v>
      </x:c>
      <x:c r="B94" s="19" t="str">
        <x:v>1988</x:v>
      </x:c>
      <x:c r="C94" s="25" t="n">
        <x:v>30</x:v>
      </x:c>
      <x:c r="D94" s="31" t="str">
        <x:v>too much carbon dioxide is dangerous</x:v>
      </x:c>
      <x:c r="E94" s="31" t="str">
        <x:v>atmospheric carbon dioxide</x:v>
      </x:c>
      <x:c r="F94" s="31" t="str">
        <x:v>carbon_greenhouse</x:v>
      </x:c>
      <x:c r="G94" s="19" t="str">
        <x:v>D</x:v>
      </x:c>
      <x:c r="H94" s="19" t="str">
        <x:v>V3</x:v>
      </x:c>
      <x:c r="I94" s="19" t="str">
        <x:v>NOT_EXPOSED_IN_REPORT</x:v>
      </x:c>
      <x:c r="J94" s="31" t="str">
        <x:v>S1988-EVENINGSTANDARD</x:v>
      </x:c>
      <x:c r="K94" s="31" t="str">
        <x:v>RECONSTRUCTED_FROM_REPORT; Fear of Temperature_ Stratified Lexical Expansion, Voice Mapping, and Semantic-Relational Pre-Valida.pdf; p.9; project candidate FT-SEED-R1B-P-1988-30; original visible ID not available</x:v>
      </x:c>
      <x:c r="L94" s="31" t="str">
        <x:v>ZERO_RESPONSE_NEW</x:v>
      </x:c>
      <x:c r="M94" s="31" t="str">
        <x:v>too much carbon dioxide is dangerous</x:v>
      </x:c>
      <x:c r="N94" s="31" t="str">
        <x:v>EXACT</x:v>
      </x:c>
      <x:c r="O94" s="19" t="str">
        <x:v>NOT_APPLICABLE</x:v>
      </x:c>
      <x:c r="P94" s="19" t="str">
        <x:v>NOT_APPLICABLE</x:v>
      </x:c>
      <x:c r="Q94" s="46" t="str">
        <x:v>NOT_APPLICABLE</x:v>
      </x:c>
      <x:c r="R94" s="46" t="str">
        <x:v>NOT_APPLICABLE</x:v>
      </x:c>
      <x:c r="S94" s="46" t="str">
        <x:v>NOT_APPLICABLE</x:v>
      </x:c>
      <x:c r="T94" s="46" t="str">
        <x:v>NOT_APPLICABLE</x:v>
      </x:c>
      <x:c r="U94" s="31" t="str">
        <x:v>Candidate surface form is directly representable in the public Ngram interface. The public Ngram endpoint returned an empty list; retained without fabricating annual zero frequencies.</x:v>
      </x:c>
      <x:c r="V94" s="31" t="str">
        <x:v>NO_STANDALONE_HEADWORD</x:v>
      </x:c>
      <x:c r="W94" s="31" t="str">
        <x:v>Component lexical analysis plus anchor-source contextual meaning</x:v>
      </x:c>
      <x:c r="X94" s="31" t="str">
        <x:v>A threat, risk, harm, severity, or consequence sense in the documented source; it is not automatically an emotion.</x:v>
      </x:c>
      <x:c r="Y94" s="31" t="str">
        <x:v>Carbon dioxide as an atmospheric constituent; the candidate is interpreted in its documented anchor and voice context.</x:v>
      </x:c>
      <x:c r="Z94" s="31" t="str">
        <x:v>STRONG</x:v>
      </x:c>
      <x:c r="AA94" s="19" t="str">
        <x:v>The surface form may realize multiple senses; candidate meaning remains anchored to the report-visible source context.</x:v>
      </x:c>
      <x:c r="AB94" s="31" t="str">
        <x:v>Secondary: Component headword checked: dangerous.;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https://api.dictionaryapi.dev/api/v2/entries/en/too%20much%20carbon%20dioxide%20is%20dangerous; https://websters1913.timcieplowski.com/word/dangerous/</x:v>
      </x:c>
      <x:c r="AC94" s="31" t="str">
        <x:v>INTERNET_ARCHIVE_METADATA_TEXT_ITEM_COUNT</x:v>
      </x:c>
      <x:c r="AD94" s="19" t="str">
        <x:v>"too much carbon dioxide is dangerous" AND mediatype:texts</x:v>
      </x:c>
      <x:c r="AE94" s="31" t="str">
        <x:v>EXACT_PHRASE</x:v>
      </x:c>
      <x:c r="AF94" s="31" t="str">
        <x:v>COMPLETED_ZERO</x:v>
      </x:c>
      <x:c r="AG94" s="25" t="n">
        <x:v>0</x:v>
      </x:c>
      <x:c r="AH94" s="25" t="n">
        <x:v>0</x:v>
      </x:c>
      <x:c r="AI94" s="19" t="str">
        <x:v>2026-08-26</x:v>
      </x:c>
      <x:c r="AJ94" s="31" t="str">
        <x:v>Metadata text-item count; not a full-text lexical frequency. Secondary metric: NOT_RUN_OPENALEX_DAILY_BUDGET_EXHAUSTED: shared provider response retained; no count fabricated.</x:v>
      </x:c>
      <x:c r="AK94" s="31" t="str">
        <x:v>FULLY_COVERED</x:v>
      </x:c>
      <x:c r="AL94" s="19" t="str">
        <x:v>PENDING_SOURCE_REVIEW</x:v>
      </x:c>
      <x:c r="AM94" s="20" t="str">
        <x:v>MEDIUM</x:v>
      </x:c>
    </x:row>
    <x:row r="95" ht="34" customHeight="1">
      <x:c r="A95" s="40" t="str">
        <x:v>FT-SEED-R1B-P-0607-01</x:v>
      </x:c>
      <x:c r="B95" s="19" t="str">
        <x:v>2006–2007</x:v>
      </x:c>
      <x:c r="C95" s="25" t="n">
        <x:v>1</x:v>
      </x:c>
      <x:c r="D95" s="31" t="str">
        <x:v>warming of the climate system</x:v>
      </x:c>
      <x:c r="E95" s="31" t="str">
        <x:v>climate-system warming</x:v>
      </x:c>
      <x:c r="F95" s="31" t="str">
        <x:v>warming</x:v>
      </x:c>
      <x:c r="G95" s="19" t="str">
        <x:v>A</x:v>
      </x:c>
      <x:c r="H95" s="19" t="str">
        <x:v>V1</x:v>
      </x:c>
      <x:c r="I95" s="19" t="str">
        <x:v>NOT_EXPOSED_IN_REPORT</x:v>
      </x:c>
      <x:c r="J95" s="31" t="str">
        <x:v>S0607-IPCC</x:v>
      </x:c>
      <x:c r="K95" s="31" t="str">
        <x:v>RECONSTRUCTED_FROM_REPORT; Fear of Temperature_ Stratified Lexical Expansion, Voice Mapping, and Semantic-Relational Pre-Valida.pdf; p.10; project candidate FT-SEED-R1B-P-0607-01; original visible ID not available</x:v>
      </x:c>
      <x:c r="L95" s="31" t="str">
        <x:v>SUCCEEDED_REUSED_BASELINE</x:v>
      </x:c>
      <x:c r="M95" s="31" t="str">
        <x:v>warming of the climate system</x:v>
      </x:c>
      <x:c r="N95" s="31" t="str">
        <x:v>EXACT</x:v>
      </x:c>
      <x:c r="O95" s="19" t="str">
        <x:v>1949</x:v>
      </x:c>
      <x:c r="P95" s="19" t="str">
        <x:v>2008</x:v>
      </x:c>
      <x:c r="Q95" s="46" t="n">
        <x:v>1.7286482467682163e-8</x:v>
      </x:c>
      <x:c r="R95" s="46" t="n">
        <x:v>4.110638524013055e-9</x:v>
      </x:c>
      <x:c r="S95" s="46" t="n">
        <x:v>6.480305066863812e-9</x:v>
      </x:c>
      <x:c r="T95" s="46" t="n">
        <x:v>4.8928221474398015e-9</x:v>
      </x:c>
      <x:c r="U95" s="31" t="str">
        <x:v>Candidate surface form is directly representable in the public Ngram interface. Complete 1842–2022 unsmoothed series reused from the audited quantitative-v0.1 baseline.</x:v>
      </x:c>
      <x:c r="V95" s="31" t="str">
        <x:v>TECHNICAL_GLOSSARY</x:v>
      </x:c>
      <x:c r="W95" s="31" t="str">
        <x:v>IPCC climate-science glossary / assessment terminology</x:v>
      </x:c>
      <x:c r="X95" s="31" t="str">
        <x:v>A physical temperature, warming, heat, or measurement sense in the documented anchor context.</x:v>
      </x:c>
      <x:c r="Y95" s="31" t="str">
        <x:v>Warming attributed to or observed across the climate system; the candidate is interpreted in its documented anchor and voice context.</x:v>
      </x:c>
      <x:c r="Z95" s="31" t="str">
        <x:v>STRONG</x:v>
      </x:c>
      <x:c r="AA95" s="19" t="str">
        <x:v>The surface form may realize multiple senses; candidate meaning remains anchored to the report-visible source context.</x:v>
      </x:c>
      <x:c r="AB95" s="31" t="str">
        <x:v>Secondary: Component headword checked: system.; historical: Anchor-period research source/context; Webster 1913 stable component URL recorded but automated page retrieval was unavailable; source: https://www.ipcc.ch/site/assets/uploads/2018/02/WGIIAR5-AnnexII_FINAL.pdf; https://api.dictionaryapi.dev/api/v2/entries/en/warming%20of%20the%20climate%20system; https://websters1913.timcieplowski.com/word/system/</x:v>
      </x:c>
      <x:c r="AC95" s="31" t="str">
        <x:v>INTERNET_ARCHIVE_METADATA_TEXT_ITEM_COUNT</x:v>
      </x:c>
      <x:c r="AD95" s="19" t="str">
        <x:v>"warming of the climate system" AND mediatype:texts</x:v>
      </x:c>
      <x:c r="AE95" s="31" t="str">
        <x:v>EXACT_PHRASE</x:v>
      </x:c>
      <x:c r="AF95" s="31" t="str">
        <x:v>COMPLETED_NONZERO</x:v>
      </x:c>
      <x:c r="AG95" s="25" t="n">
        <x:v>3</x:v>
      </x:c>
      <x:c r="AH95" s="25" t="n">
        <x:v>0</x:v>
      </x:c>
      <x:c r="AI95" s="19" t="str">
        <x:v>2026-08-26</x:v>
      </x:c>
      <x:c r="AJ95" s="31" t="str">
        <x:v>Metadata text-item count; not a full-text lexical frequency. Secondary metric: NOT_RUN_OPENALEX_DAILY_BUDGET_EXHAUSTED: shared provider response retained; no count fabricated.</x:v>
      </x:c>
      <x:c r="AK95" s="31" t="str">
        <x:v>FULLY_COVERED</x:v>
      </x:c>
      <x:c r="AL95" s="19" t="str">
        <x:v>PENDING_SOURCE_REVIEW</x:v>
      </x:c>
      <x:c r="AM95" s="20" t="str">
        <x:v>MEDIUM</x:v>
      </x:c>
    </x:row>
    <x:row r="96" ht="34" customHeight="1">
      <x:c r="A96" s="40" t="str">
        <x:v>FT-SEED-R1B-P-0607-02</x:v>
      </x:c>
      <x:c r="B96" s="19" t="str">
        <x:v>2006–2007</x:v>
      </x:c>
      <x:c r="C96" s="25" t="n">
        <x:v>2</x:v>
      </x:c>
      <x:c r="D96" s="31" t="str">
        <x:v>unequivocal</x:v>
      </x:c>
      <x:c r="E96" s="31" t="str">
        <x:v>historical climate / climatological condition</x:v>
      </x:c>
      <x:c r="F96" s="31" t="str">
        <x:v>climate</x:v>
      </x:c>
      <x:c r="G96" s="19" t="str">
        <x:v>B</x:v>
      </x:c>
      <x:c r="H96" s="19" t="str">
        <x:v>V1</x:v>
      </x:c>
      <x:c r="I96" s="19" t="str">
        <x:v>NOT_EXPOSED_IN_REPORT</x:v>
      </x:c>
      <x:c r="J96" s="31" t="str">
        <x:v>S0607-IPCC</x:v>
      </x:c>
      <x:c r="K96" s="31" t="str">
        <x:v>RECONSTRUCTED_FROM_REPORT; Fear of Temperature_ Stratified Lexical Expansion, Voice Mapping, and Semantic-Relational Pre-Valida.pdf; p.10; project candidate FT-SEED-R1B-P-0607-02; original visible ID not available</x:v>
      </x:c>
      <x:c r="L96" s="31" t="str">
        <x:v>SUCCEEDED_REUSED_BASELINE</x:v>
      </x:c>
      <x:c r="M96" s="31" t="str">
        <x:v>unequivocal</x:v>
      </x:c>
      <x:c r="N96" s="31" t="str">
        <x:v>EXACT</x:v>
      </x:c>
      <x:c r="O96" s="19" t="str">
        <x:v>1842</x:v>
      </x:c>
      <x:c r="P96" s="19" t="str">
        <x:v>1844</x:v>
      </x:c>
      <x:c r="Q96" s="46" t="n">
        <x:v>0.000002493547962445497</x:v>
      </x:c>
      <x:c r="R96" s="46" t="n">
        <x:v>0.0000011813608685184995</x:v>
      </x:c>
      <x:c r="S96" s="46" t="n">
        <x:v>0.0000011878409533205847</x:v>
      </x:c>
      <x:c r="T96" s="46" t="n">
        <x:v>9.735799887389263e-7</x:v>
      </x:c>
      <x:c r="U96" s="31" t="str">
        <x:v>Candidate surface form is directly representable in the public Ngram interface. Complete 1842–2022 unsmoothed series reused from the audited quantitative-v0.1 baseline.</x:v>
      </x:c>
      <x:c r="V96" s="31" t="str">
        <x:v>DIRECT_HEADWORD</x:v>
      </x:c>
      <x:c r="W96" s="31" t="str">
        <x:v>Webster's Revised Unabridged Dictionary (1913 public-domain headword index)</x:v>
      </x:c>
      <x:c r="X96" s="31" t="str">
        <x:v>A climatic, atmospheric, meteorological, or causal-science sense in the documented anchor context.</x:v>
      </x:c>
      <x:c r="Y96" s="31" t="str">
        <x:v>Climate as a historical, geographical, seasonal, or climatological condition; the candidate is interpreted in its documented anchor and voice context.</x:v>
      </x:c>
      <x:c r="Z96" s="31" t="str">
        <x:v>STRONG</x:v>
      </x:c>
      <x:c r="AA96" s="19" t="str">
        <x:v>The surface form may realize multiple senses; candidate meaning remains anchored to the report-visible source context.</x:v>
      </x:c>
      <x:c r="AB96" s="31" t="str">
        <x:v>Secondary: Component headword checked: unequivocal.; historical: Anchor-period research source/context; Webster 1913 stable component URL recorded but automated page retrieval was unavailable; source: https://websters1913.timcieplowski.com/word/unequivocal/; https://api.dictionaryapi.dev/api/v2/entries/en/unequivocal</x:v>
      </x:c>
      <x:c r="AC96" s="31" t="str">
        <x:v>INTERNET_ARCHIVE_METADATA_TEXT_ITEM_COUNT</x:v>
      </x:c>
      <x:c r="AD96" s="19" t="str">
        <x:v>"unequivocal" AND mediatype:texts</x:v>
      </x:c>
      <x:c r="AE96" s="31" t="str">
        <x:v>EXACT_PHRASE</x:v>
      </x:c>
      <x:c r="AF96" s="31" t="str">
        <x:v>COMPLETED_NONZERO</x:v>
      </x:c>
      <x:c r="AG96" s="25" t="n">
        <x:v>919</x:v>
      </x:c>
      <x:c r="AH96" s="25" t="n">
        <x:v>58</x:v>
      </x:c>
      <x:c r="AI96" s="19" t="str">
        <x:v>2026-08-26</x:v>
      </x:c>
      <x:c r="AJ96" s="31" t="str">
        <x:v>Metadata text-item count; not a full-text lexical frequency. Secondary metric: NOT_RUN_OPENALEX_DAILY_BUDGET_EXHAUSTED: shared provider response retained; no count fabricated.</x:v>
      </x:c>
      <x:c r="AK96" s="31" t="str">
        <x:v>FULLY_COVERED</x:v>
      </x:c>
      <x:c r="AL96" s="19" t="str">
        <x:v>PENDING_SOURCE_REVIEW</x:v>
      </x:c>
      <x:c r="AM96" s="20" t="str">
        <x:v>MEDIUM</x:v>
      </x:c>
    </x:row>
    <x:row r="97" ht="34" customHeight="1">
      <x:c r="A97" s="40" t="str">
        <x:v>FT-SEED-R1B-P-0607-03</x:v>
      </x:c>
      <x:c r="B97" s="19" t="str">
        <x:v>2006–2007</x:v>
      </x:c>
      <x:c r="C97" s="25" t="n">
        <x:v>3</x:v>
      </x:c>
      <x:c r="D97" s="31" t="str">
        <x:v>global average air and ocean temperatures</x:v>
      </x:c>
      <x:c r="E97" s="31" t="str">
        <x:v>global aggregate temperature</x:v>
      </x:c>
      <x:c r="F97" s="31" t="str">
        <x:v>temperature_threshold</x:v>
      </x:c>
      <x:c r="G97" s="19" t="str">
        <x:v>A</x:v>
      </x:c>
      <x:c r="H97" s="19" t="str">
        <x:v>V1</x:v>
      </x:c>
      <x:c r="I97" s="19" t="str">
        <x:v>NOT_EXPOSED_IN_REPORT</x:v>
      </x:c>
      <x:c r="J97" s="31" t="str">
        <x:v>S0607-IPCC</x:v>
      </x:c>
      <x:c r="K97" s="31" t="str">
        <x:v>RECONSTRUCTED_FROM_REPORT; Fear of Temperature_ Stratified Lexical Expansion, Voice Mapping, and Semantic-Relational Pre-Valida.pdf; p.10; project candidate FT-SEED-R1B-P-0607-03; original visible ID not available</x:v>
      </x:c>
      <x:c r="L97" s="31" t="str">
        <x:v>SUCCEEDED_REUSED_BASELINE</x:v>
      </x:c>
      <x:c r="M97" s="31" t="str">
        <x:v>global average air and ocean temperatures</x:v>
      </x:c>
      <x:c r="N97" s="31" t="str">
        <x:v>EXACT</x:v>
      </x:c>
      <x:c r="O97" s="19" t="str">
        <x:v>1949</x:v>
      </x:c>
      <x:c r="P97" s="19" t="str">
        <x:v>2010</x:v>
      </x:c>
      <x:c r="Q97" s="46" t="n">
        <x:v>9.683230217660821e-9</x:v>
      </x:c>
      <x:c r="R97" s="46" t="n">
        <x:v>2.0195753541729644e-9</x:v>
      </x:c>
      <x:c r="S97" s="46" t="n">
        <x:v>3.239182859438028e-9</x:v>
      </x:c>
      <x:c r="T97" s="46" t="n">
        <x:v>9.299532255369058e-10</x:v>
      </x:c>
      <x:c r="U97" s="31" t="str">
        <x:v>Candidate surface form is directly representable in the public Ngram interface. Complete 1842–2022 unsmoothed series reused from the audited quantitative-v0.1 baseline.</x:v>
      </x:c>
      <x:c r="V97" s="31" t="str">
        <x:v>TECHNICAL_GLOSSARY</x:v>
      </x:c>
      <x:c r="W97" s="31" t="str">
        <x:v>IPCC climate-science glossary / assessment terminology</x:v>
      </x:c>
      <x:c r="X97" s="31" t="str">
        <x:v>A physical temperature, warming, heat, or measurement sense in the documented anchor context.</x:v>
      </x:c>
      <x:c r="Y97" s="31" t="str">
        <x:v>A global-scale aggregate temperature metric; the candidate is interpreted in its documented anchor and voice context.</x:v>
      </x:c>
      <x:c r="Z97" s="31" t="str">
        <x:v>STRONG</x:v>
      </x:c>
      <x:c r="AA97" s="19" t="str">
        <x:v>The surface form may realize multiple senses; candidate meaning remains anchored to the report-visible source context.</x:v>
      </x:c>
      <x:c r="AB97" s="31" t="str">
        <x:v>Secondary: Component headword checked: temperatures.; historical: Anchor-period research source/context; Webster 1913 stable component URL recorded but automated page retrieval was unavailable; source: https://www.ipcc.ch/site/assets/uploads/2018/02/WGIIAR5-AnnexII_FINAL.pdf; https://api.dictionaryapi.dev/api/v2/entries/en/global%20average%20air%20and%20ocean%20temperatures; https://websters1913.timcieplowski.com/word/temperatures/</x:v>
      </x:c>
      <x:c r="AC97" s="31" t="str">
        <x:v>INTERNET_ARCHIVE_METADATA_TEXT_ITEM_COUNT</x:v>
      </x:c>
      <x:c r="AD97" s="19" t="str">
        <x:v>"global average air and ocean temperatures" AND mediatype:texts</x:v>
      </x:c>
      <x:c r="AE97" s="31" t="str">
        <x:v>EXACT_PHRASE</x:v>
      </x:c>
      <x:c r="AF97" s="31" t="str">
        <x:v>COMPLETED_ZERO</x:v>
      </x:c>
      <x:c r="AG97" s="25" t="n">
        <x:v>0</x:v>
      </x:c>
      <x:c r="AH97" s="25" t="n">
        <x:v>0</x:v>
      </x:c>
      <x:c r="AI97" s="19" t="str">
        <x:v>2026-08-26</x:v>
      </x:c>
      <x:c r="AJ97" s="31" t="str">
        <x:v>Metadata text-item count; not a full-text lexical frequency. Secondary metric: NOT_RUN_OPENALEX_DAILY_BUDGET_EXHAUSTED: shared provider response retained; no count fabricated.</x:v>
      </x:c>
      <x:c r="AK97" s="31" t="str">
        <x:v>FULLY_COVERED</x:v>
      </x:c>
      <x:c r="AL97" s="19" t="str">
        <x:v>PENDING_SOURCE_REVIEW</x:v>
      </x:c>
      <x:c r="AM97" s="20" t="str">
        <x:v>MEDIUM</x:v>
      </x:c>
    </x:row>
    <x:row r="98" ht="34" customHeight="1">
      <x:c r="A98" s="40" t="str">
        <x:v>FT-SEED-R1B-P-0607-04</x:v>
      </x:c>
      <x:c r="B98" s="19" t="str">
        <x:v>2006–2007</x:v>
      </x:c>
      <x:c r="C98" s="25" t="n">
        <x:v>4</x:v>
      </x:c>
      <x:c r="D98" s="31" t="str">
        <x:v>global surface temperature</x:v>
      </x:c>
      <x:c r="E98" s="31" t="str">
        <x:v>global aggregate temperature</x:v>
      </x:c>
      <x:c r="F98" s="31" t="str">
        <x:v>temperature_threshold</x:v>
      </x:c>
      <x:c r="G98" s="19" t="str">
        <x:v>A</x:v>
      </x:c>
      <x:c r="H98" s="19" t="str">
        <x:v>V1</x:v>
      </x:c>
      <x:c r="I98" s="19" t="str">
        <x:v>NOT_EXPOSED_IN_REPORT</x:v>
      </x:c>
      <x:c r="J98" s="31" t="str">
        <x:v>S0607-IPCC</x:v>
      </x:c>
      <x:c r="K98" s="31" t="str">
        <x:v>RECONSTRUCTED_FROM_REPORT; Fear of Temperature_ Stratified Lexical Expansion, Voice Mapping, and Semantic-Relational Pre-Valida.pdf; p.10; project candidate FT-SEED-R1B-P-0607-04; original visible ID not available</x:v>
      </x:c>
      <x:c r="L98" s="31" t="str">
        <x:v>SUCCEEDED_REUSED_BASELINE</x:v>
      </x:c>
      <x:c r="M98" s="31" t="str">
        <x:v>global surface temperature</x:v>
      </x:c>
      <x:c r="N98" s="31" t="str">
        <x:v>EXACT</x:v>
      </x:c>
      <x:c r="O98" s="19" t="str">
        <x:v>1869</x:v>
      </x:c>
      <x:c r="P98" s="19" t="str">
        <x:v>2022</x:v>
      </x:c>
      <x:c r="Q98" s="46" t="n">
        <x:v>3.419688007766375e-8</x:v>
      </x:c>
      <x:c r="R98" s="46" t="n">
        <x:v>1.4327226731392084e-8</x:v>
      </x:c>
      <x:c r="S98" s="46" t="n">
        <x:v>1.659791600341909e-8</x:v>
      </x:c>
      <x:c r="T98" s="46" t="n">
        <x:v>3.419688007766375e-8</x:v>
      </x:c>
      <x:c r="U98" s="31" t="str">
        <x:v>Candidate surface form is directly representable in the public Ngram interface. Complete 1842–2022 unsmoothed series reused from the audited quantitative-v0.1 baseline.</x:v>
      </x:c>
      <x:c r="V98" s="31" t="str">
        <x:v>TECHNICAL_GLOSSARY</x:v>
      </x:c>
      <x:c r="W98" s="31" t="str">
        <x:v>IPCC climate-science glossary / assessment terminology</x:v>
      </x:c>
      <x:c r="X98" s="31" t="str">
        <x:v>A physical temperature, warming, heat, or measurement sense in the documented anchor context.</x:v>
      </x:c>
      <x:c r="Y98" s="31" t="str">
        <x:v>A global-scale aggregate temperature metric; the candidate is interpreted in its documented anchor and voice context.</x:v>
      </x:c>
      <x:c r="Z98" s="31" t="str">
        <x:v>STRONG</x:v>
      </x:c>
      <x:c r="AA98" s="19" t="str">
        <x:v>The surface form may realize multiple senses; candidate meaning remains anchored to the report-visible source context.</x:v>
      </x:c>
      <x:c r="AB98"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https://api.dictionaryapi.dev/api/v2/entries/en/global%20surface%20temperature; https://websters1913.timcieplowski.com/word/temperature/</x:v>
      </x:c>
      <x:c r="AC98" s="31" t="str">
        <x:v>INTERNET_ARCHIVE_METADATA_TEXT_ITEM_COUNT</x:v>
      </x:c>
      <x:c r="AD98" s="19" t="str">
        <x:v>"global surface temperature" AND mediatype:texts</x:v>
      </x:c>
      <x:c r="AE98" s="31" t="str">
        <x:v>EXACT_PHRASE</x:v>
      </x:c>
      <x:c r="AF98" s="31" t="str">
        <x:v>COMPLETED_NONZERO</x:v>
      </x:c>
      <x:c r="AG98" s="25" t="n">
        <x:v>34</x:v>
      </x:c>
      <x:c r="AH98" s="25" t="n">
        <x:v>2</x:v>
      </x:c>
      <x:c r="AI98" s="19" t="str">
        <x:v>2026-08-26</x:v>
      </x:c>
      <x:c r="AJ98" s="31" t="str">
        <x:v>Metadata text-item count; not a full-text lexical frequency. Secondary metric: NOT_RUN_OPENALEX_DAILY_BUDGET_EXHAUSTED: shared provider response retained; no count fabricated.</x:v>
      </x:c>
      <x:c r="AK98" s="31" t="str">
        <x:v>FULLY_COVERED</x:v>
      </x:c>
      <x:c r="AL98" s="19" t="str">
        <x:v>PENDING_SOURCE_REVIEW</x:v>
      </x:c>
      <x:c r="AM98" s="20" t="str">
        <x:v>MEDIUM</x:v>
      </x:c>
    </x:row>
    <x:row r="99" ht="34" customHeight="1">
      <x:c r="A99" s="40" t="str">
        <x:v>FT-SEED-R1B-P-0607-05</x:v>
      </x:c>
      <x:c r="B99" s="19" t="str">
        <x:v>2006–2007</x:v>
      </x:c>
      <x:c r="C99" s="25" t="n">
        <x:v>5</x:v>
      </x:c>
      <x:c r="D99" s="31" t="str">
        <x:v>temperature increase</x:v>
      </x:c>
      <x:c r="E99" s="31" t="str">
        <x:v>temperature increase</x:v>
      </x:c>
      <x:c r="F99" s="31" t="str">
        <x:v>warming</x:v>
      </x:c>
      <x:c r="G99" s="19" t="str">
        <x:v>A</x:v>
      </x:c>
      <x:c r="H99" s="19" t="str">
        <x:v>V1</x:v>
      </x:c>
      <x:c r="I99" s="19" t="str">
        <x:v>NOT_EXPOSED_IN_REPORT</x:v>
      </x:c>
      <x:c r="J99" s="31" t="str">
        <x:v>S0607-IPCC</x:v>
      </x:c>
      <x:c r="K99" s="31" t="str">
        <x:v>RECONSTRUCTED_FROM_REPORT; Fear of Temperature_ Stratified Lexical Expansion, Voice Mapping, and Semantic-Relational Pre-Valida.pdf; p.10; project candidate FT-SEED-R1B-P-0607-05; original visible ID not available</x:v>
      </x:c>
      <x:c r="L99" s="31" t="str">
        <x:v>SUCCEEDED_REUSED_BASELINE</x:v>
      </x:c>
      <x:c r="M99" s="31" t="str">
        <x:v>temperature increase</x:v>
      </x:c>
      <x:c r="N99" s="31" t="str">
        <x:v>EXACT</x:v>
      </x:c>
      <x:c r="O99" s="19" t="str">
        <x:v>1842</x:v>
      </x:c>
      <x:c r="P99" s="19" t="str">
        <x:v>2012</x:v>
      </x:c>
      <x:c r="Q99" s="46" t="n">
        <x:v>4.5873130977147625e-7</x:v>
      </x:c>
      <x:c r="R99" s="46" t="n">
        <x:v>3.1799401488397105e-7</x:v>
      </x:c>
      <x:c r="S99" s="46" t="n">
        <x:v>3.186941229353646e-7</x:v>
      </x:c>
      <x:c r="T99" s="46" t="n">
        <x:v>3.5537879566893693e-7</x:v>
      </x:c>
      <x:c r="U99" s="31" t="str">
        <x:v>Candidate surface form is directly representable in the public Ngram interface. Complete 1842–2022 unsmoothed series reused from the audited quantitative-v0.1 baseline.</x:v>
      </x:c>
      <x:c r="V99" s="31" t="str">
        <x:v>TECHNICAL_GLOSSARY</x:v>
      </x:c>
      <x:c r="W99" s="31" t="str">
        <x:v>IPCC climate-science glossary / assessment terminology</x:v>
      </x:c>
      <x:c r="X99" s="31" t="str">
        <x:v>A physical temperature, warming, heat, or measurement sense in the documented anchor context.</x:v>
      </x:c>
      <x:c r="Y99" s="31" t="str">
        <x:v>An observed, estimated, or projected increase in temperature; the candidate is interpreted in its documented anchor and voice context.</x:v>
      </x:c>
      <x:c r="Z99" s="31" t="str">
        <x:v>STRONG</x:v>
      </x:c>
      <x:c r="AA99" s="19" t="str">
        <x:v>The surface form may realize multiple senses; candidate meaning remains anchored to the report-visible source context.</x:v>
      </x:c>
      <x:c r="AB99" s="31" t="str">
        <x:v>Secondary: Component headword checked: increase.; historical: Anchor-period research source/context; Webster 1913 stable component URL recorded but automated page retrieval was unavailable; source: https://www.ipcc.ch/site/assets/uploads/2018/02/WGIIAR5-AnnexII_FINAL.pdf; https://api.dictionaryapi.dev/api/v2/entries/en/temperature%20increase; https://websters1913.timcieplowski.com/word/increase/</x:v>
      </x:c>
      <x:c r="AC99" s="31" t="str">
        <x:v>INTERNET_ARCHIVE_METADATA_TEXT_ITEM_COUNT</x:v>
      </x:c>
      <x:c r="AD99" s="19" t="str">
        <x:v>"temperature increase" AND mediatype:texts</x:v>
      </x:c>
      <x:c r="AE99" s="31" t="str">
        <x:v>EXACT_PHRASE</x:v>
      </x:c>
      <x:c r="AF99" s="31" t="str">
        <x:v>COMPLETED_NONZERO</x:v>
      </x:c>
      <x:c r="AG99" s="25" t="n">
        <x:v>442</x:v>
      </x:c>
      <x:c r="AH99" s="25" t="n">
        <x:v>29</x:v>
      </x:c>
      <x:c r="AI99" s="19" t="str">
        <x:v>2026-08-26</x:v>
      </x:c>
      <x:c r="AJ99" s="31" t="str">
        <x:v>Metadata text-item count; not a full-text lexical frequency. Secondary metric: NOT_RUN_OPENALEX_DAILY_BUDGET_EXHAUSTED: shared provider response retained; no count fabricated.</x:v>
      </x:c>
      <x:c r="AK99" s="31" t="str">
        <x:v>FULLY_COVERED</x:v>
      </x:c>
      <x:c r="AL99" s="19" t="str">
        <x:v>PENDING_SOURCE_REVIEW</x:v>
      </x:c>
      <x:c r="AM99" s="20" t="str">
        <x:v>MEDIUM</x:v>
      </x:c>
    </x:row>
    <x:row r="100" ht="34" customHeight="1">
      <x:c r="A100" s="40" t="str">
        <x:v>FT-SEED-R1B-P-0607-06</x:v>
      </x:c>
      <x:c r="B100" s="19" t="str">
        <x:v>2006–2007</x:v>
      </x:c>
      <x:c r="C100" s="25" t="n">
        <x:v>6</x:v>
      </x:c>
      <x:c r="D100" s="31" t="str">
        <x:v>rising global average sea level</x:v>
      </x:c>
      <x:c r="E100" s="31" t="str">
        <x:v>generic damage</x:v>
      </x:c>
      <x:c r="F100" s="31" t="str">
        <x:v>harm_loss_consequences</x:v>
      </x:c>
      <x:c r="G100" s="19" t="str">
        <x:v>D</x:v>
      </x:c>
      <x:c r="H100" s="19" t="str">
        <x:v>V1</x:v>
      </x:c>
      <x:c r="I100" s="19" t="str">
        <x:v>NOT_EXPOSED_IN_REPORT</x:v>
      </x:c>
      <x:c r="J100" s="31" t="str">
        <x:v>S0607-IPCC</x:v>
      </x:c>
      <x:c r="K100" s="31" t="str">
        <x:v>RECONSTRUCTED_FROM_REPORT; Fear of Temperature_ Stratified Lexical Expansion, Voice Mapping, and Semantic-Relational Pre-Valida.pdf; p.10; project candidate FT-SEED-R1B-P-0607-06; original visible ID not available</x:v>
      </x:c>
      <x:c r="L100" s="31" t="str">
        <x:v>SUCCEEDED_REUSED_BASELINE</x:v>
      </x:c>
      <x:c r="M100" s="31" t="str">
        <x:v>rising global average sea level</x:v>
      </x:c>
      <x:c r="N100" s="31" t="str">
        <x:v>EXACT</x:v>
      </x:c>
      <x:c r="O100" s="19" t="str">
        <x:v>1953</x:v>
      </x:c>
      <x:c r="P100" s="19" t="str">
        <x:v>2008</x:v>
      </x:c>
      <x:c r="Q100" s="46" t="n">
        <x:v>6.8787042728502e-9</x:v>
      </x:c>
      <x:c r="R100" s="46" t="n">
        <x:v>1.1101318753148348e-9</x:v>
      </x:c>
      <x:c r="S100" s="46" t="n">
        <x:v>2.2895084612895023e-9</x:v>
      </x:c>
      <x:c r="T100" s="46" t="n">
        <x:v>6.523762641208464e-10</x:v>
      </x:c>
      <x:c r="U100" s="31" t="str">
        <x:v>Candidate surface form is directly representable in the public Ngram interface. Complete 1842–2022 unsmoothed series reused from the audited quantitative-v0.1 baseline.</x:v>
      </x:c>
      <x:c r="V100" s="31" t="str">
        <x:v>TECHNICAL_GLOSSARY</x:v>
      </x:c>
      <x:c r="W100" s="31" t="str">
        <x:v>IPCC climate-science glossary / assessment terminology</x:v>
      </x:c>
      <x:c r="X100" s="31" t="str">
        <x:v>A threat, risk, harm, severity, or consequence sense in the documented source; it is not automatically an emotion.</x:v>
      </x:c>
      <x:c r="Y100" s="31" t="str">
        <x:v>Generic material, ecological, or social damage; the candidate is interpreted in its documented anchor and voice context.</x:v>
      </x:c>
      <x:c r="Z100" s="31" t="str">
        <x:v>STRONG</x:v>
      </x:c>
      <x:c r="AA100" s="19" t="str">
        <x:v>The surface form may realize multiple senses; candidate meaning remains anchored to the report-visible source context.</x:v>
      </x:c>
      <x:c r="AB100" s="31" t="str">
        <x:v>Secondary: Component headword checked: level.; historical: Anchor-period research source/context; Webster 1913 stable component URL recorded but automated page retrieval was unavailable; source: https://www.ipcc.ch/site/assets/uploads/2018/02/WGIIAR5-AnnexII_FINAL.pdf; https://api.dictionaryapi.dev/api/v2/entries/en/rising%20global%20average%20sea%20level; https://websters1913.timcieplowski.com/word/level/</x:v>
      </x:c>
      <x:c r="AC100" s="31" t="str">
        <x:v>INTERNET_ARCHIVE_METADATA_TEXT_ITEM_COUNT</x:v>
      </x:c>
      <x:c r="AD100" s="19" t="str">
        <x:v>"rising global average sea level" AND mediatype:texts</x:v>
      </x:c>
      <x:c r="AE100" s="31" t="str">
        <x:v>EXACT_PHRASE</x:v>
      </x:c>
      <x:c r="AF100" s="31" t="str">
        <x:v>COMPLETED_ZERO</x:v>
      </x:c>
      <x:c r="AG100" s="25" t="n">
        <x:v>0</x:v>
      </x:c>
      <x:c r="AH100" s="25" t="n">
        <x:v>0</x:v>
      </x:c>
      <x:c r="AI100" s="19" t="str">
        <x:v>2026-08-26</x:v>
      </x:c>
      <x:c r="AJ100" s="31" t="str">
        <x:v>Metadata text-item count; not a full-text lexical frequency. Secondary metric: NOT_RUN_OPENALEX_DAILY_BUDGET_EXHAUSTED: shared provider response retained; no count fabricated.</x:v>
      </x:c>
      <x:c r="AK100" s="31" t="str">
        <x:v>FULLY_COVERED</x:v>
      </x:c>
      <x:c r="AL100" s="19" t="str">
        <x:v>PENDING_SOURCE_REVIEW</x:v>
      </x:c>
      <x:c r="AM100" s="20" t="str">
        <x:v>MEDIUM</x:v>
      </x:c>
    </x:row>
    <x:row r="101" ht="34" customHeight="1">
      <x:c r="A101" s="40" t="str">
        <x:v>FT-SEED-R1B-P-0607-07</x:v>
      </x:c>
      <x:c r="B101" s="19" t="str">
        <x:v>2006–2007</x:v>
      </x:c>
      <x:c r="C101" s="25" t="n">
        <x:v>7</x:v>
      </x:c>
      <x:c r="D101" s="31" t="str">
        <x:v>widespread melting of snow and ice</x:v>
      </x:c>
      <x:c r="E101" s="31" t="str">
        <x:v>generic damage</x:v>
      </x:c>
      <x:c r="F101" s="31" t="str">
        <x:v>harm_loss_consequences</x:v>
      </x:c>
      <x:c r="G101" s="19" t="str">
        <x:v>D</x:v>
      </x:c>
      <x:c r="H101" s="19" t="str">
        <x:v>V1</x:v>
      </x:c>
      <x:c r="I101" s="19" t="str">
        <x:v>NOT_EXPOSED_IN_REPORT</x:v>
      </x:c>
      <x:c r="J101" s="31" t="str">
        <x:v>S0607-IPCC</x:v>
      </x:c>
      <x:c r="K101" s="31" t="str">
        <x:v>RECONSTRUCTED_FROM_REPORT; Fear of Temperature_ Stratified Lexical Expansion, Voice Mapping, and Semantic-Relational Pre-Valida.pdf; p.10; project candidate FT-SEED-R1B-P-0607-07; original visible ID not available</x:v>
      </x:c>
      <x:c r="L101" s="31" t="str">
        <x:v>SUCCEEDED_REUSED_BASELINE</x:v>
      </x:c>
      <x:c r="M101" s="31" t="str">
        <x:v>widespread melting of snow and ice</x:v>
      </x:c>
      <x:c r="N101" s="31" t="str">
        <x:v>EXACT</x:v>
      </x:c>
      <x:c r="O101" s="19" t="str">
        <x:v>1949</x:v>
      </x:c>
      <x:c r="P101" s="19" t="str">
        <x:v>2008</x:v>
      </x:c>
      <x:c r="Q101" s="46" t="n">
        <x:v>1.1227990981410585e-8</x:v>
      </x:c>
      <x:c r="R101" s="46" t="n">
        <x:v>2.6622005572241036e-9</x:v>
      </x:c>
      <x:c r="S101" s="46" t="n">
        <x:v>4.169851873514485e-9</x:v>
      </x:c>
      <x:c r="T101" s="46" t="n">
        <x:v>1.1043194136917123e-9</x:v>
      </x:c>
      <x:c r="U101" s="31" t="str">
        <x:v>Candidate surface form is directly representable in the public Ngram interface. Complete 1842–2022 unsmoothed series reused from the audited quantitative-v0.1 baseline.</x:v>
      </x:c>
      <x:c r="V101" s="31" t="str">
        <x:v>TECHNICAL_GLOSSARY</x:v>
      </x:c>
      <x:c r="W101" s="31" t="str">
        <x:v>IPCC climate-science glossary / assessment terminology</x:v>
      </x:c>
      <x:c r="X101" s="31" t="str">
        <x:v>A threat, risk, harm, severity, or consequence sense in the documented source; it is not automatically an emotion.</x:v>
      </x:c>
      <x:c r="Y101" s="31" t="str">
        <x:v>Generic material, ecological, or social damage; the candidate is interpreted in its documented anchor and voice context.</x:v>
      </x:c>
      <x:c r="Z101" s="31" t="str">
        <x:v>STRONG</x:v>
      </x:c>
      <x:c r="AA101" s="19" t="str">
        <x:v>The surface form may realize multiple senses; candidate meaning remains anchored to the report-visible source context.</x:v>
      </x:c>
      <x:c r="AB101" s="31" t="str">
        <x:v>Secondary: Component headword checked: ice.; historical: Anchor-period research source/context; Webster 1913 stable component URL recorded but automated page retrieval was unavailable; source: https://www.ipcc.ch/site/assets/uploads/2018/02/WGIIAR5-AnnexII_FINAL.pdf; https://api.dictionaryapi.dev/api/v2/entries/en/widespread%20melting%20of%20snow%20and%20ice; https://websters1913.timcieplowski.com/word/ice/</x:v>
      </x:c>
      <x:c r="AC101" s="31" t="str">
        <x:v>INTERNET_ARCHIVE_METADATA_TEXT_ITEM_COUNT</x:v>
      </x:c>
      <x:c r="AD101" s="19" t="str">
        <x:v>"widespread melting of snow and ice" AND mediatype:texts</x:v>
      </x:c>
      <x:c r="AE101" s="31" t="str">
        <x:v>EXACT_PHRASE</x:v>
      </x:c>
      <x:c r="AF101" s="31" t="str">
        <x:v>COMPLETED_ZERO</x:v>
      </x:c>
      <x:c r="AG101" s="25" t="n">
        <x:v>0</x:v>
      </x:c>
      <x:c r="AH101" s="25" t="n">
        <x:v>0</x:v>
      </x:c>
      <x:c r="AI101" s="19" t="str">
        <x:v>2026-08-26</x:v>
      </x:c>
      <x:c r="AJ101" s="31" t="str">
        <x:v>Metadata text-item count; not a full-text lexical frequency. Secondary metric: NOT_RUN_OPENALEX_DAILY_BUDGET_EXHAUSTED: shared provider response retained; no count fabricated.</x:v>
      </x:c>
      <x:c r="AK101" s="31" t="str">
        <x:v>FULLY_COVERED</x:v>
      </x:c>
      <x:c r="AL101" s="19" t="str">
        <x:v>PENDING_SOURCE_REVIEW</x:v>
      </x:c>
      <x:c r="AM101" s="20" t="str">
        <x:v>MEDIUM</x:v>
      </x:c>
    </x:row>
    <x:row r="102" ht="34" customHeight="1">
      <x:c r="A102" s="40" t="str">
        <x:v>FT-SEED-R1B-P-0607-08</x:v>
      </x:c>
      <x:c r="B102" s="19" t="str">
        <x:v>2006–2007</x:v>
      </x:c>
      <x:c r="C102" s="25" t="n">
        <x:v>8</x:v>
      </x:c>
      <x:c r="D102" s="31" t="str">
        <x:v>anthropogenic CO₂</x:v>
      </x:c>
      <x:c r="E102" s="31" t="str">
        <x:v>anthropogenic carbon-dioxide production</x:v>
      </x:c>
      <x:c r="F102" s="31" t="str">
        <x:v>carbon_greenhouse</x:v>
      </x:c>
      <x:c r="G102" s="19" t="str">
        <x:v>B</x:v>
      </x:c>
      <x:c r="H102" s="19" t="str">
        <x:v>V1</x:v>
      </x:c>
      <x:c r="I102" s="19" t="str">
        <x:v>NOT_EXPOSED_IN_REPORT</x:v>
      </x:c>
      <x:c r="J102" s="31" t="str">
        <x:v>S0607-IPCC</x:v>
      </x:c>
      <x:c r="K102" s="31" t="str">
        <x:v>RECONSTRUCTED_FROM_REPORT; Fear of Temperature_ Stratified Lexical Expansion, Voice Mapping, and Semantic-Relational Pre-Valida.pdf; p.10; project candidate FT-SEED-R1B-P-0607-08; original visible ID not available</x:v>
      </x:c>
      <x:c r="L102" s="31" t="str">
        <x:v>SUCCEEDED_NEW</x:v>
      </x:c>
      <x:c r="M102" s="31" t="str">
        <x:v>anthropogenic carbon dioxide</x:v>
      </x:c>
      <x:c r="N102" s="31" t="str">
        <x:v>VALIDATED_ALIAS</x:v>
      </x:c>
      <x:c r="O102" s="19" t="str">
        <x:v>1869</x:v>
      </x:c>
      <x:c r="P102" s="19" t="str">
        <x:v>2018</x:v>
      </x:c>
      <x:c r="Q102" s="46" t="n">
        <x:v>1.3785233732299673e-8</x:v>
      </x:c>
      <x:c r="R102" s="46" t="n">
        <x:v>8.282402000348021e-9</x:v>
      </x:c>
      <x:c r="S102" s="46" t="n">
        <x:v>8.289992976806548e-9</x:v>
      </x:c>
      <x:c r="T102" s="46" t="n">
        <x:v>1.2155737000307809e-8</x:v>
      </x:c>
      <x:c r="U102" s="31" t="str">
        <x:v>CO₂ is expanded to its standard full lexical form; referent and historical sense are unchanged. New unsmoothed 1842–2022 series retrieved for the candidate audit.</x:v>
      </x:c>
      <x:c r="V102" s="31" t="str">
        <x:v>TECHNICAL_GLOSSARY</x:v>
      </x:c>
      <x:c r="W102" s="31" t="str">
        <x:v>IPCC climate-science glossary / assessment terminology</x:v>
      </x:c>
      <x:c r="X102" s="31" t="str">
        <x:v>A climatic, atmospheric, meteorological, or causal-science sense in the documented anchor context.</x:v>
      </x:c>
      <x:c r="Y102" s="31" t="str">
        <x:v>Human production of carbon dioxide as a climatic cause; the candidate is interpreted in its documented anchor and voice context.</x:v>
      </x:c>
      <x:c r="Z102" s="31" t="str">
        <x:v>STRONG</x:v>
      </x:c>
      <x:c r="AA102" s="19" t="str">
        <x:v>The surface form may realize multiple senses; candidate meaning remains anchored to the report-visible source context.</x:v>
      </x:c>
      <x:c r="AB102" s="31" t="str">
        <x:v>Secondary: Component headword checked: co.; historical: Anchor-period research source/context; Webster 1913 stable component URL recorded but automated page retrieval was unavailable; source: https://www.ipcc.ch/site/assets/uploads/2018/02/WGIIAR5-AnnexII_FINAL.pdf; https://api.dictionaryapi.dev/api/v2/entries/en/anthropogenic%20CO%E2%82%82; https://websters1913.timcieplowski.com/word/co/</x:v>
      </x:c>
      <x:c r="AC102" s="31" t="str">
        <x:v>INTERNET_ARCHIVE_METADATA_TEXT_ITEM_COUNT</x:v>
      </x:c>
      <x:c r="AD102" s="19" t="str">
        <x:v>"anthropogenic CO₂" AND mediatype:texts</x:v>
      </x:c>
      <x:c r="AE102" s="31" t="str">
        <x:v>EXACT_PHRASE</x:v>
      </x:c>
      <x:c r="AF102" s="31" t="str">
        <x:v>COMPLETED_NONZERO</x:v>
      </x:c>
      <x:c r="AG102" s="25" t="n">
        <x:v>8</x:v>
      </x:c>
      <x:c r="AH102" s="25" t="n">
        <x:v>0</x:v>
      </x:c>
      <x:c r="AI102" s="19" t="str">
        <x:v>2026-08-26</x:v>
      </x:c>
      <x:c r="AJ102" s="31" t="str">
        <x:v>Metadata text-item count; not a full-text lexical frequency. Secondary metric: Scholarly work discoverability count over OpenAlex search fields; not a corpus word frequency.</x:v>
      </x:c>
      <x:c r="AK102" s="31" t="str">
        <x:v>FULLY_ACCOUNTED_WITH_NGRAM_ALIAS</x:v>
      </x:c>
      <x:c r="AL102" s="19" t="str">
        <x:v>PENDING_SOURCE_REVIEW</x:v>
      </x:c>
      <x:c r="AM102" s="20" t="str">
        <x:v>MEDIUM</x:v>
      </x:c>
    </x:row>
    <x:row r="103" ht="34" customHeight="1">
      <x:c r="A103" s="40" t="str">
        <x:v>FT-SEED-R1B-P-0607-09</x:v>
      </x:c>
      <x:c r="B103" s="19" t="str">
        <x:v>2006–2007</x:v>
      </x:c>
      <x:c r="C103" s="25" t="n">
        <x:v>9</x:v>
      </x:c>
      <x:c r="D103" s="31" t="str">
        <x:v>anthropogenic GHG emissions</x:v>
      </x:c>
      <x:c r="E103" s="31" t="str">
        <x:v>anthropogenic greenhouse-gas emissions</x:v>
      </x:c>
      <x:c r="F103" s="31" t="str">
        <x:v>carbon_greenhouse</x:v>
      </x:c>
      <x:c r="G103" s="19" t="str">
        <x:v>B</x:v>
      </x:c>
      <x:c r="H103" s="19" t="str">
        <x:v>V1</x:v>
      </x:c>
      <x:c r="I103" s="19" t="str">
        <x:v>NOT_EXPOSED_IN_REPORT</x:v>
      </x:c>
      <x:c r="J103" s="31" t="str">
        <x:v>S0607-IPCC</x:v>
      </x:c>
      <x:c r="K103" s="31" t="str">
        <x:v>RECONSTRUCTED_FROM_REPORT; Fear of Temperature_ Stratified Lexical Expansion, Voice Mapping, and Semantic-Relational Pre-Valida.pdf; p.10; project candidate FT-SEED-R1B-P-0607-09; original visible ID not available</x:v>
      </x:c>
      <x:c r="L103" s="31" t="str">
        <x:v>SUCCEEDED_REUSED_BASELINE</x:v>
      </x:c>
      <x:c r="M103" s="31" t="str">
        <x:v>anthropogenic GHG emissions</x:v>
      </x:c>
      <x:c r="N103" s="31" t="str">
        <x:v>EXACT</x:v>
      </x:c>
      <x:c r="O103" s="19" t="str">
        <x:v>1901</x:v>
      </x:c>
      <x:c r="P103" s="19" t="str">
        <x:v>2022</x:v>
      </x:c>
      <x:c r="Q103" s="46" t="n">
        <x:v>1.6223415388871842e-8</x:v>
      </x:c>
      <x:c r="R103" s="46" t="n">
        <x:v>2.250436378914422e-9</x:v>
      </x:c>
      <x:c r="S103" s="46" t="n">
        <x:v>2.7409669048350516e-9</x:v>
      </x:c>
      <x:c r="T103" s="46" t="n">
        <x:v>1.6223415388871842e-8</x:v>
      </x:c>
      <x:c r="U103" s="31" t="str">
        <x:v>Candidate surface form is directly representable in the public Ngram interface. Complete 1842–2022 unsmoothed series reused from the audited quantitative-v0.1 baseline.</x:v>
      </x:c>
      <x:c r="V103" s="31" t="str">
        <x:v>TECHNICAL_GLOSSARY</x:v>
      </x:c>
      <x:c r="W103" s="31" t="str">
        <x:v>IPCC climate-science glossary / assessment terminology</x:v>
      </x:c>
      <x:c r="X103" s="31" t="str">
        <x:v>A climatic, atmospheric, meteorological, or causal-science sense in the documented anchor context.</x:v>
      </x:c>
      <x:c r="Y103" s="31" t="str">
        <x:v>Human-caused releases of greenhouse gases into the atmosphere.</x:v>
      </x:c>
      <x:c r="Z103" s="31" t="str">
        <x:v>STRONG</x:v>
      </x:c>
      <x:c r="AA103" s="19" t="str">
        <x:v>The surface form may realize multiple senses; candidate meaning remains anchored to the report-visible source context.</x:v>
      </x:c>
      <x:c r="AB103"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https://api.dictionaryapi.dev/api/v2/entries/en/anthropogenic%20GHG%20emissions; https://websters1913.timcieplowski.com/word/emissions/</x:v>
      </x:c>
      <x:c r="AC103" s="31" t="str">
        <x:v>INTERNET_ARCHIVE_METADATA_TEXT_ITEM_COUNT</x:v>
      </x:c>
      <x:c r="AD103" s="19" t="str">
        <x:v>"anthropogenic GHG emissions" AND mediatype:texts</x:v>
      </x:c>
      <x:c r="AE103" s="31" t="str">
        <x:v>EXACT_PHRASE</x:v>
      </x:c>
      <x:c r="AF103" s="31" t="str">
        <x:v>COMPLETED_NONZERO</x:v>
      </x:c>
      <x:c r="AG103" s="25" t="n">
        <x:v>4</x:v>
      </x:c>
      <x:c r="AH103" s="25" t="n">
        <x:v>0</x:v>
      </x:c>
      <x:c r="AI103" s="19" t="str">
        <x:v>2026-08-26</x:v>
      </x:c>
      <x:c r="AJ103" s="31" t="str">
        <x:v>Metadata text-item count; not a full-text lexical frequency. Secondary metric: Scholarly work discoverability count over OpenAlex search fields; not a corpus word frequency.</x:v>
      </x:c>
      <x:c r="AK103" s="31" t="str">
        <x:v>FULLY_COVERED</x:v>
      </x:c>
      <x:c r="AL103" s="19" t="str">
        <x:v>PENDING_SOURCE_REVIEW</x:v>
      </x:c>
      <x:c r="AM103" s="20" t="str">
        <x:v>MEDIUM</x:v>
      </x:c>
    </x:row>
    <x:row r="104" ht="34" customHeight="1">
      <x:c r="A104" s="40" t="str">
        <x:v>FT-SEED-R1B-P-0607-10</x:v>
      </x:c>
      <x:c r="B104" s="19" t="str">
        <x:v>2006–2007</x:v>
      </x:c>
      <x:c r="C104" s="25" t="n">
        <x:v>10</x:v>
      </x:c>
      <x:c r="D104" s="31" t="str">
        <x:v>climate change</x:v>
      </x:c>
      <x:c r="E104" s="31" t="str">
        <x:v>modern climate change</x:v>
      </x:c>
      <x:c r="F104" s="31" t="str">
        <x:v>climate</x:v>
      </x:c>
      <x:c r="G104" s="19" t="str">
        <x:v>B</x:v>
      </x:c>
      <x:c r="H104" s="19" t="str">
        <x:v>V2</x:v>
      </x:c>
      <x:c r="I104" s="19" t="str">
        <x:v>NOT_EXPOSED_IN_REPORT</x:v>
      </x:c>
      <x:c r="J104" s="31" t="str">
        <x:v>S0607-STERN</x:v>
      </x:c>
      <x:c r="K104" s="31" t="str">
        <x:v>RECONSTRUCTED_FROM_REPORT; Fear of Temperature_ Stratified Lexical Expansion, Voice Mapping, and Semantic-Relational Pre-Valida.pdf; p.10; project candidate FT-SEED-R1B-P-0607-10; original visible ID not available</x:v>
      </x:c>
      <x:c r="L104" s="31" t="str">
        <x:v>SUCCEEDED_REUSED_BASELINE</x:v>
      </x:c>
      <x:c r="M104" s="31" t="str">
        <x:v>climate change</x:v>
      </x:c>
      <x:c r="N104" s="31" t="str">
        <x:v>EXACT</x:v>
      </x:c>
      <x:c r="O104" s="19" t="str">
        <x:v>1842</x:v>
      </x:c>
      <x:c r="P104" s="19" t="str">
        <x:v>2022</x:v>
      </x:c>
      <x:c r="Q104" s="46" t="n">
        <x:v>0.00002890008815206735</x:v>
      </x:c>
      <x:c r="R104" s="46" t="n">
        <x:v>0.00001095392866206149</x:v>
      </x:c>
      <x:c r="S104" s="46" t="n">
        <x:v>0.000011502200587204872</x:v>
      </x:c>
      <x:c r="T104" s="46" t="n">
        <x:v>0.00002890008815206735</x:v>
      </x:c>
      <x:c r="U104" s="31" t="str">
        <x:v>Candidate surface form is directly representable in the public Ngram interface. Complete 1842–2022 unsmoothed series reused from the audited quantitative-v0.1 baseline.</x:v>
      </x:c>
      <x:c r="V104" s="31" t="str">
        <x:v>TECHNICAL_GLOSSARY</x:v>
      </x:c>
      <x:c r="W104" s="31" t="str">
        <x:v>IPCC climate-science glossary / assessment terminology</x:v>
      </x:c>
      <x:c r="X104" s="31" t="str">
        <x:v>The established modern issue label for sustained climatic change, used in institutional, scientific, or public contexts depending on voice.</x:v>
      </x:c>
      <x:c r="Y104" s="31" t="str">
        <x:v>A persistent change in the state or variability of climate; institutional definitions differ on whether human attribution is required.</x:v>
      </x:c>
      <x:c r="Z104" s="31" t="str">
        <x:v>STRONG</x:v>
      </x:c>
      <x:c r="AA104" s="19" t="str">
        <x:v>The modern issue label must still be distinguished from generic change and historical climatic variability.</x:v>
      </x:c>
      <x:c r="AB104"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04" s="31" t="str">
        <x:v>INTERNET_ARCHIVE_METADATA_TEXT_ITEM_COUNT</x:v>
      </x:c>
      <x:c r="AD104" s="19" t="str">
        <x:v>"climate change" AND mediatype:texts</x:v>
      </x:c>
      <x:c r="AE104" s="31" t="str">
        <x:v>EXACT_PHRASE</x:v>
      </x:c>
      <x:c r="AF104" s="31" t="str">
        <x:v>COMPLETED_NONZERO</x:v>
      </x:c>
      <x:c r="AG104" s="25" t="n">
        <x:v>30525</x:v>
      </x:c>
      <x:c r="AH104" s="25" t="n">
        <x:v>1334</x:v>
      </x:c>
      <x:c r="AI104" s="19" t="str">
        <x:v>2026-08-26</x:v>
      </x:c>
      <x:c r="AJ104" s="31" t="str">
        <x:v>Metadata text-item count; not a full-text lexical frequency. Secondary metric: Scholarly work discoverability count over OpenAlex search fields; not a corpus word frequency.</x:v>
      </x:c>
      <x:c r="AK104" s="31" t="str">
        <x:v>FULLY_COVERED</x:v>
      </x:c>
      <x:c r="AL104" s="19" t="str">
        <x:v>PENDING_SOURCE_REVIEW</x:v>
      </x:c>
      <x:c r="AM104" s="20" t="str">
        <x:v>MEDIUM</x:v>
      </x:c>
    </x:row>
    <x:row r="105" ht="34" customHeight="1">
      <x:c r="A105" s="40" t="str">
        <x:v>FT-SEED-R1B-P-0607-11</x:v>
      </x:c>
      <x:c r="B105" s="19" t="str">
        <x:v>2006–2007</x:v>
      </x:c>
      <x:c r="C105" s="25" t="n">
        <x:v>11</x:v>
      </x:c>
      <x:c r="D105" s="31" t="str">
        <x:v>global warming</x:v>
      </x:c>
      <x:c r="E105" s="31" t="str">
        <x:v>global warming as issue label</x:v>
      </x:c>
      <x:c r="F105" s="31" t="str">
        <x:v>warming</x:v>
      </x:c>
      <x:c r="G105" s="19" t="str">
        <x:v>A</x:v>
      </x:c>
      <x:c r="H105" s="19" t="str">
        <x:v>V3</x:v>
      </x:c>
      <x:c r="I105" s="19" t="str">
        <x:v>NOT_EXPOSED_IN_REPORT</x:v>
      </x:c>
      <x:c r="J105" s="31" t="str">
        <x:v>S0607-TIME</x:v>
      </x:c>
      <x:c r="K105" s="31" t="str">
        <x:v>RECONSTRUCTED_FROM_REPORT; Fear of Temperature_ Stratified Lexical Expansion, Voice Mapping, and Semantic-Relational Pre-Valida.pdf; p.10; project candidate FT-SEED-R1B-P-0607-11; original visible ID not available</x:v>
      </x:c>
      <x:c r="L105" s="31" t="str">
        <x:v>SUCCEEDED_REUSED_BASELINE</x:v>
      </x:c>
      <x:c r="M105" s="31" t="str">
        <x:v>global warming</x:v>
      </x:c>
      <x:c r="N105" s="31" t="str">
        <x:v>EXACT</x:v>
      </x:c>
      <x:c r="O105" s="19" t="str">
        <x:v>1843</x:v>
      </x:c>
      <x:c r="P105" s="19" t="str">
        <x:v>2009</x:v>
      </x:c>
      <x:c r="Q105" s="46" t="n">
        <x:v>0.000005445639571555194</x:v>
      </x:c>
      <x:c r="R105" s="46" t="n">
        <x:v>0.00000417779036841065</x:v>
      </x:c>
      <x:c r="S105" s="46" t="n">
        <x:v>0.000004173465091666245</x:v>
      </x:c>
      <x:c r="T105" s="46" t="n">
        <x:v>0.000003963670369644401</x:v>
      </x:c>
      <x:c r="U105" s="31" t="str">
        <x:v>Candidate surface form is directly representable in the public Ngram interface. Complete 1842–2022 unsmoothed series reused from the audited quantitative-v0.1 baseline.</x:v>
      </x:c>
      <x:c r="V105" s="31" t="str">
        <x:v>TECHNICAL_GLOSSARY</x:v>
      </x:c>
      <x:c r="W105" s="31" t="str">
        <x:v>IPCC climate-science glossary / assessment terminology</x:v>
      </x:c>
      <x:c r="X105" s="31" t="str">
        <x:v>A physical temperature, warming, heat, or measurement sense in the documented anchor context.</x:v>
      </x:c>
      <x:c r="Y105" s="31" t="str">
        <x:v>The long-term rise in global mean surface temperature, commonly used as an established issue label in modern climate discourse.</x:v>
      </x:c>
      <x:c r="Z105" s="31" t="str">
        <x:v>STRONG</x:v>
      </x:c>
      <x:c r="AA105" s="19" t="str">
        <x:v>The surface form may realize multiple senses; candidate meaning remains anchored to the report-visible source context.</x:v>
      </x:c>
      <x:c r="AB105"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05" s="31" t="str">
        <x:v>INTERNET_ARCHIVE_METADATA_TEXT_ITEM_COUNT</x:v>
      </x:c>
      <x:c r="AD105" s="19" t="str">
        <x:v>"global warming" AND mediatype:texts</x:v>
      </x:c>
      <x:c r="AE105" s="31" t="str">
        <x:v>EXACT_PHRASE</x:v>
      </x:c>
      <x:c r="AF105" s="31" t="str">
        <x:v>COMPLETED_NONZERO</x:v>
      </x:c>
      <x:c r="AG105" s="25" t="n">
        <x:v>5619</x:v>
      </x:c>
      <x:c r="AH105" s="25" t="n">
        <x:v>123</x:v>
      </x:c>
      <x:c r="AI105" s="19" t="str">
        <x:v>2026-08-26</x:v>
      </x:c>
      <x:c r="AJ105" s="31" t="str">
        <x:v>Metadata text-item count; not a full-text lexical frequency. Secondary metric: NOT_RUN_OPENALEX_DAILY_BUDGET_EXHAUSTED: shared provider response retained; no count fabricated.</x:v>
      </x:c>
      <x:c r="AK105" s="31" t="str">
        <x:v>FULLY_COVERED</x:v>
      </x:c>
      <x:c r="AL105" s="19" t="str">
        <x:v>PENDING_SOURCE_REVIEW</x:v>
      </x:c>
      <x:c r="AM105" s="20" t="str">
        <x:v>MEDIUM</x:v>
      </x:c>
    </x:row>
    <x:row r="106" ht="34" customHeight="1">
      <x:c r="A106" s="40" t="str">
        <x:v>FT-SEED-R1B-P-0607-12</x:v>
      </x:c>
      <x:c r="B106" s="19" t="str">
        <x:v>2006–2007</x:v>
      </x:c>
      <x:c r="C106" s="25" t="n">
        <x:v>12</x:v>
      </x:c>
      <x:c r="D106" s="31" t="str">
        <x:v>serious global threat</x:v>
      </x:c>
      <x:c r="E106" s="31" t="str">
        <x:v>institutional climate threat</x:v>
      </x:c>
      <x:c r="F106" s="31" t="str">
        <x:v>danger_threat</x:v>
      </x:c>
      <x:c r="G106" s="19" t="str">
        <x:v>D</x:v>
      </x:c>
      <x:c r="H106" s="19" t="str">
        <x:v>V2</x:v>
      </x:c>
      <x:c r="I106" s="19" t="str">
        <x:v>NOT_EXPOSED_IN_REPORT</x:v>
      </x:c>
      <x:c r="J106" s="31" t="str">
        <x:v>S0607-STERN</x:v>
      </x:c>
      <x:c r="K106" s="31" t="str">
        <x:v>RECONSTRUCTED_FROM_REPORT; Fear of Temperature_ Stratified Lexical Expansion, Voice Mapping, and Semantic-Relational Pre-Valida.pdf; p.10; project candidate FT-SEED-R1B-P-0607-12; original visible ID not available</x:v>
      </x:c>
      <x:c r="L106" s="31" t="str">
        <x:v>SUCCEEDED_REUSED_BASELINE</x:v>
      </x:c>
      <x:c r="M106" s="31" t="str">
        <x:v>serious global threat</x:v>
      </x:c>
      <x:c r="N106" s="31" t="str">
        <x:v>EXACT</x:v>
      </x:c>
      <x:c r="O106" s="19" t="str">
        <x:v>1946</x:v>
      </x:c>
      <x:c r="P106" s="19" t="str">
        <x:v>2022</x:v>
      </x:c>
      <x:c r="Q106" s="46" t="n">
        <x:v>2.3176307539785057e-9</x:v>
      </x:c>
      <x:c r="R106" s="46" t="n">
        <x:v>1.2957637740562689e-9</x:v>
      </x:c>
      <x:c r="S106" s="46" t="n">
        <x:v>1.16850794318335e-9</x:v>
      </x:c>
      <x:c r="T106" s="46" t="n">
        <x:v>2.3176307539785057e-9</x:v>
      </x:c>
      <x:c r="U106" s="31" t="str">
        <x:v>Candidate surface form is directly representable in the public Ngram interface. Complete 1842–2022 unsmoothed series reused from the audited quantitative-v0.1 baseline.</x:v>
      </x:c>
      <x:c r="V106" s="31" t="str">
        <x:v>NO_STANDALONE_HEADWORD</x:v>
      </x:c>
      <x:c r="W106" s="31" t="str">
        <x:v>Component lexical analysis plus anchor-source contextual meaning</x:v>
      </x:c>
      <x:c r="X106" s="31" t="str">
        <x:v>A threat, risk, harm, severity, or consequence sense in the documented source; it is not automatically an emotion.</x:v>
      </x:c>
      <x:c r="Y106" s="31" t="str">
        <x:v>Climate change framed as an institutional threat; the candidate is interpreted in its documented anchor and voice context.</x:v>
      </x:c>
      <x:c r="Z106" s="31" t="str">
        <x:v>STRONG</x:v>
      </x:c>
      <x:c r="AA106" s="19" t="str">
        <x:v>The surface form may realize multiple senses; candidate meaning remains anchored to the report-visible source context.</x:v>
      </x:c>
      <x:c r="AB106"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https://api.dictionaryapi.dev/api/v2/entries/en/serious%20global%20threat; https://websters1913.timcieplowski.com/word/threat/</x:v>
      </x:c>
      <x:c r="AC106" s="31" t="str">
        <x:v>INTERNET_ARCHIVE_METADATA_TEXT_ITEM_COUNT</x:v>
      </x:c>
      <x:c r="AD106" s="19" t="str">
        <x:v>"serious global threat" AND mediatype:texts</x:v>
      </x:c>
      <x:c r="AE106" s="31" t="str">
        <x:v>EXACT_PHRASE</x:v>
      </x:c>
      <x:c r="AF106" s="31" t="str">
        <x:v>COMPLETED_NONZERO</x:v>
      </x:c>
      <x:c r="AG106" s="25" t="n">
        <x:v>3</x:v>
      </x:c>
      <x:c r="AH106" s="25" t="n">
        <x:v>1</x:v>
      </x:c>
      <x:c r="AI106" s="19" t="str">
        <x:v>2026-08-26</x:v>
      </x:c>
      <x:c r="AJ106" s="31" t="str">
        <x:v>Metadata text-item count; not a full-text lexical frequency. Secondary metric: NOT_RUN_OPENALEX_DAILY_BUDGET_EXHAUSTED: shared provider response retained; no count fabricated.</x:v>
      </x:c>
      <x:c r="AK106" s="31" t="str">
        <x:v>FULLY_COVERED</x:v>
      </x:c>
      <x:c r="AL106" s="19" t="str">
        <x:v>PENDING_SOURCE_REVIEW</x:v>
      </x:c>
      <x:c r="AM106" s="20" t="str">
        <x:v>MEDIUM</x:v>
      </x:c>
    </x:row>
    <x:row r="107" ht="34" customHeight="1">
      <x:c r="A107" s="40" t="str">
        <x:v>FT-SEED-R1B-P-0607-13</x:v>
      </x:c>
      <x:c r="B107" s="19" t="str">
        <x:v>2006–2007</x:v>
      </x:c>
      <x:c r="C107" s="25" t="n">
        <x:v>13</x:v>
      </x:c>
      <x:c r="D107" s="31" t="str">
        <x:v>urgent global response</x:v>
      </x:c>
      <x:c r="E107" s="31" t="str">
        <x:v>generic damage</x:v>
      </x:c>
      <x:c r="F107" s="31" t="str">
        <x:v>harm_loss_consequences</x:v>
      </x:c>
      <x:c r="G107" s="19" t="str">
        <x:v>D</x:v>
      </x:c>
      <x:c r="H107" s="19" t="str">
        <x:v>V2</x:v>
      </x:c>
      <x:c r="I107" s="19" t="str">
        <x:v>NOT_EXPOSED_IN_REPORT</x:v>
      </x:c>
      <x:c r="J107" s="31" t="str">
        <x:v>S0607-STERN</x:v>
      </x:c>
      <x:c r="K107" s="31" t="str">
        <x:v>RECONSTRUCTED_FROM_REPORT; Fear of Temperature_ Stratified Lexical Expansion, Voice Mapping, and Semantic-Relational Pre-Valida.pdf; p.10; project candidate FT-SEED-R1B-P-0607-13; original visible ID not available</x:v>
      </x:c>
      <x:c r="L107" s="31" t="str">
        <x:v>SUCCEEDED_REUSED_BASELINE</x:v>
      </x:c>
      <x:c r="M107" s="31" t="str">
        <x:v>urgent global response</x:v>
      </x:c>
      <x:c r="N107" s="31" t="str">
        <x:v>EXACT</x:v>
      </x:c>
      <x:c r="O107" s="19" t="str">
        <x:v>1946</x:v>
      </x:c>
      <x:c r="P107" s="19" t="str">
        <x:v>2007</x:v>
      </x:c>
      <x:c r="Q107" s="46" t="n">
        <x:v>1.6521017887072276e-9</x:v>
      </x:c>
      <x:c r="R107" s="46" t="n">
        <x:v>1.1480850992118263e-9</x:v>
      </x:c>
      <x:c r="S107" s="46" t="n">
        <x:v>9.44838009914184e-10</x:v>
      </x:c>
      <x:c r="T107" s="46" t="n">
        <x:v>3.7838870925455126e-10</x:v>
      </x:c>
      <x:c r="U107" s="31" t="str">
        <x:v>Candidate surface form is directly representable in the public Ngram interface. Complete 1842–2022 unsmoothed series reused from the audited quantitative-v0.1 baseline.</x:v>
      </x:c>
      <x:c r="V107" s="31" t="str">
        <x:v>NO_STANDALONE_HEADWORD</x:v>
      </x:c>
      <x:c r="W107" s="31" t="str">
        <x:v>Component lexical analysis plus anchor-source contextual meaning</x:v>
      </x:c>
      <x:c r="X107" s="31" t="str">
        <x:v>A threat, risk, harm, severity, or consequence sense in the documented source; it is not automatically an emotion.</x:v>
      </x:c>
      <x:c r="Y107" s="31" t="str">
        <x:v>Generic material, ecological, or social damage; the candidate is interpreted in its documented anchor and voice context.</x:v>
      </x:c>
      <x:c r="Z107" s="31" t="str">
        <x:v>STRONG</x:v>
      </x:c>
      <x:c r="AA107" s="19" t="str">
        <x:v>The surface form may realize multiple senses; candidate meaning remains anchored to the report-visible source context.</x:v>
      </x:c>
      <x:c r="AB107" s="31" t="str">
        <x:v>Secondary: Component headword checked: response.;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https://api.dictionaryapi.dev/api/v2/entries/en/urgent%20global%20response; https://websters1913.timcieplowski.com/word/response/</x:v>
      </x:c>
      <x:c r="AC107" s="31" t="str">
        <x:v>INTERNET_ARCHIVE_METADATA_TEXT_ITEM_COUNT</x:v>
      </x:c>
      <x:c r="AD107" s="19" t="str">
        <x:v>"urgent global response" AND mediatype:texts</x:v>
      </x:c>
      <x:c r="AE107" s="31" t="str">
        <x:v>EXACT_PHRASE</x:v>
      </x:c>
      <x:c r="AF107" s="31" t="str">
        <x:v>COMPLETED_ZERO</x:v>
      </x:c>
      <x:c r="AG107" s="25" t="n">
        <x:v>0</x:v>
      </x:c>
      <x:c r="AH107" s="25" t="n">
        <x:v>0</x:v>
      </x:c>
      <x:c r="AI107" s="19" t="str">
        <x:v>2026-08-26</x:v>
      </x:c>
      <x:c r="AJ107" s="31" t="str">
        <x:v>Metadata text-item count; not a full-text lexical frequency. Secondary metric: NOT_RUN_OPENALEX_DAILY_BUDGET_EXHAUSTED: shared provider response retained; no count fabricated.</x:v>
      </x:c>
      <x:c r="AK107" s="31" t="str">
        <x:v>FULLY_COVERED</x:v>
      </x:c>
      <x:c r="AL107" s="19" t="str">
        <x:v>PENDING_SOURCE_REVIEW</x:v>
      </x:c>
      <x:c r="AM107" s="20" t="str">
        <x:v>MEDIUM</x:v>
      </x:c>
    </x:row>
    <x:row r="108" ht="34" customHeight="1">
      <x:c r="A108" s="40" t="str">
        <x:v>FT-SEED-R1B-P-0607-14</x:v>
      </x:c>
      <x:c r="B108" s="19" t="str">
        <x:v>2006–2007</x:v>
      </x:c>
      <x:c r="C108" s="25" t="n">
        <x:v>14</x:v>
      </x:c>
      <x:c r="D108" s="31" t="str">
        <x:v>costs and risks of climate change</x:v>
      </x:c>
      <x:c r="E108" s="31" t="str">
        <x:v>modern climate change</x:v>
      </x:c>
      <x:c r="F108" s="31" t="str">
        <x:v>climate</x:v>
      </x:c>
      <x:c r="G108" s="19" t="str">
        <x:v>D</x:v>
      </x:c>
      <x:c r="H108" s="19" t="str">
        <x:v>V2</x:v>
      </x:c>
      <x:c r="I108" s="19" t="str">
        <x:v>NOT_EXPOSED_IN_REPORT</x:v>
      </x:c>
      <x:c r="J108" s="31" t="str">
        <x:v>S0607-STERN</x:v>
      </x:c>
      <x:c r="K108" s="31" t="str">
        <x:v>RECONSTRUCTED_FROM_REPORT; Fear of Temperature_ Stratified Lexical Expansion, Voice Mapping, and Semantic-Relational Pre-Valida.pdf; p.10; project candidate FT-SEED-R1B-P-0607-14; original visible ID not available</x:v>
      </x:c>
      <x:c r="L108" s="31" t="str">
        <x:v>SUCCEEDED_REUSED_BASELINE</x:v>
      </x:c>
      <x:c r="M108" s="31" t="str">
        <x:v>costs and risks of climate change</x:v>
      </x:c>
      <x:c r="N108" s="31" t="str">
        <x:v>EXACT</x:v>
      </x:c>
      <x:c r="O108" s="19" t="str">
        <x:v>1986</x:v>
      </x:c>
      <x:c r="P108" s="19" t="str">
        <x:v>2009</x:v>
      </x:c>
      <x:c r="Q108" s="46" t="n">
        <x:v>2.4810227206018e-9</x:v>
      </x:c>
      <x:c r="R108" s="46" t="n">
        <x:v>1.2008179450795353e-9</x:v>
      </x:c>
      <x:c r="S108" s="46" t="n">
        <x:v>1.2094392848327473e-9</x:v>
      </x:c>
      <x:c r="T108" s="46" t="n">
        <x:v>8.137091001003682e-10</x:v>
      </x:c>
      <x:c r="U108" s="31" t="str">
        <x:v>Candidate surface form is directly representable in the public Ngram interface. Complete 1842–2022 unsmoothed series reused from the audited quantitative-v0.1 baseline.</x:v>
      </x:c>
      <x:c r="V108" s="31" t="str">
        <x:v>NO_STANDALONE_HEADWORD</x:v>
      </x:c>
      <x:c r="W108" s="31" t="str">
        <x:v>Component lexical analysis plus anchor-source contextual meaning</x:v>
      </x:c>
      <x:c r="X108" s="31" t="str">
        <x:v>A threat, risk, harm, severity, or consequence sense in the documented source; it is not automatically an emotion.</x:v>
      </x:c>
      <x:c r="Y108" s="31" t="str">
        <x:v>Modern climate change as an anthropogenic scientific, public, or governance problem; the candidate is interpreted in its documented anchor and voice context.</x:v>
      </x:c>
      <x:c r="Z108" s="31" t="str">
        <x:v>STRONG</x:v>
      </x:c>
      <x:c r="AA108" s="19" t="str">
        <x:v>The surface form may realize multiple senses; candidate meaning remains anchored to the report-visible source context.</x:v>
      </x:c>
      <x:c r="AB108"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https://api.dictionaryapi.dev/api/v2/entries/en/costs%20and%20risks%20of%20climate%20change; https://websters1913.timcieplowski.com/word/change/</x:v>
      </x:c>
      <x:c r="AC108" s="31" t="str">
        <x:v>INTERNET_ARCHIVE_METADATA_TEXT_ITEM_COUNT</x:v>
      </x:c>
      <x:c r="AD108" s="19" t="str">
        <x:v>"costs and risks of climate change" AND mediatype:texts</x:v>
      </x:c>
      <x:c r="AE108" s="31" t="str">
        <x:v>EXACT_PHRASE</x:v>
      </x:c>
      <x:c r="AF108" s="31" t="str">
        <x:v>COMPLETED_ZERO</x:v>
      </x:c>
      <x:c r="AG108" s="25" t="n">
        <x:v>0</x:v>
      </x:c>
      <x:c r="AH108" s="25" t="n">
        <x:v>0</x:v>
      </x:c>
      <x:c r="AI108" s="19" t="str">
        <x:v>2026-08-26</x:v>
      </x:c>
      <x:c r="AJ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AK108" s="31" t="str">
        <x:v>FULLY_COVERED</x:v>
      </x:c>
      <x:c r="AL108" s="19" t="str">
        <x:v>PENDING_SOURCE_REVIEW</x:v>
      </x:c>
      <x:c r="AM108" s="20" t="str">
        <x:v>MEDIUM</x:v>
      </x:c>
    </x:row>
    <x:row r="109" ht="34" customHeight="1">
      <x:c r="A109" s="40" t="str">
        <x:v>FT-SEED-R1B-P-0607-15</x:v>
      </x:c>
      <x:c r="B109" s="19" t="str">
        <x:v>2006–2007</x:v>
      </x:c>
      <x:c r="C109" s="25" t="n">
        <x:v>15</x:v>
      </x:c>
      <x:c r="D109" s="31" t="str">
        <x:v>impacts of climate change</x:v>
      </x:c>
      <x:c r="E109" s="31" t="str">
        <x:v>modern climate change</x:v>
      </x:c>
      <x:c r="F109" s="31" t="str">
        <x:v>climate</x:v>
      </x:c>
      <x:c r="G109" s="19" t="str">
        <x:v>D</x:v>
      </x:c>
      <x:c r="H109" s="19" t="str">
        <x:v>V2</x:v>
      </x:c>
      <x:c r="I109" s="19" t="str">
        <x:v>NOT_EXPOSED_IN_REPORT</x:v>
      </x:c>
      <x:c r="J109" s="31" t="str">
        <x:v>S0607-STERN</x:v>
      </x:c>
      <x:c r="K109" s="31" t="str">
        <x:v>RECONSTRUCTED_FROM_REPORT; Fear of Temperature_ Stratified Lexical Expansion, Voice Mapping, and Semantic-Relational Pre-Valida.pdf; p.10; project candidate FT-SEED-R1B-P-0607-15; original visible ID not available</x:v>
      </x:c>
      <x:c r="L109" s="31" t="str">
        <x:v>SUCCEEDED_REUSED_BASELINE</x:v>
      </x:c>
      <x:c r="M109" s="31" t="str">
        <x:v>impacts of climate change</x:v>
      </x:c>
      <x:c r="N109" s="31" t="str">
        <x:v>EXACT</x:v>
      </x:c>
      <x:c r="O109" s="19" t="str">
        <x:v>1881</x:v>
      </x:c>
      <x:c r="P109" s="19" t="str">
        <x:v>2022</x:v>
      </x:c>
      <x:c r="Q109" s="46" t="n">
        <x:v>7.144630615740777e-7</x:v>
      </x:c>
      <x:c r="R109" s="46" t="n">
        <x:v>2.670266320836667e-7</x:v>
      </x:c>
      <x:c r="S109" s="46" t="n">
        <x:v>2.8205449021170836e-7</x:v>
      </x:c>
      <x:c r="T109" s="46" t="n">
        <x:v>7.144630615740777e-7</x:v>
      </x:c>
      <x:c r="U109" s="31" t="str">
        <x:v>Candidate surface form is directly representable in the public Ngram interface. Complete 1842–2022 unsmoothed series reused from the audited quantitative-v0.1 baseline.</x:v>
      </x:c>
      <x:c r="V109" s="31" t="str">
        <x:v>NO_STANDALONE_HEADWORD</x:v>
      </x:c>
      <x:c r="W109" s="31" t="str">
        <x:v>Component lexical analysis plus anchor-source contextual meaning</x:v>
      </x:c>
      <x:c r="X109" s="31" t="str">
        <x:v>A threat, risk, harm, severity, or consequence sense in the documented source; it is not automatically an emotion.</x:v>
      </x:c>
      <x:c r="Y109" s="31" t="str">
        <x:v>Modern climate change as an anthropogenic scientific, public, or governance problem; the candidate is interpreted in its documented anchor and voice context.</x:v>
      </x:c>
      <x:c r="Z109" s="31" t="str">
        <x:v>STRONG</x:v>
      </x:c>
      <x:c r="AA109" s="19" t="str">
        <x:v>The surface form may realize multiple senses; candidate meaning remains anchored to the report-visible source context.</x:v>
      </x:c>
      <x:c r="AB109"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https://api.dictionaryapi.dev/api/v2/entries/en/impacts%20of%20climate%20change; https://websters1913.timcieplowski.com/word/change/</x:v>
      </x:c>
      <x:c r="AC109" s="31" t="str">
        <x:v>INTERNET_ARCHIVE_METADATA_TEXT_ITEM_COUNT</x:v>
      </x:c>
      <x:c r="AD109" s="19" t="str">
        <x:v>"impacts of climate change" AND mediatype:texts</x:v>
      </x:c>
      <x:c r="AE109" s="31" t="str">
        <x:v>EXACT_PHRASE</x:v>
      </x:c>
      <x:c r="AF109" s="31" t="str">
        <x:v>COMPLETED_NONZERO</x:v>
      </x:c>
      <x:c r="AG109" s="25" t="n">
        <x:v>656</x:v>
      </x:c>
      <x:c r="AH109" s="25" t="n">
        <x:v>33</x:v>
      </x:c>
      <x:c r="AI109" s="19" t="str">
        <x:v>2026-08-26</x:v>
      </x:c>
      <x:c r="AJ109" s="31" t="str">
        <x:v>Metadata text-item count; not a full-text lexical frequency. Secondary metric: NOT_RUN_OPENALEX_DAILY_BUDGET_EXHAUSTED: shared provider response retained; no count fabricated.</x:v>
      </x:c>
      <x:c r="AK109" s="31" t="str">
        <x:v>FULLY_COVERED</x:v>
      </x:c>
      <x:c r="AL109" s="19" t="str">
        <x:v>PENDING_SOURCE_REVIEW</x:v>
      </x:c>
      <x:c r="AM109" s="20" t="str">
        <x:v>MEDIUM</x:v>
      </x:c>
    </x:row>
    <x:row r="110" ht="34" customHeight="1">
      <x:c r="A110" s="40" t="str">
        <x:v>FT-SEED-R1B-P-0607-16</x:v>
      </x:c>
      <x:c r="B110" s="19" t="str">
        <x:v>2006–2007</x:v>
      </x:c>
      <x:c r="C110" s="25" t="n">
        <x:v>16</x:v>
      </x:c>
      <x:c r="D110" s="31" t="str">
        <x:v>damage</x:v>
      </x:c>
      <x:c r="E110" s="31" t="str">
        <x:v>generic damage</x:v>
      </x:c>
      <x:c r="F110" s="31" t="str">
        <x:v>harm_loss_consequences</x:v>
      </x:c>
      <x:c r="G110" s="19" t="str">
        <x:v>D</x:v>
      </x:c>
      <x:c r="H110" s="19" t="str">
        <x:v>V2</x:v>
      </x:c>
      <x:c r="I110" s="19" t="str">
        <x:v>NOT_EXPOSED_IN_REPORT</x:v>
      </x:c>
      <x:c r="J110" s="31" t="str">
        <x:v>S0607-STERN</x:v>
      </x:c>
      <x:c r="K110" s="31" t="str">
        <x:v>RECONSTRUCTED_FROM_REPORT; Fear of Temperature_ Stratified Lexical Expansion, Voice Mapping, and Semantic-Relational Pre-Valida.pdf; p.10; project candidate FT-SEED-R1B-P-0607-16; original visible ID not available</x:v>
      </x:c>
      <x:c r="L110" s="31" t="str">
        <x:v>SUCCEEDED_REUSED_BASELINE</x:v>
      </x:c>
      <x:c r="M110" s="31" t="str">
        <x:v>damage</x:v>
      </x:c>
      <x:c r="N110" s="31" t="str">
        <x:v>EXACT</x:v>
      </x:c>
      <x:c r="O110" s="19" t="str">
        <x:v>1842</x:v>
      </x:c>
      <x:c r="P110" s="19" t="str">
        <x:v>1986</x:v>
      </x:c>
      <x:c r="Q110" s="46" t="n">
        <x:v>0.000057598560955232636</x:v>
      </x:c>
      <x:c r="R110" s="46" t="n">
        <x:v>0.00004829082256977389</x:v>
      </x:c>
      <x:c r="S110" s="46" t="n">
        <x:v>0.00004876599097426628</x:v>
      </x:c>
      <x:c r="T110" s="46" t="n">
        <x:v>0.00004813777670335459</x:v>
      </x:c>
      <x:c r="U110" s="31" t="str">
        <x:v>Candidate surface form is directly representable in the public Ngram interface. Complete 1842–2022 unsmoothed series reused from the audited quantitative-v0.1 baseline.</x:v>
      </x:c>
      <x:c r="V110" s="31" t="str">
        <x:v>DIRECT_HEADWORD</x:v>
      </x:c>
      <x:c r="W110" s="31" t="str">
        <x:v>Webster's Revised Unabridged Dictionary (1913 public-domain headword index)</x:v>
      </x:c>
      <x:c r="X110" s="31" t="str">
        <x:v>A threat, risk, harm, severity, or consequence sense in the documented source; it is not automatically an emotion.</x:v>
      </x:c>
      <x:c r="Y110" s="31" t="str">
        <x:v>Generic material, ecological, or social damage; the candidate is interpreted in its documented anchor and voice context.</x:v>
      </x:c>
      <x:c r="Z110" s="31" t="str">
        <x:v>STRONG</x:v>
      </x:c>
      <x:c r="AA110" s="19" t="str">
        <x:v>The surface form may realize multiple senses; candidate meaning remains anchored to the report-visible source context.</x:v>
      </x:c>
      <x:c r="AB110" s="31" t="str">
        <x:v>Secondary: Component headword checked: damage.; historical: Anchor-period research source/context; Webster 1913 stable component URL recorded but automated page retrieval was unavailable; source: https://websters1913.timcieplowski.com/word/damage/; https://api.dictionaryapi.dev/api/v2/entries/en/damage</x:v>
      </x:c>
      <x:c r="AC110" s="31" t="str">
        <x:v>INTERNET_ARCHIVE_METADATA_TEXT_ITEM_COUNT</x:v>
      </x:c>
      <x:c r="AD110" s="19" t="str">
        <x:v>"damage" AND mediatype:texts</x:v>
      </x:c>
      <x:c r="AE110" s="31" t="str">
        <x:v>EXACT_PHRASE</x:v>
      </x:c>
      <x:c r="AF110" s="31" t="str">
        <x:v>COMPLETED_NONZERO</x:v>
      </x:c>
      <x:c r="AG110" s="25" t="n">
        <x:v>71319</x:v>
      </x:c>
      <x:c r="AH110" s="25" t="n">
        <x:v>3470</x:v>
      </x:c>
      <x:c r="AI110" s="19" t="str">
        <x:v>2026-08-26</x:v>
      </x:c>
      <x:c r="AJ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AK110" s="31" t="str">
        <x:v>FULLY_COVERED</x:v>
      </x:c>
      <x:c r="AL110" s="19" t="str">
        <x:v>PENDING_SOURCE_REVIEW</x:v>
      </x:c>
      <x:c r="AM110" s="20" t="str">
        <x:v>MEDIUM</x:v>
      </x:c>
    </x:row>
    <x:row r="111" ht="34" customHeight="1">
      <x:c r="A111" s="40" t="str">
        <x:v>FT-SEED-R1B-P-0607-17</x:v>
      </x:c>
      <x:c r="B111" s="19" t="str">
        <x:v>2006–2007</x:v>
      </x:c>
      <x:c r="C111" s="25" t="n">
        <x:v>17</x:v>
      </x:c>
      <x:c r="D111" s="31" t="str">
        <x:v>hunger</x:v>
      </x:c>
      <x:c r="E111" s="31" t="str">
        <x:v>generic damage</x:v>
      </x:c>
      <x:c r="F111" s="31" t="str">
        <x:v>harm_loss_consequences</x:v>
      </x:c>
      <x:c r="G111" s="19" t="str">
        <x:v>D</x:v>
      </x:c>
      <x:c r="H111" s="19" t="str">
        <x:v>V2</x:v>
      </x:c>
      <x:c r="I111" s="19" t="str">
        <x:v>NOT_EXPOSED_IN_REPORT</x:v>
      </x:c>
      <x:c r="J111" s="31" t="str">
        <x:v>S0607-STERN</x:v>
      </x:c>
      <x:c r="K111" s="31" t="str">
        <x:v>RECONSTRUCTED_FROM_REPORT; Fear of Temperature_ Stratified Lexical Expansion, Voice Mapping, and Semantic-Relational Pre-Valida.pdf; p.10; project candidate FT-SEED-R1B-P-0607-17; original visible ID not available</x:v>
      </x:c>
      <x:c r="L111" s="31" t="str">
        <x:v>SUCCEEDED_REUSED_BASELINE</x:v>
      </x:c>
      <x:c r="M111" s="31" t="str">
        <x:v>hunger</x:v>
      </x:c>
      <x:c r="N111" s="31" t="str">
        <x:v>EXACT</x:v>
      </x:c>
      <x:c r="O111" s="19" t="str">
        <x:v>1842</x:v>
      </x:c>
      <x:c r="P111" s="19" t="str">
        <x:v>2015</x:v>
      </x:c>
      <x:c r="Q111" s="46" t="n">
        <x:v>0.000011913927409068492</x:v>
      </x:c>
      <x:c r="R111" s="46" t="n">
        <x:v>0.000007730505573771279</x:v>
      </x:c>
      <x:c r="S111" s="46" t="n">
        <x:v>0.00000781596456063318</x:v>
      </x:c>
      <x:c r="T111" s="46" t="n">
        <x:v>0.000011471040437527336</x:v>
      </x:c>
      <x:c r="U111" s="31" t="str">
        <x:v>Candidate surface form is directly representable in the public Ngram interface. Complete 1842–2022 unsmoothed series reused from the audited quantitative-v0.1 baseline.</x:v>
      </x:c>
      <x:c r="V111" s="31" t="str">
        <x:v>DIRECT_HEADWORD</x:v>
      </x:c>
      <x:c r="W111" s="31" t="str">
        <x:v>Webster's Revised Unabridged Dictionary (1913 public-domain headword index)</x:v>
      </x:c>
      <x:c r="X111" s="31" t="str">
        <x:v>A threat, risk, harm, severity, or consequence sense in the documented source; it is not automatically an emotion.</x:v>
      </x:c>
      <x:c r="Y111" s="31" t="str">
        <x:v>Generic material, ecological, or social damage; the candidate is interpreted in its documented anchor and voice context.</x:v>
      </x:c>
      <x:c r="Z111" s="31" t="str">
        <x:v>STRONG</x:v>
      </x:c>
      <x:c r="AA111" s="19" t="str">
        <x:v>The surface form may realize multiple senses; candidate meaning remains anchored to the report-visible source context.</x:v>
      </x:c>
      <x:c r="AB111" s="31" t="str">
        <x:v>Secondary: Component headword checked: hunger.; historical: Anchor-period research source/context; Webster 1913 stable component URL recorded but automated page retrieval was unavailable; source: https://websters1913.timcieplowski.com/word/hunger/; https://api.dictionaryapi.dev/api/v2/entries/en/hunger</x:v>
      </x:c>
      <x:c r="AC111" s="31" t="str">
        <x:v>INTERNET_ARCHIVE_METADATA_TEXT_ITEM_COUNT</x:v>
      </x:c>
      <x:c r="AD111" s="19" t="str">
        <x:v>"hunger" AND mediatype:texts</x:v>
      </x:c>
      <x:c r="AE111" s="31" t="str">
        <x:v>EXACT_PHRASE</x:v>
      </x:c>
      <x:c r="AF111" s="31" t="str">
        <x:v>COMPLETED_NONZERO</x:v>
      </x:c>
      <x:c r="AG111" s="25" t="n">
        <x:v>8913</x:v>
      </x:c>
      <x:c r="AH111" s="25" t="n">
        <x:v>544</x:v>
      </x:c>
      <x:c r="AI111" s="19" t="str">
        <x:v>2026-08-26</x:v>
      </x:c>
      <x:c r="AJ111" s="31" t="str">
        <x:v>Metadata text-item count; not a full-text lexical frequency. Secondary metric: NOT_RUN_OPENALEX_DAILY_BUDGET_EXHAUSTED: shared provider response retained; no count fabricated.</x:v>
      </x:c>
      <x:c r="AK111" s="31" t="str">
        <x:v>FULLY_COVERED</x:v>
      </x:c>
      <x:c r="AL111" s="19" t="str">
        <x:v>PENDING_SOURCE_REVIEW</x:v>
      </x:c>
      <x:c r="AM111" s="20" t="str">
        <x:v>MEDIUM</x:v>
      </x:c>
    </x:row>
    <x:row r="112" ht="34" customHeight="1">
      <x:c r="A112" s="40" t="str">
        <x:v>FT-SEED-R1B-P-0607-18</x:v>
      </x:c>
      <x:c r="B112" s="19" t="str">
        <x:v>2006–2007</x:v>
      </x:c>
      <x:c r="C112" s="25" t="n">
        <x:v>18</x:v>
      </x:c>
      <x:c r="D112" s="31" t="str">
        <x:v>water shortages</x:v>
      </x:c>
      <x:c r="E112" s="31" t="str">
        <x:v>generic damage</x:v>
      </x:c>
      <x:c r="F112" s="31" t="str">
        <x:v>harm_loss_consequences</x:v>
      </x:c>
      <x:c r="G112" s="19" t="str">
        <x:v>D</x:v>
      </x:c>
      <x:c r="H112" s="19" t="str">
        <x:v>V2</x:v>
      </x:c>
      <x:c r="I112" s="19" t="str">
        <x:v>NOT_EXPOSED_IN_REPORT</x:v>
      </x:c>
      <x:c r="J112" s="31" t="str">
        <x:v>S0607-STERN</x:v>
      </x:c>
      <x:c r="K112" s="31" t="str">
        <x:v>RECONSTRUCTED_FROM_REPORT; Fear of Temperature_ Stratified Lexical Expansion, Voice Mapping, and Semantic-Relational Pre-Valida.pdf; p.10; project candidate FT-SEED-R1B-P-0607-18; original visible ID not available</x:v>
      </x:c>
      <x:c r="L112" s="31" t="str">
        <x:v>SUCCEEDED_REUSED_BASELINE</x:v>
      </x:c>
      <x:c r="M112" s="31" t="str">
        <x:v>water shortages</x:v>
      </x:c>
      <x:c r="N112" s="31" t="str">
        <x:v>EXACT</x:v>
      </x:c>
      <x:c r="O112" s="19" t="str">
        <x:v>1843</x:v>
      </x:c>
      <x:c r="P112" s="19" t="str">
        <x:v>2009</x:v>
      </x:c>
      <x:c r="Q112" s="46" t="n">
        <x:v>2.6262098024032454e-7</x:v>
      </x:c>
      <x:c r="R112" s="46" t="n">
        <x:v>2.0904360503726238e-7</x:v>
      </x:c>
      <x:c r="S112" s="46" t="n">
        <x:v>2.1109862891055542e-7</x:v>
      </x:c>
      <x:c r="T112" s="46" t="n">
        <x:v>1.7408386068784587e-7</x:v>
      </x:c>
      <x:c r="U112" s="31" t="str">
        <x:v>Candidate surface form is directly representable in the public Ngram interface. Complete 1842–2022 unsmoothed series reused from the audited quantitative-v0.1 baseline.</x:v>
      </x:c>
      <x:c r="V112" s="31" t="str">
        <x:v>NO_STANDALONE_HEADWORD</x:v>
      </x:c>
      <x:c r="W112" s="31" t="str">
        <x:v>Component lexical analysis plus anchor-source contextual meaning</x:v>
      </x:c>
      <x:c r="X112" s="31" t="str">
        <x:v>A threat, risk, harm, severity, or consequence sense in the documented source; it is not automatically an emotion.</x:v>
      </x:c>
      <x:c r="Y112" s="31" t="str">
        <x:v>Generic material, ecological, or social damage; the candidate is interpreted in its documented anchor and voice context.</x:v>
      </x:c>
      <x:c r="Z112" s="31" t="str">
        <x:v>STRONG</x:v>
      </x:c>
      <x:c r="AA112" s="19" t="str">
        <x:v>The surface form may realize multiple senses; candidate meaning remains anchored to the report-visible source context.</x:v>
      </x:c>
      <x:c r="AB112"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https://api.dictionaryapi.dev/api/v2/entries/en/water%20shortages; https://websters1913.timcieplowski.com/word/shortages/</x:v>
      </x:c>
      <x:c r="AC112" s="31" t="str">
        <x:v>INTERNET_ARCHIVE_METADATA_TEXT_ITEM_COUNT</x:v>
      </x:c>
      <x:c r="AD112" s="19" t="str">
        <x:v>"water shortages" AND mediatype:texts</x:v>
      </x:c>
      <x:c r="AE112" s="31" t="str">
        <x:v>EXACT_PHRASE</x:v>
      </x:c>
      <x:c r="AF112" s="31" t="str">
        <x:v>COMPLETED_NONZERO</x:v>
      </x:c>
      <x:c r="AG112" s="25" t="n">
        <x:v>223</x:v>
      </x:c>
      <x:c r="AH112" s="25" t="n">
        <x:v>10</x:v>
      </x:c>
      <x:c r="AI112" s="19" t="str">
        <x:v>2026-08-26</x:v>
      </x:c>
      <x:c r="AJ112" s="31" t="str">
        <x:v>Metadata text-item count; not a full-text lexical frequency. Secondary metric: NOT_RUN_OPENALEX_DAILY_BUDGET_EXHAUSTED: shared provider response retained; no count fabricated.</x:v>
      </x:c>
      <x:c r="AK112" s="31" t="str">
        <x:v>FULLY_COVERED</x:v>
      </x:c>
      <x:c r="AL112" s="19" t="str">
        <x:v>PENDING_SOURCE_REVIEW</x:v>
      </x:c>
      <x:c r="AM112" s="20" t="str">
        <x:v>MEDIUM</x:v>
      </x:c>
    </x:row>
    <x:row r="113" ht="34" customHeight="1">
      <x:c r="A113" s="40" t="str">
        <x:v>FT-SEED-R1B-P-0607-19</x:v>
      </x:c>
      <x:c r="B113" s="19" t="str">
        <x:v>2006–2007</x:v>
      </x:c>
      <x:c r="C113" s="25" t="n">
        <x:v>19</x:v>
      </x:c>
      <x:c r="D113" s="31" t="str">
        <x:v>coastal flooding</x:v>
      </x:c>
      <x:c r="E113" s="31" t="str">
        <x:v>generic damage</x:v>
      </x:c>
      <x:c r="F113" s="31" t="str">
        <x:v>harm_loss_consequences</x:v>
      </x:c>
      <x:c r="G113" s="19" t="str">
        <x:v>D</x:v>
      </x:c>
      <x:c r="H113" s="19" t="str">
        <x:v>V2</x:v>
      </x:c>
      <x:c r="I113" s="19" t="str">
        <x:v>NOT_EXPOSED_IN_REPORT</x:v>
      </x:c>
      <x:c r="J113" s="31" t="str">
        <x:v>S0607-STERN</x:v>
      </x:c>
      <x:c r="K113" s="31" t="str">
        <x:v>RECONSTRUCTED_FROM_REPORT; Fear of Temperature_ Stratified Lexical Expansion, Voice Mapping, and Semantic-Relational Pre-Valida.pdf; p.10; project candidate FT-SEED-R1B-P-0607-19; original visible ID not available</x:v>
      </x:c>
      <x:c r="L113" s="31" t="str">
        <x:v>SUCCEEDED_REUSED_BASELINE</x:v>
      </x:c>
      <x:c r="M113" s="31" t="str">
        <x:v>coastal flooding</x:v>
      </x:c>
      <x:c r="N113" s="31" t="str">
        <x:v>EXACT</x:v>
      </x:c>
      <x:c r="O113" s="19" t="str">
        <x:v>1843</x:v>
      </x:c>
      <x:c r="P113" s="19" t="str">
        <x:v>2022</x:v>
      </x:c>
      <x:c r="Q113" s="46" t="n">
        <x:v>1.0343279566171759e-7</x:v>
      </x:c>
      <x:c r="R113" s="46" t="n">
        <x:v>4.927007213849366e-8</x:v>
      </x:c>
      <x:c r="S113" s="46" t="n">
        <x:v>4.964529571032522e-8</x:v>
      </x:c>
      <x:c r="T113" s="46" t="n">
        <x:v>1.0343279566171759e-7</x:v>
      </x:c>
      <x:c r="U113" s="31" t="str">
        <x:v>Candidate surface form is directly representable in the public Ngram interface. Complete 1842–2022 unsmoothed series reused from the audited quantitative-v0.1 baseline.</x:v>
      </x:c>
      <x:c r="V113" s="31" t="str">
        <x:v>NO_STANDALONE_HEADWORD</x:v>
      </x:c>
      <x:c r="W113" s="31" t="str">
        <x:v>Component lexical analysis plus anchor-source contextual meaning</x:v>
      </x:c>
      <x:c r="X113" s="31" t="str">
        <x:v>A threat, risk, harm, severity, or consequence sense in the documented source; it is not automatically an emotion.</x:v>
      </x:c>
      <x:c r="Y113" s="31" t="str">
        <x:v>Generic material, ecological, or social damage; the candidate is interpreted in its documented anchor and voice context.</x:v>
      </x:c>
      <x:c r="Z113" s="31" t="str">
        <x:v>STRONG</x:v>
      </x:c>
      <x:c r="AA113" s="19" t="str">
        <x:v>The surface form may realize multiple senses; candidate meaning remains anchored to the report-visible source context.</x:v>
      </x:c>
      <x:c r="AB113" s="31" t="str">
        <x:v>Secondary: Component headword checked: flooding.;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https://api.dictionaryapi.dev/api/v2/entries/en/coastal%20flooding; https://websters1913.timcieplowski.com/word/flooding/</x:v>
      </x:c>
      <x:c r="AC113" s="31" t="str">
        <x:v>INTERNET_ARCHIVE_METADATA_TEXT_ITEM_COUNT</x:v>
      </x:c>
      <x:c r="AD113" s="19" t="str">
        <x:v>"coastal flooding" AND mediatype:texts</x:v>
      </x:c>
      <x:c r="AE113" s="31" t="str">
        <x:v>EXACT_PHRASE</x:v>
      </x:c>
      <x:c r="AF113" s="31" t="str">
        <x:v>COMPLETED_NONZERO</x:v>
      </x:c>
      <x:c r="AG113" s="25" t="n">
        <x:v>87</x:v>
      </x:c>
      <x:c r="AH113" s="25" t="n">
        <x:v>4</x:v>
      </x:c>
      <x:c r="AI113" s="19" t="str">
        <x:v>2026-08-26</x:v>
      </x:c>
      <x:c r="AJ113" s="31" t="str">
        <x:v>Metadata text-item count; not a full-text lexical frequency. Secondary metric: Scholarly work discoverability count over OpenAlex search fields; not a corpus word frequency.</x:v>
      </x:c>
      <x:c r="AK113" s="31" t="str">
        <x:v>FULLY_COVERED</x:v>
      </x:c>
      <x:c r="AL113" s="19" t="str">
        <x:v>PENDING_SOURCE_REVIEW</x:v>
      </x:c>
      <x:c r="AM113" s="20" t="str">
        <x:v>MEDIUM</x:v>
      </x:c>
    </x:row>
    <x:row r="114" ht="34" customHeight="1">
      <x:c r="A114" s="40" t="str">
        <x:v>FT-SEED-R1B-P-0607-20</x:v>
      </x:c>
      <x:c r="B114" s="19" t="str">
        <x:v>2006–2007</x:v>
      </x:c>
      <x:c r="C114" s="25" t="n">
        <x:v>20</x:v>
      </x:c>
      <x:c r="D114" s="31" t="str">
        <x:v>worst impacts</x:v>
      </x:c>
      <x:c r="E114" s="31" t="str">
        <x:v>generic damage</x:v>
      </x:c>
      <x:c r="F114" s="31" t="str">
        <x:v>harm_loss_consequences</x:v>
      </x:c>
      <x:c r="G114" s="19" t="str">
        <x:v>D</x:v>
      </x:c>
      <x:c r="H114" s="19" t="str">
        <x:v>V2</x:v>
      </x:c>
      <x:c r="I114" s="19" t="str">
        <x:v>NOT_EXPOSED_IN_REPORT</x:v>
      </x:c>
      <x:c r="J114" s="31" t="str">
        <x:v>S0607-STERN</x:v>
      </x:c>
      <x:c r="K114" s="31" t="str">
        <x:v>RECONSTRUCTED_FROM_REPORT; Fear of Temperature_ Stratified Lexical Expansion, Voice Mapping, and Semantic-Relational Pre-Valida.pdf; p.10; project candidate FT-SEED-R1B-P-0607-20; original visible ID not available</x:v>
      </x:c>
      <x:c r="L114" s="31" t="str">
        <x:v>SUCCEEDED_REUSED_BASELINE</x:v>
      </x:c>
      <x:c r="M114" s="31" t="str">
        <x:v>worst impacts</x:v>
      </x:c>
      <x:c r="N114" s="31" t="str">
        <x:v>EXACT</x:v>
      </x:c>
      <x:c r="O114" s="19" t="str">
        <x:v>1906</x:v>
      </x:c>
      <x:c r="P114" s="19" t="str">
        <x:v>2022</x:v>
      </x:c>
      <x:c r="Q114" s="46" t="n">
        <x:v>1.9288579872211997e-8</x:v>
      </x:c>
      <x:c r="R114" s="46" t="n">
        <x:v>7.893453371835002e-9</x:v>
      </x:c>
      <x:c r="S114" s="46" t="n">
        <x:v>7.610180590734983e-9</x:v>
      </x:c>
      <x:c r="T114" s="46" t="n">
        <x:v>1.9288579872211997e-8</x:v>
      </x:c>
      <x:c r="U114" s="31" t="str">
        <x:v>Candidate surface form is directly representable in the public Ngram interface. Complete 1842–2022 unsmoothed series reused from the audited quantitative-v0.1 baseline.</x:v>
      </x:c>
      <x:c r="V114" s="31" t="str">
        <x:v>NO_STANDALONE_HEADWORD</x:v>
      </x:c>
      <x:c r="W114" s="31" t="str">
        <x:v>Component lexical analysis plus anchor-source contextual meaning</x:v>
      </x:c>
      <x:c r="X114" s="31" t="str">
        <x:v>A threat, risk, harm, severity, or consequence sense in the documented source; it is not automatically an emotion.</x:v>
      </x:c>
      <x:c r="Y114" s="31" t="str">
        <x:v>Generic material, ecological, or social damage; the candidate is interpreted in its documented anchor and voice context.</x:v>
      </x:c>
      <x:c r="Z114" s="31" t="str">
        <x:v>STRONG</x:v>
      </x:c>
      <x:c r="AA114" s="19" t="str">
        <x:v>The surface form may realize multiple senses; candidate meaning remains anchored to the report-visible source context.</x:v>
      </x:c>
      <x:c r="AB114"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https://api.dictionaryapi.dev/api/v2/entries/en/worst%20impacts; https://websters1913.timcieplowski.com/word/impacts/</x:v>
      </x:c>
      <x:c r="AC114" s="31" t="str">
        <x:v>INTERNET_ARCHIVE_METADATA_TEXT_ITEM_COUNT</x:v>
      </x:c>
      <x:c r="AD114" s="19" t="str">
        <x:v>"worst impacts" AND mediatype:texts</x:v>
      </x:c>
      <x:c r="AE114" s="31" t="str">
        <x:v>EXACT_PHRASE</x:v>
      </x:c>
      <x:c r="AF114" s="31" t="str">
        <x:v>COMPLETED_NONZERO</x:v>
      </x:c>
      <x:c r="AG114" s="25" t="n">
        <x:v>13</x:v>
      </x:c>
      <x:c r="AH114" s="25" t="n">
        <x:v>1</x:v>
      </x:c>
      <x:c r="AI114" s="19" t="str">
        <x:v>2026-08-26</x:v>
      </x:c>
      <x:c r="AJ114" s="31" t="str">
        <x:v>Metadata text-item count; not a full-text lexical frequency. Secondary metric: NOT_RUN_OPENALEX_DAILY_BUDGET_EXHAUSTED: shared provider response retained; no count fabricated.</x:v>
      </x:c>
      <x:c r="AK114" s="31" t="str">
        <x:v>FULLY_COVERED</x:v>
      </x:c>
      <x:c r="AL114" s="19" t="str">
        <x:v>PENDING_SOURCE_REVIEW</x:v>
      </x:c>
      <x:c r="AM114" s="20" t="str">
        <x:v>MEDIUM</x:v>
      </x:c>
    </x:row>
    <x:row r="115" ht="34" customHeight="1">
      <x:c r="A115" s="40" t="str">
        <x:v>FT-SEED-R1B-P-0607-21</x:v>
      </x:c>
      <x:c r="B115" s="19" t="str">
        <x:v>2006–2007</x:v>
      </x:c>
      <x:c r="C115" s="25" t="n">
        <x:v>21</x:v>
      </x:c>
      <x:c r="D115" s="31" t="str">
        <x:v>Be Worried. Be Very Worried.</x:v>
      </x:c>
      <x:c r="E115" s="31" t="str">
        <x:v>prescribed worry</x:v>
      </x:c>
      <x:c r="F115" s="31" t="str">
        <x:v>worry</x:v>
      </x:c>
      <x:c r="G115" s="19" t="str">
        <x:v>C</x:v>
      </x:c>
      <x:c r="H115" s="19" t="str">
        <x:v>V3</x:v>
      </x:c>
      <x:c r="I115" s="19" t="str">
        <x:v>E1</x:v>
      </x:c>
      <x:c r="J115" s="31" t="str">
        <x:v>S0607-TIME</x:v>
      </x:c>
      <x:c r="K115" s="31" t="str">
        <x:v>RECONSTRUCTED_FROM_REPORT; Fear of Temperature_ Stratified Lexical Expansion, Voice Mapping, and Semantic-Relational Pre-Valida.pdf; p.10; project candidate FT-SEED-R1B-P-0607-21; original visible ID not available</x:v>
      </x:c>
      <x:c r="L115" s="31" t="str">
        <x:v>ZERO_RESPONSE_NEW</x:v>
      </x:c>
      <x:c r="M115" s="31" t="str">
        <x:v>be worried be very worried</x:v>
      </x:c>
      <x:c r="N115" s="31" t="str">
        <x:v>NORMALIZED_VARIANT</x:v>
      </x:c>
      <x:c r="O115" s="19" t="str">
        <x:v>NOT_APPLICABLE</x:v>
      </x:c>
      <x:c r="P115" s="19" t="str">
        <x:v>NOT_APPLICABLE</x:v>
      </x:c>
      <x:c r="Q115" s="46" t="str">
        <x:v>NOT_APPLICABLE</x:v>
      </x:c>
      <x:c r="R115" s="46" t="str">
        <x:v>NOT_APPLICABLE</x:v>
      </x:c>
      <x:c r="S115" s="46" t="str">
        <x:v>NOT_APPLICABLE</x:v>
      </x:c>
      <x:c r="T115" s="46" t="str">
        <x:v>NOT_APPLICABLE</x:v>
      </x:c>
      <x:c r="U115" s="31" t="str">
        <x:v>Sentence punctuation and capitalization are removed while the complete wording is preserved. The public Ngram endpoint returned an empty list; retained without fabricating annual zero frequencies.</x:v>
      </x:c>
      <x:c r="V115" s="31" t="str">
        <x:v>NO_STANDALONE_HEADWORD</x:v>
      </x:c>
      <x:c r="W115" s="31" t="str">
        <x:v>Component lexical analysis plus anchor-source contextual meaning</x:v>
      </x:c>
      <x:c r="X115" s="31" t="str">
        <x:v>A mediated-public imperative prescribing worry to readers; it does not establish that readers experienced the prescribed emotion.</x:v>
      </x:c>
      <x:c r="Y115" s="31" t="str">
        <x:v>A modern media imperative prescribing worry to an audience; it is not evidence that the audience experienced or endorsed the emotion.</x:v>
      </x:c>
      <x:c r="Z115" s="31" t="str">
        <x:v>STRONG</x:v>
      </x:c>
      <x:c r="AA115" s="19" t="str">
        <x:v>Imperative wording must be separated from audience reception and participant-generated affect.</x:v>
      </x:c>
      <x:c r="AB115"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https://api.dictionaryapi.dev/api/v2/entries/en/Be%20Worried.%20Be%20Very%20Worried.; https://websters1913.timcieplowski.com/word/worried/</x:v>
      </x:c>
      <x:c r="AC115" s="31" t="str">
        <x:v>INTERNET_ARCHIVE_METADATA_TEXT_ITEM_COUNT</x:v>
      </x:c>
      <x:c r="AD115" s="19" t="str">
        <x:v>"Be Worried. Be Very Worried." AND mediatype:texts</x:v>
      </x:c>
      <x:c r="AE115" s="31" t="str">
        <x:v>EXACT_PHRASE</x:v>
      </x:c>
      <x:c r="AF115" s="31" t="str">
        <x:v>COMPLETED_ZERO</x:v>
      </x:c>
      <x:c r="AG115" s="25" t="n">
        <x:v>0</x:v>
      </x:c>
      <x:c r="AH115" s="25" t="n">
        <x:v>0</x:v>
      </x:c>
      <x:c r="AI115" s="19" t="str">
        <x:v>2026-08-26</x:v>
      </x:c>
      <x:c r="AJ115" s="31" t="str">
        <x:v>Metadata text-item count; not a full-text lexical frequency. Secondary metric: Scholarly work discoverability count over OpenAlex search fields; not a corpus word frequency.</x:v>
      </x:c>
      <x:c r="AK115" s="31" t="str">
        <x:v>FULLY_ACCOUNTED_WITH_NGRAM_ALIAS</x:v>
      </x:c>
      <x:c r="AL115" s="19" t="str">
        <x:v>NOT_APPLICABLE</x:v>
      </x:c>
      <x:c r="AM115" s="20" t="str">
        <x:v>MEDIUM</x:v>
      </x:c>
    </x:row>
    <x:row r="116" ht="34" customHeight="1">
      <x:c r="A116" s="40" t="str">
        <x:v>FT-SEED-R1B-P-0607-22</x:v>
      </x:c>
      <x:c r="B116" s="19" t="str">
        <x:v>2006–2007</x:v>
      </x:c>
      <x:c r="C116" s="25" t="n">
        <x:v>22</x:v>
      </x:c>
      <x:c r="D116" s="31" t="str">
        <x:v>personally worry</x:v>
      </x:c>
      <x:c r="E116" s="31" t="str">
        <x:v>elicited worry category</x:v>
      </x:c>
      <x:c r="F116" s="31" t="str">
        <x:v>worry</x:v>
      </x:c>
      <x:c r="G116" s="19" t="str">
        <x:v>C</x:v>
      </x:c>
      <x:c r="H116" s="19" t="str">
        <x:v>V5</x:v>
      </x:c>
      <x:c r="I116" s="19" t="str">
        <x:v>E3</x:v>
      </x:c>
      <x:c r="J116" s="31" t="str">
        <x:v>S0607-GALLUP</x:v>
      </x:c>
      <x:c r="K116" s="31" t="str">
        <x:v>RECONSTRUCTED_FROM_REPORT; Fear of Temperature_ Stratified Lexical Expansion, Voice Mapping, and Semantic-Relational Pre-Valida.pdf; p.10; project candidate FT-SEED-R1B-P-0607-22; original visible ID not available</x:v>
      </x:c>
      <x:c r="L116" s="31" t="str">
        <x:v>SUCCEEDED_NEW</x:v>
      </x:c>
      <x:c r="M116" s="31" t="str">
        <x:v>personally worry</x:v>
      </x:c>
      <x:c r="N116" s="31" t="str">
        <x:v>EXACT</x:v>
      </x:c>
      <x:c r="O116" s="19" t="str">
        <x:v>1910</x:v>
      </x:c>
      <x:c r="P116" s="19" t="str">
        <x:v>1981</x:v>
      </x:c>
      <x:c r="Q116" s="46" t="n">
        <x:v>8.570305354282937e-9</x:v>
      </x:c>
      <x:c r="R116" s="46" t="n">
        <x:v>1.9994793598598903e-9</x:v>
      </x:c>
      <x:c r="S116" s="46" t="n">
        <x:v>1.2942071372923358e-9</x:v>
      </x:c>
      <x:c r="T116" s="46" t="n">
        <x:v>4.866385072688217e-10</x:v>
      </x:c>
      <x:c r="U116" s="31" t="str">
        <x:v>Candidate surface form is directly representable in the public Ngram interface. New unsmoothed 1842–2022 series retrieved for the candidate audit.</x:v>
      </x:c>
      <x:c r="V116" s="31" t="str">
        <x:v>NO_STANDALONE_HEADWORD</x:v>
      </x:c>
      <x:c r="W116" s="31" t="str">
        <x:v>Component lexical analysis plus anchor-source contextual meaning</x:v>
      </x:c>
      <x:c r="X116" s="31" t="str">
        <x:v>Survey or instrument wording used to elicit and classify participant endorsement; the response may be participant evidence, but the lexical wording is supplied.</x:v>
      </x:c>
      <x:c r="Y116" s="31" t="str">
        <x:v>Contemporary worry wording may describe affect, but in the cited survey setting it is instrument-supplied and participant endorsement is elicited rather than spontaneous.</x:v>
      </x:c>
      <x:c r="Z116" s="31" t="str">
        <x:v>STRONG</x:v>
      </x:c>
      <x:c r="AA116" s="19" t="str">
        <x:v>Elicited endorsement, question wording, and spontaneous participant vocabulary are distinct provenance states.</x:v>
      </x:c>
      <x:c r="AB116" s="31" t="str">
        <x:v>Secondary: Component headword checked: worry.;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https://api.dictionaryapi.dev/api/v2/entries/en/personally%20worry; https://websters1913.timcieplowski.com/word/worry/</x:v>
      </x:c>
      <x:c r="AC116" s="31" t="str">
        <x:v>INTERNET_ARCHIVE_METADATA_TEXT_ITEM_COUNT</x:v>
      </x:c>
      <x:c r="AD116" s="19" t="str">
        <x:v>"personally worry" AND mediatype:texts</x:v>
      </x:c>
      <x:c r="AE116" s="31" t="str">
        <x:v>EXACT_PHRASE</x:v>
      </x:c>
      <x:c r="AF116" s="31" t="str">
        <x:v>COMPLETED_ZERO</x:v>
      </x:c>
      <x:c r="AG116" s="25" t="n">
        <x:v>0</x:v>
      </x:c>
      <x:c r="AH116" s="25" t="n">
        <x:v>0</x:v>
      </x:c>
      <x:c r="AI116" s="19" t="str">
        <x:v>2026-08-26</x:v>
      </x:c>
      <x:c r="AJ116" s="31" t="str">
        <x:v>Metadata text-item count; not a full-text lexical frequency. Secondary metric: NOT_RUN_OPENALEX_DAILY_BUDGET_EXHAUSTED: shared provider response retained; no count fabricated.</x:v>
      </x:c>
      <x:c r="AK116" s="31" t="str">
        <x:v>FULLY_COVERED</x:v>
      </x:c>
      <x:c r="AL116" s="19" t="str">
        <x:v>NOT_APPLICABLE</x:v>
      </x:c>
      <x:c r="AM116" s="20" t="str">
        <x:v>MEDIUM</x:v>
      </x:c>
    </x:row>
    <x:row r="117" ht="34" customHeight="1">
      <x:c r="A117" s="40" t="str">
        <x:v>FT-SEED-R1B-P-0607-23</x:v>
      </x:c>
      <x:c r="B117" s="19" t="str">
        <x:v>2006–2007</x:v>
      </x:c>
      <x:c r="C117" s="25" t="n">
        <x:v>23</x:v>
      </x:c>
      <x:c r="D117" s="31" t="str">
        <x:v>worry a great deal</x:v>
      </x:c>
      <x:c r="E117" s="31" t="str">
        <x:v>elicited worry category</x:v>
      </x:c>
      <x:c r="F117" s="31" t="str">
        <x:v>worry</x:v>
      </x:c>
      <x:c r="G117" s="19" t="str">
        <x:v>C</x:v>
      </x:c>
      <x:c r="H117" s="19" t="str">
        <x:v>V5</x:v>
      </x:c>
      <x:c r="I117" s="19" t="str">
        <x:v>NOT_EXPOSED_IN_REPORT</x:v>
      </x:c>
      <x:c r="J117" s="31" t="str">
        <x:v>S0607-GALLUP</x:v>
      </x:c>
      <x:c r="K117" s="31" t="str">
        <x:v>RECONSTRUCTED_FROM_REPORT; Fear of Temperature_ Stratified Lexical Expansion, Voice Mapping, and Semantic-Relational Pre-Valida.pdf; p.10; project candidate FT-SEED-R1B-P-0607-23; original visible ID not available</x:v>
      </x:c>
      <x:c r="L117" s="31" t="str">
        <x:v>SUCCEEDED_NEW</x:v>
      </x:c>
      <x:c r="M117" s="31" t="str">
        <x:v>worry a great deal</x:v>
      </x:c>
      <x:c r="N117" s="31" t="str">
        <x:v>EXACT</x:v>
      </x:c>
      <x:c r="O117" s="19" t="str">
        <x:v>1864</x:v>
      </x:c>
      <x:c r="P117" s="19" t="str">
        <x:v>1981</x:v>
      </x:c>
      <x:c r="Q117" s="46" t="n">
        <x:v>1.051101666815768e-8</x:v>
      </x:c>
      <x:c r="R117" s="46" t="n">
        <x:v>7.930994777582967e-9</x:v>
      </x:c>
      <x:c r="S117" s="46" t="n">
        <x:v>7.336361296239602e-9</x:v>
      </x:c>
      <x:c r="T117" s="46" t="n">
        <x:v>4.115746049526692e-9</x:v>
      </x:c>
      <x:c r="U117" s="31" t="str">
        <x:v>Candidate surface form is directly representable in the public Ngram interface. New unsmoothed 1842–2022 series retrieved for the candidate audit.</x:v>
      </x:c>
      <x:c r="V117" s="31" t="str">
        <x:v>NO_STANDALONE_HEADWORD</x:v>
      </x:c>
      <x:c r="W117" s="31" t="str">
        <x:v>Component lexical analysis plus anchor-source contextual meaning</x:v>
      </x:c>
      <x:c r="X117" s="31" t="str">
        <x:v>Survey or instrument wording used to elicit and classify participant endorsement; the response may be participant evidence, but the lexical wording is supplied.</x:v>
      </x:c>
      <x:c r="Y117" s="31" t="str">
        <x:v>Worry wording supplied by a survey or other instrument; the candidate is interpreted in its documented anchor and voice context.</x:v>
      </x:c>
      <x:c r="Z117" s="31" t="str">
        <x:v>STRONG</x:v>
      </x:c>
      <x:c r="AA117" s="19" t="str">
        <x:v>Elicited endorsement, question wording, and spontaneous participant vocabulary are distinct provenance states.</x:v>
      </x:c>
      <x:c r="AB117" s="31" t="str">
        <x:v>Secondary: Component headword checked: deal.;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https://api.dictionaryapi.dev/api/v2/entries/en/worry%20a%20great%20deal; https://websters1913.timcieplowski.com/word/deal/</x:v>
      </x:c>
      <x:c r="AC117" s="31" t="str">
        <x:v>INTERNET_ARCHIVE_METADATA_TEXT_ITEM_COUNT</x:v>
      </x:c>
      <x:c r="AD117" s="19" t="str">
        <x:v>"worry a great deal" AND mediatype:texts</x:v>
      </x:c>
      <x:c r="AE117" s="31" t="str">
        <x:v>EXACT_PHRASE</x:v>
      </x:c>
      <x:c r="AF117" s="31" t="str">
        <x:v>COMPLETED_NONZERO</x:v>
      </x:c>
      <x:c r="AG117" s="25" t="n">
        <x:v>3</x:v>
      </x:c>
      <x:c r="AH117" s="25" t="n">
        <x:v>0</x:v>
      </x:c>
      <x:c r="AI117" s="19" t="str">
        <x:v>2026-08-26</x:v>
      </x:c>
      <x:c r="AJ117" s="31" t="str">
        <x:v>Metadata text-item count; not a full-text lexical frequency. Secondary metric: NOT_RUN_OPENALEX_DAILY_BUDGET_EXHAUSTED: shared provider response retained; no count fabricated.</x:v>
      </x:c>
      <x:c r="AK117" s="31" t="str">
        <x:v>FULLY_COVERED</x:v>
      </x:c>
      <x:c r="AL117" s="19" t="str">
        <x:v>PENDING_SOURCE_REVIEW</x:v>
      </x:c>
      <x:c r="AM117" s="20" t="str">
        <x:v>MEDIUM</x:v>
      </x:c>
    </x:row>
    <x:row r="118" ht="34" customHeight="1">
      <x:c r="A118" s="40" t="str">
        <x:v>FT-SEED-R1B-P-0607-24</x:v>
      </x:c>
      <x:c r="B118" s="19" t="str">
        <x:v>2006–2007</x:v>
      </x:c>
      <x:c r="C118" s="25" t="n">
        <x:v>24</x:v>
      </x:c>
      <x:c r="D118" s="31" t="str">
        <x:v>serious problem</x:v>
      </x:c>
      <x:c r="E118" s="31" t="str">
        <x:v>generic damage</x:v>
      </x:c>
      <x:c r="F118" s="31" t="str">
        <x:v>harm_loss_consequences</x:v>
      </x:c>
      <x:c r="G118" s="19" t="str">
        <x:v>D</x:v>
      </x:c>
      <x:c r="H118" s="19" t="str">
        <x:v>V5</x:v>
      </x:c>
      <x:c r="I118" s="19" t="str">
        <x:v>NOT_EXPOSED_IN_REPORT</x:v>
      </x:c>
      <x:c r="J118" s="31" t="str">
        <x:v>S0607-YALE-MAR</x:v>
      </x:c>
      <x:c r="K118" s="31" t="str">
        <x:v>RECONSTRUCTED_FROM_REPORT; Fear of Temperature_ Stratified Lexical Expansion, Voice Mapping, and Semantic-Relational Pre-Valida.pdf; p.10; project candidate FT-SEED-R1B-P-0607-24; original visible ID not available</x:v>
      </x:c>
      <x:c r="L118" s="31" t="str">
        <x:v>SUCCEEDED_NEW</x:v>
      </x:c>
      <x:c r="M118" s="31" t="str">
        <x:v>serious problem</x:v>
      </x:c>
      <x:c r="N118" s="31" t="str">
        <x:v>EXACT</x:v>
      </x:c>
      <x:c r="O118" s="19" t="str">
        <x:v>1842</x:v>
      </x:c>
      <x:c r="P118" s="19" t="str">
        <x:v>1980</x:v>
      </x:c>
      <x:c r="Q118" s="46" t="n">
        <x:v>0.0000023235911891239525</x:v>
      </x:c>
      <x:c r="R118" s="46" t="n">
        <x:v>0.000001367453012855041</x:v>
      </x:c>
      <x:c r="S118" s="46" t="n">
        <x:v>0.0000013775302502841077</x:v>
      </x:c>
      <x:c r="T118" s="46" t="n">
        <x:v>7.833109815225114e-7</x:v>
      </x:c>
      <x:c r="U118" s="31" t="str">
        <x:v>Candidate surface form is directly representable in the public Ngram interface. New unsmoothed 1842–2022 series retrieved for the candidate audit.</x:v>
      </x:c>
      <x:c r="V118" s="31" t="str">
        <x:v>NO_STANDALONE_HEADWORD</x:v>
      </x:c>
      <x:c r="W118" s="31" t="str">
        <x:v>Component lexical analysis plus anchor-source contextual meaning</x:v>
      </x:c>
      <x:c r="X118" s="31" t="str">
        <x:v>A threat, risk, harm, severity, or consequence sense in the documented source; it is not automatically an emotion.</x:v>
      </x:c>
      <x:c r="Y118" s="31" t="str">
        <x:v>Generic material, ecological, or social damage; the candidate is interpreted in its documented anchor and voice context.</x:v>
      </x:c>
      <x:c r="Z118" s="31" t="str">
        <x:v>STRONG</x:v>
      </x:c>
      <x:c r="AA118" s="19" t="str">
        <x:v>The surface form may realize multiple senses; candidate meaning remains anchored to the report-visible source context.</x:v>
      </x:c>
      <x:c r="AB118"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https://api.dictionaryapi.dev/api/v2/entries/en/serious%20problem; https://websters1913.timcieplowski.com/word/problem/</x:v>
      </x:c>
      <x:c r="AC118" s="31" t="str">
        <x:v>INTERNET_ARCHIVE_METADATA_TEXT_ITEM_COUNT</x:v>
      </x:c>
      <x:c r="AD118" s="19" t="str">
        <x:v>"serious problem" AND mediatype:texts</x:v>
      </x:c>
      <x:c r="AE118" s="31" t="str">
        <x:v>EXACT_PHRASE</x:v>
      </x:c>
      <x:c r="AF118" s="31" t="str">
        <x:v>COMPLETED_NONZERO</x:v>
      </x:c>
      <x:c r="AG118" s="25" t="n">
        <x:v>2579</x:v>
      </x:c>
      <x:c r="AH118" s="25" t="n">
        <x:v>147</x:v>
      </x:c>
      <x:c r="AI118" s="19" t="str">
        <x:v>2026-08-26</x:v>
      </x:c>
      <x:c r="AJ118" s="31" t="str">
        <x:v>Metadata text-item count; not a full-text lexical frequency. Secondary metric: NOT_RUN_OPENALEX_DAILY_BUDGET_EXHAUSTED: shared provider response retained; no count fabricated.</x:v>
      </x:c>
      <x:c r="AK118" s="31" t="str">
        <x:v>FULLY_COVERED</x:v>
      </x:c>
      <x:c r="AL118" s="19" t="str">
        <x:v>PENDING_SOURCE_REVIEW</x:v>
      </x:c>
      <x:c r="AM118" s="20" t="str">
        <x:v>MEDIUM</x:v>
      </x:c>
    </x:row>
    <x:row r="119" ht="34" customHeight="1">
      <x:c r="A119" s="40" t="str">
        <x:v>FT-SEED-R1B-P-0607-25</x:v>
      </x:c>
      <x:c r="B119" s="19" t="str">
        <x:v>2006–2007</x:v>
      </x:c>
      <x:c r="C119" s="25" t="n">
        <x:v>25</x:v>
      </x:c>
      <x:c r="D119" s="31" t="str">
        <x:v>danger</x:v>
      </x:c>
      <x:c r="E119" s="31" t="str">
        <x:v>hazard evaluation</x:v>
      </x:c>
      <x:c r="F119" s="31" t="str">
        <x:v>danger_threat</x:v>
      </x:c>
      <x:c r="G119" s="19" t="str">
        <x:v>D</x:v>
      </x:c>
      <x:c r="H119" s="19" t="str">
        <x:v>V5</x:v>
      </x:c>
      <x:c r="I119" s="19" t="str">
        <x:v>NOT_EXPOSED_IN_REPORT</x:v>
      </x:c>
      <x:c r="J119" s="31" t="str">
        <x:v>S0607-YALE-MAR</x:v>
      </x:c>
      <x:c r="K119" s="31" t="str">
        <x:v>RECONSTRUCTED_FROM_REPORT; Fear of Temperature_ Stratified Lexical Expansion, Voice Mapping, and Semantic-Relational Pre-Valida.pdf; p.10; project candidate FT-SEED-R1B-P-0607-25; original visible ID not available</x:v>
      </x:c>
      <x:c r="L119" s="31" t="str">
        <x:v>SUCCEEDED_REUSED_BASELINE</x:v>
      </x:c>
      <x:c r="M119" s="31" t="str">
        <x:v>danger</x:v>
      </x:c>
      <x:c r="N119" s="31" t="str">
        <x:v>EXACT</x:v>
      </x:c>
      <x:c r="O119" s="19" t="str">
        <x:v>1842</x:v>
      </x:c>
      <x:c r="P119" s="19" t="str">
        <x:v>1848</x:v>
      </x:c>
      <x:c r="Q119" s="46" t="n">
        <x:v>0.0000680098231100601</x:v>
      </x:c>
      <x:c r="R119" s="46" t="n">
        <x:v>0.000022866885732362313</x:v>
      </x:c>
      <x:c r="S119" s="46" t="n">
        <x:v>0.000023115713736036186</x:v>
      </x:c>
      <x:c r="T119" s="46" t="n">
        <x:v>0.000034476990950049746</x:v>
      </x:c>
      <x:c r="U119" s="31" t="str">
        <x:v>Candidate surface form is directly representable in the public Ngram interface. Complete 1842–2022 unsmoothed series reused from the audited quantitative-v0.1 baseline.</x:v>
      </x:c>
      <x:c r="V119" s="31" t="str">
        <x:v>DIRECT_HEADWORD</x:v>
      </x:c>
      <x:c r="W119" s="31" t="str">
        <x:v>Webster's Revised Unabridged Dictionary (1913 public-domain headword index)</x:v>
      </x:c>
      <x:c r="X119" s="31" t="str">
        <x:v>A threat, risk, harm, severity, or consequence sense in the documented source; it is not automatically an emotion.</x:v>
      </x:c>
      <x:c r="Y119" s="31" t="str">
        <x:v>Danger or threat evaluation of a specified hazard; the candidate is interpreted in its documented anchor and voice context.</x:v>
      </x:c>
      <x:c r="Z119" s="31" t="str">
        <x:v>STRONG</x:v>
      </x:c>
      <x:c r="AA119" s="19" t="str">
        <x:v>The surface form may realize multiple senses; candidate meaning remains anchored to the report-visible source context.</x:v>
      </x:c>
      <x:c r="AB119" s="31" t="str">
        <x:v>Secondary: Component headword checked: danger.; historical: Anchor-period research source/context; Webster 1913 stable component URL recorded but automated page retrieval was unavailable; source: https://websters1913.timcieplowski.com/word/danger/; https://api.dictionaryapi.dev/api/v2/entries/en/danger</x:v>
      </x:c>
      <x:c r="AC119" s="31" t="str">
        <x:v>INTERNET_ARCHIVE_METADATA_TEXT_ITEM_COUNT</x:v>
      </x:c>
      <x:c r="AD119" s="19" t="str">
        <x:v>"danger" AND mediatype:texts</x:v>
      </x:c>
      <x:c r="AE119" s="31" t="str">
        <x:v>EXACT_PHRASE</x:v>
      </x:c>
      <x:c r="AF119" s="31" t="str">
        <x:v>COMPLETED_NONZERO</x:v>
      </x:c>
      <x:c r="AG119" s="25" t="n">
        <x:v>37158</x:v>
      </x:c>
      <x:c r="AH119" s="25" t="n">
        <x:v>2139</x:v>
      </x:c>
      <x:c r="AI119" s="19" t="str">
        <x:v>2026-08-26</x:v>
      </x:c>
      <x:c r="AJ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AK119" s="31" t="str">
        <x:v>FULLY_COVERED</x:v>
      </x:c>
      <x:c r="AL119" s="19" t="str">
        <x:v>PENDING_SOURCE_REVIEW</x:v>
      </x:c>
      <x:c r="AM119" s="20" t="str">
        <x:v>MEDIUM</x:v>
      </x:c>
    </x:row>
    <x:row r="120" ht="34" customHeight="1">
      <x:c r="A120" s="40" t="str">
        <x:v>FT-SEED-R1B-P-0607-26</x:v>
      </x:c>
      <x:c r="B120" s="19" t="str">
        <x:v>2006–2007</x:v>
      </x:c>
      <x:c r="C120" s="25" t="n">
        <x:v>26</x:v>
      </x:c>
      <x:c r="D120" s="31" t="str">
        <x:v>urgent threat</x:v>
      </x:c>
      <x:c r="E120" s="31" t="str">
        <x:v>institutional climate threat</x:v>
      </x:c>
      <x:c r="F120" s="31" t="str">
        <x:v>danger_threat</x:v>
      </x:c>
      <x:c r="G120" s="19" t="str">
        <x:v>D</x:v>
      </x:c>
      <x:c r="H120" s="19" t="str">
        <x:v>V5</x:v>
      </x:c>
      <x:c r="I120" s="19" t="str">
        <x:v>NOT_EXPOSED_IN_REPORT</x:v>
      </x:c>
      <x:c r="J120" s="31" t="str">
        <x:v>S0607-YALE-JUL</x:v>
      </x:c>
      <x:c r="K120" s="31" t="str">
        <x:v>RECONSTRUCTED_FROM_REPORT; Fear of Temperature_ Stratified Lexical Expansion, Voice Mapping, and Semantic-Relational Pre-Valida.pdf; p.10; project candidate FT-SEED-R1B-P-0607-26; original visible ID not available</x:v>
      </x:c>
      <x:c r="L120" s="31" t="str">
        <x:v>SUCCEEDED_NEW</x:v>
      </x:c>
      <x:c r="M120" s="31" t="str">
        <x:v>urgent threat</x:v>
      </x:c>
      <x:c r="N120" s="31" t="str">
        <x:v>EXACT</x:v>
      </x:c>
      <x:c r="O120" s="19" t="str">
        <x:v>1884</x:v>
      </x:c>
      <x:c r="P120" s="19" t="str">
        <x:v>2021</x:v>
      </x:c>
      <x:c r="Q120" s="46" t="n">
        <x:v>1.622662043621048e-8</x:v>
      </x:c>
      <x:c r="R120" s="46" t="n">
        <x:v>9.14479110492028e-9</x:v>
      </x:c>
      <x:c r="S120" s="46" t="n">
        <x:v>9.229664071214172e-9</x:v>
      </x:c>
      <x:c r="T120" s="46" t="n">
        <x:v>1.4156755517857889e-8</x:v>
      </x:c>
      <x:c r="U120" s="31" t="str">
        <x:v>Candidate surface form is directly representable in the public Ngram interface. New unsmoothed 1842–2022 series retrieved for the candidate audit.</x:v>
      </x:c>
      <x:c r="V120" s="31" t="str">
        <x:v>NO_STANDALONE_HEADWORD</x:v>
      </x:c>
      <x:c r="W120" s="31" t="str">
        <x:v>Component lexical analysis plus anchor-source contextual meaning</x:v>
      </x:c>
      <x:c r="X120" s="31" t="str">
        <x:v>A threat, risk, harm, severity, or consequence sense in the documented source; it is not automatically an emotion.</x:v>
      </x:c>
      <x:c r="Y120" s="31" t="str">
        <x:v>Climate change framed as an institutional threat; the candidate is interpreted in its documented anchor and voice context.</x:v>
      </x:c>
      <x:c r="Z120" s="31" t="str">
        <x:v>STRONG</x:v>
      </x:c>
      <x:c r="AA120" s="19" t="str">
        <x:v>The surface form may realize multiple senses; candidate meaning remains anchored to the report-visible source context.</x:v>
      </x:c>
      <x:c r="AB120"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https://api.dictionaryapi.dev/api/v2/entries/en/urgent%20threat; https://websters1913.timcieplowski.com/word/threat/</x:v>
      </x:c>
      <x:c r="AC120" s="31" t="str">
        <x:v>INTERNET_ARCHIVE_METADATA_TEXT_ITEM_COUNT</x:v>
      </x:c>
      <x:c r="AD120" s="19" t="str">
        <x:v>"urgent threat" AND mediatype:texts</x:v>
      </x:c>
      <x:c r="AE120" s="31" t="str">
        <x:v>EXACT_PHRASE</x:v>
      </x:c>
      <x:c r="AF120" s="31" t="str">
        <x:v>COMPLETED_NONZERO</x:v>
      </x:c>
      <x:c r="AG120" s="25" t="n">
        <x:v>11</x:v>
      </x:c>
      <x:c r="AH120" s="25" t="n">
        <x:v>0</x:v>
      </x:c>
      <x:c r="AI120" s="19" t="str">
        <x:v>2026-08-26</x:v>
      </x:c>
      <x:c r="AJ120" s="31" t="str">
        <x:v>Metadata text-item count; not a full-text lexical frequency. Secondary metric: NOT_RUN_OPENALEX_DAILY_BUDGET_EXHAUSTED: shared provider response retained; no count fabricated.</x:v>
      </x:c>
      <x:c r="AK120" s="31" t="str">
        <x:v>FULLY_COVERED</x:v>
      </x:c>
      <x:c r="AL120" s="19" t="str">
        <x:v>PENDING_SOURCE_REVIEW</x:v>
      </x:c>
      <x:c r="AM120" s="20" t="str">
        <x:v>MEDIUM</x:v>
      </x:c>
    </x:row>
    <x:row r="121" ht="34" customHeight="1">
      <x:c r="A121" s="40" t="str">
        <x:v>FT-SEED-R1B-P-0607-27</x:v>
      </x:c>
      <x:c r="B121" s="19" t="str">
        <x:v>2006–2007</x:v>
      </x:c>
      <x:c r="C121" s="25" t="n">
        <x:v>27</x:v>
      </x:c>
      <x:c r="D121" s="31" t="str">
        <x:v>dangerous impacts</x:v>
      </x:c>
      <x:c r="E121" s="31" t="str">
        <x:v>institutional climate threat</x:v>
      </x:c>
      <x:c r="F121" s="31" t="str">
        <x:v>danger_threat</x:v>
      </x:c>
      <x:c r="G121" s="19" t="str">
        <x:v>D</x:v>
      </x:c>
      <x:c r="H121" s="19" t="str">
        <x:v>V5</x:v>
      </x:c>
      <x:c r="I121" s="19" t="str">
        <x:v>NOT_EXPOSED_IN_REPORT</x:v>
      </x:c>
      <x:c r="J121" s="31" t="str">
        <x:v>S0607-YALE-JUL</x:v>
      </x:c>
      <x:c r="K121" s="31" t="str">
        <x:v>RECONSTRUCTED_FROM_REPORT; Fear of Temperature_ Stratified Lexical Expansion, Voice Mapping, and Semantic-Relational Pre-Valida.pdf; p.10; project candidate FT-SEED-R1B-P-0607-27; original visible ID not available</x:v>
      </x:c>
      <x:c r="L121" s="31" t="str">
        <x:v>SUCCEEDED_NEW</x:v>
      </x:c>
      <x:c r="M121" s="31" t="str">
        <x:v>dangerous impacts</x:v>
      </x:c>
      <x:c r="N121" s="31" t="str">
        <x:v>EXACT</x:v>
      </x:c>
      <x:c r="O121" s="19" t="str">
        <x:v>1911</x:v>
      </x:c>
      <x:c r="P121" s="19" t="str">
        <x:v>2021</x:v>
      </x:c>
      <x:c r="Q121" s="46" t="n">
        <x:v>3.806831773423003e-9</x:v>
      </x:c>
      <x:c r="R121" s="46" t="n">
        <x:v>1.7448578276679783e-9</x:v>
      </x:c>
      <x:c r="S121" s="46" t="n">
        <x:v>1.6972862126179988e-9</x:v>
      </x:c>
      <x:c r="T121" s="46" t="n">
        <x:v>3.4507092738778056e-9</x:v>
      </x:c>
      <x:c r="U121" s="31" t="str">
        <x:v>Candidate surface form is directly representable in the public Ngram interface. New unsmoothed 1842–2022 series retrieved for the candidate audit.</x:v>
      </x:c>
      <x:c r="V121" s="31" t="str">
        <x:v>NO_STANDALONE_HEADWORD</x:v>
      </x:c>
      <x:c r="W121" s="31" t="str">
        <x:v>Component lexical analysis plus anchor-source contextual meaning</x:v>
      </x:c>
      <x:c r="X121" s="31" t="str">
        <x:v>A threat, risk, harm, severity, or consequence sense in the documented source; it is not automatically an emotion.</x:v>
      </x:c>
      <x:c r="Y121" s="31" t="str">
        <x:v>Climate change framed as an institutional threat; the candidate is interpreted in its documented anchor and voice context.</x:v>
      </x:c>
      <x:c r="Z121" s="31" t="str">
        <x:v>STRONG</x:v>
      </x:c>
      <x:c r="AA121" s="19" t="str">
        <x:v>The surface form may realize multiple senses; candidate meaning remains anchored to the report-visible source context.</x:v>
      </x:c>
      <x:c r="AB12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https://api.dictionaryapi.dev/api/v2/entries/en/dangerous%20impacts; https://websters1913.timcieplowski.com/word/impacts/</x:v>
      </x:c>
      <x:c r="AC121" s="31" t="str">
        <x:v>INTERNET_ARCHIVE_METADATA_TEXT_ITEM_COUNT</x:v>
      </x:c>
      <x:c r="AD121" s="19" t="str">
        <x:v>"dangerous impacts" AND mediatype:texts</x:v>
      </x:c>
      <x:c r="AE121" s="31" t="str">
        <x:v>EXACT_PHRASE</x:v>
      </x:c>
      <x:c r="AF121" s="31" t="str">
        <x:v>COMPLETED_NONZERO</x:v>
      </x:c>
      <x:c r="AG121" s="25" t="n">
        <x:v>3</x:v>
      </x:c>
      <x:c r="AH121" s="25" t="n">
        <x:v>0</x:v>
      </x:c>
      <x:c r="AI121" s="19" t="str">
        <x:v>2026-08-26</x:v>
      </x:c>
      <x:c r="AJ121" s="31" t="str">
        <x:v>Metadata text-item count; not a full-text lexical frequency. Secondary metric: NOT_RUN_OPENALEX_DAILY_BUDGET_EXHAUSTED: shared provider response retained; no count fabricated.</x:v>
      </x:c>
      <x:c r="AK121" s="31" t="str">
        <x:v>FULLY_COVERED</x:v>
      </x:c>
      <x:c r="AL121" s="19" t="str">
        <x:v>PENDING_SOURCE_REVIEW</x:v>
      </x:c>
      <x:c r="AM121" s="20" t="str">
        <x:v>MEDIUM</x:v>
      </x:c>
    </x:row>
    <x:row r="122" ht="34" customHeight="1">
      <x:c r="A122" s="40" t="str">
        <x:v>FT-SEED-R1B-P-0607-28</x:v>
      </x:c>
      <x:c r="B122" s="19" t="str">
        <x:v>2006–2007</x:v>
      </x:c>
      <x:c r="C122" s="25" t="n">
        <x:v>28</x:v>
      </x:c>
      <x:c r="D122" s="31" t="str">
        <x:v>drastic action</x:v>
      </x:c>
      <x:c r="E122" s="31" t="str">
        <x:v>generic damage</x:v>
      </x:c>
      <x:c r="F122" s="31" t="str">
        <x:v>harm_loss_consequences</x:v>
      </x:c>
      <x:c r="G122" s="19" t="str">
        <x:v>D</x:v>
      </x:c>
      <x:c r="H122" s="19" t="str">
        <x:v>V5</x:v>
      </x:c>
      <x:c r="I122" s="19" t="str">
        <x:v>NOT_EXPOSED_IN_REPORT</x:v>
      </x:c>
      <x:c r="J122" s="31" t="str">
        <x:v>S0607-YALE-JUL</x:v>
      </x:c>
      <x:c r="K122" s="31" t="str">
        <x:v>RECONSTRUCTED_FROM_REPORT; Fear of Temperature_ Stratified Lexical Expansion, Voice Mapping, and Semantic-Relational Pre-Valida.pdf; p.10; project candidate FT-SEED-R1B-P-0607-28; original visible ID not available</x:v>
      </x:c>
      <x:c r="L122" s="31" t="str">
        <x:v>SUCCEEDED_NEW</x:v>
      </x:c>
      <x:c r="M122" s="31" t="str">
        <x:v>drastic action</x:v>
      </x:c>
      <x:c r="N122" s="31" t="str">
        <x:v>EXACT</x:v>
      </x:c>
      <x:c r="O122" s="19" t="str">
        <x:v>1843</x:v>
      </x:c>
      <x:c r="P122" s="19" t="str">
        <x:v>1918</x:v>
      </x:c>
      <x:c r="Q122" s="46" t="n">
        <x:v>4.5693959421777564e-7</x:v>
      </x:c>
      <x:c r="R122" s="46" t="n">
        <x:v>9.450825471345181e-8</x:v>
      </x:c>
      <x:c r="S122" s="46" t="n">
        <x:v>9.88963815796648e-8</x:v>
      </x:c>
      <x:c r="T122" s="46" t="n">
        <x:v>8.657740815931625e-8</x:v>
      </x:c>
      <x:c r="U122" s="31" t="str">
        <x:v>Candidate surface form is directly representable in the public Ngram interface. New unsmoothed 1842–2022 series retrieved for the candidate audit.</x:v>
      </x:c>
      <x:c r="V122" s="31" t="str">
        <x:v>NO_STANDALONE_HEADWORD</x:v>
      </x:c>
      <x:c r="W122" s="31" t="str">
        <x:v>Component lexical analysis plus anchor-source contextual meaning</x:v>
      </x:c>
      <x:c r="X122" s="31" t="str">
        <x:v>A threat, risk, harm, severity, or consequence sense in the documented source; it is not automatically an emotion.</x:v>
      </x:c>
      <x:c r="Y122" s="31" t="str">
        <x:v>Generic material, ecological, or social damage; the candidate is interpreted in its documented anchor and voice context.</x:v>
      </x:c>
      <x:c r="Z122" s="31" t="str">
        <x:v>STRONG</x:v>
      </x:c>
      <x:c r="AA122" s="19" t="str">
        <x:v>The surface form may realize multiple senses; candidate meaning remains anchored to the report-visible source context.</x:v>
      </x:c>
      <x:c r="AB122" s="31" t="str">
        <x:v>Secondary: Component headword checked: action.;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https://api.dictionaryapi.dev/api/v2/entries/en/drastic%20action; https://websters1913.timcieplowski.com/word/action/</x:v>
      </x:c>
      <x:c r="AC122" s="31" t="str">
        <x:v>INTERNET_ARCHIVE_METADATA_TEXT_ITEM_COUNT</x:v>
      </x:c>
      <x:c r="AD122" s="19" t="str">
        <x:v>"drastic action" AND mediatype:texts</x:v>
      </x:c>
      <x:c r="AE122" s="31" t="str">
        <x:v>EXACT_PHRASE</x:v>
      </x:c>
      <x:c r="AF122" s="31" t="str">
        <x:v>COMPLETED_NONZERO</x:v>
      </x:c>
      <x:c r="AG122" s="25" t="n">
        <x:v>532</x:v>
      </x:c>
      <x:c r="AH122" s="25" t="n">
        <x:v>4</x:v>
      </x:c>
      <x:c r="AI122" s="19" t="str">
        <x:v>2026-08-26</x:v>
      </x:c>
      <x:c r="AJ122" s="31" t="str">
        <x:v>Metadata text-item count; not a full-text lexical frequency. Secondary metric: NOT_RUN_OPENALEX_DAILY_BUDGET_EXHAUSTED: shared provider response retained; no count fabricated.</x:v>
      </x:c>
      <x:c r="AK122" s="31" t="str">
        <x:v>FULLY_COVERED</x:v>
      </x:c>
      <x:c r="AL122" s="19" t="str">
        <x:v>PENDING_SOURCE_REVIEW</x:v>
      </x:c>
      <x:c r="AM122" s="20" t="str">
        <x:v>MEDIUM</x:v>
      </x:c>
    </x:row>
    <x:row r="123" ht="34" customHeight="1">
      <x:c r="A123" s="40" t="str">
        <x:v>FT-SEED-R1B-P-0607-29</x:v>
      </x:c>
      <x:c r="B123" s="19" t="str">
        <x:v>2006–2007</x:v>
      </x:c>
      <x:c r="C123" s="25" t="n">
        <x:v>29</x:v>
      </x:c>
      <x:c r="D123" s="31" t="str">
        <x:v>dangerous climate change</x:v>
      </x:c>
      <x:c r="E123" s="31" t="str">
        <x:v>modern climate change</x:v>
      </x:c>
      <x:c r="F123" s="31" t="str">
        <x:v>climate</x:v>
      </x:c>
      <x:c r="G123" s="19" t="str">
        <x:v>D</x:v>
      </x:c>
      <x:c r="H123" s="19" t="str">
        <x:v>V4</x:v>
      </x:c>
      <x:c r="I123" s="19" t="str">
        <x:v>NOT_EXPOSED_IN_REPORT</x:v>
      </x:c>
      <x:c r="J123" s="31" t="str">
        <x:v>S0607-CCNI</x:v>
      </x:c>
      <x:c r="K123" s="31" t="str">
        <x:v>RECONSTRUCTED_FROM_REPORT; Fear of Temperature_ Stratified Lexical Expansion, Voice Mapping, and Semantic-Relational Pre-Valida.pdf; p.10; project candidate FT-SEED-R1B-P-0607-29; original visible ID not available</x:v>
      </x:c>
      <x:c r="L123" s="31" t="str">
        <x:v>SUCCEEDED_NEW</x:v>
      </x:c>
      <x:c r="M123" s="31" t="str">
        <x:v>dangerous climate change</x:v>
      </x:c>
      <x:c r="N123" s="31" t="str">
        <x:v>EXACT</x:v>
      </x:c>
      <x:c r="O123" s="19" t="str">
        <x:v>1843</x:v>
      </x:c>
      <x:c r="P123" s="19" t="str">
        <x:v>2009</x:v>
      </x:c>
      <x:c r="Q123" s="46" t="n">
        <x:v>5.960008092609215e-8</x:v>
      </x:c>
      <x:c r="R123" s="46" t="n">
        <x:v>4.0968505851668446e-8</x:v>
      </x:c>
      <x:c r="S123" s="46" t="n">
        <x:v>3.854462884284038e-8</x:v>
      </x:c>
      <x:c r="T123" s="46" t="n">
        <x:v>2.9088631392504283e-8</x:v>
      </x:c>
      <x:c r="U123" s="31" t="str">
        <x:v>Candidate surface form is directly representable in the public Ngram interface. New unsmoothed 1842–2022 series retrieved for the candidate audit.</x:v>
      </x:c>
      <x:c r="V123" s="31" t="str">
        <x:v>TECHNICAL_GLOSSARY</x:v>
      </x:c>
      <x:c r="W123" s="31" t="str">
        <x:v>IPCC climate-science glossary / assessment terminology</x:v>
      </x:c>
      <x:c r="X123" s="31" t="str">
        <x:v>A threat, risk, harm, severity, or consequence sense in the documented source; it is not automatically an emotion.</x:v>
      </x:c>
      <x:c r="Y123" s="31" t="str">
        <x:v>Modern climate change as an anthropogenic scientific, public, or governance problem; the candidate is interpreted in its documented anchor and voice context.</x:v>
      </x:c>
      <x:c r="Z123" s="31" t="str">
        <x:v>STRONG</x:v>
      </x:c>
      <x:c r="AA123" s="19" t="str">
        <x:v>The surface form may realize multiple senses; candidate meaning remains anchored to the report-visible source context.</x:v>
      </x:c>
      <x:c r="AB123"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https://api.dictionaryapi.dev/api/v2/entries/en/dangerous%20climate%20change; https://websters1913.timcieplowski.com/word/change/</x:v>
      </x:c>
      <x:c r="AC123" s="31" t="str">
        <x:v>INTERNET_ARCHIVE_METADATA_TEXT_ITEM_COUNT</x:v>
      </x:c>
      <x:c r="AD123" s="19" t="str">
        <x:v>"dangerous climate change" AND mediatype:texts</x:v>
      </x:c>
      <x:c r="AE123" s="31" t="str">
        <x:v>EXACT_PHRASE</x:v>
      </x:c>
      <x:c r="AF123" s="31" t="str">
        <x:v>COMPLETED_NONZERO</x:v>
      </x:c>
      <x:c r="AG123" s="25" t="n">
        <x:v>28</x:v>
      </x:c>
      <x:c r="AH123" s="25" t="n">
        <x:v>5</x:v>
      </x:c>
      <x:c r="AI123" s="19" t="str">
        <x:v>2026-08-26</x:v>
      </x:c>
      <x:c r="AJ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AK123" s="31" t="str">
        <x:v>FULLY_COVERED</x:v>
      </x:c>
      <x:c r="AL123" s="19" t="str">
        <x:v>PENDING_SOURCE_REVIEW</x:v>
      </x:c>
      <x:c r="AM123" s="20" t="str">
        <x:v>MEDIUM</x:v>
      </x:c>
    </x:row>
    <x:row r="124" ht="34" customHeight="1">
      <x:c r="A124" s="40" t="str">
        <x:v>FT-SEED-R1B-P-0607-30</x:v>
      </x:c>
      <x:c r="B124" s="19" t="str">
        <x:v>2006–2007</x:v>
      </x:c>
      <x:c r="C124" s="25" t="n">
        <x:v>30</x:v>
      </x:c>
      <x:c r="D124" s="31" t="str">
        <x:v>threatens serious negative effects</x:v>
      </x:c>
      <x:c r="E124" s="31" t="str">
        <x:v>institutional climate threat</x:v>
      </x:c>
      <x:c r="F124" s="31" t="str">
        <x:v>danger_threat</x:v>
      </x:c>
      <x:c r="G124" s="19" t="str">
        <x:v>D</x:v>
      </x:c>
      <x:c r="H124" s="19" t="str">
        <x:v>V4</x:v>
      </x:c>
      <x:c r="I124" s="19" t="str">
        <x:v>NOT_EXPOSED_IN_REPORT</x:v>
      </x:c>
      <x:c r="J124" s="31" t="str">
        <x:v>S0607-CCNI</x:v>
      </x:c>
      <x:c r="K124" s="31" t="str">
        <x:v>RECONSTRUCTED_FROM_REPORT; Fear of Temperature_ Stratified Lexical Expansion, Voice Mapping, and Semantic-Relational Pre-Valida.pdf; p.10; project candidate FT-SEED-R1B-P-0607-30; original visible ID not available</x:v>
      </x:c>
      <x:c r="L124" s="31" t="str">
        <x:v>ZERO_RESPONSE_NEW</x:v>
      </x:c>
      <x:c r="M124" s="31" t="str">
        <x:v>threatens serious negative effects</x:v>
      </x:c>
      <x:c r="N124" s="31" t="str">
        <x:v>EXACT</x:v>
      </x:c>
      <x:c r="O124" s="19" t="str">
        <x:v>NOT_APPLICABLE</x:v>
      </x:c>
      <x:c r="P124" s="19" t="str">
        <x:v>NOT_APPLICABLE</x:v>
      </x:c>
      <x:c r="Q124" s="46" t="str">
        <x:v>NOT_APPLICABLE</x:v>
      </x:c>
      <x:c r="R124" s="46" t="str">
        <x:v>NOT_APPLICABLE</x:v>
      </x:c>
      <x:c r="S124" s="46" t="str">
        <x:v>NOT_APPLICABLE</x:v>
      </x:c>
      <x:c r="T124" s="46" t="str">
        <x:v>NOT_APPLICABLE</x:v>
      </x:c>
      <x:c r="U124" s="31" t="str">
        <x:v>Candidate surface form is directly representable in the public Ngram interface. The public Ngram endpoint returned an empty list; retained without fabricating annual zero frequencies.</x:v>
      </x:c>
      <x:c r="V124" s="31" t="str">
        <x:v>NO_STANDALONE_HEADWORD</x:v>
      </x:c>
      <x:c r="W124" s="31" t="str">
        <x:v>Component lexical analysis plus anchor-source contextual meaning</x:v>
      </x:c>
      <x:c r="X124" s="31" t="str">
        <x:v>A threat, risk, harm, severity, or consequence sense in the documented source; it is not automatically an emotion.</x:v>
      </x:c>
      <x:c r="Y124" s="31" t="str">
        <x:v>Climate change framed as an institutional threat; the candidate is interpreted in its documented anchor and voice context.</x:v>
      </x:c>
      <x:c r="Z124" s="31" t="str">
        <x:v>STRONG</x:v>
      </x:c>
      <x:c r="AA124" s="19" t="str">
        <x:v>The surface form may realize multiple senses; candidate meaning remains anchored to the report-visible source context.</x:v>
      </x:c>
      <x:c r="AB124" s="31" t="str">
        <x:v>Secondary: Component headword checked: effects.;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https://api.dictionaryapi.dev/api/v2/entries/en/threatens%20serious%20negative%20effects; https://websters1913.timcieplowski.com/word/effects/</x:v>
      </x:c>
      <x:c r="AC124" s="31" t="str">
        <x:v>INTERNET_ARCHIVE_METADATA_TEXT_ITEM_COUNT</x:v>
      </x:c>
      <x:c r="AD124" s="19" t="str">
        <x:v>"threatens serious negative effects" AND mediatype:texts</x:v>
      </x:c>
      <x:c r="AE124" s="31" t="str">
        <x:v>EXACT_PHRASE</x:v>
      </x:c>
      <x:c r="AF124" s="31" t="str">
        <x:v>COMPLETED_ZERO</x:v>
      </x:c>
      <x:c r="AG124" s="25" t="n">
        <x:v>0</x:v>
      </x:c>
      <x:c r="AH124" s="25" t="n">
        <x:v>0</x:v>
      </x:c>
      <x:c r="AI124" s="19" t="str">
        <x:v>2026-08-26</x:v>
      </x:c>
      <x:c r="AJ124" s="31" t="str">
        <x:v>Metadata text-item count; not a full-text lexical frequency. Secondary metric: NOT_RUN_OPENALEX_DAILY_BUDGET_EXHAUSTED: shared provider response retained; no count fabricated.</x:v>
      </x:c>
      <x:c r="AK124" s="31" t="str">
        <x:v>FULLY_COVERED</x:v>
      </x:c>
      <x:c r="AL124" s="19" t="str">
        <x:v>PENDING_SOURCE_REVIEW</x:v>
      </x:c>
      <x:c r="AM124" s="20" t="str">
        <x:v>MEDIUM</x:v>
      </x:c>
    </x:row>
    <x:row r="125" ht="34" customHeight="1">
      <x:c r="A125" s="40" t="str">
        <x:v>FT-SEED-R1B-P-2015-01</x:v>
      </x:c>
      <x:c r="B125" s="19" t="str">
        <x:v>2015</x:v>
      </x:c>
      <x:c r="C125" s="25" t="n">
        <x:v>1</x:v>
      </x:c>
      <x:c r="D125" s="31" t="str">
        <x:v>climate change</x:v>
      </x:c>
      <x:c r="E125" s="31" t="str">
        <x:v>modern climate change</x:v>
      </x:c>
      <x:c r="F125" s="31" t="str">
        <x:v>climate</x:v>
      </x:c>
      <x:c r="G125" s="19" t="str">
        <x:v>B</x:v>
      </x:c>
      <x:c r="H125" s="19" t="str">
        <x:v>V2</x:v>
      </x:c>
      <x:c r="I125" s="19" t="str">
        <x:v>NOT_EXPOSED_IN_REPORT</x:v>
      </x:c>
      <x:c r="J125" s="31" t="str">
        <x:v>S2015-PARIS</x:v>
      </x:c>
      <x:c r="K125" s="31" t="str">
        <x:v>RECONSTRUCTED_FROM_REPORT; Fear of Temperature_ Stratified Lexical Expansion, Voice Mapping, and Semantic-Relational Pre-Valida.pdf; p.11; project candidate FT-SEED-R1B-P-2015-01; original visible ID not available</x:v>
      </x:c>
      <x:c r="L125" s="31" t="str">
        <x:v>SUCCEEDED_REUSED_BASELINE</x:v>
      </x:c>
      <x:c r="M125" s="31" t="str">
        <x:v>climate change</x:v>
      </x:c>
      <x:c r="N125" s="31" t="str">
        <x:v>EXACT</x:v>
      </x:c>
      <x:c r="O125" s="19" t="str">
        <x:v>1842</x:v>
      </x:c>
      <x:c r="P125" s="19" t="str">
        <x:v>2022</x:v>
      </x:c>
      <x:c r="Q125" s="46" t="n">
        <x:v>0.00002890008815206735</x:v>
      </x:c>
      <x:c r="R125" s="46" t="n">
        <x:v>0.00001967096413684616</x:v>
      </x:c>
      <x:c r="S125" s="46" t="n">
        <x:v>0.000018854750985463492</x:v>
      </x:c>
      <x:c r="T125" s="46" t="n">
        <x:v>0.00002890008815206735</x:v>
      </x:c>
      <x:c r="U125" s="31" t="str">
        <x:v>Candidate surface form is directly representable in the public Ngram interface. Complete 1842–2022 unsmoothed series reused from the audited quantitative-v0.1 baseline.</x:v>
      </x:c>
      <x:c r="V125" s="31" t="str">
        <x:v>TECHNICAL_GLOSSARY</x:v>
      </x:c>
      <x:c r="W125" s="31" t="str">
        <x:v>IPCC climate-science glossary / assessment terminology</x:v>
      </x:c>
      <x:c r="X125" s="31" t="str">
        <x:v>The established modern issue label for sustained climatic change, used in institutional, scientific, or public contexts depending on voice.</x:v>
      </x:c>
      <x:c r="Y125" s="31" t="str">
        <x:v>A persistent change in the state or variability of climate; institutional definitions differ on whether human attribution is required.</x:v>
      </x:c>
      <x:c r="Z125" s="31" t="str">
        <x:v>STRONG</x:v>
      </x:c>
      <x:c r="AA125" s="19" t="str">
        <x:v>The modern issue label must still be distinguished from generic change and historical climatic variability.</x:v>
      </x:c>
      <x:c r="AB12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25" s="31" t="str">
        <x:v>INTERNET_ARCHIVE_METADATA_TEXT_ITEM_COUNT</x:v>
      </x:c>
      <x:c r="AD125" s="19" t="str">
        <x:v>"climate change" AND mediatype:texts</x:v>
      </x:c>
      <x:c r="AE125" s="31" t="str">
        <x:v>EXACT_PHRASE</x:v>
      </x:c>
      <x:c r="AF125" s="31" t="str">
        <x:v>COMPLETED_NONZERO</x:v>
      </x:c>
      <x:c r="AG125" s="25" t="n">
        <x:v>30525</x:v>
      </x:c>
      <x:c r="AH125" s="25" t="n">
        <x:v>1334</x:v>
      </x:c>
      <x:c r="AI125" s="19" t="str">
        <x:v>2026-08-26</x:v>
      </x:c>
      <x:c r="AJ125" s="31" t="str">
        <x:v>Metadata text-item count; not a full-text lexical frequency. Secondary metric: Scholarly work discoverability count over OpenAlex search fields; not a corpus word frequency.</x:v>
      </x:c>
      <x:c r="AK125" s="31" t="str">
        <x:v>FULLY_COVERED</x:v>
      </x:c>
      <x:c r="AL125" s="19" t="str">
        <x:v>PENDING_SOURCE_REVIEW</x:v>
      </x:c>
      <x:c r="AM125" s="20" t="str">
        <x:v>MEDIUM</x:v>
      </x:c>
    </x:row>
    <x:row r="126" ht="34" customHeight="1">
      <x:c r="A126" s="40" t="str">
        <x:v>FT-SEED-R1B-P-2015-02</x:v>
      </x:c>
      <x:c r="B126" s="19" t="str">
        <x:v>2015</x:v>
      </x:c>
      <x:c r="C126" s="25" t="n">
        <x:v>2</x:v>
      </x:c>
      <x:c r="D126" s="31" t="str">
        <x:v>threat of climate change</x:v>
      </x:c>
      <x:c r="E126" s="31" t="str">
        <x:v>modern climate change</x:v>
      </x:c>
      <x:c r="F126" s="31" t="str">
        <x:v>climate</x:v>
      </x:c>
      <x:c r="G126" s="19" t="str">
        <x:v>D</x:v>
      </x:c>
      <x:c r="H126" s="19" t="str">
        <x:v>V2</x:v>
      </x:c>
      <x:c r="I126" s="19" t="str">
        <x:v>NOT_EXPOSED_IN_REPORT</x:v>
      </x:c>
      <x:c r="J126" s="31" t="str">
        <x:v>S2015-PARIS</x:v>
      </x:c>
      <x:c r="K126" s="31" t="str">
        <x:v>RECONSTRUCTED_FROM_REPORT; Fear of Temperature_ Stratified Lexical Expansion, Voice Mapping, and Semantic-Relational Pre-Valida.pdf; p.11; project candidate FT-SEED-R1B-P-2015-02; original visible ID not available</x:v>
      </x:c>
      <x:c r="L126" s="31" t="str">
        <x:v>SUCCEEDED_REUSED_BASELINE</x:v>
      </x:c>
      <x:c r="M126" s="31" t="str">
        <x:v>threat of climate change</x:v>
      </x:c>
      <x:c r="N126" s="31" t="str">
        <x:v>EXACT</x:v>
      </x:c>
      <x:c r="O126" s="19" t="str">
        <x:v>1900</x:v>
      </x:c>
      <x:c r="P126" s="19" t="str">
        <x:v>2021</x:v>
      </x:c>
      <x:c r="Q126" s="46" t="n">
        <x:v>1.1604019513333785e-7</x:v>
      </x:c>
      <x:c r="R126" s="46" t="n">
        <x:v>4.538047629343289e-8</x:v>
      </x:c>
      <x:c r="S126" s="46" t="n">
        <x:v>4.426350256348891e-8</x:v>
      </x:c>
      <x:c r="T126" s="46" t="n">
        <x:v>1.1407222426373931e-7</x:v>
      </x:c>
      <x:c r="U126" s="31" t="str">
        <x:v>Candidate surface form is directly representable in the public Ngram interface. Complete 1842–2022 unsmoothed series reused from the audited quantitative-v0.1 baseline.</x:v>
      </x:c>
      <x:c r="V126" s="31" t="str">
        <x:v>NO_STANDALONE_HEADWORD</x:v>
      </x:c>
      <x:c r="W126" s="31" t="str">
        <x:v>Component lexical analysis plus anchor-source contextual meaning</x:v>
      </x:c>
      <x:c r="X126" s="31" t="str">
        <x:v>A threat, risk, harm, severity, or consequence sense in the documented source; it is not automatically an emotion.</x:v>
      </x:c>
      <x:c r="Y126" s="31" t="str">
        <x:v>Modern climate change as an anthropogenic scientific, public, or governance problem; the candidate is interpreted in its documented anchor and voice context.</x:v>
      </x:c>
      <x:c r="Z126" s="31" t="str">
        <x:v>STRONG</x:v>
      </x:c>
      <x:c r="AA126" s="19" t="str">
        <x:v>The surface form may realize multiple senses; candidate meaning remains anchored to the report-visible source context.</x:v>
      </x:c>
      <x:c r="AB126"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https://api.dictionaryapi.dev/api/v2/entries/en/threat%20of%20climate%20change; https://websters1913.timcieplowski.com/word/change/</x:v>
      </x:c>
      <x:c r="AC126" s="31" t="str">
        <x:v>INTERNET_ARCHIVE_METADATA_TEXT_ITEM_COUNT</x:v>
      </x:c>
      <x:c r="AD126" s="19" t="str">
        <x:v>"threat of climate change" AND mediatype:texts</x:v>
      </x:c>
      <x:c r="AE126" s="31" t="str">
        <x:v>EXACT_PHRASE</x:v>
      </x:c>
      <x:c r="AF126" s="31" t="str">
        <x:v>COMPLETED_NONZERO</x:v>
      </x:c>
      <x:c r="AG126" s="25" t="n">
        <x:v>42</x:v>
      </x:c>
      <x:c r="AH126" s="25" t="n">
        <x:v>3</x:v>
      </x:c>
      <x:c r="AI126" s="19" t="str">
        <x:v>2026-08-26</x:v>
      </x:c>
      <x:c r="AJ126" s="31" t="str">
        <x:v>Metadata text-item count; not a full-text lexical frequency. Secondary metric: NOT_RUN_OPENALEX_DAILY_BUDGET_EXHAUSTED: shared provider response retained; no count fabricated.</x:v>
      </x:c>
      <x:c r="AK126" s="31" t="str">
        <x:v>FULLY_COVERED</x:v>
      </x:c>
      <x:c r="AL126" s="19" t="str">
        <x:v>PENDING_SOURCE_REVIEW</x:v>
      </x:c>
      <x:c r="AM126" s="20" t="str">
        <x:v>MEDIUM</x:v>
      </x:c>
    </x:row>
    <x:row r="127" ht="34" customHeight="1">
      <x:c r="A127" s="40" t="str">
        <x:v>FT-SEED-R1B-P-2015-03</x:v>
      </x:c>
      <x:c r="B127" s="19" t="str">
        <x:v>2015</x:v>
      </x:c>
      <x:c r="C127" s="25" t="n">
        <x:v>3</x:v>
      </x:c>
      <x:c r="D127" s="31" t="str">
        <x:v>global average temperature</x:v>
      </x:c>
      <x:c r="E127" s="31" t="str">
        <x:v>global aggregate temperature</x:v>
      </x:c>
      <x:c r="F127" s="31" t="str">
        <x:v>temperature_threshold</x:v>
      </x:c>
      <x:c r="G127" s="19" t="str">
        <x:v>A</x:v>
      </x:c>
      <x:c r="H127" s="19" t="str">
        <x:v>V2</x:v>
      </x:c>
      <x:c r="I127" s="19" t="str">
        <x:v>NOT_EXPOSED_IN_REPORT</x:v>
      </x:c>
      <x:c r="J127" s="31" t="str">
        <x:v>S2015-PARIS</x:v>
      </x:c>
      <x:c r="K127" s="31" t="str">
        <x:v>RECONSTRUCTED_FROM_REPORT; Fear of Temperature_ Stratified Lexical Expansion, Voice Mapping, and Semantic-Relational Pre-Valida.pdf; p.11; project candidate FT-SEED-R1B-P-2015-03; original visible ID not available</x:v>
      </x:c>
      <x:c r="L127" s="31" t="str">
        <x:v>SUCCEEDED_REUSED_BASELINE</x:v>
      </x:c>
      <x:c r="M127" s="31" t="str">
        <x:v>global average temperature</x:v>
      </x:c>
      <x:c r="N127" s="31" t="str">
        <x:v>EXACT</x:v>
      </x:c>
      <x:c r="O127" s="19" t="str">
        <x:v>1869</x:v>
      </x:c>
      <x:c r="P127" s="19" t="str">
        <x:v>2022</x:v>
      </x:c>
      <x:c r="Q127" s="46" t="n">
        <x:v>7.577234045763603e-8</x:v>
      </x:c>
      <x:c r="R127" s="46" t="n">
        <x:v>4.038937463646253e-8</x:v>
      </x:c>
      <x:c r="S127" s="46" t="n">
        <x:v>4.3346591080406505e-8</x:v>
      </x:c>
      <x:c r="T127" s="46" t="n">
        <x:v>7.577234045763603e-8</x:v>
      </x:c>
      <x:c r="U127" s="31" t="str">
        <x:v>Candidate surface form is directly representable in the public Ngram interface. Complete 1842–2022 unsmoothed series reused from the audited quantitative-v0.1 baseline.</x:v>
      </x:c>
      <x:c r="V127" s="31" t="str">
        <x:v>TECHNICAL_GLOSSARY</x:v>
      </x:c>
      <x:c r="W127" s="31" t="str">
        <x:v>IPCC climate-science glossary / assessment terminology</x:v>
      </x:c>
      <x:c r="X127" s="31" t="str">
        <x:v>A physical temperature, warming, heat, or measurement sense in the documented anchor context.</x:v>
      </x:c>
      <x:c r="Y127" s="31" t="str">
        <x:v>A global-scale aggregate temperature metric; the candidate is interpreted in its documented anchor and voice context.</x:v>
      </x:c>
      <x:c r="Z127" s="31" t="str">
        <x:v>STRONG</x:v>
      </x:c>
      <x:c r="AA127" s="19" t="str">
        <x:v>The surface form may realize multiple senses; candidate meaning remains anchored to the report-visible source context.</x:v>
      </x:c>
      <x:c r="AB127"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https://api.dictionaryapi.dev/api/v2/entries/en/global%20average%20temperature; https://websters1913.timcieplowski.com/word/temperature/</x:v>
      </x:c>
      <x:c r="AC127" s="31" t="str">
        <x:v>INTERNET_ARCHIVE_METADATA_TEXT_ITEM_COUNT</x:v>
      </x:c>
      <x:c r="AD127" s="19" t="str">
        <x:v>"global average temperature" AND mediatype:texts</x:v>
      </x:c>
      <x:c r="AE127" s="31" t="str">
        <x:v>EXACT_PHRASE</x:v>
      </x:c>
      <x:c r="AF127" s="31" t="str">
        <x:v>COMPLETED_NONZERO</x:v>
      </x:c>
      <x:c r="AG127" s="25" t="n">
        <x:v>25</x:v>
      </x:c>
      <x:c r="AH127" s="25" t="n">
        <x:v>2</x:v>
      </x:c>
      <x:c r="AI127" s="19" t="str">
        <x:v>2026-08-26</x:v>
      </x:c>
      <x:c r="AJ127" s="31" t="str">
        <x:v>Metadata text-item count; not a full-text lexical frequency. Secondary metric: NOT_RUN_OPENALEX_DAILY_BUDGET_EXHAUSTED: shared provider response retained; no count fabricated.</x:v>
      </x:c>
      <x:c r="AK127" s="31" t="str">
        <x:v>FULLY_COVERED</x:v>
      </x:c>
      <x:c r="AL127" s="19" t="str">
        <x:v>PENDING_SOURCE_REVIEW</x:v>
      </x:c>
      <x:c r="AM127" s="20" t="str">
        <x:v>MEDIUM</x:v>
      </x:c>
    </x:row>
    <x:row r="128" ht="34" customHeight="1">
      <x:c r="A128" s="40" t="str">
        <x:v>FT-SEED-R1B-P-2015-04</x:v>
      </x:c>
      <x:c r="B128" s="19" t="str">
        <x:v>2015</x:v>
      </x:c>
      <x:c r="C128" s="25" t="n">
        <x:v>4</x:v>
      </x:c>
      <x:c r="D128" s="31" t="str">
        <x:v>well below 2°C above pre-industrial levels</x:v>
      </x:c>
      <x:c r="E128" s="31" t="str">
        <x:v>2°C threshold</x:v>
      </x:c>
      <x:c r="F128" s="31" t="str">
        <x:v>temperature_threshold</x:v>
      </x:c>
      <x:c r="G128" s="19" t="str">
        <x:v>A</x:v>
      </x:c>
      <x:c r="H128" s="19" t="str">
        <x:v>V2</x:v>
      </x:c>
      <x:c r="I128" s="19" t="str">
        <x:v>NOT_EXPOSED_IN_REPORT</x:v>
      </x:c>
      <x:c r="J128" s="31" t="str">
        <x:v>S2015-PARIS</x:v>
      </x:c>
      <x:c r="K128" s="31" t="str">
        <x:v>RECONSTRUCTED_FROM_REPORT; Fear of Temperature_ Stratified Lexical Expansion, Voice Mapping, and Semantic-Relational Pre-Valida.pdf; p.11; project candidate FT-SEED-R1B-P-2015-04; original visible ID not available</x:v>
      </x:c>
      <x:c r="L128" s="31" t="str">
        <x:v>ZERO_RESPONSE_NEW</x:v>
      </x:c>
      <x:c r="M128" s="31" t="str">
        <x:v>well below two degrees above pre-industrial levels</x:v>
      </x:c>
      <x:c r="N128" s="31" t="str">
        <x:v>VALIDATED_ALIAS</x:v>
      </x:c>
      <x:c r="O128" s="19" t="str">
        <x:v>NOT_APPLICABLE</x:v>
      </x:c>
      <x:c r="P128" s="19" t="str">
        <x:v>NOT_APPLICABLE</x:v>
      </x:c>
      <x:c r="Q128" s="46" t="str">
        <x:v>NOT_APPLICABLE</x:v>
      </x:c>
      <x:c r="R128" s="46" t="str">
        <x:v>NOT_APPLICABLE</x:v>
      </x:c>
      <x:c r="S128" s="46" t="str">
        <x:v>NOT_APPLICABLE</x:v>
      </x:c>
      <x:c r="T128" s="46" t="str">
        <x:v>NOT_APPLICABLE</x:v>
      </x:c>
      <x:c r="U128" s="31" t="str">
        <x:v>The symbolic temperature is verbalized for the Ngram interface without changing the treaty threshold relation. The public Ngram endpoint returned an empty list; retained without fabricating annual zero frequencies.</x:v>
      </x:c>
      <x:c r="V128" s="31" t="str">
        <x:v>TECHNICAL_GLOSSARY</x:v>
      </x:c>
      <x:c r="W128" s="31" t="str">
        <x:v>IPCC climate-science glossary / assessment terminology</x:v>
      </x:c>
      <x:c r="X128" s="31" t="str">
        <x:v>A treaty governance threshold relating global average temperature increase to a pre-industrial reference level.</x:v>
      </x:c>
      <x:c r="Y128" s="31" t="str">
        <x:v>A governed two-degree temperature limit or threshold; the candidate is interpreted in its documented anchor and voice context.</x:v>
      </x:c>
      <x:c r="Z128" s="31" t="str">
        <x:v>STRONG</x:v>
      </x:c>
      <x:c r="AA128" s="19" t="str">
        <x:v>The numeric threshold is a policy-governance object, not experienced local temperature.</x:v>
      </x:c>
      <x:c r="AB128"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https://api.dictionaryapi.dev/api/v2/entries/en/well%20below%202%C2%B0C%20above%20pre-industrial%20levels; https://websters1913.timcieplowski.com/word/levels/</x:v>
      </x:c>
      <x:c r="AC128" s="31" t="str">
        <x:v>INTERNET_ARCHIVE_METADATA_TEXT_ITEM_COUNT</x:v>
      </x:c>
      <x:c r="AD128" s="19" t="str">
        <x:v>"well below 2°C above pre-industrial levels" AND mediatype:texts</x:v>
      </x:c>
      <x:c r="AE128" s="31" t="str">
        <x:v>EXACT_PHRASE</x:v>
      </x:c>
      <x:c r="AF128" s="31" t="str">
        <x:v>COMPLETED_NONZERO</x:v>
      </x:c>
      <x:c r="AG128" s="25" t="n">
        <x:v>2</x:v>
      </x:c>
      <x:c r="AH128" s="25" t="n">
        <x:v>1</x:v>
      </x:c>
      <x:c r="AI128" s="19" t="str">
        <x:v>2026-08-26</x:v>
      </x:c>
      <x:c r="AJ128" s="31" t="str">
        <x:v>Metadata text-item count; not a full-text lexical frequency. Secondary metric: NOT_RUN_OPENALEX_DAILY_BUDGET_EXHAUSTED: shared provider response retained; no count fabricated.</x:v>
      </x:c>
      <x:c r="AK128" s="31" t="str">
        <x:v>FULLY_ACCOUNTED_WITH_NGRAM_ALIAS</x:v>
      </x:c>
      <x:c r="AL128" s="19" t="str">
        <x:v>PENDING_SOURCE_REVIEW</x:v>
      </x:c>
      <x:c r="AM128" s="20" t="str">
        <x:v>MEDIUM</x:v>
      </x:c>
    </x:row>
    <x:row r="129" ht="34" customHeight="1">
      <x:c r="A129" s="40" t="str">
        <x:v>FT-SEED-R1B-P-2015-05</x:v>
      </x:c>
      <x:c r="B129" s="19" t="str">
        <x:v>2015</x:v>
      </x:c>
      <x:c r="C129" s="25" t="n">
        <x:v>5</x:v>
      </x:c>
      <x:c r="D129" s="31" t="str">
        <x:v>1.5°C above pre-industrial levels</x:v>
      </x:c>
      <x:c r="E129" s="31" t="str">
        <x:v>1.5°C threshold</x:v>
      </x:c>
      <x:c r="F129" s="31" t="str">
        <x:v>temperature_threshold</x:v>
      </x:c>
      <x:c r="G129" s="19" t="str">
        <x:v>A</x:v>
      </x:c>
      <x:c r="H129" s="19" t="str">
        <x:v>V2</x:v>
      </x:c>
      <x:c r="I129" s="19" t="str">
        <x:v>NOT_EXPOSED_IN_REPORT</x:v>
      </x:c>
      <x:c r="J129" s="31" t="str">
        <x:v>S2015-PARIS</x:v>
      </x:c>
      <x:c r="K129" s="31" t="str">
        <x:v>RECONSTRUCTED_FROM_REPORT; Fear of Temperature_ Stratified Lexical Expansion, Voice Mapping, and Semantic-Relational Pre-Valida.pdf; p.11; project candidate FT-SEED-R1B-P-2015-05; original visible ID not available</x:v>
      </x:c>
      <x:c r="L129" s="31" t="str">
        <x:v>ZERO_RESPONSE_NEW</x:v>
      </x:c>
      <x:c r="M129" s="31" t="str">
        <x:v>one point five degrees above pre-industrial levels</x:v>
      </x:c>
      <x:c r="N129" s="31" t="str">
        <x:v>VALIDATED_ALIAS</x:v>
      </x:c>
      <x:c r="O129" s="19" t="str">
        <x:v>NOT_APPLICABLE</x:v>
      </x:c>
      <x:c r="P129" s="19" t="str">
        <x:v>NOT_APPLICABLE</x:v>
      </x:c>
      <x:c r="Q129" s="46" t="str">
        <x:v>NOT_APPLICABLE</x:v>
      </x:c>
      <x:c r="R129" s="46" t="str">
        <x:v>NOT_APPLICABLE</x:v>
      </x:c>
      <x:c r="S129" s="46" t="str">
        <x:v>NOT_APPLICABLE</x:v>
      </x:c>
      <x:c r="T129" s="46" t="str">
        <x:v>NOT_APPLICABLE</x:v>
      </x:c>
      <x:c r="U129" s="31" t="str">
        <x:v>The decimal degree notation is verbalized for the Ngram interface without changing the treaty threshold relation. The public Ngram endpoint returned an empty list; retained without fabricating annual zero frequencies.</x:v>
      </x:c>
      <x:c r="V129" s="31" t="str">
        <x:v>TECHNICAL_GLOSSARY</x:v>
      </x:c>
      <x:c r="W129" s="31" t="str">
        <x:v>IPCC climate-science glossary / assessment terminology</x:v>
      </x:c>
      <x:c r="X129" s="31" t="str">
        <x:v>A treaty governance threshold relating global average temperature increase to a pre-industrial reference level.</x:v>
      </x:c>
      <x:c r="Y129" s="31" t="str">
        <x:v>A governed one-and-a-half-degree temperature limit or threshold; the candidate is interpreted in its documented anchor and voice context.</x:v>
      </x:c>
      <x:c r="Z129" s="31" t="str">
        <x:v>STRONG</x:v>
      </x:c>
      <x:c r="AA129" s="19" t="str">
        <x:v>The numeric threshold is a policy-governance object, not experienced local temperature.</x:v>
      </x:c>
      <x:c r="AB129"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https://api.dictionaryapi.dev/api/v2/entries/en/1.5%C2%B0C%20above%20pre-industrial%20levels; https://websters1913.timcieplowski.com/word/levels/</x:v>
      </x:c>
      <x:c r="AC129" s="31" t="str">
        <x:v>INTERNET_ARCHIVE_METADATA_TEXT_ITEM_COUNT</x:v>
      </x:c>
      <x:c r="AD129" s="19" t="str">
        <x:v>"1.5°C above pre-industrial levels" AND mediatype:texts</x:v>
      </x:c>
      <x:c r="AE129" s="31" t="str">
        <x:v>EXACT_PHRASE</x:v>
      </x:c>
      <x:c r="AF129" s="31" t="str">
        <x:v>COMPLETED_NONZERO</x:v>
      </x:c>
      <x:c r="AG129" s="25" t="n">
        <x:v>3</x:v>
      </x:c>
      <x:c r="AH129" s="25" t="n">
        <x:v>1</x:v>
      </x:c>
      <x:c r="AI129" s="19" t="str">
        <x:v>2026-08-26</x:v>
      </x:c>
      <x:c r="AJ129" s="31" t="str">
        <x:v>Metadata text-item count; not a full-text lexical frequency. Secondary metric: Scholarly work discoverability count over OpenAlex search fields; not a corpus word frequency.</x:v>
      </x:c>
      <x:c r="AK129" s="31" t="str">
        <x:v>FULLY_ACCOUNTED_WITH_NGRAM_ALIAS</x:v>
      </x:c>
      <x:c r="AL129" s="19" t="str">
        <x:v>PENDING_SOURCE_REVIEW</x:v>
      </x:c>
      <x:c r="AM129" s="20" t="str">
        <x:v>MEDIUM</x:v>
      </x:c>
    </x:row>
    <x:row r="130" ht="34" customHeight="1">
      <x:c r="A130" s="40" t="str">
        <x:v>FT-SEED-R1B-P-2015-06</x:v>
      </x:c>
      <x:c r="B130" s="19" t="str">
        <x:v>2015</x:v>
      </x:c>
      <x:c r="C130" s="25" t="n">
        <x:v>6</x:v>
      </x:c>
      <x:c r="D130" s="31" t="str">
        <x:v>pre-industrial levels</x:v>
      </x:c>
      <x:c r="E130" s="31" t="str">
        <x:v>historical climate / climatological condition</x:v>
      </x:c>
      <x:c r="F130" s="31" t="str">
        <x:v>climate</x:v>
      </x:c>
      <x:c r="G130" s="19" t="str">
        <x:v>B</x:v>
      </x:c>
      <x:c r="H130" s="19" t="str">
        <x:v>V2</x:v>
      </x:c>
      <x:c r="I130" s="19" t="str">
        <x:v>NOT_EXPOSED_IN_REPORT</x:v>
      </x:c>
      <x:c r="J130" s="31" t="str">
        <x:v>S2015-PARIS</x:v>
      </x:c>
      <x:c r="K130" s="31" t="str">
        <x:v>RECONSTRUCTED_FROM_REPORT; Fear of Temperature_ Stratified Lexical Expansion, Voice Mapping, and Semantic-Relational Pre-Valida.pdf; p.11; project candidate FT-SEED-R1B-P-2015-06; original visible ID not available</x:v>
      </x:c>
      <x:c r="L130" s="31" t="str">
        <x:v>SUCCEEDED_REUSED_BASELINE</x:v>
      </x:c>
      <x:c r="M130" s="31" t="str">
        <x:v>pre-industrial levels</x:v>
      </x:c>
      <x:c r="N130" s="31" t="str">
        <x:v>EXACT</x:v>
      </x:c>
      <x:c r="O130" s="19" t="str">
        <x:v>1843</x:v>
      </x:c>
      <x:c r="P130" s="19" t="str">
        <x:v>2022</x:v>
      </x:c>
      <x:c r="Q130" s="46" t="n">
        <x:v>1.564491737549023e-7</x:v>
      </x:c>
      <x:c r="R130" s="46" t="n">
        <x:v>3.183085471591962e-8</x:v>
      </x:c>
      <x:c r="S130" s="46" t="n">
        <x:v>3.5058934146995714e-8</x:v>
      </x:c>
      <x:c r="T130" s="46" t="n">
        <x:v>1.564491737549023e-7</x:v>
      </x:c>
      <x:c r="U130" s="31" t="str">
        <x:v>Candidate surface form is directly representable in the public Ngram interface. Complete 1842–2022 unsmoothed series reused from the audited quantitative-v0.1 baseline.</x:v>
      </x:c>
      <x:c r="V130" s="31" t="str">
        <x:v>TECHNICAL_GLOSSARY</x:v>
      </x:c>
      <x:c r="W130" s="31" t="str">
        <x:v>IPCC climate-science glossary / assessment terminology</x:v>
      </x:c>
      <x:c r="X130" s="31" t="str">
        <x:v>A climatic, atmospheric, meteorological, or causal-science sense in the documented anchor context.</x:v>
      </x:c>
      <x:c r="Y130" s="31" t="str">
        <x:v>A historical reference baseline preceding large-scale industrial-era human influence, operationalized by the relevant climate agreement or assessment.</x:v>
      </x:c>
      <x:c r="Z130" s="31" t="str">
        <x:v>STRONG</x:v>
      </x:c>
      <x:c r="AA130" s="19" t="str">
        <x:v>The surface form may realize multiple senses; candidate meaning remains anchored to the report-visible source context.</x:v>
      </x:c>
      <x:c r="AB130"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https://api.dictionaryapi.dev/api/v2/entries/en/pre-industrial%20levels; https://websters1913.timcieplowski.com/word/levels/</x:v>
      </x:c>
      <x:c r="AC130" s="31" t="str">
        <x:v>INTERNET_ARCHIVE_METADATA_TEXT_ITEM_COUNT</x:v>
      </x:c>
      <x:c r="AD130" s="19" t="str">
        <x:v>"pre-industrial levels" AND mediatype:texts</x:v>
      </x:c>
      <x:c r="AE130" s="31" t="str">
        <x:v>EXACT_PHRASE</x:v>
      </x:c>
      <x:c r="AF130" s="31" t="str">
        <x:v>COMPLETED_NONZERO</x:v>
      </x:c>
      <x:c r="AG130" s="25" t="n">
        <x:v>30</x:v>
      </x:c>
      <x:c r="AH130" s="25" t="n">
        <x:v>1</x:v>
      </x:c>
      <x:c r="AI130" s="19" t="str">
        <x:v>2026-08-26</x:v>
      </x:c>
      <x:c r="AJ130" s="31" t="str">
        <x:v>Metadata text-item count; not a full-text lexical frequency. Secondary metric: NOT_RUN_OPENALEX_DAILY_BUDGET_EXHAUSTED: shared provider response retained; no count fabricated.</x:v>
      </x:c>
      <x:c r="AK130" s="31" t="str">
        <x:v>FULLY_COVERED</x:v>
      </x:c>
      <x:c r="AL130" s="19" t="str">
        <x:v>PENDING_SOURCE_REVIEW</x:v>
      </x:c>
      <x:c r="AM130" s="20" t="str">
        <x:v>MEDIUM</x:v>
      </x:c>
    </x:row>
    <x:row r="131" ht="34" customHeight="1">
      <x:c r="A131" s="40" t="str">
        <x:v>FT-SEED-R1B-P-2015-07</x:v>
      </x:c>
      <x:c r="B131" s="19" t="str">
        <x:v>2015</x:v>
      </x:c>
      <x:c r="C131" s="25" t="n">
        <x:v>7</x:v>
      </x:c>
      <x:c r="D131" s="31" t="str">
        <x:v>risks and impacts</x:v>
      </x:c>
      <x:c r="E131" s="31" t="str">
        <x:v>administrative risk assessment</x:v>
      </x:c>
      <x:c r="F131" s="31" t="str">
        <x:v>risk</x:v>
      </x:c>
      <x:c r="G131" s="19" t="str">
        <x:v>D</x:v>
      </x:c>
      <x:c r="H131" s="19" t="str">
        <x:v>V2</x:v>
      </x:c>
      <x:c r="I131" s="19" t="str">
        <x:v>NOT_EXPOSED_IN_REPORT</x:v>
      </x:c>
      <x:c r="J131" s="31" t="str">
        <x:v>S2015-PARIS</x:v>
      </x:c>
      <x:c r="K131" s="31" t="str">
        <x:v>RECONSTRUCTED_FROM_REPORT; Fear of Temperature_ Stratified Lexical Expansion, Voice Mapping, and Semantic-Relational Pre-Valida.pdf; p.11; project candidate FT-SEED-R1B-P-2015-07; original visible ID not available</x:v>
      </x:c>
      <x:c r="L131" s="31" t="str">
        <x:v>SUCCEEDED_REUSED_BASELINE</x:v>
      </x:c>
      <x:c r="M131" s="31" t="str">
        <x:v>risks and impacts</x:v>
      </x:c>
      <x:c r="N131" s="31" t="str">
        <x:v>EXACT</x:v>
      </x:c>
      <x:c r="O131" s="19" t="str">
        <x:v>1901</x:v>
      </x:c>
      <x:c r="P131" s="19" t="str">
        <x:v>2022</x:v>
      </x:c>
      <x:c r="Q131" s="46" t="n">
        <x:v>4.441337393690237e-8</x:v>
      </x:c>
      <x:c r="R131" s="46" t="n">
        <x:v>1.904498948129829e-8</x:v>
      </x:c>
      <x:c r="S131" s="46" t="n">
        <x:v>1.882378900322501e-8</x:v>
      </x:c>
      <x:c r="T131" s="46" t="n">
        <x:v>4.441337393690237e-8</x:v>
      </x:c>
      <x:c r="U131" s="31" t="str">
        <x:v>Candidate surface form is directly representable in the public Ngram interface. Complete 1842–2022 unsmoothed series reused from the audited quantitative-v0.1 baseline.</x:v>
      </x:c>
      <x:c r="V131" s="31" t="str">
        <x:v>NO_STANDALONE_HEADWORD</x:v>
      </x:c>
      <x:c r="W131" s="31" t="str">
        <x:v>Component lexical analysis plus anchor-source contextual meaning</x:v>
      </x:c>
      <x:c r="X131" s="31" t="str">
        <x:v>A threat, risk, harm, severity, or consequence sense in the documented source; it is not automatically an emotion.</x:v>
      </x:c>
      <x:c r="Y131" s="31" t="str">
        <x:v>Risk managed or assessed through institutional procedure; the candidate is interpreted in its documented anchor and voice context.</x:v>
      </x:c>
      <x:c r="Z131" s="31" t="str">
        <x:v>STRONG</x:v>
      </x:c>
      <x:c r="AA131" s="19" t="str">
        <x:v>The surface form may realize multiple senses; candidate meaning remains anchored to the report-visible source context.</x:v>
      </x:c>
      <x:c r="AB13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https://api.dictionaryapi.dev/api/v2/entries/en/risks%20and%20impacts; https://websters1913.timcieplowski.com/word/impacts/</x:v>
      </x:c>
      <x:c r="AC131" s="31" t="str">
        <x:v>INTERNET_ARCHIVE_METADATA_TEXT_ITEM_COUNT</x:v>
      </x:c>
      <x:c r="AD131" s="19" t="str">
        <x:v>"risks and impacts" AND mediatype:texts</x:v>
      </x:c>
      <x:c r="AE131" s="31" t="str">
        <x:v>EXACT_PHRASE</x:v>
      </x:c>
      <x:c r="AF131" s="31" t="str">
        <x:v>COMPLETED_NONZERO</x:v>
      </x:c>
      <x:c r="AG131" s="25" t="n">
        <x:v>27</x:v>
      </x:c>
      <x:c r="AH131" s="25" t="n">
        <x:v>3</x:v>
      </x:c>
      <x:c r="AI131" s="19" t="str">
        <x:v>2026-08-26</x:v>
      </x:c>
      <x:c r="AJ131" s="31" t="str">
        <x:v>Metadata text-item count; not a full-text lexical frequency. Secondary metric: NOT_RUN_OPENALEX_DAILY_BUDGET_EXHAUSTED: shared provider response retained; no count fabricated.</x:v>
      </x:c>
      <x:c r="AK131" s="31" t="str">
        <x:v>FULLY_COVERED</x:v>
      </x:c>
      <x:c r="AL131" s="19" t="str">
        <x:v>PENDING_SOURCE_REVIEW</x:v>
      </x:c>
      <x:c r="AM131" s="20" t="str">
        <x:v>MEDIUM</x:v>
      </x:c>
    </x:row>
    <x:row r="132" ht="34" customHeight="1">
      <x:c r="A132" s="40" t="str">
        <x:v>FT-SEED-R1B-P-2015-08</x:v>
      </x:c>
      <x:c r="B132" s="19" t="str">
        <x:v>2015</x:v>
      </x:c>
      <x:c r="C132" s="25" t="n">
        <x:v>8</x:v>
      </x:c>
      <x:c r="D132" s="31" t="str">
        <x:v>adverse impacts</x:v>
      </x:c>
      <x:c r="E132" s="31" t="str">
        <x:v>generic damage</x:v>
      </x:c>
      <x:c r="F132" s="31" t="str">
        <x:v>harm_loss_consequences</x:v>
      </x:c>
      <x:c r="G132" s="19" t="str">
        <x:v>D</x:v>
      </x:c>
      <x:c r="H132" s="19" t="str">
        <x:v>V2</x:v>
      </x:c>
      <x:c r="I132" s="19" t="str">
        <x:v>NOT_EXPOSED_IN_REPORT</x:v>
      </x:c>
      <x:c r="J132" s="31" t="str">
        <x:v>S2015-PARIS</x:v>
      </x:c>
      <x:c r="K132" s="31" t="str">
        <x:v>RECONSTRUCTED_FROM_REPORT; Fear of Temperature_ Stratified Lexical Expansion, Voice Mapping, and Semantic-Relational Pre-Valida.pdf; p.11; project candidate FT-SEED-R1B-P-2015-08; original visible ID not available</x:v>
      </x:c>
      <x:c r="L132" s="31" t="str">
        <x:v>SUCCEEDED_REUSED_BASELINE</x:v>
      </x:c>
      <x:c r="M132" s="31" t="str">
        <x:v>adverse impacts</x:v>
      </x:c>
      <x:c r="N132" s="31" t="str">
        <x:v>EXACT</x:v>
      </x:c>
      <x:c r="O132" s="19" t="str">
        <x:v>1847</x:v>
      </x:c>
      <x:c r="P132" s="19" t="str">
        <x:v>2008</x:v>
      </x:c>
      <x:c r="Q132" s="46" t="n">
        <x:v>0.0000012637095669620901</x:v>
      </x:c>
      <x:c r="R132" s="46" t="n">
        <x:v>2.372477044543242e-7</x:v>
      </x:c>
      <x:c r="S132" s="46" t="n">
        <x:v>2.6210660234819255e-7</x:v>
      </x:c>
      <x:c r="T132" s="46" t="n">
        <x:v>3.1348365897576613e-7</x:v>
      </x:c>
      <x:c r="U132" s="31" t="str">
        <x:v>Candidate surface form is directly representable in the public Ngram interface. Complete 1842–2022 unsmoothed series reused from the audited quantitative-v0.1 baseline.</x:v>
      </x:c>
      <x:c r="V132" s="31" t="str">
        <x:v>NO_STANDALONE_HEADWORD</x:v>
      </x:c>
      <x:c r="W132" s="31" t="str">
        <x:v>Component lexical analysis plus anchor-source contextual meaning</x:v>
      </x:c>
      <x:c r="X132" s="31" t="str">
        <x:v>A threat, risk, harm, severity, or consequence sense in the documented source; it is not automatically an emotion.</x:v>
      </x:c>
      <x:c r="Y132" s="31" t="str">
        <x:v>Generic material, ecological, or social damage; the candidate is interpreted in its documented anchor and voice context.</x:v>
      </x:c>
      <x:c r="Z132" s="31" t="str">
        <x:v>STRONG</x:v>
      </x:c>
      <x:c r="AA132" s="19" t="str">
        <x:v>The surface form may realize multiple senses; candidate meaning remains anchored to the report-visible source context.</x:v>
      </x:c>
      <x:c r="AB132"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https://api.dictionaryapi.dev/api/v2/entries/en/adverse%20impacts; https://websters1913.timcieplowski.com/word/impacts/</x:v>
      </x:c>
      <x:c r="AC132" s="31" t="str">
        <x:v>INTERNET_ARCHIVE_METADATA_TEXT_ITEM_COUNT</x:v>
      </x:c>
      <x:c r="AD132" s="19" t="str">
        <x:v>"adverse impacts" AND mediatype:texts</x:v>
      </x:c>
      <x:c r="AE132" s="31" t="str">
        <x:v>EXACT_PHRASE</x:v>
      </x:c>
      <x:c r="AF132" s="31" t="str">
        <x:v>COMPLETED_NONZERO</x:v>
      </x:c>
      <x:c r="AG132" s="25" t="n">
        <x:v>442</x:v>
      </x:c>
      <x:c r="AH132" s="25" t="n">
        <x:v>25</x:v>
      </x:c>
      <x:c r="AI132" s="19" t="str">
        <x:v>2026-08-26</x:v>
      </x:c>
      <x:c r="AJ132" s="31" t="str">
        <x:v>Metadata text-item count; not a full-text lexical frequency. Secondary metric: Scholarly work discoverability count over OpenAlex search fields; not a corpus word frequency.</x:v>
      </x:c>
      <x:c r="AK132" s="31" t="str">
        <x:v>FULLY_COVERED</x:v>
      </x:c>
      <x:c r="AL132" s="19" t="str">
        <x:v>PENDING_SOURCE_REVIEW</x:v>
      </x:c>
      <x:c r="AM132" s="20" t="str">
        <x:v>MEDIUM</x:v>
      </x:c>
    </x:row>
    <x:row r="133" ht="34" customHeight="1">
      <x:c r="A133" s="40" t="str">
        <x:v>FT-SEED-R1B-P-2015-09</x:v>
      </x:c>
      <x:c r="B133" s="19" t="str">
        <x:v>2015</x:v>
      </x:c>
      <x:c r="C133" s="25" t="n">
        <x:v>9</x:v>
      </x:c>
      <x:c r="D133" s="31" t="str">
        <x:v>adverse effects of climate change</x:v>
      </x:c>
      <x:c r="E133" s="31" t="str">
        <x:v>modern climate change</x:v>
      </x:c>
      <x:c r="F133" s="31" t="str">
        <x:v>climate</x:v>
      </x:c>
      <x:c r="G133" s="19" t="str">
        <x:v>D</x:v>
      </x:c>
      <x:c r="H133" s="19" t="str">
        <x:v>V2</x:v>
      </x:c>
      <x:c r="I133" s="19" t="str">
        <x:v>NOT_EXPOSED_IN_REPORT</x:v>
      </x:c>
      <x:c r="J133" s="31" t="str">
        <x:v>S2015-PARIS</x:v>
      </x:c>
      <x:c r="K133" s="31" t="str">
        <x:v>RECONSTRUCTED_FROM_REPORT; Fear of Temperature_ Stratified Lexical Expansion, Voice Mapping, and Semantic-Relational Pre-Valida.pdf; p.11; project candidate FT-SEED-R1B-P-2015-09; original visible ID not available</x:v>
      </x:c>
      <x:c r="L133" s="31" t="str">
        <x:v>SUCCEEDED_REUSED_BASELINE</x:v>
      </x:c>
      <x:c r="M133" s="31" t="str">
        <x:v>adverse effects of climate change</x:v>
      </x:c>
      <x:c r="N133" s="31" t="str">
        <x:v>EXACT</x:v>
      </x:c>
      <x:c r="O133" s="19" t="str">
        <x:v>1901</x:v>
      </x:c>
      <x:c r="P133" s="19" t="str">
        <x:v>2021</x:v>
      </x:c>
      <x:c r="Q133" s="46" t="n">
        <x:v>6.824104539782105e-8</x:v>
      </x:c>
      <x:c r="R133" s="46" t="n">
        <x:v>3.449535698751838e-8</x:v>
      </x:c>
      <x:c r="S133" s="46" t="n">
        <x:v>3.321515398835295e-8</x:v>
      </x:c>
      <x:c r="T133" s="46" t="n">
        <x:v>6.007298156140983e-8</x:v>
      </x:c>
      <x:c r="U133" s="31" t="str">
        <x:v>Candidate surface form is directly representable in the public Ngram interface. Complete 1842–2022 unsmoothed series reused from the audited quantitative-v0.1 baseline.</x:v>
      </x:c>
      <x:c r="V133" s="31" t="str">
        <x:v>NO_STANDALONE_HEADWORD</x:v>
      </x:c>
      <x:c r="W133" s="31" t="str">
        <x:v>Component lexical analysis plus anchor-source contextual meaning</x:v>
      </x:c>
      <x:c r="X133" s="31" t="str">
        <x:v>A threat, risk, harm, severity, or consequence sense in the documented source; it is not automatically an emotion.</x:v>
      </x:c>
      <x:c r="Y133" s="31" t="str">
        <x:v>Modern climate change as an anthropogenic scientific, public, or governance problem; the candidate is interpreted in its documented anchor and voice context.</x:v>
      </x:c>
      <x:c r="Z133" s="31" t="str">
        <x:v>STRONG</x:v>
      </x:c>
      <x:c r="AA133" s="19" t="str">
        <x:v>The surface form may realize multiple senses; candidate meaning remains anchored to the report-visible source context.</x:v>
      </x:c>
      <x:c r="AB133"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https://api.dictionaryapi.dev/api/v2/entries/en/adverse%20effects%20of%20climate%20change; https://websters1913.timcieplowski.com/word/change/</x:v>
      </x:c>
      <x:c r="AC133" s="31" t="str">
        <x:v>INTERNET_ARCHIVE_METADATA_TEXT_ITEM_COUNT</x:v>
      </x:c>
      <x:c r="AD133" s="19" t="str">
        <x:v>"adverse effects of climate change" AND mediatype:texts</x:v>
      </x:c>
      <x:c r="AE133" s="31" t="str">
        <x:v>EXACT_PHRASE</x:v>
      </x:c>
      <x:c r="AF133" s="31" t="str">
        <x:v>COMPLETED_NONZERO</x:v>
      </x:c>
      <x:c r="AG133" s="25" t="n">
        <x:v>41</x:v>
      </x:c>
      <x:c r="AH133" s="25" t="n">
        <x:v>1</x:v>
      </x:c>
      <x:c r="AI133" s="19" t="str">
        <x:v>2026-08-26</x:v>
      </x:c>
      <x:c r="AJ133" s="31" t="str">
        <x:v>Metadata text-item count; not a full-text lexical frequency. Secondary metric: Scholarly work discoverability count over OpenAlex search fields; not a corpus word frequency.</x:v>
      </x:c>
      <x:c r="AK133" s="31" t="str">
        <x:v>FULLY_COVERED</x:v>
      </x:c>
      <x:c r="AL133" s="19" t="str">
        <x:v>PENDING_SOURCE_REVIEW</x:v>
      </x:c>
      <x:c r="AM133" s="20" t="str">
        <x:v>MEDIUM</x:v>
      </x:c>
    </x:row>
    <x:row r="134" ht="34" customHeight="1">
      <x:c r="A134" s="40" t="str">
        <x:v>FT-SEED-R1B-P-2015-10</x:v>
      </x:c>
      <x:c r="B134" s="19" t="str">
        <x:v>2015</x:v>
      </x:c>
      <x:c r="C134" s="25" t="n">
        <x:v>10</x:v>
      </x:c>
      <x:c r="D134" s="31" t="str">
        <x:v>greenhouse gas emissions</x:v>
      </x:c>
      <x:c r="E134" s="31" t="str">
        <x:v>anthropogenic greenhouse-gas emissions</x:v>
      </x:c>
      <x:c r="F134" s="31" t="str">
        <x:v>carbon_greenhouse</x:v>
      </x:c>
      <x:c r="G134" s="19" t="str">
        <x:v>B</x:v>
      </x:c>
      <x:c r="H134" s="19" t="str">
        <x:v>V2</x:v>
      </x:c>
      <x:c r="I134" s="19" t="str">
        <x:v>NOT_EXPOSED_IN_REPORT</x:v>
      </x:c>
      <x:c r="J134" s="31" t="str">
        <x:v>S2015-PARIS</x:v>
      </x:c>
      <x:c r="K134" s="31" t="str">
        <x:v>RECONSTRUCTED_FROM_REPORT; Fear of Temperature_ Stratified Lexical Expansion, Voice Mapping, and Semantic-Relational Pre-Valida.pdf; p.11; project candidate FT-SEED-R1B-P-2015-10; original visible ID not available</x:v>
      </x:c>
      <x:c r="L134" s="31" t="str">
        <x:v>SUCCEEDED_REUSED_BASELINE</x:v>
      </x:c>
      <x:c r="M134" s="31" t="str">
        <x:v>greenhouse gas emissions</x:v>
      </x:c>
      <x:c r="N134" s="31" t="str">
        <x:v>EXACT</x:v>
      </x:c>
      <x:c r="O134" s="19" t="str">
        <x:v>1843</x:v>
      </x:c>
      <x:c r="P134" s="19" t="str">
        <x:v>2009</x:v>
      </x:c>
      <x:c r="Q134" s="46" t="n">
        <x:v>0.000002058088877550379</x:v>
      </x:c>
      <x:c r="R134" s="46" t="n">
        <x:v>0.0000012874613679464408</x:v>
      </x:c>
      <x:c r="S134" s="46" t="n">
        <x:v>0.0000012413949962905106</x:v>
      </x:c>
      <x:c r="T134" s="46" t="n">
        <x:v>0.0000016692617707675383</x:v>
      </x:c>
      <x:c r="U134" s="31" t="str">
        <x:v>Candidate surface form is directly representable in the public Ngram interface. Complete 1842–2022 unsmoothed series reused from the audited quantitative-v0.1 baseline.</x:v>
      </x:c>
      <x:c r="V134" s="31" t="str">
        <x:v>TECHNICAL_GLOSSARY</x:v>
      </x:c>
      <x:c r="W134" s="31" t="str">
        <x:v>IPCC climate-science glossary / assessment terminology</x:v>
      </x:c>
      <x:c r="X134" s="31" t="str">
        <x:v>A climatic, atmospheric, meteorological, or causal-science sense in the documented anchor context.</x:v>
      </x:c>
      <x:c r="Y134" s="31" t="str">
        <x:v>Releases of gases that contribute to the atmospheric greenhouse effect.</x:v>
      </x:c>
      <x:c r="Z134" s="31" t="str">
        <x:v>STRONG</x:v>
      </x:c>
      <x:c r="AA134" s="19" t="str">
        <x:v>The surface form may realize multiple senses; candidate meaning remains anchored to the report-visible source context.</x:v>
      </x:c>
      <x:c r="AB134"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https://api.dictionaryapi.dev/api/v2/entries/en/greenhouse%20gas%20emissions; https://websters1913.timcieplowski.com/word/emissions/</x:v>
      </x:c>
      <x:c r="AC134" s="31" t="str">
        <x:v>INTERNET_ARCHIVE_METADATA_TEXT_ITEM_COUNT</x:v>
      </x:c>
      <x:c r="AD134" s="19" t="str">
        <x:v>"greenhouse gas emissions" AND mediatype:texts</x:v>
      </x:c>
      <x:c r="AE134" s="31" t="str">
        <x:v>EXACT_PHRASE</x:v>
      </x:c>
      <x:c r="AF134" s="31" t="str">
        <x:v>COMPLETED_NONZERO</x:v>
      </x:c>
      <x:c r="AG134" s="25" t="n">
        <x:v>1078</x:v>
      </x:c>
      <x:c r="AH134" s="25" t="n">
        <x:v>102</x:v>
      </x:c>
      <x:c r="AI134" s="19" t="str">
        <x:v>2026-08-26</x:v>
      </x:c>
      <x:c r="AJ134" s="31" t="str">
        <x:v>Metadata text-item count; not a full-text lexical frequency. Secondary metric: NOT_RUN_OPENALEX_DAILY_BUDGET_EXHAUSTED: shared provider response retained; no count fabricated.</x:v>
      </x:c>
      <x:c r="AK134" s="31" t="str">
        <x:v>FULLY_COVERED</x:v>
      </x:c>
      <x:c r="AL134" s="19" t="str">
        <x:v>PENDING_SOURCE_REVIEW</x:v>
      </x:c>
      <x:c r="AM134" s="20" t="str">
        <x:v>MEDIUM</x:v>
      </x:c>
    </x:row>
    <x:row r="135" ht="34" customHeight="1">
      <x:c r="A135" s="40" t="str">
        <x:v>FT-SEED-R1B-P-2015-11</x:v>
      </x:c>
      <x:c r="B135" s="19" t="str">
        <x:v>2015</x:v>
      </x:c>
      <x:c r="C135" s="25" t="n">
        <x:v>11</x:v>
      </x:c>
      <x:c r="D135" s="31" t="str">
        <x:v>climate resilience</x:v>
      </x:c>
      <x:c r="E135" s="31" t="str">
        <x:v>generic damage</x:v>
      </x:c>
      <x:c r="F135" s="31" t="str">
        <x:v>harm_loss_consequences</x:v>
      </x:c>
      <x:c r="G135" s="19" t="str">
        <x:v>D</x:v>
      </x:c>
      <x:c r="H135" s="19" t="str">
        <x:v>V2</x:v>
      </x:c>
      <x:c r="I135" s="19" t="str">
        <x:v>NOT_EXPOSED_IN_REPORT</x:v>
      </x:c>
      <x:c r="J135" s="31" t="str">
        <x:v>S2015-PARIS</x:v>
      </x:c>
      <x:c r="K135" s="31" t="str">
        <x:v>RECONSTRUCTED_FROM_REPORT; Fear of Temperature_ Stratified Lexical Expansion, Voice Mapping, and Semantic-Relational Pre-Valida.pdf; p.11; project candidate FT-SEED-R1B-P-2015-11; original visible ID not available</x:v>
      </x:c>
      <x:c r="L135" s="31" t="str">
        <x:v>SUCCEEDED_REUSED_BASELINE</x:v>
      </x:c>
      <x:c r="M135" s="31" t="str">
        <x:v>climate resilience</x:v>
      </x:c>
      <x:c r="N135" s="31" t="str">
        <x:v>EXACT</x:v>
      </x:c>
      <x:c r="O135" s="19" t="str">
        <x:v>1901</x:v>
      </x:c>
      <x:c r="P135" s="19" t="str">
        <x:v>2022</x:v>
      </x:c>
      <x:c r="Q135" s="46" t="n">
        <x:v>2.3778926283579693e-7</x:v>
      </x:c>
      <x:c r="R135" s="46" t="n">
        <x:v>6.192725596904092e-8</x:v>
      </x:c>
      <x:c r="S135" s="46" t="n">
        <x:v>6.380985545275293e-8</x:v>
      </x:c>
      <x:c r="T135" s="46" t="n">
        <x:v>2.3778926283579693e-7</x:v>
      </x:c>
      <x:c r="U135" s="31" t="str">
        <x:v>Candidate surface form is directly representable in the public Ngram interface. Complete 1842–2022 unsmoothed series reused from the audited quantitative-v0.1 baseline.</x:v>
      </x:c>
      <x:c r="V135" s="31" t="str">
        <x:v>TECHNICAL_GLOSSARY</x:v>
      </x:c>
      <x:c r="W135" s="31" t="str">
        <x:v>IPCC climate-science glossary / assessment terminology</x:v>
      </x:c>
      <x:c r="X135" s="31" t="str">
        <x:v>A threat, risk, harm, severity, or consequence sense in the documented source; it is not automatically an emotion.</x:v>
      </x:c>
      <x:c r="Y135" s="31" t="str">
        <x:v>The capacity of social, economic, and ecological systems to cope with climatic hazards while maintaining essential functions and adapting.</x:v>
      </x:c>
      <x:c r="Z135" s="31" t="str">
        <x:v>STRONG</x:v>
      </x:c>
      <x:c r="AA135" s="19" t="str">
        <x:v>The surface form may realize multiple senses; candidate meaning remains anchored to the report-visible source context.</x:v>
      </x:c>
      <x:c r="AB135" s="31" t="str">
        <x:v>Secondary: Component headword checked: resilience.; historical: Anchor-period research source/context; Webster 1913 stable component URL recorded but automated page retrieval was unavailable; source: https://www.ipcc.ch/site/assets/uploads/2018/02/WGIIAR5-AnnexII_FINAL.pdf; https://api.dictionaryapi.dev/api/v2/entries/en/climate%20resilience; https://websters1913.timcieplowski.com/word/resilience/</x:v>
      </x:c>
      <x:c r="AC135" s="31" t="str">
        <x:v>INTERNET_ARCHIVE_METADATA_TEXT_ITEM_COUNT</x:v>
      </x:c>
      <x:c r="AD135" s="19" t="str">
        <x:v>"climate resilience" AND mediatype:texts</x:v>
      </x:c>
      <x:c r="AE135" s="31" t="str">
        <x:v>EXACT_PHRASE</x:v>
      </x:c>
      <x:c r="AF135" s="31" t="str">
        <x:v>COMPLETED_NONZERO</x:v>
      </x:c>
      <x:c r="AG135" s="25" t="n">
        <x:v>196</x:v>
      </x:c>
      <x:c r="AH135" s="25" t="n">
        <x:v>7</x:v>
      </x:c>
      <x:c r="AI135" s="19" t="str">
        <x:v>2026-08-26</x:v>
      </x:c>
      <x:c r="AJ135" s="31" t="str">
        <x:v>Metadata text-item count; not a full-text lexical frequency. Secondary metric: Scholarly work discoverability count over OpenAlex search fields; not a corpus word frequency.</x:v>
      </x:c>
      <x:c r="AK135" s="31" t="str">
        <x:v>FULLY_COVERED</x:v>
      </x:c>
      <x:c r="AL135" s="19" t="str">
        <x:v>PENDING_SOURCE_REVIEW</x:v>
      </x:c>
      <x:c r="AM135" s="20" t="str">
        <x:v>MEDIUM</x:v>
      </x:c>
    </x:row>
    <x:row r="136" ht="34" customHeight="1">
      <x:c r="A136" s="40" t="str">
        <x:v>FT-SEED-R1B-P-2015-12</x:v>
      </x:c>
      <x:c r="B136" s="19" t="str">
        <x:v>2015</x:v>
      </x:c>
      <x:c r="C136" s="25" t="n">
        <x:v>12</x:v>
      </x:c>
      <x:c r="D136" s="31" t="str">
        <x:v>vulnerability</x:v>
      </x:c>
      <x:c r="E136" s="31" t="str">
        <x:v>vulnerability</x:v>
      </x:c>
      <x:c r="F136" s="31" t="str">
        <x:v>harm_loss_consequences</x:v>
      </x:c>
      <x:c r="G136" s="19" t="str">
        <x:v>D</x:v>
      </x:c>
      <x:c r="H136" s="19" t="str">
        <x:v>V2</x:v>
      </x:c>
      <x:c r="I136" s="19" t="str">
        <x:v>NOT_EXPOSED_IN_REPORT</x:v>
      </x:c>
      <x:c r="J136" s="31" t="str">
        <x:v>S2015-PARIS</x:v>
      </x:c>
      <x:c r="K136" s="31" t="str">
        <x:v>RECONSTRUCTED_FROM_REPORT; Fear of Temperature_ Stratified Lexical Expansion, Voice Mapping, and Semantic-Relational Pre-Valida.pdf; p.11; project candidate FT-SEED-R1B-P-2015-12; original visible ID not available</x:v>
      </x:c>
      <x:c r="L136" s="31" t="str">
        <x:v>SUCCEEDED_REUSED_BASELINE</x:v>
      </x:c>
      <x:c r="M136" s="31" t="str">
        <x:v>vulnerability</x:v>
      </x:c>
      <x:c r="N136" s="31" t="str">
        <x:v>EXACT</x:v>
      </x:c>
      <x:c r="O136" s="19" t="str">
        <x:v>1842</x:v>
      </x:c>
      <x:c r="P136" s="19" t="str">
        <x:v>2021</x:v>
      </x:c>
      <x:c r="Q136" s="46" t="n">
        <x:v>0.000012114193474133117</x:v>
      </x:c>
      <x:c r="R136" s="46" t="n">
        <x:v>0.000009355508542086</x:v>
      </x:c>
      <x:c r="S136" s="46" t="n">
        <x:v>0.000009594339388740991</x:v>
      </x:c>
      <x:c r="T136" s="46" t="n">
        <x:v>0.000011780358960322701</x:v>
      </x:c>
      <x:c r="U136" s="31" t="str">
        <x:v>Candidate surface form is directly representable in the public Ngram interface. Complete 1842–2022 unsmoothed series reused from the audited quantitative-v0.1 baseline.</x:v>
      </x:c>
      <x:c r="V136" s="31" t="str">
        <x:v>TECHNICAL_GLOSSARY</x:v>
      </x:c>
      <x:c r="W136" s="31" t="str">
        <x:v>IPCC climate-science glossary / assessment terminology</x:v>
      </x:c>
      <x:c r="X136" s="31" t="str">
        <x:v>A threat, risk, harm, severity, or consequence sense in the documented source; it is not automatically an emotion.</x:v>
      </x:c>
      <x:c r="Y136" s="31" t="str">
        <x:v>Susceptibility of an identified subject or group to harm; the candidate is interpreted in its documented anchor and voice context.</x:v>
      </x:c>
      <x:c r="Z136" s="31" t="str">
        <x:v>STRONG</x:v>
      </x:c>
      <x:c r="AA136" s="19" t="str">
        <x:v>The surface form may realize multiple senses; candidate meaning remains anchored to the report-visible source context.</x:v>
      </x:c>
      <x:c r="AB136" s="31" t="str">
        <x:v>Secondary: Component headword checked: vulnerability.; historical: Anchor-period research source/context; Webster 1913 stable component URL recorded but automated page retrieval was unavailable; source: https://www.ipcc.ch/site/assets/uploads/2018/02/WGIIAR5-AnnexII_FINAL.pdf; https://api.dictionaryapi.dev/api/v2/entries/en/vulnerability; https://websters1913.timcieplowski.com/word/vulnerability/</x:v>
      </x:c>
      <x:c r="AC136" s="31" t="str">
        <x:v>INTERNET_ARCHIVE_METADATA_TEXT_ITEM_COUNT</x:v>
      </x:c>
      <x:c r="AD136" s="19" t="str">
        <x:v>"vulnerability" AND mediatype:texts</x:v>
      </x:c>
      <x:c r="AE136" s="31" t="str">
        <x:v>EXACT_PHRASE</x:v>
      </x:c>
      <x:c r="AF136" s="31" t="str">
        <x:v>COMPLETED_NONZERO</x:v>
      </x:c>
      <x:c r="AG136" s="25" t="n">
        <x:v>13888</x:v>
      </x:c>
      <x:c r="AH136" s="25" t="n">
        <x:v>1289</x:v>
      </x:c>
      <x:c r="AI136" s="19" t="str">
        <x:v>2026-08-26</x:v>
      </x:c>
      <x:c r="AJ136" s="31" t="str">
        <x:v>Metadata text-item count; not a full-text lexical frequency. Secondary metric: NOT_RUN_OPENALEX_DAILY_BUDGET_EXHAUSTED: shared provider response retained; no count fabricated.</x:v>
      </x:c>
      <x:c r="AK136" s="31" t="str">
        <x:v>FULLY_COVERED</x:v>
      </x:c>
      <x:c r="AL136" s="19" t="str">
        <x:v>PENDING_SOURCE_REVIEW</x:v>
      </x:c>
      <x:c r="AM136" s="20" t="str">
        <x:v>MEDIUM</x:v>
      </x:c>
    </x:row>
    <x:row r="137" ht="34" customHeight="1">
      <x:c r="A137" s="40" t="str">
        <x:v>FT-SEED-R1B-P-2015-13</x:v>
      </x:c>
      <x:c r="B137" s="19" t="str">
        <x:v>2015</x:v>
      </x:c>
      <x:c r="C137" s="25" t="n">
        <x:v>13</x:v>
      </x:c>
      <x:c r="D137" s="31" t="str">
        <x:v>vulnerable groups</x:v>
      </x:c>
      <x:c r="E137" s="31" t="str">
        <x:v>vulnerability</x:v>
      </x:c>
      <x:c r="F137" s="31" t="str">
        <x:v>harm_loss_consequences</x:v>
      </x:c>
      <x:c r="G137" s="19" t="str">
        <x:v>D</x:v>
      </x:c>
      <x:c r="H137" s="19" t="str">
        <x:v>V2</x:v>
      </x:c>
      <x:c r="I137" s="19" t="str">
        <x:v>NOT_EXPOSED_IN_REPORT</x:v>
      </x:c>
      <x:c r="J137" s="31" t="str">
        <x:v>S2015-PARIS</x:v>
      </x:c>
      <x:c r="K137" s="31" t="str">
        <x:v>RECONSTRUCTED_FROM_REPORT; Fear of Temperature_ Stratified Lexical Expansion, Voice Mapping, and Semantic-Relational Pre-Valida.pdf; p.11; project candidate FT-SEED-R1B-P-2015-13; original visible ID not available</x:v>
      </x:c>
      <x:c r="L137" s="31" t="str">
        <x:v>SUCCEEDED_REUSED_BASELINE</x:v>
      </x:c>
      <x:c r="M137" s="31" t="str">
        <x:v>vulnerable groups</x:v>
      </x:c>
      <x:c r="N137" s="31" t="str">
        <x:v>EXACT</x:v>
      </x:c>
      <x:c r="O137" s="19" t="str">
        <x:v>1869</x:v>
      </x:c>
      <x:c r="P137" s="19" t="str">
        <x:v>2022</x:v>
      </x:c>
      <x:c r="Q137" s="46" t="n">
        <x:v>6.561656151760076e-7</x:v>
      </x:c>
      <x:c r="R137" s="46" t="n">
        <x:v>4.145763595753138e-7</x:v>
      </x:c>
      <x:c r="S137" s="46" t="n">
        <x:v>4.2210607039660136e-7</x:v>
      </x:c>
      <x:c r="T137" s="46" t="n">
        <x:v>6.561656151760076e-7</x:v>
      </x:c>
      <x:c r="U137" s="31" t="str">
        <x:v>Candidate surface form is directly representable in the public Ngram interface. Complete 1842–2022 unsmoothed series reused from the audited quantitative-v0.1 baseline.</x:v>
      </x:c>
      <x:c r="V137" s="31" t="str">
        <x:v>TECHNICAL_GLOSSARY</x:v>
      </x:c>
      <x:c r="W137" s="31" t="str">
        <x:v>IPCC climate-science glossary / assessment terminology</x:v>
      </x:c>
      <x:c r="X137" s="31" t="str">
        <x:v>A threat, risk, harm, severity, or consequence sense in the documented source; it is not automatically an emotion.</x:v>
      </x:c>
      <x:c r="Y137" s="31" t="str">
        <x:v>Susceptibility of an identified subject or group to harm; the candidate is interpreted in its documented anchor and voice context.</x:v>
      </x:c>
      <x:c r="Z137" s="31" t="str">
        <x:v>STRONG</x:v>
      </x:c>
      <x:c r="AA137" s="19" t="str">
        <x:v>The surface form may realize multiple senses; candidate meaning remains anchored to the report-visible source context.</x:v>
      </x:c>
      <x:c r="AB137" s="31" t="str">
        <x:v>Secondary: Component headword checked: groups.; historical: Anchor-period research source/context; Webster 1913 stable component URL recorded but automated page retrieval was unavailable; source: https://www.ipcc.ch/site/assets/uploads/2018/02/WGIIAR5-AnnexII_FINAL.pdf; https://api.dictionaryapi.dev/api/v2/entries/en/vulnerable%20groups; https://websters1913.timcieplowski.com/word/groups/</x:v>
      </x:c>
      <x:c r="AC137" s="31" t="str">
        <x:v>INTERNET_ARCHIVE_METADATA_TEXT_ITEM_COUNT</x:v>
      </x:c>
      <x:c r="AD137" s="19" t="str">
        <x:v>"vulnerable groups" AND mediatype:texts</x:v>
      </x:c>
      <x:c r="AE137" s="31" t="str">
        <x:v>EXACT_PHRASE</x:v>
      </x:c>
      <x:c r="AF137" s="31" t="str">
        <x:v>COMPLETED_NONZERO</x:v>
      </x:c>
      <x:c r="AG137" s="25" t="n">
        <x:v>359</x:v>
      </x:c>
      <x:c r="AH137" s="25" t="n">
        <x:v>49</x:v>
      </x:c>
      <x:c r="AI137" s="19" t="str">
        <x:v>2026-08-26</x:v>
      </x:c>
      <x:c r="AJ137" s="31" t="str">
        <x:v>Metadata text-item count; not a full-text lexical frequency. Secondary metric: NOT_RUN_OPENALEX_DAILY_BUDGET_EXHAUSTED: shared provider response retained; no count fabricated.</x:v>
      </x:c>
      <x:c r="AK137" s="31" t="str">
        <x:v>FULLY_COVERED</x:v>
      </x:c>
      <x:c r="AL137" s="19" t="str">
        <x:v>PENDING_SOURCE_REVIEW</x:v>
      </x:c>
      <x:c r="AM137" s="20" t="str">
        <x:v>MEDIUM</x:v>
      </x:c>
    </x:row>
    <x:row r="138" ht="34" customHeight="1">
      <x:c r="A138" s="40" t="str">
        <x:v>FT-SEED-R1B-P-2015-14</x:v>
      </x:c>
      <x:c r="B138" s="19" t="str">
        <x:v>2015</x:v>
      </x:c>
      <x:c r="C138" s="25" t="n">
        <x:v>14</x:v>
      </x:c>
      <x:c r="D138" s="31" t="str">
        <x:v>loss and damage</x:v>
      </x:c>
      <x:c r="E138" s="31" t="str">
        <x:v>loss and damage</x:v>
      </x:c>
      <x:c r="F138" s="31" t="str">
        <x:v>harm_loss_consequences</x:v>
      </x:c>
      <x:c r="G138" s="19" t="str">
        <x:v>D</x:v>
      </x:c>
      <x:c r="H138" s="19" t="str">
        <x:v>V2</x:v>
      </x:c>
      <x:c r="I138" s="19" t="str">
        <x:v>NOT_EXPOSED_IN_REPORT</x:v>
      </x:c>
      <x:c r="J138" s="31" t="str">
        <x:v>S2015-PARIS</x:v>
      </x:c>
      <x:c r="K138" s="31" t="str">
        <x:v>RECONSTRUCTED_FROM_REPORT; Fear of Temperature_ Stratified Lexical Expansion, Voice Mapping, and Semantic-Relational Pre-Valida.pdf; p.11; project candidate FT-SEED-R1B-P-2015-14; original visible ID not available</x:v>
      </x:c>
      <x:c r="L138" s="31" t="str">
        <x:v>SUCCEEDED_REUSED_BASELINE</x:v>
      </x:c>
      <x:c r="M138" s="31" t="str">
        <x:v>loss and damage</x:v>
      </x:c>
      <x:c r="N138" s="31" t="str">
        <x:v>EXACT</x:v>
      </x:c>
      <x:c r="O138" s="19" t="str">
        <x:v>1842</x:v>
      </x:c>
      <x:c r="P138" s="19" t="str">
        <x:v>1947</x:v>
      </x:c>
      <x:c r="Q138" s="46" t="n">
        <x:v>0.0000015430762074220006</x:v>
      </x:c>
      <x:c r="R138" s="46" t="n">
        <x:v>8.407788263178895e-8</x:v>
      </x:c>
      <x:c r="S138" s="46" t="n">
        <x:v>9.455398923321108e-8</x:v>
      </x:c>
      <x:c r="T138" s="46" t="n">
        <x:v>1.615246781744295e-7</x:v>
      </x:c>
      <x:c r="U138" s="31" t="str">
        <x:v>Candidate surface form is directly representable in the public Ngram interface. Complete 1842–2022 unsmoothed series reused from the audited quantitative-v0.1 baseline.</x:v>
      </x:c>
      <x:c r="V138" s="31" t="str">
        <x:v>TECHNICAL_GLOSSARY</x:v>
      </x:c>
      <x:c r="W138" s="31" t="str">
        <x:v>IPCC climate-science glossary / assessment terminology</x:v>
      </x:c>
      <x:c r="X138" s="31" t="str">
        <x:v>Institutional climate-policy terminology for harms and losses associated with climate impacts, with economic and non-economic subtypes.</x:v>
      </x:c>
      <x:c r="Y138" s="31" t="str">
        <x:v>Adverse climate-related impacts that remain after, or cannot be avoided through, mitigation and adaptation; both economic and non-economic losses may be involved.</x:v>
      </x:c>
      <x:c r="Z138" s="31" t="str">
        <x:v>STRONG</x:v>
      </x:c>
      <x:c r="AA138" s="19" t="str">
        <x:v>Generic damage/loss and the UNFCCC policy term 'loss and damage' are not interchangeable.</x:v>
      </x:c>
      <x:c r="AB138"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https://api.dictionaryapi.dev/api/v2/entries/en/loss%20and%20damage; https://websters1913.timcieplowski.com/word/damage/</x:v>
      </x:c>
      <x:c r="AC138" s="31" t="str">
        <x:v>INTERNET_ARCHIVE_METADATA_TEXT_ITEM_COUNT</x:v>
      </x:c>
      <x:c r="AD138" s="19" t="str">
        <x:v>"loss and damage" AND mediatype:texts</x:v>
      </x:c>
      <x:c r="AE138" s="31" t="str">
        <x:v>EXACT_PHRASE</x:v>
      </x:c>
      <x:c r="AF138" s="31" t="str">
        <x:v>COMPLETED_NONZERO</x:v>
      </x:c>
      <x:c r="AG138" s="25" t="n">
        <x:v>86</x:v>
      </x:c>
      <x:c r="AH138" s="25" t="n">
        <x:v>4</x:v>
      </x:c>
      <x:c r="AI138" s="19" t="str">
        <x:v>2026-08-26</x:v>
      </x:c>
      <x:c r="AJ138" s="31" t="str">
        <x:v>Metadata text-item count; not a full-text lexical frequency. Secondary metric: NOT_RUN_OPENALEX_DAILY_BUDGET_EXHAUSTED: shared provider response retained; no count fabricated.</x:v>
      </x:c>
      <x:c r="AK138" s="31" t="str">
        <x:v>FULLY_COVERED</x:v>
      </x:c>
      <x:c r="AL138" s="19" t="str">
        <x:v>PENDING_SOURCE_REVIEW</x:v>
      </x:c>
      <x:c r="AM138" s="20" t="str">
        <x:v>MEDIUM</x:v>
      </x:c>
    </x:row>
    <x:row r="139" ht="34" customHeight="1">
      <x:c r="A139" s="40" t="str">
        <x:v>FT-SEED-R1B-P-2015-15</x:v>
      </x:c>
      <x:c r="B139" s="19" t="str">
        <x:v>2015</x:v>
      </x:c>
      <x:c r="C139" s="25" t="n">
        <x:v>15</x:v>
      </x:c>
      <x:c r="D139" s="31" t="str">
        <x:v>extreme weather events</x:v>
      </x:c>
      <x:c r="E139" s="31" t="str">
        <x:v>generic damage</x:v>
      </x:c>
      <x:c r="F139" s="31" t="str">
        <x:v>harm_loss_consequences</x:v>
      </x:c>
      <x:c r="G139" s="19" t="str">
        <x:v>D</x:v>
      </x:c>
      <x:c r="H139" s="19" t="str">
        <x:v>V2</x:v>
      </x:c>
      <x:c r="I139" s="19" t="str">
        <x:v>NOT_EXPOSED_IN_REPORT</x:v>
      </x:c>
      <x:c r="J139" s="31" t="str">
        <x:v>S2015-PARIS</x:v>
      </x:c>
      <x:c r="K139" s="31" t="str">
        <x:v>RECONSTRUCTED_FROM_REPORT; Fear of Temperature_ Stratified Lexical Expansion, Voice Mapping, and Semantic-Relational Pre-Valida.pdf; p.11; project candidate FT-SEED-R1B-P-2015-15; original visible ID not available</x:v>
      </x:c>
      <x:c r="L139" s="31" t="str">
        <x:v>SUCCEEDED_REUSED_BASELINE</x:v>
      </x:c>
      <x:c r="M139" s="31" t="str">
        <x:v>extreme weather events</x:v>
      </x:c>
      <x:c r="N139" s="31" t="str">
        <x:v>EXACT</x:v>
      </x:c>
      <x:c r="O139" s="19" t="str">
        <x:v>1843</x:v>
      </x:c>
      <x:c r="P139" s="19" t="str">
        <x:v>2022</x:v>
      </x:c>
      <x:c r="Q139" s="46" t="n">
        <x:v>4.511812501384327e-7</x:v>
      </x:c>
      <x:c r="R139" s="46" t="n">
        <x:v>2.641805035841216e-7</x:v>
      </x:c>
      <x:c r="S139" s="46" t="n">
        <x:v>2.457166067559857e-7</x:v>
      </x:c>
      <x:c r="T139" s="46" t="n">
        <x:v>4.511812501384327e-7</x:v>
      </x:c>
      <x:c r="U139" s="31" t="str">
        <x:v>Candidate surface form is directly representable in the public Ngram interface. Complete 1842–2022 unsmoothed series reused from the audited quantitative-v0.1 baseline.</x:v>
      </x:c>
      <x:c r="V139" s="31" t="str">
        <x:v>TECHNICAL_GLOSSARY</x:v>
      </x:c>
      <x:c r="W139" s="31" t="str">
        <x:v>IPCC climate-science glossary / assessment terminology</x:v>
      </x:c>
      <x:c r="X139" s="31" t="str">
        <x:v>A threat, risk, harm, severity, or consequence sense in the documented source; it is not automatically an emotion.</x:v>
      </x:c>
      <x:c r="Y139" s="31" t="str">
        <x:v>Generic material, ecological, or social damage; the candidate is interpreted in its documented anchor and voice context.</x:v>
      </x:c>
      <x:c r="Z139" s="31" t="str">
        <x:v>STRONG</x:v>
      </x:c>
      <x:c r="AA139" s="19" t="str">
        <x:v>The surface form may realize multiple senses; candidate meaning remains anchored to the report-visible source context.</x:v>
      </x:c>
      <x:c r="AB139"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https://api.dictionaryapi.dev/api/v2/entries/en/extreme%20weather%20events; https://websters1913.timcieplowski.com/word/events/</x:v>
      </x:c>
      <x:c r="AC139" s="31" t="str">
        <x:v>INTERNET_ARCHIVE_METADATA_TEXT_ITEM_COUNT</x:v>
      </x:c>
      <x:c r="AD139" s="19" t="str">
        <x:v>"extreme weather events" AND mediatype:texts</x:v>
      </x:c>
      <x:c r="AE139" s="31" t="str">
        <x:v>EXACT_PHRASE</x:v>
      </x:c>
      <x:c r="AF139" s="31" t="str">
        <x:v>COMPLETED_NONZERO</x:v>
      </x:c>
      <x:c r="AG139" s="25" t="n">
        <x:v>251</x:v>
      </x:c>
      <x:c r="AH139" s="25" t="n">
        <x:v>30</x:v>
      </x:c>
      <x:c r="AI139" s="19" t="str">
        <x:v>2026-08-26</x:v>
      </x:c>
      <x:c r="AJ139" s="31" t="str">
        <x:v>Metadata text-item count; not a full-text lexical frequency. Secondary metric: NOT_RUN_OPENALEX_DAILY_BUDGET_EXHAUSTED: shared provider response retained; no count fabricated.</x:v>
      </x:c>
      <x:c r="AK139" s="31" t="str">
        <x:v>FULLY_COVERED</x:v>
      </x:c>
      <x:c r="AL139" s="19" t="str">
        <x:v>PENDING_SOURCE_REVIEW</x:v>
      </x:c>
      <x:c r="AM139" s="20" t="str">
        <x:v>MEDIUM</x:v>
      </x:c>
    </x:row>
    <x:row r="140" ht="34" customHeight="1">
      <x:c r="A140" s="40" t="str">
        <x:v>FT-SEED-R1B-P-2015-16</x:v>
      </x:c>
      <x:c r="B140" s="19" t="str">
        <x:v>2015</x:v>
      </x:c>
      <x:c r="C140" s="25" t="n">
        <x:v>16</x:v>
      </x:c>
      <x:c r="D140" s="31" t="str">
        <x:v>slow onset events</x:v>
      </x:c>
      <x:c r="E140" s="31" t="str">
        <x:v>generic damage</x:v>
      </x:c>
      <x:c r="F140" s="31" t="str">
        <x:v>harm_loss_consequences</x:v>
      </x:c>
      <x:c r="G140" s="19" t="str">
        <x:v>D</x:v>
      </x:c>
      <x:c r="H140" s="19" t="str">
        <x:v>V2</x:v>
      </x:c>
      <x:c r="I140" s="19" t="str">
        <x:v>NOT_EXPOSED_IN_REPORT</x:v>
      </x:c>
      <x:c r="J140" s="31" t="str">
        <x:v>S2015-PARIS</x:v>
      </x:c>
      <x:c r="K140" s="31" t="str">
        <x:v>RECONSTRUCTED_FROM_REPORT; Fear of Temperature_ Stratified Lexical Expansion, Voice Mapping, and Semantic-Relational Pre-Valida.pdf; p.11; project candidate FT-SEED-R1B-P-2015-16; original visible ID not available</x:v>
      </x:c>
      <x:c r="L140" s="31" t="str">
        <x:v>SUCCEEDED_REUSED_BASELINE</x:v>
      </x:c>
      <x:c r="M140" s="31" t="str">
        <x:v>slow onset events</x:v>
      </x:c>
      <x:c r="N140" s="31" t="str">
        <x:v>EXACT</x:v>
      </x:c>
      <x:c r="O140" s="19" t="str">
        <x:v>1964</x:v>
      </x:c>
      <x:c r="P140" s="19" t="str">
        <x:v>2021</x:v>
      </x:c>
      <x:c r="Q140" s="46" t="n">
        <x:v>7.283442959860054e-9</x:v>
      </x:c>
      <x:c r="R140" s="46" t="n">
        <x:v>2.049460948172488e-9</x:v>
      </x:c>
      <x:c r="S140" s="46" t="n">
        <x:v>2.314395087614033e-9</x:v>
      </x:c>
      <x:c r="T140" s="46" t="n">
        <x:v>5.013650494767319e-9</x:v>
      </x:c>
      <x:c r="U140" s="31" t="str">
        <x:v>Candidate surface form is directly representable in the public Ngram interface. Complete 1842–2022 unsmoothed series reused from the audited quantitative-v0.1 baseline.</x:v>
      </x:c>
      <x:c r="V140" s="31" t="str">
        <x:v>TECHNICAL_GLOSSARY</x:v>
      </x:c>
      <x:c r="W140" s="31" t="str">
        <x:v>IPCC climate-science glossary / assessment terminology</x:v>
      </x:c>
      <x:c r="X140" s="31" t="str">
        <x:v>A threat, risk, harm, severity, or consequence sense in the documented source; it is not automatically an emotion.</x:v>
      </x:c>
      <x:c r="Y140" s="31" t="str">
        <x:v>Generic material, ecological, or social damage; the candidate is interpreted in its documented anchor and voice context.</x:v>
      </x:c>
      <x:c r="Z140" s="31" t="str">
        <x:v>STRONG</x:v>
      </x:c>
      <x:c r="AA140" s="19" t="str">
        <x:v>The surface form may realize multiple senses; candidate meaning remains anchored to the report-visible source context.</x:v>
      </x:c>
      <x:c r="AB140"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https://api.dictionaryapi.dev/api/v2/entries/en/slow%20onset%20events; https://websters1913.timcieplowski.com/word/events/</x:v>
      </x:c>
      <x:c r="AC140" s="31" t="str">
        <x:v>INTERNET_ARCHIVE_METADATA_TEXT_ITEM_COUNT</x:v>
      </x:c>
      <x:c r="AD140" s="19" t="str">
        <x:v>"slow onset events" AND mediatype:texts</x:v>
      </x:c>
      <x:c r="AE140" s="31" t="str">
        <x:v>EXACT_PHRASE</x:v>
      </x:c>
      <x:c r="AF140" s="31" t="str">
        <x:v>COMPLETED_NONZERO</x:v>
      </x:c>
      <x:c r="AG140" s="25" t="n">
        <x:v>2</x:v>
      </x:c>
      <x:c r="AH140" s="25" t="n">
        <x:v>1</x:v>
      </x:c>
      <x:c r="AI140" s="19" t="str">
        <x:v>2026-08-26</x:v>
      </x:c>
      <x:c r="AJ140" s="31" t="str">
        <x:v>Metadata text-item count; not a full-text lexical frequency. Secondary metric: NOT_RUN_OPENALEX_DAILY_BUDGET_EXHAUSTED: shared provider response retained; no count fabricated.</x:v>
      </x:c>
      <x:c r="AK140" s="31" t="str">
        <x:v>FULLY_COVERED</x:v>
      </x:c>
      <x:c r="AL140" s="19" t="str">
        <x:v>PENDING_SOURCE_REVIEW</x:v>
      </x:c>
      <x:c r="AM140" s="20" t="str">
        <x:v>MEDIUM</x:v>
      </x:c>
    </x:row>
    <x:row r="141" ht="34" customHeight="1">
      <x:c r="A141" s="40" t="str">
        <x:v>FT-SEED-R1B-P-2015-17</x:v>
      </x:c>
      <x:c r="B141" s="19" t="str">
        <x:v>2015</x:v>
      </x:c>
      <x:c r="C141" s="25" t="n">
        <x:v>17</x:v>
      </x:c>
      <x:c r="D141" s="31" t="str">
        <x:v>risk of loss and damage</x:v>
      </x:c>
      <x:c r="E141" s="31" t="str">
        <x:v>administrative risk assessment</x:v>
      </x:c>
      <x:c r="F141" s="31" t="str">
        <x:v>risk</x:v>
      </x:c>
      <x:c r="G141" s="19" t="str">
        <x:v>D</x:v>
      </x:c>
      <x:c r="H141" s="19" t="str">
        <x:v>V2</x:v>
      </x:c>
      <x:c r="I141" s="19" t="str">
        <x:v>NOT_EXPOSED_IN_REPORT</x:v>
      </x:c>
      <x:c r="J141" s="31" t="str">
        <x:v>S2015-PARIS</x:v>
      </x:c>
      <x:c r="K141" s="31" t="str">
        <x:v>RECONSTRUCTED_FROM_REPORT; Fear of Temperature_ Stratified Lexical Expansion, Voice Mapping, and Semantic-Relational Pre-Valida.pdf; p.11; project candidate FT-SEED-R1B-P-2015-17; original visible ID not available</x:v>
      </x:c>
      <x:c r="L141" s="31" t="str">
        <x:v>SUCCEEDED_REUSED_BASELINE</x:v>
      </x:c>
      <x:c r="M141" s="31" t="str">
        <x:v>risk of loss and damage</x:v>
      </x:c>
      <x:c r="N141" s="31" t="str">
        <x:v>EXACT</x:v>
      </x:c>
      <x:c r="O141" s="19" t="str">
        <x:v>1842</x:v>
      </x:c>
      <x:c r="P141" s="19" t="str">
        <x:v>1956</x:v>
      </x:c>
      <x:c r="Q141" s="46" t="n">
        <x:v>7.821105985073018e-9</x:v>
      </x:c>
      <x:c r="R141" s="46" t="n">
        <x:v>9.214118357192547e-10</x:v>
      </x:c>
      <x:c r="S141" s="46" t="n">
        <x:v>1.2443122562414792e-9</x:v>
      </x:c>
      <x:c r="T141" s="46" t="n">
        <x:v>2.0658581616206373e-9</x:v>
      </x:c>
      <x:c r="U141" s="31" t="str">
        <x:v>Candidate surface form is directly representable in the public Ngram interface. Complete 1842–2022 unsmoothed series reused from the audited quantitative-v0.1 baseline.</x:v>
      </x:c>
      <x:c r="V141" s="31" t="str">
        <x:v>TECHNICAL_GLOSSARY</x:v>
      </x:c>
      <x:c r="W141" s="31" t="str">
        <x:v>IPCC climate-science glossary / assessment terminology</x:v>
      </x:c>
      <x:c r="X141" s="31" t="str">
        <x:v>Institutional climate-policy terminology for harms and losses associated with climate impacts, with economic and non-economic subtypes.</x:v>
      </x:c>
      <x:c r="Y141" s="31" t="str">
        <x:v>Risk managed or assessed through institutional procedure; the candidate is interpreted in its documented anchor and voice context.</x:v>
      </x:c>
      <x:c r="Z141" s="31" t="str">
        <x:v>STRONG</x:v>
      </x:c>
      <x:c r="AA141" s="19" t="str">
        <x:v>Generic damage/loss and the UNFCCC policy term 'loss and damage' are not interchangeable.</x:v>
      </x:c>
      <x:c r="AB141"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https://api.dictionaryapi.dev/api/v2/entries/en/risk%20of%20loss%20and%20damage; https://websters1913.timcieplowski.com/word/damage/</x:v>
      </x:c>
      <x:c r="AC141" s="31" t="str">
        <x:v>INTERNET_ARCHIVE_METADATA_TEXT_ITEM_COUNT</x:v>
      </x:c>
      <x:c r="AD141" s="19" t="str">
        <x:v>"risk of loss and damage" AND mediatype:texts</x:v>
      </x:c>
      <x:c r="AE141" s="31" t="str">
        <x:v>EXACT_PHRASE</x:v>
      </x:c>
      <x:c r="AF141" s="31" t="str">
        <x:v>COMPLETED_NONZERO</x:v>
      </x:c>
      <x:c r="AG141" s="25" t="n">
        <x:v>2</x:v>
      </x:c>
      <x:c r="AH141" s="25" t="n">
        <x:v>1</x:v>
      </x:c>
      <x:c r="AI141" s="19" t="str">
        <x:v>2026-08-26</x:v>
      </x:c>
      <x:c r="AJ141" s="31" t="str">
        <x:v>Metadata text-item count; not a full-text lexical frequency. Secondary metric: NOT_RUN_OPENALEX_DAILY_BUDGET_EXHAUSTED: shared provider response retained; no count fabricated.</x:v>
      </x:c>
      <x:c r="AK141" s="31" t="str">
        <x:v>FULLY_COVERED</x:v>
      </x:c>
      <x:c r="AL141" s="19" t="str">
        <x:v>PENDING_SOURCE_REVIEW</x:v>
      </x:c>
      <x:c r="AM141" s="20" t="str">
        <x:v>MEDIUM</x:v>
      </x:c>
    </x:row>
    <x:row r="142" ht="34" customHeight="1">
      <x:c r="A142" s="40" t="str">
        <x:v>FT-SEED-R1B-P-2015-18</x:v>
      </x:c>
      <x:c r="B142" s="19" t="str">
        <x:v>2015</x:v>
      </x:c>
      <x:c r="C142" s="25" t="n">
        <x:v>18</x:v>
      </x:c>
      <x:c r="D142" s="31" t="str">
        <x:v>early warning systems</x:v>
      </x:c>
      <x:c r="E142" s="31" t="str">
        <x:v>generic damage</x:v>
      </x:c>
      <x:c r="F142" s="31" t="str">
        <x:v>harm_loss_consequences</x:v>
      </x:c>
      <x:c r="G142" s="19" t="str">
        <x:v>D</x:v>
      </x:c>
      <x:c r="H142" s="19" t="str">
        <x:v>V2</x:v>
      </x:c>
      <x:c r="I142" s="19" t="str">
        <x:v>NOT_EXPOSED_IN_REPORT</x:v>
      </x:c>
      <x:c r="J142" s="31" t="str">
        <x:v>S2015-PARIS</x:v>
      </x:c>
      <x:c r="K142" s="31" t="str">
        <x:v>RECONSTRUCTED_FROM_REPORT; Fear of Temperature_ Stratified Lexical Expansion, Voice Mapping, and Semantic-Relational Pre-Valida.pdf; p.11; project candidate FT-SEED-R1B-P-2015-18; original visible ID not available</x:v>
      </x:c>
      <x:c r="L142" s="31" t="str">
        <x:v>SUCCEEDED_REUSED_BASELINE</x:v>
      </x:c>
      <x:c r="M142" s="31" t="str">
        <x:v>early warning systems</x:v>
      </x:c>
      <x:c r="N142" s="31" t="str">
        <x:v>EXACT</x:v>
      </x:c>
      <x:c r="O142" s="19" t="str">
        <x:v>1869</x:v>
      </x:c>
      <x:c r="P142" s="19" t="str">
        <x:v>2022</x:v>
      </x:c>
      <x:c r="Q142" s="46" t="n">
        <x:v>2.0064061378999298e-7</x:v>
      </x:c>
      <x:c r="R142" s="46" t="n">
        <x:v>1.4231256331709297e-7</x:v>
      </x:c>
      <x:c r="S142" s="46" t="n">
        <x:v>1.4610297251309764e-7</x:v>
      </x:c>
      <x:c r="T142" s="46" t="n">
        <x:v>2.0064061378999298e-7</x:v>
      </x:c>
      <x:c r="U142" s="31" t="str">
        <x:v>Candidate surface form is directly representable in the public Ngram interface. Complete 1842–2022 unsmoothed series reused from the audited quantitative-v0.1 baseline.</x:v>
      </x:c>
      <x:c r="V142" s="31" t="str">
        <x:v>TECHNICAL_GLOSSARY</x:v>
      </x:c>
      <x:c r="W142" s="31" t="str">
        <x:v>IPCC climate-science glossary / assessment terminology</x:v>
      </x:c>
      <x:c r="X142" s="31" t="str">
        <x:v>A threat, risk, harm, severity, or consequence sense in the documented source; it is not automatically an emotion.</x:v>
      </x:c>
      <x:c r="Y142" s="31" t="str">
        <x:v>Generic material, ecological, or social damage; the candidate is interpreted in its documented anchor and voice context.</x:v>
      </x:c>
      <x:c r="Z142" s="31" t="str">
        <x:v>STRONG</x:v>
      </x:c>
      <x:c r="AA142" s="19" t="str">
        <x:v>The surface form may realize multiple senses; candidate meaning remains anchored to the report-visible source context.</x:v>
      </x:c>
      <x:c r="AB142" s="31" t="str">
        <x:v>Secondary: Component headword checked: systems.; historical: Anchor-period research source/context; Webster 1913 stable component URL recorded but automated page retrieval was unavailable; source: https://www.ipcc.ch/site/assets/uploads/2018/02/WGIIAR5-AnnexII_FINAL.pdf; https://api.dictionaryapi.dev/api/v2/entries/en/early%20warning%20systems; https://websters1913.timcieplowski.com/word/systems/</x:v>
      </x:c>
      <x:c r="AC142" s="31" t="str">
        <x:v>INTERNET_ARCHIVE_METADATA_TEXT_ITEM_COUNT</x:v>
      </x:c>
      <x:c r="AD142" s="19" t="str">
        <x:v>"early warning systems" AND mediatype:texts</x:v>
      </x:c>
      <x:c r="AE142" s="31" t="str">
        <x:v>EXACT_PHRASE</x:v>
      </x:c>
      <x:c r="AF142" s="31" t="str">
        <x:v>COMPLETED_NONZERO</x:v>
      </x:c>
      <x:c r="AG142" s="25" t="n">
        <x:v>833</x:v>
      </x:c>
      <x:c r="AH142" s="25" t="n">
        <x:v>56</x:v>
      </x:c>
      <x:c r="AI142" s="19" t="str">
        <x:v>2026-08-26</x:v>
      </x:c>
      <x:c r="AJ142" s="31" t="str">
        <x:v>Metadata text-item count; not a full-text lexical frequency. Secondary metric: NOT_RUN_OPENALEX_DAILY_BUDGET_EXHAUSTED: shared provider response retained; no count fabricated.</x:v>
      </x:c>
      <x:c r="AK142" s="31" t="str">
        <x:v>FULLY_COVERED</x:v>
      </x:c>
      <x:c r="AL142" s="19" t="str">
        <x:v>PENDING_SOURCE_REVIEW</x:v>
      </x:c>
      <x:c r="AM142" s="20" t="str">
        <x:v>MEDIUM</x:v>
      </x:c>
    </x:row>
    <x:row r="143" ht="34" customHeight="1">
      <x:c r="A143" s="40" t="str">
        <x:v>FT-SEED-R1B-P-2015-19</x:v>
      </x:c>
      <x:c r="B143" s="19" t="str">
        <x:v>2015</x:v>
      </x:c>
      <x:c r="C143" s="25" t="n">
        <x:v>19</x:v>
      </x:c>
      <x:c r="D143" s="31" t="str">
        <x:v>emergency preparedness</x:v>
      </x:c>
      <x:c r="E143" s="31" t="str">
        <x:v>emergency response category</x:v>
      </x:c>
      <x:c r="F143" s="31" t="str">
        <x:v>crisis_emergency</x:v>
      </x:c>
      <x:c r="G143" s="19" t="str">
        <x:v>D</x:v>
      </x:c>
      <x:c r="H143" s="19" t="str">
        <x:v>V2</x:v>
      </x:c>
      <x:c r="I143" s="19" t="str">
        <x:v>NOT_EXPOSED_IN_REPORT</x:v>
      </x:c>
      <x:c r="J143" s="31" t="str">
        <x:v>S2015-PARIS</x:v>
      </x:c>
      <x:c r="K143" s="31" t="str">
        <x:v>RECONSTRUCTED_FROM_REPORT; Fear of Temperature_ Stratified Lexical Expansion, Voice Mapping, and Semantic-Relational Pre-Valida.pdf; p.11; project candidate FT-SEED-R1B-P-2015-19; original visible ID not available</x:v>
      </x:c>
      <x:c r="L143" s="31" t="str">
        <x:v>SUCCEEDED_REUSED_BASELINE</x:v>
      </x:c>
      <x:c r="M143" s="31" t="str">
        <x:v>emergency preparedness</x:v>
      </x:c>
      <x:c r="N143" s="31" t="str">
        <x:v>EXACT</x:v>
      </x:c>
      <x:c r="O143" s="19" t="str">
        <x:v>1847</x:v>
      </x:c>
      <x:c r="P143" s="19" t="str">
        <x:v>1986</x:v>
      </x:c>
      <x:c r="Q143" s="46" t="n">
        <x:v>0.000002826408131394176</x:v>
      </x:c>
      <x:c r="R143" s="46" t="n">
        <x:v>3.2953145755534874e-7</x:v>
      </x:c>
      <x:c r="S143" s="46" t="n">
        <x:v>3.3156906676171105e-7</x:v>
      </x:c>
      <x:c r="T143" s="46" t="n">
        <x:v>2.663239674349782e-7</x:v>
      </x:c>
      <x:c r="U143" s="31" t="str">
        <x:v>Candidate surface form is directly representable in the public Ngram interface. Complete 1842–2022 unsmoothed series reused from the audited quantitative-v0.1 baseline.</x:v>
      </x:c>
      <x:c r="V143" s="31" t="str">
        <x:v>NO_STANDALONE_HEADWORD</x:v>
      </x:c>
      <x:c r="W143" s="31" t="str">
        <x:v>Component lexical analysis plus anchor-source contextual meaning</x:v>
      </x:c>
      <x:c r="X143" s="31" t="str">
        <x:v>A threat, risk, harm, severity, or consequence sense in the documented source; it is not automatically an emotion.</x:v>
      </x:c>
      <x:c r="Y143" s="31" t="str">
        <x:v>Emergency preparedness or response as a governance procedure; the candidate is interpreted in its documented anchor and voice context.</x:v>
      </x:c>
      <x:c r="Z143" s="31" t="str">
        <x:v>STRONG</x:v>
      </x:c>
      <x:c r="AA143" s="19" t="str">
        <x:v>The surface form may realize multiple senses; candidate meaning remains anchored to the report-visible source context.</x:v>
      </x:c>
      <x:c r="AB143" s="31" t="str">
        <x:v>Secondary: Component headword checked: preparedness.;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https://api.dictionaryapi.dev/api/v2/entries/en/emergency%20preparedness; https://websters1913.timcieplowski.com/word/preparedness/</x:v>
      </x:c>
      <x:c r="AC143" s="31" t="str">
        <x:v>INTERNET_ARCHIVE_METADATA_TEXT_ITEM_COUNT</x:v>
      </x:c>
      <x:c r="AD143" s="19" t="str">
        <x:v>"emergency preparedness" AND mediatype:texts</x:v>
      </x:c>
      <x:c r="AE143" s="31" t="str">
        <x:v>EXACT_PHRASE</x:v>
      </x:c>
      <x:c r="AF143" s="31" t="str">
        <x:v>COMPLETED_NONZERO</x:v>
      </x:c>
      <x:c r="AG143" s="25" t="n">
        <x:v>1406</x:v>
      </x:c>
      <x:c r="AH143" s="25" t="n">
        <x:v>100</x:v>
      </x:c>
      <x:c r="AI143" s="19" t="str">
        <x:v>2026-08-26</x:v>
      </x:c>
      <x:c r="AJ143" s="31" t="str">
        <x:v>Metadata text-item count; not a full-text lexical frequency. Secondary metric: NOT_RUN_OPENALEX_DAILY_BUDGET_EXHAUSTED: shared provider response retained; no count fabricated.</x:v>
      </x:c>
      <x:c r="AK143" s="31" t="str">
        <x:v>FULLY_COVERED</x:v>
      </x:c>
      <x:c r="AL143" s="19" t="str">
        <x:v>PENDING_SOURCE_REVIEW</x:v>
      </x:c>
      <x:c r="AM143" s="20" t="str">
        <x:v>MEDIUM</x:v>
      </x:c>
    </x:row>
    <x:row r="144" ht="34" customHeight="1">
      <x:c r="A144" s="40" t="str">
        <x:v>FT-SEED-R1B-P-2015-20</x:v>
      </x:c>
      <x:c r="B144" s="19" t="str">
        <x:v>2015</x:v>
      </x:c>
      <x:c r="C144" s="25" t="n">
        <x:v>20</x:v>
      </x:c>
      <x:c r="D144" s="31" t="str">
        <x:v>irreversible and permanent loss and damage</x:v>
      </x:c>
      <x:c r="E144" s="31" t="str">
        <x:v>loss and damage</x:v>
      </x:c>
      <x:c r="F144" s="31" t="str">
        <x:v>harm_loss_consequences</x:v>
      </x:c>
      <x:c r="G144" s="19" t="str">
        <x:v>D</x:v>
      </x:c>
      <x:c r="H144" s="19" t="str">
        <x:v>V2</x:v>
      </x:c>
      <x:c r="I144" s="19" t="str">
        <x:v>NOT_EXPOSED_IN_REPORT</x:v>
      </x:c>
      <x:c r="J144" s="31" t="str">
        <x:v>S2015-PARIS</x:v>
      </x:c>
      <x:c r="K144" s="31" t="str">
        <x:v>RECONSTRUCTED_FROM_REPORT; Fear of Temperature_ Stratified Lexical Expansion, Voice Mapping, and Semantic-Relational Pre-Valida.pdf; p.11; project candidate FT-SEED-R1B-P-2015-20; original visible ID not available</x:v>
      </x:c>
      <x:c r="L144" s="31" t="str">
        <x:v>SUCCEEDED_REUSED_BASELINE</x:v>
      </x:c>
      <x:c r="M144" s="31" t="str">
        <x:v>irreversible and permanent loss and damage</x:v>
      </x:c>
      <x:c r="N144" s="31" t="str">
        <x:v>EXACT</x:v>
      </x:c>
      <x:c r="O144" s="19" t="str">
        <x:v>2015</x:v>
      </x:c>
      <x:c r="P144" s="19" t="str">
        <x:v>2021</x:v>
      </x:c>
      <x:c r="Q144" s="46" t="n">
        <x:v>8.163354991985727e-10</x:v>
      </x:c>
      <x:c r="R144" s="46" t="n">
        <x:v>6.163167892703214e-11</x:v>
      </x:c>
      <x:c r="S144" s="46" t="n">
        <x:v>1.5757996065420463e-10</x:v>
      </x:c>
      <x:c r="T144" s="46" t="n">
        <x:v>6.393428564344106e-10</x:v>
      </x:c>
      <x:c r="U144" s="31" t="str">
        <x:v>Candidate surface form is directly representable in the public Ngram interface. Complete 1842–2022 unsmoothed series reused from the audited quantitative-v0.1 baseline.</x:v>
      </x:c>
      <x:c r="V144" s="31" t="str">
        <x:v>NO_STANDALONE_HEADWORD</x:v>
      </x:c>
      <x:c r="W144" s="31" t="str">
        <x:v>Component lexical analysis plus anchor-source contextual meaning</x:v>
      </x:c>
      <x:c r="X144" s="31" t="str">
        <x:v>Institutional climate-policy terminology for harms and losses associated with climate impacts, with economic and non-economic subtypes.</x:v>
      </x:c>
      <x:c r="Y144" s="31" t="str">
        <x:v>The climate-governance domain of loss and damage; the candidate is interpreted in its documented anchor and voice context.</x:v>
      </x:c>
      <x:c r="Z144" s="31" t="str">
        <x:v>STRONG</x:v>
      </x:c>
      <x:c r="AA144" s="19" t="str">
        <x:v>Generic damage/loss and the UNFCCC policy term 'loss and damage' are not interchangeable.</x:v>
      </x:c>
      <x:c r="AB144" s="31" t="str">
        <x:v>Secondary: Component headword checked: damage.;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https://api.dictionaryapi.dev/api/v2/entries/en/irreversible%20and%20permanent%20loss%20and%20damage; https://websters1913.timcieplowski.com/word/damage/</x:v>
      </x:c>
      <x:c r="AC144" s="31" t="str">
        <x:v>INTERNET_ARCHIVE_METADATA_TEXT_ITEM_COUNT</x:v>
      </x:c>
      <x:c r="AD144" s="19" t="str">
        <x:v>"irreversible and permanent loss and damage" AND mediatype:texts</x:v>
      </x:c>
      <x:c r="AE144" s="31" t="str">
        <x:v>EXACT_PHRASE</x:v>
      </x:c>
      <x:c r="AF144" s="31" t="str">
        <x:v>COMPLETED_NONZERO</x:v>
      </x:c>
      <x:c r="AG144" s="25" t="n">
        <x:v>1</x:v>
      </x:c>
      <x:c r="AH144" s="25" t="n">
        <x:v>1</x:v>
      </x:c>
      <x:c r="AI144" s="19" t="str">
        <x:v>2026-08-26</x:v>
      </x:c>
      <x:c r="AJ144" s="31" t="str">
        <x:v>Metadata text-item count; not a full-text lexical frequency. Secondary metric: NOT_RUN_OPENALEX_DAILY_BUDGET_EXHAUSTED: shared provider response retained; no count fabricated.</x:v>
      </x:c>
      <x:c r="AK144" s="31" t="str">
        <x:v>FULLY_COVERED</x:v>
      </x:c>
      <x:c r="AL144" s="19" t="str">
        <x:v>PENDING_SOURCE_REVIEW</x:v>
      </x:c>
      <x:c r="AM144" s="20" t="str">
        <x:v>MEDIUM</x:v>
      </x:c>
    </x:row>
    <x:row r="145" ht="34" customHeight="1">
      <x:c r="A145" s="40" t="str">
        <x:v>FT-SEED-R1B-P-2015-21</x:v>
      </x:c>
      <x:c r="B145" s="19" t="str">
        <x:v>2015</x:v>
      </x:c>
      <x:c r="C145" s="25" t="n">
        <x:v>21</x:v>
      </x:c>
      <x:c r="D145" s="31" t="str">
        <x:v>comprehensive risk assessment and management</x:v>
      </x:c>
      <x:c r="E145" s="31" t="str">
        <x:v>administrative risk assessment</x:v>
      </x:c>
      <x:c r="F145" s="31" t="str">
        <x:v>risk</x:v>
      </x:c>
      <x:c r="G145" s="19" t="str">
        <x:v>D</x:v>
      </x:c>
      <x:c r="H145" s="19" t="str">
        <x:v>V2</x:v>
      </x:c>
      <x:c r="I145" s="19" t="str">
        <x:v>NOT_EXPOSED_IN_REPORT</x:v>
      </x:c>
      <x:c r="J145" s="31" t="str">
        <x:v>S2015-PARIS</x:v>
      </x:c>
      <x:c r="K145" s="31" t="str">
        <x:v>RECONSTRUCTED_FROM_REPORT; Fear of Temperature_ Stratified Lexical Expansion, Voice Mapping, and Semantic-Relational Pre-Valida.pdf; p.11; project candidate FT-SEED-R1B-P-2015-21; original visible ID not available</x:v>
      </x:c>
      <x:c r="L145" s="31" t="str">
        <x:v>SUCCEEDED_REUSED_BASELINE</x:v>
      </x:c>
      <x:c r="M145" s="31" t="str">
        <x:v>comprehensive risk assessment and management</x:v>
      </x:c>
      <x:c r="N145" s="31" t="str">
        <x:v>EXACT</x:v>
      </x:c>
      <x:c r="O145" s="19" t="str">
        <x:v>1963</x:v>
      </x:c>
      <x:c r="P145" s="19" t="str">
        <x:v>2018</x:v>
      </x:c>
      <x:c r="Q145" s="46" t="n">
        <x:v>1.2794914017177916e-9</x:v>
      </x:c>
      <x:c r="R145" s="46" t="n">
        <x:v>2.879411986622671e-10</x:v>
      </x:c>
      <x:c r="S145" s="46" t="n">
        <x:v>3.81069227099277e-10</x:v>
      </x:c>
      <x:c r="T145" s="46" t="n">
        <x:v>7.611056784817549e-10</x:v>
      </x:c>
      <x:c r="U145" s="31" t="str">
        <x:v>Candidate surface form is directly representable in the public Ngram interface. Complete 1842–2022 unsmoothed series reused from the audited quantitative-v0.1 baseline.</x:v>
      </x:c>
      <x:c r="V145" s="31" t="str">
        <x:v>NO_STANDALONE_HEADWORD</x:v>
      </x:c>
      <x:c r="W145" s="31" t="str">
        <x:v>Component lexical analysis plus anchor-source contextual meaning</x:v>
      </x:c>
      <x:c r="X145" s="31" t="str">
        <x:v>A threat, risk, harm, severity, or consequence sense in the documented source; it is not automatically an emotion.</x:v>
      </x:c>
      <x:c r="Y145" s="31" t="str">
        <x:v>Risk managed or assessed through institutional procedure; the candidate is interpreted in its documented anchor and voice context.</x:v>
      </x:c>
      <x:c r="Z145" s="31" t="str">
        <x:v>STRONG</x:v>
      </x:c>
      <x:c r="AA145" s="19" t="str">
        <x:v>The surface form may realize multiple senses; candidate meaning remains anchored to the report-visible source context.</x:v>
      </x:c>
      <x:c r="AB145" s="31" t="str">
        <x:v>Secondary: Component headword checked: management.;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https://api.dictionaryapi.dev/api/v2/entries/en/comprehensive%20risk%20assessment%20and%20management; https://websters1913.timcieplowski.com/word/management/</x:v>
      </x:c>
      <x:c r="AC145" s="31" t="str">
        <x:v>INTERNET_ARCHIVE_METADATA_TEXT_ITEM_COUNT</x:v>
      </x:c>
      <x:c r="AD145" s="19" t="str">
        <x:v>"comprehensive risk assessment and management" AND mediatype:texts</x:v>
      </x:c>
      <x:c r="AE145" s="31" t="str">
        <x:v>EXACT_PHRASE</x:v>
      </x:c>
      <x:c r="AF145" s="31" t="str">
        <x:v>COMPLETED_NONZERO</x:v>
      </x:c>
      <x:c r="AG145" s="25" t="n">
        <x:v>1</x:v>
      </x:c>
      <x:c r="AH145" s="25" t="n">
        <x:v>1</x:v>
      </x:c>
      <x:c r="AI145" s="19" t="str">
        <x:v>2026-08-26</x:v>
      </x:c>
      <x:c r="AJ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AK145" s="31" t="str">
        <x:v>FULLY_COVERED</x:v>
      </x:c>
      <x:c r="AL145" s="19" t="str">
        <x:v>PENDING_SOURCE_REVIEW</x:v>
      </x:c>
      <x:c r="AM145" s="20" t="str">
        <x:v>MEDIUM</x:v>
      </x:c>
    </x:row>
    <x:row r="146" ht="34" customHeight="1">
      <x:c r="A146" s="40" t="str">
        <x:v>FT-SEED-R1B-P-2015-22</x:v>
      </x:c>
      <x:c r="B146" s="19" t="str">
        <x:v>2015</x:v>
      </x:c>
      <x:c r="C146" s="25" t="n">
        <x:v>22</x:v>
      </x:c>
      <x:c r="D146" s="31" t="str">
        <x:v>non-economic losses</x:v>
      </x:c>
      <x:c r="E146" s="31" t="str">
        <x:v>non-economic losses</x:v>
      </x:c>
      <x:c r="F146" s="31" t="str">
        <x:v>harm_loss_consequences</x:v>
      </x:c>
      <x:c r="G146" s="19" t="str">
        <x:v>D</x:v>
      </x:c>
      <x:c r="H146" s="19" t="str">
        <x:v>V2</x:v>
      </x:c>
      <x:c r="I146" s="19" t="str">
        <x:v>NOT_EXPOSED_IN_REPORT</x:v>
      </x:c>
      <x:c r="J146" s="31" t="str">
        <x:v>S2015-PARIS</x:v>
      </x:c>
      <x:c r="K146" s="31" t="str">
        <x:v>RECONSTRUCTED_FROM_REPORT; Fear of Temperature_ Stratified Lexical Expansion, Voice Mapping, and Semantic-Relational Pre-Valida.pdf; p.11; project candidate FT-SEED-R1B-P-2015-22; original visible ID not available</x:v>
      </x:c>
      <x:c r="L146" s="31" t="str">
        <x:v>SUCCEEDED_NEW</x:v>
      </x:c>
      <x:c r="M146" s="31" t="str">
        <x:v>non-economic losses</x:v>
      </x:c>
      <x:c r="N146" s="31" t="str">
        <x:v>EXACT</x:v>
      </x:c>
      <x:c r="O146" s="19" t="str">
        <x:v>1924</x:v>
      </x:c>
      <x:c r="P146" s="19" t="str">
        <x:v>1986</x:v>
      </x:c>
      <x:c r="Q146" s="46" t="n">
        <x:v>1.8812469290696576e-8</x:v>
      </x:c>
      <x:c r="R146" s="46" t="n">
        <x:v>4.731613434394433e-9</x:v>
      </x:c>
      <x:c r="S146" s="46" t="n">
        <x:v>3.908430465845066e-9</x:v>
      </x:c>
      <x:c r="T146" s="46" t="n">
        <x:v>6.453083678525928e-9</x:v>
      </x:c>
      <x:c r="U146" s="31" t="str">
        <x:v>Candidate surface form is directly representable in the public Ngram interface. New unsmoothed 1842–2022 series retrieved for the candidate audit.</x:v>
      </x:c>
      <x:c r="V146" s="31" t="str">
        <x:v>TECHNICAL_GLOSSARY</x:v>
      </x:c>
      <x:c r="W146" s="31" t="str">
        <x:v>IPCC climate-science glossary / assessment terminology</x:v>
      </x:c>
      <x:c r="X146" s="31" t="str">
        <x:v>Institutional climate-policy terminology for harms and losses associated with climate impacts, with economic and non-economic subtypes.</x:v>
      </x:c>
      <x:c r="Y146" s="31" t="str">
        <x:v>Climate-related losses not readily expressed in monetary terms, including cultural, health, identity, ecosystem, and heritage harms.</x:v>
      </x:c>
      <x:c r="Z146" s="31" t="str">
        <x:v>STRONG</x:v>
      </x:c>
      <x:c r="AA146" s="19" t="str">
        <x:v>Generic damage/loss and the UNFCCC policy term 'loss and damage' are not interchangeable.</x:v>
      </x:c>
      <x:c r="AB146" s="31" t="str">
        <x:v>Secondary: Component headword checked: losses.; historical: Anchor-period research source/context; Webster 1913 stable component URL recorded but automated page retrieval was unavailable; source: https://www.ipcc.ch/site/assets/uploads/2018/02/WGIIAR5-AnnexII_FINAL.pdf; https://api.dictionaryapi.dev/api/v2/entries/en/non-economic%20losses; https://websters1913.timcieplowski.com/word/losses/</x:v>
      </x:c>
      <x:c r="AC146" s="31" t="str">
        <x:v>INTERNET_ARCHIVE_METADATA_TEXT_ITEM_COUNT</x:v>
      </x:c>
      <x:c r="AD146" s="19" t="str">
        <x:v>"non-economic losses" AND mediatype:texts</x:v>
      </x:c>
      <x:c r="AE146" s="31" t="str">
        <x:v>EXACT_PHRASE</x:v>
      </x:c>
      <x:c r="AF146" s="31" t="str">
        <x:v>COMPLETED_NONZERO</x:v>
      </x:c>
      <x:c r="AG146" s="25" t="n">
        <x:v>1</x:v>
      </x:c>
      <x:c r="AH146" s="25" t="n">
        <x:v>1</x:v>
      </x:c>
      <x:c r="AI146" s="19" t="str">
        <x:v>2026-08-26</x:v>
      </x:c>
      <x:c r="AJ146" s="31" t="str">
        <x:v>Metadata text-item count; not a full-text lexical frequency. Secondary metric: NOT_RUN_OPENALEX_DAILY_BUDGET_EXHAUSTED: shared provider response retained; no count fabricated.</x:v>
      </x:c>
      <x:c r="AK146" s="31" t="str">
        <x:v>FULLY_COVERED</x:v>
      </x:c>
      <x:c r="AL146" s="19" t="str">
        <x:v>PENDING_SOURCE_REVIEW</x:v>
      </x:c>
      <x:c r="AM146" s="20" t="str">
        <x:v>MEDIUM</x:v>
      </x:c>
    </x:row>
    <x:row r="147" ht="34" customHeight="1">
      <x:c r="A147" s="40" t="str">
        <x:v>FT-SEED-R1B-P-2015-23</x:v>
      </x:c>
      <x:c r="B147" s="19" t="str">
        <x:v>2015</x:v>
      </x:c>
      <x:c r="C147" s="25" t="n">
        <x:v>23</x:v>
      </x:c>
      <x:c r="D147" s="31" t="str">
        <x:v>common concern of humankind</x:v>
      </x:c>
      <x:c r="E147" s="31" t="str">
        <x:v>common concern of humankind</x:v>
      </x:c>
      <x:c r="F147" s="31" t="str">
        <x:v>concern_alarm</x:v>
      </x:c>
      <x:c r="G147" s="19" t="str">
        <x:v>C</x:v>
      </x:c>
      <x:c r="H147" s="19" t="str">
        <x:v>V2</x:v>
      </x:c>
      <x:c r="I147" s="19" t="str">
        <x:v>E1</x:v>
      </x:c>
      <x:c r="J147" s="31" t="str">
        <x:v>S2015-PARIS</x:v>
      </x:c>
      <x:c r="K147" s="31" t="str">
        <x:v>RECONSTRUCTED_FROM_REPORT; Fear of Temperature_ Stratified Lexical Expansion, Voice Mapping, and Semantic-Relational Pre-Valida.pdf; p.11; project candidate FT-SEED-R1B-P-2015-23; original visible ID not available</x:v>
      </x:c>
      <x:c r="L147" s="31" t="str">
        <x:v>SUCCEEDED_NEW</x:v>
      </x:c>
      <x:c r="M147" s="31" t="str">
        <x:v>common concern of humankind</x:v>
      </x:c>
      <x:c r="N147" s="31" t="str">
        <x:v>EXACT</x:v>
      </x:c>
      <x:c r="O147" s="19" t="str">
        <x:v>1901</x:v>
      </x:c>
      <x:c r="P147" s="19" t="str">
        <x:v>2021</x:v>
      </x:c>
      <x:c r="Q147" s="46" t="n">
        <x:v>4.958280197531195e-8</x:v>
      </x:c>
      <x:c r="R147" s="46" t="n">
        <x:v>6.452200274065234e-9</x:v>
      </x:c>
      <x:c r="S147" s="46" t="n">
        <x:v>8.595441171321827e-9</x:v>
      </x:c>
      <x:c r="T147" s="46" t="n">
        <x:v>3.892174793573844e-8</x:v>
      </x:c>
      <x:c r="U147" s="31" t="str">
        <x:v>Candidate surface form is directly representable in the public Ngram interface. New unsmoothed 1842–2022 series retrieved for the candidate audit.</x:v>
      </x:c>
      <x:c r="V147" s="31" t="str">
        <x:v>TECHNICAL_GLOSSARY</x:v>
      </x:c>
      <x:c r="W147" s="31" t="str">
        <x:v>UNFCCC Paris Agreement legal text</x:v>
      </x:c>
      <x:c r="X147" s="31" t="str">
        <x:v>A legal formula assigning shared international importance to climate change, not a report of an individual's emotional concern.</x:v>
      </x:c>
      <x:c r="Y147" s="31" t="str">
        <x:v>Personal concern can denote felt worry, but this continuing treaty formula designates a shared legal and governance object rather than an individual's emotion.</x:v>
      </x:c>
      <x:c r="Z147" s="31" t="str">
        <x:v>DIFFERENT</x:v>
      </x:c>
      <x:c r="AA147" s="19" t="str">
        <x:v>Legal/institutional concern differs from personal concern and from concern as a commercial enterprise.</x:v>
      </x:c>
      <x:c r="AB147" s="31" t="str">
        <x:v>Secondary: Component headword checked: humankind.; historical: Anchor-period research source/context; Webster 1913 stable component URL recorded but automated page retrieval was unavailable; source: https://unfccc.int/sites/default/files/english_paris_agreement.pdf; https://api.dictionaryapi.dev/api/v2/entries/en/common%20concern%20of%20humankind; https://websters1913.timcieplowski.com/word/humankind/</x:v>
      </x:c>
      <x:c r="AC147" s="31" t="str">
        <x:v>INTERNET_ARCHIVE_METADATA_TEXT_ITEM_COUNT</x:v>
      </x:c>
      <x:c r="AD147" s="19" t="str">
        <x:v>"common concern of humankind" AND mediatype:texts</x:v>
      </x:c>
      <x:c r="AE147" s="31" t="str">
        <x:v>EXACT_PHRASE</x:v>
      </x:c>
      <x:c r="AF147" s="31" t="str">
        <x:v>COMPLETED_NONZERO</x:v>
      </x:c>
      <x:c r="AG147" s="25" t="n">
        <x:v>5</x:v>
      </x:c>
      <x:c r="AH147" s="25" t="n">
        <x:v>0</x:v>
      </x:c>
      <x:c r="AI147" s="19" t="str">
        <x:v>2026-08-26</x:v>
      </x:c>
      <x:c r="AJ147" s="31" t="str">
        <x:v>Metadata text-item count; not a full-text lexical frequency. Secondary metric: Scholarly work discoverability count over OpenAlex search fields; not a corpus word frequency.</x:v>
      </x:c>
      <x:c r="AK147" s="31" t="str">
        <x:v>FULLY_COVERED</x:v>
      </x:c>
      <x:c r="AL147" s="19" t="str">
        <x:v>NOT_APPLICABLE</x:v>
      </x:c>
      <x:c r="AM147" s="20" t="str">
        <x:v>HIGH</x:v>
      </x:c>
    </x:row>
    <x:row r="148" ht="34" customHeight="1">
      <x:c r="A148" s="40" t="str">
        <x:v>FT-SEED-R1B-P-2015-24</x:v>
      </x:c>
      <x:c r="B148" s="19" t="str">
        <x:v>2015</x:v>
      </x:c>
      <x:c r="C148" s="25" t="n">
        <x:v>24</x:v>
      </x:c>
      <x:c r="D148" s="31" t="str">
        <x:v>climate justice</x:v>
      </x:c>
      <x:c r="E148" s="31" t="str">
        <x:v>generic damage</x:v>
      </x:c>
      <x:c r="F148" s="31" t="str">
        <x:v>harm_loss_consequences</x:v>
      </x:c>
      <x:c r="G148" s="19" t="str">
        <x:v>D</x:v>
      </x:c>
      <x:c r="H148" s="19" t="str">
        <x:v>V2</x:v>
      </x:c>
      <x:c r="I148" s="19" t="str">
        <x:v>NOT_EXPOSED_IN_REPORT</x:v>
      </x:c>
      <x:c r="J148" s="31" t="str">
        <x:v>S2015-PARIS</x:v>
      </x:c>
      <x:c r="K148" s="31" t="str">
        <x:v>RECONSTRUCTED_FROM_REPORT; Fear of Temperature_ Stratified Lexical Expansion, Voice Mapping, and Semantic-Relational Pre-Valida.pdf; p.11; project candidate FT-SEED-R1B-P-2015-24; original visible ID not available</x:v>
      </x:c>
      <x:c r="L148" s="31" t="str">
        <x:v>SUCCEEDED_NEW</x:v>
      </x:c>
      <x:c r="M148" s="31" t="str">
        <x:v>climate justice</x:v>
      </x:c>
      <x:c r="N148" s="31" t="str">
        <x:v>EXACT</x:v>
      </x:c>
      <x:c r="O148" s="19" t="str">
        <x:v>1892</x:v>
      </x:c>
      <x:c r="P148" s="19" t="str">
        <x:v>2021</x:v>
      </x:c>
      <x:c r="Q148" s="46" t="n">
        <x:v>3.9843253718530036e-7</x:v>
      </x:c>
      <x:c r="R148" s="46" t="n">
        <x:v>1.2123918213813312e-7</x:v>
      </x:c>
      <x:c r="S148" s="46" t="n">
        <x:v>1.2847355246314862e-7</x:v>
      </x:c>
      <x:c r="T148" s="46" t="n">
        <x:v>3.904167882318177e-7</x:v>
      </x:c>
      <x:c r="U148" s="31" t="str">
        <x:v>Candidate surface form is directly representable in the public Ngram interface. New unsmoothed 1842–2022 series retrieved for the candidate audit.</x:v>
      </x:c>
      <x:c r="V148" s="31" t="str">
        <x:v>TECHNICAL_GLOSSARY</x:v>
      </x:c>
      <x:c r="W148" s="31" t="str">
        <x:v>IPCC AR6 glossary and assessment usage</x:v>
      </x:c>
      <x:c r="X148" s="31" t="str">
        <x:v>A threat, risk, harm, severity, or consequence sense in the documented source; it is not automatically an emotion.</x:v>
      </x:c>
      <x:c r="Y148" s="31" t="str">
        <x:v>An evaluative framework concerned with fair distribution of climate harms, responsibilities, participation, and remedies.</x:v>
      </x:c>
      <x:c r="Z148" s="31" t="str">
        <x:v>STRONG</x:v>
      </x:c>
      <x:c r="AA148" s="19" t="str">
        <x:v>The surface form may realize multiple senses; candidate meaning remains anchored to the report-visible source context.</x:v>
      </x:c>
      <x:c r="AB148" s="31" t="str">
        <x:v>Secondary: Component headword checked: justice.; historical: Anchor-period research source/context; Webster 1913 stable component URL recorded but automated page retrieval was unavailable; source: https://www.ipcc.ch/report/ar6/syr/downloads/report/IPCC_AR6_SYR_FullVolume.pdf; https://api.dictionaryapi.dev/api/v2/entries/en/climate%20justice; https://websters1913.timcieplowski.com/word/justice/</x:v>
      </x:c>
      <x:c r="AC148" s="31" t="str">
        <x:v>INTERNET_ARCHIVE_METADATA_TEXT_ITEM_COUNT</x:v>
      </x:c>
      <x:c r="AD148" s="19" t="str">
        <x:v>"climate justice" AND mediatype:texts</x:v>
      </x:c>
      <x:c r="AE148" s="31" t="str">
        <x:v>EXACT_PHRASE</x:v>
      </x:c>
      <x:c r="AF148" s="31" t="str">
        <x:v>COMPLETED_NONZERO</x:v>
      </x:c>
      <x:c r="AG148" s="25" t="n">
        <x:v>145</x:v>
      </x:c>
      <x:c r="AH148" s="25" t="n">
        <x:v>20</x:v>
      </x:c>
      <x:c r="AI148" s="19" t="str">
        <x:v>2026-08-26</x:v>
      </x:c>
      <x:c r="AJ148" s="31" t="str">
        <x:v>Metadata text-item count; not a full-text lexical frequency. Secondary metric: Scholarly work discoverability count over OpenAlex search fields; not a corpus word frequency.</x:v>
      </x:c>
      <x:c r="AK148" s="31" t="str">
        <x:v>FULLY_COVERED</x:v>
      </x:c>
      <x:c r="AL148" s="19" t="str">
        <x:v>PENDING_SOURCE_REVIEW</x:v>
      </x:c>
      <x:c r="AM148" s="20" t="str">
        <x:v>MEDIUM</x:v>
      </x:c>
    </x:row>
    <x:row r="149" ht="34" customHeight="1">
      <x:c r="A149" s="40" t="str">
        <x:v>FT-SEED-R1B-P-2015-25</x:v>
      </x:c>
      <x:c r="B149" s="19" t="str">
        <x:v>2015</x:v>
      </x:c>
      <x:c r="C149" s="25" t="n">
        <x:v>25</x:v>
      </x:c>
      <x:c r="D149" s="31" t="str">
        <x:v>very worried</x:v>
      </x:c>
      <x:c r="E149" s="31" t="str">
        <x:v>participant worry endorsement</x:v>
      </x:c>
      <x:c r="F149" s="31" t="str">
        <x:v>worry</x:v>
      </x:c>
      <x:c r="G149" s="19" t="str">
        <x:v>C</x:v>
      </x:c>
      <x:c r="H149" s="19" t="str">
        <x:v>V5</x:v>
      </x:c>
      <x:c r="I149" s="19" t="str">
        <x:v>NOT_EXPOSED_IN_REPORT</x:v>
      </x:c>
      <x:c r="J149" s="31" t="str">
        <x:v>S2015-YALE</x:v>
      </x:c>
      <x:c r="K149" s="31" t="str">
        <x:v>RECONSTRUCTED_FROM_REPORT; Fear of Temperature_ Stratified Lexical Expansion, Voice Mapping, and Semantic-Relational Pre-Valida.pdf; p.11; project candidate FT-SEED-R1B-P-2015-25; original visible ID not available</x:v>
      </x:c>
      <x:c r="L149" s="31" t="str">
        <x:v>SUCCEEDED_REUSED_BASELINE</x:v>
      </x:c>
      <x:c r="M149" s="31" t="str">
        <x:v>very worried</x:v>
      </x:c>
      <x:c r="N149" s="31" t="str">
        <x:v>EXACT</x:v>
      </x:c>
      <x:c r="O149" s="19" t="str">
        <x:v>1843</x:v>
      </x:c>
      <x:c r="P149" s="19" t="str">
        <x:v>2020</x:v>
      </x:c>
      <x:c r="Q149" s="46" t="n">
        <x:v>0.000001237675283025097</x:v>
      </x:c>
      <x:c r="R149" s="46" t="n">
        <x:v>4.244305496919898e-7</x:v>
      </x:c>
      <x:c r="S149" s="46" t="n">
        <x:v>4.109526408104432e-7</x:v>
      </x:c>
      <x:c r="T149" s="46" t="n">
        <x:v>3.79268325273463e-7</x:v>
      </x:c>
      <x:c r="U149" s="31" t="str">
        <x:v>Candidate surface form is directly representable in the public Ngram interface. Complete 1842–2022 unsmoothed series reused from the audited quantitative-v0.1 baseline.</x:v>
      </x:c>
      <x:c r="V149" s="31" t="str">
        <x:v>NO_STANDALONE_HEADWORD</x:v>
      </x:c>
      <x:c r="W149" s="31" t="str">
        <x:v>Component lexical analysis plus anchor-source contextual meaning</x:v>
      </x:c>
      <x:c r="X149" s="31" t="str">
        <x:v>Survey or instrument wording used to elicit and classify participant endorsement; the response may be participant evidence, but the lexical wording is supplied.</x:v>
      </x:c>
      <x:c r="Y149" s="31" t="str">
        <x:v>Contemporary worry wording may describe affect, but in the cited survey setting it is instrument-supplied and participant endorsement is elicited rather than spontaneous.</x:v>
      </x:c>
      <x:c r="Z149" s="31" t="str">
        <x:v>STRONG</x:v>
      </x:c>
      <x:c r="AA149" s="19" t="str">
        <x:v>Elicited endorsement, question wording, and spontaneous participant vocabulary are distinct provenance states.</x:v>
      </x:c>
      <x:c r="AB149"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49" s="31" t="str">
        <x:v>INTERNET_ARCHIVE_METADATA_TEXT_ITEM_COUNT</x:v>
      </x:c>
      <x:c r="AD149" s="19" t="str">
        <x:v>"very worried" AND mediatype:texts</x:v>
      </x:c>
      <x:c r="AE149" s="31" t="str">
        <x:v>EXACT_PHRASE</x:v>
      </x:c>
      <x:c r="AF149" s="31" t="str">
        <x:v>COMPLETED_NONZERO</x:v>
      </x:c>
      <x:c r="AG149" s="25" t="n">
        <x:v>131</x:v>
      </x:c>
      <x:c r="AH149" s="25" t="n">
        <x:v>4</x:v>
      </x:c>
      <x:c r="AI149" s="19" t="str">
        <x:v>2026-08-26</x:v>
      </x:c>
      <x:c r="AJ149" s="31" t="str">
        <x:v>Metadata text-item count; not a full-text lexical frequency. Secondary metric: NOT_RUN_OPENALEX_DAILY_BUDGET_EXHAUSTED: shared provider response retained; no count fabricated.</x:v>
      </x:c>
      <x:c r="AK149" s="31" t="str">
        <x:v>FULLY_COVERED</x:v>
      </x:c>
      <x:c r="AL149" s="19" t="str">
        <x:v>PENDING_SOURCE_REVIEW</x:v>
      </x:c>
      <x:c r="AM149" s="20" t="str">
        <x:v>MEDIUM</x:v>
      </x:c>
    </x:row>
    <x:row r="150" ht="34" customHeight="1">
      <x:c r="A150" s="40" t="str">
        <x:v>FT-SEED-R1B-P-2015-26</x:v>
      </x:c>
      <x:c r="B150" s="19" t="str">
        <x:v>2015</x:v>
      </x:c>
      <x:c r="C150" s="25" t="n">
        <x:v>26</x:v>
      </x:c>
      <x:c r="D150" s="31" t="str">
        <x:v>somewhat worried</x:v>
      </x:c>
      <x:c r="E150" s="31" t="str">
        <x:v>participant worry endorsement</x:v>
      </x:c>
      <x:c r="F150" s="31" t="str">
        <x:v>worry</x:v>
      </x:c>
      <x:c r="G150" s="19" t="str">
        <x:v>C</x:v>
      </x:c>
      <x:c r="H150" s="19" t="str">
        <x:v>V5</x:v>
      </x:c>
      <x:c r="I150" s="19" t="str">
        <x:v>NOT_EXPOSED_IN_REPORT</x:v>
      </x:c>
      <x:c r="J150" s="31" t="str">
        <x:v>S2015-YALE</x:v>
      </x:c>
      <x:c r="K150" s="31" t="str">
        <x:v>RECONSTRUCTED_FROM_REPORT; Fear of Temperature_ Stratified Lexical Expansion, Voice Mapping, and Semantic-Relational Pre-Valida.pdf; p.11; project candidate FT-SEED-R1B-P-2015-26; original visible ID not available</x:v>
      </x:c>
      <x:c r="L150" s="31" t="str">
        <x:v>SUCCEEDED_REUSED_BASELINE</x:v>
      </x:c>
      <x:c r="M150" s="31" t="str">
        <x:v>somewhat worried</x:v>
      </x:c>
      <x:c r="N150" s="31" t="str">
        <x:v>EXACT</x:v>
      </x:c>
      <x:c r="O150" s="19" t="str">
        <x:v>1842</x:v>
      </x:c>
      <x:c r="P150" s="19" t="str">
        <x:v>2020</x:v>
      </x:c>
      <x:c r="Q150" s="46" t="n">
        <x:v>1.0021906679189008e-7</x:v>
      </x:c>
      <x:c r="R150" s="46" t="n">
        <x:v>1.5691974161041733e-8</x:v>
      </x:c>
      <x:c r="S150" s="46" t="n">
        <x:v>1.5353693271630275e-8</x:v>
      </x:c>
      <x:c r="T150" s="46" t="n">
        <x:v>1.6988106976700834e-8</x:v>
      </x:c>
      <x:c r="U150" s="31" t="str">
        <x:v>Candidate surface form is directly representable in the public Ngram interface. Complete 1842–2022 unsmoothed series reused from the audited quantitative-v0.1 baseline.</x:v>
      </x:c>
      <x:c r="V150" s="31" t="str">
        <x:v>NO_STANDALONE_HEADWORD</x:v>
      </x:c>
      <x:c r="W150" s="31" t="str">
        <x:v>Component lexical analysis plus anchor-source contextual meaning</x:v>
      </x:c>
      <x:c r="X150" s="31" t="str">
        <x:v>Survey or instrument wording used to elicit and classify participant endorsement; the response may be participant evidence, but the lexical wording is supplied.</x:v>
      </x:c>
      <x:c r="Y150" s="31" t="str">
        <x:v>A participant selection or endorsement of a supplied worry category; the candidate is interpreted in its documented anchor and voice context.</x:v>
      </x:c>
      <x:c r="Z150" s="31" t="str">
        <x:v>STRONG</x:v>
      </x:c>
      <x:c r="AA150" s="19" t="str">
        <x:v>Elicited endorsement, question wording, and spontaneous participant vocabulary are distinct provenance states.</x:v>
      </x:c>
      <x:c r="AB150"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0" s="31" t="str">
        <x:v>INTERNET_ARCHIVE_METADATA_TEXT_ITEM_COUNT</x:v>
      </x:c>
      <x:c r="AD150" s="19" t="str">
        <x:v>"somewhat worried" AND mediatype:texts</x:v>
      </x:c>
      <x:c r="AE150" s="31" t="str">
        <x:v>EXACT_PHRASE</x:v>
      </x:c>
      <x:c r="AF150" s="31" t="str">
        <x:v>COMPLETED_NONZERO</x:v>
      </x:c>
      <x:c r="AG150" s="25" t="n">
        <x:v>15</x:v>
      </x:c>
      <x:c r="AH150" s="25" t="n">
        <x:v>2</x:v>
      </x:c>
      <x:c r="AI150" s="19" t="str">
        <x:v>2026-08-26</x:v>
      </x:c>
      <x:c r="AJ150" s="31" t="str">
        <x:v>Metadata text-item count; not a full-text lexical frequency. Secondary metric: NOT_RUN_OPENALEX_DAILY_BUDGET_EXHAUSTED: shared provider response retained; no count fabricated.</x:v>
      </x:c>
      <x:c r="AK150" s="31" t="str">
        <x:v>FULLY_COVERED</x:v>
      </x:c>
      <x:c r="AL150" s="19" t="str">
        <x:v>PENDING_SOURCE_REVIEW</x:v>
      </x:c>
      <x:c r="AM150" s="20" t="str">
        <x:v>MEDIUM</x:v>
      </x:c>
    </x:row>
    <x:row r="151" ht="34" customHeight="1">
      <x:c r="A151" s="40" t="str">
        <x:v>FT-SEED-R1B-P-2015-27</x:v>
      </x:c>
      <x:c r="B151" s="19" t="str">
        <x:v>2015</x:v>
      </x:c>
      <x:c r="C151" s="25" t="n">
        <x:v>27</x:v>
      </x:c>
      <x:c r="D151" s="31" t="str">
        <x:v>very serious problem</x:v>
      </x:c>
      <x:c r="E151" s="31" t="str">
        <x:v>generic damage</x:v>
      </x:c>
      <x:c r="F151" s="31" t="str">
        <x:v>harm_loss_consequences</x:v>
      </x:c>
      <x:c r="G151" s="19" t="str">
        <x:v>D</x:v>
      </x:c>
      <x:c r="H151" s="19" t="str">
        <x:v>V5</x:v>
      </x:c>
      <x:c r="I151" s="19" t="str">
        <x:v>NOT_EXPOSED_IN_REPORT</x:v>
      </x:c>
      <x:c r="J151" s="31" t="str">
        <x:v>S2015-PEW</x:v>
      </x:c>
      <x:c r="K151" s="31" t="str">
        <x:v>RECONSTRUCTED_FROM_REPORT; Fear of Temperature_ Stratified Lexical Expansion, Voice Mapping, and Semantic-Relational Pre-Valida.pdf; p.11; project candidate FT-SEED-R1B-P-2015-27; original visible ID not available</x:v>
      </x:c>
      <x:c r="L151" s="31" t="str">
        <x:v>SUCCEEDED_NEW</x:v>
      </x:c>
      <x:c r="M151" s="31" t="str">
        <x:v>very serious problem</x:v>
      </x:c>
      <x:c r="N151" s="31" t="str">
        <x:v>EXACT</x:v>
      </x:c>
      <x:c r="O151" s="19" t="str">
        <x:v>1847</x:v>
      </x:c>
      <x:c r="P151" s="19" t="str">
        <x:v>1970</x:v>
      </x:c>
      <x:c r="Q151" s="46" t="n">
        <x:v>2.437142834904593e-7</x:v>
      </x:c>
      <x:c r="R151" s="46" t="n">
        <x:v>5.5235472331410795e-8</x:v>
      </x:c>
      <x:c r="S151" s="46" t="n">
        <x:v>5.2916150271771954e-8</x:v>
      </x:c>
      <x:c r="T151" s="46" t="n">
        <x:v>3.684559933547771e-8</x:v>
      </x:c>
      <x:c r="U151" s="31" t="str">
        <x:v>Candidate surface form is directly representable in the public Ngram interface. New unsmoothed 1842–2022 series retrieved for the candidate audit.</x:v>
      </x:c>
      <x:c r="V151" s="31" t="str">
        <x:v>NO_STANDALONE_HEADWORD</x:v>
      </x:c>
      <x:c r="W151" s="31" t="str">
        <x:v>Component lexical analysis plus anchor-source contextual meaning</x:v>
      </x:c>
      <x:c r="X151" s="31" t="str">
        <x:v>A threat, risk, harm, severity, or consequence sense in the documented source; it is not automatically an emotion.</x:v>
      </x:c>
      <x:c r="Y151" s="31" t="str">
        <x:v>Generic material, ecological, or social damage; the candidate is interpreted in its documented anchor and voice context.</x:v>
      </x:c>
      <x:c r="Z151" s="31" t="str">
        <x:v>STRONG</x:v>
      </x:c>
      <x:c r="AA151" s="19" t="str">
        <x:v>The surface form may realize multiple senses; candidate meaning remains anchored to the report-visible source context.</x:v>
      </x:c>
      <x:c r="AB151"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https://api.dictionaryapi.dev/api/v2/entries/en/very%20serious%20problem; https://websters1913.timcieplowski.com/word/problem/</x:v>
      </x:c>
      <x:c r="AC151" s="31" t="str">
        <x:v>INTERNET_ARCHIVE_METADATA_TEXT_ITEM_COUNT</x:v>
      </x:c>
      <x:c r="AD151" s="19" t="str">
        <x:v>"very serious problem" AND mediatype:texts</x:v>
      </x:c>
      <x:c r="AE151" s="31" t="str">
        <x:v>EXACT_PHRASE</x:v>
      </x:c>
      <x:c r="AF151" s="31" t="str">
        <x:v>COMPLETED_NONZERO</x:v>
      </x:c>
      <x:c r="AG151" s="25" t="n">
        <x:v>101</x:v>
      </x:c>
      <x:c r="AH151" s="25" t="n">
        <x:v>5</x:v>
      </x:c>
      <x:c r="AI151" s="19" t="str">
        <x:v>2026-08-26</x:v>
      </x:c>
      <x:c r="AJ151" s="31" t="str">
        <x:v>Metadata text-item count; not a full-text lexical frequency. Secondary metric: NOT_RUN_OPENALEX_DAILY_BUDGET_EXHAUSTED: shared provider response retained; no count fabricated.</x:v>
      </x:c>
      <x:c r="AK151" s="31" t="str">
        <x:v>FULLY_COVERED</x:v>
      </x:c>
      <x:c r="AL151" s="19" t="str">
        <x:v>PENDING_SOURCE_REVIEW</x:v>
      </x:c>
      <x:c r="AM151" s="20" t="str">
        <x:v>MEDIUM</x:v>
      </x:c>
    </x:row>
    <x:row r="152" ht="34" customHeight="1">
      <x:c r="A152" s="40" t="str">
        <x:v>FT-SEED-R1B-P-2015-28</x:v>
      </x:c>
      <x:c r="B152" s="19" t="str">
        <x:v>2015</x:v>
      </x:c>
      <x:c r="C152" s="25" t="n">
        <x:v>28</x:v>
      </x:c>
      <x:c r="D152" s="31" t="str">
        <x:v>harm them personally</x:v>
      </x:c>
      <x:c r="E152" s="31" t="str">
        <x:v>generic damage</x:v>
      </x:c>
      <x:c r="F152" s="31" t="str">
        <x:v>harm_loss_consequences</x:v>
      </x:c>
      <x:c r="G152" s="19" t="str">
        <x:v>D</x:v>
      </x:c>
      <x:c r="H152" s="19" t="str">
        <x:v>V5</x:v>
      </x:c>
      <x:c r="I152" s="19" t="str">
        <x:v>NOT_EXPOSED_IN_REPORT</x:v>
      </x:c>
      <x:c r="J152" s="31" t="str">
        <x:v>S2015-PEW</x:v>
      </x:c>
      <x:c r="K152" s="31" t="str">
        <x:v>RECONSTRUCTED_FROM_REPORT; Fear of Temperature_ Stratified Lexical Expansion, Voice Mapping, and Semantic-Relational Pre-Valida.pdf; p.11; project candidate FT-SEED-R1B-P-2015-28; original visible ID not available</x:v>
      </x:c>
      <x:c r="L152" s="31" t="str">
        <x:v>SUCCEEDED_NEW</x:v>
      </x:c>
      <x:c r="M152" s="31" t="str">
        <x:v>harm them personally</x:v>
      </x:c>
      <x:c r="N152" s="31" t="str">
        <x:v>EXACT</x:v>
      </x:c>
      <x:c r="O152" s="19" t="str">
        <x:v>1878</x:v>
      </x:c>
      <x:c r="P152" s="19" t="str">
        <x:v>1988</x:v>
      </x:c>
      <x:c r="Q152" s="46" t="n">
        <x:v>2.4327109215960263e-9</x:v>
      </x:c>
      <x:c r="R152" s="46" t="n">
        <x:v>2.9992111572063607e-10</x:v>
      </x:c>
      <x:c r="S152" s="46" t="n">
        <x:v>1.898051947094951e-10</x:v>
      </x:c>
      <x:c r="T152" s="46" t="n">
        <x:v>7.567774185091025e-10</x:v>
      </x:c>
      <x:c r="U152" s="31" t="str">
        <x:v>Candidate surface form is directly representable in the public Ngram interface. New unsmoothed 1842–2022 series retrieved for the candidate audit.</x:v>
      </x:c>
      <x:c r="V152" s="31" t="str">
        <x:v>NO_STANDALONE_HEADWORD</x:v>
      </x:c>
      <x:c r="W152" s="31" t="str">
        <x:v>Component lexical analysis plus anchor-source contextual meaning</x:v>
      </x:c>
      <x:c r="X152" s="31" t="str">
        <x:v>A threat, risk, harm, severity, or consequence sense in the documented source; it is not automatically an emotion.</x:v>
      </x:c>
      <x:c r="Y152" s="31" t="str">
        <x:v>Generic material, ecological, or social damage; the candidate is interpreted in its documented anchor and voice context.</x:v>
      </x:c>
      <x:c r="Z152" s="31" t="str">
        <x:v>STRONG</x:v>
      </x:c>
      <x:c r="AA152" s="19" t="str">
        <x:v>The surface form may realize multiple senses; candidate meaning remains anchored to the report-visible source context.</x:v>
      </x:c>
      <x:c r="AB152" s="31" t="str">
        <x:v>Secondary: Component headword checked: harm.;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https://api.dictionaryapi.dev/api/v2/entries/en/harm%20them%20personally; https://websters1913.timcieplowski.com/word/harm/</x:v>
      </x:c>
      <x:c r="AC152" s="31" t="str">
        <x:v>INTERNET_ARCHIVE_METADATA_TEXT_ITEM_COUNT</x:v>
      </x:c>
      <x:c r="AD152" s="19" t="str">
        <x:v>"harm them personally" AND mediatype:texts</x:v>
      </x:c>
      <x:c r="AE152" s="31" t="str">
        <x:v>EXACT_PHRASE</x:v>
      </x:c>
      <x:c r="AF152" s="31" t="str">
        <x:v>COMPLETED_ZERO</x:v>
      </x:c>
      <x:c r="AG152" s="25" t="n">
        <x:v>0</x:v>
      </x:c>
      <x:c r="AH152" s="25" t="n">
        <x:v>0</x:v>
      </x:c>
      <x:c r="AI152" s="19" t="str">
        <x:v>2026-08-26</x:v>
      </x:c>
      <x:c r="AJ152" s="31" t="str">
        <x:v>Metadata text-item count; not a full-text lexical frequency. Secondary metric: NOT_RUN_OPENALEX_DAILY_BUDGET_EXHAUSTED: shared provider response retained; no count fabricated.</x:v>
      </x:c>
      <x:c r="AK152" s="31" t="str">
        <x:v>FULLY_COVERED</x:v>
      </x:c>
      <x:c r="AL152" s="19" t="str">
        <x:v>PENDING_SOURCE_REVIEW</x:v>
      </x:c>
      <x:c r="AM152" s="20" t="str">
        <x:v>MEDIUM</x:v>
      </x:c>
    </x:row>
    <x:row r="153" ht="34" customHeight="1">
      <x:c r="A153" s="40" t="str">
        <x:v>FT-SEED-R1B-P-2015-29</x:v>
      </x:c>
      <x:c r="B153" s="19" t="str">
        <x:v>2015</x:v>
      </x:c>
      <x:c r="C153" s="25" t="n">
        <x:v>29</x:v>
      </x:c>
      <x:c r="D153" s="31" t="str">
        <x:v>drought or water shortages</x:v>
      </x:c>
      <x:c r="E153" s="31" t="str">
        <x:v>generic damage</x:v>
      </x:c>
      <x:c r="F153" s="31" t="str">
        <x:v>harm_loss_consequences</x:v>
      </x:c>
      <x:c r="G153" s="19" t="str">
        <x:v>D</x:v>
      </x:c>
      <x:c r="H153" s="19" t="str">
        <x:v>V5</x:v>
      </x:c>
      <x:c r="I153" s="19" t="str">
        <x:v>NOT_EXPOSED_IN_REPORT</x:v>
      </x:c>
      <x:c r="J153" s="31" t="str">
        <x:v>S2015-PEW</x:v>
      </x:c>
      <x:c r="K153" s="31" t="str">
        <x:v>RECONSTRUCTED_FROM_REPORT; Fear of Temperature_ Stratified Lexical Expansion, Voice Mapping, and Semantic-Relational Pre-Valida.pdf; p.11; project candidate FT-SEED-R1B-P-2015-29; original visible ID not available</x:v>
      </x:c>
      <x:c r="L153" s="31" t="str">
        <x:v>SUCCEEDED_NEW</x:v>
      </x:c>
      <x:c r="M153" s="31" t="str">
        <x:v>drought or water shortages</x:v>
      </x:c>
      <x:c r="N153" s="31" t="str">
        <x:v>EXACT</x:v>
      </x:c>
      <x:c r="O153" s="19" t="str">
        <x:v>1940</x:v>
      </x:c>
      <x:c r="P153" s="19" t="str">
        <x:v>1943</x:v>
      </x:c>
      <x:c r="Q153" s="46" t="n">
        <x:v>1.5119944185570944e-9</x:v>
      </x:c>
      <x:c r="R153" s="46" t="n">
        <x:v>1.0753667400997813e-10</x:v>
      </x:c>
      <x:c r="S153" s="46" t="n">
        <x:v>6.857240816837695e-11</x:v>
      </x:c>
      <x:c r="T153" s="46" t="n">
        <x:v>5.08116812514281e-11</x:v>
      </x:c>
      <x:c r="U153" s="31" t="str">
        <x:v>Candidate surface form is directly representable in the public Ngram interface. New unsmoothed 1842–2022 series retrieved for the candidate audit.</x:v>
      </x:c>
      <x:c r="V153" s="31" t="str">
        <x:v>NO_STANDALONE_HEADWORD</x:v>
      </x:c>
      <x:c r="W153" s="31" t="str">
        <x:v>Component lexical analysis plus anchor-source contextual meaning</x:v>
      </x:c>
      <x:c r="X153" s="31" t="str">
        <x:v>A threat, risk, harm, severity, or consequence sense in the documented source; it is not automatically an emotion.</x:v>
      </x:c>
      <x:c r="Y153" s="31" t="str">
        <x:v>Generic material, ecological, or social damage; the candidate is interpreted in its documented anchor and voice context.</x:v>
      </x:c>
      <x:c r="Z153" s="31" t="str">
        <x:v>STRONG</x:v>
      </x:c>
      <x:c r="AA153" s="19" t="str">
        <x:v>The surface form may realize multiple senses; candidate meaning remains anchored to the report-visible source context.</x:v>
      </x:c>
      <x:c r="AB153"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https://api.dictionaryapi.dev/api/v2/entries/en/drought%20or%20water%20shortages; https://websters1913.timcieplowski.com/word/shortages/</x:v>
      </x:c>
      <x:c r="AC153" s="31" t="str">
        <x:v>INTERNET_ARCHIVE_METADATA_TEXT_ITEM_COUNT</x:v>
      </x:c>
      <x:c r="AD153" s="19" t="str">
        <x:v>"drought or water shortages" AND mediatype:texts</x:v>
      </x:c>
      <x:c r="AE153" s="31" t="str">
        <x:v>EXACT_PHRASE</x:v>
      </x:c>
      <x:c r="AF153" s="31" t="str">
        <x:v>COMPLETED_NONZERO</x:v>
      </x:c>
      <x:c r="AG153" s="25" t="n">
        <x:v>1</x:v>
      </x:c>
      <x:c r="AH153" s="25" t="n">
        <x:v>1</x:v>
      </x:c>
      <x:c r="AI153" s="19" t="str">
        <x:v>2026-08-26</x:v>
      </x:c>
      <x:c r="AJ153" s="31" t="str">
        <x:v>Metadata text-item count; not a full-text lexical frequency. Secondary metric: NOT_RUN_OPENALEX_DAILY_BUDGET_EXHAUSTED: shared provider response retained; no count fabricated.</x:v>
      </x:c>
      <x:c r="AK153" s="31" t="str">
        <x:v>FULLY_COVERED</x:v>
      </x:c>
      <x:c r="AL153" s="19" t="str">
        <x:v>PENDING_SOURCE_REVIEW</x:v>
      </x:c>
      <x:c r="AM153" s="20" t="str">
        <x:v>MEDIUM</x:v>
      </x:c>
    </x:row>
    <x:row r="154" ht="34" customHeight="1">
      <x:c r="A154" s="40" t="str">
        <x:v>FT-SEED-R1B-P-2015-30</x:v>
      </x:c>
      <x:c r="B154" s="19" t="str">
        <x:v>2015</x:v>
      </x:c>
      <x:c r="C154" s="25" t="n">
        <x:v>30</x:v>
      </x:c>
      <x:c r="D154" s="31" t="str">
        <x:v>We are nature defending itself</x:v>
      </x:c>
      <x:c r="E154" s="31" t="str">
        <x:v>personal concern</x:v>
      </x:c>
      <x:c r="F154" s="31" t="str">
        <x:v>concern_alarm</x:v>
      </x:c>
      <x:c r="G154" s="19" t="str">
        <x:v>C</x:v>
      </x:c>
      <x:c r="H154" s="19" t="str">
        <x:v>V4</x:v>
      </x:c>
      <x:c r="I154" s="19" t="str">
        <x:v>NOT_EXPOSED_IN_REPORT</x:v>
      </x:c>
      <x:c r="J154" s="31" t="str">
        <x:v>S2015-COPPROTEST</x:v>
      </x:c>
      <x:c r="K154" s="31" t="str">
        <x:v>RECONSTRUCTED_FROM_REPORT; Fear of Temperature_ Stratified Lexical Expansion, Voice Mapping, and Semantic-Relational Pre-Valida.pdf; p.11; project candidate FT-SEED-R1B-P-2015-30; original visible ID not available</x:v>
      </x:c>
      <x:c r="L154" s="31" t="str">
        <x:v>ZERO_RESPONSE_NEW</x:v>
      </x:c>
      <x:c r="M154" s="31" t="str">
        <x:v>We are nature defending itself</x:v>
      </x:c>
      <x:c r="N154" s="31" t="str">
        <x:v>EXACT</x:v>
      </x:c>
      <x:c r="O154" s="19" t="str">
        <x:v>NOT_APPLICABLE</x:v>
      </x:c>
      <x:c r="P154" s="19" t="str">
        <x:v>NOT_APPLICABLE</x:v>
      </x:c>
      <x:c r="Q154" s="46" t="str">
        <x:v>NOT_APPLICABLE</x:v>
      </x:c>
      <x:c r="R154" s="46" t="str">
        <x:v>NOT_APPLICABLE</x:v>
      </x:c>
      <x:c r="S154" s="46" t="str">
        <x:v>NOT_APPLICABLE</x:v>
      </x:c>
      <x:c r="T154" s="46" t="str">
        <x:v>NOT_APPLICABLE</x:v>
      </x:c>
      <x:c r="U154" s="31" t="str">
        <x:v>Candidate surface form is directly representable in the public Ngram interface. The public Ngram endpoint returned an empty list; retained without fabricating annual zero frequencies.</x:v>
      </x:c>
      <x:c r="V154" s="31" t="str">
        <x:v>NO_STANDALONE_HEADWORD</x:v>
      </x:c>
      <x:c r="W154" s="31" t="str">
        <x:v>Component lexical analysis plus anchor-source contextual meaning</x:v>
      </x:c>
      <x:c r="X154" s="31" t="str">
        <x:v>The candidate's affective or evaluative sense as used by the documented speaker/instrument/research voice at the anchor.</x:v>
      </x:c>
      <x:c r="Y154" s="31" t="str">
        <x:v>Concern expressed or endorsed by an identifiable person about a climate or heat object; the candidate is interpreted in its documented anchor and voice context.</x:v>
      </x:c>
      <x:c r="Z154" s="31" t="str">
        <x:v>STRONG</x:v>
      </x:c>
      <x:c r="AA154" s="19" t="str">
        <x:v>The surface form may realize multiple senses; candidate meaning remains anchored to the report-visible source context.</x:v>
      </x:c>
      <x:c r="AB154" s="31" t="str">
        <x:v>Secondary: Component headword checked: defending.;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https://api.dictionaryapi.dev/api/v2/entries/en/We%20are%20nature%20defending%20itself; https://websters1913.timcieplowski.com/word/defending/</x:v>
      </x:c>
      <x:c r="AC154" s="31" t="str">
        <x:v>INTERNET_ARCHIVE_METADATA_TEXT_ITEM_COUNT</x:v>
      </x:c>
      <x:c r="AD154" s="19" t="str">
        <x:v>"We are nature defending itself" AND mediatype:texts</x:v>
      </x:c>
      <x:c r="AE154" s="31" t="str">
        <x:v>EXACT_PHRASE</x:v>
      </x:c>
      <x:c r="AF154" s="31" t="str">
        <x:v>COMPLETED_ZERO</x:v>
      </x:c>
      <x:c r="AG154" s="25" t="n">
        <x:v>0</x:v>
      </x:c>
      <x:c r="AH154" s="25" t="n">
        <x:v>0</x:v>
      </x:c>
      <x:c r="AI154" s="19" t="str">
        <x:v>2026-08-26</x:v>
      </x:c>
      <x:c r="AJ154" s="31" t="str">
        <x:v>Metadata text-item count; not a full-text lexical frequency. Secondary metric: NOT_RUN_OPENALEX_DAILY_BUDGET_EXHAUSTED: shared provider response retained; no count fabricated.</x:v>
      </x:c>
      <x:c r="AK154" s="31" t="str">
        <x:v>FULLY_COVERED</x:v>
      </x:c>
      <x:c r="AL154" s="19" t="str">
        <x:v>PENDING_SOURCE_REVIEW</x:v>
      </x:c>
      <x:c r="AM154" s="20" t="str">
        <x:v>MEDIUM</x:v>
      </x:c>
    </x:row>
    <x:row r="155" ht="34" customHeight="1">
      <x:c r="A155" s="40" t="str">
        <x:v>FT-SEED-R1B-P-2022-01</x:v>
      </x:c>
      <x:c r="B155" s="19" t="str">
        <x:v>2022</x:v>
      </x:c>
      <x:c r="C155" s="25" t="n">
        <x:v>1</x:v>
      </x:c>
      <x:c r="D155" s="31" t="str">
        <x:v>climate change</x:v>
      </x:c>
      <x:c r="E155" s="31" t="str">
        <x:v>modern climate change</x:v>
      </x:c>
      <x:c r="F155" s="31" t="str">
        <x:v>climate</x:v>
      </x:c>
      <x:c r="G155" s="19" t="str">
        <x:v>B</x:v>
      </x:c>
      <x:c r="H155" s="19" t="str">
        <x:v>V5</x:v>
      </x:c>
      <x:c r="I155" s="19" t="str">
        <x:v>NOT_EXPOSED_IN_REPORT</x:v>
      </x:c>
      <x:c r="J155" s="31" t="str">
        <x:v>S2022-YALE-INT</x:v>
      </x:c>
      <x:c r="K155" s="31" t="str">
        <x:v>RECONSTRUCTED_FROM_REPORT; Fear of Temperature_ Stratified Lexical Expansion, Voice Mapping, and Semantic-Relational Pre-Valida.pdf; p.12; project candidate FT-SEED-R1B-P-2022-01; original visible ID not available</x:v>
      </x:c>
      <x:c r="L155" s="31" t="str">
        <x:v>SUCCEEDED_REUSED_BASELINE</x:v>
      </x:c>
      <x:c r="M155" s="31" t="str">
        <x:v>climate change</x:v>
      </x:c>
      <x:c r="N155" s="31" t="str">
        <x:v>EXACT</x:v>
      </x:c>
      <x:c r="O155" s="19" t="str">
        <x:v>1842</x:v>
      </x:c>
      <x:c r="P155" s="19" t="str">
        <x:v>2022</x:v>
      </x:c>
      <x:c r="Q155" s="46" t="n">
        <x:v>0.00002890008815206735</x:v>
      </x:c>
      <x:c r="R155" s="46" t="n">
        <x:v>0.00002890008815206735</x:v>
      </x:c>
      <x:c r="S155" s="46" t="n">
        <x:v>0.00002869409079314829</x:v>
      </x:c>
      <x:c r="T155" s="46" t="n">
        <x:v>0.00002890008815206735</x:v>
      </x:c>
      <x:c r="U155" s="31" t="str">
        <x:v>Candidate surface form is directly representable in the public Ngram interface. Complete 1842–2022 unsmoothed series reused from the audited quantitative-v0.1 baseline.</x:v>
      </x:c>
      <x:c r="V155" s="31" t="str">
        <x:v>TECHNICAL_GLOSSARY</x:v>
      </x:c>
      <x:c r="W155" s="31" t="str">
        <x:v>IPCC climate-science glossary / assessment terminology</x:v>
      </x:c>
      <x:c r="X155" s="31" t="str">
        <x:v>The established modern issue label for sustained climatic change, used in institutional, scientific, or public contexts depending on voice.</x:v>
      </x:c>
      <x:c r="Y155" s="31" t="str">
        <x:v>A persistent change in the state or variability of climate; institutional definitions differ on whether human attribution is required.</x:v>
      </x:c>
      <x:c r="Z155" s="31" t="str">
        <x:v>STRONG</x:v>
      </x:c>
      <x:c r="AA155" s="19" t="str">
        <x:v>The modern issue label must still be distinguished from generic change and historical climatic variability.</x:v>
      </x:c>
      <x:c r="AB15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55" s="31" t="str">
        <x:v>INTERNET_ARCHIVE_METADATA_TEXT_ITEM_COUNT</x:v>
      </x:c>
      <x:c r="AD155" s="19" t="str">
        <x:v>"climate change" AND mediatype:texts</x:v>
      </x:c>
      <x:c r="AE155" s="31" t="str">
        <x:v>EXACT_PHRASE</x:v>
      </x:c>
      <x:c r="AF155" s="31" t="str">
        <x:v>COMPLETED_NONZERO</x:v>
      </x:c>
      <x:c r="AG155" s="25" t="n">
        <x:v>30525</x:v>
      </x:c>
      <x:c r="AH155" s="25" t="n">
        <x:v>1334</x:v>
      </x:c>
      <x:c r="AI155" s="19" t="str">
        <x:v>2026-08-26</x:v>
      </x:c>
      <x:c r="AJ155" s="31" t="str">
        <x:v>Metadata text-item count; not a full-text lexical frequency. Secondary metric: Scholarly work discoverability count over OpenAlex search fields; not a corpus word frequency.</x:v>
      </x:c>
      <x:c r="AK155" s="31" t="str">
        <x:v>FULLY_COVERED</x:v>
      </x:c>
      <x:c r="AL155" s="19" t="str">
        <x:v>PENDING_SOURCE_REVIEW</x:v>
      </x:c>
      <x:c r="AM155" s="20" t="str">
        <x:v>MEDIUM</x:v>
      </x:c>
    </x:row>
    <x:row r="156" ht="34" customHeight="1">
      <x:c r="A156" s="40" t="str">
        <x:v>FT-SEED-R1B-P-2022-02</x:v>
      </x:c>
      <x:c r="B156" s="19" t="str">
        <x:v>2022</x:v>
      </x:c>
      <x:c r="C156" s="25" t="n">
        <x:v>2</x:v>
      </x:c>
      <x:c r="D156" s="31" t="str">
        <x:v>global warming</x:v>
      </x:c>
      <x:c r="E156" s="31" t="str">
        <x:v>global warming as issue label</x:v>
      </x:c>
      <x:c r="F156" s="31" t="str">
        <x:v>warming</x:v>
      </x:c>
      <x:c r="G156" s="19" t="str">
        <x:v>A</x:v>
      </x:c>
      <x:c r="H156" s="19" t="str">
        <x:v>V5</x:v>
      </x:c>
      <x:c r="I156" s="19" t="str">
        <x:v>NOT_EXPOSED_IN_REPORT</x:v>
      </x:c>
      <x:c r="J156" s="31" t="str">
        <x:v>S2022-YALE-US</x:v>
      </x:c>
      <x:c r="K156" s="31" t="str">
        <x:v>RECONSTRUCTED_FROM_REPORT; Fear of Temperature_ Stratified Lexical Expansion, Voice Mapping, and Semantic-Relational Pre-Valida.pdf; p.12; project candidate FT-SEED-R1B-P-2022-02; original visible ID not available</x:v>
      </x:c>
      <x:c r="L156" s="31" t="str">
        <x:v>SUCCEEDED_REUSED_BASELINE</x:v>
      </x:c>
      <x:c r="M156" s="31" t="str">
        <x:v>global warming</x:v>
      </x:c>
      <x:c r="N156" s="31" t="str">
        <x:v>EXACT</x:v>
      </x:c>
      <x:c r="O156" s="19" t="str">
        <x:v>1843</x:v>
      </x:c>
      <x:c r="P156" s="19" t="str">
        <x:v>2009</x:v>
      </x:c>
      <x:c r="Q156" s="46" t="n">
        <x:v>0.000005445639571555194</x:v>
      </x:c>
      <x:c r="R156" s="46" t="n">
        <x:v>0.000003963670369644401</x:v>
      </x:c>
      <x:c r="S156" s="46" t="n">
        <x:v>0.0000040554877937144795</x:v>
      </x:c>
      <x:c r="T156" s="46" t="n">
        <x:v>0.000003963670369644401</x:v>
      </x:c>
      <x:c r="U156" s="31" t="str">
        <x:v>Candidate surface form is directly representable in the public Ngram interface. Complete 1842–2022 unsmoothed series reused from the audited quantitative-v0.1 baseline.</x:v>
      </x:c>
      <x:c r="V156" s="31" t="str">
        <x:v>TECHNICAL_GLOSSARY</x:v>
      </x:c>
      <x:c r="W156" s="31" t="str">
        <x:v>IPCC climate-science glossary / assessment terminology</x:v>
      </x:c>
      <x:c r="X156" s="31" t="str">
        <x:v>A physical temperature, warming, heat, or measurement sense in the documented anchor context.</x:v>
      </x:c>
      <x:c r="Y156" s="31" t="str">
        <x:v>The long-term rise in global mean surface temperature, commonly used as an established issue label in modern climate discourse.</x:v>
      </x:c>
      <x:c r="Z156" s="31" t="str">
        <x:v>STRONG</x:v>
      </x:c>
      <x:c r="AA156" s="19" t="str">
        <x:v>The surface form may realize multiple senses; candidate meaning remains anchored to the report-visible source context.</x:v>
      </x:c>
      <x:c r="AB15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56" s="31" t="str">
        <x:v>INTERNET_ARCHIVE_METADATA_TEXT_ITEM_COUNT</x:v>
      </x:c>
      <x:c r="AD156" s="19" t="str">
        <x:v>"global warming" AND mediatype:texts</x:v>
      </x:c>
      <x:c r="AE156" s="31" t="str">
        <x:v>EXACT_PHRASE</x:v>
      </x:c>
      <x:c r="AF156" s="31" t="str">
        <x:v>COMPLETED_NONZERO</x:v>
      </x:c>
      <x:c r="AG156" s="25" t="n">
        <x:v>5619</x:v>
      </x:c>
      <x:c r="AH156" s="25" t="n">
        <x:v>123</x:v>
      </x:c>
      <x:c r="AI156" s="19" t="str">
        <x:v>2026-08-26</x:v>
      </x:c>
      <x:c r="AJ156" s="31" t="str">
        <x:v>Metadata text-item count; not a full-text lexical frequency. Secondary metric: NOT_RUN_OPENALEX_DAILY_BUDGET_EXHAUSTED: shared provider response retained; no count fabricated.</x:v>
      </x:c>
      <x:c r="AK156" s="31" t="str">
        <x:v>FULLY_COVERED</x:v>
      </x:c>
      <x:c r="AL156" s="19" t="str">
        <x:v>PENDING_SOURCE_REVIEW</x:v>
      </x:c>
      <x:c r="AM156" s="20" t="str">
        <x:v>MEDIUM</x:v>
      </x:c>
    </x:row>
    <x:row r="157" ht="34" customHeight="1">
      <x:c r="A157" s="40" t="str">
        <x:v>FT-SEED-R1B-P-2022-03</x:v>
      </x:c>
      <x:c r="B157" s="19" t="str">
        <x:v>2022</x:v>
      </x:c>
      <x:c r="C157" s="25" t="n">
        <x:v>3</x:v>
      </x:c>
      <x:c r="D157" s="31" t="str">
        <x:v>very worried</x:v>
      </x:c>
      <x:c r="E157" s="31" t="str">
        <x:v>participant worry endorsement</x:v>
      </x:c>
      <x:c r="F157" s="31" t="str">
        <x:v>worry</x:v>
      </x:c>
      <x:c r="G157" s="19" t="str">
        <x:v>C</x:v>
      </x:c>
      <x:c r="H157" s="19" t="str">
        <x:v>V5</x:v>
      </x:c>
      <x:c r="I157" s="19" t="str">
        <x:v>E3</x:v>
      </x:c>
      <x:c r="J157" s="31" t="str">
        <x:v>S2022-YALE-INT</x:v>
      </x:c>
      <x:c r="K157" s="31" t="str">
        <x:v>RECONSTRUCTED_FROM_REPORT; Fear of Temperature_ Stratified Lexical Expansion, Voice Mapping, and Semantic-Relational Pre-Valida.pdf; p.12; project candidate FT-SEED-R1B-P-2022-03; original visible ID not available</x:v>
      </x:c>
      <x:c r="L157" s="31" t="str">
        <x:v>SUCCEEDED_REUSED_BASELINE</x:v>
      </x:c>
      <x:c r="M157" s="31" t="str">
        <x:v>very worried</x:v>
      </x:c>
      <x:c r="N157" s="31" t="str">
        <x:v>EXACT</x:v>
      </x:c>
      <x:c r="O157" s="19" t="str">
        <x:v>1843</x:v>
      </x:c>
      <x:c r="P157" s="19" t="str">
        <x:v>2020</x:v>
      </x:c>
      <x:c r="Q157" s="46" t="n">
        <x:v>0.000001237675283025097</x:v>
      </x:c>
      <x:c r="R157" s="46" t="n">
        <x:v>3.79268325273463e-7</x:v>
      </x:c>
      <x:c r="S157" s="46" t="n">
        <x:v>3.800947214332995e-7</x:v>
      </x:c>
      <x:c r="T157" s="46" t="n">
        <x:v>3.79268325273463e-7</x:v>
      </x:c>
      <x:c r="U157" s="31" t="str">
        <x:v>Candidate surface form is directly representable in the public Ngram interface. Complete 1842–2022 unsmoothed series reused from the audited quantitative-v0.1 baseline.</x:v>
      </x:c>
      <x:c r="V157" s="31" t="str">
        <x:v>NO_STANDALONE_HEADWORD</x:v>
      </x:c>
      <x:c r="W157" s="31" t="str">
        <x:v>Component lexical analysis plus anchor-source contextual meaning</x:v>
      </x:c>
      <x:c r="X157" s="31" t="str">
        <x:v>Survey or instrument wording used to elicit and classify participant endorsement; the response may be participant evidence, but the lexical wording is supplied.</x:v>
      </x:c>
      <x:c r="Y157" s="31" t="str">
        <x:v>Contemporary worry wording may describe affect, but in the cited survey setting it is instrument-supplied and participant endorsement is elicited rather than spontaneous.</x:v>
      </x:c>
      <x:c r="Z157" s="31" t="str">
        <x:v>STRONG</x:v>
      </x:c>
      <x:c r="AA157" s="19" t="str">
        <x:v>Elicited endorsement, question wording, and spontaneous participant vocabulary are distinct provenance states.</x:v>
      </x:c>
      <x:c r="AB157"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57" s="31" t="str">
        <x:v>INTERNET_ARCHIVE_METADATA_TEXT_ITEM_COUNT</x:v>
      </x:c>
      <x:c r="AD157" s="19" t="str">
        <x:v>"very worried" AND mediatype:texts</x:v>
      </x:c>
      <x:c r="AE157" s="31" t="str">
        <x:v>EXACT_PHRASE</x:v>
      </x:c>
      <x:c r="AF157" s="31" t="str">
        <x:v>COMPLETED_NONZERO</x:v>
      </x:c>
      <x:c r="AG157" s="25" t="n">
        <x:v>131</x:v>
      </x:c>
      <x:c r="AH157" s="25" t="n">
        <x:v>4</x:v>
      </x:c>
      <x:c r="AI157" s="19" t="str">
        <x:v>2026-08-26</x:v>
      </x:c>
      <x:c r="AJ157" s="31" t="str">
        <x:v>Metadata text-item count; not a full-text lexical frequency. Secondary metric: NOT_RUN_OPENALEX_DAILY_BUDGET_EXHAUSTED: shared provider response retained; no count fabricated.</x:v>
      </x:c>
      <x:c r="AK157" s="31" t="str">
        <x:v>FULLY_COVERED</x:v>
      </x:c>
      <x:c r="AL157" s="19" t="str">
        <x:v>NOT_APPLICABLE</x:v>
      </x:c>
      <x:c r="AM157" s="20" t="str">
        <x:v>MEDIUM</x:v>
      </x:c>
    </x:row>
    <x:row r="158" ht="34" customHeight="1">
      <x:c r="A158" s="40" t="str">
        <x:v>FT-SEED-R1B-P-2022-04</x:v>
      </x:c>
      <x:c r="B158" s="19" t="str">
        <x:v>2022</x:v>
      </x:c>
      <x:c r="C158" s="25" t="n">
        <x:v>4</x:v>
      </x:c>
      <x:c r="D158" s="31" t="str">
        <x:v>somewhat worried</x:v>
      </x:c>
      <x:c r="E158" s="31" t="str">
        <x:v>participant worry endorsement</x:v>
      </x:c>
      <x:c r="F158" s="31" t="str">
        <x:v>worry</x:v>
      </x:c>
      <x:c r="G158" s="19" t="str">
        <x:v>C</x:v>
      </x:c>
      <x:c r="H158" s="19" t="str">
        <x:v>V5</x:v>
      </x:c>
      <x:c r="I158" s="19" t="str">
        <x:v>NOT_EXPOSED_IN_REPORT</x:v>
      </x:c>
      <x:c r="J158" s="31" t="str">
        <x:v>S2022-YALE-INT</x:v>
      </x:c>
      <x:c r="K158" s="31" t="str">
        <x:v>RECONSTRUCTED_FROM_REPORT; Fear of Temperature_ Stratified Lexical Expansion, Voice Mapping, and Semantic-Relational Pre-Valida.pdf; p.12; project candidate FT-SEED-R1B-P-2022-04; original visible ID not available</x:v>
      </x:c>
      <x:c r="L158" s="31" t="str">
        <x:v>SUCCEEDED_REUSED_BASELINE</x:v>
      </x:c>
      <x:c r="M158" s="31" t="str">
        <x:v>somewhat worried</x:v>
      </x:c>
      <x:c r="N158" s="31" t="str">
        <x:v>EXACT</x:v>
      </x:c>
      <x:c r="O158" s="19" t="str">
        <x:v>1842</x:v>
      </x:c>
      <x:c r="P158" s="19" t="str">
        <x:v>2020</x:v>
      </x:c>
      <x:c r="Q158" s="46" t="n">
        <x:v>1.0021906679189008e-7</x:v>
      </x:c>
      <x:c r="R158" s="46" t="n">
        <x:v>1.6988106976700834e-8</x:v>
      </x:c>
      <x:c r="S158" s="46" t="n">
        <x:v>1.6607363815743237e-8</x:v>
      </x:c>
      <x:c r="T158" s="46" t="n">
        <x:v>1.6988106976700834e-8</x:v>
      </x:c>
      <x:c r="U158" s="31" t="str">
        <x:v>Candidate surface form is directly representable in the public Ngram interface. Complete 1842–2022 unsmoothed series reused from the audited quantitative-v0.1 baseline.</x:v>
      </x:c>
      <x:c r="V158" s="31" t="str">
        <x:v>NO_STANDALONE_HEADWORD</x:v>
      </x:c>
      <x:c r="W158" s="31" t="str">
        <x:v>Component lexical analysis plus anchor-source contextual meaning</x:v>
      </x:c>
      <x:c r="X158" s="31" t="str">
        <x:v>Survey or instrument wording used to elicit and classify participant endorsement; the response may be participant evidence, but the lexical wording is supplied.</x:v>
      </x:c>
      <x:c r="Y158" s="31" t="str">
        <x:v>A participant selection or endorsement of a supplied worry category; the candidate is interpreted in its documented anchor and voice context.</x:v>
      </x:c>
      <x:c r="Z158" s="31" t="str">
        <x:v>STRONG</x:v>
      </x:c>
      <x:c r="AA158" s="19" t="str">
        <x:v>Elicited endorsement, question wording, and spontaneous participant vocabulary are distinct provenance states.</x:v>
      </x:c>
      <x:c r="AB158"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8" s="31" t="str">
        <x:v>INTERNET_ARCHIVE_METADATA_TEXT_ITEM_COUNT</x:v>
      </x:c>
      <x:c r="AD158" s="19" t="str">
        <x:v>"somewhat worried" AND mediatype:texts</x:v>
      </x:c>
      <x:c r="AE158" s="31" t="str">
        <x:v>EXACT_PHRASE</x:v>
      </x:c>
      <x:c r="AF158" s="31" t="str">
        <x:v>COMPLETED_NONZERO</x:v>
      </x:c>
      <x:c r="AG158" s="25" t="n">
        <x:v>15</x:v>
      </x:c>
      <x:c r="AH158" s="25" t="n">
        <x:v>2</x:v>
      </x:c>
      <x:c r="AI158" s="19" t="str">
        <x:v>2026-08-26</x:v>
      </x:c>
      <x:c r="AJ158" s="31" t="str">
        <x:v>Metadata text-item count; not a full-text lexical frequency. Secondary metric: NOT_RUN_OPENALEX_DAILY_BUDGET_EXHAUSTED: shared provider response retained; no count fabricated.</x:v>
      </x:c>
      <x:c r="AK158" s="31" t="str">
        <x:v>FULLY_COVERED</x:v>
      </x:c>
      <x:c r="AL158" s="19" t="str">
        <x:v>PENDING_SOURCE_REVIEW</x:v>
      </x:c>
      <x:c r="AM158" s="20" t="str">
        <x:v>MEDIUM</x:v>
      </x:c>
    </x:row>
    <x:row r="159" ht="34" customHeight="1">
      <x:c r="A159" s="40" t="str">
        <x:v>FT-SEED-R1B-P-2022-05</x:v>
      </x:c>
      <x:c r="B159" s="19" t="str">
        <x:v>2022</x:v>
      </x:c>
      <x:c r="C159" s="25" t="n">
        <x:v>5</x:v>
      </x:c>
      <x:c r="D159" s="31" t="str">
        <x:v>afraid</x:v>
      </x:c>
      <x:c r="E159" s="31" t="str">
        <x:v>participant afraid endorsement</x:v>
      </x:c>
      <x:c r="F159" s="31" t="str">
        <x:v>fear_afraid</x:v>
      </x:c>
      <x:c r="G159" s="19" t="str">
        <x:v>C</x:v>
      </x:c>
      <x:c r="H159" s="19" t="str">
        <x:v>V5</x:v>
      </x:c>
      <x:c r="I159" s="19" t="str">
        <x:v>NOT_EXPOSED_IN_REPORT</x:v>
      </x:c>
      <x:c r="J159" s="31" t="str">
        <x:v>S2022-YALE-US</x:v>
      </x:c>
      <x:c r="K159" s="31" t="str">
        <x:v>RECONSTRUCTED_FROM_REPORT; Fear of Temperature_ Stratified Lexical Expansion, Voice Mapping, and Semantic-Relational Pre-Valida.pdf; p.12; project candidate FT-SEED-R1B-P-2022-05; original visible ID not available</x:v>
      </x:c>
      <x:c r="L159" s="31" t="str">
        <x:v>SUCCEEDED_REUSED_BASELINE</x:v>
      </x:c>
      <x:c r="M159" s="31" t="str">
        <x:v>afraid</x:v>
      </x:c>
      <x:c r="N159" s="31" t="str">
        <x:v>EXACT</x:v>
      </x:c>
      <x:c r="O159" s="19" t="str">
        <x:v>1842</x:v>
      </x:c>
      <x:c r="P159" s="19" t="str">
        <x:v>2020</x:v>
      </x:c>
      <x:c r="Q159" s="46" t="n">
        <x:v>0.00007990909915633893</x:v>
      </x:c>
      <x:c r="R159" s="46" t="n">
        <x:v>0.000042338097898834276</x:v>
      </x:c>
      <x:c r="S159" s="46" t="n">
        <x:v>0.00004088140822501238</x:v>
      </x:c>
      <x:c r="T159" s="46" t="n">
        <x:v>0.000042338097898834276</x:v>
      </x:c>
      <x:c r="U159" s="31" t="str">
        <x:v>Candidate surface form is directly representable in the public Ngram interface. Complete 1842–2022 unsmoothed series reused from the audited quantitative-v0.1 baseline.</x:v>
      </x:c>
      <x:c r="V159" s="31" t="str">
        <x:v>DIRECT_HEADWORD</x:v>
      </x:c>
      <x:c r="W159" s="31" t="str">
        <x:v>Webster's Revised Unabridged Dictionary (1913 public-domain headword index)</x:v>
      </x:c>
      <x:c r="X159" s="31" t="str">
        <x:v>The candidate's affective or evaluative sense as used by the documented speaker/instrument/research voice at the anchor.</x:v>
      </x:c>
      <x:c r="Y159" s="31" t="str">
        <x:v>Participant endorsement of a supplied afraid category; the candidate is interpreted in its documented anchor and voice context.</x:v>
      </x:c>
      <x:c r="Z159" s="31" t="str">
        <x:v>STRONG</x:v>
      </x:c>
      <x:c r="AA159" s="19" t="str">
        <x:v>The surface form may realize multiple senses; candidate meaning remains anchored to the report-visible source context.</x:v>
      </x:c>
      <x:c r="AB159" s="31" t="str">
        <x:v>Secondary: Component headword checked: afraid.; historical: Webster's Revised Unabridged Dictionary (1913 public-domain edition); source: https://websters1913.timcieplowski.com/word/afraid/; https://api.dictionaryapi.dev/api/v2/entries/en/afraid</x:v>
      </x:c>
      <x:c r="AC159" s="31" t="str">
        <x:v>INTERNET_ARCHIVE_METADATA_TEXT_ITEM_COUNT</x:v>
      </x:c>
      <x:c r="AD159" s="19" t="str">
        <x:v>"afraid" AND mediatype:texts</x:v>
      </x:c>
      <x:c r="AE159" s="31" t="str">
        <x:v>EXACT_PHRASE</x:v>
      </x:c>
      <x:c r="AF159" s="31" t="str">
        <x:v>COMPLETED_NONZERO</x:v>
      </x:c>
      <x:c r="AG159" s="25" t="n">
        <x:v>9411</x:v>
      </x:c>
      <x:c r="AH159" s="25" t="n">
        <x:v>125</x:v>
      </x:c>
      <x:c r="AI159" s="19" t="str">
        <x:v>2026-08-26</x:v>
      </x:c>
      <x:c r="AJ159" s="31" t="str">
        <x:v>Metadata text-item count; not a full-text lexical frequency. Secondary metric: Scholarly work discoverability count over OpenAlex search fields; not a corpus word frequency.</x:v>
      </x:c>
      <x:c r="AK159" s="31" t="str">
        <x:v>FULLY_COVERED</x:v>
      </x:c>
      <x:c r="AL159" s="19" t="str">
        <x:v>PENDING_SOURCE_REVIEW</x:v>
      </x:c>
      <x:c r="AM159" s="20" t="str">
        <x:v>MEDIUM</x:v>
      </x:c>
    </x:row>
    <x:row r="160" ht="34" customHeight="1">
      <x:c r="A160" s="40" t="str">
        <x:v>FT-SEED-R1B-P-2022-06</x:v>
      </x:c>
      <x:c r="B160" s="19" t="str">
        <x:v>2022</x:v>
      </x:c>
      <x:c r="C160" s="25" t="n">
        <x:v>6</x:v>
      </x:c>
      <x:c r="D160" s="31" t="str">
        <x:v>anxious</x:v>
      </x:c>
      <x:c r="E160" s="31" t="str">
        <x:v>anxious affect</x:v>
      </x:c>
      <x:c r="F160" s="31" t="str">
        <x:v>anxiety</x:v>
      </x:c>
      <x:c r="G160" s="19" t="str">
        <x:v>C</x:v>
      </x:c>
      <x:c r="H160" s="19" t="str">
        <x:v>V5</x:v>
      </x:c>
      <x:c r="I160" s="19" t="str">
        <x:v>NOT_EXPOSED_IN_REPORT</x:v>
      </x:c>
      <x:c r="J160" s="31" t="str">
        <x:v>S2022-YALE-US</x:v>
      </x:c>
      <x:c r="K160" s="31" t="str">
        <x:v>RECONSTRUCTED_FROM_REPORT; Fear of Temperature_ Stratified Lexical Expansion, Voice Mapping, and Semantic-Relational Pre-Valida.pdf; p.12; project candidate FT-SEED-R1B-P-2022-06; original visible ID not available</x:v>
      </x:c>
      <x:c r="L160" s="31" t="str">
        <x:v>SUCCEEDED_REUSED_BASELINE</x:v>
      </x:c>
      <x:c r="M160" s="31" t="str">
        <x:v>anxious</x:v>
      </x:c>
      <x:c r="N160" s="31" t="str">
        <x:v>EXACT</x:v>
      </x:c>
      <x:c r="O160" s="19" t="str">
        <x:v>1842</x:v>
      </x:c>
      <x:c r="P160" s="19" t="str">
        <x:v>1844</x:v>
      </x:c>
      <x:c r="Q160" s="46" t="n">
        <x:v>0.00004193757599324499</x:v>
      </x:c>
      <x:c r="R160" s="46" t="n">
        <x:v>0.000017530547914985928</x:v>
      </x:c>
      <x:c r="S160" s="46" t="n">
        <x:v>0.00001608468696928829</x:v>
      </x:c>
      <x:c r="T160" s="46" t="n">
        <x:v>0.000017530547914985928</x:v>
      </x:c>
      <x:c r="U160" s="31" t="str">
        <x:v>Candidate surface form is directly representable in the public Ngram interface. Complete 1842–2022 unsmoothed series reused from the audited quantitative-v0.1 baseline.</x:v>
      </x:c>
      <x:c r="V160" s="31" t="str">
        <x:v>DIRECT_HEADWORD</x:v>
      </x:c>
      <x:c r="W160" s="31" t="str">
        <x:v>Webster's Revised Unabridged Dictionary (1913 public-domain headword index)</x:v>
      </x:c>
      <x:c r="X160" s="31" t="str">
        <x:v>The candidate's affective or evaluative sense as used by the documented speaker/instrument/research voice at the anchor.</x:v>
      </x:c>
      <x:c r="Y160" s="31" t="str">
        <x:v>Anxious feeling directly expressed or endorsed by a participant; the candidate is interpreted in its documented anchor and voice context.</x:v>
      </x:c>
      <x:c r="Z160" s="31" t="str">
        <x:v>STRONG</x:v>
      </x:c>
      <x:c r="AA160" s="19" t="str">
        <x:v>The surface form may realize multiple senses; candidate meaning remains anchored to the report-visible source context.</x:v>
      </x:c>
      <x:c r="AB160" s="31" t="str">
        <x:v>Secondary: Component headword checked: anxious.; historical: Anchor-period research source/context; Webster 1913 stable component URL recorded but automated page retrieval was unavailable; source: https://websters1913.timcieplowski.com/word/anxious/; https://api.dictionaryapi.dev/api/v2/entries/en/anxious</x:v>
      </x:c>
      <x:c r="AC160" s="31" t="str">
        <x:v>INTERNET_ARCHIVE_METADATA_TEXT_ITEM_COUNT</x:v>
      </x:c>
      <x:c r="AD160" s="19" t="str">
        <x:v>"anxious" AND mediatype:texts</x:v>
      </x:c>
      <x:c r="AE160" s="31" t="str">
        <x:v>EXACT_PHRASE</x:v>
      </x:c>
      <x:c r="AF160" s="31" t="str">
        <x:v>COMPLETED_NONZERO</x:v>
      </x:c>
      <x:c r="AG160" s="25" t="n">
        <x:v>9274</x:v>
      </x:c>
      <x:c r="AH160" s="25" t="n">
        <x:v>124</x:v>
      </x:c>
      <x:c r="AI160" s="19" t="str">
        <x:v>2026-08-26</x:v>
      </x:c>
      <x:c r="AJ160" s="31" t="str">
        <x:v>Metadata text-item count; not a full-text lexical frequency. Secondary metric: Scholarly work discoverability count over OpenAlex search fields; not a corpus word frequency.</x:v>
      </x:c>
      <x:c r="AK160" s="31" t="str">
        <x:v>FULLY_COVERED</x:v>
      </x:c>
      <x:c r="AL160" s="19" t="str">
        <x:v>PENDING_SOURCE_REVIEW</x:v>
      </x:c>
      <x:c r="AM160" s="20" t="str">
        <x:v>MEDIUM</x:v>
      </x:c>
    </x:row>
    <x:row r="161" ht="34" customHeight="1">
      <x:c r="A161" s="40" t="str">
        <x:v>FT-SEED-R1B-P-2022-07</x:v>
      </x:c>
      <x:c r="B161" s="19" t="str">
        <x:v>2022</x:v>
      </x:c>
      <x:c r="C161" s="25" t="n">
        <x:v>7</x:v>
      </x:c>
      <x:c r="D161" s="31" t="str">
        <x:v>hopeless</x:v>
      </x:c>
      <x:c r="E161" s="31" t="str">
        <x:v>depressed affect</x:v>
      </x:c>
      <x:c r="F161" s="31" t="str">
        <x:v>distress_depression</x:v>
      </x:c>
      <x:c r="G161" s="19" t="str">
        <x:v>C</x:v>
      </x:c>
      <x:c r="H161" s="19" t="str">
        <x:v>V5</x:v>
      </x:c>
      <x:c r="I161" s="19" t="str">
        <x:v>NOT_EXPOSED_IN_REPORT</x:v>
      </x:c>
      <x:c r="J161" s="31" t="str">
        <x:v>S2022-YALE-US</x:v>
      </x:c>
      <x:c r="K161" s="31" t="str">
        <x:v>RECONSTRUCTED_FROM_REPORT; Fear of Temperature_ Stratified Lexical Expansion, Voice Mapping, and Semantic-Relational Pre-Valida.pdf; p.12; project candidate FT-SEED-R1B-P-2022-07; original visible ID not available</x:v>
      </x:c>
      <x:c r="L161" s="31" t="str">
        <x:v>SUCCEEDED_REUSED_BASELINE</x:v>
      </x:c>
      <x:c r="M161" s="31" t="str">
        <x:v>hopeless</x:v>
      </x:c>
      <x:c r="N161" s="31" t="str">
        <x:v>EXACT</x:v>
      </x:c>
      <x:c r="O161" s="19" t="str">
        <x:v>1842</x:v>
      </x:c>
      <x:c r="P161" s="19" t="str">
        <x:v>1848</x:v>
      </x:c>
      <x:c r="Q161" s="46" t="n">
        <x:v>0.000008843983238193687</x:v>
      </x:c>
      <x:c r="R161" s="46" t="n">
        <x:v>0.000004716772487256549</x:v>
      </x:c>
      <x:c r="S161" s="46" t="n">
        <x:v>0.0000043393091004872986</x:v>
      </x:c>
      <x:c r="T161" s="46" t="n">
        <x:v>0.000004716772487256549</x:v>
      </x:c>
      <x:c r="U161" s="31" t="str">
        <x:v>Candidate surface form is directly representable in the public Ngram interface. Complete 1842–2022 unsmoothed series reused from the audited quantitative-v0.1 baseline.</x:v>
      </x:c>
      <x:c r="V161" s="31" t="str">
        <x:v>DIRECT_HEADWORD</x:v>
      </x:c>
      <x:c r="W161" s="31" t="str">
        <x:v>Webster's Revised Unabridged Dictionary (1913 public-domain headword index)</x:v>
      </x:c>
      <x:c r="X161" s="31" t="str">
        <x:v>The candidate's affective or evaluative sense as used by the documented speaker/instrument/research voice at the anchor.</x:v>
      </x:c>
      <x:c r="Y161" s="31" t="str">
        <x:v>Depressed affect directly expressed or instrument-endorsed in a climate context; the candidate is interpreted in its documented anchor and voice context.</x:v>
      </x:c>
      <x:c r="Z161" s="31" t="str">
        <x:v>STRONG</x:v>
      </x:c>
      <x:c r="AA161" s="19" t="str">
        <x:v>The surface form may realize multiple senses; candidate meaning remains anchored to the report-visible source context.</x:v>
      </x:c>
      <x:c r="AB161" s="31" t="str">
        <x:v>Secondary: Component headword checked: hopeless.; historical: Anchor-period research source/context; Webster 1913 stable component URL recorded but automated page retrieval was unavailable; source: https://websters1913.timcieplowski.com/word/hopeless/; https://api.dictionaryapi.dev/api/v2/entries/en/hopeless</x:v>
      </x:c>
      <x:c r="AC161" s="31" t="str">
        <x:v>INTERNET_ARCHIVE_METADATA_TEXT_ITEM_COUNT</x:v>
      </x:c>
      <x:c r="AD161" s="19" t="str">
        <x:v>"hopeless" AND mediatype:texts</x:v>
      </x:c>
      <x:c r="AE161" s="31" t="str">
        <x:v>EXACT_PHRASE</x:v>
      </x:c>
      <x:c r="AF161" s="31" t="str">
        <x:v>COMPLETED_NONZERO</x:v>
      </x:c>
      <x:c r="AG161" s="25" t="n">
        <x:v>2257</x:v>
      </x:c>
      <x:c r="AH161" s="25" t="n">
        <x:v>36</x:v>
      </x:c>
      <x:c r="AI161" s="19" t="str">
        <x:v>2026-08-26</x:v>
      </x:c>
      <x:c r="AJ161" s="31" t="str">
        <x:v>Metadata text-item count; not a full-text lexical frequency. Secondary metric: NOT_RUN_OPENALEX_DAILY_BUDGET_EXHAUSTED: shared provider response retained; no count fabricated.</x:v>
      </x:c>
      <x:c r="AK161" s="31" t="str">
        <x:v>FULLY_COVERED</x:v>
      </x:c>
      <x:c r="AL161" s="19" t="str">
        <x:v>PENDING_SOURCE_REVIEW</x:v>
      </x:c>
      <x:c r="AM161" s="20" t="str">
        <x:v>MEDIUM</x:v>
      </x:c>
    </x:row>
    <x:row r="162" ht="34" customHeight="1">
      <x:c r="A162" s="40" t="str">
        <x:v>FT-SEED-R1B-P-2022-08</x:v>
      </x:c>
      <x:c r="B162" s="19" t="str">
        <x:v>2022</x:v>
      </x:c>
      <x:c r="C162" s="25" t="n">
        <x:v>8</x:v>
      </x:c>
      <x:c r="D162" s="31" t="str">
        <x:v>sad</x:v>
      </x:c>
      <x:c r="E162" s="31" t="str">
        <x:v>depressed affect</x:v>
      </x:c>
      <x:c r="F162" s="31" t="str">
        <x:v>distress_depression</x:v>
      </x:c>
      <x:c r="G162" s="19" t="str">
        <x:v>C</x:v>
      </x:c>
      <x:c r="H162" s="19" t="str">
        <x:v>V5</x:v>
      </x:c>
      <x:c r="I162" s="19" t="str">
        <x:v>NOT_EXPOSED_IN_REPORT</x:v>
      </x:c>
      <x:c r="J162" s="31" t="str">
        <x:v>S2022-YALE-US</x:v>
      </x:c>
      <x:c r="K162" s="31" t="str">
        <x:v>RECONSTRUCTED_FROM_REPORT; Fear of Temperature_ Stratified Lexical Expansion, Voice Mapping, and Semantic-Relational Pre-Valida.pdf; p.12; project candidate FT-SEED-R1B-P-2022-08; original visible ID not available</x:v>
      </x:c>
      <x:c r="L162" s="31" t="str">
        <x:v>SUCCEEDED_REUSED_BASELINE</x:v>
      </x:c>
      <x:c r="M162" s="31" t="str">
        <x:v>sad</x:v>
      </x:c>
      <x:c r="N162" s="31" t="str">
        <x:v>EXACT</x:v>
      </x:c>
      <x:c r="O162" s="19" t="str">
        <x:v>1842</x:v>
      </x:c>
      <x:c r="P162" s="19" t="str">
        <x:v>1850</x:v>
      </x:c>
      <x:c r="Q162" s="46" t="n">
        <x:v>0.00003509316660199602</x:v>
      </x:c>
      <x:c r="R162" s="46" t="n">
        <x:v>0.00002540873449891415</x:v>
      </x:c>
      <x:c r="S162" s="46" t="n">
        <x:v>0.000024303538081332787</x:v>
      </x:c>
      <x:c r="T162" s="46" t="n">
        <x:v>0.00002540873449891415</x:v>
      </x:c>
      <x:c r="U162" s="31" t="str">
        <x:v>Candidate surface form is directly representable in the public Ngram interface. Complete 1842–2022 unsmoothed series reused from the audited quantitative-v0.1 baseline.</x:v>
      </x:c>
      <x:c r="V162" s="31" t="str">
        <x:v>DIRECT_HEADWORD</x:v>
      </x:c>
      <x:c r="W162" s="31" t="str">
        <x:v>Webster's Revised Unabridged Dictionary (1913 public-domain headword index)</x:v>
      </x:c>
      <x:c r="X162" s="31" t="str">
        <x:v>The candidate's affective or evaluative sense as used by the documented speaker/instrument/research voice at the anchor.</x:v>
      </x:c>
      <x:c r="Y162" s="31" t="str">
        <x:v>Depressed affect directly expressed or instrument-endorsed in a climate context; the candidate is interpreted in its documented anchor and voice context.</x:v>
      </x:c>
      <x:c r="Z162" s="31" t="str">
        <x:v>STRONG</x:v>
      </x:c>
      <x:c r="AA162" s="19" t="str">
        <x:v>The surface form may realize multiple senses; candidate meaning remains anchored to the report-visible source context.</x:v>
      </x:c>
      <x:c r="AB162" s="31" t="str">
        <x:v>Secondary: Component headword checked: sad.; historical: Anchor-period research source/context; Webster 1913 stable component URL recorded but automated page retrieval was unavailable; source: https://websters1913.timcieplowski.com/word/sad/; https://api.dictionaryapi.dev/api/v2/entries/en/sad</x:v>
      </x:c>
      <x:c r="AC162" s="31" t="str">
        <x:v>INTERNET_ARCHIVE_METADATA_TEXT_ITEM_COUNT</x:v>
      </x:c>
      <x:c r="AD162" s="19" t="str">
        <x:v>"sad" AND mediatype:texts</x:v>
      </x:c>
      <x:c r="AE162" s="31" t="str">
        <x:v>EXACT_PHRASE</x:v>
      </x:c>
      <x:c r="AF162" s="31" t="str">
        <x:v>COMPLETED_NONZERO</x:v>
      </x:c>
      <x:c r="AG162" s="25" t="n">
        <x:v>21781</x:v>
      </x:c>
      <x:c r="AH162" s="25" t="n">
        <x:v>272</x:v>
      </x:c>
      <x:c r="AI162" s="19" t="str">
        <x:v>2026-08-26</x:v>
      </x:c>
      <x:c r="AJ162" s="31" t="str">
        <x:v>Metadata text-item count; not a full-text lexical frequency. Secondary metric: NOT_RUN_OPENALEX_DAILY_BUDGET_EXHAUSTED: shared provider response retained; no count fabricated.</x:v>
      </x:c>
      <x:c r="AK162" s="31" t="str">
        <x:v>FULLY_COVERED</x:v>
      </x:c>
      <x:c r="AL162" s="19" t="str">
        <x:v>PENDING_SOURCE_REVIEW</x:v>
      </x:c>
      <x:c r="AM162" s="20" t="str">
        <x:v>MEDIUM</x:v>
      </x:c>
    </x:row>
    <x:row r="163" ht="34" customHeight="1">
      <x:c r="A163" s="40" t="str">
        <x:v>FT-SEED-R1B-P-2022-09</x:v>
      </x:c>
      <x:c r="B163" s="19" t="str">
        <x:v>2022</x:v>
      </x:c>
      <x:c r="C163" s="25" t="n">
        <x:v>9</x:v>
      </x:c>
      <x:c r="D163" s="31" t="str">
        <x:v>angry</x:v>
      </x:c>
      <x:c r="E163" s="31" t="str">
        <x:v>depressed affect</x:v>
      </x:c>
      <x:c r="F163" s="31" t="str">
        <x:v>distress_depression</x:v>
      </x:c>
      <x:c r="G163" s="19" t="str">
        <x:v>C</x:v>
      </x:c>
      <x:c r="H163" s="19" t="str">
        <x:v>V5</x:v>
      </x:c>
      <x:c r="I163" s="19" t="str">
        <x:v>NOT_EXPOSED_IN_REPORT</x:v>
      </x:c>
      <x:c r="J163" s="31" t="str">
        <x:v>S2022-YALE-US</x:v>
      </x:c>
      <x:c r="K163" s="31" t="str">
        <x:v>RECONSTRUCTED_FROM_REPORT; Fear of Temperature_ Stratified Lexical Expansion, Voice Mapping, and Semantic-Relational Pre-Valida.pdf; p.13; project candidate FT-SEED-R1B-P-2022-09; original visible ID not available</x:v>
      </x:c>
      <x:c r="L163" s="31" t="str">
        <x:v>SUCCEEDED_REUSED_BASELINE</x:v>
      </x:c>
      <x:c r="M163" s="31" t="str">
        <x:v>angry</x:v>
      </x:c>
      <x:c r="N163" s="31" t="str">
        <x:v>EXACT</x:v>
      </x:c>
      <x:c r="O163" s="19" t="str">
        <x:v>1842</x:v>
      </x:c>
      <x:c r="P163" s="19" t="str">
        <x:v>2020</x:v>
      </x:c>
      <x:c r="Q163" s="46" t="n">
        <x:v>0.00005484382637632734</x:v>
      </x:c>
      <x:c r="R163" s="46" t="n">
        <x:v>0.00003134844381236235</x:v>
      </x:c>
      <x:c r="S163" s="46" t="n">
        <x:v>0.000030892590224596006</x:v>
      </x:c>
      <x:c r="T163" s="46" t="n">
        <x:v>0.00003134844381236235</x:v>
      </x:c>
      <x:c r="U163" s="31" t="str">
        <x:v>Candidate surface form is directly representable in the public Ngram interface. Complete 1842–2022 unsmoothed series reused from the audited quantitative-v0.1 baseline.</x:v>
      </x:c>
      <x:c r="V163" s="31" t="str">
        <x:v>DIRECT_HEADWORD</x:v>
      </x:c>
      <x:c r="W163" s="31" t="str">
        <x:v>Webster's Revised Unabridged Dictionary (1913 public-domain headword index)</x:v>
      </x:c>
      <x:c r="X163" s="31" t="str">
        <x:v>The candidate's affective or evaluative sense as used by the documented speaker/instrument/research voice at the anchor.</x:v>
      </x:c>
      <x:c r="Y163" s="31" t="str">
        <x:v>Depressed affect directly expressed or instrument-endorsed in a climate context; the candidate is interpreted in its documented anchor and voice context.</x:v>
      </x:c>
      <x:c r="Z163" s="31" t="str">
        <x:v>STRONG</x:v>
      </x:c>
      <x:c r="AA163" s="19" t="str">
        <x:v>The surface form may realize multiple senses; candidate meaning remains anchored to the report-visible source context.</x:v>
      </x:c>
      <x:c r="AB163" s="31" t="str">
        <x:v>Secondary: Component headword checked: angry.; historical: Anchor-period research source/context; Webster 1913 stable component URL recorded but automated page retrieval was unavailable; source: https://websters1913.timcieplowski.com/word/angry/; https://api.dictionaryapi.dev/api/v2/entries/en/angry</x:v>
      </x:c>
      <x:c r="AC163" s="31" t="str">
        <x:v>INTERNET_ARCHIVE_METADATA_TEXT_ITEM_COUNT</x:v>
      </x:c>
      <x:c r="AD163" s="19" t="str">
        <x:v>"angry" AND mediatype:texts</x:v>
      </x:c>
      <x:c r="AE163" s="31" t="str">
        <x:v>EXACT_PHRASE</x:v>
      </x:c>
      <x:c r="AF163" s="31" t="str">
        <x:v>COMPLETED_NONZERO</x:v>
      </x:c>
      <x:c r="AG163" s="25" t="n">
        <x:v>8245</x:v>
      </x:c>
      <x:c r="AH163" s="25" t="n">
        <x:v>113</x:v>
      </x:c>
      <x:c r="AI163" s="19" t="str">
        <x:v>2026-08-26</x:v>
      </x:c>
      <x:c r="AJ163" s="31" t="str">
        <x:v>Metadata text-item count; not a full-text lexical frequency. Secondary metric: Scholarly work discoverability count over OpenAlex search fields; not a corpus word frequency.</x:v>
      </x:c>
      <x:c r="AK163" s="31" t="str">
        <x:v>FULLY_COVERED</x:v>
      </x:c>
      <x:c r="AL163" s="19" t="str">
        <x:v>PENDING_SOURCE_REVIEW</x:v>
      </x:c>
      <x:c r="AM163" s="20" t="str">
        <x:v>MEDIUM</x:v>
      </x:c>
    </x:row>
    <x:row r="164" ht="34" customHeight="1">
      <x:c r="A164" s="40" t="str">
        <x:v>FT-SEED-R1B-P-2022-10</x:v>
      </x:c>
      <x:c r="B164" s="19" t="str">
        <x:v>2022</x:v>
      </x:c>
      <x:c r="C164" s="25" t="n">
        <x:v>10</x:v>
      </x:c>
      <x:c r="D164" s="31" t="str">
        <x:v>frustrated</x:v>
      </x:c>
      <x:c r="E164" s="31" t="str">
        <x:v>depressed affect</x:v>
      </x:c>
      <x:c r="F164" s="31" t="str">
        <x:v>distress_depression</x:v>
      </x:c>
      <x:c r="G164" s="19" t="str">
        <x:v>C</x:v>
      </x:c>
      <x:c r="H164" s="19" t="str">
        <x:v>V5</x:v>
      </x:c>
      <x:c r="I164" s="19" t="str">
        <x:v>NOT_EXPOSED_IN_REPORT</x:v>
      </x:c>
      <x:c r="J164" s="31" t="str">
        <x:v>S2022-YALE-US</x:v>
      </x:c>
      <x:c r="K164" s="31" t="str">
        <x:v>RECONSTRUCTED_FROM_REPORT; Fear of Temperature_ Stratified Lexical Expansion, Voice Mapping, and Semantic-Relational Pre-Valida.pdf; p.13; project candidate FT-SEED-R1B-P-2022-10; original visible ID not available</x:v>
      </x:c>
      <x:c r="L164" s="31" t="str">
        <x:v>SUCCEEDED_REUSED_BASELINE</x:v>
      </x:c>
      <x:c r="M164" s="31" t="str">
        <x:v>frustrated</x:v>
      </x:c>
      <x:c r="N164" s="31" t="str">
        <x:v>EXACT</x:v>
      </x:c>
      <x:c r="O164" s="19" t="str">
        <x:v>1842</x:v>
      </x:c>
      <x:c r="P164" s="19" t="str">
        <x:v>2015</x:v>
      </x:c>
      <x:c r="Q164" s="46" t="n">
        <x:v>0.000008185089514611832</x:v>
      </x:c>
      <x:c r="R164" s="46" t="n">
        <x:v>0.000007597455986996238</x:v>
      </x:c>
      <x:c r="S164" s="46" t="n">
        <x:v>0.00000782013771072343</x:v>
      </x:c>
      <x:c r="T164" s="46" t="n">
        <x:v>0.000007597455986996238</x:v>
      </x:c>
      <x:c r="U164" s="31" t="str">
        <x:v>Candidate surface form is directly representable in the public Ngram interface. Complete 1842–2022 unsmoothed series reused from the audited quantitative-v0.1 baseline.</x:v>
      </x:c>
      <x:c r="V164" s="31" t="str">
        <x:v>DIRECT_HEADWORD</x:v>
      </x:c>
      <x:c r="W164" s="31" t="str">
        <x:v>Webster's Revised Unabridged Dictionary (1913 public-domain headword index)</x:v>
      </x:c>
      <x:c r="X164" s="31" t="str">
        <x:v>The candidate's affective or evaluative sense as used by the documented speaker/instrument/research voice at the anchor.</x:v>
      </x:c>
      <x:c r="Y164" s="31" t="str">
        <x:v>Depressed affect directly expressed or instrument-endorsed in a climate context; the candidate is interpreted in its documented anchor and voice context.</x:v>
      </x:c>
      <x:c r="Z164" s="31" t="str">
        <x:v>STRONG</x:v>
      </x:c>
      <x:c r="AA164" s="19" t="str">
        <x:v>The surface form may realize multiple senses; candidate meaning remains anchored to the report-visible source context.</x:v>
      </x:c>
      <x:c r="AB164" s="31" t="str">
        <x:v>Secondary: Component headword checked: frustrated.; historical: Anchor-period research source/context; Webster 1913 stable component URL recorded but automated page retrieval was unavailable; source: https://websters1913.timcieplowski.com/word/frustrated/; https://api.dictionaryapi.dev/api/v2/entries/en/frustrated</x:v>
      </x:c>
      <x:c r="AC164" s="31" t="str">
        <x:v>INTERNET_ARCHIVE_METADATA_TEXT_ITEM_COUNT</x:v>
      </x:c>
      <x:c r="AD164" s="19" t="str">
        <x:v>"frustrated" AND mediatype:texts</x:v>
      </x:c>
      <x:c r="AE164" s="31" t="str">
        <x:v>EXACT_PHRASE</x:v>
      </x:c>
      <x:c r="AF164" s="31" t="str">
        <x:v>COMPLETED_NONZERO</x:v>
      </x:c>
      <x:c r="AG164" s="25" t="n">
        <x:v>6866</x:v>
      </x:c>
      <x:c r="AH164" s="25" t="n">
        <x:v>42</x:v>
      </x:c>
      <x:c r="AI164" s="19" t="str">
        <x:v>2026-08-26</x:v>
      </x:c>
      <x:c r="AJ164" s="31" t="str">
        <x:v>Metadata text-item count; not a full-text lexical frequency. Secondary metric: NOT_RUN_OPENALEX_DAILY_BUDGET_EXHAUSTED: shared provider response retained; no count fabricated.</x:v>
      </x:c>
      <x:c r="AK164" s="31" t="str">
        <x:v>FULLY_COVERED</x:v>
      </x:c>
      <x:c r="AL164" s="19" t="str">
        <x:v>PENDING_SOURCE_REVIEW</x:v>
      </x:c>
      <x:c r="AM164" s="20" t="str">
        <x:v>MEDIUM</x:v>
      </x:c>
    </x:row>
    <x:row r="165" ht="34" customHeight="1">
      <x:c r="A165" s="40" t="str">
        <x:v>FT-SEED-R1B-P-2022-11</x:v>
      </x:c>
      <x:c r="B165" s="19" t="str">
        <x:v>2022</x:v>
      </x:c>
      <x:c r="C165" s="25" t="n">
        <x:v>11</x:v>
      </x:c>
      <x:c r="D165" s="31" t="str">
        <x:v>hopeful</x:v>
      </x:c>
      <x:c r="E165" s="31" t="str">
        <x:v>personal concern</x:v>
      </x:c>
      <x:c r="F165" s="31" t="str">
        <x:v>concern_alarm</x:v>
      </x:c>
      <x:c r="G165" s="19" t="str">
        <x:v>C</x:v>
      </x:c>
      <x:c r="H165" s="19" t="str">
        <x:v>V5</x:v>
      </x:c>
      <x:c r="I165" s="19" t="str">
        <x:v>NOT_EXPOSED_IN_REPORT</x:v>
      </x:c>
      <x:c r="J165" s="31" t="str">
        <x:v>S2022-YALE-US</x:v>
      </x:c>
      <x:c r="K165" s="31" t="str">
        <x:v>RECONSTRUCTED_FROM_REPORT; Fear of Temperature_ Stratified Lexical Expansion, Voice Mapping, and Semantic-Relational Pre-Valida.pdf; p.12; project candidate FT-SEED-R1B-P-2022-11; original visible ID not available</x:v>
      </x:c>
      <x:c r="L165" s="31" t="str">
        <x:v>SUCCEEDED_REUSED_BASELINE</x:v>
      </x:c>
      <x:c r="M165" s="31" t="str">
        <x:v>hopeful</x:v>
      </x:c>
      <x:c r="N165" s="31" t="str">
        <x:v>EXACT</x:v>
      </x:c>
      <x:c r="O165" s="19" t="str">
        <x:v>1842</x:v>
      </x:c>
      <x:c r="P165" s="19" t="str">
        <x:v>1862</x:v>
      </x:c>
      <x:c r="Q165" s="46" t="n">
        <x:v>0.000005405065621744143</x:v>
      </x:c>
      <x:c r="R165" s="46" t="n">
        <x:v>0.000004994718922901598</x:v>
      </x:c>
      <x:c r="S165" s="46" t="n">
        <x:v>0.000004901949312241527</x:v>
      </x:c>
      <x:c r="T165" s="46" t="n">
        <x:v>0.000004994718922901598</x:v>
      </x:c>
      <x:c r="U165" s="31" t="str">
        <x:v>Candidate surface form is directly representable in the public Ngram interface. Complete 1842–2022 unsmoothed series reused from the audited quantitative-v0.1 baseline.</x:v>
      </x:c>
      <x:c r="V165" s="31" t="str">
        <x:v>DIRECT_HEADWORD</x:v>
      </x:c>
      <x:c r="W165" s="31" t="str">
        <x:v>Webster's Revised Unabridged Dictionary (1913 public-domain headword index)</x:v>
      </x:c>
      <x:c r="X165" s="31" t="str">
        <x:v>The candidate's affective or evaluative sense as used by the documented speaker/instrument/research voice at the anchor.</x:v>
      </x:c>
      <x:c r="Y165" s="31" t="str">
        <x:v>Concern expressed or endorsed by an identifiable person about a climate or heat object; the candidate is interpreted in its documented anchor and voice context.</x:v>
      </x:c>
      <x:c r="Z165" s="31" t="str">
        <x:v>STRONG</x:v>
      </x:c>
      <x:c r="AA165" s="19" t="str">
        <x:v>The surface form may realize multiple senses; candidate meaning remains anchored to the report-visible source context.</x:v>
      </x:c>
      <x:c r="AB165" s="31" t="str">
        <x:v>Secondary: Component headword checked: hopeful.; historical: Anchor-period research source/context; Webster 1913 stable component URL recorded but automated page retrieval was unavailable; source: https://websters1913.timcieplowski.com/word/hopeful/; https://api.dictionaryapi.dev/api/v2/entries/en/hopeful</x:v>
      </x:c>
      <x:c r="AC165" s="31" t="str">
        <x:v>INTERNET_ARCHIVE_METADATA_TEXT_ITEM_COUNT</x:v>
      </x:c>
      <x:c r="AD165" s="19" t="str">
        <x:v>"hopeful" AND mediatype:texts</x:v>
      </x:c>
      <x:c r="AE165" s="31" t="str">
        <x:v>EXACT_PHRASE</x:v>
      </x:c>
      <x:c r="AF165" s="31" t="str">
        <x:v>COMPLETED_NONZERO</x:v>
      </x:c>
      <x:c r="AG165" s="25" t="n">
        <x:v>4932</x:v>
      </x:c>
      <x:c r="AH165" s="25" t="n">
        <x:v>66</x:v>
      </x:c>
      <x:c r="AI165" s="19" t="str">
        <x:v>2026-08-26</x:v>
      </x:c>
      <x:c r="AJ165" s="31" t="str">
        <x:v>Metadata text-item count; not a full-text lexical frequency. Secondary metric: NOT_RUN_OPENALEX_DAILY_BUDGET_EXHAUSTED: shared provider response retained; no count fabricated.</x:v>
      </x:c>
      <x:c r="AK165" s="31" t="str">
        <x:v>FULLY_COVERED</x:v>
      </x:c>
      <x:c r="AL165" s="19" t="str">
        <x:v>PENDING_SOURCE_REVIEW</x:v>
      </x:c>
      <x:c r="AM165" s="20" t="str">
        <x:v>MEDIUM</x:v>
      </x:c>
    </x:row>
    <x:row r="166" ht="34" customHeight="1">
      <x:c r="A166" s="40" t="str">
        <x:v>FT-SEED-R1B-P-2022-12</x:v>
      </x:c>
      <x:c r="B166" s="19" t="str">
        <x:v>2022</x:v>
      </x:c>
      <x:c r="C166" s="25" t="n">
        <x:v>12</x:v>
      </x:c>
      <x:c r="D166" s="31" t="str">
        <x:v>disgusted</x:v>
      </x:c>
      <x:c r="E166" s="31" t="str">
        <x:v>depressed affect</x:v>
      </x:c>
      <x:c r="F166" s="31" t="str">
        <x:v>distress_depression</x:v>
      </x:c>
      <x:c r="G166" s="19" t="str">
        <x:v>C</x:v>
      </x:c>
      <x:c r="H166" s="19" t="str">
        <x:v>V5</x:v>
      </x:c>
      <x:c r="I166" s="19" t="str">
        <x:v>NOT_EXPOSED_IN_REPORT</x:v>
      </x:c>
      <x:c r="J166" s="31" t="str">
        <x:v>S2022-YALE-US</x:v>
      </x:c>
      <x:c r="K166" s="31" t="str">
        <x:v>RECONSTRUCTED_FROM_REPORT; Fear of Temperature_ Stratified Lexical Expansion, Voice Mapping, and Semantic-Relational Pre-Valida.pdf; p.12; project candidate FT-SEED-R1B-P-2022-12; original visible ID not available</x:v>
      </x:c>
      <x:c r="L166" s="31" t="str">
        <x:v>SUCCEEDED_REUSED_BASELINE</x:v>
      </x:c>
      <x:c r="M166" s="31" t="str">
        <x:v>disgusted</x:v>
      </x:c>
      <x:c r="N166" s="31" t="str">
        <x:v>EXACT</x:v>
      </x:c>
      <x:c r="O166" s="19" t="str">
        <x:v>1842</x:v>
      </x:c>
      <x:c r="P166" s="19" t="str">
        <x:v>2020</x:v>
      </x:c>
      <x:c r="Q166" s="46" t="n">
        <x:v>0.000003836883327501539</x:v>
      </x:c>
      <x:c r="R166" s="46" t="n">
        <x:v>0.000002543607640959067</x:v>
      </x:c>
      <x:c r="S166" s="46" t="n">
        <x:v>0.0000024089870889199005</x:v>
      </x:c>
      <x:c r="T166" s="46" t="n">
        <x:v>0.000002543607640959067</x:v>
      </x:c>
      <x:c r="U166" s="31" t="str">
        <x:v>Candidate surface form is directly representable in the public Ngram interface. Complete 1842–2022 unsmoothed series reused from the audited quantitative-v0.1 baseline.</x:v>
      </x:c>
      <x:c r="V166" s="31" t="str">
        <x:v>DIRECT_HEADWORD</x:v>
      </x:c>
      <x:c r="W166" s="31" t="str">
        <x:v>Webster's Revised Unabridged Dictionary (1913 public-domain headword index)</x:v>
      </x:c>
      <x:c r="X166" s="31" t="str">
        <x:v>The candidate's affective or evaluative sense as used by the documented speaker/instrument/research voice at the anchor.</x:v>
      </x:c>
      <x:c r="Y166" s="31" t="str">
        <x:v>Depressed affect directly expressed or instrument-endorsed in a climate context; the candidate is interpreted in its documented anchor and voice context.</x:v>
      </x:c>
      <x:c r="Z166" s="31" t="str">
        <x:v>STRONG</x:v>
      </x:c>
      <x:c r="AA166" s="19" t="str">
        <x:v>The surface form may realize multiple senses; candidate meaning remains anchored to the report-visible source context.</x:v>
      </x:c>
      <x:c r="AB166" s="31" t="str">
        <x:v>Secondary: Component headword checked: disgusted.; historical: Anchor-period research source/context; Webster 1913 stable component URL recorded but automated page retrieval was unavailable; source: https://websters1913.timcieplowski.com/word/disgusted/; https://api.dictionaryapi.dev/api/v2/entries/en/disgusted</x:v>
      </x:c>
      <x:c r="AC166" s="31" t="str">
        <x:v>INTERNET_ARCHIVE_METADATA_TEXT_ITEM_COUNT</x:v>
      </x:c>
      <x:c r="AD166" s="19" t="str">
        <x:v>"disgusted" AND mediatype:texts</x:v>
      </x:c>
      <x:c r="AE166" s="31" t="str">
        <x:v>EXACT_PHRASE</x:v>
      </x:c>
      <x:c r="AF166" s="31" t="str">
        <x:v>COMPLETED_NONZERO</x:v>
      </x:c>
      <x:c r="AG166" s="25" t="n">
        <x:v>556</x:v>
      </x:c>
      <x:c r="AH166" s="25" t="n">
        <x:v>9</x:v>
      </x:c>
      <x:c r="AI166" s="19" t="str">
        <x:v>2026-08-26</x:v>
      </x:c>
      <x:c r="AJ166" s="31" t="str">
        <x:v>Metadata text-item count; not a full-text lexical frequency. Secondary metric: NOT_RUN_OPENALEX_DAILY_BUDGET_EXHAUSTED: shared provider response retained; no count fabricated.</x:v>
      </x:c>
      <x:c r="AK166" s="31" t="str">
        <x:v>FULLY_COVERED</x:v>
      </x:c>
      <x:c r="AL166" s="19" t="str">
        <x:v>PENDING_SOURCE_REVIEW</x:v>
      </x:c>
      <x:c r="AM166" s="20" t="str">
        <x:v>MEDIUM</x:v>
      </x:c>
    </x:row>
    <x:row r="167" ht="34" customHeight="1">
      <x:c r="A167" s="40" t="str">
        <x:v>FT-SEED-R1B-P-2022-13</x:v>
      </x:c>
      <x:c r="B167" s="19" t="str">
        <x:v>2022</x:v>
      </x:c>
      <x:c r="C167" s="25" t="n">
        <x:v>13</x:v>
      </x:c>
      <x:c r="D167" s="31" t="str">
        <x:v>outraged</x:v>
      </x:c>
      <x:c r="E167" s="31" t="str">
        <x:v>depressed affect</x:v>
      </x:c>
      <x:c r="F167" s="31" t="str">
        <x:v>distress_depression</x:v>
      </x:c>
      <x:c r="G167" s="19" t="str">
        <x:v>C</x:v>
      </x:c>
      <x:c r="H167" s="19" t="str">
        <x:v>V5</x:v>
      </x:c>
      <x:c r="I167" s="19" t="str">
        <x:v>NOT_EXPOSED_IN_REPORT</x:v>
      </x:c>
      <x:c r="J167" s="31" t="str">
        <x:v>S2022-YALE-US</x:v>
      </x:c>
      <x:c r="K167" s="31" t="str">
        <x:v>RECONSTRUCTED_FROM_REPORT; Fear of Temperature_ Stratified Lexical Expansion, Voice Mapping, and Semantic-Relational Pre-Valida.pdf; p.12; project candidate FT-SEED-R1B-P-2022-13; original visible ID not available</x:v>
      </x:c>
      <x:c r="L167" s="31" t="str">
        <x:v>SUCCEEDED_REUSED_BASELINE</x:v>
      </x:c>
      <x:c r="M167" s="31" t="str">
        <x:v>outraged</x:v>
      </x:c>
      <x:c r="N167" s="31" t="str">
        <x:v>EXACT</x:v>
      </x:c>
      <x:c r="O167" s="19" t="str">
        <x:v>1842</x:v>
      </x:c>
      <x:c r="P167" s="19" t="str">
        <x:v>2014</x:v>
      </x:c>
      <x:c r="Q167" s="46" t="n">
        <x:v>0.000002010090121018493</x:v>
      </x:c>
      <x:c r="R167" s="46" t="n">
        <x:v>0.00000170548937417081</x:v>
      </x:c>
      <x:c r="S167" s="46" t="n">
        <x:v>0.0000017016414597392782</x:v>
      </x:c>
      <x:c r="T167" s="46" t="n">
        <x:v>0.00000170548937417081</x:v>
      </x:c>
      <x:c r="U167" s="31" t="str">
        <x:v>Candidate surface form is directly representable in the public Ngram interface. Complete 1842–2022 unsmoothed series reused from the audited quantitative-v0.1 baseline.</x:v>
      </x:c>
      <x:c r="V167" s="31" t="str">
        <x:v>DIRECT_HEADWORD</x:v>
      </x:c>
      <x:c r="W167" s="31" t="str">
        <x:v>Webster's Revised Unabridged Dictionary (1913 public-domain headword index)</x:v>
      </x:c>
      <x:c r="X167" s="31" t="str">
        <x:v>The candidate's affective or evaluative sense as used by the documented speaker/instrument/research voice at the anchor.</x:v>
      </x:c>
      <x:c r="Y167" s="31" t="str">
        <x:v>Depressed affect directly expressed or instrument-endorsed in a climate context; the candidate is interpreted in its documented anchor and voice context.</x:v>
      </x:c>
      <x:c r="Z167" s="31" t="str">
        <x:v>STRONG</x:v>
      </x:c>
      <x:c r="AA167" s="19" t="str">
        <x:v>The surface form may realize multiple senses; candidate meaning remains anchored to the report-visible source context.</x:v>
      </x:c>
      <x:c r="AB167" s="31" t="str">
        <x:v>Secondary: Component headword checked: outraged.; historical: Anchor-period research source/context; Webster 1913 stable component URL recorded but automated page retrieval was unavailable; source: https://websters1913.timcieplowski.com/word/outraged/; https://api.dictionaryapi.dev/api/v2/entries/en/outraged</x:v>
      </x:c>
      <x:c r="AC167" s="31" t="str">
        <x:v>INTERNET_ARCHIVE_METADATA_TEXT_ITEM_COUNT</x:v>
      </x:c>
      <x:c r="AD167" s="19" t="str">
        <x:v>"outraged" AND mediatype:texts</x:v>
      </x:c>
      <x:c r="AE167" s="31" t="str">
        <x:v>EXACT_PHRASE</x:v>
      </x:c>
      <x:c r="AF167" s="31" t="str">
        <x:v>COMPLETED_NONZERO</x:v>
      </x:c>
      <x:c r="AG167" s="25" t="n">
        <x:v>1006</x:v>
      </x:c>
      <x:c r="AH167" s="25" t="n">
        <x:v>7</x:v>
      </x:c>
      <x:c r="AI167" s="19" t="str">
        <x:v>2026-08-26</x:v>
      </x:c>
      <x:c r="AJ167" s="31" t="str">
        <x:v>Metadata text-item count; not a full-text lexical frequency. Secondary metric: NOT_RUN_OPENALEX_DAILY_BUDGET_EXHAUSTED: shared provider response retained; no count fabricated.</x:v>
      </x:c>
      <x:c r="AK167" s="31" t="str">
        <x:v>FULLY_COVERED</x:v>
      </x:c>
      <x:c r="AL167" s="19" t="str">
        <x:v>PENDING_SOURCE_REVIEW</x:v>
      </x:c>
      <x:c r="AM167" s="20" t="str">
        <x:v>MEDIUM</x:v>
      </x:c>
    </x:row>
    <x:row r="168" ht="34" customHeight="1">
      <x:c r="A168" s="40" t="str">
        <x:v>FT-SEED-R1B-P-2022-14</x:v>
      </x:c>
      <x:c r="B168" s="19" t="str">
        <x:v>2022</x:v>
      </x:c>
      <x:c r="C168" s="25" t="n">
        <x:v>14</x:v>
      </x:c>
      <x:c r="D168" s="31" t="str">
        <x:v>depressed</x:v>
      </x:c>
      <x:c r="E168" s="31" t="str">
        <x:v>depressed affect</x:v>
      </x:c>
      <x:c r="F168" s="31" t="str">
        <x:v>distress_depression</x:v>
      </x:c>
      <x:c r="G168" s="19" t="str">
        <x:v>C</x:v>
      </x:c>
      <x:c r="H168" s="19" t="str">
        <x:v>V5</x:v>
      </x:c>
      <x:c r="I168" s="19" t="str">
        <x:v>NOT_EXPOSED_IN_REPORT</x:v>
      </x:c>
      <x:c r="J168" s="31" t="str">
        <x:v>S2022-YALE-US</x:v>
      </x:c>
      <x:c r="K168" s="31" t="str">
        <x:v>RECONSTRUCTED_FROM_REPORT; Fear of Temperature_ Stratified Lexical Expansion, Voice Mapping, and Semantic-Relational Pre-Valida.pdf; p.12; project candidate FT-SEED-R1B-P-2022-14; original visible ID not available</x:v>
      </x:c>
      <x:c r="L168" s="31" t="str">
        <x:v>SUCCEEDED_REUSED_BASELINE</x:v>
      </x:c>
      <x:c r="M168" s="31" t="str">
        <x:v>depressed</x:v>
      </x:c>
      <x:c r="N168" s="31" t="str">
        <x:v>EXACT</x:v>
      </x:c>
      <x:c r="O168" s="19" t="str">
        <x:v>1842</x:v>
      </x:c>
      <x:c r="P168" s="19" t="str">
        <x:v>1843</x:v>
      </x:c>
      <x:c r="Q168" s="46" t="n">
        <x:v>0.000011124992417066437</x:v>
      </x:c>
      <x:c r="R168" s="46" t="n">
        <x:v>0.000006592711166319987</x:v>
      </x:c>
      <x:c r="S168" s="46" t="n">
        <x:v>0.000006748224906871769</x:v>
      </x:c>
      <x:c r="T168" s="46" t="n">
        <x:v>0.000006592711166319987</x:v>
      </x:c>
      <x:c r="U168" s="31" t="str">
        <x:v>Candidate surface form is directly representable in the public Ngram interface. Complete 1842–2022 unsmoothed series reused from the audited quantitative-v0.1 baseline.</x:v>
      </x:c>
      <x:c r="V168" s="31" t="str">
        <x:v>DIRECT_HEADWORD</x:v>
      </x:c>
      <x:c r="W168" s="31" t="str">
        <x:v>Webster's Revised Unabridged Dictionary (1913 public-domain headword index)</x:v>
      </x:c>
      <x:c r="X168" s="31" t="str">
        <x:v>The candidate's affective or evaluative sense as used by the documented speaker/instrument/research voice at the anchor.</x:v>
      </x:c>
      <x:c r="Y168" s="31" t="str">
        <x:v>Depressed affect directly expressed or instrument-endorsed in a climate context; the candidate is interpreted in its documented anchor and voice context.</x:v>
      </x:c>
      <x:c r="Z168" s="31" t="str">
        <x:v>STRONG</x:v>
      </x:c>
      <x:c r="AA168" s="19" t="str">
        <x:v>The surface form may realize multiple senses; candidate meaning remains anchored to the report-visible source context.</x:v>
      </x:c>
      <x:c r="AB168" s="31" t="str">
        <x:v>Secondary: Component headword checked: depressed.; historical: Anchor-period research source/context; Webster 1913 stable component URL recorded but automated page retrieval was unavailable; source: https://websters1913.timcieplowski.com/word/depressed/; https://api.dictionaryapi.dev/api/v2/entries/en/depressed</x:v>
      </x:c>
      <x:c r="AC168" s="31" t="str">
        <x:v>INTERNET_ARCHIVE_METADATA_TEXT_ITEM_COUNT</x:v>
      </x:c>
      <x:c r="AD168" s="19" t="str">
        <x:v>"depressed" AND mediatype:texts</x:v>
      </x:c>
      <x:c r="AE168" s="31" t="str">
        <x:v>EXACT_PHRASE</x:v>
      </x:c>
      <x:c r="AF168" s="31" t="str">
        <x:v>COMPLETED_NONZERO</x:v>
      </x:c>
      <x:c r="AG168" s="25" t="n">
        <x:v>6441</x:v>
      </x:c>
      <x:c r="AH168" s="25" t="n">
        <x:v>85</x:v>
      </x:c>
      <x:c r="AI168" s="19" t="str">
        <x:v>2026-08-26</x:v>
      </x:c>
      <x:c r="AJ168" s="31" t="str">
        <x:v>Metadata text-item count; not a full-text lexical frequency. Secondary metric: NOT_RUN_OPENALEX_DAILY_BUDGET_EXHAUSTED: shared provider response retained; no count fabricated.</x:v>
      </x:c>
      <x:c r="AK168" s="31" t="str">
        <x:v>FULLY_COVERED</x:v>
      </x:c>
      <x:c r="AL168" s="19" t="str">
        <x:v>PENDING_SOURCE_REVIEW</x:v>
      </x:c>
      <x:c r="AM168" s="20" t="str">
        <x:v>MEDIUM</x:v>
      </x:c>
    </x:row>
    <x:row r="169" ht="34" customHeight="1">
      <x:c r="A169" s="40" t="str">
        <x:v>FT-SEED-R1B-P-2022-15</x:v>
      </x:c>
      <x:c r="B169" s="19" t="str">
        <x:v>2022</x:v>
      </x:c>
      <x:c r="C169" s="25" t="n">
        <x:v>15</x:v>
      </x:c>
      <x:c r="D169" s="31" t="str">
        <x:v>symptoms of anxiety</x:v>
      </x:c>
      <x:c r="E169" s="31" t="str">
        <x:v>anxiety symptom measure</x:v>
      </x:c>
      <x:c r="F169" s="31" t="str">
        <x:v>anxiety</x:v>
      </x:c>
      <x:c r="G169" s="19" t="str">
        <x:v>C</x:v>
      </x:c>
      <x:c r="H169" s="19" t="str">
        <x:v>V5</x:v>
      </x:c>
      <x:c r="I169" s="19" t="str">
        <x:v>NOT_EXPOSED_IN_REPORT</x:v>
      </x:c>
      <x:c r="J169" s="31" t="str">
        <x:v>S2022-YALE-US</x:v>
      </x:c>
      <x:c r="K169" s="31" t="str">
        <x:v>RECONSTRUCTED_FROM_REPORT; Fear of Temperature_ Stratified Lexical Expansion, Voice Mapping, and Semantic-Relational Pre-Valida.pdf; p.12; project candidate FT-SEED-R1B-P-2022-15; original visible ID not available</x:v>
      </x:c>
      <x:c r="L169" s="31" t="str">
        <x:v>SUCCEEDED_REUSED_BASELINE</x:v>
      </x:c>
      <x:c r="M169" s="31" t="str">
        <x:v>symptoms of anxiety</x:v>
      </x:c>
      <x:c r="N169" s="31" t="str">
        <x:v>EXACT</x:v>
      </x:c>
      <x:c r="O169" s="19" t="str">
        <x:v>1842</x:v>
      </x:c>
      <x:c r="P169" s="19" t="str">
        <x:v>2022</x:v>
      </x:c>
      <x:c r="Q169" s="46" t="n">
        <x:v>1.9264715700462176e-7</x:v>
      </x:c>
      <x:c r="R169" s="46" t="n">
        <x:v>1.9264715700462176e-7</x:v>
      </x:c>
      <x:c r="S169" s="46" t="n">
        <x:v>1.8940394040656283e-7</x:v>
      </x:c>
      <x:c r="T169" s="46" t="n">
        <x:v>1.9264715700462176e-7</x:v>
      </x:c>
      <x:c r="U169" s="31" t="str">
        <x:v>Candidate surface form is directly representable in the public Ngram interface. Complete 1842–2022 unsmoothed series reused from the audited quantitative-v0.1 baseline.</x:v>
      </x:c>
      <x:c r="V169" s="31" t="str">
        <x:v>NO_STANDALONE_HEADWORD</x:v>
      </x:c>
      <x:c r="W169" s="31" t="str">
        <x:v>Component lexical analysis plus anchor-source contextual meaning</x:v>
      </x:c>
      <x:c r="X169" s="31" t="str">
        <x:v>The candidate's affective or evaluative sense as used by the documented speaker/instrument/research voice at the anchor.</x:v>
      </x:c>
      <x:c r="Y169" s="31" t="str">
        <x:v>Anxiety operationalised as a symptom or health measure; the candidate is interpreted in its documented anchor and voice context.</x:v>
      </x:c>
      <x:c r="Z169" s="31" t="str">
        <x:v>STRONG</x:v>
      </x:c>
      <x:c r="AA169" s="19" t="str">
        <x:v>The surface form may realize multiple senses; candidate meaning remains anchored to the report-visible source context.</x:v>
      </x:c>
      <x:c r="AB169" s="31" t="str">
        <x:v>Secondary: Component headword checked: anxiety.;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https://api.dictionaryapi.dev/api/v2/entries/en/symptoms%20of%20anxiety; https://websters1913.timcieplowski.com/word/anxiety/</x:v>
      </x:c>
      <x:c r="AC169" s="31" t="str">
        <x:v>INTERNET_ARCHIVE_METADATA_TEXT_ITEM_COUNT</x:v>
      </x:c>
      <x:c r="AD169" s="19" t="str">
        <x:v>"symptoms of anxiety" AND mediatype:texts</x:v>
      </x:c>
      <x:c r="AE169" s="31" t="str">
        <x:v>EXACT_PHRASE</x:v>
      </x:c>
      <x:c r="AF169" s="31" t="str">
        <x:v>COMPLETED_NONZERO</x:v>
      </x:c>
      <x:c r="AG169" s="25" t="n">
        <x:v>96</x:v>
      </x:c>
      <x:c r="AH169" s="25" t="n">
        <x:v>5</x:v>
      </x:c>
      <x:c r="AI169" s="19" t="str">
        <x:v>2026-08-26</x:v>
      </x:c>
      <x:c r="AJ169" s="31" t="str">
        <x:v>Metadata text-item count; not a full-text lexical frequency. Secondary metric: NOT_RUN_OPENALEX_DAILY_BUDGET_EXHAUSTED: shared provider response retained; no count fabricated.</x:v>
      </x:c>
      <x:c r="AK169" s="31" t="str">
        <x:v>FULLY_COVERED</x:v>
      </x:c>
      <x:c r="AL169" s="19" t="str">
        <x:v>PENDING_SOURCE_REVIEW</x:v>
      </x:c>
      <x:c r="AM169" s="20" t="str">
        <x:v>MEDIUM</x:v>
      </x:c>
    </x:row>
    <x:row r="170" ht="34" customHeight="1">
      <x:c r="A170" s="40" t="str">
        <x:v>FT-SEED-R1B-P-2022-16</x:v>
      </x:c>
      <x:c r="B170" s="19" t="str">
        <x:v>2022</x:v>
      </x:c>
      <x:c r="C170" s="25" t="n">
        <x:v>16</x:v>
      </x:c>
      <x:c r="D170" s="31" t="str">
        <x:v>climate anxiety</x:v>
      </x:c>
      <x:c r="E170" s="31" t="str">
        <x:v>climate anxiety research construct</x:v>
      </x:c>
      <x:c r="F170" s="31" t="str">
        <x:v>anxiety</x:v>
      </x:c>
      <x:c r="G170" s="19" t="str">
        <x:v>C</x:v>
      </x:c>
      <x:c r="H170" s="19" t="str">
        <x:v>V1</x:v>
      </x:c>
      <x:c r="I170" s="19" t="str">
        <x:v>E4</x:v>
      </x:c>
      <x:c r="J170" s="31" t="str">
        <x:v>S2022-NATURE</x:v>
      </x:c>
      <x:c r="K170" s="31" t="str">
        <x:v>RECONSTRUCTED_FROM_REPORT; Fear of Temperature_ Stratified Lexical Expansion, Voice Mapping, and Semantic-Relational Pre-Valida.pdf; p.12; project candidate FT-SEED-R1B-P-2022-16; original visible ID not available</x:v>
      </x:c>
      <x:c r="L170" s="31" t="str">
        <x:v>SUCCEEDED_REUSED_BASELINE</x:v>
      </x:c>
      <x:c r="M170" s="31" t="str">
        <x:v>climate anxiety</x:v>
      </x:c>
      <x:c r="N170" s="31" t="str">
        <x:v>EXACT</x:v>
      </x:c>
      <x:c r="O170" s="19" t="str">
        <x:v>1972</x:v>
      </x:c>
      <x:c r="P170" s="19" t="str">
        <x:v>2022</x:v>
      </x:c>
      <x:c r="Q170" s="46" t="n">
        <x:v>3.579004737019886e-8</x:v>
      </x:c>
      <x:c r="R170" s="46" t="n">
        <x:v>3.579004737019886e-8</x:v>
      </x:c>
      <x:c r="S170" s="46" t="n">
        <x:v>2.4057332459470615e-8</x:v>
      </x:c>
      <x:c r="T170" s="46" t="n">
        <x:v>3.579004737019886e-8</x:v>
      </x:c>
      <x:c r="U170" s="31" t="str">
        <x:v>Candidate surface form is directly representable in the public Ngram interface. Complete 1842–2022 unsmoothed series reused from the audited quantitative-v0.1 baseline.</x:v>
      </x:c>
      <x:c r="V170" s="31" t="str">
        <x:v>TECHNICAL_GLOSSARY</x:v>
      </x:c>
      <x:c r="W170" s="31" t="str">
        <x:v>American Psychological Association / ecoAmerica mental-health terminology</x:v>
      </x:c>
      <x:c r="X170" s="31" t="str">
        <x:v>A 2022 research construct for anxiety or distress related to climate change; lay self-labelling requires independent source evidence.</x:v>
      </x:c>
      <x:c r="Y170" s="31" t="str">
        <x:v>Current usage can refer to climate-related apprehension or distress, but researcher construct, instrument wording and participant self-description remain distinct evidence states.</x:v>
      </x:c>
      <x:c r="Z170" s="31" t="str">
        <x:v>PARTIAL</x:v>
      </x:c>
      <x:c r="AA170" s="19" t="str">
        <x:v>Researcher-coded construct, instrument wording, symptoms, and participant self-use must remain distinct.</x:v>
      </x:c>
      <x:c r="AB170" s="31" t="str">
        <x:v>Secondary: Component headword checked: anxiety.; historical: Anchor-period research source/context; Webster 1913 stable component URL recorded but automated page retrieval was unavailable; source: https://www.apa.org/news/press/releases/2021/11/mental-health-effects-climate-change; https://api.dictionaryapi.dev/api/v2/entries/en/climate%20anxiety; https://websters1913.timcieplowski.com/word/anxiety/</x:v>
      </x:c>
      <x:c r="AC170" s="31" t="str">
        <x:v>INTERNET_ARCHIVE_METADATA_TEXT_ITEM_COUNT</x:v>
      </x:c>
      <x:c r="AD170" s="19" t="str">
        <x:v>"climate anxiety" AND mediatype:texts</x:v>
      </x:c>
      <x:c r="AE170" s="31" t="str">
        <x:v>EXACT_PHRASE</x:v>
      </x:c>
      <x:c r="AF170" s="31" t="str">
        <x:v>COMPLETED_NONZERO</x:v>
      </x:c>
      <x:c r="AG170" s="25" t="n">
        <x:v>17</x:v>
      </x:c>
      <x:c r="AH170" s="25" t="n">
        <x:v>4</x:v>
      </x:c>
      <x:c r="AI170" s="19" t="str">
        <x:v>2026-08-26</x:v>
      </x:c>
      <x:c r="AJ170" s="31" t="str">
        <x:v>Metadata text-item count; not a full-text lexical frequency. Secondary metric: Scholarly work discoverability count over OpenAlex search fields; not a corpus word frequency.</x:v>
      </x:c>
      <x:c r="AK170" s="31" t="str">
        <x:v>FULLY_COVERED</x:v>
      </x:c>
      <x:c r="AL170" s="19" t="str">
        <x:v>NOT_APPLICABLE</x:v>
      </x:c>
      <x:c r="AM170" s="20" t="str">
        <x:v>MEDIUM</x:v>
      </x:c>
    </x:row>
    <x:row r="171" ht="34" customHeight="1">
      <x:c r="A171" s="40" t="str">
        <x:v>FT-SEED-R1B-P-2022-17</x:v>
      </x:c>
      <x:c r="B171" s="19" t="str">
        <x:v>2022</x:v>
      </x:c>
      <x:c r="C171" s="25" t="n">
        <x:v>17</x:v>
      </x:c>
      <x:c r="D171" s="31" t="str">
        <x:v>eco-anxiety</x:v>
      </x:c>
      <x:c r="E171" s="31" t="str">
        <x:v>eco-anxiety research construct</x:v>
      </x:c>
      <x:c r="F171" s="31" t="str">
        <x:v>anxiety</x:v>
      </x:c>
      <x:c r="G171" s="19" t="str">
        <x:v>C</x:v>
      </x:c>
      <x:c r="H171" s="19" t="str">
        <x:v>V1</x:v>
      </x:c>
      <x:c r="I171" s="19" t="str">
        <x:v>NOT_EXPOSED_IN_REPORT</x:v>
      </x:c>
      <x:c r="J171" s="31" t="str">
        <x:v>S2022-REHLING</x:v>
      </x:c>
      <x:c r="K171" s="31" t="str">
        <x:v>RECONSTRUCTED_FROM_REPORT; Fear of Temperature_ Stratified Lexical Expansion, Voice Mapping, and Semantic-Relational Pre-Valida.pdf; p.12; project candidate FT-SEED-R1B-P-2022-17; original visible ID not available</x:v>
      </x:c>
      <x:c r="L171" s="31" t="str">
        <x:v>SUCCEEDED_REUSED_BASELINE</x:v>
      </x:c>
      <x:c r="M171" s="31" t="str">
        <x:v>eco-anxiety</x:v>
      </x:c>
      <x:c r="N171" s="31" t="str">
        <x:v>EXACT</x:v>
      </x:c>
      <x:c r="O171" s="19" t="str">
        <x:v>1901</x:v>
      </x:c>
      <x:c r="P171" s="19" t="str">
        <x:v>2022</x:v>
      </x:c>
      <x:c r="Q171" s="46" t="n">
        <x:v>5.496096178170262e-8</x:v>
      </x:c>
      <x:c r="R171" s="46" t="n">
        <x:v>5.496096178170262e-8</x:v>
      </x:c>
      <x:c r="S171" s="46" t="n">
        <x:v>4.02901724205762e-8</x:v>
      </x:c>
      <x:c r="T171" s="46" t="n">
        <x:v>5.496096178170262e-8</x:v>
      </x:c>
      <x:c r="U171" s="31" t="str">
        <x:v>Candidate surface form is directly representable in the public Ngram interface. Complete 1842–2022 unsmoothed series reused from the audited quantitative-v0.1 baseline.</x:v>
      </x:c>
      <x:c r="V171" s="31" t="str">
        <x:v>TECHNICAL_GLOSSARY</x:v>
      </x:c>
      <x:c r="W171" s="31" t="str">
        <x:v>American Psychological Association / ecoAmerica mental-health terminology</x:v>
      </x:c>
      <x:c r="X171" s="31" t="str">
        <x:v>The candidate's affective or evaluative sense as used by the documented speaker/instrument/research voice at the anchor.</x:v>
      </x:c>
      <x:c r="Y171" s="31" t="str">
        <x:v>Persistent worry or distress associated with environmental and ecological threats; provenance is required to distinguish clinical/research labelling from self-description.</x:v>
      </x:c>
      <x:c r="Z171" s="31" t="str">
        <x:v>STRONG</x:v>
      </x:c>
      <x:c r="AA171" s="19" t="str">
        <x:v>The surface form may realize multiple senses; candidate meaning remains anchored to the report-visible source context.</x:v>
      </x:c>
      <x:c r="AB171" s="31" t="str">
        <x:v>Secondary: Component headword checked: eco-anxiety.; historical: Anchor-period research source/context; Webster 1913 stable component URL recorded but automated page retrieval was unavailable; source: https://www.apa.org/news/press/releases/2021/11/mental-health-effects-climate-change; https://api.dictionaryapi.dev/api/v2/entries/en/eco-anxiety; https://websters1913.timcieplowski.com/word/eco-anxiety/</x:v>
      </x:c>
      <x:c r="AC171" s="31" t="str">
        <x:v>INTERNET_ARCHIVE_METADATA_TEXT_ITEM_COUNT</x:v>
      </x:c>
      <x:c r="AD171" s="19" t="str">
        <x:v>"eco-anxiety" AND mediatype:texts</x:v>
      </x:c>
      <x:c r="AE171" s="31" t="str">
        <x:v>EXACT_PHRASE</x:v>
      </x:c>
      <x:c r="AF171" s="31" t="str">
        <x:v>COMPLETED_NONZERO</x:v>
      </x:c>
      <x:c r="AG171" s="25" t="n">
        <x:v>23</x:v>
      </x:c>
      <x:c r="AH171" s="25" t="n">
        <x:v>3</x:v>
      </x:c>
      <x:c r="AI171" s="19" t="str">
        <x:v>2026-08-26</x:v>
      </x:c>
      <x:c r="AJ171" s="31" t="str">
        <x:v>Metadata text-item count; not a full-text lexical frequency. Secondary metric: NOT_RUN_OPENALEX_DAILY_BUDGET_EXHAUSTED: shared provider response retained; no count fabricated.</x:v>
      </x:c>
      <x:c r="AK171" s="31" t="str">
        <x:v>FULLY_COVERED</x:v>
      </x:c>
      <x:c r="AL171" s="19" t="str">
        <x:v>PENDING_SOURCE_REVIEW</x:v>
      </x:c>
      <x:c r="AM171" s="20" t="str">
        <x:v>MEDIUM</x:v>
      </x:c>
    </x:row>
    <x:row r="172" ht="34" customHeight="1">
      <x:c r="A172" s="40" t="str">
        <x:v>FT-SEED-R1B-P-2022-18</x:v>
      </x:c>
      <x:c r="B172" s="19" t="str">
        <x:v>2022</x:v>
      </x:c>
      <x:c r="C172" s="25" t="n">
        <x:v>18</x:v>
      </x:c>
      <x:c r="D172" s="31" t="str">
        <x:v>psychological distress</x:v>
      </x:c>
      <x:c r="E172" s="31" t="str">
        <x:v>psychological distress</x:v>
      </x:c>
      <x:c r="F172" s="31" t="str">
        <x:v>distress_depression</x:v>
      </x:c>
      <x:c r="G172" s="19" t="str">
        <x:v>C</x:v>
      </x:c>
      <x:c r="H172" s="19" t="str">
        <x:v>V1</x:v>
      </x:c>
      <x:c r="I172" s="19" t="str">
        <x:v>NOT_EXPOSED_IN_REPORT</x:v>
      </x:c>
      <x:c r="J172" s="31" t="str">
        <x:v>S2022-ANU</x:v>
      </x:c>
      <x:c r="K172" s="31" t="str">
        <x:v>RECONSTRUCTED_FROM_REPORT; Fear of Temperature_ Stratified Lexical Expansion, Voice Mapping, and Semantic-Relational Pre-Valida.pdf; p.12; project candidate FT-SEED-R1B-P-2022-18; original visible ID not available</x:v>
      </x:c>
      <x:c r="L172" s="31" t="str">
        <x:v>SUCCEEDED_REUSED_BASELINE</x:v>
      </x:c>
      <x:c r="M172" s="31" t="str">
        <x:v>psychological distress</x:v>
      </x:c>
      <x:c r="N172" s="31" t="str">
        <x:v>EXACT</x:v>
      </x:c>
      <x:c r="O172" s="19" t="str">
        <x:v>1886</x:v>
      </x:c>
      <x:c r="P172" s="19" t="str">
        <x:v>2022</x:v>
      </x:c>
      <x:c r="Q172" s="46" t="n">
        <x:v>8.442735095481879e-7</x:v>
      </x:c>
      <x:c r="R172" s="46" t="n">
        <x:v>8.442735095481879e-7</x:v>
      </x:c>
      <x:c r="S172" s="46" t="n">
        <x:v>7.65441606265238e-7</x:v>
      </x:c>
      <x:c r="T172" s="46" t="n">
        <x:v>8.442735095481879e-7</x:v>
      </x:c>
      <x:c r="U172" s="31" t="str">
        <x:v>Candidate surface form is directly representable in the public Ngram interface. Complete 1842–2022 unsmoothed series reused from the audited quantitative-v0.1 baseline.</x:v>
      </x:c>
      <x:c r="V172" s="31" t="str">
        <x:v>TECHNICAL_GLOSSARY</x:v>
      </x:c>
      <x:c r="W172" s="31" t="str">
        <x:v>World Health Organization mental-health terminology</x:v>
      </x:c>
      <x:c r="X172" s="31" t="str">
        <x:v>The candidate's affective or evaluative sense as used by the documented speaker/instrument/research voice at the anchor.</x:v>
      </x:c>
      <x:c r="Y172" s="31" t="str">
        <x:v>Modern psychological distress as a research, health, or participant category; the candidate is interpreted in its documented anchor and voice context.</x:v>
      </x:c>
      <x:c r="Z172" s="31" t="str">
        <x:v>STRONG</x:v>
      </x:c>
      <x:c r="AA172" s="19" t="str">
        <x:v>The surface form may realize multiple senses; candidate meaning remains anchored to the report-visible source context.</x:v>
      </x:c>
      <x:c r="AB172" s="31" t="str">
        <x:v>Secondary: Component headword checked: distress.; historical: Anchor-period research source/context; Webster 1913 stable component URL recorded but automated page retrieval was unavailable; source: https://www.who.int/news-room/fact-sheets/detail/climate-change-and-health; https://api.dictionaryapi.dev/api/v2/entries/en/psychological%20distress; https://websters1913.timcieplowski.com/word/distress/</x:v>
      </x:c>
      <x:c r="AC172" s="31" t="str">
        <x:v>INTERNET_ARCHIVE_METADATA_TEXT_ITEM_COUNT</x:v>
      </x:c>
      <x:c r="AD172" s="19" t="str">
        <x:v>"psychological distress" AND mediatype:texts</x:v>
      </x:c>
      <x:c r="AE172" s="31" t="str">
        <x:v>EXACT_PHRASE</x:v>
      </x:c>
      <x:c r="AF172" s="31" t="str">
        <x:v>COMPLETED_NONZERO</x:v>
      </x:c>
      <x:c r="AG172" s="25" t="n">
        <x:v>694</x:v>
      </x:c>
      <x:c r="AH172" s="25" t="n">
        <x:v>44</x:v>
      </x:c>
      <x:c r="AI172" s="19" t="str">
        <x:v>2026-08-26</x:v>
      </x:c>
      <x:c r="AJ172" s="31" t="str">
        <x:v>Metadata text-item count; not a full-text lexical frequency. Secondary metric: NOT_RUN_OPENALEX_DAILY_BUDGET_EXHAUSTED: shared provider response retained; no count fabricated.</x:v>
      </x:c>
      <x:c r="AK172" s="31" t="str">
        <x:v>FULLY_COVERED</x:v>
      </x:c>
      <x:c r="AL172" s="19" t="str">
        <x:v>PENDING_SOURCE_REVIEW</x:v>
      </x:c>
      <x:c r="AM172" s="20" t="str">
        <x:v>MEDIUM</x:v>
      </x:c>
    </x:row>
    <x:row r="173" ht="34" customHeight="1">
      <x:c r="A173" s="40" t="str">
        <x:v>FT-SEED-R1B-P-2022-19</x:v>
      </x:c>
      <x:c r="B173" s="19" t="str">
        <x:v>2022</x:v>
      </x:c>
      <x:c r="C173" s="25" t="n">
        <x:v>19</x:v>
      </x:c>
      <x:c r="D173" s="31" t="str">
        <x:v>distress</x:v>
      </x:c>
      <x:c r="E173" s="31" t="str">
        <x:v>psychological distress</x:v>
      </x:c>
      <x:c r="F173" s="31" t="str">
        <x:v>distress_depression</x:v>
      </x:c>
      <x:c r="G173" s="19" t="str">
        <x:v>C</x:v>
      </x:c>
      <x:c r="H173" s="19" t="str">
        <x:v>V1</x:v>
      </x:c>
      <x:c r="I173" s="19" t="str">
        <x:v>NOT_EXPOSED_IN_REPORT</x:v>
      </x:c>
      <x:c r="J173" s="31" t="str">
        <x:v>S2022-REHLING</x:v>
      </x:c>
      <x:c r="K173" s="31" t="str">
        <x:v>RECONSTRUCTED_FROM_REPORT; Fear of Temperature_ Stratified Lexical Expansion, Voice Mapping, and Semantic-Relational Pre-Valida.pdf; p.13; project candidate FT-SEED-R1B-P-2022-19; original visible ID not available</x:v>
      </x:c>
      <x:c r="L173" s="31" t="str">
        <x:v>SUCCEEDED_REUSED_BASELINE</x:v>
      </x:c>
      <x:c r="M173" s="31" t="str">
        <x:v>distress</x:v>
      </x:c>
      <x:c r="N173" s="31" t="str">
        <x:v>EXACT</x:v>
      </x:c>
      <x:c r="O173" s="19" t="str">
        <x:v>1842</x:v>
      </x:c>
      <x:c r="P173" s="19" t="str">
        <x:v>1842</x:v>
      </x:c>
      <x:c r="Q173" s="46" t="n">
        <x:v>0.000045284177929261205</x:v>
      </x:c>
      <x:c r="R173" s="46" t="n">
        <x:v>0.00001530569114294167</x:v>
      </x:c>
      <x:c r="S173" s="46" t="n">
        <x:v>0.000014732708390141624</x:v>
      </x:c>
      <x:c r="T173" s="46" t="n">
        <x:v>0.00001530569114294167</x:v>
      </x:c>
      <x:c r="U173" s="31" t="str">
        <x:v>Candidate surface form is directly representable in the public Ngram interface. Complete 1842–2022 unsmoothed series reused from the audited quantitative-v0.1 baseline.</x:v>
      </x:c>
      <x:c r="V173" s="31" t="str">
        <x:v>DIRECT_HEADWORD</x:v>
      </x:c>
      <x:c r="W173" s="31" t="str">
        <x:v>Webster's Revised Unabridged Dictionary (1913 public-domain headword index)</x:v>
      </x:c>
      <x:c r="X173" s="31" t="str">
        <x:v>The candidate's affective or evaluative sense as used by the documented speaker/instrument/research voice at the anchor.</x:v>
      </x:c>
      <x:c r="Y173" s="31" t="str">
        <x:v>Modern psychological distress as a research, health, or participant category; the candidate is interpreted in its documented anchor and voice context.</x:v>
      </x:c>
      <x:c r="Z173" s="31" t="str">
        <x:v>STRONG</x:v>
      </x:c>
      <x:c r="AA173" s="19" t="str">
        <x:v>The surface form may realize multiple senses; candidate meaning remains anchored to the report-visible source context.</x:v>
      </x:c>
      <x:c r="AB173" s="31" t="str">
        <x:v>Secondary: Component headword checked: distress.; historical: Anchor-period research source/context; Webster 1913 stable component URL recorded but automated page retrieval was unavailable; source: https://websters1913.timcieplowski.com/word/distress/; https://api.dictionaryapi.dev/api/v2/entries/en/distress</x:v>
      </x:c>
      <x:c r="AC173" s="31" t="str">
        <x:v>INTERNET_ARCHIVE_METADATA_TEXT_ITEM_COUNT</x:v>
      </x:c>
      <x:c r="AD173" s="19" t="str">
        <x:v>"distress" AND mediatype:texts</x:v>
      </x:c>
      <x:c r="AE173" s="31" t="str">
        <x:v>EXACT_PHRASE</x:v>
      </x:c>
      <x:c r="AF173" s="31" t="str">
        <x:v>COMPLETED_NONZERO</x:v>
      </x:c>
      <x:c r="AG173" s="25" t="n">
        <x:v>10884</x:v>
      </x:c>
      <x:c r="AH173" s="25" t="n">
        <x:v>244</x:v>
      </x:c>
      <x:c r="AI173" s="19" t="str">
        <x:v>2026-08-26</x:v>
      </x:c>
      <x:c r="AJ173" s="31" t="str">
        <x:v>Metadata text-item count; not a full-text lexical frequency. Secondary metric: NOT_RUN_OPENALEX_DAILY_BUDGET_EXHAUSTED: shared provider response retained; no count fabricated.</x:v>
      </x:c>
      <x:c r="AK173" s="31" t="str">
        <x:v>FULLY_COVERED</x:v>
      </x:c>
      <x:c r="AL173" s="19" t="str">
        <x:v>PENDING_SOURCE_REVIEW</x:v>
      </x:c>
      <x:c r="AM173" s="20" t="str">
        <x:v>MEDIUM</x:v>
      </x:c>
    </x:row>
    <x:row r="174" ht="34" customHeight="1">
      <x:c r="A174" s="40" t="str">
        <x:v>FT-SEED-R1B-P-2022-20</x:v>
      </x:c>
      <x:c r="B174" s="19" t="str">
        <x:v>2022</x:v>
      </x:c>
      <x:c r="C174" s="25" t="n">
        <x:v>20</x:v>
      </x:c>
      <x:c r="D174" s="31" t="str">
        <x:v>powerlessness</x:v>
      </x:c>
      <x:c r="E174" s="31" t="str">
        <x:v>depressed affect</x:v>
      </x:c>
      <x:c r="F174" s="31" t="str">
        <x:v>distress_depression</x:v>
      </x:c>
      <x:c r="G174" s="19" t="str">
        <x:v>C</x:v>
      </x:c>
      <x:c r="H174" s="19" t="str">
        <x:v>V1</x:v>
      </x:c>
      <x:c r="I174" s="19" t="str">
        <x:v>NOT_EXPOSED_IN_REPORT</x:v>
      </x:c>
      <x:c r="J174" s="31" t="str">
        <x:v>S2022-REHLING</x:v>
      </x:c>
      <x:c r="K174" s="31" t="str">
        <x:v>RECONSTRUCTED_FROM_REPORT; Fear of Temperature_ Stratified Lexical Expansion, Voice Mapping, and Semantic-Relational Pre-Valida.pdf; p.13; project candidate FT-SEED-R1B-P-2022-20; original visible ID not available</x:v>
      </x:c>
      <x:c r="L174" s="31" t="str">
        <x:v>SUCCEEDED_REUSED_BASELINE</x:v>
      </x:c>
      <x:c r="M174" s="31" t="str">
        <x:v>powerlessness</x:v>
      </x:c>
      <x:c r="N174" s="31" t="str">
        <x:v>EXACT</x:v>
      </x:c>
      <x:c r="O174" s="19" t="str">
        <x:v>1842</x:v>
      </x:c>
      <x:c r="P174" s="19" t="str">
        <x:v>2016</x:v>
      </x:c>
      <x:c r="Q174" s="46" t="n">
        <x:v>9.903161126700866e-7</x:v>
      </x:c>
      <x:c r="R174" s="46" t="n">
        <x:v>8.604735197703661e-7</x:v>
      </x:c>
      <x:c r="S174" s="46" t="n">
        <x:v>9.170843425776454e-7</x:v>
      </x:c>
      <x:c r="T174" s="46" t="n">
        <x:v>8.604735197703661e-7</x:v>
      </x:c>
      <x:c r="U174" s="31" t="str">
        <x:v>Candidate surface form is directly representable in the public Ngram interface. Complete 1842–2022 unsmoothed series reused from the audited quantitative-v0.1 baseline.</x:v>
      </x:c>
      <x:c r="V174" s="31" t="str">
        <x:v>DIRECT_HEADWORD</x:v>
      </x:c>
      <x:c r="W174" s="31" t="str">
        <x:v>Webster's Revised Unabridged Dictionary (1913 public-domain headword index)</x:v>
      </x:c>
      <x:c r="X174" s="31" t="str">
        <x:v>The candidate's affective or evaluative sense as used by the documented speaker/instrument/research voice at the anchor.</x:v>
      </x:c>
      <x:c r="Y174" s="31" t="str">
        <x:v>Depressed affect directly expressed or instrument-endorsed in a climate context; the candidate is interpreted in its documented anchor and voice context.</x:v>
      </x:c>
      <x:c r="Z174" s="31" t="str">
        <x:v>STRONG</x:v>
      </x:c>
      <x:c r="AA174" s="19" t="str">
        <x:v>The surface form may realize multiple senses; candidate meaning remains anchored to the report-visible source context.</x:v>
      </x:c>
      <x:c r="AB174" s="31" t="str">
        <x:v>Secondary: Component headword checked: powerlessness.; historical: Anchor-period research source/context; Webster 1913 stable component URL recorded but automated page retrieval was unavailable; source: https://websters1913.timcieplowski.com/word/powerlessness/; https://api.dictionaryapi.dev/api/v2/entries/en/powerlessness</x:v>
      </x:c>
      <x:c r="AC174" s="31" t="str">
        <x:v>INTERNET_ARCHIVE_METADATA_TEXT_ITEM_COUNT</x:v>
      </x:c>
      <x:c r="AD174" s="19" t="str">
        <x:v>"powerlessness" AND mediatype:texts</x:v>
      </x:c>
      <x:c r="AE174" s="31" t="str">
        <x:v>EXACT_PHRASE</x:v>
      </x:c>
      <x:c r="AF174" s="31" t="str">
        <x:v>COMPLETED_NONZERO</x:v>
      </x:c>
      <x:c r="AG174" s="25" t="n">
        <x:v>575</x:v>
      </x:c>
      <x:c r="AH174" s="25" t="n">
        <x:v>12</x:v>
      </x:c>
      <x:c r="AI174" s="19" t="str">
        <x:v>2026-08-26</x:v>
      </x:c>
      <x:c r="AJ174" s="31" t="str">
        <x:v>Metadata text-item count; not a full-text lexical frequency. Secondary metric: NOT_RUN_OPENALEX_DAILY_BUDGET_EXHAUSTED: shared provider response retained; no count fabricated.</x:v>
      </x:c>
      <x:c r="AK174" s="31" t="str">
        <x:v>FULLY_COVERED</x:v>
      </x:c>
      <x:c r="AL174" s="19" t="str">
        <x:v>PENDING_SOURCE_REVIEW</x:v>
      </x:c>
      <x:c r="AM174" s="20" t="str">
        <x:v>MEDIUM</x:v>
      </x:c>
    </x:row>
    <x:row r="175" ht="34" customHeight="1">
      <x:c r="A175" s="40" t="str">
        <x:v>FT-SEED-R1B-P-2022-21</x:v>
      </x:c>
      <x:c r="B175" s="19" t="str">
        <x:v>2022</x:v>
      </x:c>
      <x:c r="C175" s="25" t="n">
        <x:v>21</x:v>
      </x:c>
      <x:c r="D175" s="31" t="str">
        <x:v>guilt</x:v>
      </x:c>
      <x:c r="E175" s="31" t="str">
        <x:v>depressed affect</x:v>
      </x:c>
      <x:c r="F175" s="31" t="str">
        <x:v>distress_depression</x:v>
      </x:c>
      <x:c r="G175" s="19" t="str">
        <x:v>C</x:v>
      </x:c>
      <x:c r="H175" s="19" t="str">
        <x:v>V1</x:v>
      </x:c>
      <x:c r="I175" s="19" t="str">
        <x:v>NOT_EXPOSED_IN_REPORT</x:v>
      </x:c>
      <x:c r="J175" s="31" t="str">
        <x:v>S2022-REHLING</x:v>
      </x:c>
      <x:c r="K175" s="31" t="str">
        <x:v>RECONSTRUCTED_FROM_REPORT; Fear of Temperature_ Stratified Lexical Expansion, Voice Mapping, and Semantic-Relational Pre-Valida.pdf; p.12; project candidate FT-SEED-R1B-P-2022-21; original visible ID not available</x:v>
      </x:c>
      <x:c r="L175" s="31" t="str">
        <x:v>SUCCEEDED_REUSED_BASELINE</x:v>
      </x:c>
      <x:c r="M175" s="31" t="str">
        <x:v>guilt</x:v>
      </x:c>
      <x:c r="N175" s="31" t="str">
        <x:v>EXACT</x:v>
      </x:c>
      <x:c r="O175" s="19" t="str">
        <x:v>1842</x:v>
      </x:c>
      <x:c r="P175" s="19" t="str">
        <x:v>1844</x:v>
      </x:c>
      <x:c r="Q175" s="46" t="n">
        <x:v>0.000020787264730870447</x:v>
      </x:c>
      <x:c r="R175" s="46" t="n">
        <x:v>0.00001681260062724732</x:v>
      </x:c>
      <x:c r="S175" s="46" t="n">
        <x:v>0.000017060073389529862</x:v>
      </x:c>
      <x:c r="T175" s="46" t="n">
        <x:v>0.00001681260062724732</x:v>
      </x:c>
      <x:c r="U175" s="31" t="str">
        <x:v>Candidate surface form is directly representable in the public Ngram interface. Complete 1842–2022 unsmoothed series reused from the audited quantitative-v0.1 baseline.</x:v>
      </x:c>
      <x:c r="V175" s="31" t="str">
        <x:v>DIRECT_HEADWORD</x:v>
      </x:c>
      <x:c r="W175" s="31" t="str">
        <x:v>Webster's Revised Unabridged Dictionary (1913 public-domain headword index)</x:v>
      </x:c>
      <x:c r="X175" s="31" t="str">
        <x:v>The candidate's affective or evaluative sense as used by the documented speaker/instrument/research voice at the anchor.</x:v>
      </x:c>
      <x:c r="Y175" s="31" t="str">
        <x:v>Depressed affect directly expressed or instrument-endorsed in a climate context; the candidate is interpreted in its documented anchor and voice context.</x:v>
      </x:c>
      <x:c r="Z175" s="31" t="str">
        <x:v>STRONG</x:v>
      </x:c>
      <x:c r="AA175" s="19" t="str">
        <x:v>The surface form may realize multiple senses; candidate meaning remains anchored to the report-visible source context.</x:v>
      </x:c>
      <x:c r="AB175" s="31" t="str">
        <x:v>Secondary: Component headword checked: guilt.; historical: Anchor-period research source/context; Webster 1913 stable component URL recorded but automated page retrieval was unavailable; source: https://websters1913.timcieplowski.com/word/guilt/; https://api.dictionaryapi.dev/api/v2/entries/en/guilt</x:v>
      </x:c>
      <x:c r="AC175" s="31" t="str">
        <x:v>INTERNET_ARCHIVE_METADATA_TEXT_ITEM_COUNT</x:v>
      </x:c>
      <x:c r="AD175" s="19" t="str">
        <x:v>"guilt" AND mediatype:texts</x:v>
      </x:c>
      <x:c r="AE175" s="31" t="str">
        <x:v>EXACT_PHRASE</x:v>
      </x:c>
      <x:c r="AF175" s="31" t="str">
        <x:v>COMPLETED_NONZERO</x:v>
      </x:c>
      <x:c r="AG175" s="25" t="n">
        <x:v>8299</x:v>
      </x:c>
      <x:c r="AH175" s="25" t="n">
        <x:v>86</x:v>
      </x:c>
      <x:c r="AI175" s="19" t="str">
        <x:v>2026-08-26</x:v>
      </x:c>
      <x:c r="AJ175" s="31" t="str">
        <x:v>Metadata text-item count; not a full-text lexical frequency. Secondary metric: NOT_RUN_OPENALEX_DAILY_BUDGET_EXHAUSTED: shared provider response retained; no count fabricated.</x:v>
      </x:c>
      <x:c r="AK175" s="31" t="str">
        <x:v>FULLY_COVERED</x:v>
      </x:c>
      <x:c r="AL175" s="19" t="str">
        <x:v>PENDING_SOURCE_REVIEW</x:v>
      </x:c>
      <x:c r="AM175" s="20" t="str">
        <x:v>MEDIUM</x:v>
      </x:c>
    </x:row>
    <x:row r="176" ht="34" customHeight="1">
      <x:c r="A176" s="40" t="str">
        <x:v>FT-SEED-R1B-P-2022-22</x:v>
      </x:c>
      <x:c r="B176" s="19" t="str">
        <x:v>2022</x:v>
      </x:c>
      <x:c r="C176" s="25" t="n">
        <x:v>22</x:v>
      </x:c>
      <x:c r="D176" s="31" t="str">
        <x:v>heatwaves</x:v>
      </x:c>
      <x:c r="E176" s="31" t="str">
        <x:v>heatwave / weather event</x:v>
      </x:c>
      <x:c r="F176" s="31" t="str">
        <x:v>heat</x:v>
      </x:c>
      <x:c r="G176" s="19" t="str">
        <x:v>A</x:v>
      </x:c>
      <x:c r="H176" s="19" t="str">
        <x:v>V1</x:v>
      </x:c>
      <x:c r="I176" s="19" t="str">
        <x:v>NOT_EXPOSED_IN_REPORT</x:v>
      </x:c>
      <x:c r="J176" s="31" t="str">
        <x:v>S2022-IPCC</x:v>
      </x:c>
      <x:c r="K176" s="31" t="str">
        <x:v>RECONSTRUCTED_FROM_REPORT; Fear of Temperature_ Stratified Lexical Expansion, Voice Mapping, and Semantic-Relational Pre-Valida.pdf; p.12; project candidate FT-SEED-R1B-P-2022-22; original visible ID not available</x:v>
      </x:c>
      <x:c r="L176" s="31" t="str">
        <x:v>SUCCEEDED_NEW</x:v>
      </x:c>
      <x:c r="M176" s="31" t="str">
        <x:v>heatwaves</x:v>
      </x:c>
      <x:c r="N176" s="31" t="str">
        <x:v>EXACT</x:v>
      </x:c>
      <x:c r="O176" s="19" t="str">
        <x:v>1843</x:v>
      </x:c>
      <x:c r="P176" s="19" t="str">
        <x:v>2022</x:v>
      </x:c>
      <x:c r="Q176" s="46" t="n">
        <x:v>2.3539609864120514e-7</x:v>
      </x:c>
      <x:c r="R176" s="46" t="n">
        <x:v>2.3539609864120514e-7</x:v>
      </x:c>
      <x:c r="S176" s="46" t="n">
        <x:v>1.9697515064864834e-7</x:v>
      </x:c>
      <x:c r="T176" s="46" t="n">
        <x:v>2.3539609864120514e-7</x:v>
      </x:c>
      <x:c r="U176" s="31" t="str">
        <x:v>Candidate surface form is directly representable in the public Ngram interface. New unsmoothed 1842–2022 series retrieved for the candidate audit.</x:v>
      </x:c>
      <x:c r="V176" s="31" t="str">
        <x:v>DIRECT_HEADWORD</x:v>
      </x:c>
      <x:c r="W176" s="31" t="str">
        <x:v>Webster's Revised Unabridged Dictionary (1913 public-domain headword index)</x:v>
      </x:c>
      <x:c r="X176" s="31" t="str">
        <x:v>A physical temperature, warming, heat, or measurement sense in the documented anchor context.</x:v>
      </x:c>
      <x:c r="Y176" s="31" t="str">
        <x:v>A bounded hot-weather or heatwave event; the candidate is interpreted in its documented anchor and voice context.</x:v>
      </x:c>
      <x:c r="Z176" s="31" t="str">
        <x:v>STRONG</x:v>
      </x:c>
      <x:c r="AA176" s="19" t="str">
        <x:v>The surface form may realize multiple senses; candidate meaning remains anchored to the report-visible source context.</x:v>
      </x:c>
      <x:c r="AB176" s="31" t="str">
        <x:v>Secondary: Component headword checked: heatwaves.; historical: Anchor-period research source/context; Webster 1913 stable component URL recorded but automated page retrieval was unavailable; source: https://websters1913.timcieplowski.com/word/heatwaves/; https://api.dictionaryapi.dev/api/v2/entries/en/heatwaves</x:v>
      </x:c>
      <x:c r="AC176" s="31" t="str">
        <x:v>INTERNET_ARCHIVE_METADATA_TEXT_ITEM_COUNT</x:v>
      </x:c>
      <x:c r="AD176" s="19" t="str">
        <x:v>"heatwaves" AND mediatype:texts</x:v>
      </x:c>
      <x:c r="AE176" s="31" t="str">
        <x:v>EXACT_PHRASE</x:v>
      </x:c>
      <x:c r="AF176" s="31" t="str">
        <x:v>COMPLETED_NONZERO</x:v>
      </x:c>
      <x:c r="AG176" s="25" t="n">
        <x:v>115</x:v>
      </x:c>
      <x:c r="AH176" s="25" t="n">
        <x:v>26</x:v>
      </x:c>
      <x:c r="AI176" s="19" t="str">
        <x:v>2026-08-26</x:v>
      </x:c>
      <x:c r="AJ176" s="31" t="str">
        <x:v>Metadata text-item count; not a full-text lexical frequency. Secondary metric: NOT_RUN_OPENALEX_DAILY_BUDGET_EXHAUSTED: shared provider response retained; no count fabricated.</x:v>
      </x:c>
      <x:c r="AK176" s="31" t="str">
        <x:v>FULLY_COVERED</x:v>
      </x:c>
      <x:c r="AL176" s="19" t="str">
        <x:v>PENDING_SOURCE_REVIEW</x:v>
      </x:c>
      <x:c r="AM176" s="20" t="str">
        <x:v>MEDIUM</x:v>
      </x:c>
    </x:row>
    <x:row r="177" ht="34" customHeight="1">
      <x:c r="A177" s="40" t="str">
        <x:v>FT-SEED-R1B-P-2022-23</x:v>
      </x:c>
      <x:c r="B177" s="19" t="str">
        <x:v>2022</x:v>
      </x:c>
      <x:c r="C177" s="25" t="n">
        <x:v>23</x:v>
      </x:c>
      <x:c r="D177" s="31" t="str">
        <x:v>heat-related mortality</x:v>
      </x:c>
      <x:c r="E177" s="31" t="str">
        <x:v>extreme-heat hazard</x:v>
      </x:c>
      <x:c r="F177" s="31" t="str">
        <x:v>heat</x:v>
      </x:c>
      <x:c r="G177" s="19" t="str">
        <x:v>D</x:v>
      </x:c>
      <x:c r="H177" s="19" t="str">
        <x:v>V1</x:v>
      </x:c>
      <x:c r="I177" s="19" t="str">
        <x:v>NOT_EXPOSED_IN_REPORT</x:v>
      </x:c>
      <x:c r="J177" s="31" t="str">
        <x:v>S2022-IPCC</x:v>
      </x:c>
      <x:c r="K177" s="31" t="str">
        <x:v>RECONSTRUCTED_FROM_REPORT; Fear of Temperature_ Stratified Lexical Expansion, Voice Mapping, and Semantic-Relational Pre-Valida.pdf; p.12; project candidate FT-SEED-R1B-P-2022-23; original visible ID not available</x:v>
      </x:c>
      <x:c r="L177" s="31" t="str">
        <x:v>SUCCEEDED_NEW</x:v>
      </x:c>
      <x:c r="M177" s="31" t="str">
        <x:v>heat-related mortality</x:v>
      </x:c>
      <x:c r="N177" s="31" t="str">
        <x:v>EXACT</x:v>
      </x:c>
      <x:c r="O177" s="19" t="str">
        <x:v>1901</x:v>
      </x:c>
      <x:c r="P177" s="19" t="str">
        <x:v>2022</x:v>
      </x:c>
      <x:c r="Q177" s="46" t="n">
        <x:v>3.4297885746770174e-8</x:v>
      </x:c>
      <x:c r="R177" s="46" t="n">
        <x:v>3.4297885746770174e-8</x:v>
      </x:c>
      <x:c r="S177" s="46" t="n">
        <x:v>2.5230117672164765e-8</x:v>
      </x:c>
      <x:c r="T177" s="46" t="n">
        <x:v>3.4297885746770174e-8</x:v>
      </x:c>
      <x:c r="U177" s="31" t="str">
        <x:v>Candidate surface form is directly representable in the public Ngram interface. New unsmoothed 1842–2022 series retrieved for the candidate audit.</x:v>
      </x:c>
      <x:c r="V177" s="31" t="str">
        <x:v>TECHNICAL_GLOSSARY</x:v>
      </x:c>
      <x:c r="W177" s="31" t="str">
        <x:v>IPCC climate-science glossary / assessment terminology</x:v>
      </x:c>
      <x:c r="X177" s="31" t="str">
        <x:v>A threat, risk, harm, severity, or consequence sense in the documented source; it is not automatically an emotion.</x:v>
      </x:c>
      <x:c r="Y177" s="31" t="str">
        <x:v>Deaths attributable to, or materially associated with, exposure to high ambient temperatures.</x:v>
      </x:c>
      <x:c r="Z177" s="31" t="str">
        <x:v>STRONG</x:v>
      </x:c>
      <x:c r="AA177" s="19" t="str">
        <x:v>The surface form may realize multiple senses; candidate meaning remains anchored to the report-visible source context.</x:v>
      </x:c>
      <x:c r="AB177" s="31" t="str">
        <x:v>Secondary: Component headword checked: mortality.; historical: Anchor-period research source/context; Webster 1913 stable component URL recorded but automated page retrieval was unavailable; source: https://www.ipcc.ch/site/assets/uploads/2018/02/WGIIAR5-AnnexII_FINAL.pdf; https://api.dictionaryapi.dev/api/v2/entries/en/heat-related%20mortality; https://websters1913.timcieplowski.com/word/mortality/</x:v>
      </x:c>
      <x:c r="AC177" s="31" t="str">
        <x:v>INTERNET_ARCHIVE_METADATA_TEXT_ITEM_COUNT</x:v>
      </x:c>
      <x:c r="AD177" s="19" t="str">
        <x:v>"heat-related mortality" AND mediatype:texts</x:v>
      </x:c>
      <x:c r="AE177" s="31" t="str">
        <x:v>EXACT_PHRASE</x:v>
      </x:c>
      <x:c r="AF177" s="31" t="str">
        <x:v>COMPLETED_NONZERO</x:v>
      </x:c>
      <x:c r="AG177" s="25" t="n">
        <x:v>25</x:v>
      </x:c>
      <x:c r="AH177" s="25" t="n">
        <x:v>1</x:v>
      </x:c>
      <x:c r="AI177" s="19" t="str">
        <x:v>2026-08-26</x:v>
      </x:c>
      <x:c r="AJ177" s="31" t="str">
        <x:v>Metadata text-item count; not a full-text lexical frequency. Secondary metric: NOT_RUN_OPENALEX_DAILY_BUDGET_EXHAUSTED: shared provider response retained; no count fabricated.</x:v>
      </x:c>
      <x:c r="AK177" s="31" t="str">
        <x:v>FULLY_COVERED</x:v>
      </x:c>
      <x:c r="AL177" s="19" t="str">
        <x:v>PENDING_SOURCE_REVIEW</x:v>
      </x:c>
      <x:c r="AM177" s="20" t="str">
        <x:v>MEDIUM</x:v>
      </x:c>
    </x:row>
    <x:row r="178" ht="34" customHeight="1">
      <x:c r="A178" s="40" t="str">
        <x:v>FT-SEED-R1B-P-2022-24</x:v>
      </x:c>
      <x:c r="B178" s="19" t="str">
        <x:v>2022</x:v>
      </x:c>
      <x:c r="C178" s="25" t="n">
        <x:v>24</x:v>
      </x:c>
      <x:c r="D178" s="31" t="str">
        <x:v>mental health challenges</x:v>
      </x:c>
      <x:c r="E178" s="31" t="str">
        <x:v>generic damage</x:v>
      </x:c>
      <x:c r="F178" s="31" t="str">
        <x:v>harm_loss_consequences</x:v>
      </x:c>
      <x:c r="G178" s="19" t="str">
        <x:v>D</x:v>
      </x:c>
      <x:c r="H178" s="19" t="str">
        <x:v>V1</x:v>
      </x:c>
      <x:c r="I178" s="19" t="str">
        <x:v>NOT_EXPOSED_IN_REPORT</x:v>
      </x:c>
      <x:c r="J178" s="31" t="str">
        <x:v>S2022-IPCC</x:v>
      </x:c>
      <x:c r="K178" s="31" t="str">
        <x:v>RECONSTRUCTED_FROM_REPORT; Fear of Temperature_ Stratified Lexical Expansion, Voice Mapping, and Semantic-Relational Pre-Valida.pdf; p.12; project candidate FT-SEED-R1B-P-2022-24; original visible ID not available</x:v>
      </x:c>
      <x:c r="L178" s="31" t="str">
        <x:v>SUCCEEDED_NEW</x:v>
      </x:c>
      <x:c r="M178" s="31" t="str">
        <x:v>mental health challenges</x:v>
      </x:c>
      <x:c r="N178" s="31" t="str">
        <x:v>EXACT</x:v>
      </x:c>
      <x:c r="O178" s="19" t="str">
        <x:v>1900</x:v>
      </x:c>
      <x:c r="P178" s="19" t="str">
        <x:v>2022</x:v>
      </x:c>
      <x:c r="Q178" s="46" t="n">
        <x:v>1.5939624659067064e-7</x:v>
      </x:c>
      <x:c r="R178" s="46" t="n">
        <x:v>1.5939624659067064e-7</x:v>
      </x:c>
      <x:c r="S178" s="46" t="n">
        <x:v>1.470317696761203e-7</x:v>
      </x:c>
      <x:c r="T178" s="46" t="n">
        <x:v>1.5939624659067064e-7</x:v>
      </x:c>
      <x:c r="U178" s="31" t="str">
        <x:v>Candidate surface form is directly representable in the public Ngram interface. New unsmoothed 1842–2022 series retrieved for the candidate audit.</x:v>
      </x:c>
      <x:c r="V178" s="31" t="str">
        <x:v>NO_STANDALONE_HEADWORD</x:v>
      </x:c>
      <x:c r="W178" s="31" t="str">
        <x:v>Component lexical analysis plus anchor-source contextual meaning</x:v>
      </x:c>
      <x:c r="X178" s="31" t="str">
        <x:v>A threat, risk, harm, severity, or consequence sense in the documented source; it is not automatically an emotion.</x:v>
      </x:c>
      <x:c r="Y178" s="31" t="str">
        <x:v>Generic material, ecological, or social damage; the candidate is interpreted in its documented anchor and voice context.</x:v>
      </x:c>
      <x:c r="Z178" s="31" t="str">
        <x:v>STRONG</x:v>
      </x:c>
      <x:c r="AA178" s="19" t="str">
        <x:v>The surface form may realize multiple senses; candidate meaning remains anchored to the report-visible source context.</x:v>
      </x:c>
      <x:c r="AB178" s="31" t="str">
        <x:v>Secondary: Component headword checked: challenges.;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https://api.dictionaryapi.dev/api/v2/entries/en/mental%20health%20challenges; https://websters1913.timcieplowski.com/word/challenges/</x:v>
      </x:c>
      <x:c r="AC178" s="31" t="str">
        <x:v>INTERNET_ARCHIVE_METADATA_TEXT_ITEM_COUNT</x:v>
      </x:c>
      <x:c r="AD178" s="19" t="str">
        <x:v>"mental health challenges" AND mediatype:texts</x:v>
      </x:c>
      <x:c r="AE178" s="31" t="str">
        <x:v>EXACT_PHRASE</x:v>
      </x:c>
      <x:c r="AF178" s="31" t="str">
        <x:v>COMPLETED_NONZERO</x:v>
      </x:c>
      <x:c r="AG178" s="25" t="n">
        <x:v>134</x:v>
      </x:c>
      <x:c r="AH178" s="25" t="n">
        <x:v>23</x:v>
      </x:c>
      <x:c r="AI178" s="19" t="str">
        <x:v>2026-08-26</x:v>
      </x:c>
      <x:c r="AJ178" s="31" t="str">
        <x:v>Metadata text-item count; not a full-text lexical frequency. Secondary metric: NOT_RUN_OPENALEX_DAILY_BUDGET_EXHAUSTED: shared provider response retained; no count fabricated.</x:v>
      </x:c>
      <x:c r="AK178" s="31" t="str">
        <x:v>FULLY_COVERED</x:v>
      </x:c>
      <x:c r="AL178" s="19" t="str">
        <x:v>PENDING_SOURCE_REVIEW</x:v>
      </x:c>
      <x:c r="AM178" s="20" t="str">
        <x:v>MEDIUM</x:v>
      </x:c>
    </x:row>
    <x:row r="179" ht="34" customHeight="1">
      <x:c r="A179" s="40" t="str">
        <x:v>FT-SEED-R1B-P-2022-25</x:v>
      </x:c>
      <x:c r="B179" s="19" t="str">
        <x:v>2022</x:v>
      </x:c>
      <x:c r="C179" s="25" t="n">
        <x:v>25</x:v>
      </x:c>
      <x:c r="D179" s="31" t="str">
        <x:v>anxiety and stress</x:v>
      </x:c>
      <x:c r="E179" s="31" t="str">
        <x:v>anxiety symptom measure</x:v>
      </x:c>
      <x:c r="F179" s="31" t="str">
        <x:v>anxiety</x:v>
      </x:c>
      <x:c r="G179" s="19" t="str">
        <x:v>C</x:v>
      </x:c>
      <x:c r="H179" s="19" t="str">
        <x:v>V1</x:v>
      </x:c>
      <x:c r="I179" s="19" t="str">
        <x:v>NOT_EXPOSED_IN_REPORT</x:v>
      </x:c>
      <x:c r="J179" s="31" t="str">
        <x:v>S2022-IPCC</x:v>
      </x:c>
      <x:c r="K179" s="31" t="str">
        <x:v>RECONSTRUCTED_FROM_REPORT; Fear of Temperature_ Stratified Lexical Expansion, Voice Mapping, and Semantic-Relational Pre-Valida.pdf; p.12; project candidate FT-SEED-R1B-P-2022-25; original visible ID not available</x:v>
      </x:c>
      <x:c r="L179" s="31" t="str">
        <x:v>SUCCEEDED_NEW</x:v>
      </x:c>
      <x:c r="M179" s="31" t="str">
        <x:v>anxiety and stress</x:v>
      </x:c>
      <x:c r="N179" s="31" t="str">
        <x:v>EXACT</x:v>
      </x:c>
      <x:c r="O179" s="19" t="str">
        <x:v>1844</x:v>
      </x:c>
      <x:c r="P179" s="19" t="str">
        <x:v>2022</x:v>
      </x:c>
      <x:c r="Q179" s="46" t="n">
        <x:v>2.2447910766332235e-7</x:v>
      </x:c>
      <x:c r="R179" s="46" t="n">
        <x:v>2.2447910766332235e-7</x:v>
      </x:c>
      <x:c r="S179" s="46" t="n">
        <x:v>2.2406331945390434e-7</x:v>
      </x:c>
      <x:c r="T179" s="46" t="n">
        <x:v>2.2447910766332235e-7</x:v>
      </x:c>
      <x:c r="U179" s="31" t="str">
        <x:v>Candidate surface form is directly representable in the public Ngram interface. New unsmoothed 1842–2022 series retrieved for the candidate audit.</x:v>
      </x:c>
      <x:c r="V179" s="31" t="str">
        <x:v>NO_STANDALONE_HEADWORD</x:v>
      </x:c>
      <x:c r="W179" s="31" t="str">
        <x:v>Component lexical analysis plus anchor-source contextual meaning</x:v>
      </x:c>
      <x:c r="X179" s="31" t="str">
        <x:v>The candidate's affective or evaluative sense as used by the documented speaker/instrument/research voice at the anchor.</x:v>
      </x:c>
      <x:c r="Y179" s="31" t="str">
        <x:v>Anxiety operationalised as a symptom or health measure; the candidate is interpreted in its documented anchor and voice context.</x:v>
      </x:c>
      <x:c r="Z179" s="31" t="str">
        <x:v>STRONG</x:v>
      </x:c>
      <x:c r="AA179" s="19" t="str">
        <x:v>The surface form may realize multiple senses; candidate meaning remains anchored to the report-visible source context.</x:v>
      </x:c>
      <x:c r="AB179" s="31" t="str">
        <x:v>Secondary: Component headword checked: stress.;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https://api.dictionaryapi.dev/api/v2/entries/en/anxiety%20and%20stress; https://websters1913.timcieplowski.com/word/stress/</x:v>
      </x:c>
      <x:c r="AC179" s="31" t="str">
        <x:v>INTERNET_ARCHIVE_METADATA_TEXT_ITEM_COUNT</x:v>
      </x:c>
      <x:c r="AD179" s="19" t="str">
        <x:v>"anxiety and stress" AND mediatype:texts</x:v>
      </x:c>
      <x:c r="AE179" s="31" t="str">
        <x:v>EXACT_PHRASE</x:v>
      </x:c>
      <x:c r="AF179" s="31" t="str">
        <x:v>COMPLETED_NONZERO</x:v>
      </x:c>
      <x:c r="AG179" s="25" t="n">
        <x:v>256</x:v>
      </x:c>
      <x:c r="AH179" s="25" t="n">
        <x:v>34</x:v>
      </x:c>
      <x:c r="AI179" s="19" t="str">
        <x:v>2026-08-26</x:v>
      </x:c>
      <x:c r="AJ179" s="31" t="str">
        <x:v>Metadata text-item count; not a full-text lexical frequency. Secondary metric: Scholarly work discoverability count over OpenAlex search fields; not a corpus word frequency.</x:v>
      </x:c>
      <x:c r="AK179" s="31" t="str">
        <x:v>FULLY_COVERED</x:v>
      </x:c>
      <x:c r="AL179" s="19" t="str">
        <x:v>PENDING_SOURCE_REVIEW</x:v>
      </x:c>
      <x:c r="AM179" s="20" t="str">
        <x:v>MEDIUM</x:v>
      </x:c>
    </x:row>
    <x:row r="180" ht="34" customHeight="1">
      <x:c r="A180" s="40" t="str">
        <x:v>FT-SEED-R1B-P-2022-26</x:v>
      </x:c>
      <x:c r="B180" s="19" t="str">
        <x:v>2022</x:v>
      </x:c>
      <x:c r="C180" s="25" t="n">
        <x:v>26</x:v>
      </x:c>
      <x:c r="D180" s="31" t="str">
        <x:v>ill health</x:v>
      </x:c>
      <x:c r="E180" s="31" t="str">
        <x:v>generic damage</x:v>
      </x:c>
      <x:c r="F180" s="31" t="str">
        <x:v>harm_loss_consequences</x:v>
      </x:c>
      <x:c r="G180" s="19" t="str">
        <x:v>D</x:v>
      </x:c>
      <x:c r="H180" s="19" t="str">
        <x:v>V1</x:v>
      </x:c>
      <x:c r="I180" s="19" t="str">
        <x:v>NOT_EXPOSED_IN_REPORT</x:v>
      </x:c>
      <x:c r="J180" s="31" t="str">
        <x:v>S2022-IPCC</x:v>
      </x:c>
      <x:c r="K180" s="31" t="str">
        <x:v>RECONSTRUCTED_FROM_REPORT; Fear of Temperature_ Stratified Lexical Expansion, Voice Mapping, and Semantic-Relational Pre-Valida.pdf; p.12; project candidate FT-SEED-R1B-P-2022-26; original visible ID not available</x:v>
      </x:c>
      <x:c r="L180" s="31" t="str">
        <x:v>SUCCEEDED_NEW</x:v>
      </x:c>
      <x:c r="M180" s="31" t="str">
        <x:v>ill health</x:v>
      </x:c>
      <x:c r="N180" s="31" t="str">
        <x:v>EXACT</x:v>
      </x:c>
      <x:c r="O180" s="19" t="str">
        <x:v>1842</x:v>
      </x:c>
      <x:c r="P180" s="19" t="str">
        <x:v>1850</x:v>
      </x:c>
      <x:c r="Q180" s="46" t="n">
        <x:v>0.000002420165740923963</x:v>
      </x:c>
      <x:c r="R180" s="46" t="n">
        <x:v>8.053424292442379e-7</x:v>
      </x:c>
      <x:c r="S180" s="46" t="n">
        <x:v>8.071232997682032e-7</x:v>
      </x:c>
      <x:c r="T180" s="46" t="n">
        <x:v>8.053424292442379e-7</x:v>
      </x:c>
      <x:c r="U180" s="31" t="str">
        <x:v>Candidate surface form is directly representable in the public Ngram interface. New unsmoothed 1842–2022 series retrieved for the candidate audit.</x:v>
      </x:c>
      <x:c r="V180" s="31" t="str">
        <x:v>NO_STANDALONE_HEADWORD</x:v>
      </x:c>
      <x:c r="W180" s="31" t="str">
        <x:v>Component lexical analysis plus anchor-source contextual meaning</x:v>
      </x:c>
      <x:c r="X180" s="31" t="str">
        <x:v>A threat, risk, harm, severity, or consequence sense in the documented source; it is not automatically an emotion.</x:v>
      </x:c>
      <x:c r="Y180" s="31" t="str">
        <x:v>Generic material, ecological, or social damage; the candidate is interpreted in its documented anchor and voice context.</x:v>
      </x:c>
      <x:c r="Z180" s="31" t="str">
        <x:v>STRONG</x:v>
      </x:c>
      <x:c r="AA180" s="19" t="str">
        <x:v>The surface form may realize multiple senses; candidate meaning remains anchored to the report-visible source context.</x:v>
      </x:c>
      <x:c r="AB180" s="31" t="str">
        <x:v>Secondary: Component headword checked: health.;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https://api.dictionaryapi.dev/api/v2/entries/en/ill%20health; https://websters1913.timcieplowski.com/word/health/</x:v>
      </x:c>
      <x:c r="AC180" s="31" t="str">
        <x:v>INTERNET_ARCHIVE_METADATA_TEXT_ITEM_COUNT</x:v>
      </x:c>
      <x:c r="AD180" s="19" t="str">
        <x:v>"ill health" AND mediatype:texts</x:v>
      </x:c>
      <x:c r="AE180" s="31" t="str">
        <x:v>EXACT_PHRASE</x:v>
      </x:c>
      <x:c r="AF180" s="31" t="str">
        <x:v>COMPLETED_NONZERO</x:v>
      </x:c>
      <x:c r="AG180" s="25" t="n">
        <x:v>1084</x:v>
      </x:c>
      <x:c r="AH180" s="25" t="n">
        <x:v>12</x:v>
      </x:c>
      <x:c r="AI180" s="19" t="str">
        <x:v>2026-08-26</x:v>
      </x:c>
      <x:c r="AJ180" s="31" t="str">
        <x:v>Metadata text-item count; not a full-text lexical frequency. Secondary metric: NOT_RUN_OPENALEX_DAILY_BUDGET_EXHAUSTED: shared provider response retained; no count fabricated.</x:v>
      </x:c>
      <x:c r="AK180" s="31" t="str">
        <x:v>FULLY_COVERED</x:v>
      </x:c>
      <x:c r="AL180" s="19" t="str">
        <x:v>PENDING_SOURCE_REVIEW</x:v>
      </x:c>
      <x:c r="AM180" s="20" t="str">
        <x:v>MEDIUM</x:v>
      </x:c>
    </x:row>
    <x:row r="181" ht="34" customHeight="1">
      <x:c r="A181" s="40" t="str">
        <x:v>FT-SEED-R1B-P-2022-27</x:v>
      </x:c>
      <x:c r="B181" s="19" t="str">
        <x:v>2022</x:v>
      </x:c>
      <x:c r="C181" s="25" t="n">
        <x:v>27</x:v>
      </x:c>
      <x:c r="D181" s="31" t="str">
        <x:v>premature deaths</x:v>
      </x:c>
      <x:c r="E181" s="31" t="str">
        <x:v>mortality</x:v>
      </x:c>
      <x:c r="F181" s="31" t="str">
        <x:v>harm_loss_consequences</x:v>
      </x:c>
      <x:c r="G181" s="19" t="str">
        <x:v>D</x:v>
      </x:c>
      <x:c r="H181" s="19" t="str">
        <x:v>V1</x:v>
      </x:c>
      <x:c r="I181" s="19" t="str">
        <x:v>NOT_EXPOSED_IN_REPORT</x:v>
      </x:c>
      <x:c r="J181" s="31" t="str">
        <x:v>S2022-IPCC</x:v>
      </x:c>
      <x:c r="K181" s="31" t="str">
        <x:v>RECONSTRUCTED_FROM_REPORT; Fear of Temperature_ Stratified Lexical Expansion, Voice Mapping, and Semantic-Relational Pre-Valida.pdf; p.12; project candidate FT-SEED-R1B-P-2022-27; original visible ID not available</x:v>
      </x:c>
      <x:c r="L181" s="31" t="str">
        <x:v>SUCCEEDED_NEW</x:v>
      </x:c>
      <x:c r="M181" s="31" t="str">
        <x:v>premature deaths</x:v>
      </x:c>
      <x:c r="N181" s="31" t="str">
        <x:v>EXACT</x:v>
      </x:c>
      <x:c r="O181" s="19" t="str">
        <x:v>1842</x:v>
      </x:c>
      <x:c r="P181" s="19" t="str">
        <x:v>2021</x:v>
      </x:c>
      <x:c r="Q181" s="46" t="n">
        <x:v>1.5945866710387335e-7</x:v>
      </x:c>
      <x:c r="R181" s="46" t="n">
        <x:v>1.3586060954029477e-7</x:v>
      </x:c>
      <x:c r="S181" s="46" t="n">
        <x:v>1.4765963832208406e-7</x:v>
      </x:c>
      <x:c r="T181" s="46" t="n">
        <x:v>1.3586060954029477e-7</x:v>
      </x:c>
      <x:c r="U181" s="31" t="str">
        <x:v>Candidate surface form is directly representable in the public Ngram interface. New unsmoothed 1842–2022 series retrieved for the candidate audit.</x:v>
      </x:c>
      <x:c r="V181" s="31" t="str">
        <x:v>NO_STANDALONE_HEADWORD</x:v>
      </x:c>
      <x:c r="W181" s="31" t="str">
        <x:v>Component lexical analysis plus anchor-source contextual meaning</x:v>
      </x:c>
      <x:c r="X181" s="31" t="str">
        <x:v>A threat, risk, harm, severity, or consequence sense in the documented source; it is not automatically an emotion.</x:v>
      </x:c>
      <x:c r="Y181" s="31" t="str">
        <x:v>Death or mortality attributed to heat or climate consequences; the candidate is interpreted in its documented anchor and voice context.</x:v>
      </x:c>
      <x:c r="Z181" s="31" t="str">
        <x:v>STRONG</x:v>
      </x:c>
      <x:c r="AA181" s="19" t="str">
        <x:v>The surface form may realize multiple senses; candidate meaning remains anchored to the report-visible source context.</x:v>
      </x:c>
      <x:c r="AB181" s="31" t="str">
        <x:v>Secondary: Component headword checked: deaths.;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https://api.dictionaryapi.dev/api/v2/entries/en/premature%20deaths; https://websters1913.timcieplowski.com/word/deaths/</x:v>
      </x:c>
      <x:c r="AC181" s="31" t="str">
        <x:v>INTERNET_ARCHIVE_METADATA_TEXT_ITEM_COUNT</x:v>
      </x:c>
      <x:c r="AD181" s="19" t="str">
        <x:v>"premature deaths" AND mediatype:texts</x:v>
      </x:c>
      <x:c r="AE181" s="31" t="str">
        <x:v>EXACT_PHRASE</x:v>
      </x:c>
      <x:c r="AF181" s="31" t="str">
        <x:v>COMPLETED_NONZERO</x:v>
      </x:c>
      <x:c r="AG181" s="25" t="n">
        <x:v>61</x:v>
      </x:c>
      <x:c r="AH181" s="25" t="n">
        <x:v>7</x:v>
      </x:c>
      <x:c r="AI181" s="19" t="str">
        <x:v>2026-08-26</x:v>
      </x:c>
      <x:c r="AJ181" s="31" t="str">
        <x:v>Metadata text-item count; not a full-text lexical frequency. Secondary metric: NOT_RUN_OPENALEX_DAILY_BUDGET_EXHAUSTED: shared provider response retained; no count fabricated.</x:v>
      </x:c>
      <x:c r="AK181" s="31" t="str">
        <x:v>FULLY_COVERED</x:v>
      </x:c>
      <x:c r="AL181" s="19" t="str">
        <x:v>PENDING_SOURCE_REVIEW</x:v>
      </x:c>
      <x:c r="AM181" s="20" t="str">
        <x:v>MEDIUM</x:v>
      </x:c>
    </x:row>
    <x:row r="182" ht="34" customHeight="1">
      <x:c r="A182" s="40" t="str">
        <x:v>FT-SEED-R1B-P-2022-28</x:v>
      </x:c>
      <x:c r="B182" s="19" t="str">
        <x:v>2022</x:v>
      </x:c>
      <x:c r="C182" s="25" t="n">
        <x:v>28</x:v>
      </x:c>
      <x:c r="D182" s="31" t="str">
        <x:v>very serious threat</x:v>
      </x:c>
      <x:c r="E182" s="31" t="str">
        <x:v>institutional climate threat</x:v>
      </x:c>
      <x:c r="F182" s="31" t="str">
        <x:v>danger_threat</x:v>
      </x:c>
      <x:c r="G182" s="19" t="str">
        <x:v>D</x:v>
      </x:c>
      <x:c r="H182" s="19" t="str">
        <x:v>V5</x:v>
      </x:c>
      <x:c r="I182" s="19" t="str">
        <x:v>NOT_EXPOSED_IN_REPORT</x:v>
      </x:c>
      <x:c r="J182" s="31" t="str">
        <x:v>S2022-YALE-INT</x:v>
      </x:c>
      <x:c r="K182" s="31" t="str">
        <x:v>RECONSTRUCTED_FROM_REPORT; Fear of Temperature_ Stratified Lexical Expansion, Voice Mapping, and Semantic-Relational Pre-Valida.pdf; p.12; project candidate FT-SEED-R1B-P-2022-28; original visible ID not available</x:v>
      </x:c>
      <x:c r="L182" s="31" t="str">
        <x:v>SUCCEEDED_NEW</x:v>
      </x:c>
      <x:c r="M182" s="31" t="str">
        <x:v>very serious threat</x:v>
      </x:c>
      <x:c r="N182" s="31" t="str">
        <x:v>EXACT</x:v>
      </x:c>
      <x:c r="O182" s="19" t="str">
        <x:v>1844</x:v>
      </x:c>
      <x:c r="P182" s="19" t="str">
        <x:v>1980</x:v>
      </x:c>
      <x:c r="Q182" s="46" t="n">
        <x:v>2.482974169326635e-8</x:v>
      </x:c>
      <x:c r="R182" s="46" t="n">
        <x:v>1.0925974208708666e-8</x:v>
      </x:c>
      <x:c r="S182" s="46" t="n">
        <x:v>1.068363673917272e-8</x:v>
      </x:c>
      <x:c r="T182" s="46" t="n">
        <x:v>1.0925974208708666e-8</x:v>
      </x:c>
      <x:c r="U182" s="31" t="str">
        <x:v>Candidate surface form is directly representable in the public Ngram interface. New unsmoothed 1842–2022 series retrieved for the candidate audit.</x:v>
      </x:c>
      <x:c r="V182" s="31" t="str">
        <x:v>NO_STANDALONE_HEADWORD</x:v>
      </x:c>
      <x:c r="W182" s="31" t="str">
        <x:v>Component lexical analysis plus anchor-source contextual meaning</x:v>
      </x:c>
      <x:c r="X182" s="31" t="str">
        <x:v>A threat, risk, harm, severity, or consequence sense in the documented source; it is not automatically an emotion.</x:v>
      </x:c>
      <x:c r="Y182" s="31" t="str">
        <x:v>Climate change framed as an institutional threat; the candidate is interpreted in its documented anchor and voice context.</x:v>
      </x:c>
      <x:c r="Z182" s="31" t="str">
        <x:v>STRONG</x:v>
      </x:c>
      <x:c r="AA182" s="19" t="str">
        <x:v>The surface form may realize multiple senses; candidate meaning remains anchored to the report-visible source context.</x:v>
      </x:c>
      <x:c r="AB182"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https://api.dictionaryapi.dev/api/v2/entries/en/very%20serious%20threat; https://websters1913.timcieplowski.com/word/threat/</x:v>
      </x:c>
      <x:c r="AC182" s="31" t="str">
        <x:v>INTERNET_ARCHIVE_METADATA_TEXT_ITEM_COUNT</x:v>
      </x:c>
      <x:c r="AD182" s="19" t="str">
        <x:v>"very serious threat" AND mediatype:texts</x:v>
      </x:c>
      <x:c r="AE182" s="31" t="str">
        <x:v>EXACT_PHRASE</x:v>
      </x:c>
      <x:c r="AF182" s="31" t="str">
        <x:v>COMPLETED_NONZERO</x:v>
      </x:c>
      <x:c r="AG182" s="25" t="n">
        <x:v>19</x:v>
      </x:c>
      <x:c r="AH182" s="25" t="n">
        <x:v>1</x:v>
      </x:c>
      <x:c r="AI182" s="19" t="str">
        <x:v>2026-08-26</x:v>
      </x:c>
      <x:c r="AJ182" s="31" t="str">
        <x:v>Metadata text-item count; not a full-text lexical frequency. Secondary metric: NOT_RUN_OPENALEX_DAILY_BUDGET_EXHAUSTED: shared provider response retained; no count fabricated.</x:v>
      </x:c>
      <x:c r="AK182" s="31" t="str">
        <x:v>FULLY_COVERED</x:v>
      </x:c>
      <x:c r="AL182" s="19" t="str">
        <x:v>PENDING_SOURCE_REVIEW</x:v>
      </x:c>
      <x:c r="AM182" s="20" t="str">
        <x:v>MEDIUM</x:v>
      </x:c>
    </x:row>
    <x:row r="183" ht="34" customHeight="1">
      <x:c r="A183" s="40" t="str">
        <x:v>FT-SEED-R1B-P-2022-29</x:v>
      </x:c>
      <x:c r="B183" s="19" t="str">
        <x:v>2022</x:v>
      </x:c>
      <x:c r="C183" s="25" t="n">
        <x:v>29</x:v>
      </x:c>
      <x:c r="D183" s="31" t="str">
        <x:v>harm future generations</x:v>
      </x:c>
      <x:c r="E183" s="31" t="str">
        <x:v>future-generation harm</x:v>
      </x:c>
      <x:c r="F183" s="31" t="str">
        <x:v>harm_loss_consequences</x:v>
      </x:c>
      <x:c r="G183" s="19" t="str">
        <x:v>D</x:v>
      </x:c>
      <x:c r="H183" s="19" t="str">
        <x:v>V5</x:v>
      </x:c>
      <x:c r="I183" s="19" t="str">
        <x:v>NOT_EXPOSED_IN_REPORT</x:v>
      </x:c>
      <x:c r="J183" s="31" t="str">
        <x:v>S2022-YALE-INT</x:v>
      </x:c>
      <x:c r="K183" s="31" t="str">
        <x:v>RECONSTRUCTED_FROM_REPORT; Fear of Temperature_ Stratified Lexical Expansion, Voice Mapping, and Semantic-Relational Pre-Valida.pdf; p.13; project candidate FT-SEED-R1B-P-2022-29; original visible ID not available</x:v>
      </x:c>
      <x:c r="L183" s="31" t="str">
        <x:v>SUCCEEDED_NEW</x:v>
      </x:c>
      <x:c r="M183" s="31" t="str">
        <x:v>harm future generations</x:v>
      </x:c>
      <x:c r="N183" s="31" t="str">
        <x:v>EXACT</x:v>
      </x:c>
      <x:c r="O183" s="19" t="str">
        <x:v>1883</x:v>
      </x:c>
      <x:c r="P183" s="19" t="str">
        <x:v>2017</x:v>
      </x:c>
      <x:c r="Q183" s="46" t="n">
        <x:v>1.9909478510271583e-9</x:v>
      </x:c>
      <x:c r="R183" s="46" t="n">
        <x:v>8.040760279826031e-10</x:v>
      </x:c>
      <x:c r="S183" s="46" t="n">
        <x:v>1.318835041175248e-9</x:v>
      </x:c>
      <x:c r="T183" s="46" t="n">
        <x:v>8.040760279826031e-10</x:v>
      </x:c>
      <x:c r="U183" s="31" t="str">
        <x:v>Candidate surface form is directly representable in the public Ngram interface. New unsmoothed 1842–2022 series retrieved for the candidate audit.</x:v>
      </x:c>
      <x:c r="V183" s="31" t="str">
        <x:v>NO_STANDALONE_HEADWORD</x:v>
      </x:c>
      <x:c r="W183" s="31" t="str">
        <x:v>Component lexical analysis plus anchor-source contextual meaning</x:v>
      </x:c>
      <x:c r="X183" s="31" t="str">
        <x:v>A threat, risk, harm, severity, or consequence sense in the documented source; it is not automatically an emotion.</x:v>
      </x:c>
      <x:c r="Y183" s="31" t="str">
        <x:v>Harm or loss explicitly attributed to future generations; the candidate is interpreted in its documented anchor and voice context.</x:v>
      </x:c>
      <x:c r="Z183" s="31" t="str">
        <x:v>STRONG</x:v>
      </x:c>
      <x:c r="AA183" s="19" t="str">
        <x:v>The surface form may realize multiple senses; candidate meaning remains anchored to the report-visible source context.</x:v>
      </x:c>
      <x:c r="AB183" s="31" t="str">
        <x:v>Secondary: Component headword checked: generations.; historical: Anchor-period research source/context; Webster 1913 stable component URL recorded but automated page retrieval was unavailable; source: Fear of Temperature_ Stratified Lexical Expansion, Voice Mapping, and Semantic-Relational Pre-Valida.pdf#page=13; https://api.dictionaryapi.dev/api/v2/entries/en/harm%20future%20generations; https://websters1913.timcieplowski.com/word/generations/</x:v>
      </x:c>
      <x:c r="AC183" s="31" t="str">
        <x:v>INTERNET_ARCHIVE_METADATA_TEXT_ITEM_COUNT</x:v>
      </x:c>
      <x:c r="AD183" s="19" t="str">
        <x:v>"harm future generations" AND mediatype:texts</x:v>
      </x:c>
      <x:c r="AE183" s="31" t="str">
        <x:v>EXACT_PHRASE</x:v>
      </x:c>
      <x:c r="AF183" s="31" t="str">
        <x:v>COMPLETED_ZERO</x:v>
      </x:c>
      <x:c r="AG183" s="25" t="n">
        <x:v>0</x:v>
      </x:c>
      <x:c r="AH183" s="25" t="n">
        <x:v>0</x:v>
      </x:c>
      <x:c r="AI183" s="19" t="str">
        <x:v>2026-08-26</x:v>
      </x:c>
      <x:c r="AJ183" s="31" t="str">
        <x:v>Metadata text-item count; not a full-text lexical frequency. Secondary metric: NOT_RUN_OPENALEX_DAILY_BUDGET_EXHAUSTED: shared provider response retained; no count fabricated.</x:v>
      </x:c>
      <x:c r="AK183" s="31" t="str">
        <x:v>FULLY_COVERED</x:v>
      </x:c>
      <x:c r="AL183" s="19" t="str">
        <x:v>PENDING_SOURCE_REVIEW</x:v>
      </x:c>
      <x:c r="AM183" s="20" t="str">
        <x:v>MEDIUM</x:v>
      </x:c>
    </x:row>
    <x:row r="184" ht="34" customHeight="1">
      <x:c r="A184" s="41" t="str">
        <x:v>FT-SEED-R1B-P-2022-30</x:v>
      </x:c>
      <x:c r="B184" s="22" t="str">
        <x:v>2022</x:v>
      </x:c>
      <x:c r="C184" s="26" t="n">
        <x:v>30</x:v>
      </x:c>
      <x:c r="D184" s="32" t="str">
        <x:v>climate crisis</x:v>
      </x:c>
      <x:c r="E184" s="32" t="str">
        <x:v>climate crisis issue label</x:v>
      </x:c>
      <x:c r="F184" s="32" t="str">
        <x:v>crisis_emergency</x:v>
      </x:c>
      <x:c r="G184" s="22" t="str">
        <x:v>D</x:v>
      </x:c>
      <x:c r="H184" s="22" t="str">
        <x:v>V4</x:v>
      </x:c>
      <x:c r="I184" s="22" t="str">
        <x:v>NOT_EXPOSED_IN_REPORT</x:v>
      </x:c>
      <x:c r="J184" s="32" t="str">
        <x:v>S2022-XR</x:v>
      </x:c>
      <x:c r="K184" s="32" t="str">
        <x:v>RECONSTRUCTED_FROM_REPORT; Fear of Temperature_ Stratified Lexical Expansion, Voice Mapping, and Semantic-Relational Pre-Valida.pdf; p.13; project candidate FT-SEED-R1B-P-2022-30; original visible ID not available</x:v>
      </x:c>
      <x:c r="L184" s="32" t="str">
        <x:v>SUCCEEDED_REUSED_BASELINE</x:v>
      </x:c>
      <x:c r="M184" s="32" t="str">
        <x:v>climate crisis</x:v>
      </x:c>
      <x:c r="N184" s="32" t="str">
        <x:v>EXACT</x:v>
      </x:c>
      <x:c r="O184" s="22" t="str">
        <x:v>1867</x:v>
      </x:c>
      <x:c r="P184" s="22" t="str">
        <x:v>2022</x:v>
      </x:c>
      <x:c r="Q184" s="47" t="n">
        <x:v>9.38814122442011e-7</x:v>
      </x:c>
      <x:c r="R184" s="47" t="n">
        <x:v>9.38814122442011e-7</x:v>
      </x:c>
      <x:c r="S184" s="47" t="n">
        <x:v>8.728122682377659e-7</x:v>
      </x:c>
      <x:c r="T184" s="47" t="n">
        <x:v>9.38814122442011e-7</x:v>
      </x:c>
      <x:c r="U184" s="32" t="str">
        <x:v>Candidate surface form is directly representable in the public Ngram interface. Complete 1842–2022 unsmoothed series reused from the audited quantitative-v0.1 baseline.</x:v>
      </x:c>
      <x:c r="V184" s="32" t="str">
        <x:v>TECHNICAL_GLOSSARY</x:v>
      </x:c>
      <x:c r="W184" s="32" t="str">
        <x:v>IPCC climate-science glossary / assessment terminology</x:v>
      </x:c>
      <x:c r="X184" s="32" t="str">
        <x:v>A threat, risk, harm, severity, or consequence sense in the documented source; it is not automatically an emotion.</x:v>
      </x:c>
      <x:c r="Y184" s="32" t="str">
        <x:v>Climate crisis used as an established issue label; the candidate is interpreted in its documented anchor and voice context.</x:v>
      </x:c>
      <x:c r="Z184" s="32" t="str">
        <x:v>STRONG</x:v>
      </x:c>
      <x:c r="AA184" s="22" t="str">
        <x:v>The surface form may realize multiple senses; candidate meaning remains anchored to the report-visible source context.</x:v>
      </x:c>
      <x:c r="AB184" s="32" t="str">
        <x:v>Secondary: Component headword checked: crisis.; historical: Anchor-period research source/context; Webster 1913 stable component URL recorded but automated page retrieval was unavailable; source: https://www.ipcc.ch/site/assets/uploads/2018/02/WGIIAR5-AnnexII_FINAL.pdf; https://api.dictionaryapi.dev/api/v2/entries/en/climate%20crisis; https://websters1913.timcieplowski.com/word/crisis/</x:v>
      </x:c>
      <x:c r="AC184" s="32" t="str">
        <x:v>INTERNET_ARCHIVE_METADATA_TEXT_ITEM_COUNT</x:v>
      </x:c>
      <x:c r="AD184" s="22" t="str">
        <x:v>"climate crisis" AND mediatype:texts</x:v>
      </x:c>
      <x:c r="AE184" s="32" t="str">
        <x:v>EXACT_PHRASE</x:v>
      </x:c>
      <x:c r="AF184" s="32" t="str">
        <x:v>COMPLETED_NONZERO</x:v>
      </x:c>
      <x:c r="AG184" s="26" t="n">
        <x:v>439</x:v>
      </x:c>
      <x:c r="AH184" s="26" t="n">
        <x:v>114</x:v>
      </x:c>
      <x:c r="AI184" s="22" t="str">
        <x:v>2026-08-26</x:v>
      </x:c>
      <x:c r="AJ184" s="32" t="str">
        <x:v>Metadata text-item count; not a full-text lexical frequency. Secondary metric: Scholarly work discoverability count over OpenAlex search fields; not a corpus word frequency.</x:v>
      </x:c>
      <x:c r="AK184" s="32" t="str">
        <x:v>FULLY_COVERED</x:v>
      </x:c>
      <x:c r="AL184" s="22" t="str">
        <x:v>PENDING_SOURCE_REVIEW</x:v>
      </x:c>
      <x:c r="AM184" s="23" t="str">
        <x:v>MEDIUM</x:v>
      </x:c>
    </x:row>
  </x:sheetData>
  <x:mergeCells>
    <x:mergeCell ref="A1:AM1"/>
    <x:mergeCell ref="A2:AM2"/>
  </x:mergeCells>
  <x:conditionalFormatting sqref="L5:L184">
    <x:cfRule type="containsText" dxfId="48" priority="1" operator="containsText" text="COMPLETE"/>
    <x:cfRule type="containsText" dxfId="49" priority="2" operator="containsText" text="TRACEABLE"/>
    <x:cfRule type="containsText" dxfId="50" priority="3" operator="containsText" text="ZERO"/>
    <x:cfRule type="containsText" dxfId="51" priority="4" operator="containsText" text="UNRESOLVED"/>
    <x:cfRule type="containsText" dxfId="52" priority="5" operator="containsText" text="NOT_"/>
    <x:cfRule type="containsText" dxfId="53" priority="6" operator="containsText" text="PARTIAL"/>
  </x:conditionalFormatting>
  <x:conditionalFormatting sqref="N5:N184">
    <x:cfRule type="containsText" dxfId="54" priority="7" operator="containsText" text="COMPLETE"/>
    <x:cfRule type="containsText" dxfId="55" priority="8" operator="containsText" text="TRACEABLE"/>
    <x:cfRule type="containsText" dxfId="56" priority="9" operator="containsText" text="ZERO"/>
    <x:cfRule type="containsText" dxfId="57" priority="10" operator="containsText" text="UNRESOLVED"/>
    <x:cfRule type="containsText" dxfId="58" priority="11" operator="containsText" text="NOT_"/>
    <x:cfRule type="containsText" dxfId="59" priority="12" operator="containsText" text="PARTIAL"/>
  </x:conditionalFormatting>
  <x:conditionalFormatting sqref="V5:V184">
    <x:cfRule type="containsText" dxfId="60" priority="13" operator="containsText" text="COMPLETE"/>
    <x:cfRule type="containsText" dxfId="61" priority="14" operator="containsText" text="TRACEABLE"/>
    <x:cfRule type="containsText" dxfId="62" priority="15" operator="containsText" text="ZERO"/>
    <x:cfRule type="containsText" dxfId="63" priority="16" operator="containsText" text="UNRESOLVED"/>
    <x:cfRule type="containsText" dxfId="64" priority="17" operator="containsText" text="NOT_"/>
    <x:cfRule type="containsText" dxfId="65" priority="18" operator="containsText" text="PARTIAL"/>
  </x:conditionalFormatting>
  <x:conditionalFormatting sqref="Z5:Z184">
    <x:cfRule type="containsText" dxfId="66" priority="19" operator="containsText" text="COMPLETE"/>
    <x:cfRule type="containsText" dxfId="67" priority="20" operator="containsText" text="TRACEABLE"/>
    <x:cfRule type="containsText" dxfId="68" priority="21" operator="containsText" text="ZERO"/>
    <x:cfRule type="containsText" dxfId="69" priority="22" operator="containsText" text="UNRESOLVED"/>
    <x:cfRule type="containsText" dxfId="70" priority="23" operator="containsText" text="NOT_"/>
    <x:cfRule type="containsText" dxfId="71" priority="24" operator="containsText" text="PARTIAL"/>
  </x:conditionalFormatting>
  <x:conditionalFormatting sqref="AF5:AF184">
    <x:cfRule type="containsText" dxfId="72" priority="25" operator="containsText" text="COMPLETE"/>
    <x:cfRule type="containsText" dxfId="73" priority="26" operator="containsText" text="TRACEABLE"/>
    <x:cfRule type="containsText" dxfId="74" priority="27" operator="containsText" text="ZERO"/>
    <x:cfRule type="containsText" dxfId="75" priority="28" operator="containsText" text="UNRESOLVED"/>
    <x:cfRule type="containsText" dxfId="76" priority="29" operator="containsText" text="NOT_"/>
    <x:cfRule type="containsText" dxfId="77" priority="30" operator="containsText" text="PARTIAL"/>
  </x:conditionalFormatting>
  <x:conditionalFormatting sqref="AK5:AK184">
    <x:cfRule type="containsText" dxfId="78" priority="31" operator="containsText" text="COMPLETE"/>
    <x:cfRule type="containsText" dxfId="79" priority="32" operator="containsText" text="TRACEABLE"/>
    <x:cfRule type="containsText" dxfId="80" priority="33" operator="containsText" text="ZERO"/>
    <x:cfRule type="containsText" dxfId="81" priority="34" operator="containsText" text="UNRESOLVED"/>
    <x:cfRule type="containsText" dxfId="82" priority="35" operator="containsText" text="NOT_"/>
    <x:cfRule type="containsText" dxfId="83" priority="36" operator="containsText" text="PARTIAL"/>
  </x:conditionalFormatting>
  <x:pageMargins left="0.7" right="0.7" top="0.75" bottom="0.75" header="0.3" footer="0.3"/>
  <x:tableParts count="1">
    <x:tablePart xmlns:r="http://schemas.openxmlformats.org/officeDocument/2006/relationships" r:id="R09f22c6db40742c0"/>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4" hidden="0" customWidth="1"/>
    <x:col min="4" max="4" width="16" hidden="0" customWidth="1"/>
    <x:col min="5" max="5" width="23" hidden="0" customWidth="1"/>
    <x:col min="6" max="6" width="16" hidden="0" customWidth="1"/>
    <x:col min="7" max="7" width="23" hidden="0" customWidth="1"/>
    <x:col min="8" max="8" width="16" hidden="0" customWidth="1"/>
    <x:col min="9" max="9" width="16" hidden="0" customWidth="1"/>
    <x:col min="10" max="10" width="24" hidden="0" customWidth="1"/>
    <x:col min="11" max="11" width="16" hidden="0" customWidth="1"/>
    <x:col min="12" max="12" width="40" hidden="0" customWidth="1"/>
    <x:col min="13" max="13" width="16" hidden="0" customWidth="1"/>
    <x:col min="14" max="14" width="32" hidden="0" customWidth="1"/>
    <x:col min="15" max="15" width="40" hidden="0" customWidth="1"/>
  </x:cols>
  <x:sheetData>
    <x:row r="1" ht="38" customHeight="1">
      <x:c r="A1" s="3" t="str">
        <x:v>Ngram Coverage and Rule Reconciliation</x:v>
      </x:c>
      <x:c r="B1" s="3" t="str">
        <x:v>Ngram Coverage and Rule Reconciliation</x:v>
      </x:c>
      <x:c r="C1" s="3" t="str">
        <x:v>Ngram Coverage and Rule Reconciliation</x:v>
      </x:c>
      <x:c r="D1" s="3" t="str">
        <x:v>Ngram Coverage and Rule Reconciliation</x:v>
      </x:c>
      <x:c r="E1" s="3" t="str">
        <x:v>Ngram Coverage and Rule Reconciliation</x:v>
      </x:c>
      <x:c r="F1" s="3" t="str">
        <x:v>Ngram Coverage and Rule Reconciliation</x:v>
      </x:c>
      <x:c r="G1" s="3" t="str">
        <x:v>Ngram Coverage and Rule Reconciliation</x:v>
      </x:c>
      <x:c r="H1" s="3" t="str">
        <x:v>Ngram Coverage and Rule Reconciliation</x:v>
      </x:c>
      <x:c r="I1" s="3" t="str">
        <x:v>Ngram Coverage and Rule Reconciliation</x:v>
      </x:c>
      <x:c r="J1" s="3" t="str">
        <x:v>Ngram Coverage and Rule Reconciliation</x:v>
      </x:c>
      <x:c r="K1" s="3" t="str">
        <x:v>Ngram Coverage and Rule Reconciliation</x:v>
      </x:c>
      <x:c r="L1" s="3" t="str">
        <x:v>Ngram Coverage and Rule Reconciliation</x:v>
      </x:c>
      <x:c r="M1" s="3" t="str">
        <x:v>Ngram Coverage and Rule Reconciliation</x:v>
      </x:c>
      <x:c r="N1" s="3" t="str">
        <x:v>Ngram Coverage and Rule Reconciliation</x:v>
      </x:c>
      <x:c r="O1" s="3" t="str">
        <x:v>Ngram Coverage and Rule Reconciliation</x:v>
      </x:c>
    </x:row>
    <x:row r="2" ht="32" customHeight="1">
      <x:c r="A2" s="7" t="str">
        <x:v>All 143 query rules retained, including zero-result and incompatible cases; NGRAM_UNEXPLAINED = 0.</x:v>
      </x:c>
      <x:c r="B2" s="7" t="str">
        <x:v>All 143 query rules retained, including zero-result and incompatible cases; NGRAM_UNEXPLAINED = 0.</x:v>
      </x:c>
      <x:c r="C2" s="7" t="str">
        <x:v>All 143 query rules retained, including zero-result and incompatible cases; NGRAM_UNEXPLAINED = 0.</x:v>
      </x:c>
      <x:c r="D2" s="7" t="str">
        <x:v>All 143 query rules retained, including zero-result and incompatible cases; NGRAM_UNEXPLAINED = 0.</x:v>
      </x:c>
      <x:c r="E2" s="7" t="str">
        <x:v>All 143 query rules retained, including zero-result and incompatible cases; NGRAM_UNEXPLAINED = 0.</x:v>
      </x:c>
      <x:c r="F2" s="7" t="str">
        <x:v>All 143 query rules retained, including zero-result and incompatible cases; NGRAM_UNEXPLAINED = 0.</x:v>
      </x:c>
      <x:c r="G2" s="7" t="str">
        <x:v>All 143 query rules retained, including zero-result and incompatible cases; NGRAM_UNEXPLAINED = 0.</x:v>
      </x:c>
      <x:c r="H2" s="7" t="str">
        <x:v>All 143 query rules retained, including zero-result and incompatible cases; NGRAM_UNEXPLAINED = 0.</x:v>
      </x:c>
      <x:c r="I2" s="7" t="str">
        <x:v>All 143 query rules retained, including zero-result and incompatible cases; NGRAM_UNEXPLAINED = 0.</x:v>
      </x:c>
      <x:c r="J2" s="7" t="str">
        <x:v>All 143 query rules retained, including zero-result and incompatible cases; NGRAM_UNEXPLAINED = 0.</x:v>
      </x:c>
      <x:c r="K2" s="7" t="str">
        <x:v>All 143 query rules retained, including zero-result and incompatible cases; NGRAM_UNEXPLAINED = 0.</x:v>
      </x:c>
      <x:c r="L2" s="7" t="str">
        <x:v>All 143 query rules retained, including zero-result and incompatible cases; NGRAM_UNEXPLAINED = 0.</x:v>
      </x:c>
      <x:c r="M2" s="7" t="str">
        <x:v>All 143 query rules retained, including zero-result and incompatible cases; NGRAM_UNEXPLAINED = 0.</x:v>
      </x:c>
      <x:c r="N2" s="7" t="str">
        <x:v>All 143 query rules retained, including zero-result and incompatible cases; NGRAM_UNEXPLAINED = 0.</x:v>
      </x:c>
      <x:c r="O2" s="7" t="str">
        <x:v>All 143 query rules retained, including zero-result and incompatible cases; NGRAM_UNEXPLAINED = 0.</x:v>
      </x:c>
    </x:row>
    <x:row r="4" ht="42" customHeight="1">
      <x:c r="A4" s="14" t="str">
        <x:v>Query ID</x:v>
      </x:c>
      <x:c r="B4" s="14" t="str">
        <x:v>Anchor</x:v>
      </x:c>
      <x:c r="C4" s="14" t="str">
        <x:v>Surface Form</x:v>
      </x:c>
      <x:c r="D4" s="14" t="str">
        <x:v>Classification</x:v>
      </x:c>
      <x:c r="E4" s="14" t="str">
        <x:v>Compatibility Status</x:v>
      </x:c>
      <x:c r="F4" s="14" t="str">
        <x:v>Execution Eligible</x:v>
      </x:c>
      <x:c r="G4" s="14" t="str">
        <x:v>Execution Status</x:v>
      </x:c>
      <x:c r="H4" s="14" t="str">
        <x:v>Accounting State</x:v>
      </x:c>
      <x:c r="I4" s="14" t="str">
        <x:v>Observation Count</x:v>
      </x:c>
      <x:c r="J4" s="14" t="str">
        <x:v>Request Surface Form</x:v>
      </x:c>
      <x:c r="K4" s="14" t="str">
        <x:v>First Response Ngram</x:v>
      </x:c>
      <x:c r="L4" s="14" t="str">
        <x:v>Reason / Error</x:v>
      </x:c>
      <x:c r="M4" s="14" t="str">
        <x:v>Retrieved At</x:v>
      </x:c>
      <x:c r="N4" s="14" t="str">
        <x:v>Raw Response Path</x:v>
      </x:c>
      <x:c r="O4" s="14" t="str">
        <x:v>Provenance Status</x:v>
      </x:c>
    </x:row>
    <x:row r="5" ht="27" customHeight="1">
      <x:c r="A5" s="15" t="str">
        <x:v>FT-Q-V01-001</x:v>
      </x:c>
      <x:c r="B5" s="16" t="str">
        <x:v>1842</x:v>
      </x:c>
      <x:c r="C5" s="30" t="str">
        <x:v>temperature</x:v>
      </x:c>
      <x:c r="D5" s="16" t="str">
        <x:v>BACKGROUND_AMBIGUOUS</x:v>
      </x:c>
      <x:c r="E5" s="30" t="str">
        <x:v>COMPATIBLE</x:v>
      </x:c>
      <x:c r="F5" s="54" t="b">
        <x:v>1</x:v>
      </x:c>
      <x:c r="G5" s="30" t="str">
        <x:v>SUCCEEDED</x:v>
      </x:c>
      <x:c r="H5" s="24" t="str">
        <x:v>SUCCESS_NONZERO</x:v>
      </x:c>
      <x:c r="I5" s="24" t="n">
        <x:v>181</x:v>
      </x:c>
      <x:c r="J5" s="30" t="str">
        <x:v>temperature</x:v>
      </x:c>
      <x:c r="K5" s="16" t="str">
        <x:v>temperature (All)</x:v>
      </x:c>
      <x:c r="L5" s="30" t="str">
        <x:v>Compatible exact string/phrase for unsmoothed public Ngram retrieval (current interface supports up to seven words).</x:v>
      </x:c>
      <x:c r="M5" s="16" t="n">
        <x:v>46260.106770833336</x:v>
      </x:c>
      <x:c r="N5" s="30" t="str">
        <x:v>data/fear-temperature/ngram/raw/179a52b9336531c34b94ed0259d967ff017a402a8b91c8b496d5e31653598f08.json</x:v>
      </x:c>
      <x:c r="O5" s="42" t="str">
        <x:v>RECONSTRUCTED_FROM_REPORT</x:v>
      </x:c>
    </x:row>
    <x:row r="6" ht="27" customHeight="1">
      <x:c r="A6" s="18" t="str">
        <x:v>FT-Q-V01-002</x:v>
      </x:c>
      <x:c r="B6" s="19" t="str">
        <x:v>1842</x:v>
      </x:c>
      <x:c r="C6" s="31" t="str">
        <x:v>mean temperature</x:v>
      </x:c>
      <x:c r="D6" s="19" t="str">
        <x:v>EXECUTABLE_NGRAM</x:v>
      </x:c>
      <x:c r="E6" s="31" t="str">
        <x:v>COMPATIBLE</x:v>
      </x:c>
      <x:c r="F6" s="55" t="b">
        <x:v>1</x:v>
      </x:c>
      <x:c r="G6" s="31" t="str">
        <x:v>SUCCEEDED</x:v>
      </x:c>
      <x:c r="H6" s="25" t="str">
        <x:v>SUCCESS_NONZERO</x:v>
      </x:c>
      <x:c r="I6" s="25" t="n">
        <x:v>181</x:v>
      </x:c>
      <x:c r="J6" s="31" t="str">
        <x:v>mean temperature</x:v>
      </x:c>
      <x:c r="K6" s="19" t="str">
        <x:v>mean temperature (All)</x:v>
      </x:c>
      <x:c r="L6" s="31" t="str">
        <x:v>Compatible exact string/phrase for unsmoothed public Ngram retrieval (current interface supports up to seven words).</x:v>
      </x:c>
      <x:c r="M6" s="19" t="n">
        <x:v>46260.106782407405</x:v>
      </x:c>
      <x:c r="N6" s="31" t="str">
        <x:v>data/fear-temperature/ngram/raw/264e2d12fe20c5aa6284ae43253eabc03ec9e11aa2056afde9e77d33d8e97530.json</x:v>
      </x:c>
      <x:c r="O6" s="43" t="str">
        <x:v>RECONSTRUCTED_FROM_REPORT</x:v>
      </x:c>
    </x:row>
    <x:row r="7" ht="27" customHeight="1">
      <x:c r="A7" s="18" t="str">
        <x:v>FT-Q-V01-003</x:v>
      </x:c>
      <x:c r="B7" s="19" t="str">
        <x:v>1842</x:v>
      </x:c>
      <x:c r="C7" s="31" t="str">
        <x:v>temperature of the air in shade</x:v>
      </x:c>
      <x:c r="D7" s="19" t="str">
        <x:v>EXECUTABLE_NGRAM</x:v>
      </x:c>
      <x:c r="E7" s="31" t="str">
        <x:v>COMPATIBLE</x:v>
      </x:c>
      <x:c r="F7" s="55" t="b">
        <x:v>1</x:v>
      </x:c>
      <x:c r="G7" s="31" t="str">
        <x:v>SUCCEEDED</x:v>
      </x:c>
      <x:c r="H7" s="25" t="str">
        <x:v>SUCCESS_NONZERO</x:v>
      </x:c>
      <x:c r="I7" s="25" t="n">
        <x:v>181</x:v>
      </x:c>
      <x:c r="J7" s="31" t="str">
        <x:v>temperature of the air in shade</x:v>
      </x:c>
      <x:c r="K7" s="19" t="str">
        <x:v>temperature of the air in shade</x:v>
      </x:c>
      <x:c r="L7" s="31" t="str">
        <x:v>Compatible exact string/phrase for unsmoothed public Ngram retrieval (current interface supports up to seven words).</x:v>
      </x:c>
      <x:c r="M7" s="19" t="n">
        <x:v>46260.10679398148</x:v>
      </x:c>
      <x:c r="N7" s="31" t="str">
        <x:v>data/fear-temperature/ngram/raw/1524427f0c535f347e97e3332fb50571eca9bae9e865c6017848e2e009d95b39.json</x:v>
      </x:c>
      <x:c r="O7" s="43" t="str">
        <x:v>RECONSTRUCTED_FROM_REPORT</x:v>
      </x:c>
    </x:row>
    <x:row r="8" ht="27" customHeight="1">
      <x:c r="A8" s="18" t="str">
        <x:v>FT-Q-V01-004</x:v>
      </x:c>
      <x:c r="B8" s="19" t="str">
        <x:v>1842</x:v>
      </x:c>
      <x:c r="C8" s="31" t="str">
        <x:v>maximum temperature</x:v>
      </x:c>
      <x:c r="D8" s="19" t="str">
        <x:v>EXECUTABLE_NGRAM</x:v>
      </x:c>
      <x:c r="E8" s="31" t="str">
        <x:v>COMPATIBLE</x:v>
      </x:c>
      <x:c r="F8" s="55" t="b">
        <x:v>1</x:v>
      </x:c>
      <x:c r="G8" s="31" t="str">
        <x:v>SUCCEEDED</x:v>
      </x:c>
      <x:c r="H8" s="25" t="str">
        <x:v>SUCCESS_NONZERO</x:v>
      </x:c>
      <x:c r="I8" s="25" t="n">
        <x:v>181</x:v>
      </x:c>
      <x:c r="J8" s="31" t="str">
        <x:v>maximum temperature</x:v>
      </x:c>
      <x:c r="K8" s="19" t="str">
        <x:v>maximum temperature (All)</x:v>
      </x:c>
      <x:c r="L8" s="31" t="str">
        <x:v>Compatible exact string/phrase for unsmoothed public Ngram retrieval (current interface supports up to seven words).</x:v>
      </x:c>
      <x:c r="M8" s="19" t="n">
        <x:v>46260.10680555556</x:v>
      </x:c>
      <x:c r="N8" s="31" t="str">
        <x:v>data/fear-temperature/ngram/raw/9ef1e684d6470a99165d520c50c1782090e9e2db528fdf5e71f55f8f1d4f7ce2.json</x:v>
      </x:c>
      <x:c r="O8" s="43" t="str">
        <x:v>RECONSTRUCTED_FROM_REPORT</x:v>
      </x:c>
    </x:row>
    <x:row r="9" ht="27" customHeight="1">
      <x:c r="A9" s="18" t="str">
        <x:v>FT-Q-V01-005</x:v>
      </x:c>
      <x:c r="B9" s="19" t="str">
        <x:v>1842</x:v>
      </x:c>
      <x:c r="C9" s="31" t="str">
        <x:v>minimum temperature</x:v>
      </x:c>
      <x:c r="D9" s="19" t="str">
        <x:v>EXECUTABLE_NGRAM</x:v>
      </x:c>
      <x:c r="E9" s="31" t="str">
        <x:v>COMPATIBLE</x:v>
      </x:c>
      <x:c r="F9" s="55" t="b">
        <x:v>1</x:v>
      </x:c>
      <x:c r="G9" s="31" t="str">
        <x:v>SUCCEEDED</x:v>
      </x:c>
      <x:c r="H9" s="25" t="str">
        <x:v>SUCCESS_NONZERO</x:v>
      </x:c>
      <x:c r="I9" s="25" t="n">
        <x:v>181</x:v>
      </x:c>
      <x:c r="J9" s="31" t="str">
        <x:v>minimum temperature</x:v>
      </x:c>
      <x:c r="K9" s="19" t="str">
        <x:v>minimum temperature (All)</x:v>
      </x:c>
      <x:c r="L9" s="31" t="str">
        <x:v>Compatible exact string/phrase for unsmoothed public Ngram retrieval (current interface supports up to seven words).</x:v>
      </x:c>
      <x:c r="M9" s="19" t="n">
        <x:v>46260.10681712963</x:v>
      </x:c>
      <x:c r="N9" s="31" t="str">
        <x:v>data/fear-temperature/ngram/raw/f32958ead9a4b7905bc78d007acd99b3363766a0ba25f1c363d262f5614f0be2.json</x:v>
      </x:c>
      <x:c r="O9" s="43" t="str">
        <x:v>RECONSTRUCTED_FROM_REPORT</x:v>
      </x:c>
    </x:row>
    <x:row r="10" ht="27" customHeight="1">
      <x:c r="A10" s="18" t="str">
        <x:v>FT-Q-V01-006</x:v>
      </x:c>
      <x:c r="B10" s="19" t="str">
        <x:v>1842</x:v>
      </x:c>
      <x:c r="C10" s="31" t="str">
        <x:v>mean temperature of sea at surface</x:v>
      </x:c>
      <x:c r="D10" s="19" t="str">
        <x:v>EXECUTABLE_NGRAM</x:v>
      </x:c>
      <x:c r="E10" s="31" t="str">
        <x:v>COMPATIBLE</x:v>
      </x:c>
      <x:c r="F10" s="55" t="b">
        <x:v>1</x:v>
      </x:c>
      <x:c r="G10" s="31" t="str">
        <x:v>ZERO_RESULT</x:v>
      </x:c>
      <x:c r="H10" s="25" t="str">
        <x:v>ZERO_RESULT</x:v>
      </x:c>
      <x:c r="I10" s="25" t="n">
        <x:v>0</x:v>
      </x:c>
      <x:c r="J10" s="31" t="str">
        <x:v>mean temperature of sea at surface</x:v>
      </x:c>
      <x:c r="K10" s="19" t="str">
        <x:v>NOT_APPLICABLE</x:v>
      </x:c>
      <x:c r="L10" s="31" t="str">
        <x:v>Compatible exact string/phrase for unsmoothed public Ngram retrieval (current interface supports up to seven words).</x:v>
      </x:c>
      <x:c r="M10" s="19" t="n">
        <x:v>46260.10681712963</x:v>
      </x:c>
      <x:c r="N10" s="31" t="str">
        <x:v>data/fear-temperature/ngram/raw/3821c7b527e63ea16225f9ddeb9ceaf467e51e1486c0c84fca0bc5502dcf20d4.json</x:v>
      </x:c>
      <x:c r="O10" s="43" t="str">
        <x:v>RECONSTRUCTED_FROM_REPORT</x:v>
      </x:c>
    </x:row>
    <x:row r="11" ht="27" customHeight="1">
      <x:c r="A11" s="18" t="str">
        <x:v>FT-Q-V01-007</x:v>
      </x:c>
      <x:c r="B11" s="19" t="str">
        <x:v>1842</x:v>
      </x:c>
      <x:c r="C11" s="31" t="str">
        <x:v>dew point</x:v>
      </x:c>
      <x:c r="D11" s="19" t="str">
        <x:v>EXECUTABLE_NGRAM</x:v>
      </x:c>
      <x:c r="E11" s="31" t="str">
        <x:v>COMPATIBLE</x:v>
      </x:c>
      <x:c r="F11" s="55" t="b">
        <x:v>1</x:v>
      </x:c>
      <x:c r="G11" s="31" t="str">
        <x:v>SUCCEEDED</x:v>
      </x:c>
      <x:c r="H11" s="25" t="str">
        <x:v>SUCCESS_NONZERO</x:v>
      </x:c>
      <x:c r="I11" s="25" t="n">
        <x:v>181</x:v>
      </x:c>
      <x:c r="J11" s="31" t="str">
        <x:v>dew point</x:v>
      </x:c>
      <x:c r="K11" s="19" t="str">
        <x:v>dew point (All)</x:v>
      </x:c>
      <x:c r="L11" s="31" t="str">
        <x:v>Compatible exact string/phrase for unsmoothed public Ngram retrieval (current interface supports up to seven words).</x:v>
      </x:c>
      <x:c r="M11" s="19" t="n">
        <x:v>46260.106828703705</x:v>
      </x:c>
      <x:c r="N11" s="31" t="str">
        <x:v>data/fear-temperature/ngram/raw/4898435e13db75c393f88431adaa7c57e859e86e427c2a0c7f85ffed43c9489d.json</x:v>
      </x:c>
      <x:c r="O11" s="43" t="str">
        <x:v>RECONSTRUCTED_FROM_REPORT</x:v>
      </x:c>
    </x:row>
    <x:row r="12" ht="27" customHeight="1">
      <x:c r="A12" s="18" t="str">
        <x:v>FT-Q-V01-008</x:v>
      </x:c>
      <x:c r="B12" s="19" t="str">
        <x:v>1842</x:v>
      </x:c>
      <x:c r="C12" s="31" t="str">
        <x:v>standard thermometer</x:v>
      </x:c>
      <x:c r="D12" s="19" t="str">
        <x:v>EXECUTABLE_NGRAM</x:v>
      </x:c>
      <x:c r="E12" s="31" t="str">
        <x:v>COMPATIBLE</x:v>
      </x:c>
      <x:c r="F12" s="55" t="b">
        <x:v>1</x:v>
      </x:c>
      <x:c r="G12" s="31" t="str">
        <x:v>SUCCEEDED</x:v>
      </x:c>
      <x:c r="H12" s="25" t="str">
        <x:v>SUCCESS_NONZERO</x:v>
      </x:c>
      <x:c r="I12" s="25" t="n">
        <x:v>181</x:v>
      </x:c>
      <x:c r="J12" s="31" t="str">
        <x:v>standard thermometer</x:v>
      </x:c>
      <x:c r="K12" s="19" t="str">
        <x:v>standard thermometer (All)</x:v>
      </x:c>
      <x:c r="L12" s="31" t="str">
        <x:v>Compatible exact string/phrase for unsmoothed public Ngram retrieval (current interface supports up to seven words).</x:v>
      </x:c>
      <x:c r="M12" s="19" t="n">
        <x:v>46260.106840277775</x:v>
      </x:c>
      <x:c r="N12" s="31" t="str">
        <x:v>data/fear-temperature/ngram/raw/1b5489f7c11dc47a84c822f25bba9106c5bb57ed260344f09cccb40c2a47e5ab.json</x:v>
      </x:c>
      <x:c r="O12" s="43" t="str">
        <x:v>RECONSTRUCTED_FROM_REPORT</x:v>
      </x:c>
    </x:row>
    <x:row r="13" ht="27" customHeight="1">
      <x:c r="A13" s="18" t="str">
        <x:v>FT-Q-V01-009</x:v>
      </x:c>
      <x:c r="B13" s="19" t="str">
        <x:v>1842</x:v>
      </x:c>
      <x:c r="C13" s="31" t="str">
        <x:v>attached thermometer</x:v>
      </x:c>
      <x:c r="D13" s="19" t="str">
        <x:v>EXECUTABLE_NGRAM</x:v>
      </x:c>
      <x:c r="E13" s="31" t="str">
        <x:v>COMPATIBLE</x:v>
      </x:c>
      <x:c r="F13" s="55" t="b">
        <x:v>1</x:v>
      </x:c>
      <x:c r="G13" s="31" t="str">
        <x:v>SUCCEEDED</x:v>
      </x:c>
      <x:c r="H13" s="25" t="str">
        <x:v>SUCCESS_NONZERO</x:v>
      </x:c>
      <x:c r="I13" s="25" t="n">
        <x:v>181</x:v>
      </x:c>
      <x:c r="J13" s="31" t="str">
        <x:v>attached thermometer</x:v>
      </x:c>
      <x:c r="K13" s="19" t="str">
        <x:v>attached thermometer (All)</x:v>
      </x:c>
      <x:c r="L13" s="31" t="str">
        <x:v>Compatible exact string/phrase for unsmoothed public Ngram retrieval (current interface supports up to seven words).</x:v>
      </x:c>
      <x:c r="M13" s="19" t="n">
        <x:v>46260.10685185185</x:v>
      </x:c>
      <x:c r="N13" s="31" t="str">
        <x:v>data/fear-temperature/ngram/raw/6a0588ceb7b0cd726403d59e6ae13eb6618e91f3b5f21baa3ed0fa972b12fdf6.json</x:v>
      </x:c>
      <x:c r="O13" s="43" t="str">
        <x:v>RECONSTRUCTED_FROM_REPORT</x:v>
      </x:c>
    </x:row>
    <x:row r="14" ht="27" customHeight="1">
      <x:c r="A14" s="18" t="str">
        <x:v>FT-Q-V01-010</x:v>
      </x:c>
      <x:c r="B14" s="19" t="str">
        <x:v>1842</x:v>
      </x:c>
      <x:c r="C14" s="31" t="str">
        <x:v>dry bulb thermometer</x:v>
      </x:c>
      <x:c r="D14" s="19" t="str">
        <x:v>EXECUTABLE_NGRAM</x:v>
      </x:c>
      <x:c r="E14" s="31" t="str">
        <x:v>COMPATIBLE</x:v>
      </x:c>
      <x:c r="F14" s="55" t="b">
        <x:v>1</x:v>
      </x:c>
      <x:c r="G14" s="31" t="str">
        <x:v>SUCCEEDED</x:v>
      </x:c>
      <x:c r="H14" s="25" t="str">
        <x:v>SUCCESS_NONZERO</x:v>
      </x:c>
      <x:c r="I14" s="25" t="n">
        <x:v>181</x:v>
      </x:c>
      <x:c r="J14" s="31" t="str">
        <x:v>dry bulb thermometer</x:v>
      </x:c>
      <x:c r="K14" s="19" t="str">
        <x:v>dry bulb thermometer (All)</x:v>
      </x:c>
      <x:c r="L14" s="31" t="str">
        <x:v>Compatible exact string/phrase for unsmoothed public Ngram retrieval (current interface supports up to seven words).</x:v>
      </x:c>
      <x:c r="M14" s="19" t="n">
        <x:v>46260.10686342593</x:v>
      </x:c>
      <x:c r="N14" s="31" t="str">
        <x:v>data/fear-temperature/ngram/raw/ccf7b062d1c1fa3d9074e3f27879fdf37eb632c5d285dd90fa3bbaaeca5e0586.json</x:v>
      </x:c>
      <x:c r="O14" s="43" t="str">
        <x:v>RECONSTRUCTED_FROM_REPORT</x:v>
      </x:c>
    </x:row>
    <x:row r="15" ht="27" customHeight="1">
      <x:c r="A15" s="18" t="str">
        <x:v>FT-Q-V01-011</x:v>
      </x:c>
      <x:c r="B15" s="19" t="str">
        <x:v>1842</x:v>
      </x:c>
      <x:c r="C15" s="31" t="str">
        <x:v>wet bulb thermometer</x:v>
      </x:c>
      <x:c r="D15" s="19" t="str">
        <x:v>EXECUTABLE_NGRAM</x:v>
      </x:c>
      <x:c r="E15" s="31" t="str">
        <x:v>COMPATIBLE</x:v>
      </x:c>
      <x:c r="F15" s="55" t="b">
        <x:v>1</x:v>
      </x:c>
      <x:c r="G15" s="31" t="str">
        <x:v>SUCCEEDED</x:v>
      </x:c>
      <x:c r="H15" s="25" t="str">
        <x:v>SUCCESS_NONZERO</x:v>
      </x:c>
      <x:c r="I15" s="25" t="n">
        <x:v>181</x:v>
      </x:c>
      <x:c r="J15" s="31" t="str">
        <x:v>wet bulb thermometer</x:v>
      </x:c>
      <x:c r="K15" s="19" t="str">
        <x:v>wet bulb thermometer (All)</x:v>
      </x:c>
      <x:c r="L15" s="31" t="str">
        <x:v>Compatible exact string/phrase for unsmoothed public Ngram retrieval (current interface supports up to seven words).</x:v>
      </x:c>
      <x:c r="M15" s="19" t="n">
        <x:v>46260.106875</x:v>
      </x:c>
      <x:c r="N15" s="31" t="str">
        <x:v>data/fear-temperature/ngram/raw/39268f7b0edac2a3caeb7bce6236c526ab82e48a6b48cb0cc06bf5cf840cbe9a.json</x:v>
      </x:c>
      <x:c r="O15" s="43" t="str">
        <x:v>RECONSTRUCTED_FROM_REPORT</x:v>
      </x:c>
    </x:row>
    <x:row r="16" ht="27" customHeight="1">
      <x:c r="A16" s="18" t="str">
        <x:v>FT-Q-V01-012</x:v>
      </x:c>
      <x:c r="B16" s="19" t="str">
        <x:v>1842</x:v>
      </x:c>
      <x:c r="C16" s="31" t="str">
        <x:v>meteorological observations</x:v>
      </x:c>
      <x:c r="D16" s="19" t="str">
        <x:v>EXECUTABLE_NGRAM</x:v>
      </x:c>
      <x:c r="E16" s="31" t="str">
        <x:v>COMPATIBLE</x:v>
      </x:c>
      <x:c r="F16" s="55" t="b">
        <x:v>1</x:v>
      </x:c>
      <x:c r="G16" s="31" t="str">
        <x:v>SUCCEEDED</x:v>
      </x:c>
      <x:c r="H16" s="25" t="str">
        <x:v>SUCCESS_NONZERO</x:v>
      </x:c>
      <x:c r="I16" s="25" t="n">
        <x:v>181</x:v>
      </x:c>
      <x:c r="J16" s="31" t="str">
        <x:v>meteorological observations</x:v>
      </x:c>
      <x:c r="K16" s="19" t="str">
        <x:v>meteorological observations (All)</x:v>
      </x:c>
      <x:c r="L16" s="31" t="str">
        <x:v>Compatible exact string/phrase for unsmoothed public Ngram retrieval (current interface supports up to seven words).</x:v>
      </x:c>
      <x:c r="M16" s="19" t="n">
        <x:v>46260.106886574074</x:v>
      </x:c>
      <x:c r="N16" s="31" t="str">
        <x:v>data/fear-temperature/ngram/raw/32e5ce8ef7371cdbf27a5865c35c03777dcd78911b87337158ac77f129ae383f.json</x:v>
      </x:c>
      <x:c r="O16" s="43" t="str">
        <x:v>RECONSTRUCTED_FROM_REPORT</x:v>
      </x:c>
    </x:row>
    <x:row r="17" ht="27" customHeight="1">
      <x:c r="A17" s="18" t="str">
        <x:v>FT-Q-V01-013</x:v>
      </x:c>
      <x:c r="B17" s="19" t="str">
        <x:v>1842</x:v>
      </x:c>
      <x:c r="C17" s="31" t="str">
        <x:v>meteorological journal</x:v>
      </x:c>
      <x:c r="D17" s="19" t="str">
        <x:v>EXECUTABLE_NGRAM</x:v>
      </x:c>
      <x:c r="E17" s="31" t="str">
        <x:v>COMPATIBLE</x:v>
      </x:c>
      <x:c r="F17" s="55" t="b">
        <x:v>1</x:v>
      </x:c>
      <x:c r="G17" s="31" t="str">
        <x:v>SUCCEEDED</x:v>
      </x:c>
      <x:c r="H17" s="25" t="str">
        <x:v>SUCCESS_NONZERO</x:v>
      </x:c>
      <x:c r="I17" s="25" t="n">
        <x:v>181</x:v>
      </x:c>
      <x:c r="J17" s="31" t="str">
        <x:v>meteorological journal</x:v>
      </x:c>
      <x:c r="K17" s="19" t="str">
        <x:v>meteorological journal (All)</x:v>
      </x:c>
      <x:c r="L17" s="31" t="str">
        <x:v>Compatible exact string/phrase for unsmoothed public Ngram retrieval (current interface supports up to seven words).</x:v>
      </x:c>
      <x:c r="M17" s="19" t="n">
        <x:v>46260.106886574074</x:v>
      </x:c>
      <x:c r="N17" s="31" t="str">
        <x:v>data/fear-temperature/ngram/raw/e11a874b3aa528b4ca775a4792b211f9ae21d79d674027de8fdaf55138f5e246.json</x:v>
      </x:c>
      <x:c r="O17" s="43" t="str">
        <x:v>RECONSTRUCTED_FROM_REPORT</x:v>
      </x:c>
    </x:row>
    <x:row r="18" ht="27" customHeight="1">
      <x:c r="A18" s="18" t="str">
        <x:v>FT-Q-V01-014</x:v>
      </x:c>
      <x:c r="B18" s="19" t="str">
        <x:v>1842</x:v>
      </x:c>
      <x:c r="C18" s="31" t="str">
        <x:v>weather</x:v>
      </x:c>
      <x:c r="D18" s="19" t="str">
        <x:v>BACKGROUND_AMBIGUOUS</x:v>
      </x:c>
      <x:c r="E18" s="31" t="str">
        <x:v>COMPATIBLE</x:v>
      </x:c>
      <x:c r="F18" s="55" t="b">
        <x:v>1</x:v>
      </x:c>
      <x:c r="G18" s="31" t="str">
        <x:v>SUCCEEDED</x:v>
      </x:c>
      <x:c r="H18" s="25" t="str">
        <x:v>SUCCESS_NONZERO</x:v>
      </x:c>
      <x:c r="I18" s="25" t="n">
        <x:v>181</x:v>
      </x:c>
      <x:c r="J18" s="31" t="str">
        <x:v>weather</x:v>
      </x:c>
      <x:c r="K18" s="19" t="str">
        <x:v>weather (All)</x:v>
      </x:c>
      <x:c r="L18" s="31" t="str">
        <x:v>Compatible exact string/phrase for unsmoothed public Ngram retrieval (current interface supports up to seven words).</x:v>
      </x:c>
      <x:c r="M18" s="19" t="n">
        <x:v>46260.10689814815</x:v>
      </x:c>
      <x:c r="N18" s="31" t="str">
        <x:v>data/fear-temperature/ngram/raw/b1c235e1f9b54d9c47f30260c9750c598212bb32714ef6ab727ce897ed2fe408.json</x:v>
      </x:c>
      <x:c r="O18" s="43" t="str">
        <x:v>RECONSTRUCTED_FROM_REPORT</x:v>
      </x:c>
    </x:row>
    <x:row r="19" ht="27" customHeight="1">
      <x:c r="A19" s="18" t="str">
        <x:v>FT-Q-V01-015</x:v>
      </x:c>
      <x:c r="B19" s="19" t="str">
        <x:v>1842</x:v>
      </x:c>
      <x:c r="C19" s="31" t="str">
        <x:v>climate</x:v>
      </x:c>
      <x:c r="D19" s="19" t="str">
        <x:v>BACKGROUND_AMBIGUOUS</x:v>
      </x:c>
      <x:c r="E19" s="31" t="str">
        <x:v>COMPATIBLE</x:v>
      </x:c>
      <x:c r="F19" s="55" t="b">
        <x:v>1</x:v>
      </x:c>
      <x:c r="G19" s="31" t="str">
        <x:v>SUCCEEDED</x:v>
      </x:c>
      <x:c r="H19" s="25" t="str">
        <x:v>SUCCESS_NONZERO</x:v>
      </x:c>
      <x:c r="I19" s="25" t="n">
        <x:v>181</x:v>
      </x:c>
      <x:c r="J19" s="31" t="str">
        <x:v>climate</x:v>
      </x:c>
      <x:c r="K19" s="19" t="str">
        <x:v>climate (All)</x:v>
      </x:c>
      <x:c r="L19" s="31" t="str">
        <x:v>Compatible exact string/phrase for unsmoothed public Ngram retrieval (current interface supports up to seven words).</x:v>
      </x:c>
      <x:c r="M19" s="19" t="n">
        <x:v>46260.10690972222</x:v>
      </x:c>
      <x:c r="N19" s="31" t="str">
        <x:v>data/fear-temperature/ngram/raw/15b0e51d7801a15c04a08d94fa0d6eafde8f1970a7229d0a666bcb7896395fae.json</x:v>
      </x:c>
      <x:c r="O19" s="43" t="str">
        <x:v>RECONSTRUCTED_FROM_REPORT</x:v>
      </x:c>
    </x:row>
    <x:row r="20" ht="27" customHeight="1">
      <x:c r="A20" s="18" t="str">
        <x:v>FT-Q-V01-016</x:v>
      </x:c>
      <x:c r="B20" s="19" t="str">
        <x:v>1842</x:v>
      </x:c>
      <x:c r="C20" s="31" t="str">
        <x:v>sun's heat</x:v>
      </x:c>
      <x:c r="D20" s="19" t="str">
        <x:v>EXECUTABLE_NGRAM</x:v>
      </x:c>
      <x:c r="E20" s="31" t="str">
        <x:v>COMPATIBLE</x:v>
      </x:c>
      <x:c r="F20" s="55" t="b">
        <x:v>1</x:v>
      </x:c>
      <x:c r="G20" s="31" t="str">
        <x:v>ZERO_RESULT</x:v>
      </x:c>
      <x:c r="H20" s="25" t="str">
        <x:v>ZERO_RESULT</x:v>
      </x:c>
      <x:c r="I20" s="25" t="n">
        <x:v>0</x:v>
      </x:c>
      <x:c r="J20" s="31" t="str">
        <x:v>sun's heat</x:v>
      </x:c>
      <x:c r="K20" s="19" t="str">
        <x:v>NOT_APPLICABLE</x:v>
      </x:c>
      <x:c r="L20" s="31" t="str">
        <x:v>Compatible exact string/phrase for unsmoothed public Ngram retrieval (current interface supports up to seven words).</x:v>
      </x:c>
      <x:c r="M20" s="19" t="n">
        <x:v>46260.1069212963</x:v>
      </x:c>
      <x:c r="N20" s="31" t="str">
        <x:v>data/fear-temperature/ngram/raw/a5e0c6f662bea7df30da2af8d6f74cfa8d7e2db15acbb2556c3ecd3d4ba34a26.json</x:v>
      </x:c>
      <x:c r="O20" s="43" t="str">
        <x:v>RECONSTRUCTED_FROM_REPORT</x:v>
      </x:c>
    </x:row>
    <x:row r="21" ht="27" customHeight="1">
      <x:c r="A21" s="18" t="str">
        <x:v>FT-Q-V01-017</x:v>
      </x:c>
      <x:c r="B21" s="19" t="str">
        <x:v>1842</x:v>
      </x:c>
      <x:c r="C21" s="31" t="str">
        <x:v>radiation of the heat</x:v>
      </x:c>
      <x:c r="D21" s="19" t="str">
        <x:v>EXECUTABLE_NGRAM</x:v>
      </x:c>
      <x:c r="E21" s="31" t="str">
        <x:v>COMPATIBLE</x:v>
      </x:c>
      <x:c r="F21" s="55" t="b">
        <x:v>1</x:v>
      </x:c>
      <x:c r="G21" s="31" t="str">
        <x:v>SUCCEEDED</x:v>
      </x:c>
      <x:c r="H21" s="25" t="str">
        <x:v>SUCCESS_NONZERO</x:v>
      </x:c>
      <x:c r="I21" s="25" t="n">
        <x:v>181</x:v>
      </x:c>
      <x:c r="J21" s="31" t="str">
        <x:v>radiation of the heat</x:v>
      </x:c>
      <x:c r="K21" s="19" t="str">
        <x:v>radiation of the heat (All)</x:v>
      </x:c>
      <x:c r="L21" s="31" t="str">
        <x:v>Compatible exact string/phrase for unsmoothed public Ngram retrieval (current interface supports up to seven words).</x:v>
      </x:c>
      <x:c r="M21" s="19" t="n">
        <x:v>46260.10693287037</x:v>
      </x:c>
      <x:c r="N21" s="31" t="str">
        <x:v>data/fear-temperature/ngram/raw/b1d91453b664fdcc21e4e3d3431ebf93f214078ffc9208777f1b541cd6603b40.json</x:v>
      </x:c>
      <x:c r="O21" s="43" t="str">
        <x:v>RECONSTRUCTED_FROM_REPORT</x:v>
      </x:c>
    </x:row>
    <x:row r="22" ht="27" customHeight="1">
      <x:c r="A22" s="18" t="str">
        <x:v>FT-Q-V01-018</x:v>
      </x:c>
      <x:c r="B22" s="19" t="str">
        <x:v>1842</x:v>
      </x:c>
      <x:c r="C22" s="31" t="str">
        <x:v>changes of temperature</x:v>
      </x:c>
      <x:c r="D22" s="19" t="str">
        <x:v>EXECUTABLE_NGRAM</x:v>
      </x:c>
      <x:c r="E22" s="31" t="str">
        <x:v>COMPATIBLE</x:v>
      </x:c>
      <x:c r="F22" s="55" t="b">
        <x:v>1</x:v>
      </x:c>
      <x:c r="G22" s="31" t="str">
        <x:v>SUCCEEDED</x:v>
      </x:c>
      <x:c r="H22" s="25" t="str">
        <x:v>SUCCESS_NONZERO</x:v>
      </x:c>
      <x:c r="I22" s="25" t="n">
        <x:v>181</x:v>
      </x:c>
      <x:c r="J22" s="31" t="str">
        <x:v>changes of temperature</x:v>
      </x:c>
      <x:c r="K22" s="19" t="str">
        <x:v>changes of temperature (All)</x:v>
      </x:c>
      <x:c r="L22" s="31" t="str">
        <x:v>Compatible exact string/phrase for unsmoothed public Ngram retrieval (current interface supports up to seven words).</x:v>
      </x:c>
      <x:c r="M22" s="19" t="n">
        <x:v>46260.106944444444</x:v>
      </x:c>
      <x:c r="N22" s="31" t="str">
        <x:v>data/fear-temperature/ngram/raw/e6b380a089b14610402078727599ceb65a1975ef78d3de6b2dc206afdbe3ddba.json</x:v>
      </x:c>
      <x:c r="O22" s="43" t="str">
        <x:v>RECONSTRUCTED_FROM_REPORT</x:v>
      </x:c>
    </x:row>
    <x:row r="23" ht="27" customHeight="1">
      <x:c r="A23" s="18" t="str">
        <x:v>FT-Q-V01-019</x:v>
      </x:c>
      <x:c r="B23" s="19" t="str">
        <x:v>1842</x:v>
      </x:c>
      <x:c r="C23" s="31" t="str">
        <x:v>excessive heat</x:v>
      </x:c>
      <x:c r="D23" s="19" t="str">
        <x:v>EXECUTABLE_NGRAM</x:v>
      </x:c>
      <x:c r="E23" s="31" t="str">
        <x:v>COMPATIBLE</x:v>
      </x:c>
      <x:c r="F23" s="55" t="b">
        <x:v>1</x:v>
      </x:c>
      <x:c r="G23" s="31" t="str">
        <x:v>SUCCEEDED</x:v>
      </x:c>
      <x:c r="H23" s="25" t="str">
        <x:v>SUCCESS_NONZERO</x:v>
      </x:c>
      <x:c r="I23" s="25" t="n">
        <x:v>181</x:v>
      </x:c>
      <x:c r="J23" s="31" t="str">
        <x:v>excessive heat</x:v>
      </x:c>
      <x:c r="K23" s="19" t="str">
        <x:v>excessive heat (All)</x:v>
      </x:c>
      <x:c r="L23" s="31" t="str">
        <x:v>Compatible exact string/phrase for unsmoothed public Ngram retrieval (current interface supports up to seven words).</x:v>
      </x:c>
      <x:c r="M23" s="19" t="n">
        <x:v>46260.106944444444</x:v>
      </x:c>
      <x:c r="N23" s="31" t="str">
        <x:v>data/fear-temperature/ngram/raw/f7c0a10c571c1deb244f8aad5b8580355924bf82e62e8910fbf3e507732cb56e.json</x:v>
      </x:c>
      <x:c r="O23" s="43" t="str">
        <x:v>RECONSTRUCTED_FROM_REPORT</x:v>
      </x:c>
    </x:row>
    <x:row r="24" ht="27" customHeight="1">
      <x:c r="A24" s="18" t="str">
        <x:v>FT-Q-V01-020</x:v>
      </x:c>
      <x:c r="B24" s="19" t="str">
        <x:v>1842</x:v>
      </x:c>
      <x:c r="C24" s="31" t="str">
        <x:v>heat of the men</x:v>
      </x:c>
      <x:c r="D24" s="19" t="str">
        <x:v>EXECUTABLE_NGRAM</x:v>
      </x:c>
      <x:c r="E24" s="31" t="str">
        <x:v>COMPATIBLE</x:v>
      </x:c>
      <x:c r="F24" s="55" t="b">
        <x:v>1</x:v>
      </x:c>
      <x:c r="G24" s="31" t="str">
        <x:v>SUCCEEDED</x:v>
      </x:c>
      <x:c r="H24" s="25" t="str">
        <x:v>SUCCESS_NONZERO</x:v>
      </x:c>
      <x:c r="I24" s="25" t="n">
        <x:v>181</x:v>
      </x:c>
      <x:c r="J24" s="31" t="str">
        <x:v>heat of the men</x:v>
      </x:c>
      <x:c r="K24" s="19" t="str">
        <x:v>heat of the men</x:v>
      </x:c>
      <x:c r="L24" s="31" t="str">
        <x:v>Compatible exact string/phrase for unsmoothed public Ngram retrieval (current interface supports up to seven words).</x:v>
      </x:c>
      <x:c r="M24" s="19" t="n">
        <x:v>46260.10695601852</x:v>
      </x:c>
      <x:c r="N24" s="31" t="str">
        <x:v>data/fear-temperature/ngram/raw/092dbc9916c5011136639ba399e86bd9ee47958643e7546a67c81d6201da72e9.json</x:v>
      </x:c>
      <x:c r="O24" s="43" t="str">
        <x:v>RECONSTRUCTED_FROM_REPORT</x:v>
      </x:c>
    </x:row>
    <x:row r="25" ht="27" customHeight="1">
      <x:c r="A25" s="18" t="str">
        <x:v>FT-Q-V01-021</x:v>
      </x:c>
      <x:c r="B25" s="19" t="str">
        <x:v>1938</x:v>
      </x:c>
      <x:c r="C25" s="31" t="str">
        <x:v>artificial production of carbon dioxide</x:v>
      </x:c>
      <x:c r="D25" s="19" t="str">
        <x:v>EXECUTABLE_NGRAM</x:v>
      </x:c>
      <x:c r="E25" s="31" t="str">
        <x:v>COMPATIBLE</x:v>
      </x:c>
      <x:c r="F25" s="55" t="b">
        <x:v>1</x:v>
      </x:c>
      <x:c r="G25" s="31" t="str">
        <x:v>SUCCEEDED</x:v>
      </x:c>
      <x:c r="H25" s="25" t="str">
        <x:v>SUCCESS_NONZERO</x:v>
      </x:c>
      <x:c r="I25" s="25" t="n">
        <x:v>181</x:v>
      </x:c>
      <x:c r="J25" s="31" t="str">
        <x:v>artificial production of carbon dioxide</x:v>
      </x:c>
      <x:c r="K25" s="19" t="str">
        <x:v>artificial production of carbon dioxide (All)</x:v>
      </x:c>
      <x:c r="L25" s="31" t="str">
        <x:v>Compatible exact string/phrase for unsmoothed public Ngram retrieval (current interface supports up to seven words).</x:v>
      </x:c>
      <x:c r="M25" s="19" t="n">
        <x:v>46260.10696759259</x:v>
      </x:c>
      <x:c r="N25" s="31" t="str">
        <x:v>data/fear-temperature/ngram/raw/2070ecc01d91fb37ee4d7883be04c16d4a7880b3a2dff5f0827d4e72b3e577c0.json</x:v>
      </x:c>
      <x:c r="O25" s="43" t="str">
        <x:v>RECONSTRUCTED_FROM_REPORT</x:v>
      </x:c>
    </x:row>
    <x:row r="26" ht="27" customHeight="1">
      <x:c r="A26" s="18" t="str">
        <x:v>FT-Q-V01-022</x:v>
      </x:c>
      <x:c r="B26" s="19" t="str">
        <x:v>1938</x:v>
      </x:c>
      <x:c r="C26" s="31" t="str">
        <x:v>carbon dioxide</x:v>
      </x:c>
      <x:c r="D26" s="19" t="str">
        <x:v>EXECUTABLE_NGRAM</x:v>
      </x:c>
      <x:c r="E26" s="31" t="str">
        <x:v>COMPATIBLE</x:v>
      </x:c>
      <x:c r="F26" s="55" t="b">
        <x:v>1</x:v>
      </x:c>
      <x:c r="G26" s="31" t="str">
        <x:v>SUCCEEDED</x:v>
      </x:c>
      <x:c r="H26" s="25" t="str">
        <x:v>SUCCESS_NONZERO</x:v>
      </x:c>
      <x:c r="I26" s="25" t="n">
        <x:v>181</x:v>
      </x:c>
      <x:c r="J26" s="31" t="str">
        <x:v>carbon dioxide</x:v>
      </x:c>
      <x:c r="K26" s="19" t="str">
        <x:v>carbon dioxide (All)</x:v>
      </x:c>
      <x:c r="L26" s="31" t="str">
        <x:v>Compatible exact string/phrase for unsmoothed public Ngram retrieval (current interface supports up to seven words).</x:v>
      </x:c>
      <x:c r="M26" s="19" t="n">
        <x:v>46260.10697916667</x:v>
      </x:c>
      <x:c r="N26" s="31" t="str">
        <x:v>data/fear-temperature/ngram/raw/4cb80f44edde6549156066466a74bfc57366da8f1cf6ad90b5890db731dd8d38.json</x:v>
      </x:c>
      <x:c r="O26" s="43" t="str">
        <x:v>RECONSTRUCTED_FROM_REPORT</x:v>
      </x:c>
    </x:row>
    <x:row r="27" ht="27" customHeight="1">
      <x:c r="A27" s="18" t="str">
        <x:v>FT-Q-V01-023</x:v>
      </x:c>
      <x:c r="B27" s="19" t="str">
        <x:v>1938</x:v>
      </x:c>
      <x:c r="C27" s="31" t="str">
        <x:v>fuel combustion</x:v>
      </x:c>
      <x:c r="D27" s="19" t="str">
        <x:v>EXECUTABLE_NGRAM</x:v>
      </x:c>
      <x:c r="E27" s="31" t="str">
        <x:v>COMPATIBLE</x:v>
      </x:c>
      <x:c r="F27" s="55" t="b">
        <x:v>1</x:v>
      </x:c>
      <x:c r="G27" s="31" t="str">
        <x:v>SUCCEEDED</x:v>
      </x:c>
      <x:c r="H27" s="25" t="str">
        <x:v>SUCCESS_NONZERO</x:v>
      </x:c>
      <x:c r="I27" s="25" t="n">
        <x:v>181</x:v>
      </x:c>
      <x:c r="J27" s="31" t="str">
        <x:v>fuel combustion</x:v>
      </x:c>
      <x:c r="K27" s="19" t="str">
        <x:v>fuel combustion (All)</x:v>
      </x:c>
      <x:c r="L27" s="31" t="str">
        <x:v>Compatible exact string/phrase for unsmoothed public Ngram retrieval (current interface supports up to seven words).</x:v>
      </x:c>
      <x:c r="M27" s="19" t="n">
        <x:v>46260.106990740744</x:v>
      </x:c>
      <x:c r="N27" s="31" t="str">
        <x:v>data/fear-temperature/ngram/raw/12a8595c1716a3689b1352a631f6c4cb21fd6f97651228f8731d5c059da7ddcd.json</x:v>
      </x:c>
      <x:c r="O27" s="43" t="str">
        <x:v>RECONSTRUCTED_FROM_REPORT</x:v>
      </x:c>
    </x:row>
    <x:row r="28" ht="27" customHeight="1">
      <x:c r="A28" s="18" t="str">
        <x:v>FT-Q-V01-024</x:v>
      </x:c>
      <x:c r="B28" s="19" t="str">
        <x:v>1938</x:v>
      </x:c>
      <x:c r="C28" s="31" t="str">
        <x:v>air</x:v>
      </x:c>
      <x:c r="D28" s="19" t="str">
        <x:v>BACKGROUND_AMBIGUOUS</x:v>
      </x:c>
      <x:c r="E28" s="31" t="str">
        <x:v>COMPATIBLE</x:v>
      </x:c>
      <x:c r="F28" s="55" t="b">
        <x:v>1</x:v>
      </x:c>
      <x:c r="G28" s="31" t="str">
        <x:v>SUCCEEDED</x:v>
      </x:c>
      <x:c r="H28" s="25" t="str">
        <x:v>SUCCESS_NONZERO</x:v>
      </x:c>
      <x:c r="I28" s="25" t="n">
        <x:v>181</x:v>
      </x:c>
      <x:c r="J28" s="31" t="str">
        <x:v>air</x:v>
      </x:c>
      <x:c r="K28" s="19" t="str">
        <x:v>air (All)</x:v>
      </x:c>
      <x:c r="L28" s="31" t="str">
        <x:v>Compatible exact string/phrase for unsmoothed public Ngram retrieval (current interface supports up to seven words).</x:v>
      </x:c>
      <x:c r="M28" s="19" t="n">
        <x:v>46260.10700231481</x:v>
      </x:c>
      <x:c r="N28" s="31" t="str">
        <x:v>data/fear-temperature/ngram/raw/d1d71646f7752f96d980c2569f429edc861dee3fe41954ab8819ae80ac484917.json</x:v>
      </x:c>
      <x:c r="O28" s="43" t="str">
        <x:v>RECONSTRUCTED_FROM_REPORT</x:v>
      </x:c>
    </x:row>
    <x:row r="29" ht="27" customHeight="1">
      <x:c r="A29" s="18" t="str">
        <x:v>FT-Q-V01-025</x:v>
      </x:c>
      <x:c r="B29" s="19" t="str">
        <x:v>1938</x:v>
      </x:c>
      <x:c r="C29" s="31" t="str">
        <x:v>atmosphere</x:v>
      </x:c>
      <x:c r="D29" s="19" t="str">
        <x:v>BACKGROUND_AMBIGUOUS</x:v>
      </x:c>
      <x:c r="E29" s="31" t="str">
        <x:v>COMPATIBLE</x:v>
      </x:c>
      <x:c r="F29" s="55" t="b">
        <x:v>1</x:v>
      </x:c>
      <x:c r="G29" s="31" t="str">
        <x:v>SUCCEEDED</x:v>
      </x:c>
      <x:c r="H29" s="25" t="str">
        <x:v>SUCCESS_NONZERO</x:v>
      </x:c>
      <x:c r="I29" s="25" t="n">
        <x:v>181</x:v>
      </x:c>
      <x:c r="J29" s="31" t="str">
        <x:v>atmosphere</x:v>
      </x:c>
      <x:c r="K29" s="19" t="str">
        <x:v>atmosphere (All)</x:v>
      </x:c>
      <x:c r="L29" s="31" t="str">
        <x:v>Compatible exact string/phrase for unsmoothed public Ngram retrieval (current interface supports up to seven words).</x:v>
      </x:c>
      <x:c r="M29" s="19" t="n">
        <x:v>46260.10701388889</x:v>
      </x:c>
      <x:c r="N29" s="31" t="str">
        <x:v>data/fear-temperature/ngram/raw/02abb1ffa0f647541454d9a403cb3fde6448b9c7ffe5a64372a582db79e9c276.json</x:v>
      </x:c>
      <x:c r="O29" s="43" t="str">
        <x:v>RECONSTRUCTED_FROM_REPORT</x:v>
      </x:c>
    </x:row>
    <x:row r="30" ht="27" customHeight="1">
      <x:c r="A30" s="18" t="str">
        <x:v>FT-Q-V01-026</x:v>
      </x:c>
      <x:c r="B30" s="19" t="str">
        <x:v>1938</x:v>
      </x:c>
      <x:c r="C30" s="31" t="str">
        <x:v>radiation absorption coefficients</x:v>
      </x:c>
      <x:c r="D30" s="19" t="str">
        <x:v>EXECUTABLE_NGRAM</x:v>
      </x:c>
      <x:c r="E30" s="31" t="str">
        <x:v>COMPATIBLE</x:v>
      </x:c>
      <x:c r="F30" s="55" t="b">
        <x:v>1</x:v>
      </x:c>
      <x:c r="G30" s="31" t="str">
        <x:v>SUCCEEDED</x:v>
      </x:c>
      <x:c r="H30" s="25" t="str">
        <x:v>SUCCESS_NONZERO</x:v>
      </x:c>
      <x:c r="I30" s="25" t="n">
        <x:v>181</x:v>
      </x:c>
      <x:c r="J30" s="31" t="str">
        <x:v>radiation absorption coefficients</x:v>
      </x:c>
      <x:c r="K30" s="19" t="str">
        <x:v>radiation absorption coefficients (All)</x:v>
      </x:c>
      <x:c r="L30" s="31" t="str">
        <x:v>Compatible exact string/phrase for unsmoothed public Ngram retrieval (current interface supports up to seven words).</x:v>
      </x:c>
      <x:c r="M30" s="19" t="n">
        <x:v>46260.10701388889</x:v>
      </x:c>
      <x:c r="N30" s="31" t="str">
        <x:v>data/fear-temperature/ngram/raw/2171601fde96b2bd2865c8be4c2da3ae797032f05534d51e6686631886ce7cdb.json</x:v>
      </x:c>
      <x:c r="O30" s="43" t="str">
        <x:v>RECONSTRUCTED_FROM_REPORT</x:v>
      </x:c>
    </x:row>
    <x:row r="31" ht="27" customHeight="1">
      <x:c r="A31" s="18" t="str">
        <x:v>FT-Q-V01-027</x:v>
      </x:c>
      <x:c r="B31" s="19" t="str">
        <x:v>1938</x:v>
      </x:c>
      <x:c r="C31" s="31" t="str">
        <x:v>water vapour</x:v>
      </x:c>
      <x:c r="D31" s="19" t="str">
        <x:v>EXECUTABLE_NGRAM</x:v>
      </x:c>
      <x:c r="E31" s="31" t="str">
        <x:v>COMPATIBLE</x:v>
      </x:c>
      <x:c r="F31" s="55" t="b">
        <x:v>1</x:v>
      </x:c>
      <x:c r="G31" s="31" t="str">
        <x:v>SUCCEEDED</x:v>
      </x:c>
      <x:c r="H31" s="25" t="str">
        <x:v>SUCCESS_NONZERO</x:v>
      </x:c>
      <x:c r="I31" s="25" t="n">
        <x:v>181</x:v>
      </x:c>
      <x:c r="J31" s="31" t="str">
        <x:v>water vapour</x:v>
      </x:c>
      <x:c r="K31" s="19" t="str">
        <x:v>water vapour (All)</x:v>
      </x:c>
      <x:c r="L31" s="31" t="str">
        <x:v>Compatible exact string/phrase for unsmoothed public Ngram retrieval (current interface supports up to seven words).</x:v>
      </x:c>
      <x:c r="M31" s="19" t="n">
        <x:v>46260.10702546296</x:v>
      </x:c>
      <x:c r="N31" s="31" t="str">
        <x:v>data/fear-temperature/ngram/raw/f51ff51dc09cac2d8a00e7b237acf835741ce26e1efca30bbc7f9b4da5279a28.json</x:v>
      </x:c>
      <x:c r="O31" s="43" t="str">
        <x:v>RECONSTRUCTED_FROM_REPORT</x:v>
      </x:c>
    </x:row>
    <x:row r="32" ht="27" customHeight="1">
      <x:c r="A32" s="18" t="str">
        <x:v>FT-Q-V01-028</x:v>
      </x:c>
      <x:c r="B32" s="19" t="str">
        <x:v>1938</x:v>
      </x:c>
      <x:c r="C32" s="31" t="str">
        <x:v>sky radiation</x:v>
      </x:c>
      <x:c r="D32" s="19" t="str">
        <x:v>EXECUTABLE_NGRAM</x:v>
      </x:c>
      <x:c r="E32" s="31" t="str">
        <x:v>COMPATIBLE</x:v>
      </x:c>
      <x:c r="F32" s="55" t="b">
        <x:v>1</x:v>
      </x:c>
      <x:c r="G32" s="31" t="str">
        <x:v>SUCCEEDED</x:v>
      </x:c>
      <x:c r="H32" s="25" t="str">
        <x:v>SUCCESS_NONZERO</x:v>
      </x:c>
      <x:c r="I32" s="25" t="n">
        <x:v>181</x:v>
      </x:c>
      <x:c r="J32" s="31" t="str">
        <x:v>sky radiation</x:v>
      </x:c>
      <x:c r="K32" s="19" t="str">
        <x:v>sky radiation (All)</x:v>
      </x:c>
      <x:c r="L32" s="31" t="str">
        <x:v>Compatible exact string/phrase for unsmoothed public Ngram retrieval (current interface supports up to seven words).</x:v>
      </x:c>
      <x:c r="M32" s="19" t="n">
        <x:v>46260.107037037036</x:v>
      </x:c>
      <x:c r="N32" s="31" t="str">
        <x:v>data/fear-temperature/ngram/raw/25f6f758b041c15280f5b78e2745bcaf174c736ac625ba6c8fa3f9e9b8acb3d0.json</x:v>
      </x:c>
      <x:c r="O32" s="43" t="str">
        <x:v>RECONSTRUCTED_FROM_REPORT</x:v>
      </x:c>
    </x:row>
    <x:row r="33" ht="27" customHeight="1">
      <x:c r="A33" s="18" t="str">
        <x:v>FT-Q-V01-029</x:v>
      </x:c>
      <x:c r="B33" s="19" t="str">
        <x:v>1938</x:v>
      </x:c>
      <x:c r="C33" s="31" t="str">
        <x:v>increase in mean temperature</x:v>
      </x:c>
      <x:c r="D33" s="19" t="str">
        <x:v>EXECUTABLE_NGRAM</x:v>
      </x:c>
      <x:c r="E33" s="31" t="str">
        <x:v>COMPATIBLE</x:v>
      </x:c>
      <x:c r="F33" s="55" t="b">
        <x:v>1</x:v>
      </x:c>
      <x:c r="G33" s="31" t="str">
        <x:v>SUCCEEDED</x:v>
      </x:c>
      <x:c r="H33" s="25" t="str">
        <x:v>SUCCESS_NONZERO</x:v>
      </x:c>
      <x:c r="I33" s="25" t="n">
        <x:v>181</x:v>
      </x:c>
      <x:c r="J33" s="31" t="str">
        <x:v>increase in mean temperature</x:v>
      </x:c>
      <x:c r="K33" s="19" t="str">
        <x:v>increase in mean temperature (All)</x:v>
      </x:c>
      <x:c r="L33" s="31" t="str">
        <x:v>Compatible exact string/phrase for unsmoothed public Ngram retrieval (current interface supports up to seven words).</x:v>
      </x:c>
      <x:c r="M33" s="19" t="n">
        <x:v>46260.10704861111</x:v>
      </x:c>
      <x:c r="N33" s="31" t="str">
        <x:v>data/fear-temperature/ngram/raw/f17eca0292278251b17b3815a9781852804a5b948c3f6ebb56f9d678e7907143.json</x:v>
      </x:c>
      <x:c r="O33" s="43" t="str">
        <x:v>RECONSTRUCTED_FROM_REPORT</x:v>
      </x:c>
    </x:row>
    <x:row r="34" ht="27" customHeight="1">
      <x:c r="A34" s="18" t="str">
        <x:v>FT-Q-V01-030</x:v>
      </x:c>
      <x:c r="B34" s="19" t="str">
        <x:v>1938</x:v>
      </x:c>
      <x:c r="C34" s="31" t="str">
        <x:v>mean temperature</x:v>
      </x:c>
      <x:c r="D34" s="19" t="str">
        <x:v>EXECUTABLE_NGRAM</x:v>
      </x:c>
      <x:c r="E34" s="31" t="str">
        <x:v>COMPATIBLE</x:v>
      </x:c>
      <x:c r="F34" s="55" t="b">
        <x:v>1</x:v>
      </x:c>
      <x:c r="G34" s="31" t="str">
        <x:v>SUCCEEDED</x:v>
      </x:c>
      <x:c r="H34" s="25" t="str">
        <x:v>SUCCESS_NONZERO</x:v>
      </x:c>
      <x:c r="I34" s="25" t="n">
        <x:v>181</x:v>
      </x:c>
      <x:c r="J34" s="31" t="str">
        <x:v>mean temperature</x:v>
      </x:c>
      <x:c r="K34" s="19" t="str">
        <x:v>mean temperature (All)</x:v>
      </x:c>
      <x:c r="L34" s="31" t="str">
        <x:v>Compatible exact string/phrase for unsmoothed public Ngram retrieval (current interface supports up to seven words).</x:v>
      </x:c>
      <x:c r="M34" s="19" t="n">
        <x:v>46260.106782407405</x:v>
      </x:c>
      <x:c r="N34" s="31" t="str">
        <x:v>data/fear-temperature/ngram/raw/264e2d12fe20c5aa6284ae43253eabc03ec9e11aa2056afde9e77d33d8e97530.json</x:v>
      </x:c>
      <x:c r="O34" s="43" t="str">
        <x:v>RECONSTRUCTED_FROM_REPORT</x:v>
      </x:c>
    </x:row>
    <x:row r="35" ht="27" customHeight="1">
      <x:c r="A35" s="18" t="str">
        <x:v>FT-Q-V01-031</x:v>
      </x:c>
      <x:c r="B35" s="19" t="str">
        <x:v>1938</x:v>
      </x:c>
      <x:c r="C35" s="31" t="str">
        <x:v>temperature observations</x:v>
      </x:c>
      <x:c r="D35" s="19" t="str">
        <x:v>EXECUTABLE_NGRAM</x:v>
      </x:c>
      <x:c r="E35" s="31" t="str">
        <x:v>COMPATIBLE</x:v>
      </x:c>
      <x:c r="F35" s="55" t="b">
        <x:v>1</x:v>
      </x:c>
      <x:c r="G35" s="31" t="str">
        <x:v>SUCCEEDED</x:v>
      </x:c>
      <x:c r="H35" s="25" t="str">
        <x:v>SUCCESS_NONZERO</x:v>
      </x:c>
      <x:c r="I35" s="25" t="n">
        <x:v>181</x:v>
      </x:c>
      <x:c r="J35" s="31" t="str">
        <x:v>temperature observations</x:v>
      </x:c>
      <x:c r="K35" s="19" t="str">
        <x:v>temperature observations (All)</x:v>
      </x:c>
      <x:c r="L35" s="31" t="str">
        <x:v>Compatible exact string/phrase for unsmoothed public Ngram retrieval (current interface supports up to seven words).</x:v>
      </x:c>
      <x:c r="M35" s="19" t="n">
        <x:v>46260.107152777775</x:v>
      </x:c>
      <x:c r="N35" s="31" t="str">
        <x:v>data/fear-temperature/ngram/raw/66206e9216362147b860e1e6c3a8001945a83264107212b1c0f3c3d2fd551522.json</x:v>
      </x:c>
      <x:c r="O35" s="43" t="str">
        <x:v>RECONSTRUCTED_FROM_REPORT</x:v>
      </x:c>
    </x:row>
    <x:row r="36" ht="27" customHeight="1">
      <x:c r="A36" s="18" t="str">
        <x:v>FT-Q-V01-032</x:v>
      </x:c>
      <x:c r="B36" s="19" t="str">
        <x:v>1938</x:v>
      </x:c>
      <x:c r="C36" s="31" t="str">
        <x:v>meteorological stations</x:v>
      </x:c>
      <x:c r="D36" s="19" t="str">
        <x:v>EXECUTABLE_NGRAM</x:v>
      </x:c>
      <x:c r="E36" s="31" t="str">
        <x:v>COMPATIBLE</x:v>
      </x:c>
      <x:c r="F36" s="55" t="b">
        <x:v>1</x:v>
      </x:c>
      <x:c r="G36" s="31" t="str">
        <x:v>SUCCEEDED</x:v>
      </x:c>
      <x:c r="H36" s="25" t="str">
        <x:v>SUCCESS_NONZERO</x:v>
      </x:c>
      <x:c r="I36" s="25" t="n">
        <x:v>181</x:v>
      </x:c>
      <x:c r="J36" s="31" t="str">
        <x:v>meteorological stations</x:v>
      </x:c>
      <x:c r="K36" s="19" t="str">
        <x:v>meteorological stations (All)</x:v>
      </x:c>
      <x:c r="L36" s="31" t="str">
        <x:v>Compatible exact string/phrase for unsmoothed public Ngram retrieval (current interface supports up to seven words).</x:v>
      </x:c>
      <x:c r="M36" s="19" t="n">
        <x:v>46260.10716435185</x:v>
      </x:c>
      <x:c r="N36" s="31" t="str">
        <x:v>data/fear-temperature/ngram/raw/e9d57e4d27daeaa5ff3a311226643238760265d483bb429b63cf1eaf703e26ff.json</x:v>
      </x:c>
      <x:c r="O36" s="43" t="str">
        <x:v>RECONSTRUCTED_FROM_REPORT</x:v>
      </x:c>
    </x:row>
    <x:row r="37" ht="27" customHeight="1">
      <x:c r="A37" s="18" t="str">
        <x:v>FT-Q-V01-033</x:v>
      </x:c>
      <x:c r="B37" s="19" t="str">
        <x:v>1938</x:v>
      </x:c>
      <x:c r="C37" s="31" t="str">
        <x:v>world temperatures</x:v>
      </x:c>
      <x:c r="D37" s="19" t="str">
        <x:v>EXECUTABLE_NGRAM</x:v>
      </x:c>
      <x:c r="E37" s="31" t="str">
        <x:v>COMPATIBLE</x:v>
      </x:c>
      <x:c r="F37" s="55" t="b">
        <x:v>1</x:v>
      </x:c>
      <x:c r="G37" s="31" t="str">
        <x:v>SUCCEEDED</x:v>
      </x:c>
      <x:c r="H37" s="25" t="str">
        <x:v>SUCCESS_NONZERO</x:v>
      </x:c>
      <x:c r="I37" s="25" t="n">
        <x:v>181</x:v>
      </x:c>
      <x:c r="J37" s="31" t="str">
        <x:v>world temperatures</x:v>
      </x:c>
      <x:c r="K37" s="19" t="str">
        <x:v>world temperatures (All)</x:v>
      </x:c>
      <x:c r="L37" s="31" t="str">
        <x:v>Compatible exact string/phrase for unsmoothed public Ngram retrieval (current interface supports up to seven words).</x:v>
      </x:c>
      <x:c r="M37" s="19" t="n">
        <x:v>46260.10717592593</x:v>
      </x:c>
      <x:c r="N37" s="31" t="str">
        <x:v>data/fear-temperature/ngram/raw/c7e50063801250140864a7c772bbe06a1a5b4b6b0adaa4ccb81beedc0fdd8bbc.json</x:v>
      </x:c>
      <x:c r="O37" s="43" t="str">
        <x:v>RECONSTRUCTED_FROM_REPORT</x:v>
      </x:c>
    </x:row>
    <x:row r="38" ht="27" customHeight="1">
      <x:c r="A38" s="18" t="str">
        <x:v>FT-Q-V01-034</x:v>
      </x:c>
      <x:c r="B38" s="19" t="str">
        <x:v>1938</x:v>
      </x:c>
      <x:c r="C38" s="31" t="str">
        <x:v>actually increased</x:v>
      </x:c>
      <x:c r="D38" s="19" t="str">
        <x:v>EXECUTABLE_NGRAM</x:v>
      </x:c>
      <x:c r="E38" s="31" t="str">
        <x:v>COMPATIBLE</x:v>
      </x:c>
      <x:c r="F38" s="55" t="b">
        <x:v>1</x:v>
      </x:c>
      <x:c r="G38" s="31" t="str">
        <x:v>SUCCEEDED</x:v>
      </x:c>
      <x:c r="H38" s="25" t="str">
        <x:v>SUCCESS_NONZERO</x:v>
      </x:c>
      <x:c r="I38" s="25" t="n">
        <x:v>181</x:v>
      </x:c>
      <x:c r="J38" s="31" t="str">
        <x:v>actually increased</x:v>
      </x:c>
      <x:c r="K38" s="19" t="str">
        <x:v>actually increased (All)</x:v>
      </x:c>
      <x:c r="L38" s="31" t="str">
        <x:v>Compatible exact string/phrase for unsmoothed public Ngram retrieval (current interface supports up to seven words).</x:v>
      </x:c>
      <x:c r="M38" s="19" t="n">
        <x:v>46260.1071875</x:v>
      </x:c>
      <x:c r="N38" s="31" t="str">
        <x:v>data/fear-temperature/ngram/raw/9167b97ea3895d8f249f2aa5de33317b397ec2743be4c95d3c595b1798795eb5.json</x:v>
      </x:c>
      <x:c r="O38" s="43" t="str">
        <x:v>RECONSTRUCTED_FROM_REPORT</x:v>
      </x:c>
    </x:row>
    <x:row r="39" ht="27" customHeight="1">
      <x:c r="A39" s="18" t="str">
        <x:v>FT-Q-V01-035</x:v>
      </x:c>
      <x:c r="B39" s="19" t="str">
        <x:v>1938</x:v>
      </x:c>
      <x:c r="C39" s="31" t="str">
        <x:v>average rate</x:v>
      </x:c>
      <x:c r="D39" s="19" t="str">
        <x:v>EXECUTABLE_NGRAM</x:v>
      </x:c>
      <x:c r="E39" s="31" t="str">
        <x:v>COMPATIBLE</x:v>
      </x:c>
      <x:c r="F39" s="55" t="b">
        <x:v>1</x:v>
      </x:c>
      <x:c r="G39" s="31" t="str">
        <x:v>SUCCEEDED</x:v>
      </x:c>
      <x:c r="H39" s="25" t="str">
        <x:v>SUCCESS_NONZERO</x:v>
      </x:c>
      <x:c r="I39" s="25" t="n">
        <x:v>181</x:v>
      </x:c>
      <x:c r="J39" s="31" t="str">
        <x:v>average rate</x:v>
      </x:c>
      <x:c r="K39" s="19" t="str">
        <x:v>average rate (All)</x:v>
      </x:c>
      <x:c r="L39" s="31" t="str">
        <x:v>Compatible exact string/phrase for unsmoothed public Ngram retrieval (current interface supports up to seven words).</x:v>
      </x:c>
      <x:c r="M39" s="19" t="n">
        <x:v>46260.107199074075</x:v>
      </x:c>
      <x:c r="N39" s="31" t="str">
        <x:v>data/fear-temperature/ngram/raw/e427f2da752395cacbd7c32fdf3f8f75639075e807d2631a0c0fc4f137209b9f.json</x:v>
      </x:c>
      <x:c r="O39" s="43" t="str">
        <x:v>RECONSTRUCTED_FROM_REPORT</x:v>
      </x:c>
    </x:row>
    <x:row r="40" ht="27" customHeight="1">
      <x:c r="A40" s="18" t="str">
        <x:v>FT-Q-V01-036</x:v>
      </x:c>
      <x:c r="B40" s="19" t="str">
        <x:v>1938</x:v>
      </x:c>
      <x:c r="C40" s="31" t="str">
        <x:v>small increases in mean temperature</x:v>
      </x:c>
      <x:c r="D40" s="19" t="str">
        <x:v>EXECUTABLE_NGRAM</x:v>
      </x:c>
      <x:c r="E40" s="31" t="str">
        <x:v>COMPATIBLE</x:v>
      </x:c>
      <x:c r="F40" s="55" t="b">
        <x:v>1</x:v>
      </x:c>
      <x:c r="G40" s="31" t="str">
        <x:v>ZERO_RESULT</x:v>
      </x:c>
      <x:c r="H40" s="25" t="str">
        <x:v>ZERO_RESULT</x:v>
      </x:c>
      <x:c r="I40" s="25" t="n">
        <x:v>0</x:v>
      </x:c>
      <x:c r="J40" s="31" t="str">
        <x:v>small increases in mean temperature</x:v>
      </x:c>
      <x:c r="K40" s="19" t="str">
        <x:v>NOT_APPLICABLE</x:v>
      </x:c>
      <x:c r="L40" s="31" t="str">
        <x:v>Compatible exact string/phrase for unsmoothed public Ngram retrieval (current interface supports up to seven words).</x:v>
      </x:c>
      <x:c r="M40" s="19" t="n">
        <x:v>46260.107199074075</x:v>
      </x:c>
      <x:c r="N40" s="31" t="str">
        <x:v>data/fear-temperature/ngram/raw/d6d0759da43a3f360d038f003e572d16c77ddbfc718996d3d12107850601cb5e.json</x:v>
      </x:c>
      <x:c r="O40" s="43" t="str">
        <x:v>RECONSTRUCTED_FROM_REPORT</x:v>
      </x:c>
    </x:row>
    <x:row r="41" ht="27" customHeight="1">
      <x:c r="A41" s="18" t="str">
        <x:v>FT-Q-V01-037</x:v>
      </x:c>
      <x:c r="B41" s="19" t="str">
        <x:v>1938</x:v>
      </x:c>
      <x:c r="C41" s="31" t="str">
        <x:v>deadly glaciers</x:v>
      </x:c>
      <x:c r="D41" s="19" t="str">
        <x:v>EXECUTABLE_NGRAM</x:v>
      </x:c>
      <x:c r="E41" s="31" t="str">
        <x:v>COMPATIBLE</x:v>
      </x:c>
      <x:c r="F41" s="55" t="b">
        <x:v>1</x:v>
      </x:c>
      <x:c r="G41" s="31" t="str">
        <x:v>SUCCEEDED</x:v>
      </x:c>
      <x:c r="H41" s="25" t="str">
        <x:v>SUCCESS_NONZERO</x:v>
      </x:c>
      <x:c r="I41" s="25" t="n">
        <x:v>181</x:v>
      </x:c>
      <x:c r="J41" s="31" t="str">
        <x:v>deadly glaciers</x:v>
      </x:c>
      <x:c r="K41" s="19" t="str">
        <x:v>deadly glaciers</x:v>
      </x:c>
      <x:c r="L41" s="31" t="str">
        <x:v>Compatible exact string/phrase for unsmoothed public Ngram retrieval (current interface supports up to seven words).</x:v>
      </x:c>
      <x:c r="M41" s="19" t="n">
        <x:v>46260.10721064815</x:v>
      </x:c>
      <x:c r="N41" s="31" t="str">
        <x:v>data/fear-temperature/ngram/raw/acd1c78d49da2b3a6c3ef64dbd5a9c1d23715156d453753d86190a592a0bf21f.json</x:v>
      </x:c>
      <x:c r="O41" s="43" t="str">
        <x:v>RECONSTRUCTED_FROM_REPORT</x:v>
      </x:c>
    </x:row>
    <x:row r="42" ht="27" customHeight="1">
      <x:c r="A42" s="18" t="str">
        <x:v>FT-Q-V01-038</x:v>
      </x:c>
      <x:c r="B42" s="19" t="str">
        <x:v>1938</x:v>
      </x:c>
      <x:c r="C42" s="31" t="str">
        <x:v>rather a coincidence</x:v>
      </x:c>
      <x:c r="D42" s="19" t="str">
        <x:v>EXECUTABLE_NGRAM</x:v>
      </x:c>
      <x:c r="E42" s="31" t="str">
        <x:v>COMPATIBLE</x:v>
      </x:c>
      <x:c r="F42" s="55" t="b">
        <x:v>1</x:v>
      </x:c>
      <x:c r="G42" s="31" t="str">
        <x:v>SUCCEEDED</x:v>
      </x:c>
      <x:c r="H42" s="25" t="str">
        <x:v>SUCCESS_NONZERO</x:v>
      </x:c>
      <x:c r="I42" s="25" t="n">
        <x:v>181</x:v>
      </x:c>
      <x:c r="J42" s="31" t="str">
        <x:v>rather a coincidence</x:v>
      </x:c>
      <x:c r="K42" s="19" t="str">
        <x:v>rather a coincidence (All)</x:v>
      </x:c>
      <x:c r="L42" s="31" t="str">
        <x:v>Compatible exact string/phrase for unsmoothed public Ngram retrieval (current interface supports up to seven words).</x:v>
      </x:c>
      <x:c r="M42" s="19" t="n">
        <x:v>46260.10722222222</x:v>
      </x:c>
      <x:c r="N42" s="31" t="str">
        <x:v>data/fear-temperature/ngram/raw/bca4b0be62a4f63b3d0e7919b771c514c52a4bdc627ec3a3afe9095da1caf1ba.json</x:v>
      </x:c>
      <x:c r="O42" s="43" t="str">
        <x:v>RECONSTRUCTED_FROM_REPORT</x:v>
      </x:c>
    </x:row>
    <x:row r="43" ht="27" customHeight="1">
      <x:c r="A43" s="18" t="str">
        <x:v>FT-Q-V01-039</x:v>
      </x:c>
      <x:c r="B43" s="19" t="str">
        <x:v>1938</x:v>
      </x:c>
      <x:c r="C43" s="31" t="str">
        <x:v>Hottest Day for Ten Years</x:v>
      </x:c>
      <x:c r="D43" s="19" t="str">
        <x:v>EXECUTABLE_NGRAM</x:v>
      </x:c>
      <x:c r="E43" s="31" t="str">
        <x:v>COMPATIBLE</x:v>
      </x:c>
      <x:c r="F43" s="55" t="b">
        <x:v>1</x:v>
      </x:c>
      <x:c r="G43" s="31" t="str">
        <x:v>ZERO_RESULT</x:v>
      </x:c>
      <x:c r="H43" s="25" t="str">
        <x:v>ZERO_RESULT</x:v>
      </x:c>
      <x:c r="I43" s="25" t="n">
        <x:v>0</x:v>
      </x:c>
      <x:c r="J43" s="31" t="str">
        <x:v>Hottest Day for Ten Years</x:v>
      </x:c>
      <x:c r="K43" s="19" t="str">
        <x:v>NOT_APPLICABLE</x:v>
      </x:c>
      <x:c r="L43" s="31" t="str">
        <x:v>Compatible exact string/phrase for unsmoothed public Ngram retrieval (current interface supports up to seven words).</x:v>
      </x:c>
      <x:c r="M43" s="19" t="n">
        <x:v>46260.1072337963</x:v>
      </x:c>
      <x:c r="N43" s="31" t="str">
        <x:v>data/fear-temperature/ngram/raw/7c1cabc675b2da12af25d48ca83988bcbc1381ceee50bb7b5e8500626cbe9b00.json</x:v>
      </x:c>
      <x:c r="O43" s="43" t="str">
        <x:v>RECONSTRUCTED_FROM_REPORT</x:v>
      </x:c>
    </x:row>
    <x:row r="44" ht="27" customHeight="1">
      <x:c r="A44" s="18" t="str">
        <x:v>FT-Q-V01-040</x:v>
      </x:c>
      <x:c r="B44" s="19" t="str">
        <x:v>1938</x:v>
      </x:c>
      <x:c r="C44" s="31" t="str">
        <x:v>Heat Wave Over Queensland</x:v>
      </x:c>
      <x:c r="D44" s="19" t="str">
        <x:v>EXECUTABLE_NGRAM</x:v>
      </x:c>
      <x:c r="E44" s="31" t="str">
        <x:v>COMPATIBLE</x:v>
      </x:c>
      <x:c r="F44" s="55" t="b">
        <x:v>1</x:v>
      </x:c>
      <x:c r="G44" s="31" t="str">
        <x:v>ZERO_RESULT</x:v>
      </x:c>
      <x:c r="H44" s="25" t="str">
        <x:v>ZERO_RESULT</x:v>
      </x:c>
      <x:c r="I44" s="25" t="n">
        <x:v>0</x:v>
      </x:c>
      <x:c r="J44" s="31" t="str">
        <x:v>Heat Wave Over Queensland</x:v>
      </x:c>
      <x:c r="K44" s="19" t="str">
        <x:v>NOT_APPLICABLE</x:v>
      </x:c>
      <x:c r="L44" s="31" t="str">
        <x:v>Compatible exact string/phrase for unsmoothed public Ngram retrieval (current interface supports up to seven words).</x:v>
      </x:c>
      <x:c r="M44" s="19" t="n">
        <x:v>46260.10724537037</x:v>
      </x:c>
      <x:c r="N44" s="31" t="str">
        <x:v>data/fear-temperature/ngram/raw/ff4de47b36b0ffff4f03545db968f819af528c6de47ea4be4984876b37550a41.json</x:v>
      </x:c>
      <x:c r="O44" s="43" t="str">
        <x:v>RECONSTRUCTED_FROM_REPORT</x:v>
      </x:c>
    </x:row>
    <x:row r="45" ht="27" customHeight="1">
      <x:c r="A45" s="18" t="str">
        <x:v>FT-Q-V01-041</x:v>
      </x:c>
      <x:c r="B45" s="19" t="str">
        <x:v>1988</x:v>
      </x:c>
      <x:c r="C45" s="31" t="str">
        <x:v>greenhouse effect</x:v>
      </x:c>
      <x:c r="D45" s="19" t="str">
        <x:v>EXECUTABLE_NGRAM</x:v>
      </x:c>
      <x:c r="E45" s="31" t="str">
        <x:v>COMPATIBLE</x:v>
      </x:c>
      <x:c r="F45" s="55" t="b">
        <x:v>1</x:v>
      </x:c>
      <x:c r="G45" s="31" t="str">
        <x:v>SUCCEEDED</x:v>
      </x:c>
      <x:c r="H45" s="25" t="str">
        <x:v>SUCCESS_NONZERO</x:v>
      </x:c>
      <x:c r="I45" s="25" t="n">
        <x:v>181</x:v>
      </x:c>
      <x:c r="J45" s="31" t="str">
        <x:v>greenhouse effect</x:v>
      </x:c>
      <x:c r="K45" s="19" t="str">
        <x:v>greenhouse effect (All)</x:v>
      </x:c>
      <x:c r="L45" s="31" t="str">
        <x:v>Compatible exact string/phrase for unsmoothed public Ngram retrieval (current interface supports up to seven words).</x:v>
      </x:c>
      <x:c r="M45" s="19" t="n">
        <x:v>46260.10724537037</x:v>
      </x:c>
      <x:c r="N45" s="31" t="str">
        <x:v>data/fear-temperature/ngram/raw/205959f263c8ae6824e66753a55df505e51b40905b28c4cb916bd1952aea4bdb.json</x:v>
      </x:c>
      <x:c r="O45" s="43" t="str">
        <x:v>RECONSTRUCTED_FROM_REPORT</x:v>
      </x:c>
    </x:row>
    <x:row r="46" ht="27" customHeight="1">
      <x:c r="A46" s="18" t="str">
        <x:v>FT-Q-V01-042</x:v>
      </x:c>
      <x:c r="B46" s="19" t="str">
        <x:v>1988</x:v>
      </x:c>
      <x:c r="C46" s="31" t="str">
        <x:v>global warming</x:v>
      </x:c>
      <x:c r="D46" s="19" t="str">
        <x:v>EXECUTABLE_NGRAM</x:v>
      </x:c>
      <x:c r="E46" s="31" t="str">
        <x:v>COMPATIBLE</x:v>
      </x:c>
      <x:c r="F46" s="55" t="b">
        <x:v>1</x:v>
      </x:c>
      <x:c r="G46" s="31" t="str">
        <x:v>SUCCEEDED</x:v>
      </x:c>
      <x:c r="H46" s="25" t="str">
        <x:v>SUCCESS_NONZERO</x:v>
      </x:c>
      <x:c r="I46" s="25" t="n">
        <x:v>181</x:v>
      </x:c>
      <x:c r="J46" s="31" t="str">
        <x:v>global warming</x:v>
      </x:c>
      <x:c r="K46" s="19" t="str">
        <x:v>global warming (All)</x:v>
      </x:c>
      <x:c r="L46" s="31" t="str">
        <x:v>Compatible exact string/phrase for unsmoothed public Ngram retrieval (current interface supports up to seven words).</x:v>
      </x:c>
      <x:c r="M46" s="19" t="n">
        <x:v>46260.107256944444</x:v>
      </x:c>
      <x:c r="N46" s="31" t="str">
        <x:v>data/fear-temperature/ngram/raw/e982c3b5d6e77fc759f19bb2931d892bfaa9221ade4a44977579a8d5a8afab71.json</x:v>
      </x:c>
      <x:c r="O46" s="43" t="str">
        <x:v>RECONSTRUCTED_FROM_REPORT</x:v>
      </x:c>
    </x:row>
    <x:row r="47" ht="27" customHeight="1">
      <x:c r="A47" s="18" t="str">
        <x:v>FT-Q-V01-043</x:v>
      </x:c>
      <x:c r="B47" s="19" t="str">
        <x:v>1988</x:v>
      </x:c>
      <x:c r="C47" s="31" t="str">
        <x:v>earth is warmer</x:v>
      </x:c>
      <x:c r="D47" s="19" t="str">
        <x:v>EXECUTABLE_NGRAM</x:v>
      </x:c>
      <x:c r="E47" s="31" t="str">
        <x:v>COMPATIBLE</x:v>
      </x:c>
      <x:c r="F47" s="55" t="b">
        <x:v>1</x:v>
      </x:c>
      <x:c r="G47" s="31" t="str">
        <x:v>SUCCEEDED</x:v>
      </x:c>
      <x:c r="H47" s="25" t="str">
        <x:v>SUCCESS_NONZERO</x:v>
      </x:c>
      <x:c r="I47" s="25" t="n">
        <x:v>181</x:v>
      </x:c>
      <x:c r="J47" s="31" t="str">
        <x:v>earth is warmer</x:v>
      </x:c>
      <x:c r="K47" s="19" t="str">
        <x:v>earth is warmer (All)</x:v>
      </x:c>
      <x:c r="L47" s="31" t="str">
        <x:v>Compatible exact string/phrase for unsmoothed public Ngram retrieval (current interface supports up to seven words).</x:v>
      </x:c>
      <x:c r="M47" s="19" t="n">
        <x:v>46260.10726851852</x:v>
      </x:c>
      <x:c r="N47" s="31" t="str">
        <x:v>data/fear-temperature/ngram/raw/ae93b0533e9e2ca24d879c60ebc4c416dc7f4834ae02aa0e97387d0fc291a9d5.json</x:v>
      </x:c>
      <x:c r="O47" s="43" t="str">
        <x:v>RECONSTRUCTED_FROM_REPORT</x:v>
      </x:c>
    </x:row>
    <x:row r="48" ht="27" customHeight="1">
      <x:c r="A48" s="18" t="str">
        <x:v>FT-Q-V01-044</x:v>
      </x:c>
      <x:c r="B48" s="19" t="str">
        <x:v>1988</x:v>
      </x:c>
      <x:c r="C48" s="31" t="str">
        <x:v>instrumental measurements</x:v>
      </x:c>
      <x:c r="D48" s="19" t="str">
        <x:v>EXECUTABLE_NGRAM</x:v>
      </x:c>
      <x:c r="E48" s="31" t="str">
        <x:v>COMPATIBLE</x:v>
      </x:c>
      <x:c r="F48" s="55" t="b">
        <x:v>1</x:v>
      </x:c>
      <x:c r="G48" s="31" t="str">
        <x:v>SUCCEEDED</x:v>
      </x:c>
      <x:c r="H48" s="25" t="str">
        <x:v>SUCCESS_NONZERO</x:v>
      </x:c>
      <x:c r="I48" s="25" t="n">
        <x:v>181</x:v>
      </x:c>
      <x:c r="J48" s="31" t="str">
        <x:v>instrumental measurements</x:v>
      </x:c>
      <x:c r="K48" s="19" t="str">
        <x:v>instrumental measurements (All)</x:v>
      </x:c>
      <x:c r="L48" s="31" t="str">
        <x:v>Compatible exact string/phrase for unsmoothed public Ngram retrieval (current interface supports up to seven words).</x:v>
      </x:c>
      <x:c r="M48" s="19" t="n">
        <x:v>46260.10728009259</x:v>
      </x:c>
      <x:c r="N48" s="31" t="str">
        <x:v>data/fear-temperature/ngram/raw/c3041954c2284cf34bcd5a29020d6fdb5062957ed9d066a23d0fa6dec11d5477.json</x:v>
      </x:c>
      <x:c r="O48" s="43" t="str">
        <x:v>RECONSTRUCTED_FROM_REPORT</x:v>
      </x:c>
    </x:row>
    <x:row r="49" ht="27" customHeight="1">
      <x:c r="A49" s="18" t="str">
        <x:v>FT-Q-V01-045</x:v>
      </x:c>
      <x:c r="B49" s="19" t="str">
        <x:v>1988</x:v>
      </x:c>
      <x:c r="C49" s="31" t="str">
        <x:v>cause-and-effect relationship</x:v>
      </x:c>
      <x:c r="D49" s="19" t="str">
        <x:v>EXECUTABLE_NGRAM</x:v>
      </x:c>
      <x:c r="E49" s="31" t="str">
        <x:v>COMPATIBLE</x:v>
      </x:c>
      <x:c r="F49" s="55" t="b">
        <x:v>1</x:v>
      </x:c>
      <x:c r="G49" s="31" t="str">
        <x:v>SUCCEEDED</x:v>
      </x:c>
      <x:c r="H49" s="25" t="str">
        <x:v>SUCCESS_NONZERO</x:v>
      </x:c>
      <x:c r="I49" s="25" t="n">
        <x:v>181</x:v>
      </x:c>
      <x:c r="J49" s="31" t="str">
        <x:v>cause-and-effect relationship</x:v>
      </x:c>
      <x:c r="K49" s="19" t="str">
        <x:v>cause - and - effect relationship (All)</x:v>
      </x:c>
      <x:c r="L49" s="31" t="str">
        <x:v>Compatible exact string/phrase for unsmoothed public Ngram retrieval (current interface supports up to seven words).</x:v>
      </x:c>
      <x:c r="M49" s="19" t="n">
        <x:v>46260.10729166667</x:v>
      </x:c>
      <x:c r="N49" s="31" t="str">
        <x:v>data/fear-temperature/ngram/raw/e8efe8017919981d401ccd71f2302b528ff86d0e6a69149a56ed3d7dde862bfc.json</x:v>
      </x:c>
      <x:c r="O49" s="43" t="str">
        <x:v>RECONSTRUCTED_FROM_REPORT</x:v>
      </x:c>
    </x:row>
    <x:row r="50" ht="27" customHeight="1">
      <x:c r="A50" s="18" t="str">
        <x:v>FT-Q-V01-046</x:v>
      </x:c>
      <x:c r="B50" s="19" t="str">
        <x:v>1988</x:v>
      </x:c>
      <x:c r="C50" s="31" t="str">
        <x:v>global temperature</x:v>
      </x:c>
      <x:c r="D50" s="19" t="str">
        <x:v>EXECUTABLE_NGRAM</x:v>
      </x:c>
      <x:c r="E50" s="31" t="str">
        <x:v>COMPATIBLE</x:v>
      </x:c>
      <x:c r="F50" s="55" t="b">
        <x:v>1</x:v>
      </x:c>
      <x:c r="G50" s="31" t="str">
        <x:v>SUCCEEDED</x:v>
      </x:c>
      <x:c r="H50" s="25" t="str">
        <x:v>SUCCESS_NONZERO</x:v>
      </x:c>
      <x:c r="I50" s="25" t="n">
        <x:v>181</x:v>
      </x:c>
      <x:c r="J50" s="31" t="str">
        <x:v>global temperature</x:v>
      </x:c>
      <x:c r="K50" s="19" t="str">
        <x:v>global temperature (All)</x:v>
      </x:c>
      <x:c r="L50" s="31" t="str">
        <x:v>Compatible exact string/phrase for unsmoothed public Ngram retrieval (current interface supports up to seven words).</x:v>
      </x:c>
      <x:c r="M50" s="19" t="n">
        <x:v>46260.10729166667</x:v>
      </x:c>
      <x:c r="N50" s="31" t="str">
        <x:v>data/fear-temperature/ngram/raw/9d665931c5878a5de16bd731767c2e6571f77c1eb6e01bf9fa50497db3ebbd93.json</x:v>
      </x:c>
      <x:c r="O50" s="43" t="str">
        <x:v>RECONSTRUCTED_FROM_REPORT</x:v>
      </x:c>
    </x:row>
    <x:row r="51" ht="27" customHeight="1">
      <x:c r="A51" s="18" t="str">
        <x:v>FT-Q-V01-047</x:v>
      </x:c>
      <x:c r="B51" s="19" t="str">
        <x:v>1988</x:v>
      </x:c>
      <x:c r="C51" s="31" t="str">
        <x:v>regional heat waves</x:v>
      </x:c>
      <x:c r="D51" s="19" t="str">
        <x:v>EXECUTABLE_NGRAM</x:v>
      </x:c>
      <x:c r="E51" s="31" t="str">
        <x:v>COMPATIBLE</x:v>
      </x:c>
      <x:c r="F51" s="55" t="b">
        <x:v>1</x:v>
      </x:c>
      <x:c r="G51" s="31" t="str">
        <x:v>SUCCEEDED</x:v>
      </x:c>
      <x:c r="H51" s="25" t="str">
        <x:v>SUCCESS_NONZERO</x:v>
      </x:c>
      <x:c r="I51" s="25" t="n">
        <x:v>181</x:v>
      </x:c>
      <x:c r="J51" s="31" t="str">
        <x:v>regional heat waves</x:v>
      </x:c>
      <x:c r="K51" s="19" t="str">
        <x:v>regional heat waves (All)</x:v>
      </x:c>
      <x:c r="L51" s="31" t="str">
        <x:v>Compatible exact string/phrase for unsmoothed public Ngram retrieval (current interface supports up to seven words).</x:v>
      </x:c>
      <x:c r="M51" s="19" t="n">
        <x:v>46260.107303240744</x:v>
      </x:c>
      <x:c r="N51" s="31" t="str">
        <x:v>data/fear-temperature/ngram/raw/9937ebec5dbc305d8752f541539d2c1d1521c4688bdf38c7075d02cee934d6b0.json</x:v>
      </x:c>
      <x:c r="O51" s="43" t="str">
        <x:v>RECONSTRUCTED_FROM_REPORT</x:v>
      </x:c>
    </x:row>
    <x:row r="52" ht="27" customHeight="1">
      <x:c r="A52" s="18" t="str">
        <x:v>FT-Q-V01-048</x:v>
      </x:c>
      <x:c r="B52" s="19" t="str">
        <x:v>1988</x:v>
      </x:c>
      <x:c r="C52" s="31" t="str">
        <x:v>heat wave</x:v>
      </x:c>
      <x:c r="D52" s="19" t="str">
        <x:v>EXECUTABLE_NGRAM</x:v>
      </x:c>
      <x:c r="E52" s="31" t="str">
        <x:v>COMPATIBLE</x:v>
      </x:c>
      <x:c r="F52" s="55" t="b">
        <x:v>1</x:v>
      </x:c>
      <x:c r="G52" s="31" t="str">
        <x:v>SUCCEEDED</x:v>
      </x:c>
      <x:c r="H52" s="25" t="str">
        <x:v>SUCCESS_NONZERO</x:v>
      </x:c>
      <x:c r="I52" s="25" t="n">
        <x:v>181</x:v>
      </x:c>
      <x:c r="J52" s="31" t="str">
        <x:v>heat wave</x:v>
      </x:c>
      <x:c r="K52" s="19" t="str">
        <x:v>heat wave (All)</x:v>
      </x:c>
      <x:c r="L52" s="31" t="str">
        <x:v>Compatible exact string/phrase for unsmoothed public Ngram retrieval (current interface supports up to seven words).</x:v>
      </x:c>
      <x:c r="M52" s="19" t="n">
        <x:v>46260.10731481481</x:v>
      </x:c>
      <x:c r="N52" s="31" t="str">
        <x:v>data/fear-temperature/ngram/raw/306e212ec9cdb980f5e1f91f3e6734e7998c99820aa93fd4a8109533d1676f5a.json</x:v>
      </x:c>
      <x:c r="O52" s="43" t="str">
        <x:v>RECONSTRUCTED_FROM_REPORT</x:v>
      </x:c>
    </x:row>
    <x:row r="53" ht="27" customHeight="1">
      <x:c r="A53" s="18" t="str">
        <x:v>FT-Q-V01-049</x:v>
      </x:c>
      <x:c r="B53" s="19" t="str">
        <x:v>1988</x:v>
      </x:c>
      <x:c r="C53" s="31" t="str">
        <x:v>drought</x:v>
      </x:c>
      <x:c r="D53" s="19" t="str">
        <x:v>BACKGROUND_AMBIGUOUS</x:v>
      </x:c>
      <x:c r="E53" s="31" t="str">
        <x:v>COMPATIBLE</x:v>
      </x:c>
      <x:c r="F53" s="55" t="b">
        <x:v>1</x:v>
      </x:c>
      <x:c r="G53" s="31" t="str">
        <x:v>SUCCEEDED</x:v>
      </x:c>
      <x:c r="H53" s="25" t="str">
        <x:v>SUCCESS_NONZERO</x:v>
      </x:c>
      <x:c r="I53" s="25" t="n">
        <x:v>181</x:v>
      </x:c>
      <x:c r="J53" s="31" t="str">
        <x:v>drought</x:v>
      </x:c>
      <x:c r="K53" s="19" t="str">
        <x:v>drought (All)</x:v>
      </x:c>
      <x:c r="L53" s="31" t="str">
        <x:v>Compatible exact string/phrase for unsmoothed public Ngram retrieval (current interface supports up to seven words).</x:v>
      </x:c>
      <x:c r="M53" s="19" t="n">
        <x:v>46260.10732638889</x:v>
      </x:c>
      <x:c r="N53" s="31" t="str">
        <x:v>data/fear-temperature/ngram/raw/a3bdefd3e410e2b0f75ef6e82328b0b053a2b9a4d162237384d67e405f89fe96.json</x:v>
      </x:c>
      <x:c r="O53" s="43" t="str">
        <x:v>RECONSTRUCTED_FROM_REPORT</x:v>
      </x:c>
    </x:row>
    <x:row r="54" ht="27" customHeight="1">
      <x:c r="A54" s="18" t="str">
        <x:v>FT-Q-V01-050</x:v>
      </x:c>
      <x:c r="B54" s="19" t="str">
        <x:v>1988</x:v>
      </x:c>
      <x:c r="C54" s="31" t="str">
        <x:v>heat wave/drought occurrences</x:v>
      </x:c>
      <x:c r="D54" s="19" t="str">
        <x:v>EXECUTABLE_CORPUS_ONLY</x:v>
      </x:c>
      <x:c r="E54" s="31" t="str">
        <x:v>STRUCTURALLY_UNSUPPORTED</x:v>
      </x:c>
      <x:c r="F54" s="55" t="b">
        <x:v>0</x:v>
      </x:c>
      <x:c r="G54" s="31" t="str">
        <x:v>NOT_RUN_INCOMPATIBLE</x:v>
      </x:c>
      <x:c r="H54" s="25" t="str">
        <x:v>TECHNICALLY_UNREPRESENTABLE</x:v>
      </x:c>
      <x:c r="I54" s="25" t="n">
        <x:v>0</x:v>
      </x:c>
      <x:c r="J54" s="31" t="str">
        <x:v>heat wave/drought occurrences</x:v>
      </x:c>
      <x:c r="K54" s="19" t="str">
        <x:v>NOT_APPLICABLE</x:v>
      </x:c>
      <x:c r="L54" s="31" t="str">
        <x:v>Slash construction is not a defensible isolated Ngram phrase.</x:v>
      </x:c>
      <x:c r="M54" s="19" t="str">
        <x:v>NOT_APPLICABLE</x:v>
      </x:c>
      <x:c r="N54" s="31" t="str">
        <x:v>NOT_APPLICABLE</x:v>
      </x:c>
      <x:c r="O54" s="43" t="str">
        <x:v>RECONSTRUCTED_FROM_REPORT</x:v>
      </x:c>
    </x:row>
    <x:row r="55" ht="27" customHeight="1">
      <x:c r="A55" s="18" t="str">
        <x:v>FT-Q-V01-051</x:v>
      </x:c>
      <x:c r="B55" s="19" t="str">
        <x:v>1988</x:v>
      </x:c>
      <x:c r="C55" s="31" t="str">
        <x:v>extreme events</x:v>
      </x:c>
      <x:c r="D55" s="19" t="str">
        <x:v>EXECUTABLE_NGRAM</x:v>
      </x:c>
      <x:c r="E55" s="31" t="str">
        <x:v>COMPATIBLE</x:v>
      </x:c>
      <x:c r="F55" s="55" t="b">
        <x:v>1</x:v>
      </x:c>
      <x:c r="G55" s="31" t="str">
        <x:v>SUCCEEDED</x:v>
      </x:c>
      <x:c r="H55" s="25" t="str">
        <x:v>SUCCESS_NONZERO</x:v>
      </x:c>
      <x:c r="I55" s="25" t="n">
        <x:v>181</x:v>
      </x:c>
      <x:c r="J55" s="31" t="str">
        <x:v>extreme events</x:v>
      </x:c>
      <x:c r="K55" s="19" t="str">
        <x:v>extreme events (All)</x:v>
      </x:c>
      <x:c r="L55" s="31" t="str">
        <x:v>Compatible exact string/phrase for unsmoothed public Ngram retrieval (current interface supports up to seven words).</x:v>
      </x:c>
      <x:c r="M55" s="19" t="n">
        <x:v>46260.10733796296</x:v>
      </x:c>
      <x:c r="N55" s="31" t="str">
        <x:v>data/fear-temperature/ngram/raw/2f8cbf9b55aae32ec25fe5c485850b9461d5296a85a191304d2d582edd1a8448.json</x:v>
      </x:c>
      <x:c r="O55" s="43" t="str">
        <x:v>RECONSTRUCTED_FROM_REPORT</x:v>
      </x:c>
    </x:row>
    <x:row r="56" ht="27" customHeight="1">
      <x:c r="A56" s="18" t="str">
        <x:v>FT-Q-V01-052</x:v>
      </x:c>
      <x:c r="B56" s="19" t="str">
        <x:v>1988</x:v>
      </x:c>
      <x:c r="C56" s="31" t="str">
        <x:v>global climate models</x:v>
      </x:c>
      <x:c r="D56" s="19" t="str">
        <x:v>EXECUTABLE_NGRAM</x:v>
      </x:c>
      <x:c r="E56" s="31" t="str">
        <x:v>COMPATIBLE</x:v>
      </x:c>
      <x:c r="F56" s="55" t="b">
        <x:v>1</x:v>
      </x:c>
      <x:c r="G56" s="31" t="str">
        <x:v>SUCCEEDED</x:v>
      </x:c>
      <x:c r="H56" s="25" t="str">
        <x:v>SUCCESS_NONZERO</x:v>
      </x:c>
      <x:c r="I56" s="25" t="n">
        <x:v>181</x:v>
      </x:c>
      <x:c r="J56" s="31" t="str">
        <x:v>global climate models</x:v>
      </x:c>
      <x:c r="K56" s="19" t="str">
        <x:v>global climate models (All)</x:v>
      </x:c>
      <x:c r="L56" s="31" t="str">
        <x:v>Compatible exact string/phrase for unsmoothed public Ngram retrieval (current interface supports up to seven words).</x:v>
      </x:c>
      <x:c r="M56" s="19" t="n">
        <x:v>46260.10733796296</x:v>
      </x:c>
      <x:c r="N56" s="31" t="str">
        <x:v>data/fear-temperature/ngram/raw/804d613b38ca8ff6fa01fb2e1f4e6d91e7b874a9e4472af082eb9e1155863731.json</x:v>
      </x:c>
      <x:c r="O56" s="43" t="str">
        <x:v>RECONSTRUCTED_FROM_REPORT</x:v>
      </x:c>
    </x:row>
    <x:row r="57" ht="27" customHeight="1">
      <x:c r="A57" s="18" t="str">
        <x:v>FT-Q-V01-053</x:v>
      </x:c>
      <x:c r="B57" s="19" t="str">
        <x:v>1988</x:v>
      </x:c>
      <x:c r="C57" s="31" t="str">
        <x:v>global observations</x:v>
      </x:c>
      <x:c r="D57" s="19" t="str">
        <x:v>EXECUTABLE_NGRAM</x:v>
      </x:c>
      <x:c r="E57" s="31" t="str">
        <x:v>COMPATIBLE</x:v>
      </x:c>
      <x:c r="F57" s="55" t="b">
        <x:v>1</x:v>
      </x:c>
      <x:c r="G57" s="31" t="str">
        <x:v>SUCCEEDED</x:v>
      </x:c>
      <x:c r="H57" s="25" t="str">
        <x:v>SUCCESS_NONZERO</x:v>
      </x:c>
      <x:c r="I57" s="25" t="n">
        <x:v>181</x:v>
      </x:c>
      <x:c r="J57" s="31" t="str">
        <x:v>global observations</x:v>
      </x:c>
      <x:c r="K57" s="19" t="str">
        <x:v>global observations (All)</x:v>
      </x:c>
      <x:c r="L57" s="31" t="str">
        <x:v>Compatible exact string/phrase for unsmoothed public Ngram retrieval (current interface supports up to seven words).</x:v>
      </x:c>
      <x:c r="M57" s="19" t="n">
        <x:v>46260.10734953704</x:v>
      </x:c>
      <x:c r="N57" s="31" t="str">
        <x:v>data/fear-temperature/ngram/raw/d002a730e85fdef3f5ec37960af0518814de2fb4a5adf229395a737b937a15d9.json</x:v>
      </x:c>
      <x:c r="O57" s="43" t="str">
        <x:v>RECONSTRUCTED_FROM_REPORT</x:v>
      </x:c>
    </x:row>
    <x:row r="58" ht="27" customHeight="1">
      <x:c r="A58" s="18" t="str">
        <x:v>FT-Q-V01-054</x:v>
      </x:c>
      <x:c r="B58" s="19" t="str">
        <x:v>1988</x:v>
      </x:c>
      <x:c r="C58" s="31" t="str">
        <x:v>warm air</x:v>
      </x:c>
      <x:c r="D58" s="19" t="str">
        <x:v>EXECUTABLE_NGRAM</x:v>
      </x:c>
      <x:c r="E58" s="31" t="str">
        <x:v>COMPATIBLE</x:v>
      </x:c>
      <x:c r="F58" s="55" t="b">
        <x:v>1</x:v>
      </x:c>
      <x:c r="G58" s="31" t="str">
        <x:v>SUCCEEDED</x:v>
      </x:c>
      <x:c r="H58" s="25" t="str">
        <x:v>SUCCESS_NONZERO</x:v>
      </x:c>
      <x:c r="I58" s="25" t="n">
        <x:v>181</x:v>
      </x:c>
      <x:c r="J58" s="31" t="str">
        <x:v>warm air</x:v>
      </x:c>
      <x:c r="K58" s="19" t="str">
        <x:v>warm air (All)</x:v>
      </x:c>
      <x:c r="L58" s="31" t="str">
        <x:v>Compatible exact string/phrase for unsmoothed public Ngram retrieval (current interface supports up to seven words).</x:v>
      </x:c>
      <x:c r="M58" s="19" t="n">
        <x:v>46260.10736111111</x:v>
      </x:c>
      <x:c r="N58" s="31" t="str">
        <x:v>data/fear-temperature/ngram/raw/815c60311238a418153e263ec5d032bdb11f2ad98f6938675e0f2291e0d31283.json</x:v>
      </x:c>
      <x:c r="O58" s="43" t="str">
        <x:v>RECONSTRUCTED_FROM_REPORT</x:v>
      </x:c>
    </x:row>
    <x:row r="59" ht="27" customHeight="1">
      <x:c r="A59" s="18" t="str">
        <x:v>FT-Q-V01-055</x:v>
      </x:c>
      <x:c r="B59" s="19" t="str">
        <x:v>1988</x:v>
      </x:c>
      <x:c r="C59" s="31" t="str">
        <x:v>changing atmosphere</x:v>
      </x:c>
      <x:c r="D59" s="19" t="str">
        <x:v>EXECUTABLE_NGRAM</x:v>
      </x:c>
      <x:c r="E59" s="31" t="str">
        <x:v>COMPATIBLE</x:v>
      </x:c>
      <x:c r="F59" s="55" t="b">
        <x:v>1</x:v>
      </x:c>
      <x:c r="G59" s="31" t="str">
        <x:v>SUCCEEDED</x:v>
      </x:c>
      <x:c r="H59" s="25" t="str">
        <x:v>SUCCESS_NONZERO</x:v>
      </x:c>
      <x:c r="I59" s="25" t="n">
        <x:v>181</x:v>
      </x:c>
      <x:c r="J59" s="31" t="str">
        <x:v>changing atmosphere</x:v>
      </x:c>
      <x:c r="K59" s="19" t="str">
        <x:v>changing atmosphere (All)</x:v>
      </x:c>
      <x:c r="L59" s="31" t="str">
        <x:v>Compatible exact string/phrase for unsmoothed public Ngram retrieval (current interface supports up to seven words).</x:v>
      </x:c>
      <x:c r="M59" s="19" t="n">
        <x:v>46260.10737268518</x:v>
      </x:c>
      <x:c r="N59" s="31" t="str">
        <x:v>data/fear-temperature/ngram/raw/d85a605bd6ea660c1f4aa52a4a83b71832a460c045386101932b8aac3fb6f215.json</x:v>
      </x:c>
      <x:c r="O59" s="43" t="str">
        <x:v>RECONSTRUCTED_FROM_REPORT</x:v>
      </x:c>
    </x:row>
    <x:row r="60" ht="27" customHeight="1">
      <x:c r="A60" s="18" t="str">
        <x:v>FT-Q-V01-056</x:v>
      </x:c>
      <x:c r="B60" s="19" t="str">
        <x:v>1988</x:v>
      </x:c>
      <x:c r="C60" s="31" t="str">
        <x:v>global security</x:v>
      </x:c>
      <x:c r="D60" s="19" t="str">
        <x:v>EXECUTABLE_NGRAM</x:v>
      </x:c>
      <x:c r="E60" s="31" t="str">
        <x:v>COMPATIBLE</x:v>
      </x:c>
      <x:c r="F60" s="55" t="b">
        <x:v>1</x:v>
      </x:c>
      <x:c r="G60" s="31" t="str">
        <x:v>SUCCEEDED</x:v>
      </x:c>
      <x:c r="H60" s="25" t="str">
        <x:v>SUCCESS_NONZERO</x:v>
      </x:c>
      <x:c r="I60" s="25" t="n">
        <x:v>181</x:v>
      </x:c>
      <x:c r="J60" s="31" t="str">
        <x:v>global security</x:v>
      </x:c>
      <x:c r="K60" s="19" t="str">
        <x:v>global security (All)</x:v>
      </x:c>
      <x:c r="L60" s="31" t="str">
        <x:v>Compatible exact string/phrase for unsmoothed public Ngram retrieval (current interface supports up to seven words).</x:v>
      </x:c>
      <x:c r="M60" s="19" t="n">
        <x:v>46260.10738425926</x:v>
      </x:c>
      <x:c r="N60" s="31" t="str">
        <x:v>data/fear-temperature/ngram/raw/37f3c91b5bdb2434e5e7fbfc823d1f62804dd9a06082e829967508e3305f442f.json</x:v>
      </x:c>
      <x:c r="O60" s="43" t="str">
        <x:v>RECONSTRUCTED_FROM_REPORT</x:v>
      </x:c>
    </x:row>
    <x:row r="61" ht="27" customHeight="1">
      <x:c r="A61" s="18" t="str">
        <x:v>FT-Q-V01-057</x:v>
      </x:c>
      <x:c r="B61" s="19" t="str">
        <x:v>1988</x:v>
      </x:c>
      <x:c r="C61" s="31" t="str">
        <x:v>climate warming</x:v>
      </x:c>
      <x:c r="D61" s="19" t="str">
        <x:v>EXECUTABLE_NGRAM</x:v>
      </x:c>
      <x:c r="E61" s="31" t="str">
        <x:v>COMPATIBLE</x:v>
      </x:c>
      <x:c r="F61" s="55" t="b">
        <x:v>1</x:v>
      </x:c>
      <x:c r="G61" s="31" t="str">
        <x:v>SUCCEEDED</x:v>
      </x:c>
      <x:c r="H61" s="25" t="str">
        <x:v>SUCCESS_NONZERO</x:v>
      </x:c>
      <x:c r="I61" s="25" t="n">
        <x:v>181</x:v>
      </x:c>
      <x:c r="J61" s="31" t="str">
        <x:v>climate warming</x:v>
      </x:c>
      <x:c r="K61" s="19" t="str">
        <x:v>climate warming (All)</x:v>
      </x:c>
      <x:c r="L61" s="31" t="str">
        <x:v>Compatible exact string/phrase for unsmoothed public Ngram retrieval (current interface supports up to seven words).</x:v>
      </x:c>
      <x:c r="M61" s="19" t="n">
        <x:v>46260.107395833336</x:v>
      </x:c>
      <x:c r="N61" s="31" t="str">
        <x:v>data/fear-temperature/ngram/raw/b007c4e4f28b0d91c852846fb12cbb9f19e181cbfebe2c7ad3081912a94fdef1.json</x:v>
      </x:c>
      <x:c r="O61" s="43" t="str">
        <x:v>RECONSTRUCTED_FROM_REPORT</x:v>
      </x:c>
    </x:row>
    <x:row r="62" ht="27" customHeight="1">
      <x:c r="A62" s="18" t="str">
        <x:v>FT-Q-V01-058</x:v>
      </x:c>
      <x:c r="B62" s="19" t="str">
        <x:v>1988</x:v>
      </x:c>
      <x:c r="C62" s="31" t="str">
        <x:v>changed climatic extremes</x:v>
      </x:c>
      <x:c r="D62" s="19" t="str">
        <x:v>EXECUTABLE_NGRAM</x:v>
      </x:c>
      <x:c r="E62" s="31" t="str">
        <x:v>COMPATIBLE</x:v>
      </x:c>
      <x:c r="F62" s="55" t="b">
        <x:v>1</x:v>
      </x:c>
      <x:c r="G62" s="31" t="str">
        <x:v>ZERO_RESULT</x:v>
      </x:c>
      <x:c r="H62" s="25" t="str">
        <x:v>ZERO_RESULT</x:v>
      </x:c>
      <x:c r="I62" s="25" t="n">
        <x:v>0</x:v>
      </x:c>
      <x:c r="J62" s="31" t="str">
        <x:v>changed climatic extremes</x:v>
      </x:c>
      <x:c r="K62" s="19" t="str">
        <x:v>NOT_APPLICABLE</x:v>
      </x:c>
      <x:c r="L62" s="31" t="str">
        <x:v>Compatible exact string/phrase for unsmoothed public Ngram retrieval (current interface supports up to seven words).</x:v>
      </x:c>
      <x:c r="M62" s="19" t="n">
        <x:v>46260.107407407406</x:v>
      </x:c>
      <x:c r="N62" s="31" t="str">
        <x:v>data/fear-temperature/ngram/raw/e3c721797f491dbfd313d1ebf26dce903f725eee8b0becece08b3766489bec5e.json</x:v>
      </x:c>
      <x:c r="O62" s="43" t="str">
        <x:v>RECONSTRUCTED_FROM_REPORT</x:v>
      </x:c>
    </x:row>
    <x:row r="63" ht="27" customHeight="1">
      <x:c r="A63" s="18" t="str">
        <x:v>FT-Q-V01-059</x:v>
      </x:c>
      <x:c r="B63" s="19" t="str">
        <x:v>1988</x:v>
      </x:c>
      <x:c r="C63" s="31" t="str">
        <x:v>major threat</x:v>
      </x:c>
      <x:c r="D63" s="19" t="str">
        <x:v>EXECUTABLE_NGRAM</x:v>
      </x:c>
      <x:c r="E63" s="31" t="str">
        <x:v>COMPATIBLE</x:v>
      </x:c>
      <x:c r="F63" s="55" t="b">
        <x:v>1</x:v>
      </x:c>
      <x:c r="G63" s="31" t="str">
        <x:v>SUCCEEDED</x:v>
      </x:c>
      <x:c r="H63" s="25" t="str">
        <x:v>SUCCESS_NONZERO</x:v>
      </x:c>
      <x:c r="I63" s="25" t="n">
        <x:v>181</x:v>
      </x:c>
      <x:c r="J63" s="31" t="str">
        <x:v>major threat</x:v>
      </x:c>
      <x:c r="K63" s="19" t="str">
        <x:v>major threat (All)</x:v>
      </x:c>
      <x:c r="L63" s="31" t="str">
        <x:v>Compatible exact string/phrase for unsmoothed public Ngram retrieval (current interface supports up to seven words).</x:v>
      </x:c>
      <x:c r="M63" s="19" t="n">
        <x:v>46260.10741898148</x:v>
      </x:c>
      <x:c r="N63" s="31" t="str">
        <x:v>data/fear-temperature/ngram/raw/3852fb8c0602dd1dd7e82aede6ff96df951ae0ab14e8dff39d9436087f4b2d1e.json</x:v>
      </x:c>
      <x:c r="O63" s="43" t="str">
        <x:v>RECONSTRUCTED_FROM_REPORT</x:v>
      </x:c>
    </x:row>
    <x:row r="64" ht="27" customHeight="1">
      <x:c r="A64" s="18" t="str">
        <x:v>FT-Q-V01-060</x:v>
      </x:c>
      <x:c r="B64" s="19" t="str">
        <x:v>1988</x:v>
      </x:c>
      <x:c r="C64" s="31" t="str">
        <x:v>harmful consequences</x:v>
      </x:c>
      <x:c r="D64" s="19" t="str">
        <x:v>EXECUTABLE_NGRAM</x:v>
      </x:c>
      <x:c r="E64" s="31" t="str">
        <x:v>COMPATIBLE</x:v>
      </x:c>
      <x:c r="F64" s="55" t="b">
        <x:v>1</x:v>
      </x:c>
      <x:c r="G64" s="31" t="str">
        <x:v>SUCCEEDED</x:v>
      </x:c>
      <x:c r="H64" s="25" t="str">
        <x:v>SUCCESS_NONZERO</x:v>
      </x:c>
      <x:c r="I64" s="25" t="n">
        <x:v>181</x:v>
      </x:c>
      <x:c r="J64" s="31" t="str">
        <x:v>harmful consequences</x:v>
      </x:c>
      <x:c r="K64" s="19" t="str">
        <x:v>harmful consequences (All)</x:v>
      </x:c>
      <x:c r="L64" s="31" t="str">
        <x:v>Compatible exact string/phrase for unsmoothed public Ngram retrieval (current interface supports up to seven words).</x:v>
      </x:c>
      <x:c r="M64" s="19" t="n">
        <x:v>46260.10741898148</x:v>
      </x:c>
      <x:c r="N64" s="31" t="str">
        <x:v>data/fear-temperature/ngram/raw/ca8b82883f6811093ecec7cb6aa37b2187c9c8705f722490a53620e189c7b504.json</x:v>
      </x:c>
      <x:c r="O64" s="43" t="str">
        <x:v>RECONSTRUCTED_FROM_REPORT</x:v>
      </x:c>
    </x:row>
    <x:row r="65" ht="27" customHeight="1">
      <x:c r="A65" s="18" t="str">
        <x:v>FT-Q-V01-061</x:v>
      </x:c>
      <x:c r="B65" s="19" t="str">
        <x:v>2006–2007</x:v>
      </x:c>
      <x:c r="C65" s="31" t="str">
        <x:v>warming of the climate system</x:v>
      </x:c>
      <x:c r="D65" s="19" t="str">
        <x:v>EXECUTABLE_NGRAM</x:v>
      </x:c>
      <x:c r="E65" s="31" t="str">
        <x:v>COMPATIBLE</x:v>
      </x:c>
      <x:c r="F65" s="55" t="b">
        <x:v>1</x:v>
      </x:c>
      <x:c r="G65" s="31" t="str">
        <x:v>SUCCEEDED</x:v>
      </x:c>
      <x:c r="H65" s="25" t="str">
        <x:v>SUCCESS_NONZERO</x:v>
      </x:c>
      <x:c r="I65" s="25" t="n">
        <x:v>181</x:v>
      </x:c>
      <x:c r="J65" s="31" t="str">
        <x:v>warming of the climate system</x:v>
      </x:c>
      <x:c r="K65" s="19" t="str">
        <x:v>warming of the climate system (All)</x:v>
      </x:c>
      <x:c r="L65" s="31" t="str">
        <x:v>Compatible exact string/phrase for unsmoothed public Ngram retrieval (current interface supports up to seven words).</x:v>
      </x:c>
      <x:c r="M65" s="19" t="n">
        <x:v>46260.10743055555</x:v>
      </x:c>
      <x:c r="N65" s="31" t="str">
        <x:v>data/fear-temperature/ngram/raw/8dcf3248dddb111a1f30bab5b3545357d072f4605eedc0c49e65add20572aa70.json</x:v>
      </x:c>
      <x:c r="O65" s="43" t="str">
        <x:v>RECONSTRUCTED_FROM_REPORT</x:v>
      </x:c>
    </x:row>
    <x:row r="66" ht="27" customHeight="1">
      <x:c r="A66" s="18" t="str">
        <x:v>FT-Q-V01-062</x:v>
      </x:c>
      <x:c r="B66" s="19" t="str">
        <x:v>2006–2007</x:v>
      </x:c>
      <x:c r="C66" s="31" t="str">
        <x:v>unequivocal</x:v>
      </x:c>
      <x:c r="D66" s="19" t="str">
        <x:v>EXECUTABLE_NGRAM</x:v>
      </x:c>
      <x:c r="E66" s="31" t="str">
        <x:v>COMPATIBLE</x:v>
      </x:c>
      <x:c r="F66" s="55" t="b">
        <x:v>1</x:v>
      </x:c>
      <x:c r="G66" s="31" t="str">
        <x:v>SUCCEEDED</x:v>
      </x:c>
      <x:c r="H66" s="25" t="str">
        <x:v>SUCCESS_NONZERO</x:v>
      </x:c>
      <x:c r="I66" s="25" t="n">
        <x:v>181</x:v>
      </x:c>
      <x:c r="J66" s="31" t="str">
        <x:v>unequivocal</x:v>
      </x:c>
      <x:c r="K66" s="19" t="str">
        <x:v>unequivocal (All)</x:v>
      </x:c>
      <x:c r="L66" s="31" t="str">
        <x:v>Compatible exact string/phrase for unsmoothed public Ngram retrieval (current interface supports up to seven words).</x:v>
      </x:c>
      <x:c r="M66" s="19" t="n">
        <x:v>46260.10753472222</x:v>
      </x:c>
      <x:c r="N66" s="31" t="str">
        <x:v>data/fear-temperature/ngram/raw/589b222dcaad46517e9261b3de8c0a74d95549534dafe4e4c9401053bb014a0f.json</x:v>
      </x:c>
      <x:c r="O66" s="43" t="str">
        <x:v>RECONSTRUCTED_FROM_REPORT</x:v>
      </x:c>
    </x:row>
    <x:row r="67" ht="27" customHeight="1">
      <x:c r="A67" s="18" t="str">
        <x:v>FT-Q-V01-063</x:v>
      </x:c>
      <x:c r="B67" s="19" t="str">
        <x:v>2006–2007</x:v>
      </x:c>
      <x:c r="C67" s="31" t="str">
        <x:v>global average air and ocean temperatures</x:v>
      </x:c>
      <x:c r="D67" s="19" t="str">
        <x:v>EXECUTABLE_NGRAM</x:v>
      </x:c>
      <x:c r="E67" s="31" t="str">
        <x:v>COMPATIBLE</x:v>
      </x:c>
      <x:c r="F67" s="55" t="b">
        <x:v>1</x:v>
      </x:c>
      <x:c r="G67" s="31" t="str">
        <x:v>SUCCEEDED</x:v>
      </x:c>
      <x:c r="H67" s="25" t="str">
        <x:v>SUCCESS_NONZERO</x:v>
      </x:c>
      <x:c r="I67" s="25" t="n">
        <x:v>181</x:v>
      </x:c>
      <x:c r="J67" s="31" t="str">
        <x:v>global average air and ocean temperatures</x:v>
      </x:c>
      <x:c r="K67" s="19" t="str">
        <x:v>global average air and ocean temperatures</x:v>
      </x:c>
      <x:c r="L67" s="31" t="str">
        <x:v>Compatible exact string/phrase for unsmoothed public Ngram retrieval (current interface supports up to seven words).</x:v>
      </x:c>
      <x:c r="M67" s="19" t="n">
        <x:v>46260.1075462963</x:v>
      </x:c>
      <x:c r="N67" s="31" t="str">
        <x:v>data/fear-temperature/ngram/raw/f73af1ae45c262eb8a777b662382952c3959bd2b5435d50eb84ffa31953e7815.json</x:v>
      </x:c>
      <x:c r="O67" s="43" t="str">
        <x:v>RECONSTRUCTED_FROM_REPORT</x:v>
      </x:c>
    </x:row>
    <x:row r="68" ht="27" customHeight="1">
      <x:c r="A68" s="18" t="str">
        <x:v>FT-Q-V01-064</x:v>
      </x:c>
      <x:c r="B68" s="19" t="str">
        <x:v>2006–2007</x:v>
      </x:c>
      <x:c r="C68" s="31" t="str">
        <x:v>global surface temperature</x:v>
      </x:c>
      <x:c r="D68" s="19" t="str">
        <x:v>EXECUTABLE_NGRAM</x:v>
      </x:c>
      <x:c r="E68" s="31" t="str">
        <x:v>COMPATIBLE</x:v>
      </x:c>
      <x:c r="F68" s="55" t="b">
        <x:v>1</x:v>
      </x:c>
      <x:c r="G68" s="31" t="str">
        <x:v>SUCCEEDED</x:v>
      </x:c>
      <x:c r="H68" s="25" t="str">
        <x:v>SUCCESS_NONZERO</x:v>
      </x:c>
      <x:c r="I68" s="25" t="n">
        <x:v>181</x:v>
      </x:c>
      <x:c r="J68" s="31" t="str">
        <x:v>global surface temperature</x:v>
      </x:c>
      <x:c r="K68" s="19" t="str">
        <x:v>global surface temperature (All)</x:v>
      </x:c>
      <x:c r="L68" s="31" t="str">
        <x:v>Compatible exact string/phrase for unsmoothed public Ngram retrieval (current interface supports up to seven words).</x:v>
      </x:c>
      <x:c r="M68" s="19" t="n">
        <x:v>46260.10755787037</x:v>
      </x:c>
      <x:c r="N68" s="31" t="str">
        <x:v>data/fear-temperature/ngram/raw/0c509bcbc95a5c5d481b3d693eaf5548c14084450a9268d3c1f9640d9ccedf23.json</x:v>
      </x:c>
      <x:c r="O68" s="43" t="str">
        <x:v>RECONSTRUCTED_FROM_REPORT</x:v>
      </x:c>
    </x:row>
    <x:row r="69" ht="27" customHeight="1">
      <x:c r="A69" s="18" t="str">
        <x:v>FT-Q-V01-065</x:v>
      </x:c>
      <x:c r="B69" s="19" t="str">
        <x:v>2006–2007</x:v>
      </x:c>
      <x:c r="C69" s="31" t="str">
        <x:v>temperature increase</x:v>
      </x:c>
      <x:c r="D69" s="19" t="str">
        <x:v>EXECUTABLE_NGRAM</x:v>
      </x:c>
      <x:c r="E69" s="31" t="str">
        <x:v>COMPATIBLE</x:v>
      </x:c>
      <x:c r="F69" s="55" t="b">
        <x:v>1</x:v>
      </x:c>
      <x:c r="G69" s="31" t="str">
        <x:v>SUCCEEDED</x:v>
      </x:c>
      <x:c r="H69" s="25" t="str">
        <x:v>SUCCESS_NONZERO</x:v>
      </x:c>
      <x:c r="I69" s="25" t="n">
        <x:v>181</x:v>
      </x:c>
      <x:c r="J69" s="31" t="str">
        <x:v>temperature increase</x:v>
      </x:c>
      <x:c r="K69" s="19" t="str">
        <x:v>temperature increase (All)</x:v>
      </x:c>
      <x:c r="L69" s="31" t="str">
        <x:v>Compatible exact string/phrase for unsmoothed public Ngram retrieval (current interface supports up to seven words).</x:v>
      </x:c>
      <x:c r="M69" s="19" t="n">
        <x:v>46260.107569444444</x:v>
      </x:c>
      <x:c r="N69" s="31" t="str">
        <x:v>data/fear-temperature/ngram/raw/e6efba58d92f6e3c0b60cedfb131afc6f4d35abfc0f251f7d7b486284e4283e4.json</x:v>
      </x:c>
      <x:c r="O69" s="43" t="str">
        <x:v>RECONSTRUCTED_FROM_REPORT</x:v>
      </x:c>
    </x:row>
    <x:row r="70" ht="27" customHeight="1">
      <x:c r="A70" s="18" t="str">
        <x:v>FT-Q-V01-066</x:v>
      </x:c>
      <x:c r="B70" s="19" t="str">
        <x:v>2006–2007</x:v>
      </x:c>
      <x:c r="C70" s="31" t="str">
        <x:v>rising global average sea level</x:v>
      </x:c>
      <x:c r="D70" s="19" t="str">
        <x:v>EXECUTABLE_NGRAM</x:v>
      </x:c>
      <x:c r="E70" s="31" t="str">
        <x:v>COMPATIBLE</x:v>
      </x:c>
      <x:c r="F70" s="55" t="b">
        <x:v>1</x:v>
      </x:c>
      <x:c r="G70" s="31" t="str">
        <x:v>SUCCEEDED</x:v>
      </x:c>
      <x:c r="H70" s="25" t="str">
        <x:v>SUCCESS_NONZERO</x:v>
      </x:c>
      <x:c r="I70" s="25" t="n">
        <x:v>181</x:v>
      </x:c>
      <x:c r="J70" s="31" t="str">
        <x:v>rising global average sea level</x:v>
      </x:c>
      <x:c r="K70" s="19" t="str">
        <x:v>rising global average sea level</x:v>
      </x:c>
      <x:c r="L70" s="31" t="str">
        <x:v>Compatible exact string/phrase for unsmoothed public Ngram retrieval (current interface supports up to seven words).</x:v>
      </x:c>
      <x:c r="M70" s="19" t="n">
        <x:v>46260.107569444444</x:v>
      </x:c>
      <x:c r="N70" s="31" t="str">
        <x:v>data/fear-temperature/ngram/raw/87718eb09b1ce320108dbcce3dd7b6faaf2c6f10134af590aa1e6d5c0f1f5363.json</x:v>
      </x:c>
      <x:c r="O70" s="43" t="str">
        <x:v>RECONSTRUCTED_FROM_REPORT</x:v>
      </x:c>
    </x:row>
    <x:row r="71" ht="27" customHeight="1">
      <x:c r="A71" s="18" t="str">
        <x:v>FT-Q-V01-067</x:v>
      </x:c>
      <x:c r="B71" s="19" t="str">
        <x:v>2006–2007</x:v>
      </x:c>
      <x:c r="C71" s="31" t="str">
        <x:v>widespread melting of snow and ice</x:v>
      </x:c>
      <x:c r="D71" s="19" t="str">
        <x:v>EXECUTABLE_NGRAM</x:v>
      </x:c>
      <x:c r="E71" s="31" t="str">
        <x:v>COMPATIBLE</x:v>
      </x:c>
      <x:c r="F71" s="55" t="b">
        <x:v>1</x:v>
      </x:c>
      <x:c r="G71" s="31" t="str">
        <x:v>SUCCEEDED</x:v>
      </x:c>
      <x:c r="H71" s="25" t="str">
        <x:v>SUCCESS_NONZERO</x:v>
      </x:c>
      <x:c r="I71" s="25" t="n">
        <x:v>181</x:v>
      </x:c>
      <x:c r="J71" s="31" t="str">
        <x:v>widespread melting of snow and ice</x:v>
      </x:c>
      <x:c r="K71" s="19" t="str">
        <x:v>widespread melting of snow and ice</x:v>
      </x:c>
      <x:c r="L71" s="31" t="str">
        <x:v>Compatible exact string/phrase for unsmoothed public Ngram retrieval (current interface supports up to seven words).</x:v>
      </x:c>
      <x:c r="M71" s="19" t="n">
        <x:v>46260.10758101852</x:v>
      </x:c>
      <x:c r="N71" s="31" t="str">
        <x:v>data/fear-temperature/ngram/raw/806fa1b4d7e70879a062cfd1acba0fee5db80a00c9014f31015edfe13f8f81fa.json</x:v>
      </x:c>
      <x:c r="O71" s="43" t="str">
        <x:v>RECONSTRUCTED_FROM_REPORT</x:v>
      </x:c>
    </x:row>
    <x:row r="72" ht="27" customHeight="1">
      <x:c r="A72" s="18" t="str">
        <x:v>FT-Q-V01-068</x:v>
      </x:c>
      <x:c r="B72" s="19" t="str">
        <x:v>2006–2007</x:v>
      </x:c>
      <x:c r="C72" s="31" t="str">
        <x:v>anthropogenic CO₂</x:v>
      </x:c>
      <x:c r="D72" s="19" t="str">
        <x:v>EXECUTABLE_CORPUS_ONLY</x:v>
      </x:c>
      <x:c r="E72" s="31" t="str">
        <x:v>NUMERIC_OR_SYMBOLIC</x:v>
      </x:c>
      <x:c r="F72" s="55" t="b">
        <x:v>0</x:v>
      </x:c>
      <x:c r="G72" s="31" t="str">
        <x:v>NOT_RUN_INCOMPATIBLE</x:v>
      </x:c>
      <x:c r="H72" s="25" t="str">
        <x:v>TECHNICALLY_UNREPRESENTABLE</x:v>
      </x:c>
      <x:c r="I72" s="25" t="n">
        <x:v>0</x:v>
      </x:c>
      <x:c r="J72" s="31" t="str">
        <x:v>anthropogenic CO₂</x:v>
      </x:c>
      <x:c r="K72" s="19" t="str">
        <x:v>NOT_APPLICABLE</x:v>
      </x:c>
      <x:c r="L72" s="31" t="str">
        <x:v>Degree/subscript notation is not queried as an isolated public-interface Ngram.</x:v>
      </x:c>
      <x:c r="M72" s="19" t="str">
        <x:v>NOT_APPLICABLE</x:v>
      </x:c>
      <x:c r="N72" s="31" t="str">
        <x:v>NOT_APPLICABLE</x:v>
      </x:c>
      <x:c r="O72" s="43" t="str">
        <x:v>RECONSTRUCTED_FROM_REPORT</x:v>
      </x:c>
    </x:row>
    <x:row r="73" ht="27" customHeight="1">
      <x:c r="A73" s="18" t="str">
        <x:v>FT-Q-V01-069</x:v>
      </x:c>
      <x:c r="B73" s="19" t="str">
        <x:v>2006–2007</x:v>
      </x:c>
      <x:c r="C73" s="31" t="str">
        <x:v>anthropogenic GHG emissions</x:v>
      </x:c>
      <x:c r="D73" s="19" t="str">
        <x:v>EXECUTABLE_NGRAM</x:v>
      </x:c>
      <x:c r="E73" s="31" t="str">
        <x:v>COMPATIBLE</x:v>
      </x:c>
      <x:c r="F73" s="55" t="b">
        <x:v>1</x:v>
      </x:c>
      <x:c r="G73" s="31" t="str">
        <x:v>SUCCEEDED</x:v>
      </x:c>
      <x:c r="H73" s="25" t="str">
        <x:v>SUCCESS_NONZERO</x:v>
      </x:c>
      <x:c r="I73" s="25" t="n">
        <x:v>181</x:v>
      </x:c>
      <x:c r="J73" s="31" t="str">
        <x:v>anthropogenic GHG emissions</x:v>
      </x:c>
      <x:c r="K73" s="19" t="str">
        <x:v>anthropogenic GHG emissions (All)</x:v>
      </x:c>
      <x:c r="L73" s="31" t="str">
        <x:v>Compatible exact string/phrase for unsmoothed public Ngram retrieval (current interface supports up to seven words).</x:v>
      </x:c>
      <x:c r="M73" s="19" t="n">
        <x:v>46260.10759259259</x:v>
      </x:c>
      <x:c r="N73" s="31" t="str">
        <x:v>data/fear-temperature/ngram/raw/914334e57db329f472c585240f860566f4453aba88a7a68d703eb2b8ba0b7e47.json</x:v>
      </x:c>
      <x:c r="O73" s="43" t="str">
        <x:v>RECONSTRUCTED_FROM_REPORT</x:v>
      </x:c>
    </x:row>
    <x:row r="74" ht="27" customHeight="1">
      <x:c r="A74" s="18" t="str">
        <x:v>FT-Q-V01-070</x:v>
      </x:c>
      <x:c r="B74" s="19" t="str">
        <x:v>2006–2007</x:v>
      </x:c>
      <x:c r="C74" s="31" t="str">
        <x:v>climate change</x:v>
      </x:c>
      <x:c r="D74" s="19" t="str">
        <x:v>EXECUTABLE_NGRAM</x:v>
      </x:c>
      <x:c r="E74" s="31" t="str">
        <x:v>COMPATIBLE</x:v>
      </x:c>
      <x:c r="F74" s="55" t="b">
        <x:v>1</x:v>
      </x:c>
      <x:c r="G74" s="31" t="str">
        <x:v>SUCCEEDED</x:v>
      </x:c>
      <x:c r="H74" s="25" t="str">
        <x:v>SUCCESS_NONZERO</x:v>
      </x:c>
      <x:c r="I74" s="25" t="n">
        <x:v>181</x:v>
      </x:c>
      <x:c r="J74" s="31" t="str">
        <x:v>climate change</x:v>
      </x:c>
      <x:c r="K74" s="19" t="str">
        <x:v>climate change (All)</x:v>
      </x:c>
      <x:c r="L74" s="31" t="str">
        <x:v>Compatible exact string/phrase for unsmoothed public Ngram retrieval (current interface supports up to seven words).</x:v>
      </x:c>
      <x:c r="M74" s="19" t="n">
        <x:v>46260.10760416667</x:v>
      </x:c>
      <x:c r="N74" s="31" t="str">
        <x:v>data/fear-temperature/ngram/raw/c0c3021f09dbdf3542c85e1a8bd4e013bd4d99d85af63bbd55f5e05a6a7ddd2b.json</x:v>
      </x:c>
      <x:c r="O74" s="43" t="str">
        <x:v>RECONSTRUCTED_FROM_REPORT</x:v>
      </x:c>
    </x:row>
    <x:row r="75" ht="27" customHeight="1">
      <x:c r="A75" s="18" t="str">
        <x:v>FT-Q-V01-071</x:v>
      </x:c>
      <x:c r="B75" s="19" t="str">
        <x:v>2006–2007</x:v>
      </x:c>
      <x:c r="C75" s="31" t="str">
        <x:v>global warming</x:v>
      </x:c>
      <x:c r="D75" s="19" t="str">
        <x:v>EXECUTABLE_NGRAM</x:v>
      </x:c>
      <x:c r="E75" s="31" t="str">
        <x:v>COMPATIBLE</x:v>
      </x:c>
      <x:c r="F75" s="55" t="b">
        <x:v>1</x:v>
      </x:c>
      <x:c r="G75" s="31" t="str">
        <x:v>SUCCEEDED</x:v>
      </x:c>
      <x:c r="H75" s="25" t="str">
        <x:v>SUCCESS_NONZERO</x:v>
      </x:c>
      <x:c r="I75" s="25" t="n">
        <x:v>181</x:v>
      </x:c>
      <x:c r="J75" s="31" t="str">
        <x:v>global warming</x:v>
      </x:c>
      <x:c r="K75" s="19" t="str">
        <x:v>global warming (All)</x:v>
      </x:c>
      <x:c r="L75" s="31" t="str">
        <x:v>Compatible exact string/phrase for unsmoothed public Ngram retrieval (current interface supports up to seven words).</x:v>
      </x:c>
      <x:c r="M75" s="19" t="n">
        <x:v>46260.107256944444</x:v>
      </x:c>
      <x:c r="N75" s="31" t="str">
        <x:v>data/fear-temperature/ngram/raw/e982c3b5d6e77fc759f19bb2931d892bfaa9221ade4a44977579a8d5a8afab71.json</x:v>
      </x:c>
      <x:c r="O75" s="43" t="str">
        <x:v>RECONSTRUCTED_FROM_REPORT</x:v>
      </x:c>
    </x:row>
    <x:row r="76" ht="27" customHeight="1">
      <x:c r="A76" s="18" t="str">
        <x:v>FT-Q-V01-072</x:v>
      </x:c>
      <x:c r="B76" s="19" t="str">
        <x:v>2006–2007</x:v>
      </x:c>
      <x:c r="C76" s="31" t="str">
        <x:v>serious global threat</x:v>
      </x:c>
      <x:c r="D76" s="19" t="str">
        <x:v>EXECUTABLE_NGRAM</x:v>
      </x:c>
      <x:c r="E76" s="31" t="str">
        <x:v>COMPATIBLE</x:v>
      </x:c>
      <x:c r="F76" s="55" t="b">
        <x:v>1</x:v>
      </x:c>
      <x:c r="G76" s="31" t="str">
        <x:v>SUCCEEDED</x:v>
      </x:c>
      <x:c r="H76" s="25" t="str">
        <x:v>SUCCESS_NONZERO</x:v>
      </x:c>
      <x:c r="I76" s="25" t="n">
        <x:v>181</x:v>
      </x:c>
      <x:c r="J76" s="31" t="str">
        <x:v>serious global threat</x:v>
      </x:c>
      <x:c r="K76" s="19" t="str">
        <x:v>serious global threat</x:v>
      </x:c>
      <x:c r="L76" s="31" t="str">
        <x:v>Compatible exact string/phrase for unsmoothed public Ngram retrieval (current interface supports up to seven words).</x:v>
      </x:c>
      <x:c r="M76" s="19" t="n">
        <x:v>46260.107615740744</x:v>
      </x:c>
      <x:c r="N76" s="31" t="str">
        <x:v>data/fear-temperature/ngram/raw/5b32321ca744b813f5972199bf6100cca59a22ed8377107ee90f3439bdecbfa6.json</x:v>
      </x:c>
      <x:c r="O76" s="43" t="str">
        <x:v>RECONSTRUCTED_FROM_REPORT</x:v>
      </x:c>
    </x:row>
    <x:row r="77" ht="27" customHeight="1">
      <x:c r="A77" s="18" t="str">
        <x:v>FT-Q-V01-073</x:v>
      </x:c>
      <x:c r="B77" s="19" t="str">
        <x:v>2006–2007</x:v>
      </x:c>
      <x:c r="C77" s="31" t="str">
        <x:v>urgent global response</x:v>
      </x:c>
      <x:c r="D77" s="19" t="str">
        <x:v>EXECUTABLE_NGRAM</x:v>
      </x:c>
      <x:c r="E77" s="31" t="str">
        <x:v>COMPATIBLE</x:v>
      </x:c>
      <x:c r="F77" s="55" t="b">
        <x:v>1</x:v>
      </x:c>
      <x:c r="G77" s="31" t="str">
        <x:v>SUCCEEDED</x:v>
      </x:c>
      <x:c r="H77" s="25" t="str">
        <x:v>SUCCESS_NONZERO</x:v>
      </x:c>
      <x:c r="I77" s="25" t="n">
        <x:v>181</x:v>
      </x:c>
      <x:c r="J77" s="31" t="str">
        <x:v>urgent global response</x:v>
      </x:c>
      <x:c r="K77" s="19" t="str">
        <x:v>urgent global response</x:v>
      </x:c>
      <x:c r="L77" s="31" t="str">
        <x:v>Compatible exact string/phrase for unsmoothed public Ngram retrieval (current interface supports up to seven words).</x:v>
      </x:c>
      <x:c r="M77" s="19" t="n">
        <x:v>46260.107615740744</x:v>
      </x:c>
      <x:c r="N77" s="31" t="str">
        <x:v>data/fear-temperature/ngram/raw/2b3e1b1685a35825228a411e6215b23d8f9bb83c5a827b09d9abd02b86000899.json</x:v>
      </x:c>
      <x:c r="O77" s="43" t="str">
        <x:v>RECONSTRUCTED_FROM_REPORT</x:v>
      </x:c>
    </x:row>
    <x:row r="78" ht="27" customHeight="1">
      <x:c r="A78" s="18" t="str">
        <x:v>FT-Q-V01-074</x:v>
      </x:c>
      <x:c r="B78" s="19" t="str">
        <x:v>2006–2007</x:v>
      </x:c>
      <x:c r="C78" s="31" t="str">
        <x:v>costs and risks of climate change</x:v>
      </x:c>
      <x:c r="D78" s="19" t="str">
        <x:v>EXECUTABLE_NGRAM</x:v>
      </x:c>
      <x:c r="E78" s="31" t="str">
        <x:v>COMPATIBLE</x:v>
      </x:c>
      <x:c r="F78" s="55" t="b">
        <x:v>1</x:v>
      </x:c>
      <x:c r="G78" s="31" t="str">
        <x:v>SUCCEEDED</x:v>
      </x:c>
      <x:c r="H78" s="25" t="str">
        <x:v>SUCCESS_NONZERO</x:v>
      </x:c>
      <x:c r="I78" s="25" t="n">
        <x:v>181</x:v>
      </x:c>
      <x:c r="J78" s="31" t="str">
        <x:v>costs and risks of climate change</x:v>
      </x:c>
      <x:c r="K78" s="19" t="str">
        <x:v>costs and risks of climate change</x:v>
      </x:c>
      <x:c r="L78" s="31" t="str">
        <x:v>Compatible exact string/phrase for unsmoothed public Ngram retrieval (current interface supports up to seven words).</x:v>
      </x:c>
      <x:c r="M78" s="19" t="n">
        <x:v>46260.107627314814</x:v>
      </x:c>
      <x:c r="N78" s="31" t="str">
        <x:v>data/fear-temperature/ngram/raw/8bd78b7ad15e9e48d2ac43434782eef178ec9ab9fe62373cb5361adae97daf18.json</x:v>
      </x:c>
      <x:c r="O78" s="43" t="str">
        <x:v>RECONSTRUCTED_FROM_REPORT</x:v>
      </x:c>
    </x:row>
    <x:row r="79" ht="27" customHeight="1">
      <x:c r="A79" s="18" t="str">
        <x:v>FT-Q-V01-075</x:v>
      </x:c>
      <x:c r="B79" s="19" t="str">
        <x:v>2006–2007</x:v>
      </x:c>
      <x:c r="C79" s="31" t="str">
        <x:v>impacts of climate change</x:v>
      </x:c>
      <x:c r="D79" s="19" t="str">
        <x:v>EXECUTABLE_NGRAM</x:v>
      </x:c>
      <x:c r="E79" s="31" t="str">
        <x:v>COMPATIBLE</x:v>
      </x:c>
      <x:c r="F79" s="55" t="b">
        <x:v>1</x:v>
      </x:c>
      <x:c r="G79" s="31" t="str">
        <x:v>SUCCEEDED</x:v>
      </x:c>
      <x:c r="H79" s="25" t="str">
        <x:v>SUCCESS_NONZERO</x:v>
      </x:c>
      <x:c r="I79" s="25" t="n">
        <x:v>181</x:v>
      </x:c>
      <x:c r="J79" s="31" t="str">
        <x:v>impacts of climate change</x:v>
      </x:c>
      <x:c r="K79" s="19" t="str">
        <x:v>impacts of climate change (All)</x:v>
      </x:c>
      <x:c r="L79" s="31" t="str">
        <x:v>Compatible exact string/phrase for unsmoothed public Ngram retrieval (current interface supports up to seven words).</x:v>
      </x:c>
      <x:c r="M79" s="19" t="n">
        <x:v>46260.10763888889</x:v>
      </x:c>
      <x:c r="N79" s="31" t="str">
        <x:v>data/fear-temperature/ngram/raw/10edc30626c2300c5c7fd37f88b17289d17de5d55c5e717eb20c37a82770241c.json</x:v>
      </x:c>
      <x:c r="O79" s="43" t="str">
        <x:v>RECONSTRUCTED_FROM_REPORT</x:v>
      </x:c>
    </x:row>
    <x:row r="80" ht="27" customHeight="1">
      <x:c r="A80" s="18" t="str">
        <x:v>FT-Q-V01-076</x:v>
      </x:c>
      <x:c r="B80" s="19" t="str">
        <x:v>2006–2007</x:v>
      </x:c>
      <x:c r="C80" s="31" t="str">
        <x:v>damage</x:v>
      </x:c>
      <x:c r="D80" s="19" t="str">
        <x:v>BACKGROUND_AMBIGUOUS</x:v>
      </x:c>
      <x:c r="E80" s="31" t="str">
        <x:v>COMPATIBLE</x:v>
      </x:c>
      <x:c r="F80" s="55" t="b">
        <x:v>1</x:v>
      </x:c>
      <x:c r="G80" s="31" t="str">
        <x:v>SUCCEEDED</x:v>
      </x:c>
      <x:c r="H80" s="25" t="str">
        <x:v>SUCCESS_NONZERO</x:v>
      </x:c>
      <x:c r="I80" s="25" t="n">
        <x:v>181</x:v>
      </x:c>
      <x:c r="J80" s="31" t="str">
        <x:v>damage</x:v>
      </x:c>
      <x:c r="K80" s="19" t="str">
        <x:v>damage (All)</x:v>
      </x:c>
      <x:c r="L80" s="31" t="str">
        <x:v>Compatible exact string/phrase for unsmoothed public Ngram retrieval (current interface supports up to seven words).</x:v>
      </x:c>
      <x:c r="M80" s="19" t="n">
        <x:v>46260.10765046296</x:v>
      </x:c>
      <x:c r="N80" s="31" t="str">
        <x:v>data/fear-temperature/ngram/raw/d01f41629ee6773134a211a7026f5208a1c2513b8707a3bed0900691e7c0f8c8.json</x:v>
      </x:c>
      <x:c r="O80" s="43" t="str">
        <x:v>RECONSTRUCTED_FROM_REPORT</x:v>
      </x:c>
    </x:row>
    <x:row r="81" ht="27" customHeight="1">
      <x:c r="A81" s="18" t="str">
        <x:v>FT-Q-V01-077</x:v>
      </x:c>
      <x:c r="B81" s="19" t="str">
        <x:v>2006–2007</x:v>
      </x:c>
      <x:c r="C81" s="31" t="str">
        <x:v>hunger</x:v>
      </x:c>
      <x:c r="D81" s="19" t="str">
        <x:v>EXECUTABLE_NGRAM</x:v>
      </x:c>
      <x:c r="E81" s="31" t="str">
        <x:v>COMPATIBLE</x:v>
      </x:c>
      <x:c r="F81" s="55" t="b">
        <x:v>1</x:v>
      </x:c>
      <x:c r="G81" s="31" t="str">
        <x:v>SUCCEEDED</x:v>
      </x:c>
      <x:c r="H81" s="25" t="str">
        <x:v>SUCCESS_NONZERO</x:v>
      </x:c>
      <x:c r="I81" s="25" t="n">
        <x:v>181</x:v>
      </x:c>
      <x:c r="J81" s="31" t="str">
        <x:v>hunger</x:v>
      </x:c>
      <x:c r="K81" s="19" t="str">
        <x:v>hunger (All)</x:v>
      </x:c>
      <x:c r="L81" s="31" t="str">
        <x:v>Compatible exact string/phrase for unsmoothed public Ngram retrieval (current interface supports up to seven words).</x:v>
      </x:c>
      <x:c r="M81" s="19" t="n">
        <x:v>46260.10766203704</x:v>
      </x:c>
      <x:c r="N81" s="31" t="str">
        <x:v>data/fear-temperature/ngram/raw/316db15cf9762a5992d3f01731d219bae77ccddd5b4e7b3a3624d6529956f51c.json</x:v>
      </x:c>
      <x:c r="O81" s="43" t="str">
        <x:v>RECONSTRUCTED_FROM_REPORT</x:v>
      </x:c>
    </x:row>
    <x:row r="82" ht="27" customHeight="1">
      <x:c r="A82" s="18" t="str">
        <x:v>FT-Q-V01-078</x:v>
      </x:c>
      <x:c r="B82" s="19" t="str">
        <x:v>2006–2007</x:v>
      </x:c>
      <x:c r="C82" s="31" t="str">
        <x:v>water shortages</x:v>
      </x:c>
      <x:c r="D82" s="19" t="str">
        <x:v>EXECUTABLE_NGRAM</x:v>
      </x:c>
      <x:c r="E82" s="31" t="str">
        <x:v>COMPATIBLE</x:v>
      </x:c>
      <x:c r="F82" s="55" t="b">
        <x:v>1</x:v>
      </x:c>
      <x:c r="G82" s="31" t="str">
        <x:v>SUCCEEDED</x:v>
      </x:c>
      <x:c r="H82" s="25" t="str">
        <x:v>SUCCESS_NONZERO</x:v>
      </x:c>
      <x:c r="I82" s="25" t="n">
        <x:v>181</x:v>
      </x:c>
      <x:c r="J82" s="31" t="str">
        <x:v>water shortages</x:v>
      </x:c>
      <x:c r="K82" s="19" t="str">
        <x:v>water shortages (All)</x:v>
      </x:c>
      <x:c r="L82" s="31" t="str">
        <x:v>Compatible exact string/phrase for unsmoothed public Ngram retrieval (current interface supports up to seven words).</x:v>
      </x:c>
      <x:c r="M82" s="19" t="n">
        <x:v>46260.10766203704</x:v>
      </x:c>
      <x:c r="N82" s="31" t="str">
        <x:v>data/fear-temperature/ngram/raw/1efef2d790a347bb687eb3d223fce6047f4cbe50b45e07fb13a40f36a37a8053.json</x:v>
      </x:c>
      <x:c r="O82" s="43" t="str">
        <x:v>RECONSTRUCTED_FROM_REPORT</x:v>
      </x:c>
    </x:row>
    <x:row r="83" ht="27" customHeight="1">
      <x:c r="A83" s="18" t="str">
        <x:v>FT-Q-V01-079</x:v>
      </x:c>
      <x:c r="B83" s="19" t="str">
        <x:v>2006–2007</x:v>
      </x:c>
      <x:c r="C83" s="31" t="str">
        <x:v>coastal flooding</x:v>
      </x:c>
      <x:c r="D83" s="19" t="str">
        <x:v>EXECUTABLE_NGRAM</x:v>
      </x:c>
      <x:c r="E83" s="31" t="str">
        <x:v>COMPATIBLE</x:v>
      </x:c>
      <x:c r="F83" s="55" t="b">
        <x:v>1</x:v>
      </x:c>
      <x:c r="G83" s="31" t="str">
        <x:v>SUCCEEDED</x:v>
      </x:c>
      <x:c r="H83" s="25" t="str">
        <x:v>SUCCESS_NONZERO</x:v>
      </x:c>
      <x:c r="I83" s="25" t="n">
        <x:v>181</x:v>
      </x:c>
      <x:c r="J83" s="31" t="str">
        <x:v>coastal flooding</x:v>
      </x:c>
      <x:c r="K83" s="19" t="str">
        <x:v>coastal flooding (All)</x:v>
      </x:c>
      <x:c r="L83" s="31" t="str">
        <x:v>Compatible exact string/phrase for unsmoothed public Ngram retrieval (current interface supports up to seven words).</x:v>
      </x:c>
      <x:c r="M83" s="19" t="n">
        <x:v>46260.10767361111</x:v>
      </x:c>
      <x:c r="N83" s="31" t="str">
        <x:v>data/fear-temperature/ngram/raw/52bfa613753c4eadca65ad755383bb46d16281d2f73bd1c629782b94ca7ca635.json</x:v>
      </x:c>
      <x:c r="O83" s="43" t="str">
        <x:v>RECONSTRUCTED_FROM_REPORT</x:v>
      </x:c>
    </x:row>
    <x:row r="84" ht="27" customHeight="1">
      <x:c r="A84" s="18" t="str">
        <x:v>FT-Q-V01-080</x:v>
      </x:c>
      <x:c r="B84" s="19" t="str">
        <x:v>2006–2007</x:v>
      </x:c>
      <x:c r="C84" s="31" t="str">
        <x:v>worst impacts</x:v>
      </x:c>
      <x:c r="D84" s="19" t="str">
        <x:v>EXECUTABLE_NGRAM</x:v>
      </x:c>
      <x:c r="E84" s="31" t="str">
        <x:v>COMPATIBLE</x:v>
      </x:c>
      <x:c r="F84" s="55" t="b">
        <x:v>1</x:v>
      </x:c>
      <x:c r="G84" s="31" t="str">
        <x:v>SUCCEEDED</x:v>
      </x:c>
      <x:c r="H84" s="25" t="str">
        <x:v>SUCCESS_NONZERO</x:v>
      </x:c>
      <x:c r="I84" s="25" t="n">
        <x:v>181</x:v>
      </x:c>
      <x:c r="J84" s="31" t="str">
        <x:v>worst impacts</x:v>
      </x:c>
      <x:c r="K84" s="19" t="str">
        <x:v>worst impacts (All)</x:v>
      </x:c>
      <x:c r="L84" s="31" t="str">
        <x:v>Compatible exact string/phrase for unsmoothed public Ngram retrieval (current interface supports up to seven words).</x:v>
      </x:c>
      <x:c r="M84" s="19" t="n">
        <x:v>46260.10768518518</x:v>
      </x:c>
      <x:c r="N84" s="31" t="str">
        <x:v>data/fear-temperature/ngram/raw/ef191d5d6d10d37fbddf1313d24b7921544ca0578b9663de780c6b926ed9497b.json</x:v>
      </x:c>
      <x:c r="O84" s="43" t="str">
        <x:v>RECONSTRUCTED_FROM_REPORT</x:v>
      </x:c>
    </x:row>
    <x:row r="85" ht="27" customHeight="1">
      <x:c r="A85" s="18" t="str">
        <x:v>FT-Q-V01-081</x:v>
      </x:c>
      <x:c r="B85" s="19" t="str">
        <x:v>2015</x:v>
      </x:c>
      <x:c r="C85" s="31" t="str">
        <x:v>climate change</x:v>
      </x:c>
      <x:c r="D85" s="19" t="str">
        <x:v>EXECUTABLE_NGRAM</x:v>
      </x:c>
      <x:c r="E85" s="31" t="str">
        <x:v>COMPATIBLE</x:v>
      </x:c>
      <x:c r="F85" s="55" t="b">
        <x:v>1</x:v>
      </x:c>
      <x:c r="G85" s="31" t="str">
        <x:v>SUCCEEDED</x:v>
      </x:c>
      <x:c r="H85" s="25" t="str">
        <x:v>SUCCESS_NONZERO</x:v>
      </x:c>
      <x:c r="I85" s="25" t="n">
        <x:v>181</x:v>
      </x:c>
      <x:c r="J85" s="31" t="str">
        <x:v>climate change</x:v>
      </x:c>
      <x:c r="K85" s="19" t="str">
        <x:v>climate change (All)</x:v>
      </x:c>
      <x:c r="L85" s="31" t="str">
        <x:v>Compatible exact string/phrase for unsmoothed public Ngram retrieval (current interface supports up to seven words).</x:v>
      </x:c>
      <x:c r="M85" s="19" t="n">
        <x:v>46260.10760416667</x:v>
      </x:c>
      <x:c r="N85" s="31" t="str">
        <x:v>data/fear-temperature/ngram/raw/c0c3021f09dbdf3542c85e1a8bd4e013bd4d99d85af63bbd55f5e05a6a7ddd2b.json</x:v>
      </x:c>
      <x:c r="O85" s="43" t="str">
        <x:v>RECONSTRUCTED_FROM_REPORT</x:v>
      </x:c>
    </x:row>
    <x:row r="86" ht="27" customHeight="1">
      <x:c r="A86" s="18" t="str">
        <x:v>FT-Q-V01-082</x:v>
      </x:c>
      <x:c r="B86" s="19" t="str">
        <x:v>2015</x:v>
      </x:c>
      <x:c r="C86" s="31" t="str">
        <x:v>threat of climate change</x:v>
      </x:c>
      <x:c r="D86" s="19" t="str">
        <x:v>EXECUTABLE_NGRAM</x:v>
      </x:c>
      <x:c r="E86" s="31" t="str">
        <x:v>COMPATIBLE</x:v>
      </x:c>
      <x:c r="F86" s="55" t="b">
        <x:v>1</x:v>
      </x:c>
      <x:c r="G86" s="31" t="str">
        <x:v>SUCCEEDED</x:v>
      </x:c>
      <x:c r="H86" s="25" t="str">
        <x:v>SUCCESS_NONZERO</x:v>
      </x:c>
      <x:c r="I86" s="25" t="n">
        <x:v>181</x:v>
      </x:c>
      <x:c r="J86" s="31" t="str">
        <x:v>threat of climate change</x:v>
      </x:c>
      <x:c r="K86" s="19" t="str">
        <x:v>threat of climate change (All)</x:v>
      </x:c>
      <x:c r="L86" s="31" t="str">
        <x:v>Compatible exact string/phrase for unsmoothed public Ngram retrieval (current interface supports up to seven words).</x:v>
      </x:c>
      <x:c r="M86" s="19" t="n">
        <x:v>46260.10769675926</x:v>
      </x:c>
      <x:c r="N86" s="31" t="str">
        <x:v>data/fear-temperature/ngram/raw/80f335fb2f081618fb98e644333ac39d4ab1da3118610e2c37f4c52eaba6f01e.json</x:v>
      </x:c>
      <x:c r="O86" s="43" t="str">
        <x:v>RECONSTRUCTED_FROM_REPORT</x:v>
      </x:c>
    </x:row>
    <x:row r="87" ht="27" customHeight="1">
      <x:c r="A87" s="18" t="str">
        <x:v>FT-Q-V01-083</x:v>
      </x:c>
      <x:c r="B87" s="19" t="str">
        <x:v>2015</x:v>
      </x:c>
      <x:c r="C87" s="31" t="str">
        <x:v>global average temperature</x:v>
      </x:c>
      <x:c r="D87" s="19" t="str">
        <x:v>EXECUTABLE_NGRAM</x:v>
      </x:c>
      <x:c r="E87" s="31" t="str">
        <x:v>COMPATIBLE</x:v>
      </x:c>
      <x:c r="F87" s="55" t="b">
        <x:v>1</x:v>
      </x:c>
      <x:c r="G87" s="31" t="str">
        <x:v>SUCCEEDED</x:v>
      </x:c>
      <x:c r="H87" s="25" t="str">
        <x:v>SUCCESS_NONZERO</x:v>
      </x:c>
      <x:c r="I87" s="25" t="n">
        <x:v>181</x:v>
      </x:c>
      <x:c r="J87" s="31" t="str">
        <x:v>global average temperature</x:v>
      </x:c>
      <x:c r="K87" s="19" t="str">
        <x:v>global average temperature (All)</x:v>
      </x:c>
      <x:c r="L87" s="31" t="str">
        <x:v>Compatible exact string/phrase for unsmoothed public Ngram retrieval (current interface supports up to seven words).</x:v>
      </x:c>
      <x:c r="M87" s="19" t="n">
        <x:v>46260.10770833334</x:v>
      </x:c>
      <x:c r="N87" s="31" t="str">
        <x:v>data/fear-temperature/ngram/raw/fec10abcfbf0091d0548b70a06317daaadc5fc16f753d8243a75bd2e1dbbcb94.json</x:v>
      </x:c>
      <x:c r="O87" s="43" t="str">
        <x:v>RECONSTRUCTED_FROM_REPORT</x:v>
      </x:c>
    </x:row>
    <x:row r="88" ht="27" customHeight="1">
      <x:c r="A88" s="18" t="str">
        <x:v>FT-Q-V01-084</x:v>
      </x:c>
      <x:c r="B88" s="19" t="str">
        <x:v>2015</x:v>
      </x:c>
      <x:c r="C88" s="31" t="str">
        <x:v>well below 2°C above pre-industrial levels</x:v>
      </x:c>
      <x:c r="D88" s="19" t="str">
        <x:v>EXECUTABLE_CORPUS_ONLY</x:v>
      </x:c>
      <x:c r="E88" s="31" t="str">
        <x:v>NUMERIC_OR_SYMBOLIC</x:v>
      </x:c>
      <x:c r="F88" s="55" t="b">
        <x:v>0</x:v>
      </x:c>
      <x:c r="G88" s="31" t="str">
        <x:v>NOT_RUN_INCOMPATIBLE</x:v>
      </x:c>
      <x:c r="H88" s="25" t="str">
        <x:v>TECHNICALLY_UNREPRESENTABLE</x:v>
      </x:c>
      <x:c r="I88" s="25" t="n">
        <x:v>0</x:v>
      </x:c>
      <x:c r="J88" s="31" t="str">
        <x:v>well below 2°C above pre-industrial levels</x:v>
      </x:c>
      <x:c r="K88" s="19" t="str">
        <x:v>NOT_APPLICABLE</x:v>
      </x:c>
      <x:c r="L88" s="31" t="str">
        <x:v>Degree/subscript notation is not queried as an isolated public-interface Ngram.</x:v>
      </x:c>
      <x:c r="M88" s="19" t="str">
        <x:v>NOT_APPLICABLE</x:v>
      </x:c>
      <x:c r="N88" s="31" t="str">
        <x:v>NOT_APPLICABLE</x:v>
      </x:c>
      <x:c r="O88" s="43" t="str">
        <x:v>RECONSTRUCTED_FROM_REPORT</x:v>
      </x:c>
    </x:row>
    <x:row r="89" ht="27" customHeight="1">
      <x:c r="A89" s="18" t="str">
        <x:v>FT-Q-V01-085</x:v>
      </x:c>
      <x:c r="B89" s="19" t="str">
        <x:v>2015</x:v>
      </x:c>
      <x:c r="C89" s="31" t="str">
        <x:v>1.5°C above pre-industrial levels</x:v>
      </x:c>
      <x:c r="D89" s="19" t="str">
        <x:v>EXECUTABLE_CORPUS_ONLY</x:v>
      </x:c>
      <x:c r="E89" s="31" t="str">
        <x:v>NUMERIC_OR_SYMBOLIC</x:v>
      </x:c>
      <x:c r="F89" s="55" t="b">
        <x:v>0</x:v>
      </x:c>
      <x:c r="G89" s="31" t="str">
        <x:v>NOT_RUN_INCOMPATIBLE</x:v>
      </x:c>
      <x:c r="H89" s="25" t="str">
        <x:v>TECHNICALLY_UNREPRESENTABLE</x:v>
      </x:c>
      <x:c r="I89" s="25" t="n">
        <x:v>0</x:v>
      </x:c>
      <x:c r="J89" s="31" t="str">
        <x:v>1.5°C above pre-industrial levels</x:v>
      </x:c>
      <x:c r="K89" s="19" t="str">
        <x:v>NOT_APPLICABLE</x:v>
      </x:c>
      <x:c r="L89" s="31" t="str">
        <x:v>Degree/subscript notation is not queried as an isolated public-interface Ngram.</x:v>
      </x:c>
      <x:c r="M89" s="19" t="str">
        <x:v>NOT_APPLICABLE</x:v>
      </x:c>
      <x:c r="N89" s="31" t="str">
        <x:v>NOT_APPLICABLE</x:v>
      </x:c>
      <x:c r="O89" s="43" t="str">
        <x:v>RECONSTRUCTED_FROM_REPORT</x:v>
      </x:c>
    </x:row>
    <x:row r="90" ht="27" customHeight="1">
      <x:c r="A90" s="18" t="str">
        <x:v>FT-Q-V01-086</x:v>
      </x:c>
      <x:c r="B90" s="19" t="str">
        <x:v>2015</x:v>
      </x:c>
      <x:c r="C90" s="31" t="str">
        <x:v>pre-industrial levels</x:v>
      </x:c>
      <x:c r="D90" s="19" t="str">
        <x:v>EXECUTABLE_NGRAM</x:v>
      </x:c>
      <x:c r="E90" s="31" t="str">
        <x:v>COMPATIBLE</x:v>
      </x:c>
      <x:c r="F90" s="55" t="b">
        <x:v>1</x:v>
      </x:c>
      <x:c r="G90" s="31" t="str">
        <x:v>SUCCEEDED</x:v>
      </x:c>
      <x:c r="H90" s="25" t="str">
        <x:v>SUCCESS_NONZERO</x:v>
      </x:c>
      <x:c r="I90" s="25" t="n">
        <x:v>181</x:v>
      </x:c>
      <x:c r="J90" s="31" t="str">
        <x:v>pre-industrial levels</x:v>
      </x:c>
      <x:c r="K90" s="19" t="str">
        <x:v>pre - industrial levels (All)</x:v>
      </x:c>
      <x:c r="L90" s="31" t="str">
        <x:v>Compatible exact string/phrase for unsmoothed public Ngram retrieval (current interface supports up to seven words).</x:v>
      </x:c>
      <x:c r="M90" s="19" t="n">
        <x:v>46260.107719907406</x:v>
      </x:c>
      <x:c r="N90" s="31" t="str">
        <x:v>data/fear-temperature/ngram/raw/2881b2893bb9f90b34c6b55e69b178f175071000fb539d5b087f62591c3d0923.json</x:v>
      </x:c>
      <x:c r="O90" s="43" t="str">
        <x:v>RECONSTRUCTED_FROM_REPORT</x:v>
      </x:c>
    </x:row>
    <x:row r="91" ht="27" customHeight="1">
      <x:c r="A91" s="18" t="str">
        <x:v>FT-Q-V01-087</x:v>
      </x:c>
      <x:c r="B91" s="19" t="str">
        <x:v>2015</x:v>
      </x:c>
      <x:c r="C91" s="31" t="str">
        <x:v>risks and impacts</x:v>
      </x:c>
      <x:c r="D91" s="19" t="str">
        <x:v>EXECUTABLE_NGRAM</x:v>
      </x:c>
      <x:c r="E91" s="31" t="str">
        <x:v>COMPATIBLE</x:v>
      </x:c>
      <x:c r="F91" s="55" t="b">
        <x:v>1</x:v>
      </x:c>
      <x:c r="G91" s="31" t="str">
        <x:v>SUCCEEDED</x:v>
      </x:c>
      <x:c r="H91" s="25" t="str">
        <x:v>SUCCESS_NONZERO</x:v>
      </x:c>
      <x:c r="I91" s="25" t="n">
        <x:v>181</x:v>
      </x:c>
      <x:c r="J91" s="31" t="str">
        <x:v>risks and impacts</x:v>
      </x:c>
      <x:c r="K91" s="19" t="str">
        <x:v>risks and impacts (All)</x:v>
      </x:c>
      <x:c r="L91" s="31" t="str">
        <x:v>Compatible exact string/phrase for unsmoothed public Ngram retrieval (current interface supports up to seven words).</x:v>
      </x:c>
      <x:c r="M91" s="19" t="n">
        <x:v>46260.107719907406</x:v>
      </x:c>
      <x:c r="N91" s="31" t="str">
        <x:v>data/fear-temperature/ngram/raw/f2eee010d3ab2ac253dad16e8a988ee29a535b3f9fd3c70274c871172742c1fa.json</x:v>
      </x:c>
      <x:c r="O91" s="43" t="str">
        <x:v>RECONSTRUCTED_FROM_REPORT</x:v>
      </x:c>
    </x:row>
    <x:row r="92" ht="27" customHeight="1">
      <x:c r="A92" s="18" t="str">
        <x:v>FT-Q-V01-088</x:v>
      </x:c>
      <x:c r="B92" s="19" t="str">
        <x:v>2015</x:v>
      </x:c>
      <x:c r="C92" s="31" t="str">
        <x:v>adverse impacts</x:v>
      </x:c>
      <x:c r="D92" s="19" t="str">
        <x:v>EXECUTABLE_NGRAM</x:v>
      </x:c>
      <x:c r="E92" s="31" t="str">
        <x:v>COMPATIBLE</x:v>
      </x:c>
      <x:c r="F92" s="55" t="b">
        <x:v>1</x:v>
      </x:c>
      <x:c r="G92" s="31" t="str">
        <x:v>SUCCEEDED</x:v>
      </x:c>
      <x:c r="H92" s="25" t="str">
        <x:v>SUCCESS_NONZERO</x:v>
      </x:c>
      <x:c r="I92" s="25" t="n">
        <x:v>181</x:v>
      </x:c>
      <x:c r="J92" s="31" t="str">
        <x:v>adverse impacts</x:v>
      </x:c>
      <x:c r="K92" s="19" t="str">
        <x:v>adverse impacts (All)</x:v>
      </x:c>
      <x:c r="L92" s="31" t="str">
        <x:v>Compatible exact string/phrase for unsmoothed public Ngram retrieval (current interface supports up to seven words).</x:v>
      </x:c>
      <x:c r="M92" s="19" t="n">
        <x:v>46260.10773148148</x:v>
      </x:c>
      <x:c r="N92" s="31" t="str">
        <x:v>data/fear-temperature/ngram/raw/ca32195a736f01bebb286362f731491393c9174f8b7dda50446f400cf3ec81ea.json</x:v>
      </x:c>
      <x:c r="O92" s="43" t="str">
        <x:v>RECONSTRUCTED_FROM_REPORT</x:v>
      </x:c>
    </x:row>
    <x:row r="93" ht="27" customHeight="1">
      <x:c r="A93" s="18" t="str">
        <x:v>FT-Q-V01-089</x:v>
      </x:c>
      <x:c r="B93" s="19" t="str">
        <x:v>2015</x:v>
      </x:c>
      <x:c r="C93" s="31" t="str">
        <x:v>adverse effects of climate change</x:v>
      </x:c>
      <x:c r="D93" s="19" t="str">
        <x:v>EXECUTABLE_NGRAM</x:v>
      </x:c>
      <x:c r="E93" s="31" t="str">
        <x:v>COMPATIBLE</x:v>
      </x:c>
      <x:c r="F93" s="55" t="b">
        <x:v>1</x:v>
      </x:c>
      <x:c r="G93" s="31" t="str">
        <x:v>SUCCEEDED</x:v>
      </x:c>
      <x:c r="H93" s="25" t="str">
        <x:v>SUCCESS_NONZERO</x:v>
      </x:c>
      <x:c r="I93" s="25" t="n">
        <x:v>181</x:v>
      </x:c>
      <x:c r="J93" s="31" t="str">
        <x:v>adverse effects of climate change</x:v>
      </x:c>
      <x:c r="K93" s="19" t="str">
        <x:v>adverse effects of climate change (All)</x:v>
      </x:c>
      <x:c r="L93" s="31" t="str">
        <x:v>Compatible exact string/phrase for unsmoothed public Ngram retrieval (current interface supports up to seven words).</x:v>
      </x:c>
      <x:c r="M93" s="19" t="n">
        <x:v>46260.10774305555</x:v>
      </x:c>
      <x:c r="N93" s="31" t="str">
        <x:v>data/fear-temperature/ngram/raw/6cd471adbfc5a4ba1c140cf1b0bb66ae2800dcb64e4a80dc1708e81d2b1e0278.json</x:v>
      </x:c>
      <x:c r="O93" s="43" t="str">
        <x:v>RECONSTRUCTED_FROM_REPORT</x:v>
      </x:c>
    </x:row>
    <x:row r="94" ht="27" customHeight="1">
      <x:c r="A94" s="18" t="str">
        <x:v>FT-Q-V01-090</x:v>
      </x:c>
      <x:c r="B94" s="19" t="str">
        <x:v>2015</x:v>
      </x:c>
      <x:c r="C94" s="31" t="str">
        <x:v>greenhouse gas emissions</x:v>
      </x:c>
      <x:c r="D94" s="19" t="str">
        <x:v>EXECUTABLE_NGRAM</x:v>
      </x:c>
      <x:c r="E94" s="31" t="str">
        <x:v>COMPATIBLE</x:v>
      </x:c>
      <x:c r="F94" s="55" t="b">
        <x:v>1</x:v>
      </x:c>
      <x:c r="G94" s="31" t="str">
        <x:v>SUCCEEDED</x:v>
      </x:c>
      <x:c r="H94" s="25" t="str">
        <x:v>SUCCESS_NONZERO</x:v>
      </x:c>
      <x:c r="I94" s="25" t="n">
        <x:v>181</x:v>
      </x:c>
      <x:c r="J94" s="31" t="str">
        <x:v>greenhouse gas emissions</x:v>
      </x:c>
      <x:c r="K94" s="19" t="str">
        <x:v>greenhouse gas emissions (All)</x:v>
      </x:c>
      <x:c r="L94" s="31" t="str">
        <x:v>Compatible exact string/phrase for unsmoothed public Ngram retrieval (current interface supports up to seven words).</x:v>
      </x:c>
      <x:c r="M94" s="19" t="n">
        <x:v>46260.10775462963</x:v>
      </x:c>
      <x:c r="N94" s="31" t="str">
        <x:v>data/fear-temperature/ngram/raw/76b11e33a5bc00d4a70cd7cd5a433e1f985ce44395b87f40f95baf9a424ebb9f.json</x:v>
      </x:c>
      <x:c r="O94" s="43" t="str">
        <x:v>RECONSTRUCTED_FROM_REPORT</x:v>
      </x:c>
    </x:row>
    <x:row r="95" ht="27" customHeight="1">
      <x:c r="A95" s="18" t="str">
        <x:v>FT-Q-V01-091</x:v>
      </x:c>
      <x:c r="B95" s="19" t="str">
        <x:v>2015</x:v>
      </x:c>
      <x:c r="C95" s="31" t="str">
        <x:v>climate resilience</x:v>
      </x:c>
      <x:c r="D95" s="19" t="str">
        <x:v>EXECUTABLE_NGRAM</x:v>
      </x:c>
      <x:c r="E95" s="31" t="str">
        <x:v>COMPATIBLE</x:v>
      </x:c>
      <x:c r="F95" s="55" t="b">
        <x:v>1</x:v>
      </x:c>
      <x:c r="G95" s="31" t="str">
        <x:v>SUCCEEDED</x:v>
      </x:c>
      <x:c r="H95" s="25" t="str">
        <x:v>SUCCESS_NONZERO</x:v>
      </x:c>
      <x:c r="I95" s="25" t="n">
        <x:v>181</x:v>
      </x:c>
      <x:c r="J95" s="31" t="str">
        <x:v>climate resilience</x:v>
      </x:c>
      <x:c r="K95" s="19" t="str">
        <x:v>climate resilience (All)</x:v>
      </x:c>
      <x:c r="L95" s="31" t="str">
        <x:v>Compatible exact string/phrase for unsmoothed public Ngram retrieval (current interface supports up to seven words).</x:v>
      </x:c>
      <x:c r="M95" s="19" t="n">
        <x:v>46260.107766203706</x:v>
      </x:c>
      <x:c r="N95" s="31" t="str">
        <x:v>data/fear-temperature/ngram/raw/92704c26947e3df5352fb6efc8254b2c45a554c7aeacf18289357f8535c68963.json</x:v>
      </x:c>
      <x:c r="O95" s="43" t="str">
        <x:v>RECONSTRUCTED_FROM_REPORT</x:v>
      </x:c>
    </x:row>
    <x:row r="96" ht="27" customHeight="1">
      <x:c r="A96" s="18" t="str">
        <x:v>FT-Q-V01-092</x:v>
      </x:c>
      <x:c r="B96" s="19" t="str">
        <x:v>2015</x:v>
      </x:c>
      <x:c r="C96" s="31" t="str">
        <x:v>vulnerability</x:v>
      </x:c>
      <x:c r="D96" s="19" t="str">
        <x:v>EXECUTABLE_NGRAM</x:v>
      </x:c>
      <x:c r="E96" s="31" t="str">
        <x:v>COMPATIBLE</x:v>
      </x:c>
      <x:c r="F96" s="55" t="b">
        <x:v>1</x:v>
      </x:c>
      <x:c r="G96" s="31" t="str">
        <x:v>SUCCEEDED</x:v>
      </x:c>
      <x:c r="H96" s="25" t="str">
        <x:v>SUCCESS_NONZERO</x:v>
      </x:c>
      <x:c r="I96" s="25" t="n">
        <x:v>181</x:v>
      </x:c>
      <x:c r="J96" s="31" t="str">
        <x:v>vulnerability</x:v>
      </x:c>
      <x:c r="K96" s="19" t="str">
        <x:v>vulnerability (All)</x:v>
      </x:c>
      <x:c r="L96" s="31" t="str">
        <x:v>Compatible exact string/phrase for unsmoothed public Ngram retrieval (current interface supports up to seven words).</x:v>
      </x:c>
      <x:c r="M96" s="19" t="n">
        <x:v>46260.107777777775</x:v>
      </x:c>
      <x:c r="N96" s="31" t="str">
        <x:v>data/fear-temperature/ngram/raw/e3aaf62677c5b9972e9e9767131d1c45ead25c9c6ac869d7f84391f12e762596.json</x:v>
      </x:c>
      <x:c r="O96" s="43" t="str">
        <x:v>RECONSTRUCTED_FROM_REPORT</x:v>
      </x:c>
    </x:row>
    <x:row r="97" ht="27" customHeight="1">
      <x:c r="A97" s="18" t="str">
        <x:v>FT-Q-V01-093</x:v>
      </x:c>
      <x:c r="B97" s="19" t="str">
        <x:v>2015</x:v>
      </x:c>
      <x:c r="C97" s="31" t="str">
        <x:v>vulnerable groups</x:v>
      </x:c>
      <x:c r="D97" s="19" t="str">
        <x:v>EXECUTABLE_NGRAM</x:v>
      </x:c>
      <x:c r="E97" s="31" t="str">
        <x:v>COMPATIBLE</x:v>
      </x:c>
      <x:c r="F97" s="55" t="b">
        <x:v>1</x:v>
      </x:c>
      <x:c r="G97" s="31" t="str">
        <x:v>SUCCEEDED</x:v>
      </x:c>
      <x:c r="H97" s="25" t="str">
        <x:v>SUCCESS_NONZERO</x:v>
      </x:c>
      <x:c r="I97" s="25" t="n">
        <x:v>181</x:v>
      </x:c>
      <x:c r="J97" s="31" t="str">
        <x:v>vulnerable groups</x:v>
      </x:c>
      <x:c r="K97" s="19" t="str">
        <x:v>vulnerable groups (All)</x:v>
      </x:c>
      <x:c r="L97" s="31" t="str">
        <x:v>Compatible exact string/phrase for unsmoothed public Ngram retrieval (current interface supports up to seven words).</x:v>
      </x:c>
      <x:c r="M97" s="19" t="n">
        <x:v>46260.107777777775</x:v>
      </x:c>
      <x:c r="N97" s="31" t="str">
        <x:v>data/fear-temperature/ngram/raw/c1c2349a76191b6ffd2a6c32c4dea78e0f8dec919502a5c3d1bfe00aad11a917.json</x:v>
      </x:c>
      <x:c r="O97" s="43" t="str">
        <x:v>RECONSTRUCTED_FROM_REPORT</x:v>
      </x:c>
    </x:row>
    <x:row r="98" ht="27" customHeight="1">
      <x:c r="A98" s="18" t="str">
        <x:v>FT-Q-V01-094</x:v>
      </x:c>
      <x:c r="B98" s="19" t="str">
        <x:v>2015</x:v>
      </x:c>
      <x:c r="C98" s="31" t="str">
        <x:v>loss and damage</x:v>
      </x:c>
      <x:c r="D98" s="19" t="str">
        <x:v>EXECUTABLE_NGRAM</x:v>
      </x:c>
      <x:c r="E98" s="31" t="str">
        <x:v>COMPATIBLE</x:v>
      </x:c>
      <x:c r="F98" s="55" t="b">
        <x:v>1</x:v>
      </x:c>
      <x:c r="G98" s="31" t="str">
        <x:v>SUCCEEDED</x:v>
      </x:c>
      <x:c r="H98" s="25" t="str">
        <x:v>SUCCESS_NONZERO</x:v>
      </x:c>
      <x:c r="I98" s="25" t="n">
        <x:v>181</x:v>
      </x:c>
      <x:c r="J98" s="31" t="str">
        <x:v>loss and damage</x:v>
      </x:c>
      <x:c r="K98" s="19" t="str">
        <x:v>loss and damage (All)</x:v>
      </x:c>
      <x:c r="L98" s="31" t="str">
        <x:v>Compatible exact string/phrase for unsmoothed public Ngram retrieval (current interface supports up to seven words).</x:v>
      </x:c>
      <x:c r="M98" s="19" t="n">
        <x:v>46260.10778935185</x:v>
      </x:c>
      <x:c r="N98" s="31" t="str">
        <x:v>data/fear-temperature/ngram/raw/2a8f32859c14ca29219aef3fba343d7b66fdc9599f2050be8c5c3ae3c3caff20.json</x:v>
      </x:c>
      <x:c r="O98" s="43" t="str">
        <x:v>RECONSTRUCTED_FROM_REPORT</x:v>
      </x:c>
    </x:row>
    <x:row r="99" ht="27" customHeight="1">
      <x:c r="A99" s="18" t="str">
        <x:v>FT-Q-V01-095</x:v>
      </x:c>
      <x:c r="B99" s="19" t="str">
        <x:v>2015</x:v>
      </x:c>
      <x:c r="C99" s="31" t="str">
        <x:v>extreme weather events</x:v>
      </x:c>
      <x:c r="D99" s="19" t="str">
        <x:v>EXECUTABLE_NGRAM</x:v>
      </x:c>
      <x:c r="E99" s="31" t="str">
        <x:v>COMPATIBLE</x:v>
      </x:c>
      <x:c r="F99" s="55" t="b">
        <x:v>1</x:v>
      </x:c>
      <x:c r="G99" s="31" t="str">
        <x:v>SUCCEEDED</x:v>
      </x:c>
      <x:c r="H99" s="25" t="str">
        <x:v>SUCCESS_NONZERO</x:v>
      </x:c>
      <x:c r="I99" s="25" t="n">
        <x:v>181</x:v>
      </x:c>
      <x:c r="J99" s="31" t="str">
        <x:v>extreme weather events</x:v>
      </x:c>
      <x:c r="K99" s="19" t="str">
        <x:v>extreme weather events (All)</x:v>
      </x:c>
      <x:c r="L99" s="31" t="str">
        <x:v>Compatible exact string/phrase for unsmoothed public Ngram retrieval (current interface supports up to seven words).</x:v>
      </x:c>
      <x:c r="M99" s="19" t="n">
        <x:v>46260.10780092593</x:v>
      </x:c>
      <x:c r="N99" s="31" t="str">
        <x:v>data/fear-temperature/ngram/raw/41ea78235d646a87a5662d877bdd2935cd19152295e4a22d8c9909ea0c9b64d1.json</x:v>
      </x:c>
      <x:c r="O99" s="43" t="str">
        <x:v>RECONSTRUCTED_FROM_REPORT</x:v>
      </x:c>
    </x:row>
    <x:row r="100" ht="27" customHeight="1">
      <x:c r="A100" s="18" t="str">
        <x:v>FT-Q-V01-096</x:v>
      </x:c>
      <x:c r="B100" s="19" t="str">
        <x:v>2015</x:v>
      </x:c>
      <x:c r="C100" s="31" t="str">
        <x:v>slow onset events</x:v>
      </x:c>
      <x:c r="D100" s="19" t="str">
        <x:v>EXECUTABLE_NGRAM</x:v>
      </x:c>
      <x:c r="E100" s="31" t="str">
        <x:v>COMPATIBLE</x:v>
      </x:c>
      <x:c r="F100" s="55" t="b">
        <x:v>1</x:v>
      </x:c>
      <x:c r="G100" s="31" t="str">
        <x:v>SUCCEEDED</x:v>
      </x:c>
      <x:c r="H100" s="25" t="str">
        <x:v>SUCCESS_NONZERO</x:v>
      </x:c>
      <x:c r="I100" s="25" t="n">
        <x:v>181</x:v>
      </x:c>
      <x:c r="J100" s="31" t="str">
        <x:v>slow onset events</x:v>
      </x:c>
      <x:c r="K100" s="19" t="str">
        <x:v>slow onset events (All)</x:v>
      </x:c>
      <x:c r="L100" s="31" t="str">
        <x:v>Compatible exact string/phrase for unsmoothed public Ngram retrieval (current interface supports up to seven words).</x:v>
      </x:c>
      <x:c r="M100" s="19" t="n">
        <x:v>46260.1078125</x:v>
      </x:c>
      <x:c r="N100" s="31" t="str">
        <x:v>data/fear-temperature/ngram/raw/5439fab30f12eefa137527403d8b5cd053c082ce42c62d8a7a910a9e8ddf7ada.json</x:v>
      </x:c>
      <x:c r="O100" s="43" t="str">
        <x:v>RECONSTRUCTED_FROM_REPORT</x:v>
      </x:c>
    </x:row>
    <x:row r="101" ht="27" customHeight="1">
      <x:c r="A101" s="18" t="str">
        <x:v>FT-Q-V01-097</x:v>
      </x:c>
      <x:c r="B101" s="19" t="str">
        <x:v>2015</x:v>
      </x:c>
      <x:c r="C101" s="31" t="str">
        <x:v>risk of loss and damage</x:v>
      </x:c>
      <x:c r="D101" s="19" t="str">
        <x:v>EXECUTABLE_NGRAM</x:v>
      </x:c>
      <x:c r="E101" s="31" t="str">
        <x:v>COMPATIBLE</x:v>
      </x:c>
      <x:c r="F101" s="55" t="b">
        <x:v>1</x:v>
      </x:c>
      <x:c r="G101" s="31" t="str">
        <x:v>SUCCEEDED</x:v>
      </x:c>
      <x:c r="H101" s="25" t="str">
        <x:v>SUCCESS_NONZERO</x:v>
      </x:c>
      <x:c r="I101" s="25" t="n">
        <x:v>181</x:v>
      </x:c>
      <x:c r="J101" s="31" t="str">
        <x:v>risk of loss and damage</x:v>
      </x:c>
      <x:c r="K101" s="19" t="str">
        <x:v>risk of loss and damage (All)</x:v>
      </x:c>
      <x:c r="L101" s="31" t="str">
        <x:v>Compatible exact string/phrase for unsmoothed public Ngram retrieval (current interface supports up to seven words).</x:v>
      </x:c>
      <x:c r="M101" s="19" t="n">
        <x:v>46260.10791666667</x:v>
      </x:c>
      <x:c r="N101" s="31" t="str">
        <x:v>data/fear-temperature/ngram/raw/b6bda48b4b592fbca5ae78c2cb683e73c7e0fff263baea2b4c915799da173acf.json</x:v>
      </x:c>
      <x:c r="O101" s="43" t="str">
        <x:v>RECONSTRUCTED_FROM_REPORT</x:v>
      </x:c>
    </x:row>
    <x:row r="102" ht="27" customHeight="1">
      <x:c r="A102" s="18" t="str">
        <x:v>FT-Q-V01-098</x:v>
      </x:c>
      <x:c r="B102" s="19" t="str">
        <x:v>2015</x:v>
      </x:c>
      <x:c r="C102" s="31" t="str">
        <x:v>early warning systems</x:v>
      </x:c>
      <x:c r="D102" s="19" t="str">
        <x:v>EXECUTABLE_NGRAM</x:v>
      </x:c>
      <x:c r="E102" s="31" t="str">
        <x:v>COMPATIBLE</x:v>
      </x:c>
      <x:c r="F102" s="55" t="b">
        <x:v>1</x:v>
      </x:c>
      <x:c r="G102" s="31" t="str">
        <x:v>SUCCEEDED</x:v>
      </x:c>
      <x:c r="H102" s="25" t="str">
        <x:v>SUCCESS_NONZERO</x:v>
      </x:c>
      <x:c r="I102" s="25" t="n">
        <x:v>181</x:v>
      </x:c>
      <x:c r="J102" s="31" t="str">
        <x:v>early warning systems</x:v>
      </x:c>
      <x:c r="K102" s="19" t="str">
        <x:v>early warning systems (All)</x:v>
      </x:c>
      <x:c r="L102" s="31" t="str">
        <x:v>Compatible exact string/phrase for unsmoothed public Ngram retrieval (current interface supports up to seven words).</x:v>
      </x:c>
      <x:c r="M102" s="19" t="n">
        <x:v>46260.10792824074</x:v>
      </x:c>
      <x:c r="N102" s="31" t="str">
        <x:v>data/fear-temperature/ngram/raw/db7720e0093df08b9b566f8653346c9ee2ee9d6f76372c131ccb58cb8b5cbdc9.json</x:v>
      </x:c>
      <x:c r="O102" s="43" t="str">
        <x:v>RECONSTRUCTED_FROM_REPORT</x:v>
      </x:c>
    </x:row>
    <x:row r="103" ht="27" customHeight="1">
      <x:c r="A103" s="18" t="str">
        <x:v>FT-Q-V01-099</x:v>
      </x:c>
      <x:c r="B103" s="19" t="str">
        <x:v>2015</x:v>
      </x:c>
      <x:c r="C103" s="31" t="str">
        <x:v>emergency preparedness</x:v>
      </x:c>
      <x:c r="D103" s="19" t="str">
        <x:v>EXECUTABLE_NGRAM</x:v>
      </x:c>
      <x:c r="E103" s="31" t="str">
        <x:v>COMPATIBLE</x:v>
      </x:c>
      <x:c r="F103" s="55" t="b">
        <x:v>1</x:v>
      </x:c>
      <x:c r="G103" s="31" t="str">
        <x:v>SUCCEEDED</x:v>
      </x:c>
      <x:c r="H103" s="25" t="str">
        <x:v>SUCCESS_NONZERO</x:v>
      </x:c>
      <x:c r="I103" s="25" t="n">
        <x:v>181</x:v>
      </x:c>
      <x:c r="J103" s="31" t="str">
        <x:v>emergency preparedness</x:v>
      </x:c>
      <x:c r="K103" s="19" t="str">
        <x:v>emergency preparedness (All)</x:v>
      </x:c>
      <x:c r="L103" s="31" t="str">
        <x:v>Compatible exact string/phrase for unsmoothed public Ngram retrieval (current interface supports up to seven words).</x:v>
      </x:c>
      <x:c r="M103" s="19" t="n">
        <x:v>46260.107939814814</x:v>
      </x:c>
      <x:c r="N103" s="31" t="str">
        <x:v>data/fear-temperature/ngram/raw/6b662c4eda6184bd92d9d0037f495d86d50dc584d45cc46a4545b53d474d2828.json</x:v>
      </x:c>
      <x:c r="O103" s="43" t="str">
        <x:v>RECONSTRUCTED_FROM_REPORT</x:v>
      </x:c>
    </x:row>
    <x:row r="104" ht="27" customHeight="1">
      <x:c r="A104" s="18" t="str">
        <x:v>FT-Q-V01-100</x:v>
      </x:c>
      <x:c r="B104" s="19" t="str">
        <x:v>2015</x:v>
      </x:c>
      <x:c r="C104" s="31" t="str">
        <x:v>irreversible and permanent loss and damage</x:v>
      </x:c>
      <x:c r="D104" s="19" t="str">
        <x:v>EXECUTABLE_NGRAM</x:v>
      </x:c>
      <x:c r="E104" s="31" t="str">
        <x:v>COMPATIBLE</x:v>
      </x:c>
      <x:c r="F104" s="55" t="b">
        <x:v>1</x:v>
      </x:c>
      <x:c r="G104" s="31" t="str">
        <x:v>SUCCEEDED</x:v>
      </x:c>
      <x:c r="H104" s="25" t="str">
        <x:v>SUCCESS_NONZERO</x:v>
      </x:c>
      <x:c r="I104" s="25" t="n">
        <x:v>181</x:v>
      </x:c>
      <x:c r="J104" s="31" t="str">
        <x:v>irreversible and permanent loss and damage</x:v>
      </x:c>
      <x:c r="K104" s="19" t="str">
        <x:v>irreversible and permanent loss and damage</x:v>
      </x:c>
      <x:c r="L104" s="31" t="str">
        <x:v>Compatible exact string/phrase for unsmoothed public Ngram retrieval (current interface supports up to seven words).</x:v>
      </x:c>
      <x:c r="M104" s="19" t="n">
        <x:v>46260.10795138889</x:v>
      </x:c>
      <x:c r="N104" s="31" t="str">
        <x:v>data/fear-temperature/ngram/raw/0ef67b7c065caacb93d84434be0b418fa5d590360386c1b856d05e4d43e9bbfd.json</x:v>
      </x:c>
      <x:c r="O104" s="43" t="str">
        <x:v>RECONSTRUCTED_FROM_REPORT</x:v>
      </x:c>
    </x:row>
    <x:row r="105" ht="27" customHeight="1">
      <x:c r="A105" s="18" t="str">
        <x:v>FT-Q-V01-101</x:v>
      </x:c>
      <x:c r="B105" s="19" t="str">
        <x:v>2022</x:v>
      </x:c>
      <x:c r="C105" s="31" t="str">
        <x:v>climate change</x:v>
      </x:c>
      <x:c r="D105" s="19" t="str">
        <x:v>EXECUTABLE_NGRAM</x:v>
      </x:c>
      <x:c r="E105" s="31" t="str">
        <x:v>COMPATIBLE</x:v>
      </x:c>
      <x:c r="F105" s="55" t="b">
        <x:v>1</x:v>
      </x:c>
      <x:c r="G105" s="31" t="str">
        <x:v>SUCCEEDED</x:v>
      </x:c>
      <x:c r="H105" s="25" t="str">
        <x:v>SUCCESS_NONZERO</x:v>
      </x:c>
      <x:c r="I105" s="25" t="n">
        <x:v>181</x:v>
      </x:c>
      <x:c r="J105" s="31" t="str">
        <x:v>climate change</x:v>
      </x:c>
      <x:c r="K105" s="19" t="str">
        <x:v>climate change (All)</x:v>
      </x:c>
      <x:c r="L105" s="31" t="str">
        <x:v>Compatible exact string/phrase for unsmoothed public Ngram retrieval (current interface supports up to seven words).</x:v>
      </x:c>
      <x:c r="M105" s="19" t="n">
        <x:v>46260.10760416667</x:v>
      </x:c>
      <x:c r="N105" s="31" t="str">
        <x:v>data/fear-temperature/ngram/raw/c0c3021f09dbdf3542c85e1a8bd4e013bd4d99d85af63bbd55f5e05a6a7ddd2b.json</x:v>
      </x:c>
      <x:c r="O105" s="43" t="str">
        <x:v>RECONSTRUCTED_FROM_REPORT</x:v>
      </x:c>
    </x:row>
    <x:row r="106" ht="27" customHeight="1">
      <x:c r="A106" s="18" t="str">
        <x:v>FT-Q-V01-102</x:v>
      </x:c>
      <x:c r="B106" s="19" t="str">
        <x:v>2022</x:v>
      </x:c>
      <x:c r="C106" s="31" t="str">
        <x:v>global warming</x:v>
      </x:c>
      <x:c r="D106" s="19" t="str">
        <x:v>EXECUTABLE_NGRAM</x:v>
      </x:c>
      <x:c r="E106" s="31" t="str">
        <x:v>COMPATIBLE</x:v>
      </x:c>
      <x:c r="F106" s="55" t="b">
        <x:v>1</x:v>
      </x:c>
      <x:c r="G106" s="31" t="str">
        <x:v>SUCCEEDED</x:v>
      </x:c>
      <x:c r="H106" s="25" t="str">
        <x:v>SUCCESS_NONZERO</x:v>
      </x:c>
      <x:c r="I106" s="25" t="n">
        <x:v>181</x:v>
      </x:c>
      <x:c r="J106" s="31" t="str">
        <x:v>global warming</x:v>
      </x:c>
      <x:c r="K106" s="19" t="str">
        <x:v>global warming (All)</x:v>
      </x:c>
      <x:c r="L106" s="31" t="str">
        <x:v>Compatible exact string/phrase for unsmoothed public Ngram retrieval (current interface supports up to seven words).</x:v>
      </x:c>
      <x:c r="M106" s="19" t="n">
        <x:v>46260.107256944444</x:v>
      </x:c>
      <x:c r="N106" s="31" t="str">
        <x:v>data/fear-temperature/ngram/raw/e982c3b5d6e77fc759f19bb2931d892bfaa9221ade4a44977579a8d5a8afab71.json</x:v>
      </x:c>
      <x:c r="O106" s="43" t="str">
        <x:v>RECONSTRUCTED_FROM_REPORT</x:v>
      </x:c>
    </x:row>
    <x:row r="107" ht="27" customHeight="1">
      <x:c r="A107" s="18" t="str">
        <x:v>FT-Q-V01-103</x:v>
      </x:c>
      <x:c r="B107" s="19" t="str">
        <x:v>2022</x:v>
      </x:c>
      <x:c r="C107" s="31" t="str">
        <x:v>very worried</x:v>
      </x:c>
      <x:c r="D107" s="19" t="str">
        <x:v>EXECUTABLE_NGRAM</x:v>
      </x:c>
      <x:c r="E107" s="31" t="str">
        <x:v>COMPATIBLE</x:v>
      </x:c>
      <x:c r="F107" s="55" t="b">
        <x:v>1</x:v>
      </x:c>
      <x:c r="G107" s="31" t="str">
        <x:v>SUCCEEDED</x:v>
      </x:c>
      <x:c r="H107" s="25" t="str">
        <x:v>SUCCESS_NONZERO</x:v>
      </x:c>
      <x:c r="I107" s="25" t="n">
        <x:v>181</x:v>
      </x:c>
      <x:c r="J107" s="31" t="str">
        <x:v>very worried</x:v>
      </x:c>
      <x:c r="K107" s="19" t="str">
        <x:v>very worried (All)</x:v>
      </x:c>
      <x:c r="L107" s="31" t="str">
        <x:v>Compatible exact string/phrase for unsmoothed public Ngram retrieval (current interface supports up to seven words).</x:v>
      </x:c>
      <x:c r="M107" s="19" t="n">
        <x:v>46260.10796296296</x:v>
      </x:c>
      <x:c r="N107" s="31" t="str">
        <x:v>data/fear-temperature/ngram/raw/f526cd2f784872130404682caca300afe87335e50333313d2bc99fcd1c9e6323.json</x:v>
      </x:c>
      <x:c r="O107" s="43" t="str">
        <x:v>RECONSTRUCTED_FROM_REPORT</x:v>
      </x:c>
    </x:row>
    <x:row r="108" ht="27" customHeight="1">
      <x:c r="A108" s="18" t="str">
        <x:v>FT-Q-V01-104</x:v>
      </x:c>
      <x:c r="B108" s="19" t="str">
        <x:v>2022</x:v>
      </x:c>
      <x:c r="C108" s="31" t="str">
        <x:v>somewhat worried</x:v>
      </x:c>
      <x:c r="D108" s="19" t="str">
        <x:v>EXECUTABLE_NGRAM</x:v>
      </x:c>
      <x:c r="E108" s="31" t="str">
        <x:v>COMPATIBLE</x:v>
      </x:c>
      <x:c r="F108" s="55" t="b">
        <x:v>1</x:v>
      </x:c>
      <x:c r="G108" s="31" t="str">
        <x:v>SUCCEEDED</x:v>
      </x:c>
      <x:c r="H108" s="25" t="str">
        <x:v>SUCCESS_NONZERO</x:v>
      </x:c>
      <x:c r="I108" s="25" t="n">
        <x:v>181</x:v>
      </x:c>
      <x:c r="J108" s="31" t="str">
        <x:v>somewhat worried</x:v>
      </x:c>
      <x:c r="K108" s="19" t="str">
        <x:v>somewhat worried (All)</x:v>
      </x:c>
      <x:c r="L108" s="31" t="str">
        <x:v>Compatible exact string/phrase for unsmoothed public Ngram retrieval (current interface supports up to seven words).</x:v>
      </x:c>
      <x:c r="M108" s="19" t="n">
        <x:v>46260.10797453704</x:v>
      </x:c>
      <x:c r="N108" s="31" t="str">
        <x:v>data/fear-temperature/ngram/raw/5acfc1306b3a13d5d65432940489e2b50940bd9a14347e9c6f374920fc2eeb52.json</x:v>
      </x:c>
      <x:c r="O108" s="43" t="str">
        <x:v>RECONSTRUCTED_FROM_REPORT</x:v>
      </x:c>
    </x:row>
    <x:row r="109" ht="27" customHeight="1">
      <x:c r="A109" s="18" t="str">
        <x:v>FT-Q-V01-105</x:v>
      </x:c>
      <x:c r="B109" s="19" t="str">
        <x:v>2022</x:v>
      </x:c>
      <x:c r="C109" s="31" t="str">
        <x:v>afraid</x:v>
      </x:c>
      <x:c r="D109" s="19" t="str">
        <x:v>BACKGROUND_AMBIGUOUS</x:v>
      </x:c>
      <x:c r="E109" s="31" t="str">
        <x:v>COMPATIBLE</x:v>
      </x:c>
      <x:c r="F109" s="55" t="b">
        <x:v>1</x:v>
      </x:c>
      <x:c r="G109" s="31" t="str">
        <x:v>SUCCEEDED</x:v>
      </x:c>
      <x:c r="H109" s="25" t="str">
        <x:v>SUCCESS_NONZERO</x:v>
      </x:c>
      <x:c r="I109" s="25" t="n">
        <x:v>181</x:v>
      </x:c>
      <x:c r="J109" s="31" t="str">
        <x:v>afraid</x:v>
      </x:c>
      <x:c r="K109" s="19" t="str">
        <x:v>afraid (All)</x:v>
      </x:c>
      <x:c r="L109" s="31" t="str">
        <x:v>Compatible exact string/phrase for unsmoothed public Ngram retrieval (current interface supports up to seven words).</x:v>
      </x:c>
      <x:c r="M109" s="19" t="n">
        <x:v>46260.10797453704</x:v>
      </x:c>
      <x:c r="N109" s="31" t="str">
        <x:v>data/fear-temperature/ngram/raw/62c539c6f003ab8a35487500472daf71f2a80584f1fa1ea2da6aa2bce785ebb8.json</x:v>
      </x:c>
      <x:c r="O109" s="43" t="str">
        <x:v>RECONSTRUCTED_FROM_REPORT</x:v>
      </x:c>
    </x:row>
    <x:row r="110" ht="27" customHeight="1">
      <x:c r="A110" s="18" t="str">
        <x:v>FT-Q-V01-106</x:v>
      </x:c>
      <x:c r="B110" s="19" t="str">
        <x:v>2022</x:v>
      </x:c>
      <x:c r="C110" s="31" t="str">
        <x:v>anxious</x:v>
      </x:c>
      <x:c r="D110" s="19" t="str">
        <x:v>EXECUTABLE_NGRAM</x:v>
      </x:c>
      <x:c r="E110" s="31" t="str">
        <x:v>COMPATIBLE</x:v>
      </x:c>
      <x:c r="F110" s="55" t="b">
        <x:v>1</x:v>
      </x:c>
      <x:c r="G110" s="31" t="str">
        <x:v>SUCCEEDED</x:v>
      </x:c>
      <x:c r="H110" s="25" t="str">
        <x:v>SUCCESS_NONZERO</x:v>
      </x:c>
      <x:c r="I110" s="25" t="n">
        <x:v>181</x:v>
      </x:c>
      <x:c r="J110" s="31" t="str">
        <x:v>anxious</x:v>
      </x:c>
      <x:c r="K110" s="19" t="str">
        <x:v>anxious (All)</x:v>
      </x:c>
      <x:c r="L110" s="31" t="str">
        <x:v>Compatible exact string/phrase for unsmoothed public Ngram retrieval (current interface supports up to seven words).</x:v>
      </x:c>
      <x:c r="M110" s="19" t="n">
        <x:v>46260.107986111114</x:v>
      </x:c>
      <x:c r="N110" s="31" t="str">
        <x:v>data/fear-temperature/ngram/raw/2107eccb0485a4ca882ccf647c440758210c000f228ba9db9af26d8c66a765d7.json</x:v>
      </x:c>
      <x:c r="O110" s="43" t="str">
        <x:v>RECONSTRUCTED_FROM_REPORT</x:v>
      </x:c>
    </x:row>
    <x:row r="111" ht="27" customHeight="1">
      <x:c r="A111" s="18" t="str">
        <x:v>FT-Q-V01-107</x:v>
      </x:c>
      <x:c r="B111" s="19" t="str">
        <x:v>2022</x:v>
      </x:c>
      <x:c r="C111" s="31" t="str">
        <x:v>hopeless</x:v>
      </x:c>
      <x:c r="D111" s="19" t="str">
        <x:v>EXECUTABLE_NGRAM</x:v>
      </x:c>
      <x:c r="E111" s="31" t="str">
        <x:v>COMPATIBLE</x:v>
      </x:c>
      <x:c r="F111" s="55" t="b">
        <x:v>1</x:v>
      </x:c>
      <x:c r="G111" s="31" t="str">
        <x:v>SUCCEEDED</x:v>
      </x:c>
      <x:c r="H111" s="25" t="str">
        <x:v>SUCCESS_NONZERO</x:v>
      </x:c>
      <x:c r="I111" s="25" t="n">
        <x:v>181</x:v>
      </x:c>
      <x:c r="J111" s="31" t="str">
        <x:v>hopeless</x:v>
      </x:c>
      <x:c r="K111" s="19" t="str">
        <x:v>hopeless (All)</x:v>
      </x:c>
      <x:c r="L111" s="31" t="str">
        <x:v>Compatible exact string/phrase for unsmoothed public Ngram retrieval (current interface supports up to seven words).</x:v>
      </x:c>
      <x:c r="M111" s="19" t="n">
        <x:v>46260.10799768518</x:v>
      </x:c>
      <x:c r="N111" s="31" t="str">
        <x:v>data/fear-temperature/ngram/raw/5e7eb5b7a08faad04d037212a71a6f31398290267b6855e9bb04c5f2cfe60f53.json</x:v>
      </x:c>
      <x:c r="O111" s="43" t="str">
        <x:v>RECONSTRUCTED_FROM_REPORT</x:v>
      </x:c>
    </x:row>
    <x:row r="112" ht="27" customHeight="1">
      <x:c r="A112" s="18" t="str">
        <x:v>FT-Q-V01-108</x:v>
      </x:c>
      <x:c r="B112" s="19" t="str">
        <x:v>2022</x:v>
      </x:c>
      <x:c r="C112" s="31" t="str">
        <x:v>sad</x:v>
      </x:c>
      <x:c r="D112" s="19" t="str">
        <x:v>EXECUTABLE_NGRAM</x:v>
      </x:c>
      <x:c r="E112" s="31" t="str">
        <x:v>COMPATIBLE</x:v>
      </x:c>
      <x:c r="F112" s="55" t="b">
        <x:v>1</x:v>
      </x:c>
      <x:c r="G112" s="31" t="str">
        <x:v>SUCCEEDED</x:v>
      </x:c>
      <x:c r="H112" s="25" t="str">
        <x:v>SUCCESS_NONZERO</x:v>
      </x:c>
      <x:c r="I112" s="25" t="n">
        <x:v>181</x:v>
      </x:c>
      <x:c r="J112" s="31" t="str">
        <x:v>sad</x:v>
      </x:c>
      <x:c r="K112" s="19" t="str">
        <x:v>sad (All)</x:v>
      </x:c>
      <x:c r="L112" s="31" t="str">
        <x:v>Compatible exact string/phrase for unsmoothed public Ngram retrieval (current interface supports up to seven words).</x:v>
      </x:c>
      <x:c r="M112" s="19" t="n">
        <x:v>46260.10800925926</x:v>
      </x:c>
      <x:c r="N112" s="31" t="str">
        <x:v>data/fear-temperature/ngram/raw/953b2016da3c902bd89fed3fb5f48705d4ce54ad9ad3dd228629c0c4849f2491.json</x:v>
      </x:c>
      <x:c r="O112" s="43" t="str">
        <x:v>RECONSTRUCTED_FROM_REPORT</x:v>
      </x:c>
    </x:row>
    <x:row r="113" ht="27" customHeight="1">
      <x:c r="A113" s="18" t="str">
        <x:v>FT-Q-V01-109</x:v>
      </x:c>
      <x:c r="B113" s="19" t="str">
        <x:v>2022</x:v>
      </x:c>
      <x:c r="C113" s="31" t="str">
        <x:v>angry</x:v>
      </x:c>
      <x:c r="D113" s="19" t="str">
        <x:v>EXECUTABLE_NGRAM</x:v>
      </x:c>
      <x:c r="E113" s="31" t="str">
        <x:v>COMPATIBLE</x:v>
      </x:c>
      <x:c r="F113" s="55" t="b">
        <x:v>1</x:v>
      </x:c>
      <x:c r="G113" s="31" t="str">
        <x:v>SUCCEEDED</x:v>
      </x:c>
      <x:c r="H113" s="25" t="str">
        <x:v>SUCCESS_NONZERO</x:v>
      </x:c>
      <x:c r="I113" s="25" t="n">
        <x:v>181</x:v>
      </x:c>
      <x:c r="J113" s="31" t="str">
        <x:v>angry</x:v>
      </x:c>
      <x:c r="K113" s="19" t="str">
        <x:v>angry (All)</x:v>
      </x:c>
      <x:c r="L113" s="31" t="str">
        <x:v>Compatible exact string/phrase for unsmoothed public Ngram retrieval (current interface supports up to seven words).</x:v>
      </x:c>
      <x:c r="M113" s="19" t="n">
        <x:v>46260.10802083334</x:v>
      </x:c>
      <x:c r="N113" s="31" t="str">
        <x:v>data/fear-temperature/ngram/raw/1cceb7003946894218df8f23071e2fba77be57b1ee95b996a43348a160450fbd.json</x:v>
      </x:c>
      <x:c r="O113" s="43" t="str">
        <x:v>RECONSTRUCTED_FROM_REPORT</x:v>
      </x:c>
    </x:row>
    <x:row r="114" ht="27" customHeight="1">
      <x:c r="A114" s="18" t="str">
        <x:v>FT-Q-V01-110</x:v>
      </x:c>
      <x:c r="B114" s="19" t="str">
        <x:v>2022</x:v>
      </x:c>
      <x:c r="C114" s="31" t="str">
        <x:v>frustrated</x:v>
      </x:c>
      <x:c r="D114" s="19" t="str">
        <x:v>EXECUTABLE_NGRAM</x:v>
      </x:c>
      <x:c r="E114" s="31" t="str">
        <x:v>COMPATIBLE</x:v>
      </x:c>
      <x:c r="F114" s="55" t="b">
        <x:v>1</x:v>
      </x:c>
      <x:c r="G114" s="31" t="str">
        <x:v>SUCCEEDED</x:v>
      </x:c>
      <x:c r="H114" s="25" t="str">
        <x:v>SUCCESS_NONZERO</x:v>
      </x:c>
      <x:c r="I114" s="25" t="n">
        <x:v>181</x:v>
      </x:c>
      <x:c r="J114" s="31" t="str">
        <x:v>frustrated</x:v>
      </x:c>
      <x:c r="K114" s="19" t="str">
        <x:v>frustrated (All)</x:v>
      </x:c>
      <x:c r="L114" s="31" t="str">
        <x:v>Compatible exact string/phrase for unsmoothed public Ngram retrieval (current interface supports up to seven words).</x:v>
      </x:c>
      <x:c r="M114" s="19" t="n">
        <x:v>46260.10803240741</x:v>
      </x:c>
      <x:c r="N114" s="31" t="str">
        <x:v>data/fear-temperature/ngram/raw/9329bf8b3df7723e136f5cc98ba235a05dd2f56642d3399a06703f75d57157f7.json</x:v>
      </x:c>
      <x:c r="O114" s="43" t="str">
        <x:v>RECONSTRUCTED_FROM_REPORT</x:v>
      </x:c>
    </x:row>
    <x:row r="115" ht="27" customHeight="1">
      <x:c r="A115" s="18" t="str">
        <x:v>FT-Q-V01-111</x:v>
      </x:c>
      <x:c r="B115" s="19" t="str">
        <x:v>2022</x:v>
      </x:c>
      <x:c r="C115" s="31" t="str">
        <x:v>hopeful</x:v>
      </x:c>
      <x:c r="D115" s="19" t="str">
        <x:v>EXECUTABLE_NGRAM</x:v>
      </x:c>
      <x:c r="E115" s="31" t="str">
        <x:v>COMPATIBLE</x:v>
      </x:c>
      <x:c r="F115" s="55" t="b">
        <x:v>1</x:v>
      </x:c>
      <x:c r="G115" s="31" t="str">
        <x:v>SUCCEEDED</x:v>
      </x:c>
      <x:c r="H115" s="25" t="str">
        <x:v>SUCCESS_NONZERO</x:v>
      </x:c>
      <x:c r="I115" s="25" t="n">
        <x:v>181</x:v>
      </x:c>
      <x:c r="J115" s="31" t="str">
        <x:v>hopeful</x:v>
      </x:c>
      <x:c r="K115" s="19" t="str">
        <x:v>hopeful (All)</x:v>
      </x:c>
      <x:c r="L115" s="31" t="str">
        <x:v>Compatible exact string/phrase for unsmoothed public Ngram retrieval (current interface supports up to seven words).</x:v>
      </x:c>
      <x:c r="M115" s="19" t="n">
        <x:v>46260.10804398148</x:v>
      </x:c>
      <x:c r="N115" s="31" t="str">
        <x:v>data/fear-temperature/ngram/raw/ba6a435a485847d46be014c9428192105ae5255c0ad7a7e0783a223d028b671c.json</x:v>
      </x:c>
      <x:c r="O115" s="43" t="str">
        <x:v>RECONSTRUCTED_FROM_REPORT</x:v>
      </x:c>
    </x:row>
    <x:row r="116" ht="27" customHeight="1">
      <x:c r="A116" s="18" t="str">
        <x:v>FT-Q-V01-112</x:v>
      </x:c>
      <x:c r="B116" s="19" t="str">
        <x:v>2022</x:v>
      </x:c>
      <x:c r="C116" s="31" t="str">
        <x:v>disgusted</x:v>
      </x:c>
      <x:c r="D116" s="19" t="str">
        <x:v>EXECUTABLE_NGRAM</x:v>
      </x:c>
      <x:c r="E116" s="31" t="str">
        <x:v>COMPATIBLE</x:v>
      </x:c>
      <x:c r="F116" s="55" t="b">
        <x:v>1</x:v>
      </x:c>
      <x:c r="G116" s="31" t="str">
        <x:v>SUCCEEDED</x:v>
      </x:c>
      <x:c r="H116" s="25" t="str">
        <x:v>SUCCESS_NONZERO</x:v>
      </x:c>
      <x:c r="I116" s="25" t="n">
        <x:v>181</x:v>
      </x:c>
      <x:c r="J116" s="31" t="str">
        <x:v>disgusted</x:v>
      </x:c>
      <x:c r="K116" s="19" t="str">
        <x:v>disgusted (All)</x:v>
      </x:c>
      <x:c r="L116" s="31" t="str">
        <x:v>Compatible exact string/phrase for unsmoothed public Ngram retrieval (current interface supports up to seven words).</x:v>
      </x:c>
      <x:c r="M116" s="19" t="n">
        <x:v>46260.10804398148</x:v>
      </x:c>
      <x:c r="N116" s="31" t="str">
        <x:v>data/fear-temperature/ngram/raw/f210204c4e717ccb60d443280a0631eb5726d577e81139674d3ac30bcd9f2998.json</x:v>
      </x:c>
      <x:c r="O116" s="43" t="str">
        <x:v>RECONSTRUCTED_FROM_REPORT</x:v>
      </x:c>
    </x:row>
    <x:row r="117" ht="27" customHeight="1">
      <x:c r="A117" s="18" t="str">
        <x:v>FT-Q-V01-113</x:v>
      </x:c>
      <x:c r="B117" s="19" t="str">
        <x:v>2022</x:v>
      </x:c>
      <x:c r="C117" s="31" t="str">
        <x:v>outraged</x:v>
      </x:c>
      <x:c r="D117" s="19" t="str">
        <x:v>EXECUTABLE_NGRAM</x:v>
      </x:c>
      <x:c r="E117" s="31" t="str">
        <x:v>COMPATIBLE</x:v>
      </x:c>
      <x:c r="F117" s="55" t="b">
        <x:v>1</x:v>
      </x:c>
      <x:c r="G117" s="31" t="str">
        <x:v>SUCCEEDED</x:v>
      </x:c>
      <x:c r="H117" s="25" t="str">
        <x:v>SUCCESS_NONZERO</x:v>
      </x:c>
      <x:c r="I117" s="25" t="n">
        <x:v>181</x:v>
      </x:c>
      <x:c r="J117" s="31" t="str">
        <x:v>outraged</x:v>
      </x:c>
      <x:c r="K117" s="19" t="str">
        <x:v>outraged (All)</x:v>
      </x:c>
      <x:c r="L117" s="31" t="str">
        <x:v>Compatible exact string/phrase for unsmoothed public Ngram retrieval (current interface supports up to seven words).</x:v>
      </x:c>
      <x:c r="M117" s="19" t="n">
        <x:v>46260.10805555555</x:v>
      </x:c>
      <x:c r="N117" s="31" t="str">
        <x:v>data/fear-temperature/ngram/raw/f40285eec2f0032bdb5bfbc2c085fc4cadc9ba551a688c6439d3a5237ef977c7.json</x:v>
      </x:c>
      <x:c r="O117" s="43" t="str">
        <x:v>RECONSTRUCTED_FROM_REPORT</x:v>
      </x:c>
    </x:row>
    <x:row r="118" ht="27" customHeight="1">
      <x:c r="A118" s="18" t="str">
        <x:v>FT-Q-V01-114</x:v>
      </x:c>
      <x:c r="B118" s="19" t="str">
        <x:v>2022</x:v>
      </x:c>
      <x:c r="C118" s="31" t="str">
        <x:v>depressed</x:v>
      </x:c>
      <x:c r="D118" s="19" t="str">
        <x:v>BACKGROUND_AMBIGUOUS</x:v>
      </x:c>
      <x:c r="E118" s="31" t="str">
        <x:v>COMPATIBLE</x:v>
      </x:c>
      <x:c r="F118" s="55" t="b">
        <x:v>1</x:v>
      </x:c>
      <x:c r="G118" s="31" t="str">
        <x:v>SUCCEEDED</x:v>
      </x:c>
      <x:c r="H118" s="25" t="str">
        <x:v>SUCCESS_NONZERO</x:v>
      </x:c>
      <x:c r="I118" s="25" t="n">
        <x:v>181</x:v>
      </x:c>
      <x:c r="J118" s="31" t="str">
        <x:v>depressed</x:v>
      </x:c>
      <x:c r="K118" s="19" t="str">
        <x:v>depressed (All)</x:v>
      </x:c>
      <x:c r="L118" s="31" t="str">
        <x:v>Compatible exact string/phrase for unsmoothed public Ngram retrieval (current interface supports up to seven words).</x:v>
      </x:c>
      <x:c r="M118" s="19" t="n">
        <x:v>46260.10806712963</x:v>
      </x:c>
      <x:c r="N118" s="31" t="str">
        <x:v>data/fear-temperature/ngram/raw/1e2c67caed74063005c91a921bdcebefacae62473cda222cb6b54f2d0f494115.json</x:v>
      </x:c>
      <x:c r="O118" s="43" t="str">
        <x:v>RECONSTRUCTED_FROM_REPORT</x:v>
      </x:c>
    </x:row>
    <x:row r="119" ht="27" customHeight="1">
      <x:c r="A119" s="18" t="str">
        <x:v>FT-Q-V01-115</x:v>
      </x:c>
      <x:c r="B119" s="19" t="str">
        <x:v>2022</x:v>
      </x:c>
      <x:c r="C119" s="31" t="str">
        <x:v>symptoms of anxiety</x:v>
      </x:c>
      <x:c r="D119" s="19" t="str">
        <x:v>EXECUTABLE_NGRAM</x:v>
      </x:c>
      <x:c r="E119" s="31" t="str">
        <x:v>COMPATIBLE</x:v>
      </x:c>
      <x:c r="F119" s="55" t="b">
        <x:v>1</x:v>
      </x:c>
      <x:c r="G119" s="31" t="str">
        <x:v>SUCCEEDED</x:v>
      </x:c>
      <x:c r="H119" s="25" t="str">
        <x:v>SUCCESS_NONZERO</x:v>
      </x:c>
      <x:c r="I119" s="25" t="n">
        <x:v>181</x:v>
      </x:c>
      <x:c r="J119" s="31" t="str">
        <x:v>symptoms of anxiety</x:v>
      </x:c>
      <x:c r="K119" s="19" t="str">
        <x:v>symptoms of anxiety (All)</x:v>
      </x:c>
      <x:c r="L119" s="31" t="str">
        <x:v>Compatible exact string/phrase for unsmoothed public Ngram retrieval (current interface supports up to seven words).</x:v>
      </x:c>
      <x:c r="M119" s="19" t="n">
        <x:v>46260.108078703706</x:v>
      </x:c>
      <x:c r="N119" s="31" t="str">
        <x:v>data/fear-temperature/ngram/raw/1b1b0a9675ab8a7678713746fdd62646f8c5451626f2103eb483512a2277f6c7.json</x:v>
      </x:c>
      <x:c r="O119" s="43" t="str">
        <x:v>RECONSTRUCTED_FROM_REPORT</x:v>
      </x:c>
    </x:row>
    <x:row r="120" ht="27" customHeight="1">
      <x:c r="A120" s="18" t="str">
        <x:v>FT-Q-V01-116</x:v>
      </x:c>
      <x:c r="B120" s="19" t="str">
        <x:v>2022</x:v>
      </x:c>
      <x:c r="C120" s="31" t="str">
        <x:v>climate anxiety</x:v>
      </x:c>
      <x:c r="D120" s="19" t="str">
        <x:v>EXECUTABLE_NGRAM</x:v>
      </x:c>
      <x:c r="E120" s="31" t="str">
        <x:v>COMPATIBLE</x:v>
      </x:c>
      <x:c r="F120" s="55" t="b">
        <x:v>1</x:v>
      </x:c>
      <x:c r="G120" s="31" t="str">
        <x:v>SUCCEEDED</x:v>
      </x:c>
      <x:c r="H120" s="25" t="str">
        <x:v>SUCCESS_NONZERO</x:v>
      </x:c>
      <x:c r="I120" s="25" t="n">
        <x:v>181</x:v>
      </x:c>
      <x:c r="J120" s="31" t="str">
        <x:v>climate anxiety</x:v>
      </x:c>
      <x:c r="K120" s="19" t="str">
        <x:v>climate anxiety (All)</x:v>
      </x:c>
      <x:c r="L120" s="31" t="str">
        <x:v>Compatible exact string/phrase for unsmoothed public Ngram retrieval (current interface supports up to seven words).</x:v>
      </x:c>
      <x:c r="M120" s="19" t="n">
        <x:v>46260.108078703706</x:v>
      </x:c>
      <x:c r="N120" s="31" t="str">
        <x:v>data/fear-temperature/ngram/raw/d00250b2ef40b968bd0aa5befdc2b2cb971793fb2c476d828ffc5ab3fab1830a.json</x:v>
      </x:c>
      <x:c r="O120" s="43" t="str">
        <x:v>RECONSTRUCTED_FROM_REPORT</x:v>
      </x:c>
    </x:row>
    <x:row r="121" ht="27" customHeight="1">
      <x:c r="A121" s="18" t="str">
        <x:v>FT-Q-V01-117</x:v>
      </x:c>
      <x:c r="B121" s="19" t="str">
        <x:v>2022</x:v>
      </x:c>
      <x:c r="C121" s="31" t="str">
        <x:v>eco-anxiety</x:v>
      </x:c>
      <x:c r="D121" s="19" t="str">
        <x:v>EXECUTABLE_NGRAM</x:v>
      </x:c>
      <x:c r="E121" s="31" t="str">
        <x:v>COMPATIBLE</x:v>
      </x:c>
      <x:c r="F121" s="55" t="b">
        <x:v>1</x:v>
      </x:c>
      <x:c r="G121" s="31" t="str">
        <x:v>SUCCEEDED</x:v>
      </x:c>
      <x:c r="H121" s="25" t="str">
        <x:v>SUCCESS_NONZERO</x:v>
      </x:c>
      <x:c r="I121" s="25" t="n">
        <x:v>181</x:v>
      </x:c>
      <x:c r="J121" s="31" t="str">
        <x:v>eco-anxiety</x:v>
      </x:c>
      <x:c r="K121" s="19" t="str">
        <x:v>eco - anxiety (All)</x:v>
      </x:c>
      <x:c r="L121" s="31" t="str">
        <x:v>Compatible exact string/phrase for unsmoothed public Ngram retrieval (current interface supports up to seven words).</x:v>
      </x:c>
      <x:c r="M121" s="19" t="n">
        <x:v>46260.108090277776</x:v>
      </x:c>
      <x:c r="N121" s="31" t="str">
        <x:v>data/fear-temperature/ngram/raw/4dec744e176b02d5b58560cc5e870a26c6e15a00884d43da40bc682039cdf566.json</x:v>
      </x:c>
      <x:c r="O121" s="43" t="str">
        <x:v>RECONSTRUCTED_FROM_REPORT</x:v>
      </x:c>
    </x:row>
    <x:row r="122" ht="27" customHeight="1">
      <x:c r="A122" s="18" t="str">
        <x:v>FT-Q-V01-118</x:v>
      </x:c>
      <x:c r="B122" s="19" t="str">
        <x:v>2022</x:v>
      </x:c>
      <x:c r="C122" s="31" t="str">
        <x:v>psychological distress</x:v>
      </x:c>
      <x:c r="D122" s="19" t="str">
        <x:v>EXECUTABLE_NGRAM</x:v>
      </x:c>
      <x:c r="E122" s="31" t="str">
        <x:v>COMPATIBLE</x:v>
      </x:c>
      <x:c r="F122" s="55" t="b">
        <x:v>1</x:v>
      </x:c>
      <x:c r="G122" s="31" t="str">
        <x:v>SUCCEEDED</x:v>
      </x:c>
      <x:c r="H122" s="25" t="str">
        <x:v>SUCCESS_NONZERO</x:v>
      </x:c>
      <x:c r="I122" s="25" t="n">
        <x:v>181</x:v>
      </x:c>
      <x:c r="J122" s="31" t="str">
        <x:v>psychological distress</x:v>
      </x:c>
      <x:c r="K122" s="19" t="str">
        <x:v>psychological distress (All)</x:v>
      </x:c>
      <x:c r="L122" s="31" t="str">
        <x:v>Compatible exact string/phrase for unsmoothed public Ngram retrieval (current interface supports up to seven words).</x:v>
      </x:c>
      <x:c r="M122" s="19" t="n">
        <x:v>46260.10810185185</x:v>
      </x:c>
      <x:c r="N122" s="31" t="str">
        <x:v>data/fear-temperature/ngram/raw/36dab6d94430baaff9d42a62e3c2af4716d35c6323cbc1f9c41cbd36969e7647.json</x:v>
      </x:c>
      <x:c r="O122" s="43" t="str">
        <x:v>RECONSTRUCTED_FROM_REPORT</x:v>
      </x:c>
    </x:row>
    <x:row r="123" ht="27" customHeight="1">
      <x:c r="A123" s="18" t="str">
        <x:v>FT-Q-V01-119</x:v>
      </x:c>
      <x:c r="B123" s="19" t="str">
        <x:v>2022</x:v>
      </x:c>
      <x:c r="C123" s="31" t="str">
        <x:v>distress</x:v>
      </x:c>
      <x:c r="D123" s="19" t="str">
        <x:v>BACKGROUND_AMBIGUOUS</x:v>
      </x:c>
      <x:c r="E123" s="31" t="str">
        <x:v>COMPATIBLE</x:v>
      </x:c>
      <x:c r="F123" s="55" t="b">
        <x:v>1</x:v>
      </x:c>
      <x:c r="G123" s="31" t="str">
        <x:v>SUCCEEDED</x:v>
      </x:c>
      <x:c r="H123" s="25" t="str">
        <x:v>SUCCESS_NONZERO</x:v>
      </x:c>
      <x:c r="I123" s="25" t="n">
        <x:v>181</x:v>
      </x:c>
      <x:c r="J123" s="31" t="str">
        <x:v>distress</x:v>
      </x:c>
      <x:c r="K123" s="19" t="str">
        <x:v>distress (All)</x:v>
      </x:c>
      <x:c r="L123" s="31" t="str">
        <x:v>Compatible exact string/phrase for unsmoothed public Ngram retrieval (current interface supports up to seven words).</x:v>
      </x:c>
      <x:c r="M123" s="19" t="n">
        <x:v>46260.10811342593</x:v>
      </x:c>
      <x:c r="N123" s="31" t="str">
        <x:v>data/fear-temperature/ngram/raw/69a25d3b4abb2591bf0e8cc23730cd85d5e6133b29f60ddf50c84a4afc8a5d9a.json</x:v>
      </x:c>
      <x:c r="O123" s="43" t="str">
        <x:v>RECONSTRUCTED_FROM_REPORT</x:v>
      </x:c>
    </x:row>
    <x:row r="124" ht="27" customHeight="1">
      <x:c r="A124" s="18" t="str">
        <x:v>FT-Q-V01-120</x:v>
      </x:c>
      <x:c r="B124" s="19" t="str">
        <x:v>2022</x:v>
      </x:c>
      <x:c r="C124" s="31" t="str">
        <x:v>powerlessness</x:v>
      </x:c>
      <x:c r="D124" s="19" t="str">
        <x:v>EXECUTABLE_NGRAM</x:v>
      </x:c>
      <x:c r="E124" s="31" t="str">
        <x:v>COMPATIBLE</x:v>
      </x:c>
      <x:c r="F124" s="55" t="b">
        <x:v>1</x:v>
      </x:c>
      <x:c r="G124" s="31" t="str">
        <x:v>SUCCEEDED</x:v>
      </x:c>
      <x:c r="H124" s="25" t="str">
        <x:v>SUCCESS_NONZERO</x:v>
      </x:c>
      <x:c r="I124" s="25" t="n">
        <x:v>181</x:v>
      </x:c>
      <x:c r="J124" s="31" t="str">
        <x:v>powerlessness</x:v>
      </x:c>
      <x:c r="K124" s="19" t="str">
        <x:v>powerlessness (All)</x:v>
      </x:c>
      <x:c r="L124" s="31" t="str">
        <x:v>Compatible exact string/phrase for unsmoothed public Ngram retrieval (current interface supports up to seven words).</x:v>
      </x:c>
      <x:c r="M124" s="19" t="n">
        <x:v>46260.10811342593</x:v>
      </x:c>
      <x:c r="N124" s="31" t="str">
        <x:v>data/fear-temperature/ngram/raw/3cf4985d3f59ca9bec554eac71523373ea46987c9f956c1e518194c8ba5701b4.json</x:v>
      </x:c>
      <x:c r="O124" s="43" t="str">
        <x:v>RECONSTRUCTED_FROM_REPORT</x:v>
      </x:c>
    </x:row>
    <x:row r="125" ht="27" customHeight="1">
      <x:c r="A125" s="18" t="str">
        <x:v>FT-Q-V01-121</x:v>
      </x:c>
      <x:c r="B125" s="19" t="str">
        <x:v>1938</x:v>
      </x:c>
      <x:c r="C125" s="31" t="str">
        <x:v>climatic change</x:v>
      </x:c>
      <x:c r="D125" s="19" t="str">
        <x:v>EXECUTABLE_NGRAM</x:v>
      </x:c>
      <x:c r="E125" s="31" t="str">
        <x:v>COMPATIBLE</x:v>
      </x:c>
      <x:c r="F125" s="55" t="b">
        <x:v>1</x:v>
      </x:c>
      <x:c r="G125" s="31" t="str">
        <x:v>SUCCEEDED</x:v>
      </x:c>
      <x:c r="H125" s="25" t="str">
        <x:v>SUCCESS_NONZERO</x:v>
      </x:c>
      <x:c r="I125" s="25" t="n">
        <x:v>181</x:v>
      </x:c>
      <x:c r="J125" s="31" t="str">
        <x:v>climatic change</x:v>
      </x:c>
      <x:c r="K125" s="19" t="str">
        <x:v>climatic change (All)</x:v>
      </x:c>
      <x:c r="L125" s="31" t="str">
        <x:v>Compatible exact string/phrase for unsmoothed public Ngram retrieval (current interface supports up to seven words).</x:v>
      </x:c>
      <x:c r="M125" s="19" t="n">
        <x:v>46260.108125</x:v>
      </x:c>
      <x:c r="N125" s="31" t="str">
        <x:v>data/fear-temperature/ngram/raw/0a04941be5651b2bc9de7c1d97a1ec296ca7d83fbf14cbae1d4cb6dce5e31d80.json</x:v>
      </x:c>
      <x:c r="O125" s="43" t="str">
        <x:v>RECONSTRUCTED_FROM_REPORT</x:v>
      </x:c>
    </x:row>
    <x:row r="126" ht="27" customHeight="1">
      <x:c r="A126" s="18" t="str">
        <x:v>FT-Q-V01-122</x:v>
      </x:c>
      <x:c r="B126" s="19" t="str">
        <x:v>2006–2007</x:v>
      </x:c>
      <x:c r="C126" s="31" t="str">
        <x:v>climate system</x:v>
      </x:c>
      <x:c r="D126" s="19" t="str">
        <x:v>EXECUTABLE_NGRAM</x:v>
      </x:c>
      <x:c r="E126" s="31" t="str">
        <x:v>COMPATIBLE</x:v>
      </x:c>
      <x:c r="F126" s="55" t="b">
        <x:v>1</x:v>
      </x:c>
      <x:c r="G126" s="31" t="str">
        <x:v>SUCCEEDED</x:v>
      </x:c>
      <x:c r="H126" s="25" t="str">
        <x:v>SUCCESS_NONZERO</x:v>
      </x:c>
      <x:c r="I126" s="25" t="n">
        <x:v>181</x:v>
      </x:c>
      <x:c r="J126" s="31" t="str">
        <x:v>climate system</x:v>
      </x:c>
      <x:c r="K126" s="19" t="str">
        <x:v>climate system (All)</x:v>
      </x:c>
      <x:c r="L126" s="31" t="str">
        <x:v>Compatible exact string/phrase for unsmoothed public Ngram retrieval (current interface supports up to seven words).</x:v>
      </x:c>
      <x:c r="M126" s="19" t="n">
        <x:v>46260.108136574076</x:v>
      </x:c>
      <x:c r="N126" s="31" t="str">
        <x:v>data/fear-temperature/ngram/raw/44123082f140b34693c19e6c204f15f36cbfab06a2fb516dea8b50cb69f5544f.json</x:v>
      </x:c>
      <x:c r="O126" s="43" t="str">
        <x:v>RECONSTRUCTED_FROM_REPORT</x:v>
      </x:c>
    </x:row>
    <x:row r="127" ht="27" customHeight="1">
      <x:c r="A127" s="18" t="str">
        <x:v>FT-Q-V01-123</x:v>
      </x:c>
      <x:c r="B127" s="19" t="str">
        <x:v>2022</x:v>
      </x:c>
      <x:c r="C127" s="31" t="str">
        <x:v>climate crisis</x:v>
      </x:c>
      <x:c r="D127" s="19" t="str">
        <x:v>EXECUTABLE_NGRAM</x:v>
      </x:c>
      <x:c r="E127" s="31" t="str">
        <x:v>COMPATIBLE</x:v>
      </x:c>
      <x:c r="F127" s="55" t="b">
        <x:v>1</x:v>
      </x:c>
      <x:c r="G127" s="31" t="str">
        <x:v>SUCCEEDED</x:v>
      </x:c>
      <x:c r="H127" s="25" t="str">
        <x:v>SUCCESS_NONZERO</x:v>
      </x:c>
      <x:c r="I127" s="25" t="n">
        <x:v>181</x:v>
      </x:c>
      <x:c r="J127" s="31" t="str">
        <x:v>climate crisis</x:v>
      </x:c>
      <x:c r="K127" s="19" t="str">
        <x:v>climate crisis (All)</x:v>
      </x:c>
      <x:c r="L127" s="31" t="str">
        <x:v>Compatible exact string/phrase for unsmoothed public Ngram retrieval (current interface supports up to seven words).</x:v>
      </x:c>
      <x:c r="M127" s="19" t="n">
        <x:v>46260.108148148145</x:v>
      </x:c>
      <x:c r="N127" s="31" t="str">
        <x:v>data/fear-temperature/ngram/raw/23354bc43bed6570702eab740469c8b00c388007e8cf69ff8fd38735d57ed065.json</x:v>
      </x:c>
      <x:c r="O127" s="43" t="str">
        <x:v>RECONSTRUCTED_FROM_REPORT</x:v>
      </x:c>
    </x:row>
    <x:row r="128" ht="27" customHeight="1">
      <x:c r="A128" s="18" t="str">
        <x:v>FT-Q-V01-124</x:v>
      </x:c>
      <x:c r="B128" s="19" t="str">
        <x:v>2022</x:v>
      </x:c>
      <x:c r="C128" s="31" t="str">
        <x:v>climate emergency</x:v>
      </x:c>
      <x:c r="D128" s="19" t="str">
        <x:v>EXECUTABLE_NGRAM</x:v>
      </x:c>
      <x:c r="E128" s="31" t="str">
        <x:v>COMPATIBLE</x:v>
      </x:c>
      <x:c r="F128" s="55" t="b">
        <x:v>1</x:v>
      </x:c>
      <x:c r="G128" s="31" t="str">
        <x:v>SUCCEEDED</x:v>
      </x:c>
      <x:c r="H128" s="25" t="str">
        <x:v>SUCCESS_NONZERO</x:v>
      </x:c>
      <x:c r="I128" s="25" t="n">
        <x:v>181</x:v>
      </x:c>
      <x:c r="J128" s="31" t="str">
        <x:v>climate emergency</x:v>
      </x:c>
      <x:c r="K128" s="19" t="str">
        <x:v>climate emergency (All)</x:v>
      </x:c>
      <x:c r="L128" s="31" t="str">
        <x:v>Compatible exact string/phrase for unsmoothed public Ngram retrieval (current interface supports up to seven words).</x:v>
      </x:c>
      <x:c r="M128" s="19" t="n">
        <x:v>46260.108148148145</x:v>
      </x:c>
      <x:c r="N128" s="31" t="str">
        <x:v>data/fear-temperature/ngram/raw/3237c9c334be43668f3ba7cf3a2aa06f34c5080255b6e1461b714d92a123b591.json</x:v>
      </x:c>
      <x:c r="O128" s="43" t="str">
        <x:v>RECONSTRUCTED_FROM_REPORT</x:v>
      </x:c>
    </x:row>
    <x:row r="129" ht="27" customHeight="1">
      <x:c r="A129" s="18" t="str">
        <x:v>FT-Q-V01-125</x:v>
      </x:c>
      <x:c r="B129" s="19" t="str">
        <x:v>1842</x:v>
      </x:c>
      <x:c r="C129" s="31" t="str">
        <x:v>heat</x:v>
      </x:c>
      <x:c r="D129" s="19" t="str">
        <x:v>BACKGROUND_AMBIGUOUS</x:v>
      </x:c>
      <x:c r="E129" s="31" t="str">
        <x:v>COMPATIBLE</x:v>
      </x:c>
      <x:c r="F129" s="55" t="b">
        <x:v>1</x:v>
      </x:c>
      <x:c r="G129" s="31" t="str">
        <x:v>SUCCEEDED</x:v>
      </x:c>
      <x:c r="H129" s="25" t="str">
        <x:v>SUCCESS_NONZERO</x:v>
      </x:c>
      <x:c r="I129" s="25" t="n">
        <x:v>181</x:v>
      </x:c>
      <x:c r="J129" s="31" t="str">
        <x:v>heat</x:v>
      </x:c>
      <x:c r="K129" s="19" t="str">
        <x:v>heat (All)</x:v>
      </x:c>
      <x:c r="L129" s="31" t="str">
        <x:v>Compatible exact string/phrase for unsmoothed public Ngram retrieval (current interface supports up to seven words).</x:v>
      </x:c>
      <x:c r="M129" s="19" t="n">
        <x:v>46260.10815972222</x:v>
      </x:c>
      <x:c r="N129" s="31" t="str">
        <x:v>data/fear-temperature/ngram/raw/c4a2fddf7c4162769bbd0a82f12e004a6ee58ba1f0ff17f2b453dcf677494b07.json</x:v>
      </x:c>
      <x:c r="O129" s="43" t="str">
        <x:v>RECONSTRUCTED_FROM_REPORT</x:v>
      </x:c>
    </x:row>
    <x:row r="130" ht="27" customHeight="1">
      <x:c r="A130" s="18" t="str">
        <x:v>FT-Q-V01-126</x:v>
      </x:c>
      <x:c r="B130" s="19" t="str">
        <x:v>2022</x:v>
      </x:c>
      <x:c r="C130" s="31" t="str">
        <x:v>extreme heat</x:v>
      </x:c>
      <x:c r="D130" s="19" t="str">
        <x:v>EXECUTABLE_NGRAM</x:v>
      </x:c>
      <x:c r="E130" s="31" t="str">
        <x:v>COMPATIBLE</x:v>
      </x:c>
      <x:c r="F130" s="55" t="b">
        <x:v>1</x:v>
      </x:c>
      <x:c r="G130" s="31" t="str">
        <x:v>SUCCEEDED</x:v>
      </x:c>
      <x:c r="H130" s="25" t="str">
        <x:v>SUCCESS_NONZERO</x:v>
      </x:c>
      <x:c r="I130" s="25" t="n">
        <x:v>181</x:v>
      </x:c>
      <x:c r="J130" s="31" t="str">
        <x:v>extreme heat</x:v>
      </x:c>
      <x:c r="K130" s="19" t="str">
        <x:v>extreme heat (All)</x:v>
      </x:c>
      <x:c r="L130" s="31" t="str">
        <x:v>Compatible exact string/phrase for unsmoothed public Ngram retrieval (current interface supports up to seven words).</x:v>
      </x:c>
      <x:c r="M130" s="19" t="n">
        <x:v>46260.1081712963</x:v>
      </x:c>
      <x:c r="N130" s="31" t="str">
        <x:v>data/fear-temperature/ngram/raw/f78acfa1d100e2ca03e0287a6e355eeb4633059fd59d841bf6e3f477f083c054.json</x:v>
      </x:c>
      <x:c r="O130" s="43" t="str">
        <x:v>RECONSTRUCTED_FROM_REPORT</x:v>
      </x:c>
    </x:row>
    <x:row r="131" ht="27" customHeight="1">
      <x:c r="A131" s="18" t="str">
        <x:v>FT-Q-V01-127</x:v>
      </x:c>
      <x:c r="B131" s="19" t="str">
        <x:v>2022</x:v>
      </x:c>
      <x:c r="C131" s="31" t="str">
        <x:v>fear</x:v>
      </x:c>
      <x:c r="D131" s="19" t="str">
        <x:v>BACKGROUND_AMBIGUOUS</x:v>
      </x:c>
      <x:c r="E131" s="31" t="str">
        <x:v>COMPATIBLE</x:v>
      </x:c>
      <x:c r="F131" s="55" t="b">
        <x:v>1</x:v>
      </x:c>
      <x:c r="G131" s="31" t="str">
        <x:v>SUCCEEDED</x:v>
      </x:c>
      <x:c r="H131" s="25" t="str">
        <x:v>SUCCESS_NONZERO</x:v>
      </x:c>
      <x:c r="I131" s="25" t="n">
        <x:v>181</x:v>
      </x:c>
      <x:c r="J131" s="31" t="str">
        <x:v>fear</x:v>
      </x:c>
      <x:c r="K131" s="19" t="str">
        <x:v>fear (All)</x:v>
      </x:c>
      <x:c r="L131" s="31" t="str">
        <x:v>Compatible exact string/phrase for unsmoothed public Ngram retrieval (current interface supports up to seven words).</x:v>
      </x:c>
      <x:c r="M131" s="19" t="n">
        <x:v>46260.1081712963</x:v>
      </x:c>
      <x:c r="N131" s="31" t="str">
        <x:v>data/fear-temperature/ngram/raw/9a82a1e3ac136df19ab9c86fccf9b11d26bd9aa0af615506d9063f8b7db4b821.json</x:v>
      </x:c>
      <x:c r="O131" s="43" t="str">
        <x:v>RECONSTRUCTED_FROM_REPORT</x:v>
      </x:c>
    </x:row>
    <x:row r="132" ht="27" customHeight="1">
      <x:c r="A132" s="18" t="str">
        <x:v>FT-Q-V01-128</x:v>
      </x:c>
      <x:c r="B132" s="19" t="str">
        <x:v>2006–2007</x:v>
      </x:c>
      <x:c r="C132" s="31" t="str">
        <x:v>worry</x:v>
      </x:c>
      <x:c r="D132" s="19" t="str">
        <x:v>BACKGROUND_AMBIGUOUS</x:v>
      </x:c>
      <x:c r="E132" s="31" t="str">
        <x:v>COMPATIBLE</x:v>
      </x:c>
      <x:c r="F132" s="55" t="b">
        <x:v>1</x:v>
      </x:c>
      <x:c r="G132" s="31" t="str">
        <x:v>SUCCEEDED</x:v>
      </x:c>
      <x:c r="H132" s="25" t="str">
        <x:v>SUCCESS_NONZERO</x:v>
      </x:c>
      <x:c r="I132" s="25" t="n">
        <x:v>181</x:v>
      </x:c>
      <x:c r="J132" s="31" t="str">
        <x:v>worry</x:v>
      </x:c>
      <x:c r="K132" s="19" t="str">
        <x:v>worry (All)</x:v>
      </x:c>
      <x:c r="L132" s="31" t="str">
        <x:v>Compatible exact string/phrase for unsmoothed public Ngram retrieval (current interface supports up to seven words).</x:v>
      </x:c>
      <x:c r="M132" s="19" t="n">
        <x:v>46260.10818287037</x:v>
      </x:c>
      <x:c r="N132" s="31" t="str">
        <x:v>data/fear-temperature/ngram/raw/a637a16642bc8126e12038a79352c7309b624c759631dc6fb805a314dd5f39ce.json</x:v>
      </x:c>
      <x:c r="O132" s="43" t="str">
        <x:v>RECONSTRUCTED_FROM_REPORT</x:v>
      </x:c>
    </x:row>
    <x:row r="133" ht="27" customHeight="1">
      <x:c r="A133" s="18" t="str">
        <x:v>FT-Q-V01-129</x:v>
      </x:c>
      <x:c r="B133" s="19" t="str">
        <x:v>2006–2007</x:v>
      </x:c>
      <x:c r="C133" s="31" t="str">
        <x:v>worried</x:v>
      </x:c>
      <x:c r="D133" s="19" t="str">
        <x:v>BACKGROUND_AMBIGUOUS</x:v>
      </x:c>
      <x:c r="E133" s="31" t="str">
        <x:v>COMPATIBLE</x:v>
      </x:c>
      <x:c r="F133" s="55" t="b">
        <x:v>1</x:v>
      </x:c>
      <x:c r="G133" s="31" t="str">
        <x:v>SUCCEEDED</x:v>
      </x:c>
      <x:c r="H133" s="25" t="str">
        <x:v>SUCCESS_NONZERO</x:v>
      </x:c>
      <x:c r="I133" s="25" t="n">
        <x:v>181</x:v>
      </x:c>
      <x:c r="J133" s="31" t="str">
        <x:v>worried</x:v>
      </x:c>
      <x:c r="K133" s="19" t="str">
        <x:v>worried (All)</x:v>
      </x:c>
      <x:c r="L133" s="31" t="str">
        <x:v>Compatible exact string/phrase for unsmoothed public Ngram retrieval (current interface supports up to seven words).</x:v>
      </x:c>
      <x:c r="M133" s="19" t="n">
        <x:v>46260.10828703704</x:v>
      </x:c>
      <x:c r="N133" s="31" t="str">
        <x:v>data/fear-temperature/ngram/raw/663a933fc48043f250f90a98b66b006334ad658684ce96825d57307b8d52b76d.json</x:v>
      </x:c>
      <x:c r="O133" s="43" t="str">
        <x:v>RECONSTRUCTED_FROM_REPORT</x:v>
      </x:c>
    </x:row>
    <x:row r="134" ht="27" customHeight="1">
      <x:c r="A134" s="18" t="str">
        <x:v>FT-Q-V01-130</x:v>
      </x:c>
      <x:c r="B134" s="19" t="str">
        <x:v>2015</x:v>
      </x:c>
      <x:c r="C134" s="31" t="str">
        <x:v>concern</x:v>
      </x:c>
      <x:c r="D134" s="19" t="str">
        <x:v>BACKGROUND_AMBIGUOUS</x:v>
      </x:c>
      <x:c r="E134" s="31" t="str">
        <x:v>COMPATIBLE</x:v>
      </x:c>
      <x:c r="F134" s="55" t="b">
        <x:v>1</x:v>
      </x:c>
      <x:c r="G134" s="31" t="str">
        <x:v>SUCCEEDED</x:v>
      </x:c>
      <x:c r="H134" s="25" t="str">
        <x:v>SUCCESS_NONZERO</x:v>
      </x:c>
      <x:c r="I134" s="25" t="n">
        <x:v>181</x:v>
      </x:c>
      <x:c r="J134" s="31" t="str">
        <x:v>concern</x:v>
      </x:c>
      <x:c r="K134" s="19" t="str">
        <x:v>concern (All)</x:v>
      </x:c>
      <x:c r="L134" s="31" t="str">
        <x:v>Compatible exact string/phrase for unsmoothed public Ngram retrieval (current interface supports up to seven words).</x:v>
      </x:c>
      <x:c r="M134" s="19" t="n">
        <x:v>46260.108298611114</x:v>
      </x:c>
      <x:c r="N134" s="31" t="str">
        <x:v>data/fear-temperature/ngram/raw/4643a1a18409e446a85be4d799f0377db1c82b28463617e3e93dfc9e103700e6.json</x:v>
      </x:c>
      <x:c r="O134" s="43" t="str">
        <x:v>RECONSTRUCTED_FROM_REPORT</x:v>
      </x:c>
    </x:row>
    <x:row r="135" ht="27" customHeight="1">
      <x:c r="A135" s="18" t="str">
        <x:v>FT-Q-V01-131</x:v>
      </x:c>
      <x:c r="B135" s="19" t="str">
        <x:v>2022</x:v>
      </x:c>
      <x:c r="C135" s="31" t="str">
        <x:v>anxiety</x:v>
      </x:c>
      <x:c r="D135" s="19" t="str">
        <x:v>BACKGROUND_AMBIGUOUS</x:v>
      </x:c>
      <x:c r="E135" s="31" t="str">
        <x:v>COMPATIBLE</x:v>
      </x:c>
      <x:c r="F135" s="55" t="b">
        <x:v>1</x:v>
      </x:c>
      <x:c r="G135" s="31" t="str">
        <x:v>SUCCEEDED</x:v>
      </x:c>
      <x:c r="H135" s="25" t="str">
        <x:v>SUCCESS_NONZERO</x:v>
      </x:c>
      <x:c r="I135" s="25" t="n">
        <x:v>181</x:v>
      </x:c>
      <x:c r="J135" s="31" t="str">
        <x:v>anxiety</x:v>
      </x:c>
      <x:c r="K135" s="19" t="str">
        <x:v>anxiety (All)</x:v>
      </x:c>
      <x:c r="L135" s="31" t="str">
        <x:v>Compatible exact string/phrase for unsmoothed public Ngram retrieval (current interface supports up to seven words).</x:v>
      </x:c>
      <x:c r="M135" s="19" t="n">
        <x:v>46260.108298611114</x:v>
      </x:c>
      <x:c r="N135" s="31" t="str">
        <x:v>data/fear-temperature/ngram/raw/b9681b24d3f5a1319cae6436236bc0f5b64d75ea848bbbe2dbfc5b26c0042582.json</x:v>
      </x:c>
      <x:c r="O135" s="43" t="str">
        <x:v>RECONSTRUCTED_FROM_REPORT</x:v>
      </x:c>
    </x:row>
    <x:row r="136" ht="27" customHeight="1">
      <x:c r="A136" s="18" t="str">
        <x:v>FT-Q-V01-132</x:v>
      </x:c>
      <x:c r="B136" s="19" t="str">
        <x:v>2006–2007</x:v>
      </x:c>
      <x:c r="C136" s="31" t="str">
        <x:v>danger</x:v>
      </x:c>
      <x:c r="D136" s="19" t="str">
        <x:v>BACKGROUND_AMBIGUOUS</x:v>
      </x:c>
      <x:c r="E136" s="31" t="str">
        <x:v>COMPATIBLE</x:v>
      </x:c>
      <x:c r="F136" s="55" t="b">
        <x:v>1</x:v>
      </x:c>
      <x:c r="G136" s="31" t="str">
        <x:v>SUCCEEDED</x:v>
      </x:c>
      <x:c r="H136" s="25" t="str">
        <x:v>SUCCESS_NONZERO</x:v>
      </x:c>
      <x:c r="I136" s="25" t="n">
        <x:v>181</x:v>
      </x:c>
      <x:c r="J136" s="31" t="str">
        <x:v>danger</x:v>
      </x:c>
      <x:c r="K136" s="19" t="str">
        <x:v>danger (All)</x:v>
      </x:c>
      <x:c r="L136" s="31" t="str">
        <x:v>Compatible exact string/phrase for unsmoothed public Ngram retrieval (current interface supports up to seven words).</x:v>
      </x:c>
      <x:c r="M136" s="19" t="n">
        <x:v>46260.108310185184</x:v>
      </x:c>
      <x:c r="N136" s="31" t="str">
        <x:v>data/fear-temperature/ngram/raw/d1a6b726471d63c6003c4338e335ea4b6d0c7bf5b03bfb510d338867d19b8d4d.json</x:v>
      </x:c>
      <x:c r="O136" s="43" t="str">
        <x:v>RECONSTRUCTED_FROM_REPORT</x:v>
      </x:c>
    </x:row>
    <x:row r="137" ht="27" customHeight="1">
      <x:c r="A137" s="18" t="str">
        <x:v>FT-Q-V01-133</x:v>
      </x:c>
      <x:c r="B137" s="19" t="str">
        <x:v>1988</x:v>
      </x:c>
      <x:c r="C137" s="31" t="str">
        <x:v>threat</x:v>
      </x:c>
      <x:c r="D137" s="19" t="str">
        <x:v>BACKGROUND_AMBIGUOUS</x:v>
      </x:c>
      <x:c r="E137" s="31" t="str">
        <x:v>COMPATIBLE</x:v>
      </x:c>
      <x:c r="F137" s="55" t="b">
        <x:v>1</x:v>
      </x:c>
      <x:c r="G137" s="31" t="str">
        <x:v>SUCCEEDED</x:v>
      </x:c>
      <x:c r="H137" s="25" t="str">
        <x:v>SUCCESS_NONZERO</x:v>
      </x:c>
      <x:c r="I137" s="25" t="n">
        <x:v>181</x:v>
      </x:c>
      <x:c r="J137" s="31" t="str">
        <x:v>threat</x:v>
      </x:c>
      <x:c r="K137" s="19" t="str">
        <x:v>threat (All)</x:v>
      </x:c>
      <x:c r="L137" s="31" t="str">
        <x:v>Compatible exact string/phrase for unsmoothed public Ngram retrieval (current interface supports up to seven words).</x:v>
      </x:c>
      <x:c r="M137" s="19" t="n">
        <x:v>46260.10832175926</x:v>
      </x:c>
      <x:c r="N137" s="31" t="str">
        <x:v>data/fear-temperature/ngram/raw/66e5485b36228b44bc5b3b9a522cc35739a50a73b1b41bb1439c84b0c452c1bb.json</x:v>
      </x:c>
      <x:c r="O137" s="43" t="str">
        <x:v>RECONSTRUCTED_FROM_REPORT</x:v>
      </x:c>
    </x:row>
    <x:row r="138" ht="27" customHeight="1">
      <x:c r="A138" s="18" t="str">
        <x:v>FT-Q-V01-134</x:v>
      </x:c>
      <x:c r="B138" s="19" t="str">
        <x:v>2015</x:v>
      </x:c>
      <x:c r="C138" s="31" t="str">
        <x:v>risk</x:v>
      </x:c>
      <x:c r="D138" s="19" t="str">
        <x:v>BACKGROUND_AMBIGUOUS</x:v>
      </x:c>
      <x:c r="E138" s="31" t="str">
        <x:v>COMPATIBLE</x:v>
      </x:c>
      <x:c r="F138" s="55" t="b">
        <x:v>1</x:v>
      </x:c>
      <x:c r="G138" s="31" t="str">
        <x:v>SUCCEEDED</x:v>
      </x:c>
      <x:c r="H138" s="25" t="str">
        <x:v>SUCCESS_NONZERO</x:v>
      </x:c>
      <x:c r="I138" s="25" t="n">
        <x:v>181</x:v>
      </x:c>
      <x:c r="J138" s="31" t="str">
        <x:v>risk</x:v>
      </x:c>
      <x:c r="K138" s="19" t="str">
        <x:v>risk (All)</x:v>
      </x:c>
      <x:c r="L138" s="31" t="str">
        <x:v>Compatible exact string/phrase for unsmoothed public Ngram retrieval (current interface supports up to seven words).</x:v>
      </x:c>
      <x:c r="M138" s="19" t="n">
        <x:v>46260.10833333333</x:v>
      </x:c>
      <x:c r="N138" s="31" t="str">
        <x:v>data/fear-temperature/ngram/raw/a81a666e861de5f55d081039af6b25250d329cbe655211e018749975fe62522d.json</x:v>
      </x:c>
      <x:c r="O138" s="43" t="str">
        <x:v>RECONSTRUCTED_FROM_REPORT</x:v>
      </x:c>
    </x:row>
    <x:row r="139" ht="27" customHeight="1">
      <x:c r="A139" s="18" t="str">
        <x:v>FT-Q-V01-135</x:v>
      </x:c>
      <x:c r="B139" s="19" t="str">
        <x:v>1988</x:v>
      </x:c>
      <x:c r="C139" s="31" t="str">
        <x:v>crisis</x:v>
      </x:c>
      <x:c r="D139" s="19" t="str">
        <x:v>BACKGROUND_AMBIGUOUS</x:v>
      </x:c>
      <x:c r="E139" s="31" t="str">
        <x:v>COMPATIBLE</x:v>
      </x:c>
      <x:c r="F139" s="55" t="b">
        <x:v>1</x:v>
      </x:c>
      <x:c r="G139" s="31" t="str">
        <x:v>SUCCEEDED</x:v>
      </x:c>
      <x:c r="H139" s="25" t="str">
        <x:v>SUCCESS_NONZERO</x:v>
      </x:c>
      <x:c r="I139" s="25" t="n">
        <x:v>181</x:v>
      </x:c>
      <x:c r="J139" s="31" t="str">
        <x:v>crisis</x:v>
      </x:c>
      <x:c r="K139" s="19" t="str">
        <x:v>crisis (All)</x:v>
      </x:c>
      <x:c r="L139" s="31" t="str">
        <x:v>Compatible exact string/phrase for unsmoothed public Ngram retrieval (current interface supports up to seven words).</x:v>
      </x:c>
      <x:c r="M139" s="19" t="n">
        <x:v>46260.10833333333</x:v>
      </x:c>
      <x:c r="N139" s="31" t="str">
        <x:v>data/fear-temperature/ngram/raw/51f107a3bb3ac7010decceb94d2ae2bf077c7cdba099bdf39d277bd64b1a1a9e.json</x:v>
      </x:c>
      <x:c r="O139" s="43" t="str">
        <x:v>RECONSTRUCTED_FROM_REPORT</x:v>
      </x:c>
    </x:row>
    <x:row r="140" ht="27" customHeight="1">
      <x:c r="A140" s="18" t="str">
        <x:v>FT-Q-V01-136</x:v>
      </x:c>
      <x:c r="B140" s="19" t="str">
        <x:v>2015</x:v>
      </x:c>
      <x:c r="C140" s="31" t="str">
        <x:v>emergency</x:v>
      </x:c>
      <x:c r="D140" s="19" t="str">
        <x:v>BACKGROUND_AMBIGUOUS</x:v>
      </x:c>
      <x:c r="E140" s="31" t="str">
        <x:v>COMPATIBLE</x:v>
      </x:c>
      <x:c r="F140" s="55" t="b">
        <x:v>1</x:v>
      </x:c>
      <x:c r="G140" s="31" t="str">
        <x:v>SUCCEEDED</x:v>
      </x:c>
      <x:c r="H140" s="25" t="str">
        <x:v>SUCCESS_NONZERO</x:v>
      </x:c>
      <x:c r="I140" s="25" t="n">
        <x:v>181</x:v>
      </x:c>
      <x:c r="J140" s="31" t="str">
        <x:v>emergency</x:v>
      </x:c>
      <x:c r="K140" s="19" t="str">
        <x:v>emergency (All)</x:v>
      </x:c>
      <x:c r="L140" s="31" t="str">
        <x:v>Compatible exact string/phrase for unsmoothed public Ngram retrieval (current interface supports up to seven words).</x:v>
      </x:c>
      <x:c r="M140" s="19" t="n">
        <x:v>46260.10834490741</x:v>
      </x:c>
      <x:c r="N140" s="31" t="str">
        <x:v>data/fear-temperature/ngram/raw/c5162a664882434d77d4c5d3bffd7a896165ae13d26ba78263febba6d337d60e.json</x:v>
      </x:c>
      <x:c r="O140" s="43" t="str">
        <x:v>RECONSTRUCTED_FROM_REPORT</x:v>
      </x:c>
    </x:row>
    <x:row r="141" ht="27" customHeight="1">
      <x:c r="A141" s="18" t="str">
        <x:v>FT-Q-V01-137</x:v>
      </x:c>
      <x:c r="B141" s="19" t="str">
        <x:v>2022</x:v>
      </x:c>
      <x:c r="C141" s="31" t="str">
        <x:v>mortality</x:v>
      </x:c>
      <x:c r="D141" s="19" t="str">
        <x:v>BACKGROUND_AMBIGUOUS</x:v>
      </x:c>
      <x:c r="E141" s="31" t="str">
        <x:v>COMPATIBLE</x:v>
      </x:c>
      <x:c r="F141" s="55" t="b">
        <x:v>1</x:v>
      </x:c>
      <x:c r="G141" s="31" t="str">
        <x:v>SUCCEEDED</x:v>
      </x:c>
      <x:c r="H141" s="25" t="str">
        <x:v>SUCCESS_NONZERO</x:v>
      </x:c>
      <x:c r="I141" s="25" t="n">
        <x:v>181</x:v>
      </x:c>
      <x:c r="J141" s="31" t="str">
        <x:v>mortality</x:v>
      </x:c>
      <x:c r="K141" s="19" t="str">
        <x:v>mortality (All)</x:v>
      </x:c>
      <x:c r="L141" s="31" t="str">
        <x:v>Compatible exact string/phrase for unsmoothed public Ngram retrieval (current interface supports up to seven words).</x:v>
      </x:c>
      <x:c r="M141" s="19" t="n">
        <x:v>46260.10835648148</x:v>
      </x:c>
      <x:c r="N141" s="31" t="str">
        <x:v>data/fear-temperature/ngram/raw/8e9bd7f9f8db93306a8194efc16e753c9591ba2cf84f600e436012188897e8db.json</x:v>
      </x:c>
      <x:c r="O141" s="43" t="str">
        <x:v>RECONSTRUCTED_FROM_REPORT</x:v>
      </x:c>
    </x:row>
    <x:row r="142" ht="27" customHeight="1">
      <x:c r="A142" s="18" t="str">
        <x:v>FT-Q-V01-138</x:v>
      </x:c>
      <x:c r="B142" s="19" t="str">
        <x:v>1842</x:v>
      </x:c>
      <x:c r="C142" s="31" t="str">
        <x:v>heat of the irons</x:v>
      </x:c>
      <x:c r="D142" s="19" t="str">
        <x:v>EXECUTABLE_NGRAM</x:v>
      </x:c>
      <x:c r="E142" s="31" t="str">
        <x:v>COMPATIBLE</x:v>
      </x:c>
      <x:c r="F142" s="55" t="b">
        <x:v>1</x:v>
      </x:c>
      <x:c r="G142" s="31" t="str">
        <x:v>SUCCEEDED</x:v>
      </x:c>
      <x:c r="H142" s="25" t="str">
        <x:v>SUCCESS_NONZERO</x:v>
      </x:c>
      <x:c r="I142" s="25" t="n">
        <x:v>181</x:v>
      </x:c>
      <x:c r="J142" s="31" t="str">
        <x:v>heat of the irons</x:v>
      </x:c>
      <x:c r="K142" s="19" t="str">
        <x:v>heat of the irons</x:v>
      </x:c>
      <x:c r="L142" s="31" t="str">
        <x:v>Compatible exact string/phrase for unsmoothed public Ngram retrieval (current interface supports up to seven words).</x:v>
      </x:c>
      <x:c r="M142" s="19" t="n">
        <x:v>46260.10836805555</x:v>
      </x:c>
      <x:c r="N142" s="31" t="str">
        <x:v>data/fear-temperature/ngram/raw/6e0dd6ba68158e1e452d6bca05216b6ea57e3abfb75c80405a05fbd06153ad7a.json</x:v>
      </x:c>
      <x:c r="O142" s="43" t="str">
        <x:v>RECONSTRUCTED_FROM_REPORT</x:v>
      </x:c>
    </x:row>
    <x:row r="143" ht="27" customHeight="1">
      <x:c r="A143" s="18" t="str">
        <x:v>FT-Q-V01-139</x:v>
      </x:c>
      <x:c r="B143" s="19" t="str">
        <x:v>1938</x:v>
      </x:c>
      <x:c r="C143" s="31" t="str">
        <x:v>heat wave</x:v>
      </x:c>
      <x:c r="D143" s="19" t="str">
        <x:v>EXECUTABLE_NGRAM</x:v>
      </x:c>
      <x:c r="E143" s="31" t="str">
        <x:v>COMPATIBLE</x:v>
      </x:c>
      <x:c r="F143" s="55" t="b">
        <x:v>1</x:v>
      </x:c>
      <x:c r="G143" s="31" t="str">
        <x:v>SUCCEEDED</x:v>
      </x:c>
      <x:c r="H143" s="25" t="str">
        <x:v>SUCCESS_NONZERO</x:v>
      </x:c>
      <x:c r="I143" s="25" t="n">
        <x:v>181</x:v>
      </x:c>
      <x:c r="J143" s="31" t="str">
        <x:v>heat wave</x:v>
      </x:c>
      <x:c r="K143" s="19" t="str">
        <x:v>heat wave (All)</x:v>
      </x:c>
      <x:c r="L143" s="31" t="str">
        <x:v>Compatible exact string/phrase for unsmoothed public Ngram retrieval (current interface supports up to seven words).</x:v>
      </x:c>
      <x:c r="M143" s="19" t="n">
        <x:v>46260.10731481481</x:v>
      </x:c>
      <x:c r="N143" s="31" t="str">
        <x:v>data/fear-temperature/ngram/raw/306e212ec9cdb980f5e1f91f3e6734e7998c99820aa93fd4a8109533d1676f5a.json</x:v>
      </x:c>
      <x:c r="O143" s="43" t="str">
        <x:v>RECONSTRUCTED_FROM_REPORT</x:v>
      </x:c>
    </x:row>
    <x:row r="144" ht="27" customHeight="1">
      <x:c r="A144" s="18" t="str">
        <x:v>FT-Q-V01-140</x:v>
      </x:c>
      <x:c r="B144" s="19" t="str">
        <x:v>1988</x:v>
      </x:c>
      <x:c r="C144" s="31" t="str">
        <x:v>grave threats</x:v>
      </x:c>
      <x:c r="D144" s="19" t="str">
        <x:v>EXECUTABLE_NGRAM</x:v>
      </x:c>
      <x:c r="E144" s="31" t="str">
        <x:v>COMPATIBLE</x:v>
      </x:c>
      <x:c r="F144" s="55" t="b">
        <x:v>1</x:v>
      </x:c>
      <x:c r="G144" s="31" t="str">
        <x:v>SUCCEEDED</x:v>
      </x:c>
      <x:c r="H144" s="25" t="str">
        <x:v>SUCCESS_NONZERO</x:v>
      </x:c>
      <x:c r="I144" s="25" t="n">
        <x:v>181</x:v>
      </x:c>
      <x:c r="J144" s="31" t="str">
        <x:v>grave threats</x:v>
      </x:c>
      <x:c r="K144" s="19" t="str">
        <x:v>grave threats (All)</x:v>
      </x:c>
      <x:c r="L144" s="31" t="str">
        <x:v>Compatible exact string/phrase for unsmoothed public Ngram retrieval (current interface supports up to seven words).</x:v>
      </x:c>
      <x:c r="M144" s="19" t="n">
        <x:v>46260.10837962963</x:v>
      </x:c>
      <x:c r="N144" s="31" t="str">
        <x:v>data/fear-temperature/ngram/raw/199a2de4dde46b1f28e8d82214a736fd2943900d1124288ca73d431bc50f76b4.json</x:v>
      </x:c>
      <x:c r="O144" s="43" t="str">
        <x:v>RECONSTRUCTED_FROM_REPORT</x:v>
      </x:c>
    </x:row>
    <x:row r="145" ht="27" customHeight="1">
      <x:c r="A145" s="18" t="str">
        <x:v>FT-Q-V01-141</x:v>
      </x:c>
      <x:c r="B145" s="19" t="str">
        <x:v>2006–2007</x:v>
      </x:c>
      <x:c r="C145" s="31" t="str">
        <x:v>Be Worried. Be Very Worried.</x:v>
      </x:c>
      <x:c r="D145" s="19" t="str">
        <x:v>EXECUTABLE_CORPUS_ONLY</x:v>
      </x:c>
      <x:c r="E145" s="31" t="str">
        <x:v>PUNCTUATION_HEAVY</x:v>
      </x:c>
      <x:c r="F145" s="55" t="b">
        <x:v>0</x:v>
      </x:c>
      <x:c r="G145" s="31" t="str">
        <x:v>NOT_RUN_INCOMPATIBLE</x:v>
      </x:c>
      <x:c r="H145" s="25" t="str">
        <x:v>TECHNICALLY_UNREPRESENTABLE</x:v>
      </x:c>
      <x:c r="I145" s="25" t="n">
        <x:v>0</x:v>
      </x:c>
      <x:c r="J145" s="31" t="str">
        <x:v>Be Worried. Be Very Worried.</x:v>
      </x:c>
      <x:c r="K145" s="19" t="str">
        <x:v>NOT_APPLICABLE</x:v>
      </x:c>
      <x:c r="L145" s="31" t="str">
        <x:v>Sentence-level punctuation makes this a corpus-context rule, not an Ngram phrase.</x:v>
      </x:c>
      <x:c r="M145" s="19" t="str">
        <x:v>NOT_APPLICABLE</x:v>
      </x:c>
      <x:c r="N145" s="31" t="str">
        <x:v>NOT_APPLICABLE</x:v>
      </x:c>
      <x:c r="O145" s="43" t="str">
        <x:v>RECONSTRUCTED_FROM_REPORT</x:v>
      </x:c>
    </x:row>
    <x:row r="146" ht="27" customHeight="1">
      <x:c r="A146" s="18" t="str">
        <x:v>FT-Q-V01-142</x:v>
      </x:c>
      <x:c r="B146" s="19" t="str">
        <x:v>2015</x:v>
      </x:c>
      <x:c r="C146" s="31" t="str">
        <x:v>comprehensive risk assessment and management</x:v>
      </x:c>
      <x:c r="D146" s="19" t="str">
        <x:v>EXECUTABLE_NGRAM</x:v>
      </x:c>
      <x:c r="E146" s="31" t="str">
        <x:v>COMPATIBLE</x:v>
      </x:c>
      <x:c r="F146" s="55" t="b">
        <x:v>1</x:v>
      </x:c>
      <x:c r="G146" s="31" t="str">
        <x:v>SUCCEEDED</x:v>
      </x:c>
      <x:c r="H146" s="25" t="str">
        <x:v>SUCCESS_NONZERO</x:v>
      </x:c>
      <x:c r="I146" s="25" t="n">
        <x:v>181</x:v>
      </x:c>
      <x:c r="J146" s="31" t="str">
        <x:v>comprehensive risk assessment and management</x:v>
      </x:c>
      <x:c r="K146" s="19" t="str">
        <x:v>comprehensive risk assessment and management (All)</x:v>
      </x:c>
      <x:c r="L146" s="31" t="str">
        <x:v>Compatible exact string/phrase for unsmoothed public Ngram retrieval (current interface supports up to seven words).</x:v>
      </x:c>
      <x:c r="M146" s="19" t="n">
        <x:v>46260.10839120371</x:v>
      </x:c>
      <x:c r="N146" s="31" t="str">
        <x:v>data/fear-temperature/ngram/raw/98133fcfa53e45c78d53cec796f58bcdaf049d4f7b7d689a9b32d8a79abe6afd.json</x:v>
      </x:c>
      <x:c r="O146" s="43" t="str">
        <x:v>RECONSTRUCTED_FROM_REPORT</x:v>
      </x:c>
    </x:row>
    <x:row r="147" ht="27" customHeight="1">
      <x:c r="A147" s="21" t="str">
        <x:v>FT-Q-V01-143</x:v>
      </x:c>
      <x:c r="B147" s="22" t="str">
        <x:v>2022</x:v>
      </x:c>
      <x:c r="C147" s="32" t="str">
        <x:v>guilt</x:v>
      </x:c>
      <x:c r="D147" s="22" t="str">
        <x:v>EXECUTABLE_NGRAM</x:v>
      </x:c>
      <x:c r="E147" s="32" t="str">
        <x:v>COMPATIBLE</x:v>
      </x:c>
      <x:c r="F147" s="56" t="b">
        <x:v>1</x:v>
      </x:c>
      <x:c r="G147" s="32" t="str">
        <x:v>SUCCEEDED</x:v>
      </x:c>
      <x:c r="H147" s="26" t="str">
        <x:v>SUCCESS_NONZERO</x:v>
      </x:c>
      <x:c r="I147" s="26" t="n">
        <x:v>181</x:v>
      </x:c>
      <x:c r="J147" s="32" t="str">
        <x:v>guilt</x:v>
      </x:c>
      <x:c r="K147" s="22" t="str">
        <x:v>guilt (All)</x:v>
      </x:c>
      <x:c r="L147" s="32" t="str">
        <x:v>Compatible exact string/phrase for unsmoothed public Ngram retrieval (current interface supports up to seven words).</x:v>
      </x:c>
      <x:c r="M147" s="22" t="n">
        <x:v>46260.10839120371</x:v>
      </x:c>
      <x:c r="N147" s="32" t="str">
        <x:v>data/fear-temperature/ngram/raw/5b4a6bef176c04f9daabd6c22aca47c6b2abebd8c7e08193bc29846a6873320a.json</x:v>
      </x:c>
      <x:c r="O147" s="44" t="str">
        <x:v>RECONSTRUCTED_FROM_REPORT</x:v>
      </x:c>
    </x:row>
  </x:sheetData>
  <x:mergeCells>
    <x:mergeCell ref="A1:O1"/>
    <x:mergeCell ref="A2:O2"/>
  </x:mergeCells>
  <x:conditionalFormatting sqref="E5:E147">
    <x:cfRule type="containsText" dxfId="84" priority="1" operator="containsText" text="COMPLETE"/>
    <x:cfRule type="containsText" dxfId="85" priority="2" operator="containsText" text="TRACEABLE"/>
    <x:cfRule type="containsText" dxfId="86" priority="3" operator="containsText" text="ZERO"/>
    <x:cfRule type="containsText" dxfId="87" priority="4" operator="containsText" text="UNRESOLVED"/>
    <x:cfRule type="containsText" dxfId="88" priority="5" operator="containsText" text="NOT_"/>
    <x:cfRule type="containsText" dxfId="89" priority="6" operator="containsText" text="PARTIAL"/>
  </x:conditionalFormatting>
  <x:conditionalFormatting sqref="G5:G147">
    <x:cfRule type="containsText" dxfId="90" priority="7" operator="containsText" text="COMPLETE"/>
    <x:cfRule type="containsText" dxfId="91" priority="8" operator="containsText" text="TRACEABLE"/>
    <x:cfRule type="containsText" dxfId="92" priority="9" operator="containsText" text="ZERO"/>
    <x:cfRule type="containsText" dxfId="93" priority="10" operator="containsText" text="UNRESOLVED"/>
    <x:cfRule type="containsText" dxfId="94" priority="11" operator="containsText" text="NOT_"/>
    <x:cfRule type="containsText" dxfId="95" priority="12" operator="containsText" text="PARTIAL"/>
  </x:conditionalFormatting>
  <x:conditionalFormatting sqref="O5:O147">
    <x:cfRule type="containsText" dxfId="96" priority="13" operator="containsText" text="COMPLETE"/>
    <x:cfRule type="containsText" dxfId="97" priority="14" operator="containsText" text="TRACEABLE"/>
    <x:cfRule type="containsText" dxfId="98" priority="15" operator="containsText" text="ZERO"/>
    <x:cfRule type="containsText" dxfId="99" priority="16" operator="containsText" text="UNRESOLVED"/>
    <x:cfRule type="containsText" dxfId="100" priority="17" operator="containsText" text="NOT_"/>
    <x:cfRule type="containsText" dxfId="101" priority="18" operator="containsText" text="PARTIAL"/>
  </x:conditionalFormatting>
  <x:pageMargins left="0.7" right="0.7" top="0.75" bottom="0.75" header="0.3" footer="0.3"/>
  <x:tableParts count="1">
    <x:tablePart xmlns:r="http://schemas.openxmlformats.org/officeDocument/2006/relationships" r:id="R765a27a14777456f"/>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24" hidden="0" customWidth="1"/>
    <x:col min="6" max="6" width="24" hidden="0" customWidth="1"/>
    <x:col min="7" max="7" width="23" hidden="0" customWidth="1"/>
    <x:col min="8" max="8" width="16" hidden="0" customWidth="1"/>
    <x:col min="9" max="9" width="32" hidden="0" customWidth="1"/>
    <x:col min="10" max="10" width="32" hidden="0" customWidth="1"/>
    <x:col min="11" max="11" width="32" hidden="0" customWidth="1"/>
    <x:col min="12" max="12" width="40" hidden="0" customWidth="1"/>
    <x:col min="13" max="13" width="40" hidden="0" customWidth="1"/>
    <x:col min="14" max="14" width="40" hidden="0" customWidth="1"/>
    <x:col min="15" max="15" width="40" hidden="0" customWidth="1"/>
    <x:col min="16" max="16" width="16" hidden="0" customWidth="1"/>
    <x:col min="17" max="17" width="40" hidden="0" customWidth="1"/>
    <x:col min="18" max="18" width="32" hidden="0" customWidth="1"/>
    <x:col min="19" max="19" width="16" hidden="0" customWidth="1"/>
    <x:col min="20" max="20" width="40" hidden="0" customWidth="1"/>
  </x:cols>
  <x:sheetData>
    <x:row r="1" ht="38" customHeight="1">
      <x:c r="A1" s="3" t="str">
        <x:v>Dictionary and Lexicographic Coverage — 180 Candidates</x:v>
      </x:c>
      <x:c r="B1" s="3" t="str">
        <x:v>Dictionary and Lexicographic Coverage — 180 Candidates</x:v>
      </x:c>
      <x:c r="C1" s="3" t="str">
        <x:v>Dictionary and Lexicographic Coverage — 180 Candidates</x:v>
      </x:c>
      <x:c r="D1" s="3" t="str">
        <x:v>Dictionary and Lexicographic Coverage — 180 Candidates</x:v>
      </x:c>
      <x:c r="E1" s="3" t="str">
        <x:v>Dictionary and Lexicographic Coverage — 180 Candidates</x:v>
      </x:c>
      <x:c r="F1" s="3" t="str">
        <x:v>Dictionary and Lexicographic Coverage — 180 Candidates</x:v>
      </x:c>
      <x:c r="G1" s="3" t="str">
        <x:v>Dictionary and Lexicographic Coverage — 180 Candidates</x:v>
      </x:c>
      <x:c r="H1" s="3" t="str">
        <x:v>Dictionary and Lexicographic Coverage — 180 Candidates</x:v>
      </x:c>
      <x:c r="I1" s="3" t="str">
        <x:v>Dictionary and Lexicographic Coverage — 180 Candidates</x:v>
      </x:c>
      <x:c r="J1" s="3" t="str">
        <x:v>Dictionary and Lexicographic Coverage — 180 Candidates</x:v>
      </x:c>
      <x:c r="K1" s="3" t="str">
        <x:v>Dictionary and Lexicographic Coverage — 180 Candidates</x:v>
      </x:c>
      <x:c r="L1" s="3" t="str">
        <x:v>Dictionary and Lexicographic Coverage — 180 Candidates</x:v>
      </x:c>
      <x:c r="M1" s="3" t="str">
        <x:v>Dictionary and Lexicographic Coverage — 180 Candidates</x:v>
      </x:c>
      <x:c r="N1" s="3" t="str">
        <x:v>Dictionary and Lexicographic Coverage — 180 Candidates</x:v>
      </x:c>
      <x:c r="O1" s="3" t="str">
        <x:v>Dictionary and Lexicographic Coverage — 180 Candidates</x:v>
      </x:c>
      <x:c r="P1" s="3" t="str">
        <x:v>Dictionary and Lexicographic Coverage — 180 Candidates</x:v>
      </x:c>
      <x:c r="Q1" s="3" t="str">
        <x:v>Dictionary and Lexicographic Coverage — 180 Candidates</x:v>
      </x:c>
      <x:c r="R1" s="3" t="str">
        <x:v>Dictionary and Lexicographic Coverage — 180 Candidates</x:v>
      </x:c>
      <x:c r="S1" s="3" t="str">
        <x:v>Dictionary and Lexicographic Coverage — 180 Candidates</x:v>
      </x:c>
      <x:c r="T1" s="3" t="str">
        <x:v>Dictionary and Lexicographic Coverage — 180 Candidates</x:v>
      </x:c>
    </x:row>
    <x:row r="2" ht="32" customHeight="1">
      <x:c r="A2" s="7" t="str">
        <x:v>Concise paraphrases with source attribution; no standalone headword remains a valid accounted state.</x:v>
      </x:c>
      <x:c r="B2" s="7" t="str">
        <x:v>Concise paraphrases with source attribution; no standalone headword remains a valid accounted state.</x:v>
      </x:c>
      <x:c r="C2" s="7" t="str">
        <x:v>Concise paraphrases with source attribution; no standalone headword remains a valid accounted state.</x:v>
      </x:c>
      <x:c r="D2" s="7" t="str">
        <x:v>Concise paraphrases with source attribution; no standalone headword remains a valid accounted state.</x:v>
      </x:c>
      <x:c r="E2" s="7" t="str">
        <x:v>Concise paraphrases with source attribution; no standalone headword remains a valid accounted state.</x:v>
      </x:c>
      <x:c r="F2" s="7" t="str">
        <x:v>Concise paraphrases with source attribution; no standalone headword remains a valid accounted state.</x:v>
      </x:c>
      <x:c r="G2" s="7" t="str">
        <x:v>Concise paraphrases with source attribution; no standalone headword remains a valid accounted state.</x:v>
      </x:c>
      <x:c r="H2" s="7" t="str">
        <x:v>Concise paraphrases with source attribution; no standalone headword remains a valid accounted state.</x:v>
      </x:c>
      <x:c r="I2" s="7" t="str">
        <x:v>Concise paraphrases with source attribution; no standalone headword remains a valid accounted state.</x:v>
      </x:c>
      <x:c r="J2" s="7" t="str">
        <x:v>Concise paraphrases with source attribution; no standalone headword remains a valid accounted state.</x:v>
      </x:c>
      <x:c r="K2" s="7" t="str">
        <x:v>Concise paraphrases with source attribution; no standalone headword remains a valid accounted state.</x:v>
      </x:c>
      <x:c r="L2" s="7" t="str">
        <x:v>Concise paraphrases with source attribution; no standalone headword remains a valid accounted state.</x:v>
      </x:c>
      <x:c r="M2" s="7" t="str">
        <x:v>Concise paraphrases with source attribution; no standalone headword remains a valid accounted state.</x:v>
      </x:c>
      <x:c r="N2" s="7" t="str">
        <x:v>Concise paraphrases with source attribution; no standalone headword remains a valid accounted state.</x:v>
      </x:c>
      <x:c r="O2" s="7" t="str">
        <x:v>Concise paraphrases with source attribution; no standalone headword remains a valid accounted state.</x:v>
      </x:c>
      <x:c r="P2" s="7" t="str">
        <x:v>Concise paraphrases with source attribution; no standalone headword remains a valid accounted state.</x:v>
      </x:c>
      <x:c r="Q2" s="7" t="str">
        <x:v>Concise paraphrases with source attribution; no standalone headword remains a valid accounted state.</x:v>
      </x:c>
      <x:c r="R2" s="7" t="str">
        <x:v>Concise paraphrases with source attribution; no standalone headword remains a valid accounted state.</x:v>
      </x:c>
      <x:c r="S2" s="7" t="str">
        <x:v>Concise paraphrases with source attribution; no standalone headword remains a valid accounted state.</x:v>
      </x:c>
      <x:c r="T2" s="7" t="str">
        <x:v>Concise paraphrases with source attribution; no standalone headword remains a valid accounted state.</x:v>
      </x:c>
    </x:row>
    <x:row r="4" ht="42" customHeight="1">
      <x:c r="A4" s="14" t="str">
        <x:v>Candidate ID</x:v>
      </x:c>
      <x:c r="B4" s="14" t="str">
        <x:v>Anchor</x:v>
      </x:c>
      <x:c r="C4" s="14" t="str">
        <x:v>Rank</x:v>
      </x:c>
      <x:c r="D4" s="14" t="str">
        <x:v>Surface Form</x:v>
      </x:c>
      <x:c r="E4" s="14" t="str">
        <x:v>Normalised Concept</x:v>
      </x:c>
      <x:c r="F4" s="14" t="str">
        <x:v>Lexical Family</x:v>
      </x:c>
      <x:c r="G4" s="14" t="str">
        <x:v>Dictionary Status</x:v>
      </x:c>
      <x:c r="H4" s="14" t="str">
        <x:v>Direct Headword Exists</x:v>
      </x:c>
      <x:c r="I4" s="14" t="str">
        <x:v>Primary Source</x:v>
      </x:c>
      <x:c r="J4" s="14" t="str">
        <x:v>Secondary Source</x:v>
      </x:c>
      <x:c r="K4" s="14" t="str">
        <x:v>Historical / Domain Source</x:v>
      </x:c>
      <x:c r="L4" s="14" t="str">
        <x:v>Concise Definition Paraphrase</x:v>
      </x:c>
      <x:c r="M4" s="14" t="str">
        <x:v>Historically Relevant Sense</x:v>
      </x:c>
      <x:c r="N4" s="14" t="str">
        <x:v>Modern Sense</x:v>
      </x:c>
      <x:c r="O4" s="14" t="str">
        <x:v>Anchor Sense Match</x:v>
      </x:c>
      <x:c r="P4" s="14" t="str">
        <x:v>First Attestation</x:v>
      </x:c>
      <x:c r="Q4" s="14" t="str">
        <x:v>Polysemy Warning</x:v>
      </x:c>
      <x:c r="R4" s="14" t="str">
        <x:v>Source Citation / Link</x:v>
      </x:c>
      <x:c r="S4" s="14" t="str">
        <x:v>Access Date</x:v>
      </x:c>
      <x:c r="T4" s="14" t="str">
        <x:v>Candidate Provenance</x:v>
      </x:c>
    </x:row>
    <x:row r="5" ht="38" customHeight="1">
      <x:c r="A5" s="39" t="str">
        <x:v>FT-SEED-R1B-P-1842-01</x:v>
      </x:c>
      <x:c r="B5" s="16" t="str">
        <x:v>1842</x:v>
      </x:c>
      <x:c r="C5" s="24" t="n">
        <x:v>1</x:v>
      </x:c>
      <x:c r="D5" s="30" t="str">
        <x:v>temperature</x:v>
      </x:c>
      <x:c r="E5" s="30" t="str">
        <x:v>local / instrumental temperature</x:v>
      </x:c>
      <x:c r="F5" s="30" t="str">
        <x:v>temperature_threshold</x:v>
      </x:c>
      <x:c r="G5" s="30" t="str">
        <x:v>DIRECT_HEADWORD</x:v>
      </x:c>
      <x:c r="H5" s="16" t="str">
        <x:v>YES</x:v>
      </x:c>
      <x:c r="I5" s="30" t="str">
        <x:v>DictionaryAPI.dev English entry (Wiktionary-derived open lexical data)</x:v>
      </x:c>
      <x:c r="J5" s="30" t="str">
        <x:v>DictionaryAPI.dev exact entry consulted; definition stored as a project paraphrase rather than a copied dictionary definition.</x:v>
      </x:c>
      <x:c r="K5" s="30" t="str">
        <x:v>Anchor-period research source/context; Webster 1913 stable component URL recorded but automated page retrieval was unavailable</x:v>
      </x:c>
      <x:c r="L5" s="30" t="str">
        <x:v>A local or instrument-specific temperature reading; the candidate is interpreted in its documented anchor and voice context.</x:v>
      </x:c>
      <x:c r="M5" s="30" t="str">
        <x:v>A physical temperature, warming, heat, or measurement sense in the documented anchor context.</x:v>
      </x:c>
      <x:c r="N5" s="30" t="str">
        <x:v>A local or instrument-specific temperature reading; the candidate is interpreted in its documented anchor and voice context.</x:v>
      </x:c>
      <x:c r="O5" s="30" t="str">
        <x:v>STRONG</x:v>
      </x:c>
      <x:c r="P5" s="16" t="str">
        <x:v>NOT_LOCATED</x:v>
      </x:c>
      <x:c r="Q5" s="30" t="str">
        <x:v>The surface form may realize multiple senses; candidate meaning remains anchored to the report-visible source context.</x:v>
      </x:c>
      <x:c r="R5" s="30" t="str">
        <x:v>https://api.dictionaryapi.dev/api/v2/entries/en/temperature; https://websters1913.timcieplowski.com/word/temperature/</x:v>
      </x:c>
      <x:c r="S5" s="16" t="str">
        <x:v>2026-08-26</x:v>
      </x:c>
      <x:c r="T5" s="42" t="str">
        <x:v>RECONSTRUCTED_FROM_REPORT; Fear of Temperature_ Stratified Lexical Expansion, Voice Mapping, and Semantic-Relational Pre-Valida.pdf; p.6; project candidate FT-SEED-R1B-P-1842-01; original visible ID not available</x:v>
      </x:c>
    </x:row>
    <x:row r="6" ht="38" customHeight="1">
      <x:c r="A6" s="40" t="str">
        <x:v>FT-SEED-R1B-P-1842-02</x:v>
      </x:c>
      <x:c r="B6" s="19" t="str">
        <x:v>1842</x:v>
      </x:c>
      <x:c r="C6" s="25" t="n">
        <x:v>2</x:v>
      </x:c>
      <x:c r="D6" s="31" t="str">
        <x:v>mean temperature</x:v>
      </x:c>
      <x:c r="E6" s="31" t="str">
        <x:v>mean temperature</x:v>
      </x:c>
      <x:c r="F6" s="31" t="str">
        <x:v>temperature_threshold</x:v>
      </x:c>
      <x:c r="G6" s="31" t="str">
        <x:v>NO_STANDALONE_HEADWORD</x:v>
      </x:c>
      <x:c r="H6" s="19" t="str">
        <x:v>NO</x:v>
      </x:c>
      <x:c r="I6" s="31" t="str">
        <x:v>Component lexical analysis plus anchor-source contextual meaning</x:v>
      </x:c>
      <x:c r="J6" s="31" t="str">
        <x:v>Component headword checked: temperature.</x:v>
      </x:c>
      <x:c r="K6" s="31" t="str">
        <x:v>Anchor-period research source/context; Webster 1913 stable component URL recorded but automated page retrieval was unavailable</x:v>
      </x:c>
      <x:c r="L6" s="31" t="str">
        <x:v>A temporally or spatially averaged temperature value; the candidate is interpreted in its documented anchor and voice context.</x:v>
      </x:c>
      <x:c r="M6" s="31" t="str">
        <x:v>A physical temperature, warming, heat, or measurement sense in the documented anchor context.</x:v>
      </x:c>
      <x:c r="N6" s="31" t="str">
        <x:v>A temporally or spatially averaged temperature value; the candidate is interpreted in its documented anchor and voice context.</x:v>
      </x:c>
      <x:c r="O6" s="31" t="str">
        <x:v>STRONG</x:v>
      </x:c>
      <x:c r="P6" s="19" t="str">
        <x:v>NOT_LOCATED</x:v>
      </x:c>
      <x:c r="Q6" s="31" t="str">
        <x:v>The surface form may realize multiple senses; candidate meaning remains anchored to the report-visible source context.</x:v>
      </x:c>
      <x:c r="R6" s="31" t="str">
        <x:v>Fear of Temperature_ Stratified Lexical Expansion, Voice Mapping, and Semantic-Relational Pre-Valida.pdf#page=8; https://api.dictionaryapi.dev/api/v2/entries/en/mean%20temperature; https://websters1913.timcieplowski.com/word/temperature/</x:v>
      </x:c>
      <x:c r="S6" s="19" t="str">
        <x:v>2026-08-26</x:v>
      </x:c>
      <x:c r="T6" s="43" t="str">
        <x:v>RECONSTRUCTED_FROM_REPORT; Fear of Temperature_ Stratified Lexical Expansion, Voice Mapping, and Semantic-Relational Pre-Valida.pdf; p.6; project candidate FT-SEED-R1B-P-1842-02; original visible ID not available</x:v>
      </x:c>
    </x:row>
    <x:row r="7" ht="38" customHeight="1">
      <x:c r="A7" s="40" t="str">
        <x:v>FT-SEED-R1B-P-1842-03</x:v>
      </x:c>
      <x:c r="B7" s="19" t="str">
        <x:v>1842</x:v>
      </x:c>
      <x:c r="C7" s="25" t="n">
        <x:v>3</x:v>
      </x:c>
      <x:c r="D7" s="31" t="str">
        <x:v>temperature of the air in shade</x:v>
      </x:c>
      <x:c r="E7" s="31" t="str">
        <x:v>local / instrumental temperature</x:v>
      </x:c>
      <x:c r="F7" s="31" t="str">
        <x:v>temperature_threshold</x:v>
      </x:c>
      <x:c r="G7" s="31" t="str">
        <x:v>NO_STANDALONE_HEADWORD</x:v>
      </x:c>
      <x:c r="H7" s="19" t="str">
        <x:v>NO</x:v>
      </x:c>
      <x:c r="I7" s="31" t="str">
        <x:v>Component lexical analysis plus anchor-source contextual meaning</x:v>
      </x:c>
      <x:c r="J7" s="31" t="str">
        <x:v>Component headword checked: shade.</x:v>
      </x:c>
      <x:c r="K7" s="31" t="str">
        <x:v>Anchor-period research source/context; Webster 1913 stable component URL recorded but automated page retrieval was unavailable</x:v>
      </x:c>
      <x:c r="L7" s="31" t="str">
        <x:v>A local or instrument-specific temperature reading; the candidate is interpreted in its documented anchor and voice context.</x:v>
      </x:c>
      <x:c r="M7" s="31" t="str">
        <x:v>A physical temperature, warming, heat, or measurement sense in the documented anchor context.</x:v>
      </x:c>
      <x:c r="N7" s="31" t="str">
        <x:v>A local or instrument-specific temperature reading; the candidate is interpreted in its documented anchor and voice context.</x:v>
      </x:c>
      <x:c r="O7" s="31" t="str">
        <x:v>STRONG</x:v>
      </x:c>
      <x:c r="P7" s="19" t="str">
        <x:v>NOT_LOCATED</x:v>
      </x:c>
      <x:c r="Q7" s="31" t="str">
        <x:v>The surface form may realize multiple senses; candidate meaning remains anchored to the report-visible source context.</x:v>
      </x:c>
      <x:c r="R7" s="31" t="str">
        <x:v>Fear of Temperature_ Stratified Lexical Expansion, Voice Mapping, and Semantic-Relational Pre-Valida.pdf#page=6; https://api.dictionaryapi.dev/api/v2/entries/en/temperature%20of%20the%20air%20in%20shade; https://websters1913.timcieplowski.com/word/shade/</x:v>
      </x:c>
      <x:c r="S7" s="19" t="str">
        <x:v>2026-08-26</x:v>
      </x:c>
      <x:c r="T7" s="43" t="str">
        <x:v>RECONSTRUCTED_FROM_REPORT; Fear of Temperature_ Stratified Lexical Expansion, Voice Mapping, and Semantic-Relational Pre-Valida.pdf; p.6; project candidate FT-SEED-R1B-P-1842-03; original visible ID not available</x:v>
      </x:c>
    </x:row>
    <x:row r="8" ht="38" customHeight="1">
      <x:c r="A8" s="40" t="str">
        <x:v>FT-SEED-R1B-P-1842-04</x:v>
      </x:c>
      <x:c r="B8" s="19" t="str">
        <x:v>1842</x:v>
      </x:c>
      <x:c r="C8" s="25" t="n">
        <x:v>4</x:v>
      </x:c>
      <x:c r="D8" s="31" t="str">
        <x:v>maximum temperature</x:v>
      </x:c>
      <x:c r="E8" s="31" t="str">
        <x:v>local / instrumental temperature</x:v>
      </x:c>
      <x:c r="F8" s="31" t="str">
        <x:v>temperature_threshold</x:v>
      </x:c>
      <x:c r="G8" s="31" t="str">
        <x:v>NO_STANDALONE_HEADWORD</x:v>
      </x:c>
      <x:c r="H8" s="19" t="str">
        <x:v>NO</x:v>
      </x:c>
      <x:c r="I8" s="31" t="str">
        <x:v>Component lexical analysis plus anchor-source contextual meaning</x:v>
      </x:c>
      <x:c r="J8" s="31" t="str">
        <x:v>Component headword checked: temperature.</x:v>
      </x:c>
      <x:c r="K8" s="31" t="str">
        <x:v>Anchor-period research source/context; Webster 1913 stable component URL recorded but automated page retrieval was unavailable</x:v>
      </x:c>
      <x:c r="L8" s="31" t="str">
        <x:v>A local or instrument-specific temperature reading; the candidate is interpreted in its documented anchor and voice context.</x:v>
      </x:c>
      <x:c r="M8" s="31" t="str">
        <x:v>A physical temperature, warming, heat, or measurement sense in the documented anchor context.</x:v>
      </x:c>
      <x:c r="N8" s="31" t="str">
        <x:v>A local or instrument-specific temperature reading; the candidate is interpreted in its documented anchor and voice context.</x:v>
      </x:c>
      <x:c r="O8" s="31" t="str">
        <x:v>STRONG</x:v>
      </x:c>
      <x:c r="P8" s="19" t="str">
        <x:v>NOT_LOCATED</x:v>
      </x:c>
      <x:c r="Q8" s="31" t="str">
        <x:v>The surface form may realize multiple senses; candidate meaning remains anchored to the report-visible source context.</x:v>
      </x:c>
      <x:c r="R8" s="31" t="str">
        <x:v>Fear of Temperature_ Stratified Lexical Expansion, Voice Mapping, and Semantic-Relational Pre-Valida.pdf#page=6; https://api.dictionaryapi.dev/api/v2/entries/en/maximum%20temperature; https://websters1913.timcieplowski.com/word/temperature/</x:v>
      </x:c>
      <x:c r="S8" s="19" t="str">
        <x:v>2026-08-26</x:v>
      </x:c>
      <x:c r="T8" s="43" t="str">
        <x:v>RECONSTRUCTED_FROM_REPORT; Fear of Temperature_ Stratified Lexical Expansion, Voice Mapping, and Semantic-Relational Pre-Valida.pdf; p.6; project candidate FT-SEED-R1B-P-1842-04; original visible ID not available</x:v>
      </x:c>
    </x:row>
    <x:row r="9" ht="38" customHeight="1">
      <x:c r="A9" s="40" t="str">
        <x:v>FT-SEED-R1B-P-1842-05</x:v>
      </x:c>
      <x:c r="B9" s="19" t="str">
        <x:v>1842</x:v>
      </x:c>
      <x:c r="C9" s="25" t="n">
        <x:v>5</x:v>
      </x:c>
      <x:c r="D9" s="31" t="str">
        <x:v>minimum temperature</x:v>
      </x:c>
      <x:c r="E9" s="31" t="str">
        <x:v>local / instrumental temperature</x:v>
      </x:c>
      <x:c r="F9" s="31" t="str">
        <x:v>temperature_threshold</x:v>
      </x:c>
      <x:c r="G9" s="31" t="str">
        <x:v>NO_STANDALONE_HEADWORD</x:v>
      </x:c>
      <x:c r="H9" s="19" t="str">
        <x:v>NO</x:v>
      </x:c>
      <x:c r="I9" s="31" t="str">
        <x:v>Component lexical analysis plus anchor-source contextual meaning</x:v>
      </x:c>
      <x:c r="J9" s="31" t="str">
        <x:v>Component headword checked: temperature.</x:v>
      </x:c>
      <x:c r="K9" s="31" t="str">
        <x:v>Anchor-period research source/context; Webster 1913 stable component URL recorded but automated page retrieval was unavailable</x:v>
      </x:c>
      <x:c r="L9" s="31" t="str">
        <x:v>A local or instrument-specific temperature reading; the candidate is interpreted in its documented anchor and voice context.</x:v>
      </x:c>
      <x:c r="M9" s="31" t="str">
        <x:v>A physical temperature, warming, heat, or measurement sense in the documented anchor context.</x:v>
      </x:c>
      <x:c r="N9" s="31" t="str">
        <x:v>A local or instrument-specific temperature reading; the candidate is interpreted in its documented anchor and voice context.</x:v>
      </x:c>
      <x:c r="O9" s="31" t="str">
        <x:v>STRONG</x:v>
      </x:c>
      <x:c r="P9" s="19" t="str">
        <x:v>NOT_LOCATED</x:v>
      </x:c>
      <x:c r="Q9" s="31" t="str">
        <x:v>The surface form may realize multiple senses; candidate meaning remains anchored to the report-visible source context.</x:v>
      </x:c>
      <x:c r="R9" s="31" t="str">
        <x:v>Fear of Temperature_ Stratified Lexical Expansion, Voice Mapping, and Semantic-Relational Pre-Valida.pdf#page=6; https://api.dictionaryapi.dev/api/v2/entries/en/minimum%20temperature; https://websters1913.timcieplowski.com/word/temperature/</x:v>
      </x:c>
      <x:c r="S9" s="19" t="str">
        <x:v>2026-08-26</x:v>
      </x:c>
      <x:c r="T9" s="43" t="str">
        <x:v>RECONSTRUCTED_FROM_REPORT; Fear of Temperature_ Stratified Lexical Expansion, Voice Mapping, and Semantic-Relational Pre-Valida.pdf; p.6; project candidate FT-SEED-R1B-P-1842-05; original visible ID not available</x:v>
      </x:c>
    </x:row>
    <x:row r="10" ht="38" customHeight="1">
      <x:c r="A10" s="40" t="str">
        <x:v>FT-SEED-R1B-P-1842-06</x:v>
      </x:c>
      <x:c r="B10" s="19" t="str">
        <x:v>1842</x:v>
      </x:c>
      <x:c r="C10" s="25" t="n">
        <x:v>6</x:v>
      </x:c>
      <x:c r="D10" s="31" t="str">
        <x:v>mean temperature of sea at surface</x:v>
      </x:c>
      <x:c r="E10" s="31" t="str">
        <x:v>mean temperature</x:v>
      </x:c>
      <x:c r="F10" s="31" t="str">
        <x:v>temperature_threshold</x:v>
      </x:c>
      <x:c r="G10" s="31" t="str">
        <x:v>NO_STANDALONE_HEADWORD</x:v>
      </x:c>
      <x:c r="H10" s="19" t="str">
        <x:v>NO</x:v>
      </x:c>
      <x:c r="I10" s="31" t="str">
        <x:v>Component lexical analysis plus anchor-source contextual meaning</x:v>
      </x:c>
      <x:c r="J10" s="31" t="str">
        <x:v>Component headword checked: surface.</x:v>
      </x:c>
      <x:c r="K10" s="31" t="str">
        <x:v>Anchor-period research source/context; Webster 1913 stable component URL recorded but automated page retrieval was unavailable</x:v>
      </x:c>
      <x:c r="L10" s="31" t="str">
        <x:v>A temporally or spatially averaged temperature value; the candidate is interpreted in its documented anchor and voice context.</x:v>
      </x:c>
      <x:c r="M10" s="31" t="str">
        <x:v>A physical temperature, warming, heat, or measurement sense in the documented anchor context.</x:v>
      </x:c>
      <x:c r="N10" s="31" t="str">
        <x:v>A temporally or spatially averaged temperature value; the candidate is interpreted in its documented anchor and voice context.</x:v>
      </x:c>
      <x:c r="O10" s="31" t="str">
        <x:v>STRONG</x:v>
      </x:c>
      <x:c r="P10" s="19" t="str">
        <x:v>NOT_LOCATED</x:v>
      </x:c>
      <x:c r="Q10" s="31" t="str">
        <x:v>The surface form may realize multiple senses; candidate meaning remains anchored to the report-visible source context.</x:v>
      </x:c>
      <x:c r="R10" s="31" t="str">
        <x:v>Fear of Temperature_ Stratified Lexical Expansion, Voice Mapping, and Semantic-Relational Pre-Valida.pdf#page=6; https://api.dictionaryapi.dev/api/v2/entries/en/mean%20temperature%20of%20sea%20at%20surface; https://websters1913.timcieplowski.com/word/surface/</x:v>
      </x:c>
      <x:c r="S10" s="19" t="str">
        <x:v>2026-08-26</x:v>
      </x:c>
      <x:c r="T10" s="43" t="str">
        <x:v>RECONSTRUCTED_FROM_REPORT; Fear of Temperature_ Stratified Lexical Expansion, Voice Mapping, and Semantic-Relational Pre-Valida.pdf; p.6; project candidate FT-SEED-R1B-P-1842-06; original visible ID not available</x:v>
      </x:c>
    </x:row>
    <x:row r="11" ht="38" customHeight="1">
      <x:c r="A11" s="40" t="str">
        <x:v>FT-SEED-R1B-P-1842-07</x:v>
      </x:c>
      <x:c r="B11" s="19" t="str">
        <x:v>1842</x:v>
      </x:c>
      <x:c r="C11" s="25" t="n">
        <x:v>7</x:v>
      </x:c>
      <x:c r="D11" s="31" t="str">
        <x:v>dew point</x:v>
      </x:c>
      <x:c r="E11" s="31" t="str">
        <x:v>local / instrumental temperature</x:v>
      </x:c>
      <x:c r="F11" s="31" t="str">
        <x:v>temperature_threshold</x:v>
      </x:c>
      <x:c r="G11" s="31" t="str">
        <x:v>NO_STANDALONE_HEADWORD</x:v>
      </x:c>
      <x:c r="H11" s="19" t="str">
        <x:v>NO</x:v>
      </x:c>
      <x:c r="I11" s="31" t="str">
        <x:v>Component lexical analysis plus anchor-source contextual meaning</x:v>
      </x:c>
      <x:c r="J11" s="31" t="str">
        <x:v>Component headword checked: point.</x:v>
      </x:c>
      <x:c r="K11" s="31" t="str">
        <x:v>Anchor-period research source/context; Webster 1913 stable component URL recorded but automated page retrieval was unavailable</x:v>
      </x:c>
      <x:c r="L11" s="31" t="str">
        <x:v>A local or instrument-specific temperature reading; the candidate is interpreted in its documented anchor and voice context.</x:v>
      </x:c>
      <x:c r="M11" s="31" t="str">
        <x:v>A physical temperature, warming, heat, or measurement sense in the documented anchor context.</x:v>
      </x:c>
      <x:c r="N11" s="31" t="str">
        <x:v>A local or instrument-specific temperature reading; the candidate is interpreted in its documented anchor and voice context.</x:v>
      </x:c>
      <x:c r="O11" s="31" t="str">
        <x:v>STRONG</x:v>
      </x:c>
      <x:c r="P11" s="19" t="str">
        <x:v>NOT_LOCATED</x:v>
      </x:c>
      <x:c r="Q11" s="31" t="str">
        <x:v>The surface form may realize multiple senses; candidate meaning remains anchored to the report-visible source context.</x:v>
      </x:c>
      <x:c r="R11" s="31" t="str">
        <x:v>Fear of Temperature_ Stratified Lexical Expansion, Voice Mapping, and Semantic-Relational Pre-Valida.pdf#page=6; https://api.dictionaryapi.dev/api/v2/entries/en/dew%20point; https://websters1913.timcieplowski.com/word/point/</x:v>
      </x:c>
      <x:c r="S11" s="19" t="str">
        <x:v>2026-08-26</x:v>
      </x:c>
      <x:c r="T11" s="43" t="str">
        <x:v>RECONSTRUCTED_FROM_REPORT; Fear of Temperature_ Stratified Lexical Expansion, Voice Mapping, and Semantic-Relational Pre-Valida.pdf; p.6; project candidate FT-SEED-R1B-P-1842-07; original visible ID not available</x:v>
      </x:c>
    </x:row>
    <x:row r="12" ht="38" customHeight="1">
      <x:c r="A12" s="40" t="str">
        <x:v>FT-SEED-R1B-P-1842-08</x:v>
      </x:c>
      <x:c r="B12" s="19" t="str">
        <x:v>1842</x:v>
      </x:c>
      <x:c r="C12" s="25" t="n">
        <x:v>8</x:v>
      </x:c>
      <x:c r="D12" s="31" t="str">
        <x:v>standard thermometer</x:v>
      </x:c>
      <x:c r="E12" s="31" t="str">
        <x:v>local / instrumental temperature</x:v>
      </x:c>
      <x:c r="F12" s="31" t="str">
        <x:v>temperature_threshold</x:v>
      </x:c>
      <x:c r="G12" s="31" t="str">
        <x:v>NO_STANDALONE_HEADWORD</x:v>
      </x:c>
      <x:c r="H12" s="19" t="str">
        <x:v>NO</x:v>
      </x:c>
      <x:c r="I12" s="31" t="str">
        <x:v>Component lexical analysis plus anchor-source contextual meaning</x:v>
      </x:c>
      <x:c r="J12" s="31" t="str">
        <x:v>Component headword checked: thermometer.</x:v>
      </x:c>
      <x:c r="K12" s="31" t="str">
        <x:v>Anchor-period research source/context; Webster 1913 stable component URL recorded but automated page retrieval was unavailable</x:v>
      </x:c>
      <x:c r="L12" s="31" t="str">
        <x:v>A local or instrument-specific temperature reading; the candidate is interpreted in its documented anchor and voice context.</x:v>
      </x:c>
      <x:c r="M12" s="31" t="str">
        <x:v>A physical temperature, warming, heat, or measurement sense in the documented anchor context.</x:v>
      </x:c>
      <x:c r="N12" s="31" t="str">
        <x:v>A local or instrument-specific temperature reading; the candidate is interpreted in its documented anchor and voice context.</x:v>
      </x:c>
      <x:c r="O12" s="31" t="str">
        <x:v>STRONG</x:v>
      </x:c>
      <x:c r="P12" s="19" t="str">
        <x:v>NOT_LOCATED</x:v>
      </x:c>
      <x:c r="Q12" s="31" t="str">
        <x:v>The surface form may realize multiple senses; candidate meaning remains anchored to the report-visible source context.</x:v>
      </x:c>
      <x:c r="R12" s="31" t="str">
        <x:v>Fear of Temperature_ Stratified Lexical Expansion, Voice Mapping, and Semantic-Relational Pre-Valida.pdf#page=7; https://api.dictionaryapi.dev/api/v2/entries/en/standard%20thermometer; https://websters1913.timcieplowski.com/word/thermometer/</x:v>
      </x:c>
      <x:c r="S12" s="19" t="str">
        <x:v>2026-08-26</x:v>
      </x:c>
      <x:c r="T12" s="43" t="str">
        <x:v>RECONSTRUCTED_FROM_REPORT; Fear of Temperature_ Stratified Lexical Expansion, Voice Mapping, and Semantic-Relational Pre-Valida.pdf; p.7; project candidate FT-SEED-R1B-P-1842-08; original visible ID not available</x:v>
      </x:c>
    </x:row>
    <x:row r="13" ht="38" customHeight="1">
      <x:c r="A13" s="40" t="str">
        <x:v>FT-SEED-R1B-P-1842-09</x:v>
      </x:c>
      <x:c r="B13" s="19" t="str">
        <x:v>1842</x:v>
      </x:c>
      <x:c r="C13" s="25" t="n">
        <x:v>9</x:v>
      </x:c>
      <x:c r="D13" s="31" t="str">
        <x:v>attached thermometer</x:v>
      </x:c>
      <x:c r="E13" s="31" t="str">
        <x:v>local / instrumental temperature</x:v>
      </x:c>
      <x:c r="F13" s="31" t="str">
        <x:v>temperature_threshold</x:v>
      </x:c>
      <x:c r="G13" s="31" t="str">
        <x:v>NO_STANDALONE_HEADWORD</x:v>
      </x:c>
      <x:c r="H13" s="19" t="str">
        <x:v>NO</x:v>
      </x:c>
      <x:c r="I13" s="31" t="str">
        <x:v>Component lexical analysis plus anchor-source contextual meaning</x:v>
      </x:c>
      <x:c r="J13" s="31" t="str">
        <x:v>Component headword checked: thermometer.</x:v>
      </x:c>
      <x:c r="K13" s="31" t="str">
        <x:v>Anchor-period research source/context; Webster 1913 stable component URL recorded but automated page retrieval was unavailable</x:v>
      </x:c>
      <x:c r="L13" s="31" t="str">
        <x:v>A local or instrument-specific temperature reading; the candidate is interpreted in its documented anchor and voice context.</x:v>
      </x:c>
      <x:c r="M13" s="31" t="str">
        <x:v>A physical temperature, warming, heat, or measurement sense in the documented anchor context.</x:v>
      </x:c>
      <x:c r="N13" s="31" t="str">
        <x:v>A local or instrument-specific temperature reading; the candidate is interpreted in its documented anchor and voice context.</x:v>
      </x:c>
      <x:c r="O13" s="31" t="str">
        <x:v>STRONG</x:v>
      </x:c>
      <x:c r="P13" s="19" t="str">
        <x:v>NOT_LOCATED</x:v>
      </x:c>
      <x:c r="Q13" s="31" t="str">
        <x:v>The surface form may realize multiple senses; candidate meaning remains anchored to the report-visible source context.</x:v>
      </x:c>
      <x:c r="R13" s="31" t="str">
        <x:v>Fear of Temperature_ Stratified Lexical Expansion, Voice Mapping, and Semantic-Relational Pre-Valida.pdf#page=7; https://api.dictionaryapi.dev/api/v2/entries/en/attached%20thermometer; https://websters1913.timcieplowski.com/word/thermometer/</x:v>
      </x:c>
      <x:c r="S13" s="19" t="str">
        <x:v>2026-08-26</x:v>
      </x:c>
      <x:c r="T13" s="43" t="str">
        <x:v>RECONSTRUCTED_FROM_REPORT; Fear of Temperature_ Stratified Lexical Expansion, Voice Mapping, and Semantic-Relational Pre-Valida.pdf; p.7; project candidate FT-SEED-R1B-P-1842-09; original visible ID not available</x:v>
      </x:c>
    </x:row>
    <x:row r="14" ht="38" customHeight="1">
      <x:c r="A14" s="40" t="str">
        <x:v>FT-SEED-R1B-P-1842-10</x:v>
      </x:c>
      <x:c r="B14" s="19" t="str">
        <x:v>1842</x:v>
      </x:c>
      <x:c r="C14" s="25" t="n">
        <x:v>10</x:v>
      </x:c>
      <x:c r="D14" s="31" t="str">
        <x:v>dry bulb thermometer</x:v>
      </x:c>
      <x:c r="E14" s="31" t="str">
        <x:v>local / instrumental temperature</x:v>
      </x:c>
      <x:c r="F14" s="31" t="str">
        <x:v>temperature_threshold</x:v>
      </x:c>
      <x:c r="G14" s="31" t="str">
        <x:v>NO_STANDALONE_HEADWORD</x:v>
      </x:c>
      <x:c r="H14" s="19" t="str">
        <x:v>NO</x:v>
      </x:c>
      <x:c r="I14" s="31" t="str">
        <x:v>Component lexical analysis plus anchor-source contextual meaning</x:v>
      </x:c>
      <x:c r="J14" s="31" t="str">
        <x:v>Component headword checked: thermometer.</x:v>
      </x:c>
      <x:c r="K14" s="31" t="str">
        <x:v>Anchor-period research source/context; Webster 1913 stable component URL recorded but automated page retrieval was unavailable</x:v>
      </x:c>
      <x:c r="L14" s="31" t="str">
        <x:v>A local or instrument-specific temperature reading; the candidate is interpreted in its documented anchor and voice context.</x:v>
      </x:c>
      <x:c r="M14" s="31" t="str">
        <x:v>A physical temperature, warming, heat, or measurement sense in the documented anchor context.</x:v>
      </x:c>
      <x:c r="N14" s="31" t="str">
        <x:v>A local or instrument-specific temperature reading; the candidate is interpreted in its documented anchor and voice context.</x:v>
      </x:c>
      <x:c r="O14" s="31" t="str">
        <x:v>STRONG</x:v>
      </x:c>
      <x:c r="P14" s="19" t="str">
        <x:v>NOT_LOCATED</x:v>
      </x:c>
      <x:c r="Q14" s="31" t="str">
        <x:v>The surface form may realize multiple senses; candidate meaning remains anchored to the report-visible source context.</x:v>
      </x:c>
      <x:c r="R14" s="31" t="str">
        <x:v>Fear of Temperature_ Stratified Lexical Expansion, Voice Mapping, and Semantic-Relational Pre-Valida.pdf#page=7; https://api.dictionaryapi.dev/api/v2/entries/en/dry%20bulb%20thermometer; https://websters1913.timcieplowski.com/word/thermometer/</x:v>
      </x:c>
      <x:c r="S14" s="19" t="str">
        <x:v>2026-08-26</x:v>
      </x:c>
      <x:c r="T14" s="43" t="str">
        <x:v>RECONSTRUCTED_FROM_REPORT; Fear of Temperature_ Stratified Lexical Expansion, Voice Mapping, and Semantic-Relational Pre-Valida.pdf; p.7; project candidate FT-SEED-R1B-P-1842-10; original visible ID not available</x:v>
      </x:c>
    </x:row>
    <x:row r="15" ht="38" customHeight="1">
      <x:c r="A15" s="40" t="str">
        <x:v>FT-SEED-R1B-P-1842-11</x:v>
      </x:c>
      <x:c r="B15" s="19" t="str">
        <x:v>1842</x:v>
      </x:c>
      <x:c r="C15" s="25" t="n">
        <x:v>11</x:v>
      </x:c>
      <x:c r="D15" s="31" t="str">
        <x:v>wet bulb thermometer</x:v>
      </x:c>
      <x:c r="E15" s="31" t="str">
        <x:v>local / instrumental temperature</x:v>
      </x:c>
      <x:c r="F15" s="31" t="str">
        <x:v>temperature_threshold</x:v>
      </x:c>
      <x:c r="G15" s="31" t="str">
        <x:v>NO_STANDALONE_HEADWORD</x:v>
      </x:c>
      <x:c r="H15" s="19" t="str">
        <x:v>NO</x:v>
      </x:c>
      <x:c r="I15" s="31" t="str">
        <x:v>Component lexical analysis plus anchor-source contextual meaning</x:v>
      </x:c>
      <x:c r="J15" s="31" t="str">
        <x:v>Component headword checked: thermometer.</x:v>
      </x:c>
      <x:c r="K15" s="31" t="str">
        <x:v>Anchor-period research source/context; Webster 1913 stable component URL recorded but automated page retrieval was unavailable</x:v>
      </x:c>
      <x:c r="L15" s="31" t="str">
        <x:v>A local or instrument-specific temperature reading; the candidate is interpreted in its documented anchor and voice context.</x:v>
      </x:c>
      <x:c r="M15" s="31" t="str">
        <x:v>A physical temperature, warming, heat, or measurement sense in the documented anchor context.</x:v>
      </x:c>
      <x:c r="N15" s="31" t="str">
        <x:v>A local or instrument-specific temperature reading; the candidate is interpreted in its documented anchor and voice context.</x:v>
      </x:c>
      <x:c r="O15" s="31" t="str">
        <x:v>STRONG</x:v>
      </x:c>
      <x:c r="P15" s="19" t="str">
        <x:v>NOT_LOCATED</x:v>
      </x:c>
      <x:c r="Q15" s="31" t="str">
        <x:v>The surface form may realize multiple senses; candidate meaning remains anchored to the report-visible source context.</x:v>
      </x:c>
      <x:c r="R15" s="31" t="str">
        <x:v>Fear of Temperature_ Stratified Lexical Expansion, Voice Mapping, and Semantic-Relational Pre-Valida.pdf#page=6; https://api.dictionaryapi.dev/api/v2/entries/en/wet%20bulb%20thermometer; https://websters1913.timcieplowski.com/word/thermometer/</x:v>
      </x:c>
      <x:c r="S15" s="19" t="str">
        <x:v>2026-08-26</x:v>
      </x:c>
      <x:c r="T15" s="43" t="str">
        <x:v>RECONSTRUCTED_FROM_REPORT; Fear of Temperature_ Stratified Lexical Expansion, Voice Mapping, and Semantic-Relational Pre-Valida.pdf; p.6; project candidate FT-SEED-R1B-P-1842-11; original visible ID not available</x:v>
      </x:c>
    </x:row>
    <x:row r="16" ht="38" customHeight="1">
      <x:c r="A16" s="40" t="str">
        <x:v>FT-SEED-R1B-P-1842-12</x:v>
      </x:c>
      <x:c r="B16" s="19" t="str">
        <x:v>1842</x:v>
      </x:c>
      <x:c r="C16" s="25" t="n">
        <x:v>12</x:v>
      </x:c>
      <x:c r="D16" s="31" t="str">
        <x:v>meteorological observations</x:v>
      </x:c>
      <x:c r="E16" s="31" t="str">
        <x:v>historical climate / climatological condition</x:v>
      </x:c>
      <x:c r="F16" s="31" t="str">
        <x:v>climate</x:v>
      </x:c>
      <x:c r="G16" s="31" t="str">
        <x:v>NO_STANDALONE_HEADWORD</x:v>
      </x:c>
      <x:c r="H16" s="19" t="str">
        <x:v>NO</x:v>
      </x:c>
      <x:c r="I16" s="31" t="str">
        <x:v>Component lexical analysis plus anchor-source contextual meaning</x:v>
      </x:c>
      <x:c r="J16" s="31" t="str">
        <x:v>Component headword checked: observations.</x:v>
      </x:c>
      <x:c r="K16" s="31" t="str">
        <x:v>Anchor-period research source/context; Webster 1913 stable component URL recorded but automated page retrieval was unavailable</x:v>
      </x:c>
      <x:c r="L16" s="31" t="str">
        <x:v>Climate as a historical, geographical, seasonal, or climatological condition; the candidate is interpreted in its documented anchor and voice context.</x:v>
      </x:c>
      <x:c r="M16" s="31" t="str">
        <x:v>A climatic, atmospheric, meteorological, or causal-science sense in the documented anchor context.</x:v>
      </x:c>
      <x:c r="N16" s="31" t="str">
        <x:v>Climate as a historical, geographical, seasonal, or climatological condition; the candidate is interpreted in its documented anchor and voice context.</x:v>
      </x:c>
      <x:c r="O16" s="31" t="str">
        <x:v>STRONG</x:v>
      </x:c>
      <x:c r="P16" s="19" t="str">
        <x:v>NOT_LOCATED</x:v>
      </x:c>
      <x:c r="Q16" s="31" t="str">
        <x:v>The surface form may realize multiple senses; candidate meaning remains anchored to the report-visible source context.</x:v>
      </x:c>
      <x:c r="R16" s="31" t="str">
        <x:v>Fear of Temperature_ Stratified Lexical Expansion, Voice Mapping, and Semantic-Relational Pre-Valida.pdf#page=6; https://api.dictionaryapi.dev/api/v2/entries/en/meteorological%20observations; https://websters1913.timcieplowski.com/word/observations/</x:v>
      </x:c>
      <x:c r="S16" s="19" t="str">
        <x:v>2026-08-26</x:v>
      </x:c>
      <x:c r="T16" s="43" t="str">
        <x:v>RECONSTRUCTED_FROM_REPORT; Fear of Temperature_ Stratified Lexical Expansion, Voice Mapping, and Semantic-Relational Pre-Valida.pdf; p.6; project candidate FT-SEED-R1B-P-1842-12; original visible ID not available</x:v>
      </x:c>
    </x:row>
    <x:row r="17" ht="38" customHeight="1">
      <x:c r="A17" s="40" t="str">
        <x:v>FT-SEED-R1B-P-1842-13</x:v>
      </x:c>
      <x:c r="B17" s="19" t="str">
        <x:v>1842</x:v>
      </x:c>
      <x:c r="C17" s="25" t="n">
        <x:v>13</x:v>
      </x:c>
      <x:c r="D17" s="31" t="str">
        <x:v>meteorological journal</x:v>
      </x:c>
      <x:c r="E17" s="31" t="str">
        <x:v>historical climate / climatological condition</x:v>
      </x:c>
      <x:c r="F17" s="31" t="str">
        <x:v>climate</x:v>
      </x:c>
      <x:c r="G17" s="31" t="str">
        <x:v>NO_STANDALONE_HEADWORD</x:v>
      </x:c>
      <x:c r="H17" s="19" t="str">
        <x:v>NO</x:v>
      </x:c>
      <x:c r="I17" s="31" t="str">
        <x:v>Component lexical analysis plus anchor-source contextual meaning</x:v>
      </x:c>
      <x:c r="J17" s="31" t="str">
        <x:v>Component headword checked: journal.</x:v>
      </x:c>
      <x:c r="K17" s="31" t="str">
        <x:v>Anchor-period research source/context; Webster 1913 stable component URL recorded but automated page retrieval was unavailable</x:v>
      </x:c>
      <x:c r="L17" s="31" t="str">
        <x:v>Climate as a historical, geographical, seasonal, or climatological condition; the candidate is interpreted in its documented anchor and voice context.</x:v>
      </x:c>
      <x:c r="M17" s="31" t="str">
        <x:v>A climatic, atmospheric, meteorological, or causal-science sense in the documented anchor context.</x:v>
      </x:c>
      <x:c r="N17" s="31" t="str">
        <x:v>Climate as a historical, geographical, seasonal, or climatological condition; the candidate is interpreted in its documented anchor and voice context.</x:v>
      </x:c>
      <x:c r="O17" s="31" t="str">
        <x:v>STRONG</x:v>
      </x:c>
      <x:c r="P17" s="19" t="str">
        <x:v>NOT_LOCATED</x:v>
      </x:c>
      <x:c r="Q17" s="31" t="str">
        <x:v>The surface form may realize multiple senses; candidate meaning remains anchored to the report-visible source context.</x:v>
      </x:c>
      <x:c r="R17" s="31" t="str">
        <x:v>Fear of Temperature_ Stratified Lexical Expansion, Voice Mapping, and Semantic-Relational Pre-Valida.pdf#page=6; https://api.dictionaryapi.dev/api/v2/entries/en/meteorological%20journal; https://websters1913.timcieplowski.com/word/journal/</x:v>
      </x:c>
      <x:c r="S17" s="19" t="str">
        <x:v>2026-08-26</x:v>
      </x:c>
      <x:c r="T17" s="43" t="str">
        <x:v>RECONSTRUCTED_FROM_REPORT; Fear of Temperature_ Stratified Lexical Expansion, Voice Mapping, and Semantic-Relational Pre-Valida.pdf; p.6; project candidate FT-SEED-R1B-P-1842-13; original visible ID not available</x:v>
      </x:c>
    </x:row>
    <x:row r="18" ht="38" customHeight="1">
      <x:c r="A18" s="40" t="str">
        <x:v>FT-SEED-R1B-P-1842-14</x:v>
      </x:c>
      <x:c r="B18" s="19" t="str">
        <x:v>1842</x:v>
      </x:c>
      <x:c r="C18" s="25" t="n">
        <x:v>14</x:v>
      </x:c>
      <x:c r="D18" s="31" t="str">
        <x:v>weather</x:v>
      </x:c>
      <x:c r="E18" s="31" t="str">
        <x:v>historical climate / climatological condition</x:v>
      </x:c>
      <x:c r="F18" s="31" t="str">
        <x:v>climate</x:v>
      </x:c>
      <x:c r="G18" s="31" t="str">
        <x:v>DIRECT_HEADWORD</x:v>
      </x:c>
      <x:c r="H18" s="19" t="str">
        <x:v>YES</x:v>
      </x:c>
      <x:c r="I18" s="31" t="str">
        <x:v>Webster's Revised Unabridged Dictionary (1913 public-domain headword index)</x:v>
      </x:c>
      <x:c r="J18" s="31" t="str">
        <x:v>Component headword checked: weather.</x:v>
      </x:c>
      <x:c r="K18" s="31" t="str">
        <x:v>Anchor-period research source/context; Webster 1913 stable component URL recorded but automated page retrieval was unavailable</x:v>
      </x:c>
      <x:c r="L18" s="31" t="str">
        <x:v>Climate as a historical, geographical, seasonal, or climatological condition; the candidate is interpreted in its documented anchor and voice context.</x:v>
      </x:c>
      <x:c r="M18" s="31" t="str">
        <x:v>A climatic, atmospheric, meteorological, or causal-science sense in the documented anchor context.</x:v>
      </x:c>
      <x:c r="N18" s="31" t="str">
        <x:v>Climate as a historical, geographical, seasonal, or climatological condition; the candidate is interpreted in its documented anchor and voice context.</x:v>
      </x:c>
      <x:c r="O18" s="31" t="str">
        <x:v>STRONG</x:v>
      </x:c>
      <x:c r="P18" s="19" t="str">
        <x:v>NOT_LOCATED</x:v>
      </x:c>
      <x:c r="Q18" s="31" t="str">
        <x:v>The surface form may realize multiple senses; candidate meaning remains anchored to the report-visible source context.</x:v>
      </x:c>
      <x:c r="R18" s="31" t="str">
        <x:v>https://websters1913.timcieplowski.com/word/weather/; https://api.dictionaryapi.dev/api/v2/entries/en/weather</x:v>
      </x:c>
      <x:c r="S18" s="19" t="str">
        <x:v>2026-08-26</x:v>
      </x:c>
      <x:c r="T18" s="43" t="str">
        <x:v>RECONSTRUCTED_FROM_REPORT; Fear of Temperature_ Stratified Lexical Expansion, Voice Mapping, and Semantic-Relational Pre-Valida.pdf; p.6; project candidate FT-SEED-R1B-P-1842-14; original visible ID not available</x:v>
      </x:c>
    </x:row>
    <x:row r="19" ht="38" customHeight="1">
      <x:c r="A19" s="40" t="str">
        <x:v>FT-SEED-R1B-P-1842-15</x:v>
      </x:c>
      <x:c r="B19" s="19" t="str">
        <x:v>1842</x:v>
      </x:c>
      <x:c r="C19" s="25" t="n">
        <x:v>15</x:v>
      </x:c>
      <x:c r="D19" s="31" t="str">
        <x:v>climate</x:v>
      </x:c>
      <x:c r="E19" s="31" t="str">
        <x:v>historical climate / climatological condition</x:v>
      </x:c>
      <x:c r="F19" s="31" t="str">
        <x:v>climate</x:v>
      </x:c>
      <x:c r="G19" s="31" t="str">
        <x:v>DIRECT_HEADWORD</x:v>
      </x:c>
      <x:c r="H19" s="19" t="str">
        <x:v>YES</x:v>
      </x:c>
      <x:c r="I19" s="31" t="str">
        <x:v>Webster's Revised Unabridged Dictionary (1913 public-domain headword index)</x:v>
      </x:c>
      <x:c r="J19" s="31" t="str">
        <x:v>Component headword checked: climate.</x:v>
      </x:c>
      <x:c r="K19" s="31" t="str">
        <x:v>Anchor-period research source/context; Webster 1913 stable component URL recorded but automated page retrieval was unavailable</x:v>
      </x:c>
      <x:c r="L19" s="31" t="str">
        <x:v>Climate as a historical, geographical, seasonal, or climatological condition; the candidate is interpreted in its documented anchor and voice context.</x:v>
      </x:c>
      <x:c r="M19" s="31" t="str">
        <x:v>A regional or prevailing atmospheric condition understood through meteorological observation, not the modern issue label 'climate change'.</x:v>
      </x:c>
      <x:c r="N19" s="31" t="str">
        <x:v>Modern climate commonly denotes long-term statistical weather conditions or the coupled climate system; it does not by itself mean the modern issue label 'climate change'.</x:v>
      </x:c>
      <x:c r="O19" s="31" t="str">
        <x:v>PARTIAL</x:v>
      </x:c>
      <x:c r="P19" s="19" t="str">
        <x:v>NOT_LOCATED</x:v>
      </x:c>
      <x:c r="Q19" s="31" t="str">
        <x:v>Historical meteorological climate and modern climate-system/change senses overlap only partly; business/social metaphor senses are excluded.</x:v>
      </x:c>
      <x:c r="R19" s="31" t="str">
        <x:v>https://websters1913.timcieplowski.com/word/climate/; https://api.dictionaryapi.dev/api/v2/entries/en/climate</x:v>
      </x:c>
      <x:c r="S19" s="19" t="str">
        <x:v>2026-08-26</x:v>
      </x:c>
      <x:c r="T19" s="43" t="str">
        <x:v>RECONSTRUCTED_FROM_REPORT; Fear of Temperature_ Stratified Lexical Expansion, Voice Mapping, and Semantic-Relational Pre-Valida.pdf; p.6; project candidate FT-SEED-R1B-P-1842-15; original visible ID not available</x:v>
      </x:c>
    </x:row>
    <x:row r="20" ht="38" customHeight="1">
      <x:c r="A20" s="40" t="str">
        <x:v>FT-SEED-R1B-P-1842-16</x:v>
      </x:c>
      <x:c r="B20" s="19" t="str">
        <x:v>1842</x:v>
      </x:c>
      <x:c r="C20" s="25" t="n">
        <x:v>16</x:v>
      </x:c>
      <x:c r="D20" s="31" t="str">
        <x:v>sun's heat</x:v>
      </x:c>
      <x:c r="E20" s="31" t="str">
        <x:v>physical heat source / state</x:v>
      </x:c>
      <x:c r="F20" s="31" t="str">
        <x:v>heat</x:v>
      </x:c>
      <x:c r="G20" s="31" t="str">
        <x:v>NO_STANDALONE_HEADWORD</x:v>
      </x:c>
      <x:c r="H20" s="19" t="str">
        <x:v>NO</x:v>
      </x:c>
      <x:c r="I20" s="31" t="str">
        <x:v>Component lexical analysis plus anchor-source contextual meaning</x:v>
      </x:c>
      <x:c r="J20" s="31" t="str">
        <x:v>Component headword checked: heat.</x:v>
      </x:c>
      <x:c r="K20" s="31" t="str">
        <x:v>Anchor-period research source/context; Webster 1913 stable component URL recorded but automated page retrieval was unavailable</x:v>
      </x:c>
      <x:c r="L20" s="31" t="str">
        <x:v>Heat as a physical source, state, or thermal condition; the candidate is interpreted in its documented anchor and voice context.</x:v>
      </x:c>
      <x:c r="M20" s="31" t="str">
        <x:v>Physical or embodied heat in a local meteorological, material, or bodily-exposure sense.</x:v>
      </x:c>
      <x:c r="N20" s="31" t="str">
        <x:v>Heat as a physical source, state, or thermal condition; the candidate is interpreted in its documented anchor and voice context.</x:v>
      </x:c>
      <x:c r="O20" s="31" t="str">
        <x:v>STRONG</x:v>
      </x:c>
      <x:c r="P20" s="19" t="str">
        <x:v>NOT_LOCATED</x:v>
      </x:c>
      <x:c r="Q20" s="31" t="str">
        <x:v>Heat may refer to cooking, machinery, emotion, contest, or political metaphor; those senses are not automatically relevant.</x:v>
      </x:c>
      <x:c r="R20" s="31" t="str">
        <x:v>Fear of Temperature_ Stratified Lexical Expansion, Voice Mapping, and Semantic-Relational Pre-Valida.pdf#page=6; https://api.dictionaryapi.dev/api/v2/entries/en/sun%27s%20heat; https://websters1913.timcieplowski.com/word/heat/</x:v>
      </x:c>
      <x:c r="S20" s="19" t="str">
        <x:v>2026-08-26</x:v>
      </x:c>
      <x:c r="T20" s="43" t="str">
        <x:v>RECONSTRUCTED_FROM_REPORT; Fear of Temperature_ Stratified Lexical Expansion, Voice Mapping, and Semantic-Relational Pre-Valida.pdf; p.6; project candidate FT-SEED-R1B-P-1842-16; original visible ID not available</x:v>
      </x:c>
    </x:row>
    <x:row r="21" ht="38" customHeight="1">
      <x:c r="A21" s="40" t="str">
        <x:v>FT-SEED-R1B-P-1842-17</x:v>
      </x:c>
      <x:c r="B21" s="19" t="str">
        <x:v>1842</x:v>
      </x:c>
      <x:c r="C21" s="25" t="n">
        <x:v>17</x:v>
      </x:c>
      <x:c r="D21" s="31" t="str">
        <x:v>radiation of the heat</x:v>
      </x:c>
      <x:c r="E21" s="31" t="str">
        <x:v>physical heat source / state</x:v>
      </x:c>
      <x:c r="F21" s="31" t="str">
        <x:v>heat</x:v>
      </x:c>
      <x:c r="G21" s="31" t="str">
        <x:v>NO_STANDALONE_HEADWORD</x:v>
      </x:c>
      <x:c r="H21" s="19" t="str">
        <x:v>NO</x:v>
      </x:c>
      <x:c r="I21" s="31" t="str">
        <x:v>Component lexical analysis plus anchor-source contextual meaning</x:v>
      </x:c>
      <x:c r="J21" s="31" t="str">
        <x:v>Component headword checked: heat.</x:v>
      </x:c>
      <x:c r="K21" s="31" t="str">
        <x:v>Anchor-period research source/context; Webster 1913 stable component URL recorded but automated page retrieval was unavailable</x:v>
      </x:c>
      <x:c r="L21" s="31" t="str">
        <x:v>Heat as a physical source, state, or thermal condition; the candidate is interpreted in its documented anchor and voice context.</x:v>
      </x:c>
      <x:c r="M21" s="31" t="str">
        <x:v>A climatic, atmospheric, meteorological, or causal-science sense in the documented anchor context.</x:v>
      </x:c>
      <x:c r="N21" s="31" t="str">
        <x:v>Heat as a physical source, state, or thermal condition; the candidate is interpreted in its documented anchor and voice context.</x:v>
      </x:c>
      <x:c r="O21" s="31" t="str">
        <x:v>STRONG</x:v>
      </x:c>
      <x:c r="P21" s="19" t="str">
        <x:v>NOT_LOCATED</x:v>
      </x:c>
      <x:c r="Q21" s="31" t="str">
        <x:v>The surface form may realize multiple senses; candidate meaning remains anchored to the report-visible source context.</x:v>
      </x:c>
      <x:c r="R21" s="31" t="str">
        <x:v>Fear of Temperature_ Stratified Lexical Expansion, Voice Mapping, and Semantic-Relational Pre-Valida.pdf#page=6; https://api.dictionaryapi.dev/api/v2/entries/en/radiation%20of%20the%20heat; https://websters1913.timcieplowski.com/word/heat/</x:v>
      </x:c>
      <x:c r="S21" s="19" t="str">
        <x:v>2026-08-26</x:v>
      </x:c>
      <x:c r="T21" s="43" t="str">
        <x:v>RECONSTRUCTED_FROM_REPORT; Fear of Temperature_ Stratified Lexical Expansion, Voice Mapping, and Semantic-Relational Pre-Valida.pdf; p.6; project candidate FT-SEED-R1B-P-1842-17; original visible ID not available</x:v>
      </x:c>
    </x:row>
    <x:row r="22" ht="38" customHeight="1">
      <x:c r="A22" s="40" t="str">
        <x:v>FT-SEED-R1B-P-1842-18</x:v>
      </x:c>
      <x:c r="B22" s="19" t="str">
        <x:v>1842</x:v>
      </x:c>
      <x:c r="C22" s="25" t="n">
        <x:v>18</x:v>
      </x:c>
      <x:c r="D22" s="31" t="str">
        <x:v>changes of temperature</x:v>
      </x:c>
      <x:c r="E22" s="31" t="str">
        <x:v>local / instrumental temperature</x:v>
      </x:c>
      <x:c r="F22" s="31" t="str">
        <x:v>temperature_threshold</x:v>
      </x:c>
      <x:c r="G22" s="31" t="str">
        <x:v>NO_STANDALONE_HEADWORD</x:v>
      </x:c>
      <x:c r="H22" s="19" t="str">
        <x:v>NO</x:v>
      </x:c>
      <x:c r="I22" s="31" t="str">
        <x:v>Component lexical analysis plus anchor-source contextual meaning</x:v>
      </x:c>
      <x:c r="J22" s="31" t="str">
        <x:v>Component headword checked: temperature.</x:v>
      </x:c>
      <x:c r="K22" s="31" t="str">
        <x:v>Anchor-period research source/context; Webster 1913 stable component URL recorded but automated page retrieval was unavailable</x:v>
      </x:c>
      <x:c r="L22" s="31" t="str">
        <x:v>A local or instrument-specific temperature reading; the candidate is interpreted in its documented anchor and voice context.</x:v>
      </x:c>
      <x:c r="M22" s="31" t="str">
        <x:v>A physical temperature, warming, heat, or measurement sense in the documented anchor context.</x:v>
      </x:c>
      <x:c r="N22" s="31" t="str">
        <x:v>A local or instrument-specific temperature reading; the candidate is interpreted in its documented anchor and voice context.</x:v>
      </x:c>
      <x:c r="O22" s="31" t="str">
        <x:v>STRONG</x:v>
      </x:c>
      <x:c r="P22" s="19" t="str">
        <x:v>NOT_LOCATED</x:v>
      </x:c>
      <x:c r="Q22" s="31" t="str">
        <x:v>The surface form may realize multiple senses; candidate meaning remains anchored to the report-visible source context.</x:v>
      </x:c>
      <x:c r="R22" s="31" t="str">
        <x:v>Fear of Temperature_ Stratified Lexical Expansion, Voice Mapping, and Semantic-Relational Pre-Valida.pdf#page=7; https://api.dictionaryapi.dev/api/v2/entries/en/changes%20of%20temperature; https://websters1913.timcieplowski.com/word/temperature/</x:v>
      </x:c>
      <x:c r="S22" s="19" t="str">
        <x:v>2026-08-26</x:v>
      </x:c>
      <x:c r="T22" s="43" t="str">
        <x:v>RECONSTRUCTED_FROM_REPORT; Fear of Temperature_ Stratified Lexical Expansion, Voice Mapping, and Semantic-Relational Pre-Valida.pdf; p.7; project candidate FT-SEED-R1B-P-1842-18; original visible ID not available</x:v>
      </x:c>
    </x:row>
    <x:row r="23" ht="38" customHeight="1">
      <x:c r="A23" s="40" t="str">
        <x:v>FT-SEED-R1B-P-1842-19</x:v>
      </x:c>
      <x:c r="B23" s="19" t="str">
        <x:v>1842</x:v>
      </x:c>
      <x:c r="C23" s="25" t="n">
        <x:v>19</x:v>
      </x:c>
      <x:c r="D23" s="31" t="str">
        <x:v>excessive heat</x:v>
      </x:c>
      <x:c r="E23" s="31" t="str">
        <x:v>extreme-heat hazard</x:v>
      </x:c>
      <x:c r="F23" s="31" t="str">
        <x:v>heat</x:v>
      </x:c>
      <x:c r="G23" s="31" t="str">
        <x:v>NO_STANDALONE_HEADWORD</x:v>
      </x:c>
      <x:c r="H23" s="19" t="str">
        <x:v>NO</x:v>
      </x:c>
      <x:c r="I23" s="31" t="str">
        <x:v>Component lexical analysis plus anchor-source contextual meaning</x:v>
      </x:c>
      <x:c r="J23" s="31" t="str">
        <x:v>Component headword checked: heat.</x:v>
      </x:c>
      <x:c r="K23" s="31" t="str">
        <x:v>Anchor-period research source/context; Webster 1913 stable component URL recorded but automated page retrieval was unavailable</x:v>
      </x:c>
      <x:c r="L23" s="31" t="str">
        <x:v>Extreme heat framed as a hazard with health or social consequences; the candidate is interpreted in its documented anchor and voice context.</x:v>
      </x:c>
      <x:c r="M23" s="31" t="str">
        <x:v>Physical or embodied heat in a local meteorological, material, or bodily-exposure sense.</x:v>
      </x:c>
      <x:c r="N23" s="31" t="str">
        <x:v>Extreme heat framed as a hazard with health or social consequences; the candidate is interpreted in its documented anchor and voice context.</x:v>
      </x:c>
      <x:c r="O23" s="31" t="str">
        <x:v>STRONG</x:v>
      </x:c>
      <x:c r="P23" s="19" t="str">
        <x:v>NOT_LOCATED</x:v>
      </x:c>
      <x:c r="Q23" s="31" t="str">
        <x:v>Heat may refer to cooking, machinery, emotion, contest, or political metaphor; those senses are not automatically relevant.</x:v>
      </x:c>
      <x:c r="R23" s="31" t="str">
        <x:v>Fear of Temperature_ Stratified Lexical Expansion, Voice Mapping, and Semantic-Relational Pre-Valida.pdf#page=7; https://api.dictionaryapi.dev/api/v2/entries/en/excessive%20heat; https://websters1913.timcieplowski.com/word/heat/</x:v>
      </x:c>
      <x:c r="S23" s="19" t="str">
        <x:v>2026-08-26</x:v>
      </x:c>
      <x:c r="T23" s="43" t="str">
        <x:v>RECONSTRUCTED_FROM_REPORT; Fear of Temperature_ Stratified Lexical Expansion, Voice Mapping, and Semantic-Relational Pre-Valida.pdf; p.7; project candidate FT-SEED-R1B-P-1842-19; original visible ID not available</x:v>
      </x:c>
    </x:row>
    <x:row r="24" ht="38" customHeight="1">
      <x:c r="A24" s="40" t="str">
        <x:v>FT-SEED-R1B-P-1842-20</x:v>
      </x:c>
      <x:c r="B24" s="19" t="str">
        <x:v>1842</x:v>
      </x:c>
      <x:c r="C24" s="25" t="n">
        <x:v>20</x:v>
      </x:c>
      <x:c r="D24" s="31" t="str">
        <x:v>heat of the men</x:v>
      </x:c>
      <x:c r="E24" s="31" t="str">
        <x:v>embodied heat exposure</x:v>
      </x:c>
      <x:c r="F24" s="31" t="str">
        <x:v>heat</x:v>
      </x:c>
      <x:c r="G24" s="31" t="str">
        <x:v>NO_STANDALONE_HEADWORD</x:v>
      </x:c>
      <x:c r="H24" s="19" t="str">
        <x:v>NO</x:v>
      </x:c>
      <x:c r="I24" s="31" t="str">
        <x:v>Component lexical analysis plus anchor-source contextual meaning</x:v>
      </x:c>
      <x:c r="J24" s="31" t="str">
        <x:v>Component headword checked: men.</x:v>
      </x:c>
      <x:c r="K24" s="31" t="str">
        <x:v>Anchor-period research source/context; Webster 1913 stable component URL recorded but automated page retrieval was unavailable</x:v>
      </x:c>
      <x:c r="L24" s="31" t="str">
        <x:v>Heat experienced by bodies in occupational, domestic, or environmental settings; the candidate is interpreted in its documented anchor and voice context.</x:v>
      </x:c>
      <x:c r="M24" s="31" t="str">
        <x:v>Physical or embodied heat in a local meteorological, material, or bodily-exposure sense.</x:v>
      </x:c>
      <x:c r="N24" s="31" t="str">
        <x:v>Heat experienced by bodies in occupational, domestic, or environmental settings; the candidate is interpreted in its documented anchor and voice context.</x:v>
      </x:c>
      <x:c r="O24" s="31" t="str">
        <x:v>STRONG</x:v>
      </x:c>
      <x:c r="P24" s="19" t="str">
        <x:v>NOT_LOCATED</x:v>
      </x:c>
      <x:c r="Q24" s="31" t="str">
        <x:v>Heat may refer to cooking, machinery, emotion, contest, or political metaphor; those senses are not automatically relevant.</x:v>
      </x:c>
      <x:c r="R24" s="31" t="str">
        <x:v>Fear of Temperature_ Stratified Lexical Expansion, Voice Mapping, and Semantic-Relational Pre-Valida.pdf#page=7; https://api.dictionaryapi.dev/api/v2/entries/en/heat%20of%20the%20men; https://websters1913.timcieplowski.com/word/men/</x:v>
      </x:c>
      <x:c r="S24" s="19" t="str">
        <x:v>2026-08-26</x:v>
      </x:c>
      <x:c r="T24" s="43" t="str">
        <x:v>RECONSTRUCTED_FROM_REPORT; Fear of Temperature_ Stratified Lexical Expansion, Voice Mapping, and Semantic-Relational Pre-Valida.pdf; p.7; project candidate FT-SEED-R1B-P-1842-20; original visible ID not available</x:v>
      </x:c>
    </x:row>
    <x:row r="25" ht="38" customHeight="1">
      <x:c r="A25" s="40" t="str">
        <x:v>FT-SEED-R1B-P-1842-21</x:v>
      </x:c>
      <x:c r="B25" s="19" t="str">
        <x:v>1842</x:v>
      </x:c>
      <x:c r="C25" s="25" t="n">
        <x:v>21</x:v>
      </x:c>
      <x:c r="D25" s="31" t="str">
        <x:v>heat of the irons</x:v>
      </x:c>
      <x:c r="E25" s="31" t="str">
        <x:v>physical heat source / state</x:v>
      </x:c>
      <x:c r="F25" s="31" t="str">
        <x:v>heat</x:v>
      </x:c>
      <x:c r="G25" s="31" t="str">
        <x:v>NO_STANDALONE_HEADWORD</x:v>
      </x:c>
      <x:c r="H25" s="19" t="str">
        <x:v>NO</x:v>
      </x:c>
      <x:c r="I25" s="31" t="str">
        <x:v>Component lexical analysis plus anchor-source contextual meaning</x:v>
      </x:c>
      <x:c r="J25" s="31" t="str">
        <x:v>Component headword checked: irons.</x:v>
      </x:c>
      <x:c r="K25" s="31" t="str">
        <x:v>Anchor-period research source/context; Webster 1913 stable component URL recorded but automated page retrieval was unavailable</x:v>
      </x:c>
      <x:c r="L25" s="31" t="str">
        <x:v>Heat as a physical source, state, or thermal condition; the candidate is interpreted in its documented anchor and voice context.</x:v>
      </x:c>
      <x:c r="M25" s="31" t="str">
        <x:v>Physical or embodied heat in a local meteorological, material, or bodily-exposure sense.</x:v>
      </x:c>
      <x:c r="N25" s="31" t="str">
        <x:v>Heat as a physical source, state, or thermal condition; the candidate is interpreted in its documented anchor and voice context.</x:v>
      </x:c>
      <x:c r="O25" s="31" t="str">
        <x:v>STRONG</x:v>
      </x:c>
      <x:c r="P25" s="19" t="str">
        <x:v>NOT_LOCATED</x:v>
      </x:c>
      <x:c r="Q25" s="31" t="str">
        <x:v>Heat may refer to cooking, machinery, emotion, contest, or political metaphor; those senses are not automatically relevant.</x:v>
      </x:c>
      <x:c r="R25" s="31" t="str">
        <x:v>Fear of Temperature_ Stratified Lexical Expansion, Voice Mapping, and Semantic-Relational Pre-Valida.pdf#page=6; https://api.dictionaryapi.dev/api/v2/entries/en/heat%20of%20the%20irons; https://websters1913.timcieplowski.com/word/irons/</x:v>
      </x:c>
      <x:c r="S25" s="19" t="str">
        <x:v>2026-08-26</x:v>
      </x:c>
      <x:c r="T25" s="43" t="str">
        <x:v>RECONSTRUCTED_FROM_REPORT; Fear of Temperature_ Stratified Lexical Expansion, Voice Mapping, and Semantic-Relational Pre-Valida.pdf; p.6; project candidate FT-SEED-R1B-P-1842-21; original visible ID not available</x:v>
      </x:c>
    </x:row>
    <x:row r="26" ht="38" customHeight="1">
      <x:c r="A26" s="40" t="str">
        <x:v>FT-SEED-R1B-P-1842-22</x:v>
      </x:c>
      <x:c r="B26" s="19" t="str">
        <x:v>1842</x:v>
      </x:c>
      <x:c r="C26" s="25" t="n">
        <x:v>22</x:v>
      </x:c>
      <x:c r="D26" s="31" t="str">
        <x:v>most suffocating</x:v>
      </x:c>
      <x:c r="E26" s="31" t="str">
        <x:v>generic damage</x:v>
      </x:c>
      <x:c r="F26" s="31" t="str">
        <x:v>harm_loss_consequences</x:v>
      </x:c>
      <x:c r="G26" s="31" t="str">
        <x:v>NO_STANDALONE_HEADWORD</x:v>
      </x:c>
      <x:c r="H26" s="19" t="str">
        <x:v>NO</x:v>
      </x:c>
      <x:c r="I26" s="31" t="str">
        <x:v>Component lexical analysis plus anchor-source contextual meaning</x:v>
      </x:c>
      <x:c r="J26" s="31" t="str">
        <x:v>Component headword checked: suffocating.</x:v>
      </x:c>
      <x:c r="K26" s="31" t="str">
        <x:v>Anchor-period research source/context; Webster 1913 stable component URL recorded but automated page retrieval was unavailable</x:v>
      </x:c>
      <x:c r="L26" s="31" t="str">
        <x:v>Generic material, ecological, or social damage; the candidate is interpreted in its documented anchor and voice context.</x:v>
      </x:c>
      <x:c r="M26" s="31" t="str">
        <x:v>A threat, risk, harm, severity, or consequence sense in the documented source; it is not automatically an emotion.</x:v>
      </x:c>
      <x:c r="N26" s="31" t="str">
        <x:v>Generic material, ecological, or social damage; the candidate is interpreted in its documented anchor and voice context.</x:v>
      </x:c>
      <x:c r="O26" s="31" t="str">
        <x:v>STRONG</x:v>
      </x:c>
      <x:c r="P26" s="19" t="str">
        <x:v>NOT_LOCATED</x:v>
      </x:c>
      <x:c r="Q26" s="31" t="str">
        <x:v>The surface form may realize multiple senses; candidate meaning remains anchored to the report-visible source context.</x:v>
      </x:c>
      <x:c r="R26" s="31" t="str">
        <x:v>Fear of Temperature_ Stratified Lexical Expansion, Voice Mapping, and Semantic-Relational Pre-Valida.pdf#page=6; https://api.dictionaryapi.dev/api/v2/entries/en/most%20suffocating; https://websters1913.timcieplowski.com/word/suffocating/</x:v>
      </x:c>
      <x:c r="S26" s="19" t="str">
        <x:v>2026-08-26</x:v>
      </x:c>
      <x:c r="T26" s="43" t="str">
        <x:v>RECONSTRUCTED_FROM_REPORT; Fear of Temperature_ Stratified Lexical Expansion, Voice Mapping, and Semantic-Relational Pre-Valida.pdf; p.6; project candidate FT-SEED-R1B-P-1842-22; original visible ID not available</x:v>
      </x:c>
    </x:row>
    <x:row r="27" ht="38" customHeight="1">
      <x:c r="A27" s="40" t="str">
        <x:v>FT-SEED-R1B-P-1842-23</x:v>
      </x:c>
      <x:c r="B27" s="19" t="str">
        <x:v>1842</x:v>
      </x:c>
      <x:c r="C27" s="25" t="n">
        <x:v>23</x:v>
      </x:c>
      <x:c r="D27" s="31" t="str">
        <x:v>faint away</x:v>
      </x:c>
      <x:c r="E27" s="31" t="str">
        <x:v>generic damage</x:v>
      </x:c>
      <x:c r="F27" s="31" t="str">
        <x:v>harm_loss_consequences</x:v>
      </x:c>
      <x:c r="G27" s="31" t="str">
        <x:v>NO_STANDALONE_HEADWORD</x:v>
      </x:c>
      <x:c r="H27" s="19" t="str">
        <x:v>NO</x:v>
      </x:c>
      <x:c r="I27" s="31" t="str">
        <x:v>Component lexical analysis plus anchor-source contextual meaning</x:v>
      </x:c>
      <x:c r="J27" s="31" t="str">
        <x:v>Component headword checked: away.</x:v>
      </x:c>
      <x:c r="K27" s="31" t="str">
        <x:v>Anchor-period research source/context; Webster 1913 stable component URL recorded but automated page retrieval was unavailable</x:v>
      </x:c>
      <x:c r="L27" s="31" t="str">
        <x:v>Generic material, ecological, or social damage; the candidate is interpreted in its documented anchor and voice context.</x:v>
      </x:c>
      <x:c r="M27" s="31" t="str">
        <x:v>A threat, risk, harm, severity, or consequence sense in the documented source; it is not automatically an emotion.</x:v>
      </x:c>
      <x:c r="N27" s="31" t="str">
        <x:v>Generic material, ecological, or social damage; the candidate is interpreted in its documented anchor and voice context.</x:v>
      </x:c>
      <x:c r="O27" s="31" t="str">
        <x:v>STRONG</x:v>
      </x:c>
      <x:c r="P27" s="19" t="str">
        <x:v>NOT_LOCATED</x:v>
      </x:c>
      <x:c r="Q27" s="31" t="str">
        <x:v>The surface form may realize multiple senses; candidate meaning remains anchored to the report-visible source context.</x:v>
      </x:c>
      <x:c r="R27" s="31" t="str">
        <x:v>Fear of Temperature_ Stratified Lexical Expansion, Voice Mapping, and Semantic-Relational Pre-Valida.pdf#page=6; https://api.dictionaryapi.dev/api/v2/entries/en/faint%20away; https://websters1913.timcieplowski.com/word/away/</x:v>
      </x:c>
      <x:c r="S27" s="19" t="str">
        <x:v>2026-08-26</x:v>
      </x:c>
      <x:c r="T27" s="43" t="str">
        <x:v>RECONSTRUCTED_FROM_REPORT; Fear of Temperature_ Stratified Lexical Expansion, Voice Mapping, and Semantic-Relational Pre-Valida.pdf; p.6; project candidate FT-SEED-R1B-P-1842-23; original visible ID not available</x:v>
      </x:c>
    </x:row>
    <x:row r="28" ht="38" customHeight="1">
      <x:c r="A28" s="40" t="str">
        <x:v>FT-SEED-R1B-P-1842-24</x:v>
      </x:c>
      <x:c r="B28" s="19" t="str">
        <x:v>1842</x:v>
      </x:c>
      <x:c r="C28" s="25" t="n">
        <x:v>24</x:v>
      </x:c>
      <x:c r="D28" s="31" t="str">
        <x:v>perspiration</x:v>
      </x:c>
      <x:c r="E28" s="31" t="str">
        <x:v>generic damage</x:v>
      </x:c>
      <x:c r="F28" s="31" t="str">
        <x:v>harm_loss_consequences</x:v>
      </x:c>
      <x:c r="G28" s="31" t="str">
        <x:v>DIRECT_HEADWORD</x:v>
      </x:c>
      <x:c r="H28" s="19" t="str">
        <x:v>YES</x:v>
      </x:c>
      <x:c r="I28" s="31" t="str">
        <x:v>Webster's Revised Unabridged Dictionary (1913 public-domain headword index)</x:v>
      </x:c>
      <x:c r="J28" s="31" t="str">
        <x:v>Component headword checked: perspiration.</x:v>
      </x:c>
      <x:c r="K28" s="31" t="str">
        <x:v>Anchor-period research source/context; Webster 1913 stable component URL recorded but automated page retrieval was unavailable</x:v>
      </x:c>
      <x:c r="L28" s="31" t="str">
        <x:v>Generic material, ecological, or social damage; the candidate is interpreted in its documented anchor and voice context.</x:v>
      </x:c>
      <x:c r="M28" s="31" t="str">
        <x:v>A threat, risk, harm, severity, or consequence sense in the documented source; it is not automatically an emotion.</x:v>
      </x:c>
      <x:c r="N28" s="31" t="str">
        <x:v>Generic material, ecological, or social damage; the candidate is interpreted in its documented anchor and voice context.</x:v>
      </x:c>
      <x:c r="O28" s="31" t="str">
        <x:v>STRONG</x:v>
      </x:c>
      <x:c r="P28" s="19" t="str">
        <x:v>NOT_LOCATED</x:v>
      </x:c>
      <x:c r="Q28" s="31" t="str">
        <x:v>The surface form may realize multiple senses; candidate meaning remains anchored to the report-visible source context.</x:v>
      </x:c>
      <x:c r="R28" s="31" t="str">
        <x:v>https://websters1913.timcieplowski.com/word/perspiration/; https://api.dictionaryapi.dev/api/v2/entries/en/perspiration</x:v>
      </x:c>
      <x:c r="S28" s="19" t="str">
        <x:v>2026-08-26</x:v>
      </x:c>
      <x:c r="T28" s="43" t="str">
        <x:v>RECONSTRUCTED_FROM_REPORT; Fear of Temperature_ Stratified Lexical Expansion, Voice Mapping, and Semantic-Relational Pre-Valida.pdf; p.6; project candidate FT-SEED-R1B-P-1842-24; original visible ID not available</x:v>
      </x:c>
    </x:row>
    <x:row r="29" ht="38" customHeight="1">
      <x:c r="A29" s="40" t="str">
        <x:v>FT-SEED-R1B-P-1842-25</x:v>
      </x:c>
      <x:c r="B29" s="19" t="str">
        <x:v>1842</x:v>
      </x:c>
      <x:c r="C29" s="25" t="n">
        <x:v>25</x:v>
      </x:c>
      <x:c r="D29" s="31" t="str">
        <x:v>depressing effect</x:v>
      </x:c>
      <x:c r="E29" s="31" t="str">
        <x:v>historical depressing effect</x:v>
      </x:c>
      <x:c r="F29" s="31" t="str">
        <x:v>distress_depression</x:v>
      </x:c>
      <x:c r="G29" s="31" t="str">
        <x:v>NO_STANDALONE_HEADWORD</x:v>
      </x:c>
      <x:c r="H29" s="19" t="str">
        <x:v>NO</x:v>
      </x:c>
      <x:c r="I29" s="31" t="str">
        <x:v>Component lexical analysis plus anchor-source contextual meaning</x:v>
      </x:c>
      <x:c r="J29" s="31" t="str">
        <x:v>Component headword checked: effect.</x:v>
      </x:c>
      <x:c r="K29" s="31" t="str">
        <x:v>Anchor-period research source/context; Webster 1913 stable component URL recorded but automated page retrieval was unavailable</x:v>
      </x:c>
      <x:c r="L29" s="31" t="str">
        <x:v>Historical bodily or energetic depressing effect; false friend with modern clinical depression; the candidate is interpreted in its documented anchor and voice context.</x:v>
      </x:c>
      <x:c r="M29" s="31" t="str">
        <x:v>A bodily or energetic lowering effect associated with oppressive heat; affect-adjacent but not a modern clinical-depression diagnosis.</x:v>
      </x:c>
      <x:c r="N29" s="31" t="str">
        <x:v>Contemporary readers may hear a mood-lowering or clinical-psychology association; that reading must not be projected onto the 1842 bodily/energetic use.</x:v>
      </x:c>
      <x:c r="O29" s="31" t="str">
        <x:v>DIFFERENT</x:v>
      </x:c>
      <x:c r="P29" s="19" t="str">
        <x:v>NOT_LOCATED</x:v>
      </x:c>
      <x:c r="Q29" s="31" t="str">
        <x:v>'Depressing' historically permits lowering or weakening senses that differ from modern clinical depression.</x:v>
      </x:c>
      <x:c r="R29" s="31" t="str">
        <x:v>Fear of Temperature_ Stratified Lexical Expansion, Voice Mapping, and Semantic-Relational Pre-Valida.pdf#page=6; https://api.dictionaryapi.dev/api/v2/entries/en/depressing%20effect; https://websters1913.timcieplowski.com/word/effect/</x:v>
      </x:c>
      <x:c r="S29" s="19" t="str">
        <x:v>2026-08-26</x:v>
      </x:c>
      <x:c r="T29" s="43" t="str">
        <x:v>RECONSTRUCTED_FROM_REPORT; Fear of Temperature_ Stratified Lexical Expansion, Voice Mapping, and Semantic-Relational Pre-Valida.pdf; p.6; project candidate FT-SEED-R1B-P-1842-25; original visible ID not available</x:v>
      </x:c>
    </x:row>
    <x:row r="30" ht="38" customHeight="1">
      <x:c r="A30" s="40" t="str">
        <x:v>FT-SEED-R1B-P-1842-26</x:v>
      </x:c>
      <x:c r="B30" s="19" t="str">
        <x:v>1842</x:v>
      </x:c>
      <x:c r="C30" s="25" t="n">
        <x:v>26</x:v>
      </x:c>
      <x:c r="D30" s="31" t="str">
        <x:v>complain of the heat</x:v>
      </x:c>
      <x:c r="E30" s="31" t="str">
        <x:v>embodied heat exposure</x:v>
      </x:c>
      <x:c r="F30" s="31" t="str">
        <x:v>heat</x:v>
      </x:c>
      <x:c r="G30" s="31" t="str">
        <x:v>NO_STANDALONE_HEADWORD</x:v>
      </x:c>
      <x:c r="H30" s="19" t="str">
        <x:v>NO</x:v>
      </x:c>
      <x:c r="I30" s="31" t="str">
        <x:v>Component lexical analysis plus anchor-source contextual meaning</x:v>
      </x:c>
      <x:c r="J30" s="31" t="str">
        <x:v>Component headword checked: heat.</x:v>
      </x:c>
      <x:c r="K30" s="31" t="str">
        <x:v>Anchor-period research source/context; Webster 1913 stable component URL recorded but automated page retrieval was unavailable</x:v>
      </x:c>
      <x:c r="L30" s="31" t="str">
        <x:v>Heat experienced by bodies in occupational, domestic, or environmental settings; the candidate is interpreted in its documented anchor and voice context.</x:v>
      </x:c>
      <x:c r="M30" s="31" t="str">
        <x:v>The candidate's affective or evaluative sense as used by the documented speaker/instrument/research voice at the anchor.</x:v>
      </x:c>
      <x:c r="N30" s="31" t="str">
        <x:v>Heat experienced by bodies in occupational, domestic, or environmental settings; the candidate is interpreted in its documented anchor and voice context.</x:v>
      </x:c>
      <x:c r="O30" s="31" t="str">
        <x:v>STRONG</x:v>
      </x:c>
      <x:c r="P30" s="19" t="str">
        <x:v>NOT_LOCATED</x:v>
      </x:c>
      <x:c r="Q30" s="31" t="str">
        <x:v>The surface form may realize multiple senses; candidate meaning remains anchored to the report-visible source context.</x:v>
      </x:c>
      <x:c r="R30" s="31" t="str">
        <x:v>Fear of Temperature_ Stratified Lexical Expansion, Voice Mapping, and Semantic-Relational Pre-Valida.pdf#page=6; https://api.dictionaryapi.dev/api/v2/entries/en/complain%20of%20the%20heat; https://websters1913.timcieplowski.com/word/heat/</x:v>
      </x:c>
      <x:c r="S30" s="19" t="str">
        <x:v>2026-08-26</x:v>
      </x:c>
      <x:c r="T30" s="43" t="str">
        <x:v>RECONSTRUCTED_FROM_REPORT; Fear of Temperature_ Stratified Lexical Expansion, Voice Mapping, and Semantic-Relational Pre-Valida.pdf; p.6; project candidate FT-SEED-R1B-P-1842-26; original visible ID not available</x:v>
      </x:c>
    </x:row>
    <x:row r="31" ht="38" customHeight="1">
      <x:c r="A31" s="40" t="str">
        <x:v>FT-SEED-R1B-P-1842-27</x:v>
      </x:c>
      <x:c r="B31" s="19" t="str">
        <x:v>1842</x:v>
      </x:c>
      <x:c r="C31" s="25" t="n">
        <x:v>27</x:v>
      </x:c>
      <x:c r="D31" s="31" t="str">
        <x:v>premature heat of the weather</x:v>
      </x:c>
      <x:c r="E31" s="31" t="str">
        <x:v>physical heat source / state</x:v>
      </x:c>
      <x:c r="F31" s="31" t="str">
        <x:v>heat</x:v>
      </x:c>
      <x:c r="G31" s="31" t="str">
        <x:v>NO_STANDALONE_HEADWORD</x:v>
      </x:c>
      <x:c r="H31" s="19" t="str">
        <x:v>NO</x:v>
      </x:c>
      <x:c r="I31" s="31" t="str">
        <x:v>Component lexical analysis plus anchor-source contextual meaning</x:v>
      </x:c>
      <x:c r="J31" s="31" t="str">
        <x:v>Component headword checked: weather.</x:v>
      </x:c>
      <x:c r="K31" s="31" t="str">
        <x:v>Anchor-period research source/context; Webster 1913 stable component URL recorded but automated page retrieval was unavailable</x:v>
      </x:c>
      <x:c r="L31" s="31" t="str">
        <x:v>Heat as a physical source, state, or thermal condition; the candidate is interpreted in its documented anchor and voice context.</x:v>
      </x:c>
      <x:c r="M31" s="31" t="str">
        <x:v>Physical or embodied heat in a local meteorological, material, or bodily-exposure sense.</x:v>
      </x:c>
      <x:c r="N31" s="31" t="str">
        <x:v>Heat as a physical source, state, or thermal condition; the candidate is interpreted in its documented anchor and voice context.</x:v>
      </x:c>
      <x:c r="O31" s="31" t="str">
        <x:v>STRONG</x:v>
      </x:c>
      <x:c r="P31" s="19" t="str">
        <x:v>NOT_LOCATED</x:v>
      </x:c>
      <x:c r="Q31" s="31" t="str">
        <x:v>Heat may refer to cooking, machinery, emotion, contest, or political metaphor; those senses are not automatically relevant.</x:v>
      </x:c>
      <x:c r="R31" s="31" t="str">
        <x:v>Fear of Temperature_ Stratified Lexical Expansion, Voice Mapping, and Semantic-Relational Pre-Valida.pdf#page=6; https://api.dictionaryapi.dev/api/v2/entries/en/premature%20heat%20of%20the%20weather; https://websters1913.timcieplowski.com/word/weather/</x:v>
      </x:c>
      <x:c r="S31" s="19" t="str">
        <x:v>2026-08-26</x:v>
      </x:c>
      <x:c r="T31" s="43" t="str">
        <x:v>RECONSTRUCTED_FROM_REPORT; Fear of Temperature_ Stratified Lexical Expansion, Voice Mapping, and Semantic-Relational Pre-Valida.pdf; p.6; project candidate FT-SEED-R1B-P-1842-27; original visible ID not available</x:v>
      </x:c>
    </x:row>
    <x:row r="32" ht="38" customHeight="1">
      <x:c r="A32" s="40" t="str">
        <x:v>FT-SEED-R1B-P-1842-28</x:v>
      </x:c>
      <x:c r="B32" s="19" t="str">
        <x:v>1842</x:v>
      </x:c>
      <x:c r="C32" s="25" t="n">
        <x:v>28</x:v>
      </x:c>
      <x:c r="D32" s="31" t="str">
        <x:v>suffered more from cold than from heat</x:v>
      </x:c>
      <x:c r="E32" s="31" t="str">
        <x:v>physical heat source / state</x:v>
      </x:c>
      <x:c r="F32" s="31" t="str">
        <x:v>heat</x:v>
      </x:c>
      <x:c r="G32" s="31" t="str">
        <x:v>NO_STANDALONE_HEADWORD</x:v>
      </x:c>
      <x:c r="H32" s="19" t="str">
        <x:v>NO</x:v>
      </x:c>
      <x:c r="I32" s="31" t="str">
        <x:v>Component lexical analysis plus anchor-source contextual meaning</x:v>
      </x:c>
      <x:c r="J32" s="31" t="str">
        <x:v>Component headword checked: heat.</x:v>
      </x:c>
      <x:c r="K32" s="31" t="str">
        <x:v>Anchor-period research source/context; Webster 1913 stable component URL recorded but automated page retrieval was unavailable</x:v>
      </x:c>
      <x:c r="L32" s="31" t="str">
        <x:v>Heat as a physical source, state, or thermal condition; the candidate is interpreted in its documented anchor and voice context.</x:v>
      </x:c>
      <x:c r="M32" s="31" t="str">
        <x:v>A threat, risk, harm, severity, or consequence sense in the documented source; it is not automatically an emotion.</x:v>
      </x:c>
      <x:c r="N32" s="31" t="str">
        <x:v>Heat as a physical source, state, or thermal condition; the candidate is interpreted in its documented anchor and voice context.</x:v>
      </x:c>
      <x:c r="O32" s="31" t="str">
        <x:v>STRONG</x:v>
      </x:c>
      <x:c r="P32" s="19" t="str">
        <x:v>NOT_LOCATED</x:v>
      </x:c>
      <x:c r="Q32" s="31" t="str">
        <x:v>The surface form may realize multiple senses; candidate meaning remains anchored to the report-visible source context.</x:v>
      </x:c>
      <x:c r="R32" s="31" t="str">
        <x:v>Fear of Temperature_ Stratified Lexical Expansion, Voice Mapping, and Semantic-Relational Pre-Valida.pdf#page=7; https://api.dictionaryapi.dev/api/v2/entries/en/suffered%20more%20from%20cold%20than%20from%20heat; https://websters1913.timcieplowski.com/word/heat/</x:v>
      </x:c>
      <x:c r="S32" s="19" t="str">
        <x:v>2026-08-26</x:v>
      </x:c>
      <x:c r="T32" s="43" t="str">
        <x:v>RECONSTRUCTED_FROM_REPORT; Fear of Temperature_ Stratified Lexical Expansion, Voice Mapping, and Semantic-Relational Pre-Valida.pdf; p.7; project candidate FT-SEED-R1B-P-1842-28; original visible ID not available</x:v>
      </x:c>
    </x:row>
    <x:row r="33" ht="38" customHeight="1">
      <x:c r="A33" s="40" t="str">
        <x:v>FT-SEED-R1B-P-1842-29</x:v>
      </x:c>
      <x:c r="B33" s="19" t="str">
        <x:v>1842</x:v>
      </x:c>
      <x:c r="C33" s="25" t="n">
        <x:v>29</x:v>
      </x:c>
      <x:c r="D33" s="31" t="str">
        <x:v>sickness and mortality</x:v>
      </x:c>
      <x:c r="E33" s="31" t="str">
        <x:v>mortality</x:v>
      </x:c>
      <x:c r="F33" s="31" t="str">
        <x:v>harm_loss_consequences</x:v>
      </x:c>
      <x:c r="G33" s="31" t="str">
        <x:v>NO_STANDALONE_HEADWORD</x:v>
      </x:c>
      <x:c r="H33" s="19" t="str">
        <x:v>NO</x:v>
      </x:c>
      <x:c r="I33" s="31" t="str">
        <x:v>Component lexical analysis plus anchor-source contextual meaning</x:v>
      </x:c>
      <x:c r="J33" s="31" t="str">
        <x:v>Component headword checked: mortality.</x:v>
      </x:c>
      <x:c r="K33" s="31" t="str">
        <x:v>Anchor-period research source/context; Webster 1913 stable component URL recorded but automated page retrieval was unavailable</x:v>
      </x:c>
      <x:c r="L33" s="31" t="str">
        <x:v>Death or mortality attributed to heat or climate consequences; the candidate is interpreted in its documented anchor and voice context.</x:v>
      </x:c>
      <x:c r="M33" s="31" t="str">
        <x:v>A threat, risk, harm, severity, or consequence sense in the documented source; it is not automatically an emotion.</x:v>
      </x:c>
      <x:c r="N33" s="31" t="str">
        <x:v>Death or mortality attributed to heat or climate consequences; the candidate is interpreted in its documented anchor and voice context.</x:v>
      </x:c>
      <x:c r="O33" s="31" t="str">
        <x:v>STRONG</x:v>
      </x:c>
      <x:c r="P33" s="19" t="str">
        <x:v>NOT_LOCATED</x:v>
      </x:c>
      <x:c r="Q33" s="31" t="str">
        <x:v>The surface form may realize multiple senses; candidate meaning remains anchored to the report-visible source context.</x:v>
      </x:c>
      <x:c r="R33" s="31" t="str">
        <x:v>Fear of Temperature_ Stratified Lexical Expansion, Voice Mapping, and Semantic-Relational Pre-Valida.pdf#page=7; https://api.dictionaryapi.dev/api/v2/entries/en/sickness%20and%20mortality; https://websters1913.timcieplowski.com/word/mortality/</x:v>
      </x:c>
      <x:c r="S33" s="19" t="str">
        <x:v>2026-08-26</x:v>
      </x:c>
      <x:c r="T33" s="43" t="str">
        <x:v>RECONSTRUCTED_FROM_REPORT; Fear of Temperature_ Stratified Lexical Expansion, Voice Mapping, and Semantic-Relational Pre-Valida.pdf; p.7; project candidate FT-SEED-R1B-P-1842-29; original visible ID not available</x:v>
      </x:c>
    </x:row>
    <x:row r="34" ht="38" customHeight="1">
      <x:c r="A34" s="40" t="str">
        <x:v>FT-SEED-R1B-P-1842-30</x:v>
      </x:c>
      <x:c r="B34" s="19" t="str">
        <x:v>1842</x:v>
      </x:c>
      <x:c r="C34" s="25" t="n">
        <x:v>30</x:v>
      </x:c>
      <x:c r="D34" s="31" t="str">
        <x:v>alarm to the public</x:v>
      </x:c>
      <x:c r="E34" s="31" t="str">
        <x:v>public alarm</x:v>
      </x:c>
      <x:c r="F34" s="31" t="str">
        <x:v>concern_alarm</x:v>
      </x:c>
      <x:c r="G34" s="31" t="str">
        <x:v>NO_STANDALONE_HEADWORD</x:v>
      </x:c>
      <x:c r="H34" s="19" t="str">
        <x:v>NO</x:v>
      </x:c>
      <x:c r="I34" s="31" t="str">
        <x:v>Component lexical analysis plus anchor-source contextual meaning</x:v>
      </x:c>
      <x:c r="J34" s="31" t="str">
        <x:v>Component headword checked: public.</x:v>
      </x:c>
      <x:c r="K34" s="31" t="str">
        <x:v>Anchor-period research source/context; Webster 1913 stable component URL recorded but automated page retrieval was unavailable</x:v>
      </x:c>
      <x:c r="L34" s="31" t="str">
        <x:v>Alarm attributed to or anticipated for a public, requiring direct evidence and sense review; the candidate is interpreted in its documented anchor and voice context.</x:v>
      </x:c>
      <x:c r="M34" s="31" t="str">
        <x:v>The candidate's affective or evaluative sense as used by the documented speaker/instrument/research voice at the anchor.</x:v>
      </x:c>
      <x:c r="N34" s="31" t="str">
        <x:v>Alarm attributed to or anticipated for a public, requiring direct evidence and sense review; the candidate is interpreted in its documented anchor and voice context.</x:v>
      </x:c>
      <x:c r="O34" s="31" t="str">
        <x:v>STRONG</x:v>
      </x:c>
      <x:c r="P34" s="19" t="str">
        <x:v>NOT_LOCATED</x:v>
      </x:c>
      <x:c r="Q34" s="31" t="str">
        <x:v>The surface form may realize multiple senses; candidate meaning remains anchored to the report-visible source context.</x:v>
      </x:c>
      <x:c r="R34" s="31" t="str">
        <x:v>Fear of Temperature_ Stratified Lexical Expansion, Voice Mapping, and Semantic-Relational Pre-Valida.pdf#page=7; https://api.dictionaryapi.dev/api/v2/entries/en/alarm%20to%20the%20public; https://websters1913.timcieplowski.com/word/public/</x:v>
      </x:c>
      <x:c r="S34" s="19" t="str">
        <x:v>2026-08-26</x:v>
      </x:c>
      <x:c r="T34" s="43" t="str">
        <x:v>RECONSTRUCTED_FROM_REPORT; Fear of Temperature_ Stratified Lexical Expansion, Voice Mapping, and Semantic-Relational Pre-Valida.pdf; p.7; project candidate FT-SEED-R1B-P-1842-30; original visible ID not available</x:v>
      </x:c>
    </x:row>
    <x:row r="35" ht="38" customHeight="1">
      <x:c r="A35" s="40" t="str">
        <x:v>FT-SEED-R1B-P-1938-01</x:v>
      </x:c>
      <x:c r="B35" s="19" t="str">
        <x:v>1938</x:v>
      </x:c>
      <x:c r="C35" s="25" t="n">
        <x:v>1</x:v>
      </x:c>
      <x:c r="D35" s="31" t="str">
        <x:v>artificial production of carbon dioxide</x:v>
      </x:c>
      <x:c r="E35" s="31" t="str">
        <x:v>anthropogenic carbon-dioxide production</x:v>
      </x:c>
      <x:c r="F35" s="31" t="str">
        <x:v>carbon_greenhouse</x:v>
      </x:c>
      <x:c r="G35" s="31" t="str">
        <x:v>TECHNICAL_GLOSSARY</x:v>
      </x:c>
      <x:c r="H35" s="19" t="str">
        <x:v>NO</x:v>
      </x:c>
      <x:c r="I35" s="31" t="str">
        <x:v>IPCC climate-science glossary / assessment terminology</x:v>
      </x:c>
      <x:c r="J35" s="31" t="str">
        <x:v>Component headword checked: dioxide.</x:v>
      </x:c>
      <x:c r="K35" s="31" t="str">
        <x:v>Anchor-period research source/context; Webster 1913 stable component URL recorded but automated page retrieval was unavailable</x:v>
      </x:c>
      <x:c r="L35" s="31" t="str">
        <x:v>Human production of carbon dioxide as a climatic cause; the candidate is interpreted in its documented anchor and voice context.</x:v>
      </x:c>
      <x:c r="M35" s="31" t="str">
        <x:v>A climatic, atmospheric, meteorological, or causal-science sense in the documented anchor context.</x:v>
      </x:c>
      <x:c r="N35" s="31" t="str">
        <x:v>Human production of carbon dioxide as a climatic cause; the candidate is interpreted in its documented anchor and voice context.</x:v>
      </x:c>
      <x:c r="O35" s="31" t="str">
        <x:v>STRONG</x:v>
      </x:c>
      <x:c r="P35" s="19" t="str">
        <x:v>NOT_LOCATED</x:v>
      </x:c>
      <x:c r="Q35" s="31" t="str">
        <x:v>The surface form may realize multiple senses; candidate meaning remains anchored to the report-visible source context.</x:v>
      </x:c>
      <x:c r="R35" s="31" t="str">
        <x:v>https://www.ipcc.ch/site/assets/uploads/2018/02/WGIIAR5-AnnexII_FINAL.pdf; https://api.dictionaryapi.dev/api/v2/entries/en/artificial%20production%20of%20carbon%20dioxide; https://websters1913.timcieplowski.com/word/dioxide/</x:v>
      </x:c>
      <x:c r="S35" s="19" t="str">
        <x:v>2026-08-26</x:v>
      </x:c>
      <x:c r="T35" s="43" t="str">
        <x:v>RECONSTRUCTED_FROM_REPORT; Fear of Temperature_ Stratified Lexical Expansion, Voice Mapping, and Semantic-Relational Pre-Valida.pdf; p.7; project candidate FT-SEED-R1B-P-1938-01; original visible ID not available</x:v>
      </x:c>
    </x:row>
    <x:row r="36" ht="38" customHeight="1">
      <x:c r="A36" s="40" t="str">
        <x:v>FT-SEED-R1B-P-1938-02</x:v>
      </x:c>
      <x:c r="B36" s="19" t="str">
        <x:v>1938</x:v>
      </x:c>
      <x:c r="C36" s="25" t="n">
        <x:v>2</x:v>
      </x:c>
      <x:c r="D36" s="31" t="str">
        <x:v>carbon dioxide</x:v>
      </x:c>
      <x:c r="E36" s="31" t="str">
        <x:v>atmospheric carbon dioxide</x:v>
      </x:c>
      <x:c r="F36" s="31" t="str">
        <x:v>carbon_greenhouse</x:v>
      </x:c>
      <x:c r="G36" s="31" t="str">
        <x:v>TECHNICAL_GLOSSARY</x:v>
      </x:c>
      <x:c r="H36" s="19" t="str">
        <x:v>NO</x:v>
      </x:c>
      <x:c r="I36" s="31" t="str">
        <x:v>IPCC climate-science glossary / assessment terminology</x:v>
      </x:c>
      <x:c r="J36" s="31" t="str">
        <x:v>Component headword checked: dioxide.</x:v>
      </x:c>
      <x:c r="K36" s="31" t="str">
        <x:v>Anchor-period research source/context; Webster 1913 stable component URL recorded but automated page retrieval was unavailable</x:v>
      </x:c>
      <x:c r="L36" s="31" t="str">
        <x:v>Carbon dioxide as an atmospheric constituent; the candidate is interpreted in its documented anchor and voice context.</x:v>
      </x:c>
      <x:c r="M36" s="31" t="str">
        <x:v>A climatic, atmospheric, meteorological, or causal-science sense in the documented anchor context.</x:v>
      </x:c>
      <x:c r="N36" s="31" t="str">
        <x:v>Carbon dioxide as an atmospheric constituent; the candidate is interpreted in its documented anchor and voice context.</x:v>
      </x:c>
      <x:c r="O36" s="31" t="str">
        <x:v>STRONG</x:v>
      </x:c>
      <x:c r="P36" s="19" t="str">
        <x:v>NOT_LOCATED</x:v>
      </x:c>
      <x:c r="Q36" s="31" t="str">
        <x:v>The surface form may realize multiple senses; candidate meaning remains anchored to the report-visible source context.</x:v>
      </x:c>
      <x:c r="R36" s="31" t="str">
        <x:v>https://www.ipcc.ch/site/assets/uploads/2018/02/WGIIAR5-AnnexII_FINAL.pdf; https://api.dictionaryapi.dev/api/v2/entries/en/carbon%20dioxide; https://websters1913.timcieplowski.com/word/dioxide/</x:v>
      </x:c>
      <x:c r="S36" s="19" t="str">
        <x:v>2026-08-26</x:v>
      </x:c>
      <x:c r="T36" s="43" t="str">
        <x:v>RECONSTRUCTED_FROM_REPORT; Fear of Temperature_ Stratified Lexical Expansion, Voice Mapping, and Semantic-Relational Pre-Valida.pdf; p.7; project candidate FT-SEED-R1B-P-1938-02; original visible ID not available</x:v>
      </x:c>
    </x:row>
    <x:row r="37" ht="38" customHeight="1">
      <x:c r="A37" s="40" t="str">
        <x:v>FT-SEED-R1B-P-1938-03</x:v>
      </x:c>
      <x:c r="B37" s="19" t="str">
        <x:v>1938</x:v>
      </x:c>
      <x:c r="C37" s="25" t="n">
        <x:v>3</x:v>
      </x:c>
      <x:c r="D37" s="31" t="str">
        <x:v>fuel combustion</x:v>
      </x:c>
      <x:c r="E37" s="31" t="str">
        <x:v>anthropogenic carbon-dioxide production</x:v>
      </x:c>
      <x:c r="F37" s="31" t="str">
        <x:v>carbon_greenhouse</x:v>
      </x:c>
      <x:c r="G37" s="31" t="str">
        <x:v>TECHNICAL_GLOSSARY</x:v>
      </x:c>
      <x:c r="H37" s="19" t="str">
        <x:v>NO</x:v>
      </x:c>
      <x:c r="I37" s="31" t="str">
        <x:v>IPCC climate-science glossary / assessment terminology</x:v>
      </x:c>
      <x:c r="J37" s="31" t="str">
        <x:v>Component headword checked: combustion.</x:v>
      </x:c>
      <x:c r="K37" s="31" t="str">
        <x:v>Anchor-period research source/context; Webster 1913 stable component URL recorded but automated page retrieval was unavailable</x:v>
      </x:c>
      <x:c r="L37" s="31" t="str">
        <x:v>Human production of carbon dioxide as a climatic cause; the candidate is interpreted in its documented anchor and voice context.</x:v>
      </x:c>
      <x:c r="M37" s="31" t="str">
        <x:v>A climatic, atmospheric, meteorological, or causal-science sense in the documented anchor context.</x:v>
      </x:c>
      <x:c r="N37" s="31" t="str">
        <x:v>Human production of carbon dioxide as a climatic cause; the candidate is interpreted in its documented anchor and voice context.</x:v>
      </x:c>
      <x:c r="O37" s="31" t="str">
        <x:v>STRONG</x:v>
      </x:c>
      <x:c r="P37" s="19" t="str">
        <x:v>NOT_LOCATED</x:v>
      </x:c>
      <x:c r="Q37" s="31" t="str">
        <x:v>The surface form may realize multiple senses; candidate meaning remains anchored to the report-visible source context.</x:v>
      </x:c>
      <x:c r="R37" s="31" t="str">
        <x:v>https://www.ipcc.ch/site/assets/uploads/2018/02/WGIIAR5-AnnexII_FINAL.pdf; https://api.dictionaryapi.dev/api/v2/entries/en/fuel%20combustion; https://websters1913.timcieplowski.com/word/combustion/</x:v>
      </x:c>
      <x:c r="S37" s="19" t="str">
        <x:v>2026-08-26</x:v>
      </x:c>
      <x:c r="T37" s="43" t="str">
        <x:v>RECONSTRUCTED_FROM_REPORT; Fear of Temperature_ Stratified Lexical Expansion, Voice Mapping, and Semantic-Relational Pre-Valida.pdf; p.8; project candidate FT-SEED-R1B-P-1938-03; original visible ID not available</x:v>
      </x:c>
    </x:row>
    <x:row r="38" ht="38" customHeight="1">
      <x:c r="A38" s="40" t="str">
        <x:v>FT-SEED-R1B-P-1938-04</x:v>
      </x:c>
      <x:c r="B38" s="19" t="str">
        <x:v>1938</x:v>
      </x:c>
      <x:c r="C38" s="25" t="n">
        <x:v>4</x:v>
      </x:c>
      <x:c r="D38" s="31" t="str">
        <x:v>air</x:v>
      </x:c>
      <x:c r="E38" s="31" t="str">
        <x:v>historical climate / climatological condition</x:v>
      </x:c>
      <x:c r="F38" s="31" t="str">
        <x:v>climate</x:v>
      </x:c>
      <x:c r="G38" s="31" t="str">
        <x:v>DIRECT_HEADWORD</x:v>
      </x:c>
      <x:c r="H38" s="19" t="str">
        <x:v>YES</x:v>
      </x:c>
      <x:c r="I38" s="31" t="str">
        <x:v>Webster's Revised Unabridged Dictionary (1913 public-domain headword index)</x:v>
      </x:c>
      <x:c r="J38" s="31" t="str">
        <x:v>Component headword checked: air.</x:v>
      </x:c>
      <x:c r="K38" s="31" t="str">
        <x:v>Webster's Revised Unabridged Dictionary (1913 public-domain edition)</x:v>
      </x:c>
      <x:c r="L38" s="31" t="str">
        <x:v>Climate as a historical, geographical, seasonal, or climatological condition; the candidate is interpreted in its documented anchor and voice context.</x:v>
      </x:c>
      <x:c r="M38" s="31" t="str">
        <x:v>A climatic, atmospheric, meteorological, or causal-science sense in the documented anchor context.</x:v>
      </x:c>
      <x:c r="N38" s="31" t="str">
        <x:v>Climate as a historical, geographical, seasonal, or climatological condition; the candidate is interpreted in its documented anchor and voice context.</x:v>
      </x:c>
      <x:c r="O38" s="31" t="str">
        <x:v>STRONG</x:v>
      </x:c>
      <x:c r="P38" s="19" t="str">
        <x:v>NOT_LOCATED</x:v>
      </x:c>
      <x:c r="Q38" s="31" t="str">
        <x:v>The surface form may realize multiple senses; candidate meaning remains anchored to the report-visible source context.</x:v>
      </x:c>
      <x:c r="R38" s="31" t="str">
        <x:v>https://websters1913.timcieplowski.com/word/air/; https://api.dictionaryapi.dev/api/v2/entries/en/air</x:v>
      </x:c>
      <x:c r="S38" s="19" t="str">
        <x:v>2026-08-26</x:v>
      </x:c>
      <x:c r="T38" s="43" t="str">
        <x:v>RECONSTRUCTED_FROM_REPORT; Fear of Temperature_ Stratified Lexical Expansion, Voice Mapping, and Semantic-Relational Pre-Valida.pdf; p.8; project candidate FT-SEED-R1B-P-1938-04; original visible ID not available</x:v>
      </x:c>
    </x:row>
    <x:row r="39" ht="38" customHeight="1">
      <x:c r="A39" s="40" t="str">
        <x:v>FT-SEED-R1B-P-1938-05</x:v>
      </x:c>
      <x:c r="B39" s="19" t="str">
        <x:v>1938</x:v>
      </x:c>
      <x:c r="C39" s="25" t="n">
        <x:v>5</x:v>
      </x:c>
      <x:c r="D39" s="31" t="str">
        <x:v>atmosphere</x:v>
      </x:c>
      <x:c r="E39" s="31" t="str">
        <x:v>historical climate / climatological condition</x:v>
      </x:c>
      <x:c r="F39" s="31" t="str">
        <x:v>climate</x:v>
      </x:c>
      <x:c r="G39" s="31" t="str">
        <x:v>TECHNICAL_GLOSSARY</x:v>
      </x:c>
      <x:c r="H39" s="19" t="str">
        <x:v>NO</x:v>
      </x:c>
      <x:c r="I39" s="31" t="str">
        <x:v>IPCC climate-science glossary / assessment terminology</x:v>
      </x:c>
      <x:c r="J39" s="31" t="str">
        <x:v>Component headword checked: atmosphere.</x:v>
      </x:c>
      <x:c r="K39" s="31" t="str">
        <x:v>Anchor-period research source/context; Webster 1913 stable component URL recorded but automated page retrieval was unavailable</x:v>
      </x:c>
      <x:c r="L39" s="31" t="str">
        <x:v>Climate as a historical, geographical, seasonal, or climatological condition; the candidate is interpreted in its documented anchor and voice context.</x:v>
      </x:c>
      <x:c r="M39" s="31" t="str">
        <x:v>A climatic, atmospheric, meteorological, or causal-science sense in the documented anchor context.</x:v>
      </x:c>
      <x:c r="N39" s="31" t="str">
        <x:v>Climate as a historical, geographical, seasonal, or climatological condition; the candidate is interpreted in its documented anchor and voice context.</x:v>
      </x:c>
      <x:c r="O39" s="31" t="str">
        <x:v>STRONG</x:v>
      </x:c>
      <x:c r="P39" s="19" t="str">
        <x:v>NOT_LOCATED</x:v>
      </x:c>
      <x:c r="Q39" s="31" t="str">
        <x:v>The surface form may realize multiple senses; candidate meaning remains anchored to the report-visible source context.</x:v>
      </x:c>
      <x:c r="R39" s="31" t="str">
        <x:v>https://www.ipcc.ch/site/assets/uploads/2018/02/WGIIAR5-AnnexII_FINAL.pdf; https://api.dictionaryapi.dev/api/v2/entries/en/atmosphere; https://websters1913.timcieplowski.com/word/atmosphere/</x:v>
      </x:c>
      <x:c r="S39" s="19" t="str">
        <x:v>2026-08-26</x:v>
      </x:c>
      <x:c r="T39" s="43" t="str">
        <x:v>RECONSTRUCTED_FROM_REPORT; Fear of Temperature_ Stratified Lexical Expansion, Voice Mapping, and Semantic-Relational Pre-Valida.pdf; p.8; project candidate FT-SEED-R1B-P-1938-05; original visible ID not available</x:v>
      </x:c>
    </x:row>
    <x:row r="40" ht="38" customHeight="1">
      <x:c r="A40" s="40" t="str">
        <x:v>FT-SEED-R1B-P-1938-06</x:v>
      </x:c>
      <x:c r="B40" s="19" t="str">
        <x:v>1938</x:v>
      </x:c>
      <x:c r="C40" s="25" t="n">
        <x:v>6</x:v>
      </x:c>
      <x:c r="D40" s="31" t="str">
        <x:v>radiation absorption coefficients</x:v>
      </x:c>
      <x:c r="E40" s="31" t="str">
        <x:v>historical climate / climatological condition</x:v>
      </x:c>
      <x:c r="F40" s="31" t="str">
        <x:v>climate</x:v>
      </x:c>
      <x:c r="G40" s="31" t="str">
        <x:v>TECHNICAL_GLOSSARY</x:v>
      </x:c>
      <x:c r="H40" s="19" t="str">
        <x:v>NO</x:v>
      </x:c>
      <x:c r="I40" s="31" t="str">
        <x:v>IPCC climate-science glossary / assessment terminology</x:v>
      </x:c>
      <x:c r="J40" s="31" t="str">
        <x:v>Component headword checked: coefficients.</x:v>
      </x:c>
      <x:c r="K40" s="31" t="str">
        <x:v>Anchor-period research source/context; Webster 1913 stable component URL recorded but automated page retrieval was unavailable</x:v>
      </x:c>
      <x:c r="L40" s="31" t="str">
        <x:v>Climate as a historical, geographical, seasonal, or climatological condition; the candidate is interpreted in its documented anchor and voice context.</x:v>
      </x:c>
      <x:c r="M40" s="31" t="str">
        <x:v>A climatic, atmospheric, meteorological, or causal-science sense in the documented anchor context.</x:v>
      </x:c>
      <x:c r="N40" s="31" t="str">
        <x:v>Climate as a historical, geographical, seasonal, or climatological condition; the candidate is interpreted in its documented anchor and voice context.</x:v>
      </x:c>
      <x:c r="O40" s="31" t="str">
        <x:v>STRONG</x:v>
      </x:c>
      <x:c r="P40" s="19" t="str">
        <x:v>NOT_LOCATED</x:v>
      </x:c>
      <x:c r="Q40" s="31" t="str">
        <x:v>The surface form may realize multiple senses; candidate meaning remains anchored to the report-visible source context.</x:v>
      </x:c>
      <x:c r="R40" s="31" t="str">
        <x:v>https://www.ipcc.ch/site/assets/uploads/2018/02/WGIIAR5-AnnexII_FINAL.pdf; https://api.dictionaryapi.dev/api/v2/entries/en/radiation%20absorption%20coefficients; https://websters1913.timcieplowski.com/word/coefficients/</x:v>
      </x:c>
      <x:c r="S40" s="19" t="str">
        <x:v>2026-08-26</x:v>
      </x:c>
      <x:c r="T40" s="43" t="str">
        <x:v>RECONSTRUCTED_FROM_REPORT; Fear of Temperature_ Stratified Lexical Expansion, Voice Mapping, and Semantic-Relational Pre-Valida.pdf; p.8; project candidate FT-SEED-R1B-P-1938-06; original visible ID not available</x:v>
      </x:c>
    </x:row>
    <x:row r="41" ht="38" customHeight="1">
      <x:c r="A41" s="40" t="str">
        <x:v>FT-SEED-R1B-P-1938-07</x:v>
      </x:c>
      <x:c r="B41" s="19" t="str">
        <x:v>1938</x:v>
      </x:c>
      <x:c r="C41" s="25" t="n">
        <x:v>7</x:v>
      </x:c>
      <x:c r="D41" s="31" t="str">
        <x:v>water vapour</x:v>
      </x:c>
      <x:c r="E41" s="31" t="str">
        <x:v>historical climate / climatological condition</x:v>
      </x:c>
      <x:c r="F41" s="31" t="str">
        <x:v>climate</x:v>
      </x:c>
      <x:c r="G41" s="31" t="str">
        <x:v>TECHNICAL_GLOSSARY</x:v>
      </x:c>
      <x:c r="H41" s="19" t="str">
        <x:v>NO</x:v>
      </x:c>
      <x:c r="I41" s="31" t="str">
        <x:v>IPCC climate-science glossary / assessment terminology</x:v>
      </x:c>
      <x:c r="J41" s="31" t="str">
        <x:v>Component headword checked: vapour.</x:v>
      </x:c>
      <x:c r="K41" s="31" t="str">
        <x:v>Anchor-period research source/context; Webster 1913 stable component URL recorded but automated page retrieval was unavailable</x:v>
      </x:c>
      <x:c r="L41" s="31" t="str">
        <x:v>Climate as a historical, geographical, seasonal, or climatological condition; the candidate is interpreted in its documented anchor and voice context.</x:v>
      </x:c>
      <x:c r="M41" s="31" t="str">
        <x:v>A climatic, atmospheric, meteorological, or causal-science sense in the documented anchor context.</x:v>
      </x:c>
      <x:c r="N41" s="31" t="str">
        <x:v>Climate as a historical, geographical, seasonal, or climatological condition; the candidate is interpreted in its documented anchor and voice context.</x:v>
      </x:c>
      <x:c r="O41" s="31" t="str">
        <x:v>STRONG</x:v>
      </x:c>
      <x:c r="P41" s="19" t="str">
        <x:v>NOT_LOCATED</x:v>
      </x:c>
      <x:c r="Q41" s="31" t="str">
        <x:v>The surface form may realize multiple senses; candidate meaning remains anchored to the report-visible source context.</x:v>
      </x:c>
      <x:c r="R41" s="31" t="str">
        <x:v>https://www.ipcc.ch/site/assets/uploads/2018/02/WGIIAR5-AnnexII_FINAL.pdf; https://api.dictionaryapi.dev/api/v2/entries/en/water%20vapour; https://websters1913.timcieplowski.com/word/vapour/</x:v>
      </x:c>
      <x:c r="S41" s="19" t="str">
        <x:v>2026-08-26</x:v>
      </x:c>
      <x:c r="T41" s="43" t="str">
        <x:v>RECONSTRUCTED_FROM_REPORT; Fear of Temperature_ Stratified Lexical Expansion, Voice Mapping, and Semantic-Relational Pre-Valida.pdf; p.8; project candidate FT-SEED-R1B-P-1938-07; original visible ID not available</x:v>
      </x:c>
    </x:row>
    <x:row r="42" ht="38" customHeight="1">
      <x:c r="A42" s="40" t="str">
        <x:v>FT-SEED-R1B-P-1938-08</x:v>
      </x:c>
      <x:c r="B42" s="19" t="str">
        <x:v>1938</x:v>
      </x:c>
      <x:c r="C42" s="25" t="n">
        <x:v>8</x:v>
      </x:c>
      <x:c r="D42" s="31" t="str">
        <x:v>sky radiation</x:v>
      </x:c>
      <x:c r="E42" s="31" t="str">
        <x:v>historical climate / climatological condition</x:v>
      </x:c>
      <x:c r="F42" s="31" t="str">
        <x:v>climate</x:v>
      </x:c>
      <x:c r="G42" s="31" t="str">
        <x:v>NO_STANDALONE_HEADWORD</x:v>
      </x:c>
      <x:c r="H42" s="19" t="str">
        <x:v>NO</x:v>
      </x:c>
      <x:c r="I42" s="31" t="str">
        <x:v>Component lexical analysis plus anchor-source contextual meaning</x:v>
      </x:c>
      <x:c r="J42" s="31" t="str">
        <x:v>Component headword checked: radiation.</x:v>
      </x:c>
      <x:c r="K42" s="31" t="str">
        <x:v>Anchor-period research source/context; Webster 1913 stable component URL recorded but automated page retrieval was unavailable</x:v>
      </x:c>
      <x:c r="L42" s="31" t="str">
        <x:v>Climate as a historical, geographical, seasonal, or climatological condition; the candidate is interpreted in its documented anchor and voice context.</x:v>
      </x:c>
      <x:c r="M42" s="31" t="str">
        <x:v>A climatic, atmospheric, meteorological, or causal-science sense in the documented anchor context.</x:v>
      </x:c>
      <x:c r="N42" s="31" t="str">
        <x:v>Climate as a historical, geographical, seasonal, or climatological condition; the candidate is interpreted in its documented anchor and voice context.</x:v>
      </x:c>
      <x:c r="O42" s="31" t="str">
        <x:v>STRONG</x:v>
      </x:c>
      <x:c r="P42" s="19" t="str">
        <x:v>NOT_LOCATED</x:v>
      </x:c>
      <x:c r="Q42" s="31" t="str">
        <x:v>The surface form may realize multiple senses; candidate meaning remains anchored to the report-visible source context.</x:v>
      </x:c>
      <x:c r="R42" s="31" t="str">
        <x:v>Fear of Temperature_ Stratified Lexical Expansion, Voice Mapping, and Semantic-Relational Pre-Valida.pdf#page=8; https://api.dictionaryapi.dev/api/v2/entries/en/sky%20radiation; https://websters1913.timcieplowski.com/word/radiation/</x:v>
      </x:c>
      <x:c r="S42" s="19" t="str">
        <x:v>2026-08-26</x:v>
      </x:c>
      <x:c r="T42" s="43" t="str">
        <x:v>RECONSTRUCTED_FROM_REPORT; Fear of Temperature_ Stratified Lexical Expansion, Voice Mapping, and Semantic-Relational Pre-Valida.pdf; p.8; project candidate FT-SEED-R1B-P-1938-08; original visible ID not available</x:v>
      </x:c>
    </x:row>
    <x:row r="43" ht="38" customHeight="1">
      <x:c r="A43" s="40" t="str">
        <x:v>FT-SEED-R1B-P-1938-09</x:v>
      </x:c>
      <x:c r="B43" s="19" t="str">
        <x:v>1938</x:v>
      </x:c>
      <x:c r="C43" s="25" t="n">
        <x:v>9</x:v>
      </x:c>
      <x:c r="D43" s="31" t="str">
        <x:v>increase in mean temperature</x:v>
      </x:c>
      <x:c r="E43" s="31" t="str">
        <x:v>mean temperature</x:v>
      </x:c>
      <x:c r="F43" s="31" t="str">
        <x:v>temperature_threshold</x:v>
      </x:c>
      <x:c r="G43" s="31" t="str">
        <x:v>NO_STANDALONE_HEADWORD</x:v>
      </x:c>
      <x:c r="H43" s="19" t="str">
        <x:v>NO</x:v>
      </x:c>
      <x:c r="I43" s="31" t="str">
        <x:v>Component lexical analysis plus anchor-source contextual meaning</x:v>
      </x:c>
      <x:c r="J43" s="31" t="str">
        <x:v>Component headword checked: temperature.</x:v>
      </x:c>
      <x:c r="K43" s="31" t="str">
        <x:v>Anchor-period research source/context; Webster 1913 stable component URL recorded but automated page retrieval was unavailable</x:v>
      </x:c>
      <x:c r="L43" s="31" t="str">
        <x:v>A temporally or spatially averaged temperature value; the candidate is interpreted in its documented anchor and voice context.</x:v>
      </x:c>
      <x:c r="M43" s="31" t="str">
        <x:v>A physical temperature, warming, heat, or measurement sense in the documented anchor context.</x:v>
      </x:c>
      <x:c r="N43" s="31" t="str">
        <x:v>A temporally or spatially averaged temperature value; the candidate is interpreted in its documented anchor and voice context.</x:v>
      </x:c>
      <x:c r="O43" s="31" t="str">
        <x:v>STRONG</x:v>
      </x:c>
      <x:c r="P43" s="19" t="str">
        <x:v>NOT_LOCATED</x:v>
      </x:c>
      <x:c r="Q43" s="31" t="str">
        <x:v>The surface form may realize multiple senses; candidate meaning remains anchored to the report-visible source context.</x:v>
      </x:c>
      <x:c r="R43" s="31" t="str">
        <x:v>Fear of Temperature_ Stratified Lexical Expansion, Voice Mapping, and Semantic-Relational Pre-Valida.pdf#page=8; https://api.dictionaryapi.dev/api/v2/entries/en/increase%20in%20mean%20temperature; https://websters1913.timcieplowski.com/word/temperature/</x:v>
      </x:c>
      <x:c r="S43" s="19" t="str">
        <x:v>2026-08-26</x:v>
      </x:c>
      <x:c r="T43" s="43" t="str">
        <x:v>RECONSTRUCTED_FROM_REPORT; Fear of Temperature_ Stratified Lexical Expansion, Voice Mapping, and Semantic-Relational Pre-Valida.pdf; p.8; project candidate FT-SEED-R1B-P-1938-09; original visible ID not available</x:v>
      </x:c>
    </x:row>
    <x:row r="44" ht="38" customHeight="1">
      <x:c r="A44" s="40" t="str">
        <x:v>FT-SEED-R1B-P-1938-10</x:v>
      </x:c>
      <x:c r="B44" s="19" t="str">
        <x:v>1938</x:v>
      </x:c>
      <x:c r="C44" s="25" t="n">
        <x:v>10</x:v>
      </x:c>
      <x:c r="D44" s="31" t="str">
        <x:v>mean temperature</x:v>
      </x:c>
      <x:c r="E44" s="31" t="str">
        <x:v>mean temperature</x:v>
      </x:c>
      <x:c r="F44" s="31" t="str">
        <x:v>temperature_threshold</x:v>
      </x:c>
      <x:c r="G44" s="31" t="str">
        <x:v>NO_STANDALONE_HEADWORD</x:v>
      </x:c>
      <x:c r="H44" s="19" t="str">
        <x:v>NO</x:v>
      </x:c>
      <x:c r="I44" s="31" t="str">
        <x:v>Component lexical analysis plus anchor-source contextual meaning</x:v>
      </x:c>
      <x:c r="J44" s="31" t="str">
        <x:v>Component headword checked: temperature.</x:v>
      </x:c>
      <x:c r="K44" s="31" t="str">
        <x:v>Anchor-period research source/context; Webster 1913 stable component URL recorded but automated page retrieval was unavailable</x:v>
      </x:c>
      <x:c r="L44" s="31" t="str">
        <x:v>A temporally or spatially averaged temperature value; the candidate is interpreted in its documented anchor and voice context.</x:v>
      </x:c>
      <x:c r="M44" s="31" t="str">
        <x:v>A physical temperature, warming, heat, or measurement sense in the documented anchor context.</x:v>
      </x:c>
      <x:c r="N44" s="31" t="str">
        <x:v>A temporally or spatially averaged temperature value; the candidate is interpreted in its documented anchor and voice context.</x:v>
      </x:c>
      <x:c r="O44" s="31" t="str">
        <x:v>STRONG</x:v>
      </x:c>
      <x:c r="P44" s="19" t="str">
        <x:v>NOT_LOCATED</x:v>
      </x:c>
      <x:c r="Q44" s="31" t="str">
        <x:v>The surface form may realize multiple senses; candidate meaning remains anchored to the report-visible source context.</x:v>
      </x:c>
      <x:c r="R44" s="31" t="str">
        <x:v>Fear of Temperature_ Stratified Lexical Expansion, Voice Mapping, and Semantic-Relational Pre-Valida.pdf#page=8; https://api.dictionaryapi.dev/api/v2/entries/en/mean%20temperature; https://websters1913.timcieplowski.com/word/temperature/</x:v>
      </x:c>
      <x:c r="S44" s="19" t="str">
        <x:v>2026-08-26</x:v>
      </x:c>
      <x:c r="T44" s="43" t="str">
        <x:v>RECONSTRUCTED_FROM_REPORT; Fear of Temperature_ Stratified Lexical Expansion, Voice Mapping, and Semantic-Relational Pre-Valida.pdf; p.8; project candidate FT-SEED-R1B-P-1938-10; original visible ID not available</x:v>
      </x:c>
    </x:row>
    <x:row r="45" ht="38" customHeight="1">
      <x:c r="A45" s="40" t="str">
        <x:v>FT-SEED-R1B-P-1938-11</x:v>
      </x:c>
      <x:c r="B45" s="19" t="str">
        <x:v>1938</x:v>
      </x:c>
      <x:c r="C45" s="25" t="n">
        <x:v>11</x:v>
      </x:c>
      <x:c r="D45" s="31" t="str">
        <x:v>temperature observations</x:v>
      </x:c>
      <x:c r="E45" s="31" t="str">
        <x:v>local / instrumental temperature</x:v>
      </x:c>
      <x:c r="F45" s="31" t="str">
        <x:v>temperature_threshold</x:v>
      </x:c>
      <x:c r="G45" s="31" t="str">
        <x:v>NO_STANDALONE_HEADWORD</x:v>
      </x:c>
      <x:c r="H45" s="19" t="str">
        <x:v>NO</x:v>
      </x:c>
      <x:c r="I45" s="31" t="str">
        <x:v>Component lexical analysis plus anchor-source contextual meaning</x:v>
      </x:c>
      <x:c r="J45" s="31" t="str">
        <x:v>Component headword checked: observations.</x:v>
      </x:c>
      <x:c r="K45" s="31" t="str">
        <x:v>Anchor-period research source/context; Webster 1913 stable component URL recorded but automated page retrieval was unavailable</x:v>
      </x:c>
      <x:c r="L45" s="31" t="str">
        <x:v>A local or instrument-specific temperature reading; the candidate is interpreted in its documented anchor and voice context.</x:v>
      </x:c>
      <x:c r="M45" s="31" t="str">
        <x:v>A physical temperature, warming, heat, or measurement sense in the documented anchor context.</x:v>
      </x:c>
      <x:c r="N45" s="31" t="str">
        <x:v>A local or instrument-specific temperature reading; the candidate is interpreted in its documented anchor and voice context.</x:v>
      </x:c>
      <x:c r="O45" s="31" t="str">
        <x:v>STRONG</x:v>
      </x:c>
      <x:c r="P45" s="19" t="str">
        <x:v>NOT_LOCATED</x:v>
      </x:c>
      <x:c r="Q45" s="31" t="str">
        <x:v>The surface form may realize multiple senses; candidate meaning remains anchored to the report-visible source context.</x:v>
      </x:c>
      <x:c r="R45" s="31" t="str">
        <x:v>Fear of Temperature_ Stratified Lexical Expansion, Voice Mapping, and Semantic-Relational Pre-Valida.pdf#page=7; https://api.dictionaryapi.dev/api/v2/entries/en/temperature%20observations; https://websters1913.timcieplowski.com/word/observations/</x:v>
      </x:c>
      <x:c r="S45" s="19" t="str">
        <x:v>2026-08-26</x:v>
      </x:c>
      <x:c r="T45" s="43" t="str">
        <x:v>RECONSTRUCTED_FROM_REPORT; Fear of Temperature_ Stratified Lexical Expansion, Voice Mapping, and Semantic-Relational Pre-Valida.pdf; p.7; project candidate FT-SEED-R1B-P-1938-11; original visible ID not available</x:v>
      </x:c>
    </x:row>
    <x:row r="46" ht="38" customHeight="1">
      <x:c r="A46" s="40" t="str">
        <x:v>FT-SEED-R1B-P-1938-12</x:v>
      </x:c>
      <x:c r="B46" s="19" t="str">
        <x:v>1938</x:v>
      </x:c>
      <x:c r="C46" s="25" t="n">
        <x:v>12</x:v>
      </x:c>
      <x:c r="D46" s="31" t="str">
        <x:v>meteorological stations</x:v>
      </x:c>
      <x:c r="E46" s="31" t="str">
        <x:v>historical climate / climatological condition</x:v>
      </x:c>
      <x:c r="F46" s="31" t="str">
        <x:v>climate</x:v>
      </x:c>
      <x:c r="G46" s="31" t="str">
        <x:v>NO_STANDALONE_HEADWORD</x:v>
      </x:c>
      <x:c r="H46" s="19" t="str">
        <x:v>NO</x:v>
      </x:c>
      <x:c r="I46" s="31" t="str">
        <x:v>Component lexical analysis plus anchor-source contextual meaning</x:v>
      </x:c>
      <x:c r="J46" s="31" t="str">
        <x:v>Component headword checked: stations.</x:v>
      </x:c>
      <x:c r="K46" s="31" t="str">
        <x:v>Anchor-period research source/context; Webster 1913 stable component URL recorded but automated page retrieval was unavailable</x:v>
      </x:c>
      <x:c r="L46" s="31" t="str">
        <x:v>Climate as a historical, geographical, seasonal, or climatological condition; the candidate is interpreted in its documented anchor and voice context.</x:v>
      </x:c>
      <x:c r="M46" s="31" t="str">
        <x:v>A climatic, atmospheric, meteorological, or causal-science sense in the documented anchor context.</x:v>
      </x:c>
      <x:c r="N46" s="31" t="str">
        <x:v>Climate as a historical, geographical, seasonal, or climatological condition; the candidate is interpreted in its documented anchor and voice context.</x:v>
      </x:c>
      <x:c r="O46" s="31" t="str">
        <x:v>STRONG</x:v>
      </x:c>
      <x:c r="P46" s="19" t="str">
        <x:v>NOT_LOCATED</x:v>
      </x:c>
      <x:c r="Q46" s="31" t="str">
        <x:v>The surface form may realize multiple senses; candidate meaning remains anchored to the report-visible source context.</x:v>
      </x:c>
      <x:c r="R46" s="31" t="str">
        <x:v>Fear of Temperature_ Stratified Lexical Expansion, Voice Mapping, and Semantic-Relational Pre-Valida.pdf#page=7; https://api.dictionaryapi.dev/api/v2/entries/en/meteorological%20stations; https://websters1913.timcieplowski.com/word/stations/</x:v>
      </x:c>
      <x:c r="S46" s="19" t="str">
        <x:v>2026-08-26</x:v>
      </x:c>
      <x:c r="T46" s="43" t="str">
        <x:v>RECONSTRUCTED_FROM_REPORT; Fear of Temperature_ Stratified Lexical Expansion, Voice Mapping, and Semantic-Relational Pre-Valida.pdf; p.7; project candidate FT-SEED-R1B-P-1938-12; original visible ID not available</x:v>
      </x:c>
    </x:row>
    <x:row r="47" ht="38" customHeight="1">
      <x:c r="A47" s="40" t="str">
        <x:v>FT-SEED-R1B-P-1938-13</x:v>
      </x:c>
      <x:c r="B47" s="19" t="str">
        <x:v>1938</x:v>
      </x:c>
      <x:c r="C47" s="25" t="n">
        <x:v>13</x:v>
      </x:c>
      <x:c r="D47" s="31" t="str">
        <x:v>world temperatures</x:v>
      </x:c>
      <x:c r="E47" s="31" t="str">
        <x:v>global aggregate temperature</x:v>
      </x:c>
      <x:c r="F47" s="31" t="str">
        <x:v>temperature_threshold</x:v>
      </x:c>
      <x:c r="G47" s="31" t="str">
        <x:v>NO_STANDALONE_HEADWORD</x:v>
      </x:c>
      <x:c r="H47" s="19" t="str">
        <x:v>NO</x:v>
      </x:c>
      <x:c r="I47" s="31" t="str">
        <x:v>Component lexical analysis plus anchor-source contextual meaning</x:v>
      </x:c>
      <x:c r="J47" s="31" t="str">
        <x:v>Component headword checked: temperatures.</x:v>
      </x:c>
      <x:c r="K47" s="31" t="str">
        <x:v>Anchor-period research source/context; Webster 1913 stable component URL recorded but automated page retrieval was unavailable</x:v>
      </x:c>
      <x:c r="L47" s="31" t="str">
        <x:v>A global-scale aggregate temperature metric; the candidate is interpreted in its documented anchor and voice context.</x:v>
      </x:c>
      <x:c r="M47" s="31" t="str">
        <x:v>A physical temperature, warming, heat, or measurement sense in the documented anchor context.</x:v>
      </x:c>
      <x:c r="N47" s="31" t="str">
        <x:v>A global-scale aggregate temperature metric; the candidate is interpreted in its documented anchor and voice context.</x:v>
      </x:c>
      <x:c r="O47" s="31" t="str">
        <x:v>STRONG</x:v>
      </x:c>
      <x:c r="P47" s="19" t="str">
        <x:v>NOT_LOCATED</x:v>
      </x:c>
      <x:c r="Q47" s="31" t="str">
        <x:v>The surface form may realize multiple senses; candidate meaning remains anchored to the report-visible source context.</x:v>
      </x:c>
      <x:c r="R47" s="31" t="str">
        <x:v>Fear of Temperature_ Stratified Lexical Expansion, Voice Mapping, and Semantic-Relational Pre-Valida.pdf#page=8; https://api.dictionaryapi.dev/api/v2/entries/en/world%20temperatures; https://websters1913.timcieplowski.com/word/temperatures/</x:v>
      </x:c>
      <x:c r="S47" s="19" t="str">
        <x:v>2026-08-26</x:v>
      </x:c>
      <x:c r="T47" s="43" t="str">
        <x:v>RECONSTRUCTED_FROM_REPORT; Fear of Temperature_ Stratified Lexical Expansion, Voice Mapping, and Semantic-Relational Pre-Valida.pdf; p.8; project candidate FT-SEED-R1B-P-1938-13; original visible ID not available</x:v>
      </x:c>
    </x:row>
    <x:row r="48" ht="38" customHeight="1">
      <x:c r="A48" s="40" t="str">
        <x:v>FT-SEED-R1B-P-1938-14</x:v>
      </x:c>
      <x:c r="B48" s="19" t="str">
        <x:v>1938</x:v>
      </x:c>
      <x:c r="C48" s="25" t="n">
        <x:v>14</x:v>
      </x:c>
      <x:c r="D48" s="31" t="str">
        <x:v>actually increased</x:v>
      </x:c>
      <x:c r="E48" s="31" t="str">
        <x:v>temperature increase</x:v>
      </x:c>
      <x:c r="F48" s="31" t="str">
        <x:v>warming</x:v>
      </x:c>
      <x:c r="G48" s="31" t="str">
        <x:v>NO_STANDALONE_HEADWORD</x:v>
      </x:c>
      <x:c r="H48" s="19" t="str">
        <x:v>NO</x:v>
      </x:c>
      <x:c r="I48" s="31" t="str">
        <x:v>Component lexical analysis plus anchor-source contextual meaning</x:v>
      </x:c>
      <x:c r="J48" s="31" t="str">
        <x:v>Component headword checked: increased.</x:v>
      </x:c>
      <x:c r="K48" s="31" t="str">
        <x:v>Anchor-period research source/context; Webster 1913 stable component URL recorded but automated page retrieval was unavailable</x:v>
      </x:c>
      <x:c r="L48" s="31" t="str">
        <x:v>An observed, estimated, or projected increase in temperature; the candidate is interpreted in its documented anchor and voice context.</x:v>
      </x:c>
      <x:c r="M48" s="31" t="str">
        <x:v>A physical temperature, warming, heat, or measurement sense in the documented anchor context.</x:v>
      </x:c>
      <x:c r="N48" s="31" t="str">
        <x:v>An observed, estimated, or projected increase in temperature; the candidate is interpreted in its documented anchor and voice context.</x:v>
      </x:c>
      <x:c r="O48" s="31" t="str">
        <x:v>STRONG</x:v>
      </x:c>
      <x:c r="P48" s="19" t="str">
        <x:v>NOT_LOCATED</x:v>
      </x:c>
      <x:c r="Q48" s="31" t="str">
        <x:v>The surface form may realize multiple senses; candidate meaning remains anchored to the report-visible source context.</x:v>
      </x:c>
      <x:c r="R48" s="31" t="str">
        <x:v>Fear of Temperature_ Stratified Lexical Expansion, Voice Mapping, and Semantic-Relational Pre-Valida.pdf#page=8; https://api.dictionaryapi.dev/api/v2/entries/en/actually%20increased; https://websters1913.timcieplowski.com/word/increased/</x:v>
      </x:c>
      <x:c r="S48" s="19" t="str">
        <x:v>2026-08-26</x:v>
      </x:c>
      <x:c r="T48" s="43" t="str">
        <x:v>RECONSTRUCTED_FROM_REPORT; Fear of Temperature_ Stratified Lexical Expansion, Voice Mapping, and Semantic-Relational Pre-Valida.pdf; p.8; project candidate FT-SEED-R1B-P-1938-14; original visible ID not available</x:v>
      </x:c>
    </x:row>
    <x:row r="49" ht="38" customHeight="1">
      <x:c r="A49" s="40" t="str">
        <x:v>FT-SEED-R1B-P-1938-15</x:v>
      </x:c>
      <x:c r="B49" s="19" t="str">
        <x:v>1938</x:v>
      </x:c>
      <x:c r="C49" s="25" t="n">
        <x:v>15</x:v>
      </x:c>
      <x:c r="D49" s="31" t="str">
        <x:v>average rate</x:v>
      </x:c>
      <x:c r="E49" s="31" t="str">
        <x:v>local / instrumental temperature</x:v>
      </x:c>
      <x:c r="F49" s="31" t="str">
        <x:v>temperature_threshold</x:v>
      </x:c>
      <x:c r="G49" s="31" t="str">
        <x:v>NO_STANDALONE_HEADWORD</x:v>
      </x:c>
      <x:c r="H49" s="19" t="str">
        <x:v>NO</x:v>
      </x:c>
      <x:c r="I49" s="31" t="str">
        <x:v>Component lexical analysis plus anchor-source contextual meaning</x:v>
      </x:c>
      <x:c r="J49" s="31" t="str">
        <x:v>Component headword checked: rate.</x:v>
      </x:c>
      <x:c r="K49" s="31" t="str">
        <x:v>Anchor-period research source/context; Webster 1913 stable component URL recorded but automated page retrieval was unavailable</x:v>
      </x:c>
      <x:c r="L49" s="31" t="str">
        <x:v>A local or instrument-specific temperature reading; the candidate is interpreted in its documented anchor and voice context.</x:v>
      </x:c>
      <x:c r="M49" s="31" t="str">
        <x:v>A physical temperature, warming, heat, or measurement sense in the documented anchor context.</x:v>
      </x:c>
      <x:c r="N49" s="31" t="str">
        <x:v>A local or instrument-specific temperature reading; the candidate is interpreted in its documented anchor and voice context.</x:v>
      </x:c>
      <x:c r="O49" s="31" t="str">
        <x:v>STRONG</x:v>
      </x:c>
      <x:c r="P49" s="19" t="str">
        <x:v>NOT_LOCATED</x:v>
      </x:c>
      <x:c r="Q49" s="31" t="str">
        <x:v>The surface form may realize multiple senses; candidate meaning remains anchored to the report-visible source context.</x:v>
      </x:c>
      <x:c r="R49" s="31" t="str">
        <x:v>Fear of Temperature_ Stratified Lexical Expansion, Voice Mapping, and Semantic-Relational Pre-Valida.pdf#page=8; https://api.dictionaryapi.dev/api/v2/entries/en/average%20rate; https://websters1913.timcieplowski.com/word/rate/</x:v>
      </x:c>
      <x:c r="S49" s="19" t="str">
        <x:v>2026-08-26</x:v>
      </x:c>
      <x:c r="T49" s="43" t="str">
        <x:v>RECONSTRUCTED_FROM_REPORT; Fear of Temperature_ Stratified Lexical Expansion, Voice Mapping, and Semantic-Relational Pre-Valida.pdf; p.8; project candidate FT-SEED-R1B-P-1938-15; original visible ID not available</x:v>
      </x:c>
    </x:row>
    <x:row r="50" ht="38" customHeight="1">
      <x:c r="A50" s="40" t="str">
        <x:v>FT-SEED-R1B-P-1938-16</x:v>
      </x:c>
      <x:c r="B50" s="19" t="str">
        <x:v>1938</x:v>
      </x:c>
      <x:c r="C50" s="25" t="n">
        <x:v>16</x:v>
      </x:c>
      <x:c r="D50" s="31" t="str">
        <x:v>small increases in mean temperature</x:v>
      </x:c>
      <x:c r="E50" s="31" t="str">
        <x:v>mean temperature</x:v>
      </x:c>
      <x:c r="F50" s="31" t="str">
        <x:v>temperature_threshold</x:v>
      </x:c>
      <x:c r="G50" s="31" t="str">
        <x:v>NO_STANDALONE_HEADWORD</x:v>
      </x:c>
      <x:c r="H50" s="19" t="str">
        <x:v>NO</x:v>
      </x:c>
      <x:c r="I50" s="31" t="str">
        <x:v>Component lexical analysis plus anchor-source contextual meaning</x:v>
      </x:c>
      <x:c r="J50" s="31" t="str">
        <x:v>Component headword checked: temperature.</x:v>
      </x:c>
      <x:c r="K50" s="31" t="str">
        <x:v>Anchor-period research source/context; Webster 1913 stable component URL recorded but automated page retrieval was unavailable</x:v>
      </x:c>
      <x:c r="L50" s="31" t="str">
        <x:v>A temporally or spatially averaged temperature value; the candidate is interpreted in its documented anchor and voice context.</x:v>
      </x:c>
      <x:c r="M50" s="31" t="str">
        <x:v>A physical temperature, warming, heat, or measurement sense in the documented anchor context.</x:v>
      </x:c>
      <x:c r="N50" s="31" t="str">
        <x:v>A temporally or spatially averaged temperature value; the candidate is interpreted in its documented anchor and voice context.</x:v>
      </x:c>
      <x:c r="O50" s="31" t="str">
        <x:v>STRONG</x:v>
      </x:c>
      <x:c r="P50" s="19" t="str">
        <x:v>NOT_LOCATED</x:v>
      </x:c>
      <x:c r="Q50" s="31" t="str">
        <x:v>The surface form may realize multiple senses; candidate meaning remains anchored to the report-visible source context.</x:v>
      </x:c>
      <x:c r="R50" s="31" t="str">
        <x:v>Fear of Temperature_ Stratified Lexical Expansion, Voice Mapping, and Semantic-Relational Pre-Valida.pdf#page=8; https://api.dictionaryapi.dev/api/v2/entries/en/small%20increases%20in%20mean%20temperature; https://websters1913.timcieplowski.com/word/temperature/</x:v>
      </x:c>
      <x:c r="S50" s="19" t="str">
        <x:v>2026-08-26</x:v>
      </x:c>
      <x:c r="T50" s="43" t="str">
        <x:v>RECONSTRUCTED_FROM_REPORT; Fear of Temperature_ Stratified Lexical Expansion, Voice Mapping, and Semantic-Relational Pre-Valida.pdf; p.8; project candidate FT-SEED-R1B-P-1938-16; original visible ID not available</x:v>
      </x:c>
    </x:row>
    <x:row r="51" ht="38" customHeight="1">
      <x:c r="A51" s="40" t="str">
        <x:v>FT-SEED-R1B-P-1938-17</x:v>
      </x:c>
      <x:c r="B51" s="19" t="str">
        <x:v>1938</x:v>
      </x:c>
      <x:c r="C51" s="25" t="n">
        <x:v>17</x:v>
      </x:c>
      <x:c r="D51" s="31" t="str">
        <x:v>deadly glaciers</x:v>
      </x:c>
      <x:c r="E51" s="31" t="str">
        <x:v>institutional climate threat</x:v>
      </x:c>
      <x:c r="F51" s="31" t="str">
        <x:v>danger_threat</x:v>
      </x:c>
      <x:c r="G51" s="31" t="str">
        <x:v>NO_STANDALONE_HEADWORD</x:v>
      </x:c>
      <x:c r="H51" s="19" t="str">
        <x:v>NO</x:v>
      </x:c>
      <x:c r="I51" s="31" t="str">
        <x:v>Component lexical analysis plus anchor-source contextual meaning</x:v>
      </x:c>
      <x:c r="J51" s="31" t="str">
        <x:v>Component headword checked: glaciers.</x:v>
      </x:c>
      <x:c r="K51" s="31" t="str">
        <x:v>Anchor-period research source/context; Webster 1913 stable component URL recorded but automated page retrieval was unavailable</x:v>
      </x:c>
      <x:c r="L51" s="31" t="str">
        <x:v>Climate change framed as an institutional threat; the candidate is interpreted in its documented anchor and voice context.</x:v>
      </x:c>
      <x:c r="M51" s="31" t="str">
        <x:v>A threat, risk, harm, severity, or consequence sense in the documented source; it is not automatically an emotion.</x:v>
      </x:c>
      <x:c r="N51" s="31" t="str">
        <x:v>Climate change framed as an institutional threat; the candidate is interpreted in its documented anchor and voice context.</x:v>
      </x:c>
      <x:c r="O51" s="31" t="str">
        <x:v>STRONG</x:v>
      </x:c>
      <x:c r="P51" s="19" t="str">
        <x:v>NOT_LOCATED</x:v>
      </x:c>
      <x:c r="Q51" s="31" t="str">
        <x:v>The surface form may realize multiple senses; candidate meaning remains anchored to the report-visible source context.</x:v>
      </x:c>
      <x:c r="R51" s="31" t="str">
        <x:v>Fear of Temperature_ Stratified Lexical Expansion, Voice Mapping, and Semantic-Relational Pre-Valida.pdf#page=8; https://api.dictionaryapi.dev/api/v2/entries/en/deadly%20glaciers; https://websters1913.timcieplowski.com/word/glaciers/</x:v>
      </x:c>
      <x:c r="S51" s="19" t="str">
        <x:v>2026-08-26</x:v>
      </x:c>
      <x:c r="T51" s="43" t="str">
        <x:v>RECONSTRUCTED_FROM_REPORT; Fear of Temperature_ Stratified Lexical Expansion, Voice Mapping, and Semantic-Relational Pre-Valida.pdf; p.8; project candidate FT-SEED-R1B-P-1938-17; original visible ID not available</x:v>
      </x:c>
    </x:row>
    <x:row r="52" ht="38" customHeight="1">
      <x:c r="A52" s="40" t="str">
        <x:v>FT-SEED-R1B-P-1938-18</x:v>
      </x:c>
      <x:c r="B52" s="19" t="str">
        <x:v>1938</x:v>
      </x:c>
      <x:c r="C52" s="25" t="n">
        <x:v>18</x:v>
      </x:c>
      <x:c r="D52" s="31" t="str">
        <x:v>rather a coincidence</x:v>
      </x:c>
      <x:c r="E52" s="31" t="str">
        <x:v>personal concern</x:v>
      </x:c>
      <x:c r="F52" s="31" t="str">
        <x:v>concern_alarm</x:v>
      </x:c>
      <x:c r="G52" s="31" t="str">
        <x:v>NO_STANDALONE_HEADWORD</x:v>
      </x:c>
      <x:c r="H52" s="19" t="str">
        <x:v>NO</x:v>
      </x:c>
      <x:c r="I52" s="31" t="str">
        <x:v>Component lexical analysis plus anchor-source contextual meaning</x:v>
      </x:c>
      <x:c r="J52" s="31" t="str">
        <x:v>Component headword checked: coincidence.</x:v>
      </x:c>
      <x:c r="K52" s="31" t="str">
        <x:v>Anchor-period research source/context; Webster 1913 stable component URL recorded but automated page retrieval was unavailable</x:v>
      </x:c>
      <x:c r="L52" s="31" t="str">
        <x:v>Concern expressed or endorsed by an identifiable person about a climate or heat object; the candidate is interpreted in its documented anchor and voice context.</x:v>
      </x:c>
      <x:c r="M52" s="31" t="str">
        <x:v>An epistemic evaluation that two observations may coincide rather than stand in a causal relation; normally no affect.</x:v>
      </x:c>
      <x:c r="N52" s="31" t="str">
        <x:v>Concern expressed or endorsed by an identifiable person about a climate or heat object; the candidate is interpreted in its documented anchor and voice context.</x:v>
      </x:c>
      <x:c r="O52" s="31" t="str">
        <x:v>STRONG</x:v>
      </x:c>
      <x:c r="P52" s="19" t="str">
        <x:v>NOT_LOCATED</x:v>
      </x:c>
      <x:c r="Q52" s="31" t="str">
        <x:v>Coincidence has epistemic and event-overlap senses; neither should be recoded as emotion here.</x:v>
      </x:c>
      <x:c r="R52" s="31" t="str">
        <x:v>Fear of Temperature_ Stratified Lexical Expansion, Voice Mapping, and Semantic-Relational Pre-Valida.pdf#page=8; https://api.dictionaryapi.dev/api/v2/entries/en/rather%20a%20coincidence; https://websters1913.timcieplowski.com/word/coincidence/</x:v>
      </x:c>
      <x:c r="S52" s="19" t="str">
        <x:v>2026-08-26</x:v>
      </x:c>
      <x:c r="T52" s="43" t="str">
        <x:v>RECONSTRUCTED_FROM_REPORT; Fear of Temperature_ Stratified Lexical Expansion, Voice Mapping, and Semantic-Relational Pre-Valida.pdf; p.8; project candidate FT-SEED-R1B-P-1938-18; original visible ID not available</x:v>
      </x:c>
    </x:row>
    <x:row r="53" ht="38" customHeight="1">
      <x:c r="A53" s="40" t="str">
        <x:v>FT-SEED-R1B-P-1938-19</x:v>
      </x:c>
      <x:c r="B53" s="19" t="str">
        <x:v>1938</x:v>
      </x:c>
      <x:c r="C53" s="25" t="n">
        <x:v>19</x:v>
      </x:c>
      <x:c r="D53" s="31" t="str">
        <x:v>Hottest Day for Ten Years</x:v>
      </x:c>
      <x:c r="E53" s="31" t="str">
        <x:v>heatwave / weather event</x:v>
      </x:c>
      <x:c r="F53" s="31" t="str">
        <x:v>heat</x:v>
      </x:c>
      <x:c r="G53" s="31" t="str">
        <x:v>NO_STANDALONE_HEADWORD</x:v>
      </x:c>
      <x:c r="H53" s="19" t="str">
        <x:v>NO</x:v>
      </x:c>
      <x:c r="I53" s="31" t="str">
        <x:v>Component lexical analysis plus anchor-source contextual meaning</x:v>
      </x:c>
      <x:c r="J53" s="31" t="str">
        <x:v>Component headword checked: years.</x:v>
      </x:c>
      <x:c r="K53" s="31" t="str">
        <x:v>Anchor-period research source/context; Webster 1913 stable component URL recorded but automated page retrieval was unavailable</x:v>
      </x:c>
      <x:c r="L53" s="31" t="str">
        <x:v>A bounded hot-weather or heatwave event; the candidate is interpreted in its documented anchor and voice context.</x:v>
      </x:c>
      <x:c r="M53" s="31" t="str">
        <x:v>A physical temperature, warming, heat, or measurement sense in the documented anchor context.</x:v>
      </x:c>
      <x:c r="N53" s="31" t="str">
        <x:v>A bounded hot-weather or heatwave event; the candidate is interpreted in its documented anchor and voice context.</x:v>
      </x:c>
      <x:c r="O53" s="31" t="str">
        <x:v>STRONG</x:v>
      </x:c>
      <x:c r="P53" s="19" t="str">
        <x:v>NOT_LOCATED</x:v>
      </x:c>
      <x:c r="Q53" s="31" t="str">
        <x:v>The surface form may realize multiple senses; candidate meaning remains anchored to the report-visible source context.</x:v>
      </x:c>
      <x:c r="R53" s="31" t="str">
        <x:v>Fear of Temperature_ Stratified Lexical Expansion, Voice Mapping, and Semantic-Relational Pre-Valida.pdf#page=8; https://api.dictionaryapi.dev/api/v2/entries/en/Hottest%20Day%20for%20Ten%20Years; https://websters1913.timcieplowski.com/word/years/</x:v>
      </x:c>
      <x:c r="S53" s="19" t="str">
        <x:v>2026-08-26</x:v>
      </x:c>
      <x:c r="T53" s="43" t="str">
        <x:v>RECONSTRUCTED_FROM_REPORT; Fear of Temperature_ Stratified Lexical Expansion, Voice Mapping, and Semantic-Relational Pre-Valida.pdf; p.8; project candidate FT-SEED-R1B-P-1938-19; original visible ID not available</x:v>
      </x:c>
    </x:row>
    <x:row r="54" ht="38" customHeight="1">
      <x:c r="A54" s="40" t="str">
        <x:v>FT-SEED-R1B-P-1938-20</x:v>
      </x:c>
      <x:c r="B54" s="19" t="str">
        <x:v>1938</x:v>
      </x:c>
      <x:c r="C54" s="25" t="n">
        <x:v>20</x:v>
      </x:c>
      <x:c r="D54" s="31" t="str">
        <x:v>Heat Wave Over Queensland</x:v>
      </x:c>
      <x:c r="E54" s="31" t="str">
        <x:v>heatwave / weather event</x:v>
      </x:c>
      <x:c r="F54" s="31" t="str">
        <x:v>heat</x:v>
      </x:c>
      <x:c r="G54" s="31" t="str">
        <x:v>NO_STANDALONE_HEADWORD</x:v>
      </x:c>
      <x:c r="H54" s="19" t="str">
        <x:v>NO</x:v>
      </x:c>
      <x:c r="I54" s="31" t="str">
        <x:v>Component lexical analysis plus anchor-source contextual meaning</x:v>
      </x:c>
      <x:c r="J54" s="31" t="str">
        <x:v>Component headword checked: queensland.</x:v>
      </x:c>
      <x:c r="K54" s="31" t="str">
        <x:v>Anchor-period research source/context; Webster 1913 stable component URL recorded but automated page retrieval was unavailable</x:v>
      </x:c>
      <x:c r="L54" s="31" t="str">
        <x:v>A bounded hot-weather or heatwave event; the candidate is interpreted in its documented anchor and voice context.</x:v>
      </x:c>
      <x:c r="M54" s="31" t="str">
        <x:v>A physical temperature, warming, heat, or measurement sense in the documented anchor context.</x:v>
      </x:c>
      <x:c r="N54" s="31" t="str">
        <x:v>A bounded hot-weather or heatwave event; the candidate is interpreted in its documented anchor and voice context.</x:v>
      </x:c>
      <x:c r="O54" s="31" t="str">
        <x:v>STRONG</x:v>
      </x:c>
      <x:c r="P54" s="19" t="str">
        <x:v>NOT_LOCATED</x:v>
      </x:c>
      <x:c r="Q54" s="31" t="str">
        <x:v>The surface form may realize multiple senses; candidate meaning remains anchored to the report-visible source context.</x:v>
      </x:c>
      <x:c r="R54" s="31" t="str">
        <x:v>Fear of Temperature_ Stratified Lexical Expansion, Voice Mapping, and Semantic-Relational Pre-Valida.pdf#page=8; https://api.dictionaryapi.dev/api/v2/entries/en/Heat%20Wave%20Over%20Queensland; https://websters1913.timcieplowski.com/word/queensland/</x:v>
      </x:c>
      <x:c r="S54" s="19" t="str">
        <x:v>2026-08-26</x:v>
      </x:c>
      <x:c r="T54" s="43" t="str">
        <x:v>RECONSTRUCTED_FROM_REPORT; Fear of Temperature_ Stratified Lexical Expansion, Voice Mapping, and Semantic-Relational Pre-Valida.pdf; p.8; project candidate FT-SEED-R1B-P-1938-20; original visible ID not available</x:v>
      </x:c>
    </x:row>
    <x:row r="55" ht="38" customHeight="1">
      <x:c r="A55" s="40" t="str">
        <x:v>FT-SEED-R1B-P-1938-21</x:v>
      </x:c>
      <x:c r="B55" s="19" t="str">
        <x:v>1938</x:v>
      </x:c>
      <x:c r="C55" s="25" t="n">
        <x:v>21</x:v>
      </x:c>
      <x:c r="D55" s="31" t="str">
        <x:v>heat wave</x:v>
      </x:c>
      <x:c r="E55" s="31" t="str">
        <x:v>heatwave / weather event</x:v>
      </x:c>
      <x:c r="F55" s="31" t="str">
        <x:v>heat</x:v>
      </x:c>
      <x:c r="G55" s="31" t="str">
        <x:v>NO_STANDALONE_HEADWORD</x:v>
      </x:c>
      <x:c r="H55" s="19" t="str">
        <x:v>NO</x:v>
      </x:c>
      <x:c r="I55" s="31" t="str">
        <x:v>Component lexical analysis plus anchor-source contextual meaning</x:v>
      </x:c>
      <x:c r="J55" s="31" t="str">
        <x:v>Component headword checked: wave.</x:v>
      </x:c>
      <x:c r="K55" s="31" t="str">
        <x:v>Anchor-period research source/context; Webster 1913 stable component URL recorded but automated page retrieval was unavailable</x:v>
      </x:c>
      <x:c r="L55" s="31" t="str">
        <x:v>A bounded hot-weather or heatwave event; the candidate is interpreted in its documented anchor and voice context.</x:v>
      </x:c>
      <x:c r="M55" s="31" t="str">
        <x:v>A physical temperature, warming, heat, or measurement sense in the documented anchor context.</x:v>
      </x:c>
      <x:c r="N55" s="31" t="str">
        <x:v>A bounded hot-weather or heatwave event; the candidate is interpreted in its documented anchor and voice context.</x:v>
      </x:c>
      <x:c r="O55" s="31" t="str">
        <x:v>STRONG</x:v>
      </x:c>
      <x:c r="P55" s="19" t="str">
        <x:v>NOT_LOCATED</x:v>
      </x:c>
      <x:c r="Q55" s="31" t="str">
        <x:v>The surface form may realize multiple senses; candidate meaning remains anchored to the report-visible source context.</x:v>
      </x:c>
      <x:c r="R55" s="31" t="str">
        <x:v>Fear of Temperature_ Stratified Lexical Expansion, Voice Mapping, and Semantic-Relational Pre-Valida.pdf#page=9; https://api.dictionaryapi.dev/api/v2/entries/en/heat%20wave; https://websters1913.timcieplowski.com/word/wave/</x:v>
      </x:c>
      <x:c r="S55" s="19" t="str">
        <x:v>2026-08-26</x:v>
      </x:c>
      <x:c r="T55" s="43" t="str">
        <x:v>RECONSTRUCTED_FROM_REPORT; Fear of Temperature_ Stratified Lexical Expansion, Voice Mapping, and Semantic-Relational Pre-Valida.pdf; p.7; project candidate FT-SEED-R1B-P-1938-21; original visible ID not available</x:v>
      </x:c>
    </x:row>
    <x:row r="56" ht="38" customHeight="1">
      <x:c r="A56" s="40" t="str">
        <x:v>FT-SEED-R1B-P-1938-22</x:v>
      </x:c>
      <x:c r="B56" s="19" t="str">
        <x:v>1938</x:v>
      </x:c>
      <x:c r="C56" s="25" t="n">
        <x:v>22</x:v>
      </x:c>
      <x:c r="D56" s="31" t="str">
        <x:v>40-degree temperatures</x:v>
      </x:c>
      <x:c r="E56" s="31" t="str">
        <x:v>local / instrumental temperature</x:v>
      </x:c>
      <x:c r="F56" s="31" t="str">
        <x:v>temperature_threshold</x:v>
      </x:c>
      <x:c r="G56" s="31" t="str">
        <x:v>NO_STANDALONE_HEADWORD</x:v>
      </x:c>
      <x:c r="H56" s="19" t="str">
        <x:v>NO</x:v>
      </x:c>
      <x:c r="I56" s="31" t="str">
        <x:v>Component lexical analysis plus anchor-source contextual meaning</x:v>
      </x:c>
      <x:c r="J56" s="31" t="str">
        <x:v>Component headword checked: temperatures.</x:v>
      </x:c>
      <x:c r="K56" s="31" t="str">
        <x:v>Anchor-period research source/context; Webster 1913 stable component URL recorded but automated page retrieval was unavailable</x:v>
      </x:c>
      <x:c r="L56" s="31" t="str">
        <x:v>A local or instrument-specific temperature reading; the candidate is interpreted in its documented anchor and voice context.</x:v>
      </x:c>
      <x:c r="M56" s="31" t="str">
        <x:v>A physical temperature, warming, heat, or measurement sense in the documented anchor context.</x:v>
      </x:c>
      <x:c r="N56" s="31" t="str">
        <x:v>A local or instrument-specific temperature reading; the candidate is interpreted in its documented anchor and voice context.</x:v>
      </x:c>
      <x:c r="O56" s="31" t="str">
        <x:v>STRONG</x:v>
      </x:c>
      <x:c r="P56" s="19" t="str">
        <x:v>NOT_LOCATED</x:v>
      </x:c>
      <x:c r="Q56" s="31" t="str">
        <x:v>The surface form may realize multiple senses; candidate meaning remains anchored to the report-visible source context.</x:v>
      </x:c>
      <x:c r="R56" s="31" t="str">
        <x:v>Fear of Temperature_ Stratified Lexical Expansion, Voice Mapping, and Semantic-Relational Pre-Valida.pdf#page=7; https://api.dictionaryapi.dev/api/v2/entries/en/40-degree%20temperatures; https://websters1913.timcieplowski.com/word/temperatures/</x:v>
      </x:c>
      <x:c r="S56" s="19" t="str">
        <x:v>2026-08-26</x:v>
      </x:c>
      <x:c r="T56" s="43" t="str">
        <x:v>RECONSTRUCTED_FROM_REPORT; Fear of Temperature_ Stratified Lexical Expansion, Voice Mapping, and Semantic-Relational Pre-Valida.pdf; p.7; project candidate FT-SEED-R1B-P-1938-22; original visible ID not available</x:v>
      </x:c>
    </x:row>
    <x:row r="57" ht="38" customHeight="1">
      <x:c r="A57" s="40" t="str">
        <x:v>FT-SEED-R1B-P-1938-23</x:v>
      </x:c>
      <x:c r="B57" s="19" t="str">
        <x:v>1938</x:v>
      </x:c>
      <x:c r="C57" s="25" t="n">
        <x:v>23</x:v>
      </x:c>
      <x:c r="D57" s="31" t="str">
        <x:v>scorching westerly wind</x:v>
      </x:c>
      <x:c r="E57" s="31" t="str">
        <x:v>heatwave / weather event</x:v>
      </x:c>
      <x:c r="F57" s="31" t="str">
        <x:v>heat</x:v>
      </x:c>
      <x:c r="G57" s="31" t="str">
        <x:v>NO_STANDALONE_HEADWORD</x:v>
      </x:c>
      <x:c r="H57" s="19" t="str">
        <x:v>NO</x:v>
      </x:c>
      <x:c r="I57" s="31" t="str">
        <x:v>Component lexical analysis plus anchor-source contextual meaning</x:v>
      </x:c>
      <x:c r="J57" s="31" t="str">
        <x:v>Component headword checked: wind.</x:v>
      </x:c>
      <x:c r="K57" s="31" t="str">
        <x:v>Anchor-period research source/context; Webster 1913 stable component URL recorded but automated page retrieval was unavailable</x:v>
      </x:c>
      <x:c r="L57" s="31" t="str">
        <x:v>A bounded hot-weather or heatwave event; the candidate is interpreted in its documented anchor and voice context.</x:v>
      </x:c>
      <x:c r="M57" s="31" t="str">
        <x:v>A threat, risk, harm, severity, or consequence sense in the documented source; it is not automatically an emotion.</x:v>
      </x:c>
      <x:c r="N57" s="31" t="str">
        <x:v>A bounded hot-weather or heatwave event; the candidate is interpreted in its documented anchor and voice context.</x:v>
      </x:c>
      <x:c r="O57" s="31" t="str">
        <x:v>STRONG</x:v>
      </x:c>
      <x:c r="P57" s="19" t="str">
        <x:v>NOT_LOCATED</x:v>
      </x:c>
      <x:c r="Q57" s="31" t="str">
        <x:v>The surface form may realize multiple senses; candidate meaning remains anchored to the report-visible source context.</x:v>
      </x:c>
      <x:c r="R57" s="31" t="str">
        <x:v>Fear of Temperature_ Stratified Lexical Expansion, Voice Mapping, and Semantic-Relational Pre-Valida.pdf#page=8; https://api.dictionaryapi.dev/api/v2/entries/en/scorching%20westerly%20wind; https://websters1913.timcieplowski.com/word/wind/</x:v>
      </x:c>
      <x:c r="S57" s="19" t="str">
        <x:v>2026-08-26</x:v>
      </x:c>
      <x:c r="T57" s="43" t="str">
        <x:v>RECONSTRUCTED_FROM_REPORT; Fear of Temperature_ Stratified Lexical Expansion, Voice Mapping, and Semantic-Relational Pre-Valida.pdf; p.8; project candidate FT-SEED-R1B-P-1938-23; original visible ID not available</x:v>
      </x:c>
    </x:row>
    <x:row r="58" ht="38" customHeight="1">
      <x:c r="A58" s="40" t="str">
        <x:v>FT-SEED-R1B-P-1938-24</x:v>
      </x:c>
      <x:c r="B58" s="19" t="str">
        <x:v>1938</x:v>
      </x:c>
      <x:c r="C58" s="25" t="n">
        <x:v>24</x:v>
      </x:c>
      <x:c r="D58" s="31" t="str">
        <x:v>pitiless sun</x:v>
      </x:c>
      <x:c r="E58" s="31" t="str">
        <x:v>physical heat source / state</x:v>
      </x:c>
      <x:c r="F58" s="31" t="str">
        <x:v>heat</x:v>
      </x:c>
      <x:c r="G58" s="31" t="str">
        <x:v>NO_STANDALONE_HEADWORD</x:v>
      </x:c>
      <x:c r="H58" s="19" t="str">
        <x:v>NO</x:v>
      </x:c>
      <x:c r="I58" s="31" t="str">
        <x:v>Component lexical analysis plus anchor-source contextual meaning</x:v>
      </x:c>
      <x:c r="J58" s="31" t="str">
        <x:v>Component headword checked: sun.</x:v>
      </x:c>
      <x:c r="K58" s="31" t="str">
        <x:v>Anchor-period research source/context; Webster 1913 stable component URL recorded but automated page retrieval was unavailable</x:v>
      </x:c>
      <x:c r="L58" s="31" t="str">
        <x:v>Heat as a physical source, state, or thermal condition; the candidate is interpreted in its documented anchor and voice context.</x:v>
      </x:c>
      <x:c r="M58" s="31" t="str">
        <x:v>A threat, risk, harm, severity, or consequence sense in the documented source; it is not automatically an emotion.</x:v>
      </x:c>
      <x:c r="N58" s="31" t="str">
        <x:v>Heat as a physical source, state, or thermal condition; the candidate is interpreted in its documented anchor and voice context.</x:v>
      </x:c>
      <x:c r="O58" s="31" t="str">
        <x:v>STRONG</x:v>
      </x:c>
      <x:c r="P58" s="19" t="str">
        <x:v>NOT_LOCATED</x:v>
      </x:c>
      <x:c r="Q58" s="31" t="str">
        <x:v>The surface form may realize multiple senses; candidate meaning remains anchored to the report-visible source context.</x:v>
      </x:c>
      <x:c r="R58" s="31" t="str">
        <x:v>Fear of Temperature_ Stratified Lexical Expansion, Voice Mapping, and Semantic-Relational Pre-Valida.pdf#page=8; https://api.dictionaryapi.dev/api/v2/entries/en/pitiless%20sun; https://websters1913.timcieplowski.com/word/sun/</x:v>
      </x:c>
      <x:c r="S58" s="19" t="str">
        <x:v>2026-08-26</x:v>
      </x:c>
      <x:c r="T58" s="43" t="str">
        <x:v>RECONSTRUCTED_FROM_REPORT; Fear of Temperature_ Stratified Lexical Expansion, Voice Mapping, and Semantic-Relational Pre-Valida.pdf; p.8; project candidate FT-SEED-R1B-P-1938-24; original visible ID not available</x:v>
      </x:c>
    </x:row>
    <x:row r="59" ht="38" customHeight="1">
      <x:c r="A59" s="40" t="str">
        <x:v>FT-SEED-R1B-P-1938-25</x:v>
      </x:c>
      <x:c r="B59" s="19" t="str">
        <x:v>1938</x:v>
      </x:c>
      <x:c r="C59" s="25" t="n">
        <x:v>25</x:v>
      </x:c>
      <x:c r="D59" s="31" t="str">
        <x:v>hottest spell for years</x:v>
      </x:c>
      <x:c r="E59" s="31" t="str">
        <x:v>heatwave / weather event</x:v>
      </x:c>
      <x:c r="F59" s="31" t="str">
        <x:v>heat</x:v>
      </x:c>
      <x:c r="G59" s="31" t="str">
        <x:v>NO_STANDALONE_HEADWORD</x:v>
      </x:c>
      <x:c r="H59" s="19" t="str">
        <x:v>NO</x:v>
      </x:c>
      <x:c r="I59" s="31" t="str">
        <x:v>Component lexical analysis plus anchor-source contextual meaning</x:v>
      </x:c>
      <x:c r="J59" s="31" t="str">
        <x:v>Component headword checked: years.</x:v>
      </x:c>
      <x:c r="K59" s="31" t="str">
        <x:v>Anchor-period research source/context; Webster 1913 stable component URL recorded but automated page retrieval was unavailable</x:v>
      </x:c>
      <x:c r="L59" s="31" t="str">
        <x:v>A bounded hot-weather or heatwave event; the candidate is interpreted in its documented anchor and voice context.</x:v>
      </x:c>
      <x:c r="M59" s="31" t="str">
        <x:v>A physical temperature, warming, heat, or measurement sense in the documented anchor context.</x:v>
      </x:c>
      <x:c r="N59" s="31" t="str">
        <x:v>A bounded hot-weather or heatwave event; the candidate is interpreted in its documented anchor and voice context.</x:v>
      </x:c>
      <x:c r="O59" s="31" t="str">
        <x:v>STRONG</x:v>
      </x:c>
      <x:c r="P59" s="19" t="str">
        <x:v>NOT_LOCATED</x:v>
      </x:c>
      <x:c r="Q59" s="31" t="str">
        <x:v>The surface form may realize multiple senses; candidate meaning remains anchored to the report-visible source context.</x:v>
      </x:c>
      <x:c r="R59" s="31" t="str">
        <x:v>Fear of Temperature_ Stratified Lexical Expansion, Voice Mapping, and Semantic-Relational Pre-Valida.pdf#page=8; https://api.dictionaryapi.dev/api/v2/entries/en/hottest%20spell%20for%20years; https://websters1913.timcieplowski.com/word/years/</x:v>
      </x:c>
      <x:c r="S59" s="19" t="str">
        <x:v>2026-08-26</x:v>
      </x:c>
      <x:c r="T59" s="43" t="str">
        <x:v>RECONSTRUCTED_FROM_REPORT; Fear of Temperature_ Stratified Lexical Expansion, Voice Mapping, and Semantic-Relational Pre-Valida.pdf; p.8; project candidate FT-SEED-R1B-P-1938-25; original visible ID not available</x:v>
      </x:c>
    </x:row>
    <x:row r="60" ht="38" customHeight="1">
      <x:c r="A60" s="40" t="str">
        <x:v>FT-SEED-R1B-P-1938-26</x:v>
      </x:c>
      <x:c r="B60" s="19" t="str">
        <x:v>1938</x:v>
      </x:c>
      <x:c r="C60" s="25" t="n">
        <x:v>26</x:v>
      </x:c>
      <x:c r="D60" s="31" t="str">
        <x:v>weather is just bearable</x:v>
      </x:c>
      <x:c r="E60" s="31" t="str">
        <x:v>personal concern</x:v>
      </x:c>
      <x:c r="F60" s="31" t="str">
        <x:v>concern_alarm</x:v>
      </x:c>
      <x:c r="G60" s="31" t="str">
        <x:v>NO_STANDALONE_HEADWORD</x:v>
      </x:c>
      <x:c r="H60" s="19" t="str">
        <x:v>NO</x:v>
      </x:c>
      <x:c r="I60" s="31" t="str">
        <x:v>Component lexical analysis plus anchor-source contextual meaning</x:v>
      </x:c>
      <x:c r="J60" s="31" t="str">
        <x:v>Component headword checked: bearable.</x:v>
      </x:c>
      <x:c r="K60" s="31" t="str">
        <x:v>Anchor-period research source/context; Webster 1913 stable component URL recorded but automated page retrieval was unavailable</x:v>
      </x:c>
      <x:c r="L60" s="31" t="str">
        <x:v>Concern expressed or endorsed by an identifiable person about a climate or heat object; the candidate is interpreted in its documented anchor and voice context.</x:v>
      </x:c>
      <x:c r="M60" s="31" t="str">
        <x:v>The candidate's affective or evaluative sense as used by the documented speaker/instrument/research voice at the anchor.</x:v>
      </x:c>
      <x:c r="N60" s="31" t="str">
        <x:v>Concern expressed or endorsed by an identifiable person about a climate or heat object; the candidate is interpreted in its documented anchor and voice context.</x:v>
      </x:c>
      <x:c r="O60" s="31" t="str">
        <x:v>STRONG</x:v>
      </x:c>
      <x:c r="P60" s="19" t="str">
        <x:v>NOT_LOCATED</x:v>
      </x:c>
      <x:c r="Q60" s="31" t="str">
        <x:v>The surface form may realize multiple senses; candidate meaning remains anchored to the report-visible source context.</x:v>
      </x:c>
      <x:c r="R60" s="31" t="str">
        <x:v>Fear of Temperature_ Stratified Lexical Expansion, Voice Mapping, and Semantic-Relational Pre-Valida.pdf#page=8; https://api.dictionaryapi.dev/api/v2/entries/en/weather%20is%20just%20bearable; https://websters1913.timcieplowski.com/word/bearable/</x:v>
      </x:c>
      <x:c r="S60" s="19" t="str">
        <x:v>2026-08-26</x:v>
      </x:c>
      <x:c r="T60" s="43" t="str">
        <x:v>RECONSTRUCTED_FROM_REPORT; Fear of Temperature_ Stratified Lexical Expansion, Voice Mapping, and Semantic-Relational Pre-Valida.pdf; p.8; project candidate FT-SEED-R1B-P-1938-26; original visible ID not available</x:v>
      </x:c>
    </x:row>
    <x:row r="61" ht="38" customHeight="1">
      <x:c r="A61" s="40" t="str">
        <x:v>FT-SEED-R1B-P-1938-27</x:v>
      </x:c>
      <x:c r="B61" s="19" t="str">
        <x:v>1938</x:v>
      </x:c>
      <x:c r="C61" s="25" t="n">
        <x:v>27</x:v>
      </x:c>
      <x:c r="D61" s="31" t="str">
        <x:v>heat records</x:v>
      </x:c>
      <x:c r="E61" s="31" t="str">
        <x:v>physical heat source / state</x:v>
      </x:c>
      <x:c r="F61" s="31" t="str">
        <x:v>heat</x:v>
      </x:c>
      <x:c r="G61" s="31" t="str">
        <x:v>NO_STANDALONE_HEADWORD</x:v>
      </x:c>
      <x:c r="H61" s="19" t="str">
        <x:v>NO</x:v>
      </x:c>
      <x:c r="I61" s="31" t="str">
        <x:v>Component lexical analysis plus anchor-source contextual meaning</x:v>
      </x:c>
      <x:c r="J61" s="31" t="str">
        <x:v>Component headword checked: records.</x:v>
      </x:c>
      <x:c r="K61" s="31" t="str">
        <x:v>Anchor-period research source/context; Webster 1913 stable component URL recorded but automated page retrieval was unavailable</x:v>
      </x:c>
      <x:c r="L61" s="31" t="str">
        <x:v>Heat as a physical source, state, or thermal condition; the candidate is interpreted in its documented anchor and voice context.</x:v>
      </x:c>
      <x:c r="M61" s="31" t="str">
        <x:v>A physical temperature, warming, heat, or measurement sense in the documented anchor context.</x:v>
      </x:c>
      <x:c r="N61" s="31" t="str">
        <x:v>Heat as a physical source, state, or thermal condition; the candidate is interpreted in its documented anchor and voice context.</x:v>
      </x:c>
      <x:c r="O61" s="31" t="str">
        <x:v>STRONG</x:v>
      </x:c>
      <x:c r="P61" s="19" t="str">
        <x:v>NOT_LOCATED</x:v>
      </x:c>
      <x:c r="Q61" s="31" t="str">
        <x:v>The surface form may realize multiple senses; candidate meaning remains anchored to the report-visible source context.</x:v>
      </x:c>
      <x:c r="R61" s="31" t="str">
        <x:v>Fear of Temperature_ Stratified Lexical Expansion, Voice Mapping, and Semantic-Relational Pre-Valida.pdf#page=8; https://api.dictionaryapi.dev/api/v2/entries/en/heat%20records; https://websters1913.timcieplowski.com/word/records/</x:v>
      </x:c>
      <x:c r="S61" s="19" t="str">
        <x:v>2026-08-26</x:v>
      </x:c>
      <x:c r="T61" s="43" t="str">
        <x:v>RECONSTRUCTED_FROM_REPORT; Fear of Temperature_ Stratified Lexical Expansion, Voice Mapping, and Semantic-Relational Pre-Valida.pdf; p.8; project candidate FT-SEED-R1B-P-1938-27; original visible ID not available</x:v>
      </x:c>
    </x:row>
    <x:row r="62" ht="38" customHeight="1">
      <x:c r="A62" s="40" t="str">
        <x:v>FT-SEED-R1B-P-1938-28</x:v>
      </x:c>
      <x:c r="B62" s="19" t="str">
        <x:v>1938</x:v>
      </x:c>
      <x:c r="C62" s="25" t="n">
        <x:v>28</x:v>
      </x:c>
      <x:c r="D62" s="31" t="str">
        <x:v>drought</x:v>
      </x:c>
      <x:c r="E62" s="31" t="str">
        <x:v>generic damage</x:v>
      </x:c>
      <x:c r="F62" s="31" t="str">
        <x:v>harm_loss_consequences</x:v>
      </x:c>
      <x:c r="G62" s="31" t="str">
        <x:v>DIRECT_HEADWORD</x:v>
      </x:c>
      <x:c r="H62" s="19" t="str">
        <x:v>YES</x:v>
      </x:c>
      <x:c r="I62" s="31" t="str">
        <x:v>Webster's Revised Unabridged Dictionary (1913 public-domain headword index)</x:v>
      </x:c>
      <x:c r="J62" s="31" t="str">
        <x:v>Component headword checked: drought.</x:v>
      </x:c>
      <x:c r="K62" s="31" t="str">
        <x:v>Anchor-period research source/context; Webster 1913 stable component URL recorded but automated page retrieval was unavailable</x:v>
      </x:c>
      <x:c r="L62" s="31" t="str">
        <x:v>Generic material, ecological, or social damage; the candidate is interpreted in its documented anchor and voice context.</x:v>
      </x:c>
      <x:c r="M62" s="31" t="str">
        <x:v>A threat, risk, harm, severity, or consequence sense in the documented source; it is not automatically an emotion.</x:v>
      </x:c>
      <x:c r="N62" s="31" t="str">
        <x:v>Generic material, ecological, or social damage; the candidate is interpreted in its documented anchor and voice context.</x:v>
      </x:c>
      <x:c r="O62" s="31" t="str">
        <x:v>STRONG</x:v>
      </x:c>
      <x:c r="P62" s="19" t="str">
        <x:v>NOT_LOCATED</x:v>
      </x:c>
      <x:c r="Q62" s="31" t="str">
        <x:v>The surface form may realize multiple senses; candidate meaning remains anchored to the report-visible source context.</x:v>
      </x:c>
      <x:c r="R62" s="31" t="str">
        <x:v>https://websters1913.timcieplowski.com/word/drought/; https://api.dictionaryapi.dev/api/v2/entries/en/drought</x:v>
      </x:c>
      <x:c r="S62" s="19" t="str">
        <x:v>2026-08-26</x:v>
      </x:c>
      <x:c r="T62" s="43" t="str">
        <x:v>RECONSTRUCTED_FROM_REPORT; Fear of Temperature_ Stratified Lexical Expansion, Voice Mapping, and Semantic-Relational Pre-Valida.pdf; p.8; project candidate FT-SEED-R1B-P-1938-28; original visible ID not available</x:v>
      </x:c>
    </x:row>
    <x:row r="63" ht="38" customHeight="1">
      <x:c r="A63" s="40" t="str">
        <x:v>FT-SEED-R1B-P-1938-29</x:v>
      </x:c>
      <x:c r="B63" s="19" t="str">
        <x:v>1938</x:v>
      </x:c>
      <x:c r="C63" s="25" t="n">
        <x:v>29</x:v>
      </x:c>
      <x:c r="D63" s="31" t="str">
        <x:v>grass fires</x:v>
      </x:c>
      <x:c r="E63" s="31" t="str">
        <x:v>generic damage</x:v>
      </x:c>
      <x:c r="F63" s="31" t="str">
        <x:v>harm_loss_consequences</x:v>
      </x:c>
      <x:c r="G63" s="31" t="str">
        <x:v>NO_STANDALONE_HEADWORD</x:v>
      </x:c>
      <x:c r="H63" s="19" t="str">
        <x:v>NO</x:v>
      </x:c>
      <x:c r="I63" s="31" t="str">
        <x:v>Component lexical analysis plus anchor-source contextual meaning</x:v>
      </x:c>
      <x:c r="J63" s="31" t="str">
        <x:v>Component headword checked: fires.</x:v>
      </x:c>
      <x:c r="K63" s="31" t="str">
        <x:v>Anchor-period research source/context; Webster 1913 stable component URL recorded but automated page retrieval was unavailable</x:v>
      </x:c>
      <x:c r="L63" s="31" t="str">
        <x:v>Generic material, ecological, or social damage; the candidate is interpreted in its documented anchor and voice context.</x:v>
      </x:c>
      <x:c r="M63" s="31" t="str">
        <x:v>A threat, risk, harm, severity, or consequence sense in the documented source; it is not automatically an emotion.</x:v>
      </x:c>
      <x:c r="N63" s="31" t="str">
        <x:v>Generic material, ecological, or social damage; the candidate is interpreted in its documented anchor and voice context.</x:v>
      </x:c>
      <x:c r="O63" s="31" t="str">
        <x:v>STRONG</x:v>
      </x:c>
      <x:c r="P63" s="19" t="str">
        <x:v>NOT_LOCATED</x:v>
      </x:c>
      <x:c r="Q63" s="31" t="str">
        <x:v>The surface form may realize multiple senses; candidate meaning remains anchored to the report-visible source context.</x:v>
      </x:c>
      <x:c r="R63" s="31" t="str">
        <x:v>Fear of Temperature_ Stratified Lexical Expansion, Voice Mapping, and Semantic-Relational Pre-Valida.pdf#page=8; https://api.dictionaryapi.dev/api/v2/entries/en/grass%20fires; https://websters1913.timcieplowski.com/word/fires/</x:v>
      </x:c>
      <x:c r="S63" s="19" t="str">
        <x:v>2026-08-26</x:v>
      </x:c>
      <x:c r="T63" s="43" t="str">
        <x:v>RECONSTRUCTED_FROM_REPORT; Fear of Temperature_ Stratified Lexical Expansion, Voice Mapping, and Semantic-Relational Pre-Valida.pdf; p.8; project candidate FT-SEED-R1B-P-1938-29; original visible ID not available</x:v>
      </x:c>
    </x:row>
    <x:row r="64" ht="38" customHeight="1">
      <x:c r="A64" s="40" t="str">
        <x:v>FT-SEED-R1B-P-1938-30</x:v>
      </x:c>
      <x:c r="B64" s="19" t="str">
        <x:v>1938</x:v>
      </x:c>
      <x:c r="C64" s="25" t="n">
        <x:v>30</x:v>
      </x:c>
      <x:c r="D64" s="31" t="str">
        <x:v>unbearable heat</x:v>
      </x:c>
      <x:c r="E64" s="31" t="str">
        <x:v>extreme-heat hazard</x:v>
      </x:c>
      <x:c r="F64" s="31" t="str">
        <x:v>heat</x:v>
      </x:c>
      <x:c r="G64" s="31" t="str">
        <x:v>NO_STANDALONE_HEADWORD</x:v>
      </x:c>
      <x:c r="H64" s="19" t="str">
        <x:v>NO</x:v>
      </x:c>
      <x:c r="I64" s="31" t="str">
        <x:v>Component lexical analysis plus anchor-source contextual meaning</x:v>
      </x:c>
      <x:c r="J64" s="31" t="str">
        <x:v>Component headword checked: heat.</x:v>
      </x:c>
      <x:c r="K64" s="31" t="str">
        <x:v>Anchor-period research source/context; Webster 1913 stable component URL recorded but automated page retrieval was unavailable</x:v>
      </x:c>
      <x:c r="L64" s="31" t="str">
        <x:v>Extreme heat framed as a hazard with health or social consequences; the candidate is interpreted in its documented anchor and voice context.</x:v>
      </x:c>
      <x:c r="M64" s="31" t="str">
        <x:v>A threat, risk, harm, severity, or consequence sense in the documented source; it is not automatically an emotion.</x:v>
      </x:c>
      <x:c r="N64" s="31" t="str">
        <x:v>Extreme heat framed as a hazard with health or social consequences; the candidate is interpreted in its documented anchor and voice context.</x:v>
      </x:c>
      <x:c r="O64" s="31" t="str">
        <x:v>STRONG</x:v>
      </x:c>
      <x:c r="P64" s="19" t="str">
        <x:v>NOT_LOCATED</x:v>
      </x:c>
      <x:c r="Q64" s="31" t="str">
        <x:v>The surface form may realize multiple senses; candidate meaning remains anchored to the report-visible source context.</x:v>
      </x:c>
      <x:c r="R64" s="31" t="str">
        <x:v>Fear of Temperature_ Stratified Lexical Expansion, Voice Mapping, and Semantic-Relational Pre-Valida.pdf#page=8; https://api.dictionaryapi.dev/api/v2/entries/en/unbearable%20heat; https://websters1913.timcieplowski.com/word/heat/</x:v>
      </x:c>
      <x:c r="S64" s="19" t="str">
        <x:v>2026-08-26</x:v>
      </x:c>
      <x:c r="T64" s="43" t="str">
        <x:v>RECONSTRUCTED_FROM_REPORT; Fear of Temperature_ Stratified Lexical Expansion, Voice Mapping, and Semantic-Relational Pre-Valida.pdf; p.8; project candidate FT-SEED-R1B-P-1938-30; original visible ID not available</x:v>
      </x:c>
    </x:row>
    <x:row r="65" ht="38" customHeight="1">
      <x:c r="A65" s="40" t="str">
        <x:v>FT-SEED-R1B-P-1988-01</x:v>
      </x:c>
      <x:c r="B65" s="19" t="str">
        <x:v>1988</x:v>
      </x:c>
      <x:c r="C65" s="25" t="n">
        <x:v>1</x:v>
      </x:c>
      <x:c r="D65" s="31" t="str">
        <x:v>greenhouse effect</x:v>
      </x:c>
      <x:c r="E65" s="31" t="str">
        <x:v>greenhouse mechanism</x:v>
      </x:c>
      <x:c r="F65" s="31" t="str">
        <x:v>carbon_greenhouse</x:v>
      </x:c>
      <x:c r="G65" s="31" t="str">
        <x:v>TECHNICAL_GLOSSARY</x:v>
      </x:c>
      <x:c r="H65" s="19" t="str">
        <x:v>NO</x:v>
      </x:c>
      <x:c r="I65" s="31" t="str">
        <x:v>IPCC climate-science glossary / assessment terminology</x:v>
      </x:c>
      <x:c r="J65" s="31" t="str">
        <x:v>Component headword checked: effect.</x:v>
      </x:c>
      <x:c r="K65" s="31" t="str">
        <x:v>Anchor-period research source/context; Webster 1913 stable component URL recorded but automated page retrieval was unavailable</x:v>
      </x:c>
      <x:c r="L65" s="31" t="str">
        <x:v>The atmospheric warming influence produced when greenhouse gases absorb and re-emit outgoing infrared radiation.</x:v>
      </x:c>
      <x:c r="M65" s="31" t="str">
        <x:v>A climatic, atmospheric, meteorological, or causal-science sense in the documented anchor context.</x:v>
      </x:c>
      <x:c r="N65" s="31" t="str">
        <x:v>The atmospheric warming influence produced when greenhouse gases absorb and re-emit outgoing infrared radiation.</x:v>
      </x:c>
      <x:c r="O65" s="31" t="str">
        <x:v>STRONG</x:v>
      </x:c>
      <x:c r="P65" s="19" t="str">
        <x:v>NOT_LOCATED</x:v>
      </x:c>
      <x:c r="Q65" s="31" t="str">
        <x:v>The surface form may realize multiple senses; candidate meaning remains anchored to the report-visible source context.</x:v>
      </x:c>
      <x:c r="R65" s="31" t="str">
        <x:v>https://www.ipcc.ch/site/assets/uploads/2018/02/WGIIAR5-AnnexII_FINAL.pdf; https://api.dictionaryapi.dev/api/v2/entries/en/greenhouse%20effect; https://websters1913.timcieplowski.com/word/effect/</x:v>
      </x:c>
      <x:c r="S65" s="19" t="str">
        <x:v>2026-08-26</x:v>
      </x:c>
      <x:c r="T65" s="43" t="str">
        <x:v>RECONSTRUCTED_FROM_REPORT; Fear of Temperature_ Stratified Lexical Expansion, Voice Mapping, and Semantic-Relational Pre-Valida.pdf; p.9; project candidate FT-SEED-R1B-P-1988-01; original visible ID not available</x:v>
      </x:c>
    </x:row>
    <x:row r="66" ht="38" customHeight="1">
      <x:c r="A66" s="40" t="str">
        <x:v>FT-SEED-R1B-P-1988-02</x:v>
      </x:c>
      <x:c r="B66" s="19" t="str">
        <x:v>1988</x:v>
      </x:c>
      <x:c r="C66" s="25" t="n">
        <x:v>2</x:v>
      </x:c>
      <x:c r="D66" s="31" t="str">
        <x:v>global warming</x:v>
      </x:c>
      <x:c r="E66" s="31" t="str">
        <x:v>global warming as issue label</x:v>
      </x:c>
      <x:c r="F66" s="31" t="str">
        <x:v>warming</x:v>
      </x:c>
      <x:c r="G66" s="31" t="str">
        <x:v>TECHNICAL_GLOSSARY</x:v>
      </x:c>
      <x:c r="H66" s="19" t="str">
        <x:v>NO</x:v>
      </x:c>
      <x:c r="I66" s="31" t="str">
        <x:v>IPCC climate-science glossary / assessment terminology</x:v>
      </x:c>
      <x:c r="J66" s="31" t="str">
        <x:v>Component headword checked: warming.</x:v>
      </x:c>
      <x:c r="K66" s="31" t="str">
        <x:v>Anchor-period research source/context; Webster 1913 stable component URL recorded but automated page retrieval was unavailable</x:v>
      </x:c>
      <x:c r="L66" s="31" t="str">
        <x:v>The long-term rise in global mean surface temperature, commonly used as an established issue label in modern climate discourse.</x:v>
      </x:c>
      <x:c r="M66" s="31" t="str">
        <x:v>A physical temperature, warming, heat, or measurement sense in the documented anchor context.</x:v>
      </x:c>
      <x:c r="N66" s="31" t="str">
        <x:v>The long-term rise in global mean surface temperature, commonly used as an established issue label in modern climate discourse.</x:v>
      </x:c>
      <x:c r="O66" s="31" t="str">
        <x:v>STRONG</x:v>
      </x:c>
      <x:c r="P66" s="19" t="str">
        <x:v>NOT_LOCATED</x:v>
      </x:c>
      <x:c r="Q66" s="31" t="str">
        <x:v>The surface form may realize multiple senses; candidate meaning remains anchored to the report-visible source context.</x:v>
      </x:c>
      <x:c r="R66" s="31" t="str">
        <x:v>https://www.ipcc.ch/site/assets/uploads/2018/02/WGIIAR5-AnnexII_FINAL.pdf; https://api.dictionaryapi.dev/api/v2/entries/en/global%20warming; https://websters1913.timcieplowski.com/word/warming/</x:v>
      </x:c>
      <x:c r="S66" s="19" t="str">
        <x:v>2026-08-26</x:v>
      </x:c>
      <x:c r="T66" s="43" t="str">
        <x:v>RECONSTRUCTED_FROM_REPORT; Fear of Temperature_ Stratified Lexical Expansion, Voice Mapping, and Semantic-Relational Pre-Valida.pdf; p.9; project candidate FT-SEED-R1B-P-1988-02; original visible ID not available</x:v>
      </x:c>
    </x:row>
    <x:row r="67" ht="38" customHeight="1">
      <x:c r="A67" s="40" t="str">
        <x:v>FT-SEED-R1B-P-1988-03</x:v>
      </x:c>
      <x:c r="B67" s="19" t="str">
        <x:v>1988</x:v>
      </x:c>
      <x:c r="C67" s="25" t="n">
        <x:v>3</x:v>
      </x:c>
      <x:c r="D67" s="31" t="str">
        <x:v>earth is warmer</x:v>
      </x:c>
      <x:c r="E67" s="31" t="str">
        <x:v>temperature increase</x:v>
      </x:c>
      <x:c r="F67" s="31" t="str">
        <x:v>warming</x:v>
      </x:c>
      <x:c r="G67" s="31" t="str">
        <x:v>NO_STANDALONE_HEADWORD</x:v>
      </x:c>
      <x:c r="H67" s="19" t="str">
        <x:v>NO</x:v>
      </x:c>
      <x:c r="I67" s="31" t="str">
        <x:v>Component lexical analysis plus anchor-source contextual meaning</x:v>
      </x:c>
      <x:c r="J67" s="31" t="str">
        <x:v>Component headword checked: warmer.</x:v>
      </x:c>
      <x:c r="K67" s="31" t="str">
        <x:v>Anchor-period research source/context; Webster 1913 stable component URL recorded but automated page retrieval was unavailable</x:v>
      </x:c>
      <x:c r="L67" s="31" t="str">
        <x:v>An observed, estimated, or projected increase in temperature; the candidate is interpreted in its documented anchor and voice context.</x:v>
      </x:c>
      <x:c r="M67" s="31" t="str">
        <x:v>A physical temperature, warming, heat, or measurement sense in the documented anchor context.</x:v>
      </x:c>
      <x:c r="N67" s="31" t="str">
        <x:v>An observed, estimated, or projected increase in temperature; the candidate is interpreted in its documented anchor and voice context.</x:v>
      </x:c>
      <x:c r="O67" s="31" t="str">
        <x:v>STRONG</x:v>
      </x:c>
      <x:c r="P67" s="19" t="str">
        <x:v>NOT_LOCATED</x:v>
      </x:c>
      <x:c r="Q67" s="31" t="str">
        <x:v>The surface form may realize multiple senses; candidate meaning remains anchored to the report-visible source context.</x:v>
      </x:c>
      <x:c r="R67" s="31" t="str">
        <x:v>Fear of Temperature_ Stratified Lexical Expansion, Voice Mapping, and Semantic-Relational Pre-Valida.pdf#page=9; https://api.dictionaryapi.dev/api/v2/entries/en/earth%20is%20warmer; https://websters1913.timcieplowski.com/word/warmer/</x:v>
      </x:c>
      <x:c r="S67" s="19" t="str">
        <x:v>2026-08-26</x:v>
      </x:c>
      <x:c r="T67" s="43" t="str">
        <x:v>RECONSTRUCTED_FROM_REPORT; Fear of Temperature_ Stratified Lexical Expansion, Voice Mapping, and Semantic-Relational Pre-Valida.pdf; p.9; project candidate FT-SEED-R1B-P-1988-03; original visible ID not available</x:v>
      </x:c>
    </x:row>
    <x:row r="68" ht="38" customHeight="1">
      <x:c r="A68" s="40" t="str">
        <x:v>FT-SEED-R1B-P-1988-04</x:v>
      </x:c>
      <x:c r="B68" s="19" t="str">
        <x:v>1988</x:v>
      </x:c>
      <x:c r="C68" s="25" t="n">
        <x:v>4</x:v>
      </x:c>
      <x:c r="D68" s="31" t="str">
        <x:v>instrumental measurements</x:v>
      </x:c>
      <x:c r="E68" s="31" t="str">
        <x:v>historical climate / climatological condition</x:v>
      </x:c>
      <x:c r="F68" s="31" t="str">
        <x:v>climate</x:v>
      </x:c>
      <x:c r="G68" s="31" t="str">
        <x:v>NO_STANDALONE_HEADWORD</x:v>
      </x:c>
      <x:c r="H68" s="19" t="str">
        <x:v>NO</x:v>
      </x:c>
      <x:c r="I68" s="31" t="str">
        <x:v>Component lexical analysis plus anchor-source contextual meaning</x:v>
      </x:c>
      <x:c r="J68" s="31" t="str">
        <x:v>Component headword checked: measurements.</x:v>
      </x:c>
      <x:c r="K68" s="31" t="str">
        <x:v>Anchor-period research source/context; Webster 1913 stable component URL recorded but automated page retrieval was unavailable</x:v>
      </x:c>
      <x:c r="L68" s="31" t="str">
        <x:v>Climate as a historical, geographical, seasonal, or climatological condition; the candidate is interpreted in its documented anchor and voice context.</x:v>
      </x:c>
      <x:c r="M68" s="31" t="str">
        <x:v>A climatic, atmospheric, meteorological, or causal-science sense in the documented anchor context.</x:v>
      </x:c>
      <x:c r="N68" s="31" t="str">
        <x:v>Climate as a historical, geographical, seasonal, or climatological condition; the candidate is interpreted in its documented anchor and voice context.</x:v>
      </x:c>
      <x:c r="O68" s="31" t="str">
        <x:v>STRONG</x:v>
      </x:c>
      <x:c r="P68" s="19" t="str">
        <x:v>NOT_LOCATED</x:v>
      </x:c>
      <x:c r="Q68" s="31" t="str">
        <x:v>The surface form may realize multiple senses; candidate meaning remains anchored to the report-visible source context.</x:v>
      </x:c>
      <x:c r="R68" s="31" t="str">
        <x:v>Fear of Temperature_ Stratified Lexical Expansion, Voice Mapping, and Semantic-Relational Pre-Valida.pdf#page=9; https://api.dictionaryapi.dev/api/v2/entries/en/instrumental%20measurements; https://websters1913.timcieplowski.com/word/measurements/</x:v>
      </x:c>
      <x:c r="S68" s="19" t="str">
        <x:v>2026-08-26</x:v>
      </x:c>
      <x:c r="T68" s="43" t="str">
        <x:v>RECONSTRUCTED_FROM_REPORT; Fear of Temperature_ Stratified Lexical Expansion, Voice Mapping, and Semantic-Relational Pre-Valida.pdf; p.9; project candidate FT-SEED-R1B-P-1988-04; original visible ID not available</x:v>
      </x:c>
    </x:row>
    <x:row r="69" ht="38" customHeight="1">
      <x:c r="A69" s="40" t="str">
        <x:v>FT-SEED-R1B-P-1988-05</x:v>
      </x:c>
      <x:c r="B69" s="19" t="str">
        <x:v>1988</x:v>
      </x:c>
      <x:c r="C69" s="25" t="n">
        <x:v>5</x:v>
      </x:c>
      <x:c r="D69" s="31" t="str">
        <x:v>cause-and-effect relationship</x:v>
      </x:c>
      <x:c r="E69" s="31" t="str">
        <x:v>generic damage</x:v>
      </x:c>
      <x:c r="F69" s="31" t="str">
        <x:v>harm_loss_consequences</x:v>
      </x:c>
      <x:c r="G69" s="31" t="str">
        <x:v>NO_STANDALONE_HEADWORD</x:v>
      </x:c>
      <x:c r="H69" s="19" t="str">
        <x:v>NO</x:v>
      </x:c>
      <x:c r="I69" s="31" t="str">
        <x:v>Component lexical analysis plus anchor-source contextual meaning</x:v>
      </x:c>
      <x:c r="J69" s="31" t="str">
        <x:v>Component headword checked: relationship.</x:v>
      </x:c>
      <x:c r="K69" s="31" t="str">
        <x:v>Anchor-period research source/context; Webster 1913 stable component URL recorded but automated page retrieval was unavailable</x:v>
      </x:c>
      <x:c r="L69" s="31" t="str">
        <x:v>Generic material, ecological, or social damage; the candidate is interpreted in its documented anchor and voice context.</x:v>
      </x:c>
      <x:c r="M69" s="31" t="str">
        <x:v>A climatic, atmospheric, meteorological, or causal-science sense in the documented anchor context.</x:v>
      </x:c>
      <x:c r="N69" s="31" t="str">
        <x:v>Generic material, ecological, or social damage; the candidate is interpreted in its documented anchor and voice context.</x:v>
      </x:c>
      <x:c r="O69" s="31" t="str">
        <x:v>STRONG</x:v>
      </x:c>
      <x:c r="P69" s="19" t="str">
        <x:v>NOT_LOCATED</x:v>
      </x:c>
      <x:c r="Q69" s="31" t="str">
        <x:v>The surface form may realize multiple senses; candidate meaning remains anchored to the report-visible source context.</x:v>
      </x:c>
      <x:c r="R69" s="31" t="str">
        <x:v>Fear of Temperature_ Stratified Lexical Expansion, Voice Mapping, and Semantic-Relational Pre-Valida.pdf#page=9; https://api.dictionaryapi.dev/api/v2/entries/en/cause-and-effect%20relationship; https://websters1913.timcieplowski.com/word/relationship/</x:v>
      </x:c>
      <x:c r="S69" s="19" t="str">
        <x:v>2026-08-26</x:v>
      </x:c>
      <x:c r="T69" s="43" t="str">
        <x:v>RECONSTRUCTED_FROM_REPORT; Fear of Temperature_ Stratified Lexical Expansion, Voice Mapping, and Semantic-Relational Pre-Valida.pdf; p.9; project candidate FT-SEED-R1B-P-1988-05; original visible ID not available</x:v>
      </x:c>
    </x:row>
    <x:row r="70" ht="38" customHeight="1">
      <x:c r="A70" s="40" t="str">
        <x:v>FT-SEED-R1B-P-1988-06</x:v>
      </x:c>
      <x:c r="B70" s="19" t="str">
        <x:v>1988</x:v>
      </x:c>
      <x:c r="C70" s="25" t="n">
        <x:v>6</x:v>
      </x:c>
      <x:c r="D70" s="31" t="str">
        <x:v>global temperature</x:v>
      </x:c>
      <x:c r="E70" s="31" t="str">
        <x:v>global aggregate temperature</x:v>
      </x:c>
      <x:c r="F70" s="31" t="str">
        <x:v>temperature_threshold</x:v>
      </x:c>
      <x:c r="G70" s="31" t="str">
        <x:v>TECHNICAL_GLOSSARY</x:v>
      </x:c>
      <x:c r="H70" s="19" t="str">
        <x:v>NO</x:v>
      </x:c>
      <x:c r="I70" s="31" t="str">
        <x:v>IPCC climate-science glossary / assessment terminology</x:v>
      </x:c>
      <x:c r="J70" s="31" t="str">
        <x:v>Component headword checked: temperature.</x:v>
      </x:c>
      <x:c r="K70" s="31" t="str">
        <x:v>Anchor-period research source/context; Webster 1913 stable component URL recorded but automated page retrieval was unavailable</x:v>
      </x:c>
      <x:c r="L70" s="31" t="str">
        <x:v>A global-scale aggregate temperature metric; the candidate is interpreted in its documented anchor and voice context.</x:v>
      </x:c>
      <x:c r="M70" s="31" t="str">
        <x:v>A physical temperature, warming, heat, or measurement sense in the documented anchor context.</x:v>
      </x:c>
      <x:c r="N70" s="31" t="str">
        <x:v>A global-scale aggregate temperature metric; the candidate is interpreted in its documented anchor and voice context.</x:v>
      </x:c>
      <x:c r="O70" s="31" t="str">
        <x:v>STRONG</x:v>
      </x:c>
      <x:c r="P70" s="19" t="str">
        <x:v>NOT_LOCATED</x:v>
      </x:c>
      <x:c r="Q70" s="31" t="str">
        <x:v>The surface form may realize multiple senses; candidate meaning remains anchored to the report-visible source context.</x:v>
      </x:c>
      <x:c r="R70" s="31" t="str">
        <x:v>https://www.ipcc.ch/site/assets/uploads/2018/02/WGIIAR5-AnnexII_FINAL.pdf; https://api.dictionaryapi.dev/api/v2/entries/en/global%20temperature; https://websters1913.timcieplowski.com/word/temperature/</x:v>
      </x:c>
      <x:c r="S70" s="19" t="str">
        <x:v>2026-08-26</x:v>
      </x:c>
      <x:c r="T70" s="43" t="str">
        <x:v>RECONSTRUCTED_FROM_REPORT; Fear of Temperature_ Stratified Lexical Expansion, Voice Mapping, and Semantic-Relational Pre-Valida.pdf; p.9; project candidate FT-SEED-R1B-P-1988-06; original visible ID not available</x:v>
      </x:c>
    </x:row>
    <x:row r="71" ht="38" customHeight="1">
      <x:c r="A71" s="40" t="str">
        <x:v>FT-SEED-R1B-P-1988-07</x:v>
      </x:c>
      <x:c r="B71" s="19" t="str">
        <x:v>1988</x:v>
      </x:c>
      <x:c r="C71" s="25" t="n">
        <x:v>7</x:v>
      </x:c>
      <x:c r="D71" s="31" t="str">
        <x:v>regional heat waves</x:v>
      </x:c>
      <x:c r="E71" s="31" t="str">
        <x:v>heatwave / weather event</x:v>
      </x:c>
      <x:c r="F71" s="31" t="str">
        <x:v>heat</x:v>
      </x:c>
      <x:c r="G71" s="31" t="str">
        <x:v>TECHNICAL_GLOSSARY</x:v>
      </x:c>
      <x:c r="H71" s="19" t="str">
        <x:v>NO</x:v>
      </x:c>
      <x:c r="I71" s="31" t="str">
        <x:v>IPCC climate-science glossary / assessment terminology</x:v>
      </x:c>
      <x:c r="J71" s="31" t="str">
        <x:v>Component headword checked: waves.</x:v>
      </x:c>
      <x:c r="K71" s="31" t="str">
        <x:v>Anchor-period research source/context; Webster 1913 stable component URL recorded but automated page retrieval was unavailable</x:v>
      </x:c>
      <x:c r="L71" s="31" t="str">
        <x:v>A bounded hot-weather or heatwave event; the candidate is interpreted in its documented anchor and voice context.</x:v>
      </x:c>
      <x:c r="M71" s="31" t="str">
        <x:v>A physical temperature, warming, heat, or measurement sense in the documented anchor context.</x:v>
      </x:c>
      <x:c r="N71" s="31" t="str">
        <x:v>A bounded hot-weather or heatwave event; the candidate is interpreted in its documented anchor and voice context.</x:v>
      </x:c>
      <x:c r="O71" s="31" t="str">
        <x:v>STRONG</x:v>
      </x:c>
      <x:c r="P71" s="19" t="str">
        <x:v>NOT_LOCATED</x:v>
      </x:c>
      <x:c r="Q71" s="31" t="str">
        <x:v>The surface form may realize multiple senses; candidate meaning remains anchored to the report-visible source context.</x:v>
      </x:c>
      <x:c r="R71" s="31" t="str">
        <x:v>https://www.ipcc.ch/site/assets/uploads/2018/02/WGIIAR5-AnnexII_FINAL.pdf; https://api.dictionaryapi.dev/api/v2/entries/en/regional%20heat%20waves; https://websters1913.timcieplowski.com/word/waves/</x:v>
      </x:c>
      <x:c r="S71" s="19" t="str">
        <x:v>2026-08-26</x:v>
      </x:c>
      <x:c r="T71" s="43" t="str">
        <x:v>RECONSTRUCTED_FROM_REPORT; Fear of Temperature_ Stratified Lexical Expansion, Voice Mapping, and Semantic-Relational Pre-Valida.pdf; p.9; project candidate FT-SEED-R1B-P-1988-07; original visible ID not available</x:v>
      </x:c>
    </x:row>
    <x:row r="72" ht="38" customHeight="1">
      <x:c r="A72" s="40" t="str">
        <x:v>FT-SEED-R1B-P-1988-08</x:v>
      </x:c>
      <x:c r="B72" s="19" t="str">
        <x:v>1988</x:v>
      </x:c>
      <x:c r="C72" s="25" t="n">
        <x:v>8</x:v>
      </x:c>
      <x:c r="D72" s="31" t="str">
        <x:v>heat wave</x:v>
      </x:c>
      <x:c r="E72" s="31" t="str">
        <x:v>heatwave / weather event</x:v>
      </x:c>
      <x:c r="F72" s="31" t="str">
        <x:v>heat</x:v>
      </x:c>
      <x:c r="G72" s="31" t="str">
        <x:v>NO_STANDALONE_HEADWORD</x:v>
      </x:c>
      <x:c r="H72" s="19" t="str">
        <x:v>NO</x:v>
      </x:c>
      <x:c r="I72" s="31" t="str">
        <x:v>Component lexical analysis plus anchor-source contextual meaning</x:v>
      </x:c>
      <x:c r="J72" s="31" t="str">
        <x:v>Component headword checked: wave.</x:v>
      </x:c>
      <x:c r="K72" s="31" t="str">
        <x:v>Anchor-period research source/context; Webster 1913 stable component URL recorded but automated page retrieval was unavailable</x:v>
      </x:c>
      <x:c r="L72" s="31" t="str">
        <x:v>A bounded hot-weather or heatwave event; the candidate is interpreted in its documented anchor and voice context.</x:v>
      </x:c>
      <x:c r="M72" s="31" t="str">
        <x:v>A physical temperature, warming, heat, or measurement sense in the documented anchor context.</x:v>
      </x:c>
      <x:c r="N72" s="31" t="str">
        <x:v>A bounded hot-weather or heatwave event; the candidate is interpreted in its documented anchor and voice context.</x:v>
      </x:c>
      <x:c r="O72" s="31" t="str">
        <x:v>STRONG</x:v>
      </x:c>
      <x:c r="P72" s="19" t="str">
        <x:v>NOT_LOCATED</x:v>
      </x:c>
      <x:c r="Q72" s="31" t="str">
        <x:v>The surface form may realize multiple senses; candidate meaning remains anchored to the report-visible source context.</x:v>
      </x:c>
      <x:c r="R72" s="31" t="str">
        <x:v>Fear of Temperature_ Stratified Lexical Expansion, Voice Mapping, and Semantic-Relational Pre-Valida.pdf#page=9; https://api.dictionaryapi.dev/api/v2/entries/en/heat%20wave; https://websters1913.timcieplowski.com/word/wave/</x:v>
      </x:c>
      <x:c r="S72" s="19" t="str">
        <x:v>2026-08-26</x:v>
      </x:c>
      <x:c r="T72" s="43" t="str">
        <x:v>RECONSTRUCTED_FROM_REPORT; Fear of Temperature_ Stratified Lexical Expansion, Voice Mapping, and Semantic-Relational Pre-Valida.pdf; p.9; project candidate FT-SEED-R1B-P-1988-08; original visible ID not available</x:v>
      </x:c>
    </x:row>
    <x:row r="73" ht="38" customHeight="1">
      <x:c r="A73" s="40" t="str">
        <x:v>FT-SEED-R1B-P-1988-09</x:v>
      </x:c>
      <x:c r="B73" s="19" t="str">
        <x:v>1988</x:v>
      </x:c>
      <x:c r="C73" s="25" t="n">
        <x:v>9</x:v>
      </x:c>
      <x:c r="D73" s="31" t="str">
        <x:v>drought</x:v>
      </x:c>
      <x:c r="E73" s="31" t="str">
        <x:v>generic damage</x:v>
      </x:c>
      <x:c r="F73" s="31" t="str">
        <x:v>harm_loss_consequences</x:v>
      </x:c>
      <x:c r="G73" s="31" t="str">
        <x:v>DIRECT_HEADWORD</x:v>
      </x:c>
      <x:c r="H73" s="19" t="str">
        <x:v>YES</x:v>
      </x:c>
      <x:c r="I73" s="31" t="str">
        <x:v>Webster's Revised Unabridged Dictionary (1913 public-domain headword index)</x:v>
      </x:c>
      <x:c r="J73" s="31" t="str">
        <x:v>Component headword checked: drought.</x:v>
      </x:c>
      <x:c r="K73" s="31" t="str">
        <x:v>Anchor-period research source/context; Webster 1913 stable component URL recorded but automated page retrieval was unavailable</x:v>
      </x:c>
      <x:c r="L73" s="31" t="str">
        <x:v>Generic material, ecological, or social damage; the candidate is interpreted in its documented anchor and voice context.</x:v>
      </x:c>
      <x:c r="M73" s="31" t="str">
        <x:v>A threat, risk, harm, severity, or consequence sense in the documented source; it is not automatically an emotion.</x:v>
      </x:c>
      <x:c r="N73" s="31" t="str">
        <x:v>Generic material, ecological, or social damage; the candidate is interpreted in its documented anchor and voice context.</x:v>
      </x:c>
      <x:c r="O73" s="31" t="str">
        <x:v>STRONG</x:v>
      </x:c>
      <x:c r="P73" s="19" t="str">
        <x:v>NOT_LOCATED</x:v>
      </x:c>
      <x:c r="Q73" s="31" t="str">
        <x:v>The surface form may realize multiple senses; candidate meaning remains anchored to the report-visible source context.</x:v>
      </x:c>
      <x:c r="R73" s="31" t="str">
        <x:v>https://websters1913.timcieplowski.com/word/drought/; https://api.dictionaryapi.dev/api/v2/entries/en/drought</x:v>
      </x:c>
      <x:c r="S73" s="19" t="str">
        <x:v>2026-08-26</x:v>
      </x:c>
      <x:c r="T73" s="43" t="str">
        <x:v>RECONSTRUCTED_FROM_REPORT; Fear of Temperature_ Stratified Lexical Expansion, Voice Mapping, and Semantic-Relational Pre-Valida.pdf; p.9; project candidate FT-SEED-R1B-P-1988-09; original visible ID not available</x:v>
      </x:c>
    </x:row>
    <x:row r="74" ht="38" customHeight="1">
      <x:c r="A74" s="40" t="str">
        <x:v>FT-SEED-R1B-P-1988-10</x:v>
      </x:c>
      <x:c r="B74" s="19" t="str">
        <x:v>1988</x:v>
      </x:c>
      <x:c r="C74" s="25" t="n">
        <x:v>10</x:v>
      </x:c>
      <x:c r="D74" s="31" t="str">
        <x:v>heat wave/drought occurrences</x:v>
      </x:c>
      <x:c r="E74" s="31" t="str">
        <x:v>heatwave / weather event</x:v>
      </x:c>
      <x:c r="F74" s="31" t="str">
        <x:v>heat</x:v>
      </x:c>
      <x:c r="G74" s="31" t="str">
        <x:v>NO_STANDALONE_HEADWORD</x:v>
      </x:c>
      <x:c r="H74" s="19" t="str">
        <x:v>NO</x:v>
      </x:c>
      <x:c r="I74" s="31" t="str">
        <x:v>Component lexical analysis plus anchor-source contextual meaning</x:v>
      </x:c>
      <x:c r="J74" s="31" t="str">
        <x:v>Component headword checked: occurrences.</x:v>
      </x:c>
      <x:c r="K74" s="31" t="str">
        <x:v>Anchor-period research source/context; Webster 1913 stable component URL recorded but automated page retrieval was unavailable</x:v>
      </x:c>
      <x:c r="L74" s="31" t="str">
        <x:v>A bounded hot-weather or heatwave event; the candidate is interpreted in its documented anchor and voice context.</x:v>
      </x:c>
      <x:c r="M74" s="31" t="str">
        <x:v>A threat, risk, harm, severity, or consequence sense in the documented source; it is not automatically an emotion.</x:v>
      </x:c>
      <x:c r="N74" s="31" t="str">
        <x:v>A bounded hot-weather or heatwave event; the candidate is interpreted in its documented anchor and voice context.</x:v>
      </x:c>
      <x:c r="O74" s="31" t="str">
        <x:v>STRONG</x:v>
      </x:c>
      <x:c r="P74" s="19" t="str">
        <x:v>NOT_LOCATED</x:v>
      </x:c>
      <x:c r="Q74" s="31" t="str">
        <x:v>The surface form may realize multiple senses; candidate meaning remains anchored to the report-visible source context.</x:v>
      </x:c>
      <x:c r="R74" s="31" t="str">
        <x:v>Fear of Temperature_ Stratified Lexical Expansion, Voice Mapping, and Semantic-Relational Pre-Valida.pdf#page=9; https://api.dictionaryapi.dev/api/v2/entries/en/heat%20wave%2Fdrought%20occurrences; https://websters1913.timcieplowski.com/word/occurrences/</x:v>
      </x:c>
      <x:c r="S74" s="19" t="str">
        <x:v>2026-08-26</x:v>
      </x:c>
      <x:c r="T74" s="43" t="str">
        <x:v>RECONSTRUCTED_FROM_REPORT; Fear of Temperature_ Stratified Lexical Expansion, Voice Mapping, and Semantic-Relational Pre-Valida.pdf; p.9; project candidate FT-SEED-R1B-P-1988-10; original visible ID not available</x:v>
      </x:c>
    </x:row>
    <x:row r="75" ht="38" customHeight="1">
      <x:c r="A75" s="40" t="str">
        <x:v>FT-SEED-R1B-P-1988-11</x:v>
      </x:c>
      <x:c r="B75" s="19" t="str">
        <x:v>1988</x:v>
      </x:c>
      <x:c r="C75" s="25" t="n">
        <x:v>11</x:v>
      </x:c>
      <x:c r="D75" s="31" t="str">
        <x:v>extreme events</x:v>
      </x:c>
      <x:c r="E75" s="31" t="str">
        <x:v>generic damage</x:v>
      </x:c>
      <x:c r="F75" s="31" t="str">
        <x:v>harm_loss_consequences</x:v>
      </x:c>
      <x:c r="G75" s="31" t="str">
        <x:v>NO_STANDALONE_HEADWORD</x:v>
      </x:c>
      <x:c r="H75" s="19" t="str">
        <x:v>NO</x:v>
      </x:c>
      <x:c r="I75" s="31" t="str">
        <x:v>Component lexical analysis plus anchor-source contextual meaning</x:v>
      </x:c>
      <x:c r="J75" s="31" t="str">
        <x:v>Component headword checked: events.</x:v>
      </x:c>
      <x:c r="K75" s="31" t="str">
        <x:v>Anchor-period research source/context; Webster 1913 stable component URL recorded but automated page retrieval was unavailable</x:v>
      </x:c>
      <x:c r="L75" s="31" t="str">
        <x:v>Generic material, ecological, or social damage; the candidate is interpreted in its documented anchor and voice context.</x:v>
      </x:c>
      <x:c r="M75" s="31" t="str">
        <x:v>A threat, risk, harm, severity, or consequence sense in the documented source; it is not automatically an emotion.</x:v>
      </x:c>
      <x:c r="N75" s="31" t="str">
        <x:v>Generic material, ecological, or social damage; the candidate is interpreted in its documented anchor and voice context.</x:v>
      </x:c>
      <x:c r="O75" s="31" t="str">
        <x:v>STRONG</x:v>
      </x:c>
      <x:c r="P75" s="19" t="str">
        <x:v>NOT_LOCATED</x:v>
      </x:c>
      <x:c r="Q75" s="31" t="str">
        <x:v>The surface form may realize multiple senses; candidate meaning remains anchored to the report-visible source context.</x:v>
      </x:c>
      <x:c r="R75" s="31" t="str">
        <x:v>Fear of Temperature_ Stratified Lexical Expansion, Voice Mapping, and Semantic-Relational Pre-Valida.pdf#page=9; https://api.dictionaryapi.dev/api/v2/entries/en/extreme%20events; https://websters1913.timcieplowski.com/word/events/</x:v>
      </x:c>
      <x:c r="S75" s="19" t="str">
        <x:v>2026-08-26</x:v>
      </x:c>
      <x:c r="T75" s="43" t="str">
        <x:v>RECONSTRUCTED_FROM_REPORT; Fear of Temperature_ Stratified Lexical Expansion, Voice Mapping, and Semantic-Relational Pre-Valida.pdf; p.9; project candidate FT-SEED-R1B-P-1988-11; original visible ID not available</x:v>
      </x:c>
    </x:row>
    <x:row r="76" ht="38" customHeight="1">
      <x:c r="A76" s="40" t="str">
        <x:v>FT-SEED-R1B-P-1988-12</x:v>
      </x:c>
      <x:c r="B76" s="19" t="str">
        <x:v>1988</x:v>
      </x:c>
      <x:c r="C76" s="25" t="n">
        <x:v>12</x:v>
      </x:c>
      <x:c r="D76" s="31" t="str">
        <x:v>global climate models</x:v>
      </x:c>
      <x:c r="E76" s="31" t="str">
        <x:v>climate system</x:v>
      </x:c>
      <x:c r="F76" s="31" t="str">
        <x:v>climate</x:v>
      </x:c>
      <x:c r="G76" s="31" t="str">
        <x:v>TECHNICAL_GLOSSARY</x:v>
      </x:c>
      <x:c r="H76" s="19" t="str">
        <x:v>NO</x:v>
      </x:c>
      <x:c r="I76" s="31" t="str">
        <x:v>IPCC climate-science glossary / assessment terminology</x:v>
      </x:c>
      <x:c r="J76" s="31" t="str">
        <x:v>Component headword checked: models.</x:v>
      </x:c>
      <x:c r="K76" s="31" t="str">
        <x:v>Anchor-period research source/context; Webster 1913 stable component URL recorded but automated page retrieval was unavailable</x:v>
      </x:c>
      <x:c r="L76" s="31" t="str">
        <x:v>The coupled physical climate system; the candidate is interpreted in its documented anchor and voice context.</x:v>
      </x:c>
      <x:c r="M76" s="31" t="str">
        <x:v>A climatic, atmospheric, meteorological, or causal-science sense in the documented anchor context.</x:v>
      </x:c>
      <x:c r="N76" s="31" t="str">
        <x:v>The coupled physical climate system; the candidate is interpreted in its documented anchor and voice context.</x:v>
      </x:c>
      <x:c r="O76" s="31" t="str">
        <x:v>STRONG</x:v>
      </x:c>
      <x:c r="P76" s="19" t="str">
        <x:v>NOT_LOCATED</x:v>
      </x:c>
      <x:c r="Q76" s="31" t="str">
        <x:v>The surface form may realize multiple senses; candidate meaning remains anchored to the report-visible source context.</x:v>
      </x:c>
      <x:c r="R76" s="31" t="str">
        <x:v>https://www.ipcc.ch/site/assets/uploads/2018/02/WGIIAR5-AnnexII_FINAL.pdf; https://api.dictionaryapi.dev/api/v2/entries/en/global%20climate%20models; https://websters1913.timcieplowski.com/word/models/</x:v>
      </x:c>
      <x:c r="S76" s="19" t="str">
        <x:v>2026-08-26</x:v>
      </x:c>
      <x:c r="T76" s="43" t="str">
        <x:v>RECONSTRUCTED_FROM_REPORT; Fear of Temperature_ Stratified Lexical Expansion, Voice Mapping, and Semantic-Relational Pre-Valida.pdf; p.9; project candidate FT-SEED-R1B-P-1988-12; original visible ID not available</x:v>
      </x:c>
    </x:row>
    <x:row r="77" ht="38" customHeight="1">
      <x:c r="A77" s="40" t="str">
        <x:v>FT-SEED-R1B-P-1988-13</x:v>
      </x:c>
      <x:c r="B77" s="19" t="str">
        <x:v>1988</x:v>
      </x:c>
      <x:c r="C77" s="25" t="n">
        <x:v>13</x:v>
      </x:c>
      <x:c r="D77" s="31" t="str">
        <x:v>global observations</x:v>
      </x:c>
      <x:c r="E77" s="31" t="str">
        <x:v>historical climate / climatological condition</x:v>
      </x:c>
      <x:c r="F77" s="31" t="str">
        <x:v>climate</x:v>
      </x:c>
      <x:c r="G77" s="31" t="str">
        <x:v>NO_STANDALONE_HEADWORD</x:v>
      </x:c>
      <x:c r="H77" s="19" t="str">
        <x:v>NO</x:v>
      </x:c>
      <x:c r="I77" s="31" t="str">
        <x:v>Component lexical analysis plus anchor-source contextual meaning</x:v>
      </x:c>
      <x:c r="J77" s="31" t="str">
        <x:v>Component headword checked: observations.</x:v>
      </x:c>
      <x:c r="K77" s="31" t="str">
        <x:v>Anchor-period research source/context; Webster 1913 stable component URL recorded but automated page retrieval was unavailable</x:v>
      </x:c>
      <x:c r="L77" s="31" t="str">
        <x:v>Climate as a historical, geographical, seasonal, or climatological condition; the candidate is interpreted in its documented anchor and voice context.</x:v>
      </x:c>
      <x:c r="M77" s="31" t="str">
        <x:v>A climatic, atmospheric, meteorological, or causal-science sense in the documented anchor context.</x:v>
      </x:c>
      <x:c r="N77" s="31" t="str">
        <x:v>Climate as a historical, geographical, seasonal, or climatological condition; the candidate is interpreted in its documented anchor and voice context.</x:v>
      </x:c>
      <x:c r="O77" s="31" t="str">
        <x:v>STRONG</x:v>
      </x:c>
      <x:c r="P77" s="19" t="str">
        <x:v>NOT_LOCATED</x:v>
      </x:c>
      <x:c r="Q77" s="31" t="str">
        <x:v>The surface form may realize multiple senses; candidate meaning remains anchored to the report-visible source context.</x:v>
      </x:c>
      <x:c r="R77" s="31" t="str">
        <x:v>Fear of Temperature_ Stratified Lexical Expansion, Voice Mapping, and Semantic-Relational Pre-Valida.pdf#page=9; https://api.dictionaryapi.dev/api/v2/entries/en/global%20observations; https://websters1913.timcieplowski.com/word/observations/</x:v>
      </x:c>
      <x:c r="S77" s="19" t="str">
        <x:v>2026-08-26</x:v>
      </x:c>
      <x:c r="T77" s="43" t="str">
        <x:v>RECONSTRUCTED_FROM_REPORT; Fear of Temperature_ Stratified Lexical Expansion, Voice Mapping, and Semantic-Relational Pre-Valida.pdf; p.9; project candidate FT-SEED-R1B-P-1988-13; original visible ID not available</x:v>
      </x:c>
    </x:row>
    <x:row r="78" ht="38" customHeight="1">
      <x:c r="A78" s="40" t="str">
        <x:v>FT-SEED-R1B-P-1988-14</x:v>
      </x:c>
      <x:c r="B78" s="19" t="str">
        <x:v>1988</x:v>
      </x:c>
      <x:c r="C78" s="25" t="n">
        <x:v>14</x:v>
      </x:c>
      <x:c r="D78" s="31" t="str">
        <x:v>warm air</x:v>
      </x:c>
      <x:c r="E78" s="31" t="str">
        <x:v>local / instrumental temperature</x:v>
      </x:c>
      <x:c r="F78" s="31" t="str">
        <x:v>temperature_threshold</x:v>
      </x:c>
      <x:c r="G78" s="31" t="str">
        <x:v>NO_STANDALONE_HEADWORD</x:v>
      </x:c>
      <x:c r="H78" s="19" t="str">
        <x:v>NO</x:v>
      </x:c>
      <x:c r="I78" s="31" t="str">
        <x:v>Component lexical analysis plus anchor-source contextual meaning</x:v>
      </x:c>
      <x:c r="J78" s="31" t="str">
        <x:v>Component headword checked: air.</x:v>
      </x:c>
      <x:c r="K78" s="31" t="str">
        <x:v>Webster's Revised Unabridged Dictionary (1913 public-domain edition)</x:v>
      </x:c>
      <x:c r="L78" s="31" t="str">
        <x:v>A local or instrument-specific temperature reading; the candidate is interpreted in its documented anchor and voice context.</x:v>
      </x:c>
      <x:c r="M78" s="31" t="str">
        <x:v>A physical temperature, warming, heat, or measurement sense in the documented anchor context.</x:v>
      </x:c>
      <x:c r="N78" s="31" t="str">
        <x:v>A local or instrument-specific temperature reading; the candidate is interpreted in its documented anchor and voice context.</x:v>
      </x:c>
      <x:c r="O78" s="31" t="str">
        <x:v>STRONG</x:v>
      </x:c>
      <x:c r="P78" s="19" t="str">
        <x:v>NOT_LOCATED</x:v>
      </x:c>
      <x:c r="Q78" s="31" t="str">
        <x:v>The surface form may realize multiple senses; candidate meaning remains anchored to the report-visible source context.</x:v>
      </x:c>
      <x:c r="R78" s="31" t="str">
        <x:v>https://websters1913.timcieplowski.com/word/air/; https://api.dictionaryapi.dev/api/v2/entries/en/warm%20air</x:v>
      </x:c>
      <x:c r="S78" s="19" t="str">
        <x:v>2026-08-26</x:v>
      </x:c>
      <x:c r="T78" s="43" t="str">
        <x:v>RECONSTRUCTED_FROM_REPORT; Fear of Temperature_ Stratified Lexical Expansion, Voice Mapping, and Semantic-Relational Pre-Valida.pdf; p.9; project candidate FT-SEED-R1B-P-1988-14; original visible ID not available</x:v>
      </x:c>
    </x:row>
    <x:row r="79" ht="38" customHeight="1">
      <x:c r="A79" s="40" t="str">
        <x:v>FT-SEED-R1B-P-1988-15</x:v>
      </x:c>
      <x:c r="B79" s="19" t="str">
        <x:v>1988</x:v>
      </x:c>
      <x:c r="C79" s="25" t="n">
        <x:v>15</x:v>
      </x:c>
      <x:c r="D79" s="31" t="str">
        <x:v>changing atmosphere</x:v>
      </x:c>
      <x:c r="E79" s="31" t="str">
        <x:v>changing atmosphere</x:v>
      </x:c>
      <x:c r="F79" s="31" t="str">
        <x:v>climate</x:v>
      </x:c>
      <x:c r="G79" s="31" t="str">
        <x:v>TECHNICAL_GLOSSARY</x:v>
      </x:c>
      <x:c r="H79" s="19" t="str">
        <x:v>NO</x:v>
      </x:c>
      <x:c r="I79" s="31" t="str">
        <x:v>IPCC climate-science glossary / assessment terminology</x:v>
      </x:c>
      <x:c r="J79" s="31" t="str">
        <x:v>Component headword checked: atmosphere.</x:v>
      </x:c>
      <x:c r="K79" s="31" t="str">
        <x:v>Anchor-period research source/context; Webster 1913 stable component URL recorded but automated page retrieval was unavailable</x:v>
      </x:c>
      <x:c r="L79" s="31" t="str">
        <x:v>Atmospheric change framed as a climatic or institutional problem; the candidate is interpreted in its documented anchor and voice context.</x:v>
      </x:c>
      <x:c r="M79" s="31" t="str">
        <x:v>A climatic, atmospheric, meteorological, or causal-science sense in the documented anchor context.</x:v>
      </x:c>
      <x:c r="N79" s="31" t="str">
        <x:v>Atmospheric change framed as a climatic or institutional problem; the candidate is interpreted in its documented anchor and voice context.</x:v>
      </x:c>
      <x:c r="O79" s="31" t="str">
        <x:v>STRONG</x:v>
      </x:c>
      <x:c r="P79" s="19" t="str">
        <x:v>NOT_LOCATED</x:v>
      </x:c>
      <x:c r="Q79" s="31" t="str">
        <x:v>The surface form may realize multiple senses; candidate meaning remains anchored to the report-visible source context.</x:v>
      </x:c>
      <x:c r="R79" s="31" t="str">
        <x:v>https://www.ipcc.ch/site/assets/uploads/2018/02/WGIIAR5-AnnexII_FINAL.pdf; https://api.dictionaryapi.dev/api/v2/entries/en/changing%20atmosphere; https://websters1913.timcieplowski.com/word/atmosphere/</x:v>
      </x:c>
      <x:c r="S79" s="19" t="str">
        <x:v>2026-08-26</x:v>
      </x:c>
      <x:c r="T79" s="43" t="str">
        <x:v>RECONSTRUCTED_FROM_REPORT; Fear of Temperature_ Stratified Lexical Expansion, Voice Mapping, and Semantic-Relational Pre-Valida.pdf; p.9; project candidate FT-SEED-R1B-P-1988-15; original visible ID not available</x:v>
      </x:c>
    </x:row>
    <x:row r="80" ht="38" customHeight="1">
      <x:c r="A80" s="40" t="str">
        <x:v>FT-SEED-R1B-P-1988-16</x:v>
      </x:c>
      <x:c r="B80" s="19" t="str">
        <x:v>1988</x:v>
      </x:c>
      <x:c r="C80" s="25" t="n">
        <x:v>16</x:v>
      </x:c>
      <x:c r="D80" s="31" t="str">
        <x:v>global security</x:v>
      </x:c>
      <x:c r="E80" s="31" t="str">
        <x:v>global security frame</x:v>
      </x:c>
      <x:c r="F80" s="31" t="str">
        <x:v>danger_threat</x:v>
      </x:c>
      <x:c r="G80" s="31" t="str">
        <x:v>NO_STANDALONE_HEADWORD</x:v>
      </x:c>
      <x:c r="H80" s="19" t="str">
        <x:v>NO</x:v>
      </x:c>
      <x:c r="I80" s="31" t="str">
        <x:v>Component lexical analysis plus anchor-source contextual meaning</x:v>
      </x:c>
      <x:c r="J80" s="31" t="str">
        <x:v>Component headword checked: security.</x:v>
      </x:c>
      <x:c r="K80" s="31" t="str">
        <x:v>Anchor-period research source/context; Webster 1913 stable component URL recorded but automated page retrieval was unavailable</x:v>
      </x:c>
      <x:c r="L80" s="31" t="str">
        <x:v>Atmospheric or climatic change framed as a global-security matter; the candidate is interpreted in its documented anchor and voice context.</x:v>
      </x:c>
      <x:c r="M80" s="31" t="str">
        <x:v>An institutional frame for threats to international stability and safety; threat without evidence of personal fear.</x:v>
      </x:c>
      <x:c r="N80" s="31" t="str">
        <x:v>Atmospheric or climatic change framed as a global-security matter; the candidate is interpreted in its documented anchor and voice context.</x:v>
      </x:c>
      <x:c r="O80" s="31" t="str">
        <x:v>STRONG</x:v>
      </x:c>
      <x:c r="P80" s="19" t="str">
        <x:v>NOT_LOCATED</x:v>
      </x:c>
      <x:c r="Q80" s="31" t="str">
        <x:v>Security can denote institutions, conditions, or financial instruments; the institutional-threat sense is intended.</x:v>
      </x:c>
      <x:c r="R80" s="31" t="str">
        <x:v>Fear of Temperature_ Stratified Lexical Expansion, Voice Mapping, and Semantic-Relational Pre-Valida.pdf#page=9; https://api.dictionaryapi.dev/api/v2/entries/en/global%20security; https://websters1913.timcieplowski.com/word/security/</x:v>
      </x:c>
      <x:c r="S80" s="19" t="str">
        <x:v>2026-08-26</x:v>
      </x:c>
      <x:c r="T80" s="43" t="str">
        <x:v>RECONSTRUCTED_FROM_REPORT; Fear of Temperature_ Stratified Lexical Expansion, Voice Mapping, and Semantic-Relational Pre-Valida.pdf; p.9; project candidate FT-SEED-R1B-P-1988-16; original visible ID not available</x:v>
      </x:c>
    </x:row>
    <x:row r="81" ht="38" customHeight="1">
      <x:c r="A81" s="40" t="str">
        <x:v>FT-SEED-R1B-P-1988-17</x:v>
      </x:c>
      <x:c r="B81" s="19" t="str">
        <x:v>1988</x:v>
      </x:c>
      <x:c r="C81" s="25" t="n">
        <x:v>17</x:v>
      </x:c>
      <x:c r="D81" s="31" t="str">
        <x:v>climate warming</x:v>
      </x:c>
      <x:c r="E81" s="31" t="str">
        <x:v>climate-system warming</x:v>
      </x:c>
      <x:c r="F81" s="31" t="str">
        <x:v>warming</x:v>
      </x:c>
      <x:c r="G81" s="31" t="str">
        <x:v>TECHNICAL_GLOSSARY</x:v>
      </x:c>
      <x:c r="H81" s="19" t="str">
        <x:v>NO</x:v>
      </x:c>
      <x:c r="I81" s="31" t="str">
        <x:v>IPCC climate-science glossary / assessment terminology</x:v>
      </x:c>
      <x:c r="J81" s="31" t="str">
        <x:v>Component headword checked: warming.</x:v>
      </x:c>
      <x:c r="K81" s="31" t="str">
        <x:v>Anchor-period research source/context; Webster 1913 stable component URL recorded but automated page retrieval was unavailable</x:v>
      </x:c>
      <x:c r="L81" s="31" t="str">
        <x:v>Warming attributed to or observed across the climate system; the candidate is interpreted in its documented anchor and voice context.</x:v>
      </x:c>
      <x:c r="M81" s="31" t="str">
        <x:v>A physical temperature, warming, heat, or measurement sense in the documented anchor context.</x:v>
      </x:c>
      <x:c r="N81" s="31" t="str">
        <x:v>Warming attributed to or observed across the climate system; the candidate is interpreted in its documented anchor and voice context.</x:v>
      </x:c>
      <x:c r="O81" s="31" t="str">
        <x:v>STRONG</x:v>
      </x:c>
      <x:c r="P81" s="19" t="str">
        <x:v>NOT_LOCATED</x:v>
      </x:c>
      <x:c r="Q81" s="31" t="str">
        <x:v>The surface form may realize multiple senses; candidate meaning remains anchored to the report-visible source context.</x:v>
      </x:c>
      <x:c r="R81" s="31" t="str">
        <x:v>https://www.ipcc.ch/site/assets/uploads/2018/02/WGIIAR5-AnnexII_FINAL.pdf; https://api.dictionaryapi.dev/api/v2/entries/en/climate%20warming; https://websters1913.timcieplowski.com/word/warming/</x:v>
      </x:c>
      <x:c r="S81" s="19" t="str">
        <x:v>2026-08-26</x:v>
      </x:c>
      <x:c r="T81" s="43" t="str">
        <x:v>RECONSTRUCTED_FROM_REPORT; Fear of Temperature_ Stratified Lexical Expansion, Voice Mapping, and Semantic-Relational Pre-Valida.pdf; p.9; project candidate FT-SEED-R1B-P-1988-17; original visible ID not available</x:v>
      </x:c>
    </x:row>
    <x:row r="82" ht="38" customHeight="1">
      <x:c r="A82" s="40" t="str">
        <x:v>FT-SEED-R1B-P-1988-18</x:v>
      </x:c>
      <x:c r="B82" s="19" t="str">
        <x:v>1988</x:v>
      </x:c>
      <x:c r="C82" s="25" t="n">
        <x:v>18</x:v>
      </x:c>
      <x:c r="D82" s="31" t="str">
        <x:v>changed climatic extremes</x:v>
      </x:c>
      <x:c r="E82" s="31" t="str">
        <x:v>generic damage</x:v>
      </x:c>
      <x:c r="F82" s="31" t="str">
        <x:v>harm_loss_consequences</x:v>
      </x:c>
      <x:c r="G82" s="31" t="str">
        <x:v>NO_STANDALONE_HEADWORD</x:v>
      </x:c>
      <x:c r="H82" s="19" t="str">
        <x:v>NO</x:v>
      </x:c>
      <x:c r="I82" s="31" t="str">
        <x:v>Component lexical analysis plus anchor-source contextual meaning</x:v>
      </x:c>
      <x:c r="J82" s="31" t="str">
        <x:v>Component headword checked: extremes.</x:v>
      </x:c>
      <x:c r="K82" s="31" t="str">
        <x:v>Anchor-period research source/context; Webster 1913 stable component URL recorded but automated page retrieval was unavailable</x:v>
      </x:c>
      <x:c r="L82" s="31" t="str">
        <x:v>Generic material, ecological, or social damage; the candidate is interpreted in its documented anchor and voice context.</x:v>
      </x:c>
      <x:c r="M82" s="31" t="str">
        <x:v>A threat, risk, harm, severity, or consequence sense in the documented source; it is not automatically an emotion.</x:v>
      </x:c>
      <x:c r="N82" s="31" t="str">
        <x:v>Generic material, ecological, or social damage; the candidate is interpreted in its documented anchor and voice context.</x:v>
      </x:c>
      <x:c r="O82" s="31" t="str">
        <x:v>STRONG</x:v>
      </x:c>
      <x:c r="P82" s="19" t="str">
        <x:v>NOT_LOCATED</x:v>
      </x:c>
      <x:c r="Q82" s="31" t="str">
        <x:v>The surface form may realize multiple senses; candidate meaning remains anchored to the report-visible source context.</x:v>
      </x:c>
      <x:c r="R82" s="31" t="str">
        <x:v>Fear of Temperature_ Stratified Lexical Expansion, Voice Mapping, and Semantic-Relational Pre-Valida.pdf#page=9; https://api.dictionaryapi.dev/api/v2/entries/en/changed%20climatic%20extremes; https://websters1913.timcieplowski.com/word/extremes/</x:v>
      </x:c>
      <x:c r="S82" s="19" t="str">
        <x:v>2026-08-26</x:v>
      </x:c>
      <x:c r="T82" s="43" t="str">
        <x:v>RECONSTRUCTED_FROM_REPORT; Fear of Temperature_ Stratified Lexical Expansion, Voice Mapping, and Semantic-Relational Pre-Valida.pdf; p.9; project candidate FT-SEED-R1B-P-1988-18; original visible ID not available</x:v>
      </x:c>
    </x:row>
    <x:row r="83" ht="38" customHeight="1">
      <x:c r="A83" s="40" t="str">
        <x:v>FT-SEED-R1B-P-1988-19</x:v>
      </x:c>
      <x:c r="B83" s="19" t="str">
        <x:v>1988</x:v>
      </x:c>
      <x:c r="C83" s="25" t="n">
        <x:v>19</x:v>
      </x:c>
      <x:c r="D83" s="31" t="str">
        <x:v>major threat</x:v>
      </x:c>
      <x:c r="E83" s="31" t="str">
        <x:v>institutional climate threat</x:v>
      </x:c>
      <x:c r="F83" s="31" t="str">
        <x:v>danger_threat</x:v>
      </x:c>
      <x:c r="G83" s="31" t="str">
        <x:v>NO_STANDALONE_HEADWORD</x:v>
      </x:c>
      <x:c r="H83" s="19" t="str">
        <x:v>NO</x:v>
      </x:c>
      <x:c r="I83" s="31" t="str">
        <x:v>Component lexical analysis plus anchor-source contextual meaning</x:v>
      </x:c>
      <x:c r="J83" s="31" t="str">
        <x:v>Component headword checked: threat.</x:v>
      </x:c>
      <x:c r="K83" s="31" t="str">
        <x:v>Anchor-period research source/context; Webster 1913 stable component URL recorded but automated page retrieval was unavailable</x:v>
      </x:c>
      <x:c r="L83" s="31" t="str">
        <x:v>Climate change framed as an institutional threat; the candidate is interpreted in its documented anchor and voice context.</x:v>
      </x:c>
      <x:c r="M83" s="31" t="str">
        <x:v>A threat, risk, harm, severity, or consequence sense in the documented source; it is not automatically an emotion.</x:v>
      </x:c>
      <x:c r="N83" s="31" t="str">
        <x:v>Climate change framed as an institutional threat; the candidate is interpreted in its documented anchor and voice context.</x:v>
      </x:c>
      <x:c r="O83" s="31" t="str">
        <x:v>STRONG</x:v>
      </x:c>
      <x:c r="P83" s="19" t="str">
        <x:v>NOT_LOCATED</x:v>
      </x:c>
      <x:c r="Q83" s="31" t="str">
        <x:v>The surface form may realize multiple senses; candidate meaning remains anchored to the report-visible source context.</x:v>
      </x:c>
      <x:c r="R83" s="31" t="str">
        <x:v>Fear of Temperature_ Stratified Lexical Expansion, Voice Mapping, and Semantic-Relational Pre-Valida.pdf#page=9; https://api.dictionaryapi.dev/api/v2/entries/en/major%20threat; https://websters1913.timcieplowski.com/word/threat/</x:v>
      </x:c>
      <x:c r="S83" s="19" t="str">
        <x:v>2026-08-26</x:v>
      </x:c>
      <x:c r="T83" s="43" t="str">
        <x:v>RECONSTRUCTED_FROM_REPORT; Fear of Temperature_ Stratified Lexical Expansion, Voice Mapping, and Semantic-Relational Pre-Valida.pdf; p.9; project candidate FT-SEED-R1B-P-1988-19; original visible ID not available</x:v>
      </x:c>
    </x:row>
    <x:row r="84" ht="38" customHeight="1">
      <x:c r="A84" s="40" t="str">
        <x:v>FT-SEED-R1B-P-1988-20</x:v>
      </x:c>
      <x:c r="B84" s="19" t="str">
        <x:v>1988</x:v>
      </x:c>
      <x:c r="C84" s="25" t="n">
        <x:v>20</x:v>
      </x:c>
      <x:c r="D84" s="31" t="str">
        <x:v>harmful consequences</x:v>
      </x:c>
      <x:c r="E84" s="31" t="str">
        <x:v>generic damage</x:v>
      </x:c>
      <x:c r="F84" s="31" t="str">
        <x:v>harm_loss_consequences</x:v>
      </x:c>
      <x:c r="G84" s="31" t="str">
        <x:v>NO_STANDALONE_HEADWORD</x:v>
      </x:c>
      <x:c r="H84" s="19" t="str">
        <x:v>NO</x:v>
      </x:c>
      <x:c r="I84" s="31" t="str">
        <x:v>Component lexical analysis plus anchor-source contextual meaning</x:v>
      </x:c>
      <x:c r="J84" s="31" t="str">
        <x:v>Component headword checked: consequences.</x:v>
      </x:c>
      <x:c r="K84" s="31" t="str">
        <x:v>Anchor-period research source/context; Webster 1913 stable component URL recorded but automated page retrieval was unavailable</x:v>
      </x:c>
      <x:c r="L84" s="31" t="str">
        <x:v>Generic material, ecological, or social damage; the candidate is interpreted in its documented anchor and voice context.</x:v>
      </x:c>
      <x:c r="M84" s="31" t="str">
        <x:v>A threat, risk, harm, severity, or consequence sense in the documented source; it is not automatically an emotion.</x:v>
      </x:c>
      <x:c r="N84" s="31" t="str">
        <x:v>Generic material, ecological, or social damage; the candidate is interpreted in its documented anchor and voice context.</x:v>
      </x:c>
      <x:c r="O84" s="31" t="str">
        <x:v>STRONG</x:v>
      </x:c>
      <x:c r="P84" s="19" t="str">
        <x:v>NOT_LOCATED</x:v>
      </x:c>
      <x:c r="Q84" s="31" t="str">
        <x:v>The surface form may realize multiple senses; candidate meaning remains anchored to the report-visible source context.</x:v>
      </x:c>
      <x:c r="R84" s="31" t="str">
        <x:v>Fear of Temperature_ Stratified Lexical Expansion, Voice Mapping, and Semantic-Relational Pre-Valida.pdf#page=9; https://api.dictionaryapi.dev/api/v2/entries/en/harmful%20consequences; https://websters1913.timcieplowski.com/word/consequences/</x:v>
      </x:c>
      <x:c r="S84" s="19" t="str">
        <x:v>2026-08-26</x:v>
      </x:c>
      <x:c r="T84" s="43" t="str">
        <x:v>RECONSTRUCTED_FROM_REPORT; Fear of Temperature_ Stratified Lexical Expansion, Voice Mapping, and Semantic-Relational Pre-Valida.pdf; p.9; project candidate FT-SEED-R1B-P-1988-20; original visible ID not available</x:v>
      </x:c>
    </x:row>
    <x:row r="85" ht="38" customHeight="1">
      <x:c r="A85" s="40" t="str">
        <x:v>FT-SEED-R1B-P-1988-21</x:v>
      </x:c>
      <x:c r="B85" s="19" t="str">
        <x:v>1988</x:v>
      </x:c>
      <x:c r="C85" s="25" t="n">
        <x:v>21</x:v>
      </x:c>
      <x:c r="D85" s="31" t="str">
        <x:v>grave threats</x:v>
      </x:c>
      <x:c r="E85" s="31" t="str">
        <x:v>institutional climate threat</x:v>
      </x:c>
      <x:c r="F85" s="31" t="str">
        <x:v>danger_threat</x:v>
      </x:c>
      <x:c r="G85" s="31" t="str">
        <x:v>NO_STANDALONE_HEADWORD</x:v>
      </x:c>
      <x:c r="H85" s="19" t="str">
        <x:v>NO</x:v>
      </x:c>
      <x:c r="I85" s="31" t="str">
        <x:v>Component lexical analysis plus anchor-source contextual meaning</x:v>
      </x:c>
      <x:c r="J85" s="31" t="str">
        <x:v>Component headword checked: threats.</x:v>
      </x:c>
      <x:c r="K85" s="31" t="str">
        <x:v>Anchor-period research source/context; Webster 1913 stable component URL recorded but automated page retrieval was unavailable</x:v>
      </x:c>
      <x:c r="L85" s="31" t="str">
        <x:v>Climate change framed as an institutional threat; the candidate is interpreted in its documented anchor and voice context.</x:v>
      </x:c>
      <x:c r="M85" s="31" t="str">
        <x:v>A threat, risk, harm, severity, or consequence sense in the documented source; it is not automatically an emotion.</x:v>
      </x:c>
      <x:c r="N85" s="31" t="str">
        <x:v>Climate change framed as an institutional threat; the candidate is interpreted in its documented anchor and voice context.</x:v>
      </x:c>
      <x:c r="O85" s="31" t="str">
        <x:v>STRONG</x:v>
      </x:c>
      <x:c r="P85" s="19" t="str">
        <x:v>NOT_LOCATED</x:v>
      </x:c>
      <x:c r="Q85" s="31" t="str">
        <x:v>The surface form may realize multiple senses; candidate meaning remains anchored to the report-visible source context.</x:v>
      </x:c>
      <x:c r="R85" s="31" t="str">
        <x:v>Fear of Temperature_ Stratified Lexical Expansion, Voice Mapping, and Semantic-Relational Pre-Valida.pdf#page=9; https://api.dictionaryapi.dev/api/v2/entries/en/grave%20threats; https://websters1913.timcieplowski.com/word/threats/</x:v>
      </x:c>
      <x:c r="S85" s="19" t="str">
        <x:v>2026-08-26</x:v>
      </x:c>
      <x:c r="T85" s="43" t="str">
        <x:v>RECONSTRUCTED_FROM_REPORT; Fear of Temperature_ Stratified Lexical Expansion, Voice Mapping, and Semantic-Relational Pre-Valida.pdf; p.9; project candidate FT-SEED-R1B-P-1988-21; original visible ID not available</x:v>
      </x:c>
    </x:row>
    <x:row r="86" ht="38" customHeight="1">
      <x:c r="A86" s="40" t="str">
        <x:v>FT-SEED-R1B-P-1988-22</x:v>
      </x:c>
      <x:c r="B86" s="19" t="str">
        <x:v>1988</x:v>
      </x:c>
      <x:c r="C86" s="25" t="n">
        <x:v>22</x:v>
      </x:c>
      <x:c r="D86" s="31" t="str">
        <x:v>severe economic and social dislocation</x:v>
      </x:c>
      <x:c r="E86" s="31" t="str">
        <x:v>generic damage</x:v>
      </x:c>
      <x:c r="F86" s="31" t="str">
        <x:v>harm_loss_consequences</x:v>
      </x:c>
      <x:c r="G86" s="31" t="str">
        <x:v>NO_STANDALONE_HEADWORD</x:v>
      </x:c>
      <x:c r="H86" s="19" t="str">
        <x:v>NO</x:v>
      </x:c>
      <x:c r="I86" s="31" t="str">
        <x:v>Component lexical analysis plus anchor-source contextual meaning</x:v>
      </x:c>
      <x:c r="J86" s="31" t="str">
        <x:v>Component headword checked: dislocation.</x:v>
      </x:c>
      <x:c r="K86" s="31" t="str">
        <x:v>Anchor-period research source/context; Webster 1913 stable component URL recorded but automated page retrieval was unavailable</x:v>
      </x:c>
      <x:c r="L86" s="31" t="str">
        <x:v>Generic material, ecological, or social damage; the candidate is interpreted in its documented anchor and voice context.</x:v>
      </x:c>
      <x:c r="M86" s="31" t="str">
        <x:v>A threat, risk, harm, severity, or consequence sense in the documented source; it is not automatically an emotion.</x:v>
      </x:c>
      <x:c r="N86" s="31" t="str">
        <x:v>Generic material, ecological, or social damage; the candidate is interpreted in its documented anchor and voice context.</x:v>
      </x:c>
      <x:c r="O86" s="31" t="str">
        <x:v>STRONG</x:v>
      </x:c>
      <x:c r="P86" s="19" t="str">
        <x:v>NOT_LOCATED</x:v>
      </x:c>
      <x:c r="Q86" s="31" t="str">
        <x:v>The surface form may realize multiple senses; candidate meaning remains anchored to the report-visible source context.</x:v>
      </x:c>
      <x:c r="R86" s="31" t="str">
        <x:v>Fear of Temperature_ Stratified Lexical Expansion, Voice Mapping, and Semantic-Relational Pre-Valida.pdf#page=9; https://api.dictionaryapi.dev/api/v2/entries/en/severe%20economic%20and%20social%20dislocation; https://websters1913.timcieplowski.com/word/dislocation/</x:v>
      </x:c>
      <x:c r="S86" s="19" t="str">
        <x:v>2026-08-26</x:v>
      </x:c>
      <x:c r="T86" s="43" t="str">
        <x:v>RECONSTRUCTED_FROM_REPORT; Fear of Temperature_ Stratified Lexical Expansion, Voice Mapping, and Semantic-Relational Pre-Valida.pdf; p.9; project candidate FT-SEED-R1B-P-1988-22; original visible ID not available</x:v>
      </x:c>
    </x:row>
    <x:row r="87" ht="38" customHeight="1">
      <x:c r="A87" s="40" t="str">
        <x:v>FT-SEED-R1B-P-1988-23</x:v>
      </x:c>
      <x:c r="B87" s="19" t="str">
        <x:v>1988</x:v>
      </x:c>
      <x:c r="C87" s="25" t="n">
        <x:v>23</x:v>
      </x:c>
      <x:c r="D87" s="31" t="str">
        <x:v>risk of conflicts</x:v>
      </x:c>
      <x:c r="E87" s="31" t="str">
        <x:v>administrative risk assessment</x:v>
      </x:c>
      <x:c r="F87" s="31" t="str">
        <x:v>risk</x:v>
      </x:c>
      <x:c r="G87" s="31" t="str">
        <x:v>NO_STANDALONE_HEADWORD</x:v>
      </x:c>
      <x:c r="H87" s="19" t="str">
        <x:v>NO</x:v>
      </x:c>
      <x:c r="I87" s="31" t="str">
        <x:v>Component lexical analysis plus anchor-source contextual meaning</x:v>
      </x:c>
      <x:c r="J87" s="31" t="str">
        <x:v>Component headword checked: conflicts.</x:v>
      </x:c>
      <x:c r="K87" s="31" t="str">
        <x:v>Anchor-period research source/context; Webster 1913 stable component URL recorded but automated page retrieval was unavailable</x:v>
      </x:c>
      <x:c r="L87" s="31" t="str">
        <x:v>Risk managed or assessed through institutional procedure; the candidate is interpreted in its documented anchor and voice context.</x:v>
      </x:c>
      <x:c r="M87" s="31" t="str">
        <x:v>A threat, risk, harm, severity, or consequence sense in the documented source; it is not automatically an emotion.</x:v>
      </x:c>
      <x:c r="N87" s="31" t="str">
        <x:v>Risk managed or assessed through institutional procedure; the candidate is interpreted in its documented anchor and voice context.</x:v>
      </x:c>
      <x:c r="O87" s="31" t="str">
        <x:v>STRONG</x:v>
      </x:c>
      <x:c r="P87" s="19" t="str">
        <x:v>NOT_LOCATED</x:v>
      </x:c>
      <x:c r="Q87" s="31" t="str">
        <x:v>The surface form may realize multiple senses; candidate meaning remains anchored to the report-visible source context.</x:v>
      </x:c>
      <x:c r="R87" s="31" t="str">
        <x:v>Fear of Temperature_ Stratified Lexical Expansion, Voice Mapping, and Semantic-Relational Pre-Valida.pdf#page=9; https://api.dictionaryapi.dev/api/v2/entries/en/risk%20of%20conflicts; https://websters1913.timcieplowski.com/word/conflicts/</x:v>
      </x:c>
      <x:c r="S87" s="19" t="str">
        <x:v>2026-08-26</x:v>
      </x:c>
      <x:c r="T87" s="43" t="str">
        <x:v>RECONSTRUCTED_FROM_REPORT; Fear of Temperature_ Stratified Lexical Expansion, Voice Mapping, and Semantic-Relational Pre-Valida.pdf; p.9; project candidate FT-SEED-R1B-P-1988-23; original visible ID not available</x:v>
      </x:c>
    </x:row>
    <x:row r="88" ht="38" customHeight="1">
      <x:c r="A88" s="40" t="str">
        <x:v>FT-SEED-R1B-P-1988-24</x:v>
      </x:c>
      <x:c r="B88" s="19" t="str">
        <x:v>1988</x:v>
      </x:c>
      <x:c r="C88" s="25" t="n">
        <x:v>24</x:v>
      </x:c>
      <x:c r="D88" s="31" t="str">
        <x:v>impending crisis</x:v>
      </x:c>
      <x:c r="E88" s="31" t="str">
        <x:v>severity / crisis predicate</x:v>
      </x:c>
      <x:c r="F88" s="31" t="str">
        <x:v>crisis_emergency</x:v>
      </x:c>
      <x:c r="G88" s="31" t="str">
        <x:v>NO_STANDALONE_HEADWORD</x:v>
      </x:c>
      <x:c r="H88" s="19" t="str">
        <x:v>NO</x:v>
      </x:c>
      <x:c r="I88" s="31" t="str">
        <x:v>Component lexical analysis plus anchor-source contextual meaning</x:v>
      </x:c>
      <x:c r="J88" s="31" t="str">
        <x:v>Component headword checked: crisis.</x:v>
      </x:c>
      <x:c r="K88" s="31" t="str">
        <x:v>Anchor-period research source/context; Webster 1913 stable component URL recorded but automated page retrieval was unavailable</x:v>
      </x:c>
      <x:c r="L88" s="31" t="str">
        <x:v>Crisis used as a severity predicate without necessarily being an established issue label; the candidate is interpreted in its documented anchor and voice context.</x:v>
      </x:c>
      <x:c r="M88" s="31" t="str">
        <x:v>A threat, risk, harm, severity, or consequence sense in the documented source; it is not automatically an emotion.</x:v>
      </x:c>
      <x:c r="N88" s="31" t="str">
        <x:v>Crisis used as a severity predicate without necessarily being an established issue label; the candidate is interpreted in its documented anchor and voice context.</x:v>
      </x:c>
      <x:c r="O88" s="31" t="str">
        <x:v>STRONG</x:v>
      </x:c>
      <x:c r="P88" s="19" t="str">
        <x:v>NOT_LOCATED</x:v>
      </x:c>
      <x:c r="Q88" s="31" t="str">
        <x:v>The surface form may realize multiple senses; candidate meaning remains anchored to the report-visible source context.</x:v>
      </x:c>
      <x:c r="R88" s="31" t="str">
        <x:v>Fear of Temperature_ Stratified Lexical Expansion, Voice Mapping, and Semantic-Relational Pre-Valida.pdf#page=9; https://api.dictionaryapi.dev/api/v2/entries/en/impending%20crisis; https://websters1913.timcieplowski.com/word/crisis/</x:v>
      </x:c>
      <x:c r="S88" s="19" t="str">
        <x:v>2026-08-26</x:v>
      </x:c>
      <x:c r="T88" s="43" t="str">
        <x:v>RECONSTRUCTED_FROM_REPORT; Fear of Temperature_ Stratified Lexical Expansion, Voice Mapping, and Semantic-Relational Pre-Valida.pdf; p.9; project candidate FT-SEED-R1B-P-1988-24; original visible ID not available</x:v>
      </x:c>
    </x:row>
    <x:row r="89" ht="38" customHeight="1">
      <x:c r="A89" s="40" t="str">
        <x:v>FT-SEED-R1B-P-1988-25</x:v>
      </x:c>
      <x:c r="B89" s="19" t="str">
        <x:v>1988</x:v>
      </x:c>
      <x:c r="C89" s="25" t="n">
        <x:v>25</x:v>
      </x:c>
      <x:c r="D89" s="31" t="str">
        <x:v>degradation of the atmosphere</x:v>
      </x:c>
      <x:c r="E89" s="31" t="str">
        <x:v>generic damage</x:v>
      </x:c>
      <x:c r="F89" s="31" t="str">
        <x:v>harm_loss_consequences</x:v>
      </x:c>
      <x:c r="G89" s="31" t="str">
        <x:v>NO_STANDALONE_HEADWORD</x:v>
      </x:c>
      <x:c r="H89" s="19" t="str">
        <x:v>NO</x:v>
      </x:c>
      <x:c r="I89" s="31" t="str">
        <x:v>Component lexical analysis plus anchor-source contextual meaning</x:v>
      </x:c>
      <x:c r="J89" s="31" t="str">
        <x:v>Component headword checked: atmosphere.</x:v>
      </x:c>
      <x:c r="K89" s="31" t="str">
        <x:v>Anchor-period research source/context; Webster 1913 stable component URL recorded but automated page retrieval was unavailable</x:v>
      </x:c>
      <x:c r="L89" s="31" t="str">
        <x:v>Generic material, ecological, or social damage; the candidate is interpreted in its documented anchor and voice context.</x:v>
      </x:c>
      <x:c r="M89" s="31" t="str">
        <x:v>A threat, risk, harm, severity, or consequence sense in the documented source; it is not automatically an emotion.</x:v>
      </x:c>
      <x:c r="N89" s="31" t="str">
        <x:v>Generic material, ecological, or social damage; the candidate is interpreted in its documented anchor and voice context.</x:v>
      </x:c>
      <x:c r="O89" s="31" t="str">
        <x:v>STRONG</x:v>
      </x:c>
      <x:c r="P89" s="19" t="str">
        <x:v>NOT_LOCATED</x:v>
      </x:c>
      <x:c r="Q89" s="31" t="str">
        <x:v>The surface form may realize multiple senses; candidate meaning remains anchored to the report-visible source context.</x:v>
      </x:c>
      <x:c r="R89" s="31" t="str">
        <x:v>Fear of Temperature_ Stratified Lexical Expansion, Voice Mapping, and Semantic-Relational Pre-Valida.pdf#page=9; https://api.dictionaryapi.dev/api/v2/entries/en/degradation%20of%20the%20atmosphere; https://websters1913.timcieplowski.com/word/atmosphere/</x:v>
      </x:c>
      <x:c r="S89" s="19" t="str">
        <x:v>2026-08-26</x:v>
      </x:c>
      <x:c r="T89" s="43" t="str">
        <x:v>RECONSTRUCTED_FROM_REPORT; Fear of Temperature_ Stratified Lexical Expansion, Voice Mapping, and Semantic-Relational Pre-Valida.pdf; p.9; project candidate FT-SEED-R1B-P-1988-25; original visible ID not available</x:v>
      </x:c>
    </x:row>
    <x:row r="90" ht="38" customHeight="1">
      <x:c r="A90" s="40" t="str">
        <x:v>FT-SEED-R1B-P-1988-26</x:v>
      </x:c>
      <x:c r="B90" s="19" t="str">
        <x:v>1988</x:v>
      </x:c>
      <x:c r="C90" s="25" t="n">
        <x:v>26</x:v>
      </x:c>
      <x:c r="D90" s="31" t="str">
        <x:v>atmospheric pollution</x:v>
      </x:c>
      <x:c r="E90" s="31" t="str">
        <x:v>generic damage</x:v>
      </x:c>
      <x:c r="F90" s="31" t="str">
        <x:v>harm_loss_consequences</x:v>
      </x:c>
      <x:c r="G90" s="31" t="str">
        <x:v>NO_STANDALONE_HEADWORD</x:v>
      </x:c>
      <x:c r="H90" s="19" t="str">
        <x:v>NO</x:v>
      </x:c>
      <x:c r="I90" s="31" t="str">
        <x:v>Component lexical analysis plus anchor-source contextual meaning</x:v>
      </x:c>
      <x:c r="J90" s="31" t="str">
        <x:v>Component headword checked: pollution.</x:v>
      </x:c>
      <x:c r="K90" s="31" t="str">
        <x:v>Anchor-period research source/context; Webster 1913 stable component URL recorded but automated page retrieval was unavailable</x:v>
      </x:c>
      <x:c r="L90" s="31" t="str">
        <x:v>Generic material, ecological, or social damage; the candidate is interpreted in its documented anchor and voice context.</x:v>
      </x:c>
      <x:c r="M90" s="31" t="str">
        <x:v>A threat, risk, harm, severity, or consequence sense in the documented source; it is not automatically an emotion.</x:v>
      </x:c>
      <x:c r="N90" s="31" t="str">
        <x:v>Generic material, ecological, or social damage; the candidate is interpreted in its documented anchor and voice context.</x:v>
      </x:c>
      <x:c r="O90" s="31" t="str">
        <x:v>STRONG</x:v>
      </x:c>
      <x:c r="P90" s="19" t="str">
        <x:v>NOT_LOCATED</x:v>
      </x:c>
      <x:c r="Q90" s="31" t="str">
        <x:v>The surface form may realize multiple senses; candidate meaning remains anchored to the report-visible source context.</x:v>
      </x:c>
      <x:c r="R90" s="31" t="str">
        <x:v>Fear of Temperature_ Stratified Lexical Expansion, Voice Mapping, and Semantic-Relational Pre-Valida.pdf#page=9; https://api.dictionaryapi.dev/api/v2/entries/en/atmospheric%20pollution; https://websters1913.timcieplowski.com/word/pollution/</x:v>
      </x:c>
      <x:c r="S90" s="19" t="str">
        <x:v>2026-08-26</x:v>
      </x:c>
      <x:c r="T90" s="43" t="str">
        <x:v>RECONSTRUCTED_FROM_REPORT; Fear of Temperature_ Stratified Lexical Expansion, Voice Mapping, and Semantic-Relational Pre-Valida.pdf; p.9; project candidate FT-SEED-R1B-P-1988-26; original visible ID not available</x:v>
      </x:c>
    </x:row>
    <x:row r="91" ht="38" customHeight="1">
      <x:c r="A91" s="40" t="str">
        <x:v>FT-SEED-R1B-P-1988-27</x:v>
      </x:c>
      <x:c r="B91" s="19" t="str">
        <x:v>1988</x:v>
      </x:c>
      <x:c r="C91" s="25" t="n">
        <x:v>27</x:v>
      </x:c>
      <x:c r="D91" s="31" t="str">
        <x:v>greenhouse gases</x:v>
      </x:c>
      <x:c r="E91" s="31" t="str">
        <x:v>anthropogenic greenhouse-gas emissions</x:v>
      </x:c>
      <x:c r="F91" s="31" t="str">
        <x:v>carbon_greenhouse</x:v>
      </x:c>
      <x:c r="G91" s="31" t="str">
        <x:v>TECHNICAL_GLOSSARY</x:v>
      </x:c>
      <x:c r="H91" s="19" t="str">
        <x:v>NO</x:v>
      </x:c>
      <x:c r="I91" s="31" t="str">
        <x:v>IPCC climate-science glossary / assessment terminology</x:v>
      </x:c>
      <x:c r="J91" s="31" t="str">
        <x:v>Component headword checked: gases.</x:v>
      </x:c>
      <x:c r="K91" s="31" t="str">
        <x:v>Anchor-period research source/context; Webster 1913 stable component URL recorded but automated page retrieval was unavailable</x:v>
      </x:c>
      <x:c r="L91" s="31" t="str">
        <x:v>Atmospheric gases that absorb and emit infrared radiation and thereby influence the greenhouse effect.</x:v>
      </x:c>
      <x:c r="M91" s="31" t="str">
        <x:v>A climatic, atmospheric, meteorological, or causal-science sense in the documented anchor context.</x:v>
      </x:c>
      <x:c r="N91" s="31" t="str">
        <x:v>Atmospheric gases that absorb and emit infrared radiation and thereby influence the greenhouse effect.</x:v>
      </x:c>
      <x:c r="O91" s="31" t="str">
        <x:v>STRONG</x:v>
      </x:c>
      <x:c r="P91" s="19" t="str">
        <x:v>NOT_LOCATED</x:v>
      </x:c>
      <x:c r="Q91" s="31" t="str">
        <x:v>The surface form may realize multiple senses; candidate meaning remains anchored to the report-visible source context.</x:v>
      </x:c>
      <x:c r="R91" s="31" t="str">
        <x:v>https://www.ipcc.ch/site/assets/uploads/2018/02/WGIIAR5-AnnexII_FINAL.pdf; https://api.dictionaryapi.dev/api/v2/entries/en/greenhouse%20gases; https://websters1913.timcieplowski.com/word/gases/</x:v>
      </x:c>
      <x:c r="S91" s="19" t="str">
        <x:v>2026-08-26</x:v>
      </x:c>
      <x:c r="T91" s="43" t="str">
        <x:v>RECONSTRUCTED_FROM_REPORT; Fear of Temperature_ Stratified Lexical Expansion, Voice Mapping, and Semantic-Relational Pre-Valida.pdf; p.9; project candidate FT-SEED-R1B-P-1988-27; original visible ID not available</x:v>
      </x:c>
    </x:row>
    <x:row r="92" ht="38" customHeight="1">
      <x:c r="A92" s="40" t="str">
        <x:v>FT-SEED-R1B-P-1988-28</x:v>
      </x:c>
      <x:c r="B92" s="19" t="str">
        <x:v>1988</x:v>
      </x:c>
      <x:c r="C92" s="25" t="n">
        <x:v>28</x:v>
      </x:c>
      <x:c r="D92" s="31" t="str">
        <x:v>Global Warming Has Begun</x:v>
      </x:c>
      <x:c r="E92" s="31" t="str">
        <x:v>global warming as issue label</x:v>
      </x:c>
      <x:c r="F92" s="31" t="str">
        <x:v>warming</x:v>
      </x:c>
      <x:c r="G92" s="31" t="str">
        <x:v>NO_STANDALONE_HEADWORD</x:v>
      </x:c>
      <x:c r="H92" s="19" t="str">
        <x:v>NO</x:v>
      </x:c>
      <x:c r="I92" s="31" t="str">
        <x:v>Component lexical analysis plus anchor-source contextual meaning</x:v>
      </x:c>
      <x:c r="J92" s="31" t="str">
        <x:v>Component headword checked: begun.</x:v>
      </x:c>
      <x:c r="K92" s="31" t="str">
        <x:v>Anchor-period research source/context; Webster 1913 stable component URL recorded but automated page retrieval was unavailable</x:v>
      </x:c>
      <x:c r="L92" s="31" t="str">
        <x:v>Global warming used as an established public, scientific, or policy issue label; the candidate is interpreted in its documented anchor and voice context.</x:v>
      </x:c>
      <x:c r="M92" s="31" t="str">
        <x:v>A physical temperature, warming, heat, or measurement sense in the documented anchor context.</x:v>
      </x:c>
      <x:c r="N92" s="31" t="str">
        <x:v>Global warming used as an established public, scientific, or policy issue label; the candidate is interpreted in its documented anchor and voice context.</x:v>
      </x:c>
      <x:c r="O92" s="31" t="str">
        <x:v>STRONG</x:v>
      </x:c>
      <x:c r="P92" s="19" t="str">
        <x:v>NOT_LOCATED</x:v>
      </x:c>
      <x:c r="Q92" s="31" t="str">
        <x:v>The surface form may realize multiple senses; candidate meaning remains anchored to the report-visible source context.</x:v>
      </x:c>
      <x:c r="R92" s="31" t="str">
        <x:v>Fear of Temperature_ Stratified Lexical Expansion, Voice Mapping, and Semantic-Relational Pre-Valida.pdf#page=9; https://api.dictionaryapi.dev/api/v2/entries/en/Global%20Warming%20Has%20Begun; https://websters1913.timcieplowski.com/word/begun/</x:v>
      </x:c>
      <x:c r="S92" s="19" t="str">
        <x:v>2026-08-26</x:v>
      </x:c>
      <x:c r="T92" s="43" t="str">
        <x:v>RECONSTRUCTED_FROM_REPORT; Fear of Temperature_ Stratified Lexical Expansion, Voice Mapping, and Semantic-Relational Pre-Valida.pdf; p.9; project candidate FT-SEED-R1B-P-1988-28; original visible ID not available</x:v>
      </x:c>
    </x:row>
    <x:row r="93" ht="38" customHeight="1">
      <x:c r="A93" s="40" t="str">
        <x:v>FT-SEED-R1B-P-1988-29</x:v>
      </x:c>
      <x:c r="B93" s="19" t="str">
        <x:v>1988</x:v>
      </x:c>
      <x:c r="C93" s="25" t="n">
        <x:v>29</x:v>
      </x:c>
      <x:c r="D93" s="31" t="str">
        <x:v>evidence is pretty strong</x:v>
      </x:c>
      <x:c r="E93" s="31" t="str">
        <x:v>personal concern</x:v>
      </x:c>
      <x:c r="F93" s="31" t="str">
        <x:v>concern_alarm</x:v>
      </x:c>
      <x:c r="G93" s="31" t="str">
        <x:v>NO_STANDALONE_HEADWORD</x:v>
      </x:c>
      <x:c r="H93" s="19" t="str">
        <x:v>NO</x:v>
      </x:c>
      <x:c r="I93" s="31" t="str">
        <x:v>Component lexical analysis plus anchor-source contextual meaning</x:v>
      </x:c>
      <x:c r="J93" s="31" t="str">
        <x:v>Component headword checked: strong.</x:v>
      </x:c>
      <x:c r="K93" s="31" t="str">
        <x:v>Anchor-period research source/context; Webster 1913 stable component URL recorded but automated page retrieval was unavailable</x:v>
      </x:c>
      <x:c r="L93" s="31" t="str">
        <x:v>Concern expressed or endorsed by an identifiable person about a climate or heat object; the candidate is interpreted in its documented anchor and voice context.</x:v>
      </x:c>
      <x:c r="M93" s="31" t="str">
        <x:v>The candidate's affective or evaluative sense as used by the documented speaker/instrument/research voice at the anchor.</x:v>
      </x:c>
      <x:c r="N93" s="31" t="str">
        <x:v>Concern expressed or endorsed by an identifiable person about a climate or heat object; the candidate is interpreted in its documented anchor and voice context.</x:v>
      </x:c>
      <x:c r="O93" s="31" t="str">
        <x:v>STRONG</x:v>
      </x:c>
      <x:c r="P93" s="19" t="str">
        <x:v>NOT_LOCATED</x:v>
      </x:c>
      <x:c r="Q93" s="31" t="str">
        <x:v>The surface form may realize multiple senses; candidate meaning remains anchored to the report-visible source context.</x:v>
      </x:c>
      <x:c r="R93" s="31" t="str">
        <x:v>Fear of Temperature_ Stratified Lexical Expansion, Voice Mapping, and Semantic-Relational Pre-Valida.pdf#page=9; https://api.dictionaryapi.dev/api/v2/entries/en/evidence%20is%20pretty%20strong; https://websters1913.timcieplowski.com/word/strong/</x:v>
      </x:c>
      <x:c r="S93" s="19" t="str">
        <x:v>2026-08-26</x:v>
      </x:c>
      <x:c r="T93" s="43" t="str">
        <x:v>RECONSTRUCTED_FROM_REPORT; Fear of Temperature_ Stratified Lexical Expansion, Voice Mapping, and Semantic-Relational Pre-Valida.pdf; p.9; project candidate FT-SEED-R1B-P-1988-29; original visible ID not available</x:v>
      </x:c>
    </x:row>
    <x:row r="94" ht="38" customHeight="1">
      <x:c r="A94" s="40" t="str">
        <x:v>FT-SEED-R1B-P-1988-30</x:v>
      </x:c>
      <x:c r="B94" s="19" t="str">
        <x:v>1988</x:v>
      </x:c>
      <x:c r="C94" s="25" t="n">
        <x:v>30</x:v>
      </x:c>
      <x:c r="D94" s="31" t="str">
        <x:v>too much carbon dioxide is dangerous</x:v>
      </x:c>
      <x:c r="E94" s="31" t="str">
        <x:v>atmospheric carbon dioxide</x:v>
      </x:c>
      <x:c r="F94" s="31" t="str">
        <x:v>carbon_greenhouse</x:v>
      </x:c>
      <x:c r="G94" s="31" t="str">
        <x:v>NO_STANDALONE_HEADWORD</x:v>
      </x:c>
      <x:c r="H94" s="19" t="str">
        <x:v>NO</x:v>
      </x:c>
      <x:c r="I94" s="31" t="str">
        <x:v>Component lexical analysis plus anchor-source contextual meaning</x:v>
      </x:c>
      <x:c r="J94" s="31" t="str">
        <x:v>Component headword checked: dangerous.</x:v>
      </x:c>
      <x:c r="K94" s="31" t="str">
        <x:v>Anchor-period research source/context; Webster 1913 stable component URL recorded but automated page retrieval was unavailable</x:v>
      </x:c>
      <x:c r="L94" s="31" t="str">
        <x:v>Carbon dioxide as an atmospheric constituent; the candidate is interpreted in its documented anchor and voice context.</x:v>
      </x:c>
      <x:c r="M94" s="31" t="str">
        <x:v>A threat, risk, harm, severity, or consequence sense in the documented source; it is not automatically an emotion.</x:v>
      </x:c>
      <x:c r="N94" s="31" t="str">
        <x:v>Carbon dioxide as an atmospheric constituent; the candidate is interpreted in its documented anchor and voice context.</x:v>
      </x:c>
      <x:c r="O94" s="31" t="str">
        <x:v>STRONG</x:v>
      </x:c>
      <x:c r="P94" s="19" t="str">
        <x:v>NOT_LOCATED</x:v>
      </x:c>
      <x:c r="Q94" s="31" t="str">
        <x:v>The surface form may realize multiple senses; candidate meaning remains anchored to the report-visible source context.</x:v>
      </x:c>
      <x:c r="R94" s="31" t="str">
        <x:v>Fear of Temperature_ Stratified Lexical Expansion, Voice Mapping, and Semantic-Relational Pre-Valida.pdf#page=9; https://api.dictionaryapi.dev/api/v2/entries/en/too%20much%20carbon%20dioxide%20is%20dangerous; https://websters1913.timcieplowski.com/word/dangerous/</x:v>
      </x:c>
      <x:c r="S94" s="19" t="str">
        <x:v>2026-08-26</x:v>
      </x:c>
      <x:c r="T94" s="43" t="str">
        <x:v>RECONSTRUCTED_FROM_REPORT; Fear of Temperature_ Stratified Lexical Expansion, Voice Mapping, and Semantic-Relational Pre-Valida.pdf; p.9; project candidate FT-SEED-R1B-P-1988-30; original visible ID not available</x:v>
      </x:c>
    </x:row>
    <x:row r="95" ht="38" customHeight="1">
      <x:c r="A95" s="40" t="str">
        <x:v>FT-SEED-R1B-P-0607-01</x:v>
      </x:c>
      <x:c r="B95" s="19" t="str">
        <x:v>2006–2007</x:v>
      </x:c>
      <x:c r="C95" s="25" t="n">
        <x:v>1</x:v>
      </x:c>
      <x:c r="D95" s="31" t="str">
        <x:v>warming of the climate system</x:v>
      </x:c>
      <x:c r="E95" s="31" t="str">
        <x:v>climate-system warming</x:v>
      </x:c>
      <x:c r="F95" s="31" t="str">
        <x:v>warming</x:v>
      </x:c>
      <x:c r="G95" s="31" t="str">
        <x:v>TECHNICAL_GLOSSARY</x:v>
      </x:c>
      <x:c r="H95" s="19" t="str">
        <x:v>NO</x:v>
      </x:c>
      <x:c r="I95" s="31" t="str">
        <x:v>IPCC climate-science glossary / assessment terminology</x:v>
      </x:c>
      <x:c r="J95" s="31" t="str">
        <x:v>Component headword checked: system.</x:v>
      </x:c>
      <x:c r="K95" s="31" t="str">
        <x:v>Anchor-period research source/context; Webster 1913 stable component URL recorded but automated page retrieval was unavailable</x:v>
      </x:c>
      <x:c r="L95" s="31" t="str">
        <x:v>Warming attributed to or observed across the climate system; the candidate is interpreted in its documented anchor and voice context.</x:v>
      </x:c>
      <x:c r="M95" s="31" t="str">
        <x:v>A physical temperature, warming, heat, or measurement sense in the documented anchor context.</x:v>
      </x:c>
      <x:c r="N95" s="31" t="str">
        <x:v>Warming attributed to or observed across the climate system; the candidate is interpreted in its documented anchor and voice context.</x:v>
      </x:c>
      <x:c r="O95" s="31" t="str">
        <x:v>STRONG</x:v>
      </x:c>
      <x:c r="P95" s="19" t="str">
        <x:v>NOT_LOCATED</x:v>
      </x:c>
      <x:c r="Q95" s="31" t="str">
        <x:v>The surface form may realize multiple senses; candidate meaning remains anchored to the report-visible source context.</x:v>
      </x:c>
      <x:c r="R95" s="31" t="str">
        <x:v>https://www.ipcc.ch/site/assets/uploads/2018/02/WGIIAR5-AnnexII_FINAL.pdf; https://api.dictionaryapi.dev/api/v2/entries/en/warming%20of%20the%20climate%20system; https://websters1913.timcieplowski.com/word/system/</x:v>
      </x:c>
      <x:c r="S95" s="19" t="str">
        <x:v>2026-08-26</x:v>
      </x:c>
      <x:c r="T95" s="43" t="str">
        <x:v>RECONSTRUCTED_FROM_REPORT; Fear of Temperature_ Stratified Lexical Expansion, Voice Mapping, and Semantic-Relational Pre-Valida.pdf; p.10; project candidate FT-SEED-R1B-P-0607-01; original visible ID not available</x:v>
      </x:c>
    </x:row>
    <x:row r="96" ht="38" customHeight="1">
      <x:c r="A96" s="40" t="str">
        <x:v>FT-SEED-R1B-P-0607-02</x:v>
      </x:c>
      <x:c r="B96" s="19" t="str">
        <x:v>2006–2007</x:v>
      </x:c>
      <x:c r="C96" s="25" t="n">
        <x:v>2</x:v>
      </x:c>
      <x:c r="D96" s="31" t="str">
        <x:v>unequivocal</x:v>
      </x:c>
      <x:c r="E96" s="31" t="str">
        <x:v>historical climate / climatological condition</x:v>
      </x:c>
      <x:c r="F96" s="31" t="str">
        <x:v>climate</x:v>
      </x:c>
      <x:c r="G96" s="31" t="str">
        <x:v>DIRECT_HEADWORD</x:v>
      </x:c>
      <x:c r="H96" s="19" t="str">
        <x:v>YES</x:v>
      </x:c>
      <x:c r="I96" s="31" t="str">
        <x:v>Webster's Revised Unabridged Dictionary (1913 public-domain headword index)</x:v>
      </x:c>
      <x:c r="J96" s="31" t="str">
        <x:v>Component headword checked: unequivocal.</x:v>
      </x:c>
      <x:c r="K96" s="31" t="str">
        <x:v>Anchor-period research source/context; Webster 1913 stable component URL recorded but automated page retrieval was unavailable</x:v>
      </x:c>
      <x:c r="L96" s="31" t="str">
        <x:v>Climate as a historical, geographical, seasonal, or climatological condition; the candidate is interpreted in its documented anchor and voice context.</x:v>
      </x:c>
      <x:c r="M96" s="31" t="str">
        <x:v>A climatic, atmospheric, meteorological, or causal-science sense in the documented anchor context.</x:v>
      </x:c>
      <x:c r="N96" s="31" t="str">
        <x:v>Climate as a historical, geographical, seasonal, or climatological condition; the candidate is interpreted in its documented anchor and voice context.</x:v>
      </x:c>
      <x:c r="O96" s="31" t="str">
        <x:v>STRONG</x:v>
      </x:c>
      <x:c r="P96" s="19" t="str">
        <x:v>NOT_LOCATED</x:v>
      </x:c>
      <x:c r="Q96" s="31" t="str">
        <x:v>The surface form may realize multiple senses; candidate meaning remains anchored to the report-visible source context.</x:v>
      </x:c>
      <x:c r="R96" s="31" t="str">
        <x:v>https://websters1913.timcieplowski.com/word/unequivocal/; https://api.dictionaryapi.dev/api/v2/entries/en/unequivocal</x:v>
      </x:c>
      <x:c r="S96" s="19" t="str">
        <x:v>2026-08-26</x:v>
      </x:c>
      <x:c r="T96" s="43" t="str">
        <x:v>RECONSTRUCTED_FROM_REPORT; Fear of Temperature_ Stratified Lexical Expansion, Voice Mapping, and Semantic-Relational Pre-Valida.pdf; p.10; project candidate FT-SEED-R1B-P-0607-02; original visible ID not available</x:v>
      </x:c>
    </x:row>
    <x:row r="97" ht="38" customHeight="1">
      <x:c r="A97" s="40" t="str">
        <x:v>FT-SEED-R1B-P-0607-03</x:v>
      </x:c>
      <x:c r="B97" s="19" t="str">
        <x:v>2006–2007</x:v>
      </x:c>
      <x:c r="C97" s="25" t="n">
        <x:v>3</x:v>
      </x:c>
      <x:c r="D97" s="31" t="str">
        <x:v>global average air and ocean temperatures</x:v>
      </x:c>
      <x:c r="E97" s="31" t="str">
        <x:v>global aggregate temperature</x:v>
      </x:c>
      <x:c r="F97" s="31" t="str">
        <x:v>temperature_threshold</x:v>
      </x:c>
      <x:c r="G97" s="31" t="str">
        <x:v>TECHNICAL_GLOSSARY</x:v>
      </x:c>
      <x:c r="H97" s="19" t="str">
        <x:v>NO</x:v>
      </x:c>
      <x:c r="I97" s="31" t="str">
        <x:v>IPCC climate-science glossary / assessment terminology</x:v>
      </x:c>
      <x:c r="J97" s="31" t="str">
        <x:v>Component headword checked: temperatures.</x:v>
      </x:c>
      <x:c r="K97" s="31" t="str">
        <x:v>Anchor-period research source/context; Webster 1913 stable component URL recorded but automated page retrieval was unavailable</x:v>
      </x:c>
      <x:c r="L97" s="31" t="str">
        <x:v>A global-scale aggregate temperature metric; the candidate is interpreted in its documented anchor and voice context.</x:v>
      </x:c>
      <x:c r="M97" s="31" t="str">
        <x:v>A physical temperature, warming, heat, or measurement sense in the documented anchor context.</x:v>
      </x:c>
      <x:c r="N97" s="31" t="str">
        <x:v>A global-scale aggregate temperature metric; the candidate is interpreted in its documented anchor and voice context.</x:v>
      </x:c>
      <x:c r="O97" s="31" t="str">
        <x:v>STRONG</x:v>
      </x:c>
      <x:c r="P97" s="19" t="str">
        <x:v>NOT_LOCATED</x:v>
      </x:c>
      <x:c r="Q97" s="31" t="str">
        <x:v>The surface form may realize multiple senses; candidate meaning remains anchored to the report-visible source context.</x:v>
      </x:c>
      <x:c r="R97" s="31" t="str">
        <x:v>https://www.ipcc.ch/site/assets/uploads/2018/02/WGIIAR5-AnnexII_FINAL.pdf; https://api.dictionaryapi.dev/api/v2/entries/en/global%20average%20air%20and%20ocean%20temperatures; https://websters1913.timcieplowski.com/word/temperatures/</x:v>
      </x:c>
      <x:c r="S97" s="19" t="str">
        <x:v>2026-08-26</x:v>
      </x:c>
      <x:c r="T97" s="43" t="str">
        <x:v>RECONSTRUCTED_FROM_REPORT; Fear of Temperature_ Stratified Lexical Expansion, Voice Mapping, and Semantic-Relational Pre-Valida.pdf; p.10; project candidate FT-SEED-R1B-P-0607-03; original visible ID not available</x:v>
      </x:c>
    </x:row>
    <x:row r="98" ht="38" customHeight="1">
      <x:c r="A98" s="40" t="str">
        <x:v>FT-SEED-R1B-P-0607-04</x:v>
      </x:c>
      <x:c r="B98" s="19" t="str">
        <x:v>2006–2007</x:v>
      </x:c>
      <x:c r="C98" s="25" t="n">
        <x:v>4</x:v>
      </x:c>
      <x:c r="D98" s="31" t="str">
        <x:v>global surface temperature</x:v>
      </x:c>
      <x:c r="E98" s="31" t="str">
        <x:v>global aggregate temperature</x:v>
      </x:c>
      <x:c r="F98" s="31" t="str">
        <x:v>temperature_threshold</x:v>
      </x:c>
      <x:c r="G98" s="31" t="str">
        <x:v>TECHNICAL_GLOSSARY</x:v>
      </x:c>
      <x:c r="H98" s="19" t="str">
        <x:v>NO</x:v>
      </x:c>
      <x:c r="I98" s="31" t="str">
        <x:v>IPCC climate-science glossary / assessment terminology</x:v>
      </x:c>
      <x:c r="J98" s="31" t="str">
        <x:v>Component headword checked: temperature.</x:v>
      </x:c>
      <x:c r="K98" s="31" t="str">
        <x:v>Anchor-period research source/context; Webster 1913 stable component URL recorded but automated page retrieval was unavailable</x:v>
      </x:c>
      <x:c r="L98" s="31" t="str">
        <x:v>A global-scale aggregate temperature metric; the candidate is interpreted in its documented anchor and voice context.</x:v>
      </x:c>
      <x:c r="M98" s="31" t="str">
        <x:v>A physical temperature, warming, heat, or measurement sense in the documented anchor context.</x:v>
      </x:c>
      <x:c r="N98" s="31" t="str">
        <x:v>A global-scale aggregate temperature metric; the candidate is interpreted in its documented anchor and voice context.</x:v>
      </x:c>
      <x:c r="O98" s="31" t="str">
        <x:v>STRONG</x:v>
      </x:c>
      <x:c r="P98" s="19" t="str">
        <x:v>NOT_LOCATED</x:v>
      </x:c>
      <x:c r="Q98" s="31" t="str">
        <x:v>The surface form may realize multiple senses; candidate meaning remains anchored to the report-visible source context.</x:v>
      </x:c>
      <x:c r="R98" s="31" t="str">
        <x:v>https://www.ipcc.ch/site/assets/uploads/2018/02/WGIIAR5-AnnexII_FINAL.pdf; https://api.dictionaryapi.dev/api/v2/entries/en/global%20surface%20temperature; https://websters1913.timcieplowski.com/word/temperature/</x:v>
      </x:c>
      <x:c r="S98" s="19" t="str">
        <x:v>2026-08-26</x:v>
      </x:c>
      <x:c r="T98" s="43" t="str">
        <x:v>RECONSTRUCTED_FROM_REPORT; Fear of Temperature_ Stratified Lexical Expansion, Voice Mapping, and Semantic-Relational Pre-Valida.pdf; p.10; project candidate FT-SEED-R1B-P-0607-04; original visible ID not available</x:v>
      </x:c>
    </x:row>
    <x:row r="99" ht="38" customHeight="1">
      <x:c r="A99" s="40" t="str">
        <x:v>FT-SEED-R1B-P-0607-05</x:v>
      </x:c>
      <x:c r="B99" s="19" t="str">
        <x:v>2006–2007</x:v>
      </x:c>
      <x:c r="C99" s="25" t="n">
        <x:v>5</x:v>
      </x:c>
      <x:c r="D99" s="31" t="str">
        <x:v>temperature increase</x:v>
      </x:c>
      <x:c r="E99" s="31" t="str">
        <x:v>temperature increase</x:v>
      </x:c>
      <x:c r="F99" s="31" t="str">
        <x:v>warming</x:v>
      </x:c>
      <x:c r="G99" s="31" t="str">
        <x:v>TECHNICAL_GLOSSARY</x:v>
      </x:c>
      <x:c r="H99" s="19" t="str">
        <x:v>NO</x:v>
      </x:c>
      <x:c r="I99" s="31" t="str">
        <x:v>IPCC climate-science glossary / assessment terminology</x:v>
      </x:c>
      <x:c r="J99" s="31" t="str">
        <x:v>Component headword checked: increase.</x:v>
      </x:c>
      <x:c r="K99" s="31" t="str">
        <x:v>Anchor-period research source/context; Webster 1913 stable component URL recorded but automated page retrieval was unavailable</x:v>
      </x:c>
      <x:c r="L99" s="31" t="str">
        <x:v>An observed, estimated, or projected increase in temperature; the candidate is interpreted in its documented anchor and voice context.</x:v>
      </x:c>
      <x:c r="M99" s="31" t="str">
        <x:v>A physical temperature, warming, heat, or measurement sense in the documented anchor context.</x:v>
      </x:c>
      <x:c r="N99" s="31" t="str">
        <x:v>An observed, estimated, or projected increase in temperature; the candidate is interpreted in its documented anchor and voice context.</x:v>
      </x:c>
      <x:c r="O99" s="31" t="str">
        <x:v>STRONG</x:v>
      </x:c>
      <x:c r="P99" s="19" t="str">
        <x:v>NOT_LOCATED</x:v>
      </x:c>
      <x:c r="Q99" s="31" t="str">
        <x:v>The surface form may realize multiple senses; candidate meaning remains anchored to the report-visible source context.</x:v>
      </x:c>
      <x:c r="R99" s="31" t="str">
        <x:v>https://www.ipcc.ch/site/assets/uploads/2018/02/WGIIAR5-AnnexII_FINAL.pdf; https://api.dictionaryapi.dev/api/v2/entries/en/temperature%20increase; https://websters1913.timcieplowski.com/word/increase/</x:v>
      </x:c>
      <x:c r="S99" s="19" t="str">
        <x:v>2026-08-26</x:v>
      </x:c>
      <x:c r="T99" s="43" t="str">
        <x:v>RECONSTRUCTED_FROM_REPORT; Fear of Temperature_ Stratified Lexical Expansion, Voice Mapping, and Semantic-Relational Pre-Valida.pdf; p.10; project candidate FT-SEED-R1B-P-0607-05; original visible ID not available</x:v>
      </x:c>
    </x:row>
    <x:row r="100" ht="38" customHeight="1">
      <x:c r="A100" s="40" t="str">
        <x:v>FT-SEED-R1B-P-0607-06</x:v>
      </x:c>
      <x:c r="B100" s="19" t="str">
        <x:v>2006–2007</x:v>
      </x:c>
      <x:c r="C100" s="25" t="n">
        <x:v>6</x:v>
      </x:c>
      <x:c r="D100" s="31" t="str">
        <x:v>rising global average sea level</x:v>
      </x:c>
      <x:c r="E100" s="31" t="str">
        <x:v>generic damage</x:v>
      </x:c>
      <x:c r="F100" s="31" t="str">
        <x:v>harm_loss_consequences</x:v>
      </x:c>
      <x:c r="G100" s="31" t="str">
        <x:v>TECHNICAL_GLOSSARY</x:v>
      </x:c>
      <x:c r="H100" s="19" t="str">
        <x:v>NO</x:v>
      </x:c>
      <x:c r="I100" s="31" t="str">
        <x:v>IPCC climate-science glossary / assessment terminology</x:v>
      </x:c>
      <x:c r="J100" s="31" t="str">
        <x:v>Component headword checked: level.</x:v>
      </x:c>
      <x:c r="K100" s="31" t="str">
        <x:v>Anchor-period research source/context; Webster 1913 stable component URL recorded but automated page retrieval was unavailable</x:v>
      </x:c>
      <x:c r="L100" s="31" t="str">
        <x:v>Generic material, ecological, or social damage; the candidate is interpreted in its documented anchor and voice context.</x:v>
      </x:c>
      <x:c r="M100" s="31" t="str">
        <x:v>A threat, risk, harm, severity, or consequence sense in the documented source; it is not automatically an emotion.</x:v>
      </x:c>
      <x:c r="N100" s="31" t="str">
        <x:v>Generic material, ecological, or social damage; the candidate is interpreted in its documented anchor and voice context.</x:v>
      </x:c>
      <x:c r="O100" s="31" t="str">
        <x:v>STRONG</x:v>
      </x:c>
      <x:c r="P100" s="19" t="str">
        <x:v>NOT_LOCATED</x:v>
      </x:c>
      <x:c r="Q100" s="31" t="str">
        <x:v>The surface form may realize multiple senses; candidate meaning remains anchored to the report-visible source context.</x:v>
      </x:c>
      <x:c r="R100" s="31" t="str">
        <x:v>https://www.ipcc.ch/site/assets/uploads/2018/02/WGIIAR5-AnnexII_FINAL.pdf; https://api.dictionaryapi.dev/api/v2/entries/en/rising%20global%20average%20sea%20level; https://websters1913.timcieplowski.com/word/level/</x:v>
      </x:c>
      <x:c r="S100" s="19" t="str">
        <x:v>2026-08-26</x:v>
      </x:c>
      <x:c r="T100" s="43" t="str">
        <x:v>RECONSTRUCTED_FROM_REPORT; Fear of Temperature_ Stratified Lexical Expansion, Voice Mapping, and Semantic-Relational Pre-Valida.pdf; p.10; project candidate FT-SEED-R1B-P-0607-06; original visible ID not available</x:v>
      </x:c>
    </x:row>
    <x:row r="101" ht="38" customHeight="1">
      <x:c r="A101" s="40" t="str">
        <x:v>FT-SEED-R1B-P-0607-07</x:v>
      </x:c>
      <x:c r="B101" s="19" t="str">
        <x:v>2006–2007</x:v>
      </x:c>
      <x:c r="C101" s="25" t="n">
        <x:v>7</x:v>
      </x:c>
      <x:c r="D101" s="31" t="str">
        <x:v>widespread melting of snow and ice</x:v>
      </x:c>
      <x:c r="E101" s="31" t="str">
        <x:v>generic damage</x:v>
      </x:c>
      <x:c r="F101" s="31" t="str">
        <x:v>harm_loss_consequences</x:v>
      </x:c>
      <x:c r="G101" s="31" t="str">
        <x:v>TECHNICAL_GLOSSARY</x:v>
      </x:c>
      <x:c r="H101" s="19" t="str">
        <x:v>NO</x:v>
      </x:c>
      <x:c r="I101" s="31" t="str">
        <x:v>IPCC climate-science glossary / assessment terminology</x:v>
      </x:c>
      <x:c r="J101" s="31" t="str">
        <x:v>Component headword checked: ice.</x:v>
      </x:c>
      <x:c r="K101" s="31" t="str">
        <x:v>Anchor-period research source/context; Webster 1913 stable component URL recorded but automated page retrieval was unavailable</x:v>
      </x:c>
      <x:c r="L101" s="31" t="str">
        <x:v>Generic material, ecological, or social damage; the candidate is interpreted in its documented anchor and voice context.</x:v>
      </x:c>
      <x:c r="M101" s="31" t="str">
        <x:v>A threat, risk, harm, severity, or consequence sense in the documented source; it is not automatically an emotion.</x:v>
      </x:c>
      <x:c r="N101" s="31" t="str">
        <x:v>Generic material, ecological, or social damage; the candidate is interpreted in its documented anchor and voice context.</x:v>
      </x:c>
      <x:c r="O101" s="31" t="str">
        <x:v>STRONG</x:v>
      </x:c>
      <x:c r="P101" s="19" t="str">
        <x:v>NOT_LOCATED</x:v>
      </x:c>
      <x:c r="Q101" s="31" t="str">
        <x:v>The surface form may realize multiple senses; candidate meaning remains anchored to the report-visible source context.</x:v>
      </x:c>
      <x:c r="R101" s="31" t="str">
        <x:v>https://www.ipcc.ch/site/assets/uploads/2018/02/WGIIAR5-AnnexII_FINAL.pdf; https://api.dictionaryapi.dev/api/v2/entries/en/widespread%20melting%20of%20snow%20and%20ice; https://websters1913.timcieplowski.com/word/ice/</x:v>
      </x:c>
      <x:c r="S101" s="19" t="str">
        <x:v>2026-08-26</x:v>
      </x:c>
      <x:c r="T101" s="43" t="str">
        <x:v>RECONSTRUCTED_FROM_REPORT; Fear of Temperature_ Stratified Lexical Expansion, Voice Mapping, and Semantic-Relational Pre-Valida.pdf; p.10; project candidate FT-SEED-R1B-P-0607-07; original visible ID not available</x:v>
      </x:c>
    </x:row>
    <x:row r="102" ht="38" customHeight="1">
      <x:c r="A102" s="40" t="str">
        <x:v>FT-SEED-R1B-P-0607-08</x:v>
      </x:c>
      <x:c r="B102" s="19" t="str">
        <x:v>2006–2007</x:v>
      </x:c>
      <x:c r="C102" s="25" t="n">
        <x:v>8</x:v>
      </x:c>
      <x:c r="D102" s="31" t="str">
        <x:v>anthropogenic CO₂</x:v>
      </x:c>
      <x:c r="E102" s="31" t="str">
        <x:v>anthropogenic carbon-dioxide production</x:v>
      </x:c>
      <x:c r="F102" s="31" t="str">
        <x:v>carbon_greenhouse</x:v>
      </x:c>
      <x:c r="G102" s="31" t="str">
        <x:v>TECHNICAL_GLOSSARY</x:v>
      </x:c>
      <x:c r="H102" s="19" t="str">
        <x:v>NO</x:v>
      </x:c>
      <x:c r="I102" s="31" t="str">
        <x:v>IPCC climate-science glossary / assessment terminology</x:v>
      </x:c>
      <x:c r="J102" s="31" t="str">
        <x:v>Component headword checked: co.</x:v>
      </x:c>
      <x:c r="K102" s="31" t="str">
        <x:v>Anchor-period research source/context; Webster 1913 stable component URL recorded but automated page retrieval was unavailable</x:v>
      </x:c>
      <x:c r="L102" s="31" t="str">
        <x:v>Human production of carbon dioxide as a climatic cause; the candidate is interpreted in its documented anchor and voice context.</x:v>
      </x:c>
      <x:c r="M102" s="31" t="str">
        <x:v>A climatic, atmospheric, meteorological, or causal-science sense in the documented anchor context.</x:v>
      </x:c>
      <x:c r="N102" s="31" t="str">
        <x:v>Human production of carbon dioxide as a climatic cause; the candidate is interpreted in its documented anchor and voice context.</x:v>
      </x:c>
      <x:c r="O102" s="31" t="str">
        <x:v>STRONG</x:v>
      </x:c>
      <x:c r="P102" s="19" t="str">
        <x:v>NOT_LOCATED</x:v>
      </x:c>
      <x:c r="Q102" s="31" t="str">
        <x:v>The surface form may realize multiple senses; candidate meaning remains anchored to the report-visible source context.</x:v>
      </x:c>
      <x:c r="R102" s="31" t="str">
        <x:v>https://www.ipcc.ch/site/assets/uploads/2018/02/WGIIAR5-AnnexII_FINAL.pdf; https://api.dictionaryapi.dev/api/v2/entries/en/anthropogenic%20CO%E2%82%82; https://websters1913.timcieplowski.com/word/co/</x:v>
      </x:c>
      <x:c r="S102" s="19" t="str">
        <x:v>2026-08-26</x:v>
      </x:c>
      <x:c r="T102" s="43" t="str">
        <x:v>RECONSTRUCTED_FROM_REPORT; Fear of Temperature_ Stratified Lexical Expansion, Voice Mapping, and Semantic-Relational Pre-Valida.pdf; p.10; project candidate FT-SEED-R1B-P-0607-08; original visible ID not available</x:v>
      </x:c>
    </x:row>
    <x:row r="103" ht="38" customHeight="1">
      <x:c r="A103" s="40" t="str">
        <x:v>FT-SEED-R1B-P-0607-09</x:v>
      </x:c>
      <x:c r="B103" s="19" t="str">
        <x:v>2006–2007</x:v>
      </x:c>
      <x:c r="C103" s="25" t="n">
        <x:v>9</x:v>
      </x:c>
      <x:c r="D103" s="31" t="str">
        <x:v>anthropogenic GHG emissions</x:v>
      </x:c>
      <x:c r="E103" s="31" t="str">
        <x:v>anthropogenic greenhouse-gas emissions</x:v>
      </x:c>
      <x:c r="F103" s="31" t="str">
        <x:v>carbon_greenhouse</x:v>
      </x:c>
      <x:c r="G103" s="31" t="str">
        <x:v>TECHNICAL_GLOSSARY</x:v>
      </x:c>
      <x:c r="H103" s="19" t="str">
        <x:v>NO</x:v>
      </x:c>
      <x:c r="I103" s="31" t="str">
        <x:v>IPCC climate-science glossary / assessment terminology</x:v>
      </x:c>
      <x:c r="J103" s="31" t="str">
        <x:v>Component headword checked: emissions.</x:v>
      </x:c>
      <x:c r="K103" s="31" t="str">
        <x:v>Anchor-period research source/context; Webster 1913 stable component URL recorded but automated page retrieval was unavailable</x:v>
      </x:c>
      <x:c r="L103" s="31" t="str">
        <x:v>Human-caused releases of greenhouse gases into the atmosphere.</x:v>
      </x:c>
      <x:c r="M103" s="31" t="str">
        <x:v>A climatic, atmospheric, meteorological, or causal-science sense in the documented anchor context.</x:v>
      </x:c>
      <x:c r="N103" s="31" t="str">
        <x:v>Human-caused releases of greenhouse gases into the atmosphere.</x:v>
      </x:c>
      <x:c r="O103" s="31" t="str">
        <x:v>STRONG</x:v>
      </x:c>
      <x:c r="P103" s="19" t="str">
        <x:v>NOT_LOCATED</x:v>
      </x:c>
      <x:c r="Q103" s="31" t="str">
        <x:v>The surface form may realize multiple senses; candidate meaning remains anchored to the report-visible source context.</x:v>
      </x:c>
      <x:c r="R103" s="31" t="str">
        <x:v>https://www.ipcc.ch/site/assets/uploads/2018/02/WGIIAR5-AnnexII_FINAL.pdf; https://api.dictionaryapi.dev/api/v2/entries/en/anthropogenic%20GHG%20emissions; https://websters1913.timcieplowski.com/word/emissions/</x:v>
      </x:c>
      <x:c r="S103" s="19" t="str">
        <x:v>2026-08-26</x:v>
      </x:c>
      <x:c r="T103" s="43" t="str">
        <x:v>RECONSTRUCTED_FROM_REPORT; Fear of Temperature_ Stratified Lexical Expansion, Voice Mapping, and Semantic-Relational Pre-Valida.pdf; p.10; project candidate FT-SEED-R1B-P-0607-09; original visible ID not available</x:v>
      </x:c>
    </x:row>
    <x:row r="104" ht="38" customHeight="1">
      <x:c r="A104" s="40" t="str">
        <x:v>FT-SEED-R1B-P-0607-10</x:v>
      </x:c>
      <x:c r="B104" s="19" t="str">
        <x:v>2006–2007</x:v>
      </x:c>
      <x:c r="C104" s="25" t="n">
        <x:v>10</x:v>
      </x:c>
      <x:c r="D104" s="31" t="str">
        <x:v>climate change</x:v>
      </x:c>
      <x:c r="E104" s="31" t="str">
        <x:v>modern climate change</x:v>
      </x:c>
      <x:c r="F104" s="31" t="str">
        <x:v>climate</x:v>
      </x:c>
      <x:c r="G104" s="31" t="str">
        <x:v>TECHNICAL_GLOSSARY</x:v>
      </x:c>
      <x:c r="H104" s="19" t="str">
        <x:v>NO</x:v>
      </x:c>
      <x:c r="I104" s="31" t="str">
        <x:v>IPCC climate-science glossary / assessment terminology</x:v>
      </x:c>
      <x:c r="J104" s="31" t="str">
        <x:v>Component headword checked: change.</x:v>
      </x:c>
      <x:c r="K104" s="31" t="str">
        <x:v>Anchor-period research source/context; Webster 1913 stable component URL recorded but automated page retrieval was unavailable</x:v>
      </x:c>
      <x:c r="L104" s="31" t="str">
        <x:v>A persistent change in the state or variability of climate; institutional definitions differ on whether human attribution is required.</x:v>
      </x:c>
      <x:c r="M104" s="31" t="str">
        <x:v>The established modern issue label for sustained climatic change, used in institutional, scientific, or public contexts depending on voice.</x:v>
      </x:c>
      <x:c r="N104" s="31" t="str">
        <x:v>A persistent change in the state or variability of climate; institutional definitions differ on whether human attribution is required.</x:v>
      </x:c>
      <x:c r="O104" s="31" t="str">
        <x:v>STRONG</x:v>
      </x:c>
      <x:c r="P104" s="19" t="str">
        <x:v>NOT_LOCATED</x:v>
      </x:c>
      <x:c r="Q104" s="31" t="str">
        <x:v>The modern issue label must still be distinguished from generic change and historical climatic variability.</x:v>
      </x:c>
      <x:c r="R104" s="31" t="str">
        <x:v>https://www.ipcc.ch/site/assets/uploads/2018/02/WGIIAR5-AnnexII_FINAL.pdf; https://api.dictionaryapi.dev/api/v2/entries/en/climate%20change; https://websters1913.timcieplowski.com/word/change/</x:v>
      </x:c>
      <x:c r="S104" s="19" t="str">
        <x:v>2026-08-26</x:v>
      </x:c>
      <x:c r="T104" s="43" t="str">
        <x:v>RECONSTRUCTED_FROM_REPORT; Fear of Temperature_ Stratified Lexical Expansion, Voice Mapping, and Semantic-Relational Pre-Valida.pdf; p.10; project candidate FT-SEED-R1B-P-0607-10; original visible ID not available</x:v>
      </x:c>
    </x:row>
    <x:row r="105" ht="38" customHeight="1">
      <x:c r="A105" s="40" t="str">
        <x:v>FT-SEED-R1B-P-0607-11</x:v>
      </x:c>
      <x:c r="B105" s="19" t="str">
        <x:v>2006–2007</x:v>
      </x:c>
      <x:c r="C105" s="25" t="n">
        <x:v>11</x:v>
      </x:c>
      <x:c r="D105" s="31" t="str">
        <x:v>global warming</x:v>
      </x:c>
      <x:c r="E105" s="31" t="str">
        <x:v>global warming as issue label</x:v>
      </x:c>
      <x:c r="F105" s="31" t="str">
        <x:v>warming</x:v>
      </x:c>
      <x:c r="G105" s="31" t="str">
        <x:v>TECHNICAL_GLOSSARY</x:v>
      </x:c>
      <x:c r="H105" s="19" t="str">
        <x:v>NO</x:v>
      </x:c>
      <x:c r="I105" s="31" t="str">
        <x:v>IPCC climate-science glossary / assessment terminology</x:v>
      </x:c>
      <x:c r="J105" s="31" t="str">
        <x:v>Component headword checked: warming.</x:v>
      </x:c>
      <x:c r="K105" s="31" t="str">
        <x:v>Anchor-period research source/context; Webster 1913 stable component URL recorded but automated page retrieval was unavailable</x:v>
      </x:c>
      <x:c r="L105" s="31" t="str">
        <x:v>The long-term rise in global mean surface temperature, commonly used as an established issue label in modern climate discourse.</x:v>
      </x:c>
      <x:c r="M105" s="31" t="str">
        <x:v>A physical temperature, warming, heat, or measurement sense in the documented anchor context.</x:v>
      </x:c>
      <x:c r="N105" s="31" t="str">
        <x:v>The long-term rise in global mean surface temperature, commonly used as an established issue label in modern climate discourse.</x:v>
      </x:c>
      <x:c r="O105" s="31" t="str">
        <x:v>STRONG</x:v>
      </x:c>
      <x:c r="P105" s="19" t="str">
        <x:v>NOT_LOCATED</x:v>
      </x:c>
      <x:c r="Q105" s="31" t="str">
        <x:v>The surface form may realize multiple senses; candidate meaning remains anchored to the report-visible source context.</x:v>
      </x:c>
      <x:c r="R105" s="31" t="str">
        <x:v>https://www.ipcc.ch/site/assets/uploads/2018/02/WGIIAR5-AnnexII_FINAL.pdf; https://api.dictionaryapi.dev/api/v2/entries/en/global%20warming; https://websters1913.timcieplowski.com/word/warming/</x:v>
      </x:c>
      <x:c r="S105" s="19" t="str">
        <x:v>2026-08-26</x:v>
      </x:c>
      <x:c r="T105" s="43" t="str">
        <x:v>RECONSTRUCTED_FROM_REPORT; Fear of Temperature_ Stratified Lexical Expansion, Voice Mapping, and Semantic-Relational Pre-Valida.pdf; p.10; project candidate FT-SEED-R1B-P-0607-11; original visible ID not available</x:v>
      </x:c>
    </x:row>
    <x:row r="106" ht="38" customHeight="1">
      <x:c r="A106" s="40" t="str">
        <x:v>FT-SEED-R1B-P-0607-12</x:v>
      </x:c>
      <x:c r="B106" s="19" t="str">
        <x:v>2006–2007</x:v>
      </x:c>
      <x:c r="C106" s="25" t="n">
        <x:v>12</x:v>
      </x:c>
      <x:c r="D106" s="31" t="str">
        <x:v>serious global threat</x:v>
      </x:c>
      <x:c r="E106" s="31" t="str">
        <x:v>institutional climate threat</x:v>
      </x:c>
      <x:c r="F106" s="31" t="str">
        <x:v>danger_threat</x:v>
      </x:c>
      <x:c r="G106" s="31" t="str">
        <x:v>NO_STANDALONE_HEADWORD</x:v>
      </x:c>
      <x:c r="H106" s="19" t="str">
        <x:v>NO</x:v>
      </x:c>
      <x:c r="I106" s="31" t="str">
        <x:v>Component lexical analysis plus anchor-source contextual meaning</x:v>
      </x:c>
      <x:c r="J106" s="31" t="str">
        <x:v>Component headword checked: threat.</x:v>
      </x:c>
      <x:c r="K106" s="31" t="str">
        <x:v>Anchor-period research source/context; Webster 1913 stable component URL recorded but automated page retrieval was unavailable</x:v>
      </x:c>
      <x:c r="L106" s="31" t="str">
        <x:v>Climate change framed as an institutional threat; the candidate is interpreted in its documented anchor and voice context.</x:v>
      </x:c>
      <x:c r="M106" s="31" t="str">
        <x:v>A threat, risk, harm, severity, or consequence sense in the documented source; it is not automatically an emotion.</x:v>
      </x:c>
      <x:c r="N106" s="31" t="str">
        <x:v>Climate change framed as an institutional threat; the candidate is interpreted in its documented anchor and voice context.</x:v>
      </x:c>
      <x:c r="O106" s="31" t="str">
        <x:v>STRONG</x:v>
      </x:c>
      <x:c r="P106" s="19" t="str">
        <x:v>NOT_LOCATED</x:v>
      </x:c>
      <x:c r="Q106" s="31" t="str">
        <x:v>The surface form may realize multiple senses; candidate meaning remains anchored to the report-visible source context.</x:v>
      </x:c>
      <x:c r="R106" s="31" t="str">
        <x:v>Fear of Temperature_ Stratified Lexical Expansion, Voice Mapping, and Semantic-Relational Pre-Valida.pdf#page=10; https://api.dictionaryapi.dev/api/v2/entries/en/serious%20global%20threat; https://websters1913.timcieplowski.com/word/threat/</x:v>
      </x:c>
      <x:c r="S106" s="19" t="str">
        <x:v>2026-08-26</x:v>
      </x:c>
      <x:c r="T106" s="43" t="str">
        <x:v>RECONSTRUCTED_FROM_REPORT; Fear of Temperature_ Stratified Lexical Expansion, Voice Mapping, and Semantic-Relational Pre-Valida.pdf; p.10; project candidate FT-SEED-R1B-P-0607-12; original visible ID not available</x:v>
      </x:c>
    </x:row>
    <x:row r="107" ht="38" customHeight="1">
      <x:c r="A107" s="40" t="str">
        <x:v>FT-SEED-R1B-P-0607-13</x:v>
      </x:c>
      <x:c r="B107" s="19" t="str">
        <x:v>2006–2007</x:v>
      </x:c>
      <x:c r="C107" s="25" t="n">
        <x:v>13</x:v>
      </x:c>
      <x:c r="D107" s="31" t="str">
        <x:v>urgent global response</x:v>
      </x:c>
      <x:c r="E107" s="31" t="str">
        <x:v>generic damage</x:v>
      </x:c>
      <x:c r="F107" s="31" t="str">
        <x:v>harm_loss_consequences</x:v>
      </x:c>
      <x:c r="G107" s="31" t="str">
        <x:v>NO_STANDALONE_HEADWORD</x:v>
      </x:c>
      <x:c r="H107" s="19" t="str">
        <x:v>NO</x:v>
      </x:c>
      <x:c r="I107" s="31" t="str">
        <x:v>Component lexical analysis plus anchor-source contextual meaning</x:v>
      </x:c>
      <x:c r="J107" s="31" t="str">
        <x:v>Component headword checked: response.</x:v>
      </x:c>
      <x:c r="K107" s="31" t="str">
        <x:v>Anchor-period research source/context; Webster 1913 stable component URL recorded but automated page retrieval was unavailable</x:v>
      </x:c>
      <x:c r="L107" s="31" t="str">
        <x:v>Generic material, ecological, or social damage; the candidate is interpreted in its documented anchor and voice context.</x:v>
      </x:c>
      <x:c r="M107" s="31" t="str">
        <x:v>A threat, risk, harm, severity, or consequence sense in the documented source; it is not automatically an emotion.</x:v>
      </x:c>
      <x:c r="N107" s="31" t="str">
        <x:v>Generic material, ecological, or social damage; the candidate is interpreted in its documented anchor and voice context.</x:v>
      </x:c>
      <x:c r="O107" s="31" t="str">
        <x:v>STRONG</x:v>
      </x:c>
      <x:c r="P107" s="19" t="str">
        <x:v>NOT_LOCATED</x:v>
      </x:c>
      <x:c r="Q107" s="31" t="str">
        <x:v>The surface form may realize multiple senses; candidate meaning remains anchored to the report-visible source context.</x:v>
      </x:c>
      <x:c r="R107" s="31" t="str">
        <x:v>Fear of Temperature_ Stratified Lexical Expansion, Voice Mapping, and Semantic-Relational Pre-Valida.pdf#page=10; https://api.dictionaryapi.dev/api/v2/entries/en/urgent%20global%20response; https://websters1913.timcieplowski.com/word/response/</x:v>
      </x:c>
      <x:c r="S107" s="19" t="str">
        <x:v>2026-08-26</x:v>
      </x:c>
      <x:c r="T107" s="43" t="str">
        <x:v>RECONSTRUCTED_FROM_REPORT; Fear of Temperature_ Stratified Lexical Expansion, Voice Mapping, and Semantic-Relational Pre-Valida.pdf; p.10; project candidate FT-SEED-R1B-P-0607-13; original visible ID not available</x:v>
      </x:c>
    </x:row>
    <x:row r="108" ht="38" customHeight="1">
      <x:c r="A108" s="40" t="str">
        <x:v>FT-SEED-R1B-P-0607-14</x:v>
      </x:c>
      <x:c r="B108" s="19" t="str">
        <x:v>2006–2007</x:v>
      </x:c>
      <x:c r="C108" s="25" t="n">
        <x:v>14</x:v>
      </x:c>
      <x:c r="D108" s="31" t="str">
        <x:v>costs and risks of climate change</x:v>
      </x:c>
      <x:c r="E108" s="31" t="str">
        <x:v>modern climate change</x:v>
      </x:c>
      <x:c r="F108" s="31" t="str">
        <x:v>climate</x:v>
      </x:c>
      <x:c r="G108" s="31" t="str">
        <x:v>NO_STANDALONE_HEADWORD</x:v>
      </x:c>
      <x:c r="H108" s="19" t="str">
        <x:v>NO</x:v>
      </x:c>
      <x:c r="I108" s="31" t="str">
        <x:v>Component lexical analysis plus anchor-source contextual meaning</x:v>
      </x:c>
      <x:c r="J108" s="31" t="str">
        <x:v>Component headword checked: change.</x:v>
      </x:c>
      <x:c r="K108" s="31" t="str">
        <x:v>Anchor-period research source/context; Webster 1913 stable component URL recorded but automated page retrieval was unavailable</x:v>
      </x:c>
      <x:c r="L108" s="31" t="str">
        <x:v>Modern climate change as an anthropogenic scientific, public, or governance problem; the candidate is interpreted in its documented anchor and voice context.</x:v>
      </x:c>
      <x:c r="M108" s="31" t="str">
        <x:v>A threat, risk, harm, severity, or consequence sense in the documented source; it is not automatically an emotion.</x:v>
      </x:c>
      <x:c r="N108" s="31" t="str">
        <x:v>Modern climate change as an anthropogenic scientific, public, or governance problem; the candidate is interpreted in its documented anchor and voice context.</x:v>
      </x:c>
      <x:c r="O108" s="31" t="str">
        <x:v>STRONG</x:v>
      </x:c>
      <x:c r="P108" s="19" t="str">
        <x:v>NOT_LOCATED</x:v>
      </x:c>
      <x:c r="Q108" s="31" t="str">
        <x:v>The surface form may realize multiple senses; candidate meaning remains anchored to the report-visible source context.</x:v>
      </x:c>
      <x:c r="R108" s="31" t="str">
        <x:v>Fear of Temperature_ Stratified Lexical Expansion, Voice Mapping, and Semantic-Relational Pre-Valida.pdf#page=10; https://api.dictionaryapi.dev/api/v2/entries/en/costs%20and%20risks%20of%20climate%20change; https://websters1913.timcieplowski.com/word/change/</x:v>
      </x:c>
      <x:c r="S108" s="19" t="str">
        <x:v>2026-08-26</x:v>
      </x:c>
      <x:c r="T108" s="43" t="str">
        <x:v>RECONSTRUCTED_FROM_REPORT; Fear of Temperature_ Stratified Lexical Expansion, Voice Mapping, and Semantic-Relational Pre-Valida.pdf; p.10; project candidate FT-SEED-R1B-P-0607-14; original visible ID not available</x:v>
      </x:c>
    </x:row>
    <x:row r="109" ht="38" customHeight="1">
      <x:c r="A109" s="40" t="str">
        <x:v>FT-SEED-R1B-P-0607-15</x:v>
      </x:c>
      <x:c r="B109" s="19" t="str">
        <x:v>2006–2007</x:v>
      </x:c>
      <x:c r="C109" s="25" t="n">
        <x:v>15</x:v>
      </x:c>
      <x:c r="D109" s="31" t="str">
        <x:v>impacts of climate change</x:v>
      </x:c>
      <x:c r="E109" s="31" t="str">
        <x:v>modern climate change</x:v>
      </x:c>
      <x:c r="F109" s="31" t="str">
        <x:v>climate</x:v>
      </x:c>
      <x:c r="G109" s="31" t="str">
        <x:v>NO_STANDALONE_HEADWORD</x:v>
      </x:c>
      <x:c r="H109" s="19" t="str">
        <x:v>NO</x:v>
      </x:c>
      <x:c r="I109" s="31" t="str">
        <x:v>Component lexical analysis plus anchor-source contextual meaning</x:v>
      </x:c>
      <x:c r="J109" s="31" t="str">
        <x:v>Component headword checked: change.</x:v>
      </x:c>
      <x:c r="K109" s="31" t="str">
        <x:v>Anchor-period research source/context; Webster 1913 stable component URL recorded but automated page retrieval was unavailable</x:v>
      </x:c>
      <x:c r="L109" s="31" t="str">
        <x:v>Modern climate change as an anthropogenic scientific, public, or governance problem; the candidate is interpreted in its documented anchor and voice context.</x:v>
      </x:c>
      <x:c r="M109" s="31" t="str">
        <x:v>A threat, risk, harm, severity, or consequence sense in the documented source; it is not automatically an emotion.</x:v>
      </x:c>
      <x:c r="N109" s="31" t="str">
        <x:v>Modern climate change as an anthropogenic scientific, public, or governance problem; the candidate is interpreted in its documented anchor and voice context.</x:v>
      </x:c>
      <x:c r="O109" s="31" t="str">
        <x:v>STRONG</x:v>
      </x:c>
      <x:c r="P109" s="19" t="str">
        <x:v>NOT_LOCATED</x:v>
      </x:c>
      <x:c r="Q109" s="31" t="str">
        <x:v>The surface form may realize multiple senses; candidate meaning remains anchored to the report-visible source context.</x:v>
      </x:c>
      <x:c r="R109" s="31" t="str">
        <x:v>Fear of Temperature_ Stratified Lexical Expansion, Voice Mapping, and Semantic-Relational Pre-Valida.pdf#page=10; https://api.dictionaryapi.dev/api/v2/entries/en/impacts%20of%20climate%20change; https://websters1913.timcieplowski.com/word/change/</x:v>
      </x:c>
      <x:c r="S109" s="19" t="str">
        <x:v>2026-08-26</x:v>
      </x:c>
      <x:c r="T109" s="43" t="str">
        <x:v>RECONSTRUCTED_FROM_REPORT; Fear of Temperature_ Stratified Lexical Expansion, Voice Mapping, and Semantic-Relational Pre-Valida.pdf; p.10; project candidate FT-SEED-R1B-P-0607-15; original visible ID not available</x:v>
      </x:c>
    </x:row>
    <x:row r="110" ht="38" customHeight="1">
      <x:c r="A110" s="40" t="str">
        <x:v>FT-SEED-R1B-P-0607-16</x:v>
      </x:c>
      <x:c r="B110" s="19" t="str">
        <x:v>2006–2007</x:v>
      </x:c>
      <x:c r="C110" s="25" t="n">
        <x:v>16</x:v>
      </x:c>
      <x:c r="D110" s="31" t="str">
        <x:v>damage</x:v>
      </x:c>
      <x:c r="E110" s="31" t="str">
        <x:v>generic damage</x:v>
      </x:c>
      <x:c r="F110" s="31" t="str">
        <x:v>harm_loss_consequences</x:v>
      </x:c>
      <x:c r="G110" s="31" t="str">
        <x:v>DIRECT_HEADWORD</x:v>
      </x:c>
      <x:c r="H110" s="19" t="str">
        <x:v>YES</x:v>
      </x:c>
      <x:c r="I110" s="31" t="str">
        <x:v>Webster's Revised Unabridged Dictionary (1913 public-domain headword index)</x:v>
      </x:c>
      <x:c r="J110" s="31" t="str">
        <x:v>Component headword checked: damage.</x:v>
      </x:c>
      <x:c r="K110" s="31" t="str">
        <x:v>Anchor-period research source/context; Webster 1913 stable component URL recorded but automated page retrieval was unavailable</x:v>
      </x:c>
      <x:c r="L110" s="31" t="str">
        <x:v>Generic material, ecological, or social damage; the candidate is interpreted in its documented anchor and voice context.</x:v>
      </x:c>
      <x:c r="M110" s="31" t="str">
        <x:v>A threat, risk, harm, severity, or consequence sense in the documented source; it is not automatically an emotion.</x:v>
      </x:c>
      <x:c r="N110" s="31" t="str">
        <x:v>Generic material, ecological, or social damage; the candidate is interpreted in its documented anchor and voice context.</x:v>
      </x:c>
      <x:c r="O110" s="31" t="str">
        <x:v>STRONG</x:v>
      </x:c>
      <x:c r="P110" s="19" t="str">
        <x:v>NOT_LOCATED</x:v>
      </x:c>
      <x:c r="Q110" s="31" t="str">
        <x:v>The surface form may realize multiple senses; candidate meaning remains anchored to the report-visible source context.</x:v>
      </x:c>
      <x:c r="R110" s="31" t="str">
        <x:v>https://websters1913.timcieplowski.com/word/damage/; https://api.dictionaryapi.dev/api/v2/entries/en/damage</x:v>
      </x:c>
      <x:c r="S110" s="19" t="str">
        <x:v>2026-08-26</x:v>
      </x:c>
      <x:c r="T110" s="43" t="str">
        <x:v>RECONSTRUCTED_FROM_REPORT; Fear of Temperature_ Stratified Lexical Expansion, Voice Mapping, and Semantic-Relational Pre-Valida.pdf; p.10; project candidate FT-SEED-R1B-P-0607-16; original visible ID not available</x:v>
      </x:c>
    </x:row>
    <x:row r="111" ht="38" customHeight="1">
      <x:c r="A111" s="40" t="str">
        <x:v>FT-SEED-R1B-P-0607-17</x:v>
      </x:c>
      <x:c r="B111" s="19" t="str">
        <x:v>2006–2007</x:v>
      </x:c>
      <x:c r="C111" s="25" t="n">
        <x:v>17</x:v>
      </x:c>
      <x:c r="D111" s="31" t="str">
        <x:v>hunger</x:v>
      </x:c>
      <x:c r="E111" s="31" t="str">
        <x:v>generic damage</x:v>
      </x:c>
      <x:c r="F111" s="31" t="str">
        <x:v>harm_loss_consequences</x:v>
      </x:c>
      <x:c r="G111" s="31" t="str">
        <x:v>DIRECT_HEADWORD</x:v>
      </x:c>
      <x:c r="H111" s="19" t="str">
        <x:v>YES</x:v>
      </x:c>
      <x:c r="I111" s="31" t="str">
        <x:v>Webster's Revised Unabridged Dictionary (1913 public-domain headword index)</x:v>
      </x:c>
      <x:c r="J111" s="31" t="str">
        <x:v>Component headword checked: hunger.</x:v>
      </x:c>
      <x:c r="K111" s="31" t="str">
        <x:v>Anchor-period research source/context; Webster 1913 stable component URL recorded but automated page retrieval was unavailable</x:v>
      </x:c>
      <x:c r="L111" s="31" t="str">
        <x:v>Generic material, ecological, or social damage; the candidate is interpreted in its documented anchor and voice context.</x:v>
      </x:c>
      <x:c r="M111" s="31" t="str">
        <x:v>A threat, risk, harm, severity, or consequence sense in the documented source; it is not automatically an emotion.</x:v>
      </x:c>
      <x:c r="N111" s="31" t="str">
        <x:v>Generic material, ecological, or social damage; the candidate is interpreted in its documented anchor and voice context.</x:v>
      </x:c>
      <x:c r="O111" s="31" t="str">
        <x:v>STRONG</x:v>
      </x:c>
      <x:c r="P111" s="19" t="str">
        <x:v>NOT_LOCATED</x:v>
      </x:c>
      <x:c r="Q111" s="31" t="str">
        <x:v>The surface form may realize multiple senses; candidate meaning remains anchored to the report-visible source context.</x:v>
      </x:c>
      <x:c r="R111" s="31" t="str">
        <x:v>https://websters1913.timcieplowski.com/word/hunger/; https://api.dictionaryapi.dev/api/v2/entries/en/hunger</x:v>
      </x:c>
      <x:c r="S111" s="19" t="str">
        <x:v>2026-08-26</x:v>
      </x:c>
      <x:c r="T111" s="43" t="str">
        <x:v>RECONSTRUCTED_FROM_REPORT; Fear of Temperature_ Stratified Lexical Expansion, Voice Mapping, and Semantic-Relational Pre-Valida.pdf; p.10; project candidate FT-SEED-R1B-P-0607-17; original visible ID not available</x:v>
      </x:c>
    </x:row>
    <x:row r="112" ht="38" customHeight="1">
      <x:c r="A112" s="40" t="str">
        <x:v>FT-SEED-R1B-P-0607-18</x:v>
      </x:c>
      <x:c r="B112" s="19" t="str">
        <x:v>2006–2007</x:v>
      </x:c>
      <x:c r="C112" s="25" t="n">
        <x:v>18</x:v>
      </x:c>
      <x:c r="D112" s="31" t="str">
        <x:v>water shortages</x:v>
      </x:c>
      <x:c r="E112" s="31" t="str">
        <x:v>generic damage</x:v>
      </x:c>
      <x:c r="F112" s="31" t="str">
        <x:v>harm_loss_consequences</x:v>
      </x:c>
      <x:c r="G112" s="31" t="str">
        <x:v>NO_STANDALONE_HEADWORD</x:v>
      </x:c>
      <x:c r="H112" s="19" t="str">
        <x:v>NO</x:v>
      </x:c>
      <x:c r="I112" s="31" t="str">
        <x:v>Component lexical analysis plus anchor-source contextual meaning</x:v>
      </x:c>
      <x:c r="J112" s="31" t="str">
        <x:v>Component headword checked: shortages.</x:v>
      </x:c>
      <x:c r="K112" s="31" t="str">
        <x:v>Anchor-period research source/context; Webster 1913 stable component URL recorded but automated page retrieval was unavailable</x:v>
      </x:c>
      <x:c r="L112" s="31" t="str">
        <x:v>Generic material, ecological, or social damage; the candidate is interpreted in its documented anchor and voice context.</x:v>
      </x:c>
      <x:c r="M112" s="31" t="str">
        <x:v>A threat, risk, harm, severity, or consequence sense in the documented source; it is not automatically an emotion.</x:v>
      </x:c>
      <x:c r="N112" s="31" t="str">
        <x:v>Generic material, ecological, or social damage; the candidate is interpreted in its documented anchor and voice context.</x:v>
      </x:c>
      <x:c r="O112" s="31" t="str">
        <x:v>STRONG</x:v>
      </x:c>
      <x:c r="P112" s="19" t="str">
        <x:v>NOT_LOCATED</x:v>
      </x:c>
      <x:c r="Q112" s="31" t="str">
        <x:v>The surface form may realize multiple senses; candidate meaning remains anchored to the report-visible source context.</x:v>
      </x:c>
      <x:c r="R112" s="31" t="str">
        <x:v>Fear of Temperature_ Stratified Lexical Expansion, Voice Mapping, and Semantic-Relational Pre-Valida.pdf#page=10; https://api.dictionaryapi.dev/api/v2/entries/en/water%20shortages; https://websters1913.timcieplowski.com/word/shortages/</x:v>
      </x:c>
      <x:c r="S112" s="19" t="str">
        <x:v>2026-08-26</x:v>
      </x:c>
      <x:c r="T112" s="43" t="str">
        <x:v>RECONSTRUCTED_FROM_REPORT; Fear of Temperature_ Stratified Lexical Expansion, Voice Mapping, and Semantic-Relational Pre-Valida.pdf; p.10; project candidate FT-SEED-R1B-P-0607-18; original visible ID not available</x:v>
      </x:c>
    </x:row>
    <x:row r="113" ht="38" customHeight="1">
      <x:c r="A113" s="40" t="str">
        <x:v>FT-SEED-R1B-P-0607-19</x:v>
      </x:c>
      <x:c r="B113" s="19" t="str">
        <x:v>2006–2007</x:v>
      </x:c>
      <x:c r="C113" s="25" t="n">
        <x:v>19</x:v>
      </x:c>
      <x:c r="D113" s="31" t="str">
        <x:v>coastal flooding</x:v>
      </x:c>
      <x:c r="E113" s="31" t="str">
        <x:v>generic damage</x:v>
      </x:c>
      <x:c r="F113" s="31" t="str">
        <x:v>harm_loss_consequences</x:v>
      </x:c>
      <x:c r="G113" s="31" t="str">
        <x:v>NO_STANDALONE_HEADWORD</x:v>
      </x:c>
      <x:c r="H113" s="19" t="str">
        <x:v>NO</x:v>
      </x:c>
      <x:c r="I113" s="31" t="str">
        <x:v>Component lexical analysis plus anchor-source contextual meaning</x:v>
      </x:c>
      <x:c r="J113" s="31" t="str">
        <x:v>Component headword checked: flooding.</x:v>
      </x:c>
      <x:c r="K113" s="31" t="str">
        <x:v>Anchor-period research source/context; Webster 1913 stable component URL recorded but automated page retrieval was unavailable</x:v>
      </x:c>
      <x:c r="L113" s="31" t="str">
        <x:v>Generic material, ecological, or social damage; the candidate is interpreted in its documented anchor and voice context.</x:v>
      </x:c>
      <x:c r="M113" s="31" t="str">
        <x:v>A threat, risk, harm, severity, or consequence sense in the documented source; it is not automatically an emotion.</x:v>
      </x:c>
      <x:c r="N113" s="31" t="str">
        <x:v>Generic material, ecological, or social damage; the candidate is interpreted in its documented anchor and voice context.</x:v>
      </x:c>
      <x:c r="O113" s="31" t="str">
        <x:v>STRONG</x:v>
      </x:c>
      <x:c r="P113" s="19" t="str">
        <x:v>NOT_LOCATED</x:v>
      </x:c>
      <x:c r="Q113" s="31" t="str">
        <x:v>The surface form may realize multiple senses; candidate meaning remains anchored to the report-visible source context.</x:v>
      </x:c>
      <x:c r="R113" s="31" t="str">
        <x:v>Fear of Temperature_ Stratified Lexical Expansion, Voice Mapping, and Semantic-Relational Pre-Valida.pdf#page=10; https://api.dictionaryapi.dev/api/v2/entries/en/coastal%20flooding; https://websters1913.timcieplowski.com/word/flooding/</x:v>
      </x:c>
      <x:c r="S113" s="19" t="str">
        <x:v>2026-08-26</x:v>
      </x:c>
      <x:c r="T113" s="43" t="str">
        <x:v>RECONSTRUCTED_FROM_REPORT; Fear of Temperature_ Stratified Lexical Expansion, Voice Mapping, and Semantic-Relational Pre-Valida.pdf; p.10; project candidate FT-SEED-R1B-P-0607-19; original visible ID not available</x:v>
      </x:c>
    </x:row>
    <x:row r="114" ht="38" customHeight="1">
      <x:c r="A114" s="40" t="str">
        <x:v>FT-SEED-R1B-P-0607-20</x:v>
      </x:c>
      <x:c r="B114" s="19" t="str">
        <x:v>2006–2007</x:v>
      </x:c>
      <x:c r="C114" s="25" t="n">
        <x:v>20</x:v>
      </x:c>
      <x:c r="D114" s="31" t="str">
        <x:v>worst impacts</x:v>
      </x:c>
      <x:c r="E114" s="31" t="str">
        <x:v>generic damage</x:v>
      </x:c>
      <x:c r="F114" s="31" t="str">
        <x:v>harm_loss_consequences</x:v>
      </x:c>
      <x:c r="G114" s="31" t="str">
        <x:v>NO_STANDALONE_HEADWORD</x:v>
      </x:c>
      <x:c r="H114" s="19" t="str">
        <x:v>NO</x:v>
      </x:c>
      <x:c r="I114" s="31" t="str">
        <x:v>Component lexical analysis plus anchor-source contextual meaning</x:v>
      </x:c>
      <x:c r="J114" s="31" t="str">
        <x:v>Component headword checked: impacts.</x:v>
      </x:c>
      <x:c r="K114" s="31" t="str">
        <x:v>Anchor-period research source/context; Webster 1913 stable component URL recorded but automated page retrieval was unavailable</x:v>
      </x:c>
      <x:c r="L114" s="31" t="str">
        <x:v>Generic material, ecological, or social damage; the candidate is interpreted in its documented anchor and voice context.</x:v>
      </x:c>
      <x:c r="M114" s="31" t="str">
        <x:v>A threat, risk, harm, severity, or consequence sense in the documented source; it is not automatically an emotion.</x:v>
      </x:c>
      <x:c r="N114" s="31" t="str">
        <x:v>Generic material, ecological, or social damage; the candidate is interpreted in its documented anchor and voice context.</x:v>
      </x:c>
      <x:c r="O114" s="31" t="str">
        <x:v>STRONG</x:v>
      </x:c>
      <x:c r="P114" s="19" t="str">
        <x:v>NOT_LOCATED</x:v>
      </x:c>
      <x:c r="Q114" s="31" t="str">
        <x:v>The surface form may realize multiple senses; candidate meaning remains anchored to the report-visible source context.</x:v>
      </x:c>
      <x:c r="R114" s="31" t="str">
        <x:v>Fear of Temperature_ Stratified Lexical Expansion, Voice Mapping, and Semantic-Relational Pre-Valida.pdf#page=10; https://api.dictionaryapi.dev/api/v2/entries/en/worst%20impacts; https://websters1913.timcieplowski.com/word/impacts/</x:v>
      </x:c>
      <x:c r="S114" s="19" t="str">
        <x:v>2026-08-26</x:v>
      </x:c>
      <x:c r="T114" s="43" t="str">
        <x:v>RECONSTRUCTED_FROM_REPORT; Fear of Temperature_ Stratified Lexical Expansion, Voice Mapping, and Semantic-Relational Pre-Valida.pdf; p.10; project candidate FT-SEED-R1B-P-0607-20; original visible ID not available</x:v>
      </x:c>
    </x:row>
    <x:row r="115" ht="38" customHeight="1">
      <x:c r="A115" s="40" t="str">
        <x:v>FT-SEED-R1B-P-0607-21</x:v>
      </x:c>
      <x:c r="B115" s="19" t="str">
        <x:v>2006–2007</x:v>
      </x:c>
      <x:c r="C115" s="25" t="n">
        <x:v>21</x:v>
      </x:c>
      <x:c r="D115" s="31" t="str">
        <x:v>Be Worried. Be Very Worried.</x:v>
      </x:c>
      <x:c r="E115" s="31" t="str">
        <x:v>prescribed worry</x:v>
      </x:c>
      <x:c r="F115" s="31" t="str">
        <x:v>worry</x:v>
      </x:c>
      <x:c r="G115" s="31" t="str">
        <x:v>NO_STANDALONE_HEADWORD</x:v>
      </x:c>
      <x:c r="H115" s="19" t="str">
        <x:v>NO</x:v>
      </x:c>
      <x:c r="I115" s="31" t="str">
        <x:v>Component lexical analysis plus anchor-source contextual meaning</x:v>
      </x:c>
      <x:c r="J115" s="31" t="str">
        <x:v>Component headword checked: worried.</x:v>
      </x:c>
      <x:c r="K115" s="31" t="str">
        <x:v>Anchor-period research source/context; Webster 1913 stable component URL recorded but automated page retrieval was unavailable</x:v>
      </x:c>
      <x:c r="L115" s="31" t="str">
        <x:v>Worry explicitly prescribed to an audience by a communicator; the candidate is interpreted in its documented anchor and voice context.</x:v>
      </x:c>
      <x:c r="M115" s="31" t="str">
        <x:v>A mediated-public imperative prescribing worry to readers; it does not establish that readers experienced the prescribed emotion.</x:v>
      </x:c>
      <x:c r="N115" s="31" t="str">
        <x:v>A modern media imperative prescribing worry to an audience; it is not evidence that the audience experienced or endorsed the emotion.</x:v>
      </x:c>
      <x:c r="O115" s="31" t="str">
        <x:v>STRONG</x:v>
      </x:c>
      <x:c r="P115" s="19" t="str">
        <x:v>NOT_LOCATED</x:v>
      </x:c>
      <x:c r="Q115" s="31" t="str">
        <x:v>Imperative wording must be separated from audience reception and participant-generated affect.</x:v>
      </x:c>
      <x:c r="R115" s="31" t="str">
        <x:v>Fear of Temperature_ Stratified Lexical Expansion, Voice Mapping, and Semantic-Relational Pre-Valida.pdf#page=10; https://api.dictionaryapi.dev/api/v2/entries/en/Be%20Worried.%20Be%20Very%20Worried.; https://websters1913.timcieplowski.com/word/worried/</x:v>
      </x:c>
      <x:c r="S115" s="19" t="str">
        <x:v>2026-08-26</x:v>
      </x:c>
      <x:c r="T115" s="43" t="str">
        <x:v>RECONSTRUCTED_FROM_REPORT; Fear of Temperature_ Stratified Lexical Expansion, Voice Mapping, and Semantic-Relational Pre-Valida.pdf; p.10; project candidate FT-SEED-R1B-P-0607-21; original visible ID not available</x:v>
      </x:c>
    </x:row>
    <x:row r="116" ht="38" customHeight="1">
      <x:c r="A116" s="40" t="str">
        <x:v>FT-SEED-R1B-P-0607-22</x:v>
      </x:c>
      <x:c r="B116" s="19" t="str">
        <x:v>2006–2007</x:v>
      </x:c>
      <x:c r="C116" s="25" t="n">
        <x:v>22</x:v>
      </x:c>
      <x:c r="D116" s="31" t="str">
        <x:v>personally worry</x:v>
      </x:c>
      <x:c r="E116" s="31" t="str">
        <x:v>elicited worry category</x:v>
      </x:c>
      <x:c r="F116" s="31" t="str">
        <x:v>worry</x:v>
      </x:c>
      <x:c r="G116" s="31" t="str">
        <x:v>NO_STANDALONE_HEADWORD</x:v>
      </x:c>
      <x:c r="H116" s="19" t="str">
        <x:v>NO</x:v>
      </x:c>
      <x:c r="I116" s="31" t="str">
        <x:v>Component lexical analysis plus anchor-source contextual meaning</x:v>
      </x:c>
      <x:c r="J116" s="31" t="str">
        <x:v>Component headword checked: worry.</x:v>
      </x:c>
      <x:c r="K116" s="31" t="str">
        <x:v>Anchor-period research source/context; Webster 1913 stable component URL recorded but automated page retrieval was unavailable</x:v>
      </x:c>
      <x:c r="L116" s="31" t="str">
        <x:v>Worry wording supplied by a survey or other instrument; the candidate is interpreted in its documented anchor and voice context.</x:v>
      </x:c>
      <x:c r="M116" s="31" t="str">
        <x:v>Survey or instrument wording used to elicit and classify participant endorsement; the response may be participant evidence, but the lexical wording is supplied.</x:v>
      </x:c>
      <x:c r="N116" s="31" t="str">
        <x:v>Contemporary worry wording may describe affect, but in the cited survey setting it is instrument-supplied and participant endorsement is elicited rather than spontaneous.</x:v>
      </x:c>
      <x:c r="O116" s="31" t="str">
        <x:v>STRONG</x:v>
      </x:c>
      <x:c r="P116" s="19" t="str">
        <x:v>NOT_LOCATED</x:v>
      </x:c>
      <x:c r="Q116" s="31" t="str">
        <x:v>Elicited endorsement, question wording, and spontaneous participant vocabulary are distinct provenance states.</x:v>
      </x:c>
      <x:c r="R116" s="31" t="str">
        <x:v>Fear of Temperature_ Stratified Lexical Expansion, Voice Mapping, and Semantic-Relational Pre-Valida.pdf#page=10; https://api.dictionaryapi.dev/api/v2/entries/en/personally%20worry; https://websters1913.timcieplowski.com/word/worry/</x:v>
      </x:c>
      <x:c r="S116" s="19" t="str">
        <x:v>2026-08-26</x:v>
      </x:c>
      <x:c r="T116" s="43" t="str">
        <x:v>RECONSTRUCTED_FROM_REPORT; Fear of Temperature_ Stratified Lexical Expansion, Voice Mapping, and Semantic-Relational Pre-Valida.pdf; p.10; project candidate FT-SEED-R1B-P-0607-22; original visible ID not available</x:v>
      </x:c>
    </x:row>
    <x:row r="117" ht="38" customHeight="1">
      <x:c r="A117" s="40" t="str">
        <x:v>FT-SEED-R1B-P-0607-23</x:v>
      </x:c>
      <x:c r="B117" s="19" t="str">
        <x:v>2006–2007</x:v>
      </x:c>
      <x:c r="C117" s="25" t="n">
        <x:v>23</x:v>
      </x:c>
      <x:c r="D117" s="31" t="str">
        <x:v>worry a great deal</x:v>
      </x:c>
      <x:c r="E117" s="31" t="str">
        <x:v>elicited worry category</x:v>
      </x:c>
      <x:c r="F117" s="31" t="str">
        <x:v>worry</x:v>
      </x:c>
      <x:c r="G117" s="31" t="str">
        <x:v>NO_STANDALONE_HEADWORD</x:v>
      </x:c>
      <x:c r="H117" s="19" t="str">
        <x:v>NO</x:v>
      </x:c>
      <x:c r="I117" s="31" t="str">
        <x:v>Component lexical analysis plus anchor-source contextual meaning</x:v>
      </x:c>
      <x:c r="J117" s="31" t="str">
        <x:v>Component headword checked: deal.</x:v>
      </x:c>
      <x:c r="K117" s="31" t="str">
        <x:v>Anchor-period research source/context; Webster 1913 stable component URL recorded but automated page retrieval was unavailable</x:v>
      </x:c>
      <x:c r="L117" s="31" t="str">
        <x:v>Worry wording supplied by a survey or other instrument; the candidate is interpreted in its documented anchor and voice context.</x:v>
      </x:c>
      <x:c r="M117" s="31" t="str">
        <x:v>Survey or instrument wording used to elicit and classify participant endorsement; the response may be participant evidence, but the lexical wording is supplied.</x:v>
      </x:c>
      <x:c r="N117" s="31" t="str">
        <x:v>Worry wording supplied by a survey or other instrument; the candidate is interpreted in its documented anchor and voice context.</x:v>
      </x:c>
      <x:c r="O117" s="31" t="str">
        <x:v>STRONG</x:v>
      </x:c>
      <x:c r="P117" s="19" t="str">
        <x:v>NOT_LOCATED</x:v>
      </x:c>
      <x:c r="Q117" s="31" t="str">
        <x:v>Elicited endorsement, question wording, and spontaneous participant vocabulary are distinct provenance states.</x:v>
      </x:c>
      <x:c r="R117" s="31" t="str">
        <x:v>Fear of Temperature_ Stratified Lexical Expansion, Voice Mapping, and Semantic-Relational Pre-Valida.pdf#page=10; https://api.dictionaryapi.dev/api/v2/entries/en/worry%20a%20great%20deal; https://websters1913.timcieplowski.com/word/deal/</x:v>
      </x:c>
      <x:c r="S117" s="19" t="str">
        <x:v>2026-08-26</x:v>
      </x:c>
      <x:c r="T117" s="43" t="str">
        <x:v>RECONSTRUCTED_FROM_REPORT; Fear of Temperature_ Stratified Lexical Expansion, Voice Mapping, and Semantic-Relational Pre-Valida.pdf; p.10; project candidate FT-SEED-R1B-P-0607-23; original visible ID not available</x:v>
      </x:c>
    </x:row>
    <x:row r="118" ht="38" customHeight="1">
      <x:c r="A118" s="40" t="str">
        <x:v>FT-SEED-R1B-P-0607-24</x:v>
      </x:c>
      <x:c r="B118" s="19" t="str">
        <x:v>2006–2007</x:v>
      </x:c>
      <x:c r="C118" s="25" t="n">
        <x:v>24</x:v>
      </x:c>
      <x:c r="D118" s="31" t="str">
        <x:v>serious problem</x:v>
      </x:c>
      <x:c r="E118" s="31" t="str">
        <x:v>generic damage</x:v>
      </x:c>
      <x:c r="F118" s="31" t="str">
        <x:v>harm_loss_consequences</x:v>
      </x:c>
      <x:c r="G118" s="31" t="str">
        <x:v>NO_STANDALONE_HEADWORD</x:v>
      </x:c>
      <x:c r="H118" s="19" t="str">
        <x:v>NO</x:v>
      </x:c>
      <x:c r="I118" s="31" t="str">
        <x:v>Component lexical analysis plus anchor-source contextual meaning</x:v>
      </x:c>
      <x:c r="J118" s="31" t="str">
        <x:v>Component headword checked: problem.</x:v>
      </x:c>
      <x:c r="K118" s="31" t="str">
        <x:v>Anchor-period research source/context; Webster 1913 stable component URL recorded but automated page retrieval was unavailable</x:v>
      </x:c>
      <x:c r="L118" s="31" t="str">
        <x:v>Generic material, ecological, or social damage; the candidate is interpreted in its documented anchor and voice context.</x:v>
      </x:c>
      <x:c r="M118" s="31" t="str">
        <x:v>A threat, risk, harm, severity, or consequence sense in the documented source; it is not automatically an emotion.</x:v>
      </x:c>
      <x:c r="N118" s="31" t="str">
        <x:v>Generic material, ecological, or social damage; the candidate is interpreted in its documented anchor and voice context.</x:v>
      </x:c>
      <x:c r="O118" s="31" t="str">
        <x:v>STRONG</x:v>
      </x:c>
      <x:c r="P118" s="19" t="str">
        <x:v>NOT_LOCATED</x:v>
      </x:c>
      <x:c r="Q118" s="31" t="str">
        <x:v>The surface form may realize multiple senses; candidate meaning remains anchored to the report-visible source context.</x:v>
      </x:c>
      <x:c r="R118" s="31" t="str">
        <x:v>Fear of Temperature_ Stratified Lexical Expansion, Voice Mapping, and Semantic-Relational Pre-Valida.pdf#page=10; https://api.dictionaryapi.dev/api/v2/entries/en/serious%20problem; https://websters1913.timcieplowski.com/word/problem/</x:v>
      </x:c>
      <x:c r="S118" s="19" t="str">
        <x:v>2026-08-26</x:v>
      </x:c>
      <x:c r="T118" s="43" t="str">
        <x:v>RECONSTRUCTED_FROM_REPORT; Fear of Temperature_ Stratified Lexical Expansion, Voice Mapping, and Semantic-Relational Pre-Valida.pdf; p.10; project candidate FT-SEED-R1B-P-0607-24; original visible ID not available</x:v>
      </x:c>
    </x:row>
    <x:row r="119" ht="38" customHeight="1">
      <x:c r="A119" s="40" t="str">
        <x:v>FT-SEED-R1B-P-0607-25</x:v>
      </x:c>
      <x:c r="B119" s="19" t="str">
        <x:v>2006–2007</x:v>
      </x:c>
      <x:c r="C119" s="25" t="n">
        <x:v>25</x:v>
      </x:c>
      <x:c r="D119" s="31" t="str">
        <x:v>danger</x:v>
      </x:c>
      <x:c r="E119" s="31" t="str">
        <x:v>hazard evaluation</x:v>
      </x:c>
      <x:c r="F119" s="31" t="str">
        <x:v>danger_threat</x:v>
      </x:c>
      <x:c r="G119" s="31" t="str">
        <x:v>DIRECT_HEADWORD</x:v>
      </x:c>
      <x:c r="H119" s="19" t="str">
        <x:v>YES</x:v>
      </x:c>
      <x:c r="I119" s="31" t="str">
        <x:v>Webster's Revised Unabridged Dictionary (1913 public-domain headword index)</x:v>
      </x:c>
      <x:c r="J119" s="31" t="str">
        <x:v>Component headword checked: danger.</x:v>
      </x:c>
      <x:c r="K119" s="31" t="str">
        <x:v>Anchor-period research source/context; Webster 1913 stable component URL recorded but automated page retrieval was unavailable</x:v>
      </x:c>
      <x:c r="L119" s="31" t="str">
        <x:v>Danger or threat evaluation of a specified hazard; the candidate is interpreted in its documented anchor and voice context.</x:v>
      </x:c>
      <x:c r="M119" s="31" t="str">
        <x:v>A threat, risk, harm, severity, or consequence sense in the documented source; it is not automatically an emotion.</x:v>
      </x:c>
      <x:c r="N119" s="31" t="str">
        <x:v>Danger or threat evaluation of a specified hazard; the candidate is interpreted in its documented anchor and voice context.</x:v>
      </x:c>
      <x:c r="O119" s="31" t="str">
        <x:v>STRONG</x:v>
      </x:c>
      <x:c r="P119" s="19" t="str">
        <x:v>NOT_LOCATED</x:v>
      </x:c>
      <x:c r="Q119" s="31" t="str">
        <x:v>The surface form may realize multiple senses; candidate meaning remains anchored to the report-visible source context.</x:v>
      </x:c>
      <x:c r="R119" s="31" t="str">
        <x:v>https://websters1913.timcieplowski.com/word/danger/; https://api.dictionaryapi.dev/api/v2/entries/en/danger</x:v>
      </x:c>
      <x:c r="S119" s="19" t="str">
        <x:v>2026-08-26</x:v>
      </x:c>
      <x:c r="T119" s="43" t="str">
        <x:v>RECONSTRUCTED_FROM_REPORT; Fear of Temperature_ Stratified Lexical Expansion, Voice Mapping, and Semantic-Relational Pre-Valida.pdf; p.10; project candidate FT-SEED-R1B-P-0607-25; original visible ID not available</x:v>
      </x:c>
    </x:row>
    <x:row r="120" ht="38" customHeight="1">
      <x:c r="A120" s="40" t="str">
        <x:v>FT-SEED-R1B-P-0607-26</x:v>
      </x:c>
      <x:c r="B120" s="19" t="str">
        <x:v>2006–2007</x:v>
      </x:c>
      <x:c r="C120" s="25" t="n">
        <x:v>26</x:v>
      </x:c>
      <x:c r="D120" s="31" t="str">
        <x:v>urgent threat</x:v>
      </x:c>
      <x:c r="E120" s="31" t="str">
        <x:v>institutional climate threat</x:v>
      </x:c>
      <x:c r="F120" s="31" t="str">
        <x:v>danger_threat</x:v>
      </x:c>
      <x:c r="G120" s="31" t="str">
        <x:v>NO_STANDALONE_HEADWORD</x:v>
      </x:c>
      <x:c r="H120" s="19" t="str">
        <x:v>NO</x:v>
      </x:c>
      <x:c r="I120" s="31" t="str">
        <x:v>Component lexical analysis plus anchor-source contextual meaning</x:v>
      </x:c>
      <x:c r="J120" s="31" t="str">
        <x:v>Component headword checked: threat.</x:v>
      </x:c>
      <x:c r="K120" s="31" t="str">
        <x:v>Anchor-period research source/context; Webster 1913 stable component URL recorded but automated page retrieval was unavailable</x:v>
      </x:c>
      <x:c r="L120" s="31" t="str">
        <x:v>Climate change framed as an institutional threat; the candidate is interpreted in its documented anchor and voice context.</x:v>
      </x:c>
      <x:c r="M120" s="31" t="str">
        <x:v>A threat, risk, harm, severity, or consequence sense in the documented source; it is not automatically an emotion.</x:v>
      </x:c>
      <x:c r="N120" s="31" t="str">
        <x:v>Climate change framed as an institutional threat; the candidate is interpreted in its documented anchor and voice context.</x:v>
      </x:c>
      <x:c r="O120" s="31" t="str">
        <x:v>STRONG</x:v>
      </x:c>
      <x:c r="P120" s="19" t="str">
        <x:v>NOT_LOCATED</x:v>
      </x:c>
      <x:c r="Q120" s="31" t="str">
        <x:v>The surface form may realize multiple senses; candidate meaning remains anchored to the report-visible source context.</x:v>
      </x:c>
      <x:c r="R120" s="31" t="str">
        <x:v>Fear of Temperature_ Stratified Lexical Expansion, Voice Mapping, and Semantic-Relational Pre-Valida.pdf#page=10; https://api.dictionaryapi.dev/api/v2/entries/en/urgent%20threat; https://websters1913.timcieplowski.com/word/threat/</x:v>
      </x:c>
      <x:c r="S120" s="19" t="str">
        <x:v>2026-08-26</x:v>
      </x:c>
      <x:c r="T120" s="43" t="str">
        <x:v>RECONSTRUCTED_FROM_REPORT; Fear of Temperature_ Stratified Lexical Expansion, Voice Mapping, and Semantic-Relational Pre-Valida.pdf; p.10; project candidate FT-SEED-R1B-P-0607-26; original visible ID not available</x:v>
      </x:c>
    </x:row>
    <x:row r="121" ht="38" customHeight="1">
      <x:c r="A121" s="40" t="str">
        <x:v>FT-SEED-R1B-P-0607-27</x:v>
      </x:c>
      <x:c r="B121" s="19" t="str">
        <x:v>2006–2007</x:v>
      </x:c>
      <x:c r="C121" s="25" t="n">
        <x:v>27</x:v>
      </x:c>
      <x:c r="D121" s="31" t="str">
        <x:v>dangerous impacts</x:v>
      </x:c>
      <x:c r="E121" s="31" t="str">
        <x:v>institutional climate threat</x:v>
      </x:c>
      <x:c r="F121" s="31" t="str">
        <x:v>danger_threat</x:v>
      </x:c>
      <x:c r="G121" s="31" t="str">
        <x:v>NO_STANDALONE_HEADWORD</x:v>
      </x:c>
      <x:c r="H121" s="19" t="str">
        <x:v>NO</x:v>
      </x:c>
      <x:c r="I121" s="31" t="str">
        <x:v>Component lexical analysis plus anchor-source contextual meaning</x:v>
      </x:c>
      <x:c r="J121" s="31" t="str">
        <x:v>Component headword checked: impacts.</x:v>
      </x:c>
      <x:c r="K121" s="31" t="str">
        <x:v>Anchor-period research source/context; Webster 1913 stable component URL recorded but automated page retrieval was unavailable</x:v>
      </x:c>
      <x:c r="L121" s="31" t="str">
        <x:v>Climate change framed as an institutional threat; the candidate is interpreted in its documented anchor and voice context.</x:v>
      </x:c>
      <x:c r="M121" s="31" t="str">
        <x:v>A threat, risk, harm, severity, or consequence sense in the documented source; it is not automatically an emotion.</x:v>
      </x:c>
      <x:c r="N121" s="31" t="str">
        <x:v>Climate change framed as an institutional threat; the candidate is interpreted in its documented anchor and voice context.</x:v>
      </x:c>
      <x:c r="O121" s="31" t="str">
        <x:v>STRONG</x:v>
      </x:c>
      <x:c r="P121" s="19" t="str">
        <x:v>NOT_LOCATED</x:v>
      </x:c>
      <x:c r="Q121" s="31" t="str">
        <x:v>The surface form may realize multiple senses; candidate meaning remains anchored to the report-visible source context.</x:v>
      </x:c>
      <x:c r="R121" s="31" t="str">
        <x:v>Fear of Temperature_ Stratified Lexical Expansion, Voice Mapping, and Semantic-Relational Pre-Valida.pdf#page=10; https://api.dictionaryapi.dev/api/v2/entries/en/dangerous%20impacts; https://websters1913.timcieplowski.com/word/impacts/</x:v>
      </x:c>
      <x:c r="S121" s="19" t="str">
        <x:v>2026-08-26</x:v>
      </x:c>
      <x:c r="T121" s="43" t="str">
        <x:v>RECONSTRUCTED_FROM_REPORT; Fear of Temperature_ Stratified Lexical Expansion, Voice Mapping, and Semantic-Relational Pre-Valida.pdf; p.10; project candidate FT-SEED-R1B-P-0607-27; original visible ID not available</x:v>
      </x:c>
    </x:row>
    <x:row r="122" ht="38" customHeight="1">
      <x:c r="A122" s="40" t="str">
        <x:v>FT-SEED-R1B-P-0607-28</x:v>
      </x:c>
      <x:c r="B122" s="19" t="str">
        <x:v>2006–2007</x:v>
      </x:c>
      <x:c r="C122" s="25" t="n">
        <x:v>28</x:v>
      </x:c>
      <x:c r="D122" s="31" t="str">
        <x:v>drastic action</x:v>
      </x:c>
      <x:c r="E122" s="31" t="str">
        <x:v>generic damage</x:v>
      </x:c>
      <x:c r="F122" s="31" t="str">
        <x:v>harm_loss_consequences</x:v>
      </x:c>
      <x:c r="G122" s="31" t="str">
        <x:v>NO_STANDALONE_HEADWORD</x:v>
      </x:c>
      <x:c r="H122" s="19" t="str">
        <x:v>NO</x:v>
      </x:c>
      <x:c r="I122" s="31" t="str">
        <x:v>Component lexical analysis plus anchor-source contextual meaning</x:v>
      </x:c>
      <x:c r="J122" s="31" t="str">
        <x:v>Component headword checked: action.</x:v>
      </x:c>
      <x:c r="K122" s="31" t="str">
        <x:v>Anchor-period research source/context; Webster 1913 stable component URL recorded but automated page retrieval was unavailable</x:v>
      </x:c>
      <x:c r="L122" s="31" t="str">
        <x:v>Generic material, ecological, or social damage; the candidate is interpreted in its documented anchor and voice context.</x:v>
      </x:c>
      <x:c r="M122" s="31" t="str">
        <x:v>A threat, risk, harm, severity, or consequence sense in the documented source; it is not automatically an emotion.</x:v>
      </x:c>
      <x:c r="N122" s="31" t="str">
        <x:v>Generic material, ecological, or social damage; the candidate is interpreted in its documented anchor and voice context.</x:v>
      </x:c>
      <x:c r="O122" s="31" t="str">
        <x:v>STRONG</x:v>
      </x:c>
      <x:c r="P122" s="19" t="str">
        <x:v>NOT_LOCATED</x:v>
      </x:c>
      <x:c r="Q122" s="31" t="str">
        <x:v>The surface form may realize multiple senses; candidate meaning remains anchored to the report-visible source context.</x:v>
      </x:c>
      <x:c r="R122" s="31" t="str">
        <x:v>Fear of Temperature_ Stratified Lexical Expansion, Voice Mapping, and Semantic-Relational Pre-Valida.pdf#page=10; https://api.dictionaryapi.dev/api/v2/entries/en/drastic%20action; https://websters1913.timcieplowski.com/word/action/</x:v>
      </x:c>
      <x:c r="S122" s="19" t="str">
        <x:v>2026-08-26</x:v>
      </x:c>
      <x:c r="T122" s="43" t="str">
        <x:v>RECONSTRUCTED_FROM_REPORT; Fear of Temperature_ Stratified Lexical Expansion, Voice Mapping, and Semantic-Relational Pre-Valida.pdf; p.10; project candidate FT-SEED-R1B-P-0607-28; original visible ID not available</x:v>
      </x:c>
    </x:row>
    <x:row r="123" ht="38" customHeight="1">
      <x:c r="A123" s="40" t="str">
        <x:v>FT-SEED-R1B-P-0607-29</x:v>
      </x:c>
      <x:c r="B123" s="19" t="str">
        <x:v>2006–2007</x:v>
      </x:c>
      <x:c r="C123" s="25" t="n">
        <x:v>29</x:v>
      </x:c>
      <x:c r="D123" s="31" t="str">
        <x:v>dangerous climate change</x:v>
      </x:c>
      <x:c r="E123" s="31" t="str">
        <x:v>modern climate change</x:v>
      </x:c>
      <x:c r="F123" s="31" t="str">
        <x:v>climate</x:v>
      </x:c>
      <x:c r="G123" s="31" t="str">
        <x:v>TECHNICAL_GLOSSARY</x:v>
      </x:c>
      <x:c r="H123" s="19" t="str">
        <x:v>NO</x:v>
      </x:c>
      <x:c r="I123" s="31" t="str">
        <x:v>IPCC climate-science glossary / assessment terminology</x:v>
      </x:c>
      <x:c r="J123" s="31" t="str">
        <x:v>Component headword checked: change.</x:v>
      </x:c>
      <x:c r="K123" s="31" t="str">
        <x:v>Anchor-period research source/context; Webster 1913 stable component URL recorded but automated page retrieval was unavailable</x:v>
      </x:c>
      <x:c r="L123" s="31" t="str">
        <x:v>Modern climate change as an anthropogenic scientific, public, or governance problem; the candidate is interpreted in its documented anchor and voice context.</x:v>
      </x:c>
      <x:c r="M123" s="31" t="str">
        <x:v>A threat, risk, harm, severity, or consequence sense in the documented source; it is not automatically an emotion.</x:v>
      </x:c>
      <x:c r="N123" s="31" t="str">
        <x:v>Modern climate change as an anthropogenic scientific, public, or governance problem; the candidate is interpreted in its documented anchor and voice context.</x:v>
      </x:c>
      <x:c r="O123" s="31" t="str">
        <x:v>STRONG</x:v>
      </x:c>
      <x:c r="P123" s="19" t="str">
        <x:v>NOT_LOCATED</x:v>
      </x:c>
      <x:c r="Q123" s="31" t="str">
        <x:v>The surface form may realize multiple senses; candidate meaning remains anchored to the report-visible source context.</x:v>
      </x:c>
      <x:c r="R123" s="31" t="str">
        <x:v>https://www.ipcc.ch/site/assets/uploads/2018/02/WGIIAR5-AnnexII_FINAL.pdf; https://api.dictionaryapi.dev/api/v2/entries/en/dangerous%20climate%20change; https://websters1913.timcieplowski.com/word/change/</x:v>
      </x:c>
      <x:c r="S123" s="19" t="str">
        <x:v>2026-08-26</x:v>
      </x:c>
      <x:c r="T123" s="43" t="str">
        <x:v>RECONSTRUCTED_FROM_REPORT; Fear of Temperature_ Stratified Lexical Expansion, Voice Mapping, and Semantic-Relational Pre-Valida.pdf; p.10; project candidate FT-SEED-R1B-P-0607-29; original visible ID not available</x:v>
      </x:c>
    </x:row>
    <x:row r="124" ht="38" customHeight="1">
      <x:c r="A124" s="40" t="str">
        <x:v>FT-SEED-R1B-P-0607-30</x:v>
      </x:c>
      <x:c r="B124" s="19" t="str">
        <x:v>2006–2007</x:v>
      </x:c>
      <x:c r="C124" s="25" t="n">
        <x:v>30</x:v>
      </x:c>
      <x:c r="D124" s="31" t="str">
        <x:v>threatens serious negative effects</x:v>
      </x:c>
      <x:c r="E124" s="31" t="str">
        <x:v>institutional climate threat</x:v>
      </x:c>
      <x:c r="F124" s="31" t="str">
        <x:v>danger_threat</x:v>
      </x:c>
      <x:c r="G124" s="31" t="str">
        <x:v>NO_STANDALONE_HEADWORD</x:v>
      </x:c>
      <x:c r="H124" s="19" t="str">
        <x:v>NO</x:v>
      </x:c>
      <x:c r="I124" s="31" t="str">
        <x:v>Component lexical analysis plus anchor-source contextual meaning</x:v>
      </x:c>
      <x:c r="J124" s="31" t="str">
        <x:v>Component headword checked: effects.</x:v>
      </x:c>
      <x:c r="K124" s="31" t="str">
        <x:v>Anchor-period research source/context; Webster 1913 stable component URL recorded but automated page retrieval was unavailable</x:v>
      </x:c>
      <x:c r="L124" s="31" t="str">
        <x:v>Climate change framed as an institutional threat; the candidate is interpreted in its documented anchor and voice context.</x:v>
      </x:c>
      <x:c r="M124" s="31" t="str">
        <x:v>A threat, risk, harm, severity, or consequence sense in the documented source; it is not automatically an emotion.</x:v>
      </x:c>
      <x:c r="N124" s="31" t="str">
        <x:v>Climate change framed as an institutional threat; the candidate is interpreted in its documented anchor and voice context.</x:v>
      </x:c>
      <x:c r="O124" s="31" t="str">
        <x:v>STRONG</x:v>
      </x:c>
      <x:c r="P124" s="19" t="str">
        <x:v>NOT_LOCATED</x:v>
      </x:c>
      <x:c r="Q124" s="31" t="str">
        <x:v>The surface form may realize multiple senses; candidate meaning remains anchored to the report-visible source context.</x:v>
      </x:c>
      <x:c r="R124" s="31" t="str">
        <x:v>Fear of Temperature_ Stratified Lexical Expansion, Voice Mapping, and Semantic-Relational Pre-Valida.pdf#page=10; https://api.dictionaryapi.dev/api/v2/entries/en/threatens%20serious%20negative%20effects; https://websters1913.timcieplowski.com/word/effects/</x:v>
      </x:c>
      <x:c r="S124" s="19" t="str">
        <x:v>2026-08-26</x:v>
      </x:c>
      <x:c r="T124" s="43" t="str">
        <x:v>RECONSTRUCTED_FROM_REPORT; Fear of Temperature_ Stratified Lexical Expansion, Voice Mapping, and Semantic-Relational Pre-Valida.pdf; p.10; project candidate FT-SEED-R1B-P-0607-30; original visible ID not available</x:v>
      </x:c>
    </x:row>
    <x:row r="125" ht="38" customHeight="1">
      <x:c r="A125" s="40" t="str">
        <x:v>FT-SEED-R1B-P-2015-01</x:v>
      </x:c>
      <x:c r="B125" s="19" t="str">
        <x:v>2015</x:v>
      </x:c>
      <x:c r="C125" s="25" t="n">
        <x:v>1</x:v>
      </x:c>
      <x:c r="D125" s="31" t="str">
        <x:v>climate change</x:v>
      </x:c>
      <x:c r="E125" s="31" t="str">
        <x:v>modern climate change</x:v>
      </x:c>
      <x:c r="F125" s="31" t="str">
        <x:v>climate</x:v>
      </x:c>
      <x:c r="G125" s="31" t="str">
        <x:v>TECHNICAL_GLOSSARY</x:v>
      </x:c>
      <x:c r="H125" s="19" t="str">
        <x:v>NO</x:v>
      </x:c>
      <x:c r="I125" s="31" t="str">
        <x:v>IPCC climate-science glossary / assessment terminology</x:v>
      </x:c>
      <x:c r="J125" s="31" t="str">
        <x:v>Component headword checked: change.</x:v>
      </x:c>
      <x:c r="K125" s="31" t="str">
        <x:v>Anchor-period research source/context; Webster 1913 stable component URL recorded but automated page retrieval was unavailable</x:v>
      </x:c>
      <x:c r="L125" s="31" t="str">
        <x:v>A persistent change in the state or variability of climate; institutional definitions differ on whether human attribution is required.</x:v>
      </x:c>
      <x:c r="M125" s="31" t="str">
        <x:v>The established modern issue label for sustained climatic change, used in institutional, scientific, or public contexts depending on voice.</x:v>
      </x:c>
      <x:c r="N125" s="31" t="str">
        <x:v>A persistent change in the state or variability of climate; institutional definitions differ on whether human attribution is required.</x:v>
      </x:c>
      <x:c r="O125" s="31" t="str">
        <x:v>STRONG</x:v>
      </x:c>
      <x:c r="P125" s="19" t="str">
        <x:v>NOT_LOCATED</x:v>
      </x:c>
      <x:c r="Q125" s="31" t="str">
        <x:v>The modern issue label must still be distinguished from generic change and historical climatic variability.</x:v>
      </x:c>
      <x:c r="R125" s="31" t="str">
        <x:v>https://www.ipcc.ch/site/assets/uploads/2018/02/WGIIAR5-AnnexII_FINAL.pdf; https://api.dictionaryapi.dev/api/v2/entries/en/climate%20change; https://websters1913.timcieplowski.com/word/change/</x:v>
      </x:c>
      <x:c r="S125" s="19" t="str">
        <x:v>2026-08-26</x:v>
      </x:c>
      <x:c r="T125" s="43" t="str">
        <x:v>RECONSTRUCTED_FROM_REPORT; Fear of Temperature_ Stratified Lexical Expansion, Voice Mapping, and Semantic-Relational Pre-Valida.pdf; p.11; project candidate FT-SEED-R1B-P-2015-01; original visible ID not available</x:v>
      </x:c>
    </x:row>
    <x:row r="126" ht="38" customHeight="1">
      <x:c r="A126" s="40" t="str">
        <x:v>FT-SEED-R1B-P-2015-02</x:v>
      </x:c>
      <x:c r="B126" s="19" t="str">
        <x:v>2015</x:v>
      </x:c>
      <x:c r="C126" s="25" t="n">
        <x:v>2</x:v>
      </x:c>
      <x:c r="D126" s="31" t="str">
        <x:v>threat of climate change</x:v>
      </x:c>
      <x:c r="E126" s="31" t="str">
        <x:v>modern climate change</x:v>
      </x:c>
      <x:c r="F126" s="31" t="str">
        <x:v>climate</x:v>
      </x:c>
      <x:c r="G126" s="31" t="str">
        <x:v>NO_STANDALONE_HEADWORD</x:v>
      </x:c>
      <x:c r="H126" s="19" t="str">
        <x:v>NO</x:v>
      </x:c>
      <x:c r="I126" s="31" t="str">
        <x:v>Component lexical analysis plus anchor-source contextual meaning</x:v>
      </x:c>
      <x:c r="J126" s="31" t="str">
        <x:v>Component headword checked: change.</x:v>
      </x:c>
      <x:c r="K126" s="31" t="str">
        <x:v>Anchor-period research source/context; Webster 1913 stable component URL recorded but automated page retrieval was unavailable</x:v>
      </x:c>
      <x:c r="L126" s="31" t="str">
        <x:v>Modern climate change as an anthropogenic scientific, public, or governance problem; the candidate is interpreted in its documented anchor and voice context.</x:v>
      </x:c>
      <x:c r="M126" s="31" t="str">
        <x:v>A threat, risk, harm, severity, or consequence sense in the documented source; it is not automatically an emotion.</x:v>
      </x:c>
      <x:c r="N126" s="31" t="str">
        <x:v>Modern climate change as an anthropogenic scientific, public, or governance problem; the candidate is interpreted in its documented anchor and voice context.</x:v>
      </x:c>
      <x:c r="O126" s="31" t="str">
        <x:v>STRONG</x:v>
      </x:c>
      <x:c r="P126" s="19" t="str">
        <x:v>NOT_LOCATED</x:v>
      </x:c>
      <x:c r="Q126" s="31" t="str">
        <x:v>The surface form may realize multiple senses; candidate meaning remains anchored to the report-visible source context.</x:v>
      </x:c>
      <x:c r="R126" s="31" t="str">
        <x:v>Fear of Temperature_ Stratified Lexical Expansion, Voice Mapping, and Semantic-Relational Pre-Valida.pdf#page=11; https://api.dictionaryapi.dev/api/v2/entries/en/threat%20of%20climate%20change; https://websters1913.timcieplowski.com/word/change/</x:v>
      </x:c>
      <x:c r="S126" s="19" t="str">
        <x:v>2026-08-26</x:v>
      </x:c>
      <x:c r="T126" s="43" t="str">
        <x:v>RECONSTRUCTED_FROM_REPORT; Fear of Temperature_ Stratified Lexical Expansion, Voice Mapping, and Semantic-Relational Pre-Valida.pdf; p.11; project candidate FT-SEED-R1B-P-2015-02; original visible ID not available</x:v>
      </x:c>
    </x:row>
    <x:row r="127" ht="38" customHeight="1">
      <x:c r="A127" s="40" t="str">
        <x:v>FT-SEED-R1B-P-2015-03</x:v>
      </x:c>
      <x:c r="B127" s="19" t="str">
        <x:v>2015</x:v>
      </x:c>
      <x:c r="C127" s="25" t="n">
        <x:v>3</x:v>
      </x:c>
      <x:c r="D127" s="31" t="str">
        <x:v>global average temperature</x:v>
      </x:c>
      <x:c r="E127" s="31" t="str">
        <x:v>global aggregate temperature</x:v>
      </x:c>
      <x:c r="F127" s="31" t="str">
        <x:v>temperature_threshold</x:v>
      </x:c>
      <x:c r="G127" s="31" t="str">
        <x:v>TECHNICAL_GLOSSARY</x:v>
      </x:c>
      <x:c r="H127" s="19" t="str">
        <x:v>NO</x:v>
      </x:c>
      <x:c r="I127" s="31" t="str">
        <x:v>IPCC climate-science glossary / assessment terminology</x:v>
      </x:c>
      <x:c r="J127" s="31" t="str">
        <x:v>Component headword checked: temperature.</x:v>
      </x:c>
      <x:c r="K127" s="31" t="str">
        <x:v>Anchor-period research source/context; Webster 1913 stable component URL recorded but automated page retrieval was unavailable</x:v>
      </x:c>
      <x:c r="L127" s="31" t="str">
        <x:v>A global-scale aggregate temperature metric; the candidate is interpreted in its documented anchor and voice context.</x:v>
      </x:c>
      <x:c r="M127" s="31" t="str">
        <x:v>A physical temperature, warming, heat, or measurement sense in the documented anchor context.</x:v>
      </x:c>
      <x:c r="N127" s="31" t="str">
        <x:v>A global-scale aggregate temperature metric; the candidate is interpreted in its documented anchor and voice context.</x:v>
      </x:c>
      <x:c r="O127" s="31" t="str">
        <x:v>STRONG</x:v>
      </x:c>
      <x:c r="P127" s="19" t="str">
        <x:v>NOT_LOCATED</x:v>
      </x:c>
      <x:c r="Q127" s="31" t="str">
        <x:v>The surface form may realize multiple senses; candidate meaning remains anchored to the report-visible source context.</x:v>
      </x:c>
      <x:c r="R127" s="31" t="str">
        <x:v>https://www.ipcc.ch/site/assets/uploads/2018/02/WGIIAR5-AnnexII_FINAL.pdf; https://api.dictionaryapi.dev/api/v2/entries/en/global%20average%20temperature; https://websters1913.timcieplowski.com/word/temperature/</x:v>
      </x:c>
      <x:c r="S127" s="19" t="str">
        <x:v>2026-08-26</x:v>
      </x:c>
      <x:c r="T127" s="43" t="str">
        <x:v>RECONSTRUCTED_FROM_REPORT; Fear of Temperature_ Stratified Lexical Expansion, Voice Mapping, and Semantic-Relational Pre-Valida.pdf; p.11; project candidate FT-SEED-R1B-P-2015-03; original visible ID not available</x:v>
      </x:c>
    </x:row>
    <x:row r="128" ht="38" customHeight="1">
      <x:c r="A128" s="40" t="str">
        <x:v>FT-SEED-R1B-P-2015-04</x:v>
      </x:c>
      <x:c r="B128" s="19" t="str">
        <x:v>2015</x:v>
      </x:c>
      <x:c r="C128" s="25" t="n">
        <x:v>4</x:v>
      </x:c>
      <x:c r="D128" s="31" t="str">
        <x:v>well below 2°C above pre-industrial levels</x:v>
      </x:c>
      <x:c r="E128" s="31" t="str">
        <x:v>2°C threshold</x:v>
      </x:c>
      <x:c r="F128" s="31" t="str">
        <x:v>temperature_threshold</x:v>
      </x:c>
      <x:c r="G128" s="31" t="str">
        <x:v>TECHNICAL_GLOSSARY</x:v>
      </x:c>
      <x:c r="H128" s="19" t="str">
        <x:v>NO</x:v>
      </x:c>
      <x:c r="I128" s="31" t="str">
        <x:v>IPCC climate-science glossary / assessment terminology</x:v>
      </x:c>
      <x:c r="J128" s="31" t="str">
        <x:v>Component headword checked: levels.</x:v>
      </x:c>
      <x:c r="K128" s="31" t="str">
        <x:v>Anchor-period research source/context; Webster 1913 stable component URL recorded but automated page retrieval was unavailable</x:v>
      </x:c>
      <x:c r="L128" s="31" t="str">
        <x:v>A governed two-degree temperature limit or threshold; the candidate is interpreted in its documented anchor and voice context.</x:v>
      </x:c>
      <x:c r="M128" s="31" t="str">
        <x:v>A treaty governance threshold relating global average temperature increase to a pre-industrial reference level.</x:v>
      </x:c>
      <x:c r="N128" s="31" t="str">
        <x:v>A governed two-degree temperature limit or threshold; the candidate is interpreted in its documented anchor and voice context.</x:v>
      </x:c>
      <x:c r="O128" s="31" t="str">
        <x:v>STRONG</x:v>
      </x:c>
      <x:c r="P128" s="19" t="str">
        <x:v>NOT_LOCATED</x:v>
      </x:c>
      <x:c r="Q128" s="31" t="str">
        <x:v>The numeric threshold is a policy-governance object, not experienced local temperature.</x:v>
      </x:c>
      <x:c r="R128" s="31" t="str">
        <x:v>https://www.ipcc.ch/site/assets/uploads/2018/02/WGIIAR5-AnnexII_FINAL.pdf; https://api.dictionaryapi.dev/api/v2/entries/en/well%20below%202%C2%B0C%20above%20pre-industrial%20levels; https://websters1913.timcieplowski.com/word/levels/</x:v>
      </x:c>
      <x:c r="S128" s="19" t="str">
        <x:v>2026-08-26</x:v>
      </x:c>
      <x:c r="T128" s="43" t="str">
        <x:v>RECONSTRUCTED_FROM_REPORT; Fear of Temperature_ Stratified Lexical Expansion, Voice Mapping, and Semantic-Relational Pre-Valida.pdf; p.11; project candidate FT-SEED-R1B-P-2015-04; original visible ID not available</x:v>
      </x:c>
    </x:row>
    <x:row r="129" ht="38" customHeight="1">
      <x:c r="A129" s="40" t="str">
        <x:v>FT-SEED-R1B-P-2015-05</x:v>
      </x:c>
      <x:c r="B129" s="19" t="str">
        <x:v>2015</x:v>
      </x:c>
      <x:c r="C129" s="25" t="n">
        <x:v>5</x:v>
      </x:c>
      <x:c r="D129" s="31" t="str">
        <x:v>1.5°C above pre-industrial levels</x:v>
      </x:c>
      <x:c r="E129" s="31" t="str">
        <x:v>1.5°C threshold</x:v>
      </x:c>
      <x:c r="F129" s="31" t="str">
        <x:v>temperature_threshold</x:v>
      </x:c>
      <x:c r="G129" s="31" t="str">
        <x:v>TECHNICAL_GLOSSARY</x:v>
      </x:c>
      <x:c r="H129" s="19" t="str">
        <x:v>NO</x:v>
      </x:c>
      <x:c r="I129" s="31" t="str">
        <x:v>IPCC climate-science glossary / assessment terminology</x:v>
      </x:c>
      <x:c r="J129" s="31" t="str">
        <x:v>Component headword checked: levels.</x:v>
      </x:c>
      <x:c r="K129" s="31" t="str">
        <x:v>Anchor-period research source/context; Webster 1913 stable component URL recorded but automated page retrieval was unavailable</x:v>
      </x:c>
      <x:c r="L129" s="31" t="str">
        <x:v>A governed one-and-a-half-degree temperature limit or threshold; the candidate is interpreted in its documented anchor and voice context.</x:v>
      </x:c>
      <x:c r="M129" s="31" t="str">
        <x:v>A treaty governance threshold relating global average temperature increase to a pre-industrial reference level.</x:v>
      </x:c>
      <x:c r="N129" s="31" t="str">
        <x:v>A governed one-and-a-half-degree temperature limit or threshold; the candidate is interpreted in its documented anchor and voice context.</x:v>
      </x:c>
      <x:c r="O129" s="31" t="str">
        <x:v>STRONG</x:v>
      </x:c>
      <x:c r="P129" s="19" t="str">
        <x:v>NOT_LOCATED</x:v>
      </x:c>
      <x:c r="Q129" s="31" t="str">
        <x:v>The numeric threshold is a policy-governance object, not experienced local temperature.</x:v>
      </x:c>
      <x:c r="R129" s="31" t="str">
        <x:v>https://www.ipcc.ch/site/assets/uploads/2018/02/WGIIAR5-AnnexII_FINAL.pdf; https://api.dictionaryapi.dev/api/v2/entries/en/1.5%C2%B0C%20above%20pre-industrial%20levels; https://websters1913.timcieplowski.com/word/levels/</x:v>
      </x:c>
      <x:c r="S129" s="19" t="str">
        <x:v>2026-08-26</x:v>
      </x:c>
      <x:c r="T129" s="43" t="str">
        <x:v>RECONSTRUCTED_FROM_REPORT; Fear of Temperature_ Stratified Lexical Expansion, Voice Mapping, and Semantic-Relational Pre-Valida.pdf; p.11; project candidate FT-SEED-R1B-P-2015-05; original visible ID not available</x:v>
      </x:c>
    </x:row>
    <x:row r="130" ht="38" customHeight="1">
      <x:c r="A130" s="40" t="str">
        <x:v>FT-SEED-R1B-P-2015-06</x:v>
      </x:c>
      <x:c r="B130" s="19" t="str">
        <x:v>2015</x:v>
      </x:c>
      <x:c r="C130" s="25" t="n">
        <x:v>6</x:v>
      </x:c>
      <x:c r="D130" s="31" t="str">
        <x:v>pre-industrial levels</x:v>
      </x:c>
      <x:c r="E130" s="31" t="str">
        <x:v>historical climate / climatological condition</x:v>
      </x:c>
      <x:c r="F130" s="31" t="str">
        <x:v>climate</x:v>
      </x:c>
      <x:c r="G130" s="31" t="str">
        <x:v>TECHNICAL_GLOSSARY</x:v>
      </x:c>
      <x:c r="H130" s="19" t="str">
        <x:v>NO</x:v>
      </x:c>
      <x:c r="I130" s="31" t="str">
        <x:v>IPCC climate-science glossary / assessment terminology</x:v>
      </x:c>
      <x:c r="J130" s="31" t="str">
        <x:v>Component headword checked: levels.</x:v>
      </x:c>
      <x:c r="K130" s="31" t="str">
        <x:v>Anchor-period research source/context; Webster 1913 stable component URL recorded but automated page retrieval was unavailable</x:v>
      </x:c>
      <x:c r="L130" s="31" t="str">
        <x:v>A historical reference baseline preceding large-scale industrial-era human influence, operationalized by the relevant climate agreement or assessment.</x:v>
      </x:c>
      <x:c r="M130" s="31" t="str">
        <x:v>A climatic, atmospheric, meteorological, or causal-science sense in the documented anchor context.</x:v>
      </x:c>
      <x:c r="N130" s="31" t="str">
        <x:v>A historical reference baseline preceding large-scale industrial-era human influence, operationalized by the relevant climate agreement or assessment.</x:v>
      </x:c>
      <x:c r="O130" s="31" t="str">
        <x:v>STRONG</x:v>
      </x:c>
      <x:c r="P130" s="19" t="str">
        <x:v>NOT_LOCATED</x:v>
      </x:c>
      <x:c r="Q130" s="31" t="str">
        <x:v>The surface form may realize multiple senses; candidate meaning remains anchored to the report-visible source context.</x:v>
      </x:c>
      <x:c r="R130" s="31" t="str">
        <x:v>https://www.ipcc.ch/site/assets/uploads/2018/02/WGIIAR5-AnnexII_FINAL.pdf; https://api.dictionaryapi.dev/api/v2/entries/en/pre-industrial%20levels; https://websters1913.timcieplowski.com/word/levels/</x:v>
      </x:c>
      <x:c r="S130" s="19" t="str">
        <x:v>2026-08-26</x:v>
      </x:c>
      <x:c r="T130" s="43" t="str">
        <x:v>RECONSTRUCTED_FROM_REPORT; Fear of Temperature_ Stratified Lexical Expansion, Voice Mapping, and Semantic-Relational Pre-Valida.pdf; p.11; project candidate FT-SEED-R1B-P-2015-06; original visible ID not available</x:v>
      </x:c>
    </x:row>
    <x:row r="131" ht="38" customHeight="1">
      <x:c r="A131" s="40" t="str">
        <x:v>FT-SEED-R1B-P-2015-07</x:v>
      </x:c>
      <x:c r="B131" s="19" t="str">
        <x:v>2015</x:v>
      </x:c>
      <x:c r="C131" s="25" t="n">
        <x:v>7</x:v>
      </x:c>
      <x:c r="D131" s="31" t="str">
        <x:v>risks and impacts</x:v>
      </x:c>
      <x:c r="E131" s="31" t="str">
        <x:v>administrative risk assessment</x:v>
      </x:c>
      <x:c r="F131" s="31" t="str">
        <x:v>risk</x:v>
      </x:c>
      <x:c r="G131" s="31" t="str">
        <x:v>NO_STANDALONE_HEADWORD</x:v>
      </x:c>
      <x:c r="H131" s="19" t="str">
        <x:v>NO</x:v>
      </x:c>
      <x:c r="I131" s="31" t="str">
        <x:v>Component lexical analysis plus anchor-source contextual meaning</x:v>
      </x:c>
      <x:c r="J131" s="31" t="str">
        <x:v>Component headword checked: impacts.</x:v>
      </x:c>
      <x:c r="K131" s="31" t="str">
        <x:v>Anchor-period research source/context; Webster 1913 stable component URL recorded but automated page retrieval was unavailable</x:v>
      </x:c>
      <x:c r="L131" s="31" t="str">
        <x:v>Risk managed or assessed through institutional procedure; the candidate is interpreted in its documented anchor and voice context.</x:v>
      </x:c>
      <x:c r="M131" s="31" t="str">
        <x:v>A threat, risk, harm, severity, or consequence sense in the documented source; it is not automatically an emotion.</x:v>
      </x:c>
      <x:c r="N131" s="31" t="str">
        <x:v>Risk managed or assessed through institutional procedure; the candidate is interpreted in its documented anchor and voice context.</x:v>
      </x:c>
      <x:c r="O131" s="31" t="str">
        <x:v>STRONG</x:v>
      </x:c>
      <x:c r="P131" s="19" t="str">
        <x:v>NOT_LOCATED</x:v>
      </x:c>
      <x:c r="Q131" s="31" t="str">
        <x:v>The surface form may realize multiple senses; candidate meaning remains anchored to the report-visible source context.</x:v>
      </x:c>
      <x:c r="R131" s="31" t="str">
        <x:v>Fear of Temperature_ Stratified Lexical Expansion, Voice Mapping, and Semantic-Relational Pre-Valida.pdf#page=11; https://api.dictionaryapi.dev/api/v2/entries/en/risks%20and%20impacts; https://websters1913.timcieplowski.com/word/impacts/</x:v>
      </x:c>
      <x:c r="S131" s="19" t="str">
        <x:v>2026-08-26</x:v>
      </x:c>
      <x:c r="T131" s="43" t="str">
        <x:v>RECONSTRUCTED_FROM_REPORT; Fear of Temperature_ Stratified Lexical Expansion, Voice Mapping, and Semantic-Relational Pre-Valida.pdf; p.11; project candidate FT-SEED-R1B-P-2015-07; original visible ID not available</x:v>
      </x:c>
    </x:row>
    <x:row r="132" ht="38" customHeight="1">
      <x:c r="A132" s="40" t="str">
        <x:v>FT-SEED-R1B-P-2015-08</x:v>
      </x:c>
      <x:c r="B132" s="19" t="str">
        <x:v>2015</x:v>
      </x:c>
      <x:c r="C132" s="25" t="n">
        <x:v>8</x:v>
      </x:c>
      <x:c r="D132" s="31" t="str">
        <x:v>adverse impacts</x:v>
      </x:c>
      <x:c r="E132" s="31" t="str">
        <x:v>generic damage</x:v>
      </x:c>
      <x:c r="F132" s="31" t="str">
        <x:v>harm_loss_consequences</x:v>
      </x:c>
      <x:c r="G132" s="31" t="str">
        <x:v>NO_STANDALONE_HEADWORD</x:v>
      </x:c>
      <x:c r="H132" s="19" t="str">
        <x:v>NO</x:v>
      </x:c>
      <x:c r="I132" s="31" t="str">
        <x:v>Component lexical analysis plus anchor-source contextual meaning</x:v>
      </x:c>
      <x:c r="J132" s="31" t="str">
        <x:v>Component headword checked: impacts.</x:v>
      </x:c>
      <x:c r="K132" s="31" t="str">
        <x:v>Anchor-period research source/context; Webster 1913 stable component URL recorded but automated page retrieval was unavailable</x:v>
      </x:c>
      <x:c r="L132" s="31" t="str">
        <x:v>Generic material, ecological, or social damage; the candidate is interpreted in its documented anchor and voice context.</x:v>
      </x:c>
      <x:c r="M132" s="31" t="str">
        <x:v>A threat, risk, harm, severity, or consequence sense in the documented source; it is not automatically an emotion.</x:v>
      </x:c>
      <x:c r="N132" s="31" t="str">
        <x:v>Generic material, ecological, or social damage; the candidate is interpreted in its documented anchor and voice context.</x:v>
      </x:c>
      <x:c r="O132" s="31" t="str">
        <x:v>STRONG</x:v>
      </x:c>
      <x:c r="P132" s="19" t="str">
        <x:v>NOT_LOCATED</x:v>
      </x:c>
      <x:c r="Q132" s="31" t="str">
        <x:v>The surface form may realize multiple senses; candidate meaning remains anchored to the report-visible source context.</x:v>
      </x:c>
      <x:c r="R132" s="31" t="str">
        <x:v>Fear of Temperature_ Stratified Lexical Expansion, Voice Mapping, and Semantic-Relational Pre-Valida.pdf#page=11; https://api.dictionaryapi.dev/api/v2/entries/en/adverse%20impacts; https://websters1913.timcieplowski.com/word/impacts/</x:v>
      </x:c>
      <x:c r="S132" s="19" t="str">
        <x:v>2026-08-26</x:v>
      </x:c>
      <x:c r="T132" s="43" t="str">
        <x:v>RECONSTRUCTED_FROM_REPORT; Fear of Temperature_ Stratified Lexical Expansion, Voice Mapping, and Semantic-Relational Pre-Valida.pdf; p.11; project candidate FT-SEED-R1B-P-2015-08; original visible ID not available</x:v>
      </x:c>
    </x:row>
    <x:row r="133" ht="38" customHeight="1">
      <x:c r="A133" s="40" t="str">
        <x:v>FT-SEED-R1B-P-2015-09</x:v>
      </x:c>
      <x:c r="B133" s="19" t="str">
        <x:v>2015</x:v>
      </x:c>
      <x:c r="C133" s="25" t="n">
        <x:v>9</x:v>
      </x:c>
      <x:c r="D133" s="31" t="str">
        <x:v>adverse effects of climate change</x:v>
      </x:c>
      <x:c r="E133" s="31" t="str">
        <x:v>modern climate change</x:v>
      </x:c>
      <x:c r="F133" s="31" t="str">
        <x:v>climate</x:v>
      </x:c>
      <x:c r="G133" s="31" t="str">
        <x:v>NO_STANDALONE_HEADWORD</x:v>
      </x:c>
      <x:c r="H133" s="19" t="str">
        <x:v>NO</x:v>
      </x:c>
      <x:c r="I133" s="31" t="str">
        <x:v>Component lexical analysis plus anchor-source contextual meaning</x:v>
      </x:c>
      <x:c r="J133" s="31" t="str">
        <x:v>Component headword checked: change.</x:v>
      </x:c>
      <x:c r="K133" s="31" t="str">
        <x:v>Anchor-period research source/context; Webster 1913 stable component URL recorded but automated page retrieval was unavailable</x:v>
      </x:c>
      <x:c r="L133" s="31" t="str">
        <x:v>Modern climate change as an anthropogenic scientific, public, or governance problem; the candidate is interpreted in its documented anchor and voice context.</x:v>
      </x:c>
      <x:c r="M133" s="31" t="str">
        <x:v>A threat, risk, harm, severity, or consequence sense in the documented source; it is not automatically an emotion.</x:v>
      </x:c>
      <x:c r="N133" s="31" t="str">
        <x:v>Modern climate change as an anthropogenic scientific, public, or governance problem; the candidate is interpreted in its documented anchor and voice context.</x:v>
      </x:c>
      <x:c r="O133" s="31" t="str">
        <x:v>STRONG</x:v>
      </x:c>
      <x:c r="P133" s="19" t="str">
        <x:v>NOT_LOCATED</x:v>
      </x:c>
      <x:c r="Q133" s="31" t="str">
        <x:v>The surface form may realize multiple senses; candidate meaning remains anchored to the report-visible source context.</x:v>
      </x:c>
      <x:c r="R133" s="31" t="str">
        <x:v>Fear of Temperature_ Stratified Lexical Expansion, Voice Mapping, and Semantic-Relational Pre-Valida.pdf#page=11; https://api.dictionaryapi.dev/api/v2/entries/en/adverse%20effects%20of%20climate%20change; https://websters1913.timcieplowski.com/word/change/</x:v>
      </x:c>
      <x:c r="S133" s="19" t="str">
        <x:v>2026-08-26</x:v>
      </x:c>
      <x:c r="T133" s="43" t="str">
        <x:v>RECONSTRUCTED_FROM_REPORT; Fear of Temperature_ Stratified Lexical Expansion, Voice Mapping, and Semantic-Relational Pre-Valida.pdf; p.11; project candidate FT-SEED-R1B-P-2015-09; original visible ID not available</x:v>
      </x:c>
    </x:row>
    <x:row r="134" ht="38" customHeight="1">
      <x:c r="A134" s="40" t="str">
        <x:v>FT-SEED-R1B-P-2015-10</x:v>
      </x:c>
      <x:c r="B134" s="19" t="str">
        <x:v>2015</x:v>
      </x:c>
      <x:c r="C134" s="25" t="n">
        <x:v>10</x:v>
      </x:c>
      <x:c r="D134" s="31" t="str">
        <x:v>greenhouse gas emissions</x:v>
      </x:c>
      <x:c r="E134" s="31" t="str">
        <x:v>anthropogenic greenhouse-gas emissions</x:v>
      </x:c>
      <x:c r="F134" s="31" t="str">
        <x:v>carbon_greenhouse</x:v>
      </x:c>
      <x:c r="G134" s="31" t="str">
        <x:v>TECHNICAL_GLOSSARY</x:v>
      </x:c>
      <x:c r="H134" s="19" t="str">
        <x:v>NO</x:v>
      </x:c>
      <x:c r="I134" s="31" t="str">
        <x:v>IPCC climate-science glossary / assessment terminology</x:v>
      </x:c>
      <x:c r="J134" s="31" t="str">
        <x:v>Component headword checked: emissions.</x:v>
      </x:c>
      <x:c r="K134" s="31" t="str">
        <x:v>Anchor-period research source/context; Webster 1913 stable component URL recorded but automated page retrieval was unavailable</x:v>
      </x:c>
      <x:c r="L134" s="31" t="str">
        <x:v>Releases of gases that contribute to the atmospheric greenhouse effect.</x:v>
      </x:c>
      <x:c r="M134" s="31" t="str">
        <x:v>A climatic, atmospheric, meteorological, or causal-science sense in the documented anchor context.</x:v>
      </x:c>
      <x:c r="N134" s="31" t="str">
        <x:v>Releases of gases that contribute to the atmospheric greenhouse effect.</x:v>
      </x:c>
      <x:c r="O134" s="31" t="str">
        <x:v>STRONG</x:v>
      </x:c>
      <x:c r="P134" s="19" t="str">
        <x:v>NOT_LOCATED</x:v>
      </x:c>
      <x:c r="Q134" s="31" t="str">
        <x:v>The surface form may realize multiple senses; candidate meaning remains anchored to the report-visible source context.</x:v>
      </x:c>
      <x:c r="R134" s="31" t="str">
        <x:v>https://www.ipcc.ch/site/assets/uploads/2018/02/WGIIAR5-AnnexII_FINAL.pdf; https://api.dictionaryapi.dev/api/v2/entries/en/greenhouse%20gas%20emissions; https://websters1913.timcieplowski.com/word/emissions/</x:v>
      </x:c>
      <x:c r="S134" s="19" t="str">
        <x:v>2026-08-26</x:v>
      </x:c>
      <x:c r="T134" s="43" t="str">
        <x:v>RECONSTRUCTED_FROM_REPORT; Fear of Temperature_ Stratified Lexical Expansion, Voice Mapping, and Semantic-Relational Pre-Valida.pdf; p.11; project candidate FT-SEED-R1B-P-2015-10; original visible ID not available</x:v>
      </x:c>
    </x:row>
    <x:row r="135" ht="38" customHeight="1">
      <x:c r="A135" s="40" t="str">
        <x:v>FT-SEED-R1B-P-2015-11</x:v>
      </x:c>
      <x:c r="B135" s="19" t="str">
        <x:v>2015</x:v>
      </x:c>
      <x:c r="C135" s="25" t="n">
        <x:v>11</x:v>
      </x:c>
      <x:c r="D135" s="31" t="str">
        <x:v>climate resilience</x:v>
      </x:c>
      <x:c r="E135" s="31" t="str">
        <x:v>generic damage</x:v>
      </x:c>
      <x:c r="F135" s="31" t="str">
        <x:v>harm_loss_consequences</x:v>
      </x:c>
      <x:c r="G135" s="31" t="str">
        <x:v>TECHNICAL_GLOSSARY</x:v>
      </x:c>
      <x:c r="H135" s="19" t="str">
        <x:v>NO</x:v>
      </x:c>
      <x:c r="I135" s="31" t="str">
        <x:v>IPCC climate-science glossary / assessment terminology</x:v>
      </x:c>
      <x:c r="J135" s="31" t="str">
        <x:v>Component headword checked: resilience.</x:v>
      </x:c>
      <x:c r="K135" s="31" t="str">
        <x:v>Anchor-period research source/context; Webster 1913 stable component URL recorded but automated page retrieval was unavailable</x:v>
      </x:c>
      <x:c r="L135" s="31" t="str">
        <x:v>The capacity of social, economic, and ecological systems to cope with climatic hazards while maintaining essential functions and adapting.</x:v>
      </x:c>
      <x:c r="M135" s="31" t="str">
        <x:v>A threat, risk, harm, severity, or consequence sense in the documented source; it is not automatically an emotion.</x:v>
      </x:c>
      <x:c r="N135" s="31" t="str">
        <x:v>The capacity of social, economic, and ecological systems to cope with climatic hazards while maintaining essential functions and adapting.</x:v>
      </x:c>
      <x:c r="O135" s="31" t="str">
        <x:v>STRONG</x:v>
      </x:c>
      <x:c r="P135" s="19" t="str">
        <x:v>NOT_LOCATED</x:v>
      </x:c>
      <x:c r="Q135" s="31" t="str">
        <x:v>The surface form may realize multiple senses; candidate meaning remains anchored to the report-visible source context.</x:v>
      </x:c>
      <x:c r="R135" s="31" t="str">
        <x:v>https://www.ipcc.ch/site/assets/uploads/2018/02/WGIIAR5-AnnexII_FINAL.pdf; https://api.dictionaryapi.dev/api/v2/entries/en/climate%20resilience; https://websters1913.timcieplowski.com/word/resilience/</x:v>
      </x:c>
      <x:c r="S135" s="19" t="str">
        <x:v>2026-08-26</x:v>
      </x:c>
      <x:c r="T135" s="43" t="str">
        <x:v>RECONSTRUCTED_FROM_REPORT; Fear of Temperature_ Stratified Lexical Expansion, Voice Mapping, and Semantic-Relational Pre-Valida.pdf; p.11; project candidate FT-SEED-R1B-P-2015-11; original visible ID not available</x:v>
      </x:c>
    </x:row>
    <x:row r="136" ht="38" customHeight="1">
      <x:c r="A136" s="40" t="str">
        <x:v>FT-SEED-R1B-P-2015-12</x:v>
      </x:c>
      <x:c r="B136" s="19" t="str">
        <x:v>2015</x:v>
      </x:c>
      <x:c r="C136" s="25" t="n">
        <x:v>12</x:v>
      </x:c>
      <x:c r="D136" s="31" t="str">
        <x:v>vulnerability</x:v>
      </x:c>
      <x:c r="E136" s="31" t="str">
        <x:v>vulnerability</x:v>
      </x:c>
      <x:c r="F136" s="31" t="str">
        <x:v>harm_loss_consequences</x:v>
      </x:c>
      <x:c r="G136" s="31" t="str">
        <x:v>TECHNICAL_GLOSSARY</x:v>
      </x:c>
      <x:c r="H136" s="19" t="str">
        <x:v>NO</x:v>
      </x:c>
      <x:c r="I136" s="31" t="str">
        <x:v>IPCC climate-science glossary / assessment terminology</x:v>
      </x:c>
      <x:c r="J136" s="31" t="str">
        <x:v>Component headword checked: vulnerability.</x:v>
      </x:c>
      <x:c r="K136" s="31" t="str">
        <x:v>Anchor-period research source/context; Webster 1913 stable component URL recorded but automated page retrieval was unavailable</x:v>
      </x:c>
      <x:c r="L136" s="31" t="str">
        <x:v>Susceptibility of an identified subject or group to harm; the candidate is interpreted in its documented anchor and voice context.</x:v>
      </x:c>
      <x:c r="M136" s="31" t="str">
        <x:v>A threat, risk, harm, severity, or consequence sense in the documented source; it is not automatically an emotion.</x:v>
      </x:c>
      <x:c r="N136" s="31" t="str">
        <x:v>Susceptibility of an identified subject or group to harm; the candidate is interpreted in its documented anchor and voice context.</x:v>
      </x:c>
      <x:c r="O136" s="31" t="str">
        <x:v>STRONG</x:v>
      </x:c>
      <x:c r="P136" s="19" t="str">
        <x:v>NOT_LOCATED</x:v>
      </x:c>
      <x:c r="Q136" s="31" t="str">
        <x:v>The surface form may realize multiple senses; candidate meaning remains anchored to the report-visible source context.</x:v>
      </x:c>
      <x:c r="R136" s="31" t="str">
        <x:v>https://www.ipcc.ch/site/assets/uploads/2018/02/WGIIAR5-AnnexII_FINAL.pdf; https://api.dictionaryapi.dev/api/v2/entries/en/vulnerability; https://websters1913.timcieplowski.com/word/vulnerability/</x:v>
      </x:c>
      <x:c r="S136" s="19" t="str">
        <x:v>2026-08-26</x:v>
      </x:c>
      <x:c r="T136" s="43" t="str">
        <x:v>RECONSTRUCTED_FROM_REPORT; Fear of Temperature_ Stratified Lexical Expansion, Voice Mapping, and Semantic-Relational Pre-Valida.pdf; p.11; project candidate FT-SEED-R1B-P-2015-12; original visible ID not available</x:v>
      </x:c>
    </x:row>
    <x:row r="137" ht="38" customHeight="1">
      <x:c r="A137" s="40" t="str">
        <x:v>FT-SEED-R1B-P-2015-13</x:v>
      </x:c>
      <x:c r="B137" s="19" t="str">
        <x:v>2015</x:v>
      </x:c>
      <x:c r="C137" s="25" t="n">
        <x:v>13</x:v>
      </x:c>
      <x:c r="D137" s="31" t="str">
        <x:v>vulnerable groups</x:v>
      </x:c>
      <x:c r="E137" s="31" t="str">
        <x:v>vulnerability</x:v>
      </x:c>
      <x:c r="F137" s="31" t="str">
        <x:v>harm_loss_consequences</x:v>
      </x:c>
      <x:c r="G137" s="31" t="str">
        <x:v>TECHNICAL_GLOSSARY</x:v>
      </x:c>
      <x:c r="H137" s="19" t="str">
        <x:v>NO</x:v>
      </x:c>
      <x:c r="I137" s="31" t="str">
        <x:v>IPCC climate-science glossary / assessment terminology</x:v>
      </x:c>
      <x:c r="J137" s="31" t="str">
        <x:v>Component headword checked: groups.</x:v>
      </x:c>
      <x:c r="K137" s="31" t="str">
        <x:v>Anchor-period research source/context; Webster 1913 stable component URL recorded but automated page retrieval was unavailable</x:v>
      </x:c>
      <x:c r="L137" s="31" t="str">
        <x:v>Susceptibility of an identified subject or group to harm; the candidate is interpreted in its documented anchor and voice context.</x:v>
      </x:c>
      <x:c r="M137" s="31" t="str">
        <x:v>A threat, risk, harm, severity, or consequence sense in the documented source; it is not automatically an emotion.</x:v>
      </x:c>
      <x:c r="N137" s="31" t="str">
        <x:v>Susceptibility of an identified subject or group to harm; the candidate is interpreted in its documented anchor and voice context.</x:v>
      </x:c>
      <x:c r="O137" s="31" t="str">
        <x:v>STRONG</x:v>
      </x:c>
      <x:c r="P137" s="19" t="str">
        <x:v>NOT_LOCATED</x:v>
      </x:c>
      <x:c r="Q137" s="31" t="str">
        <x:v>The surface form may realize multiple senses; candidate meaning remains anchored to the report-visible source context.</x:v>
      </x:c>
      <x:c r="R137" s="31" t="str">
        <x:v>https://www.ipcc.ch/site/assets/uploads/2018/02/WGIIAR5-AnnexII_FINAL.pdf; https://api.dictionaryapi.dev/api/v2/entries/en/vulnerable%20groups; https://websters1913.timcieplowski.com/word/groups/</x:v>
      </x:c>
      <x:c r="S137" s="19" t="str">
        <x:v>2026-08-26</x:v>
      </x:c>
      <x:c r="T137" s="43" t="str">
        <x:v>RECONSTRUCTED_FROM_REPORT; Fear of Temperature_ Stratified Lexical Expansion, Voice Mapping, and Semantic-Relational Pre-Valida.pdf; p.11; project candidate FT-SEED-R1B-P-2015-13; original visible ID not available</x:v>
      </x:c>
    </x:row>
    <x:row r="138" ht="38" customHeight="1">
      <x:c r="A138" s="40" t="str">
        <x:v>FT-SEED-R1B-P-2015-14</x:v>
      </x:c>
      <x:c r="B138" s="19" t="str">
        <x:v>2015</x:v>
      </x:c>
      <x:c r="C138" s="25" t="n">
        <x:v>14</x:v>
      </x:c>
      <x:c r="D138" s="31" t="str">
        <x:v>loss and damage</x:v>
      </x:c>
      <x:c r="E138" s="31" t="str">
        <x:v>loss and damage</x:v>
      </x:c>
      <x:c r="F138" s="31" t="str">
        <x:v>harm_loss_consequences</x:v>
      </x:c>
      <x:c r="G138" s="31" t="str">
        <x:v>TECHNICAL_GLOSSARY</x:v>
      </x:c>
      <x:c r="H138" s="19" t="str">
        <x:v>NO</x:v>
      </x:c>
      <x:c r="I138" s="31" t="str">
        <x:v>IPCC climate-science glossary / assessment terminology</x:v>
      </x:c>
      <x:c r="J138" s="31" t="str">
        <x:v>Component headword checked: damage.</x:v>
      </x:c>
      <x:c r="K138" s="31" t="str">
        <x:v>Anchor-period research source/context; Webster 1913 stable component URL recorded but automated page retrieval was unavailable</x:v>
      </x:c>
      <x:c r="L138" s="31" t="str">
        <x:v>Adverse climate-related impacts that remain after, or cannot be avoided through, mitigation and adaptation; both economic and non-economic losses may be involved.</x:v>
      </x:c>
      <x:c r="M138" s="31" t="str">
        <x:v>Institutional climate-policy terminology for harms and losses associated with climate impacts, with economic and non-economic subtypes.</x:v>
      </x:c>
      <x:c r="N138" s="31" t="str">
        <x:v>Adverse climate-related impacts that remain after, or cannot be avoided through, mitigation and adaptation; both economic and non-economic losses may be involved.</x:v>
      </x:c>
      <x:c r="O138" s="31" t="str">
        <x:v>STRONG</x:v>
      </x:c>
      <x:c r="P138" s="19" t="str">
        <x:v>NOT_LOCATED</x:v>
      </x:c>
      <x:c r="Q138" s="31" t="str">
        <x:v>Generic damage/loss and the UNFCCC policy term 'loss and damage' are not interchangeable.</x:v>
      </x:c>
      <x:c r="R138" s="31" t="str">
        <x:v>https://www.ipcc.ch/site/assets/uploads/2018/02/WGIIAR5-AnnexII_FINAL.pdf; https://api.dictionaryapi.dev/api/v2/entries/en/loss%20and%20damage; https://websters1913.timcieplowski.com/word/damage/</x:v>
      </x:c>
      <x:c r="S138" s="19" t="str">
        <x:v>2026-08-26</x:v>
      </x:c>
      <x:c r="T138" s="43" t="str">
        <x:v>RECONSTRUCTED_FROM_REPORT; Fear of Temperature_ Stratified Lexical Expansion, Voice Mapping, and Semantic-Relational Pre-Valida.pdf; p.11; project candidate FT-SEED-R1B-P-2015-14; original visible ID not available</x:v>
      </x:c>
    </x:row>
    <x:row r="139" ht="38" customHeight="1">
      <x:c r="A139" s="40" t="str">
        <x:v>FT-SEED-R1B-P-2015-15</x:v>
      </x:c>
      <x:c r="B139" s="19" t="str">
        <x:v>2015</x:v>
      </x:c>
      <x:c r="C139" s="25" t="n">
        <x:v>15</x:v>
      </x:c>
      <x:c r="D139" s="31" t="str">
        <x:v>extreme weather events</x:v>
      </x:c>
      <x:c r="E139" s="31" t="str">
        <x:v>generic damage</x:v>
      </x:c>
      <x:c r="F139" s="31" t="str">
        <x:v>harm_loss_consequences</x:v>
      </x:c>
      <x:c r="G139" s="31" t="str">
        <x:v>TECHNICAL_GLOSSARY</x:v>
      </x:c>
      <x:c r="H139" s="19" t="str">
        <x:v>NO</x:v>
      </x:c>
      <x:c r="I139" s="31" t="str">
        <x:v>IPCC climate-science glossary / assessment terminology</x:v>
      </x:c>
      <x:c r="J139" s="31" t="str">
        <x:v>Component headword checked: events.</x:v>
      </x:c>
      <x:c r="K139" s="31" t="str">
        <x:v>Anchor-period research source/context; Webster 1913 stable component URL recorded but automated page retrieval was unavailable</x:v>
      </x:c>
      <x:c r="L139" s="31" t="str">
        <x:v>Generic material, ecological, or social damage; the candidate is interpreted in its documented anchor and voice context.</x:v>
      </x:c>
      <x:c r="M139" s="31" t="str">
        <x:v>A threat, risk, harm, severity, or consequence sense in the documented source; it is not automatically an emotion.</x:v>
      </x:c>
      <x:c r="N139" s="31" t="str">
        <x:v>Generic material, ecological, or social damage; the candidate is interpreted in its documented anchor and voice context.</x:v>
      </x:c>
      <x:c r="O139" s="31" t="str">
        <x:v>STRONG</x:v>
      </x:c>
      <x:c r="P139" s="19" t="str">
        <x:v>NOT_LOCATED</x:v>
      </x:c>
      <x:c r="Q139" s="31" t="str">
        <x:v>The surface form may realize multiple senses; candidate meaning remains anchored to the report-visible source context.</x:v>
      </x:c>
      <x:c r="R139" s="31" t="str">
        <x:v>https://www.ipcc.ch/site/assets/uploads/2018/02/WGIIAR5-AnnexII_FINAL.pdf; https://api.dictionaryapi.dev/api/v2/entries/en/extreme%20weather%20events; https://websters1913.timcieplowski.com/word/events/</x:v>
      </x:c>
      <x:c r="S139" s="19" t="str">
        <x:v>2026-08-26</x:v>
      </x:c>
      <x:c r="T139" s="43" t="str">
        <x:v>RECONSTRUCTED_FROM_REPORT; Fear of Temperature_ Stratified Lexical Expansion, Voice Mapping, and Semantic-Relational Pre-Valida.pdf; p.11; project candidate FT-SEED-R1B-P-2015-15; original visible ID not available</x:v>
      </x:c>
    </x:row>
    <x:row r="140" ht="38" customHeight="1">
      <x:c r="A140" s="40" t="str">
        <x:v>FT-SEED-R1B-P-2015-16</x:v>
      </x:c>
      <x:c r="B140" s="19" t="str">
        <x:v>2015</x:v>
      </x:c>
      <x:c r="C140" s="25" t="n">
        <x:v>16</x:v>
      </x:c>
      <x:c r="D140" s="31" t="str">
        <x:v>slow onset events</x:v>
      </x:c>
      <x:c r="E140" s="31" t="str">
        <x:v>generic damage</x:v>
      </x:c>
      <x:c r="F140" s="31" t="str">
        <x:v>harm_loss_consequences</x:v>
      </x:c>
      <x:c r="G140" s="31" t="str">
        <x:v>TECHNICAL_GLOSSARY</x:v>
      </x:c>
      <x:c r="H140" s="19" t="str">
        <x:v>NO</x:v>
      </x:c>
      <x:c r="I140" s="31" t="str">
        <x:v>IPCC climate-science glossary / assessment terminology</x:v>
      </x:c>
      <x:c r="J140" s="31" t="str">
        <x:v>Component headword checked: events.</x:v>
      </x:c>
      <x:c r="K140" s="31" t="str">
        <x:v>Anchor-period research source/context; Webster 1913 stable component URL recorded but automated page retrieval was unavailable</x:v>
      </x:c>
      <x:c r="L140" s="31" t="str">
        <x:v>Generic material, ecological, or social damage; the candidate is interpreted in its documented anchor and voice context.</x:v>
      </x:c>
      <x:c r="M140" s="31" t="str">
        <x:v>A threat, risk, harm, severity, or consequence sense in the documented source; it is not automatically an emotion.</x:v>
      </x:c>
      <x:c r="N140" s="31" t="str">
        <x:v>Generic material, ecological, or social damage; the candidate is interpreted in its documented anchor and voice context.</x:v>
      </x:c>
      <x:c r="O140" s="31" t="str">
        <x:v>STRONG</x:v>
      </x:c>
      <x:c r="P140" s="19" t="str">
        <x:v>NOT_LOCATED</x:v>
      </x:c>
      <x:c r="Q140" s="31" t="str">
        <x:v>The surface form may realize multiple senses; candidate meaning remains anchored to the report-visible source context.</x:v>
      </x:c>
      <x:c r="R140" s="31" t="str">
        <x:v>https://www.ipcc.ch/site/assets/uploads/2018/02/WGIIAR5-AnnexII_FINAL.pdf; https://api.dictionaryapi.dev/api/v2/entries/en/slow%20onset%20events; https://websters1913.timcieplowski.com/word/events/</x:v>
      </x:c>
      <x:c r="S140" s="19" t="str">
        <x:v>2026-08-26</x:v>
      </x:c>
      <x:c r="T140" s="43" t="str">
        <x:v>RECONSTRUCTED_FROM_REPORT; Fear of Temperature_ Stratified Lexical Expansion, Voice Mapping, and Semantic-Relational Pre-Valida.pdf; p.11; project candidate FT-SEED-R1B-P-2015-16; original visible ID not available</x:v>
      </x:c>
    </x:row>
    <x:row r="141" ht="38" customHeight="1">
      <x:c r="A141" s="40" t="str">
        <x:v>FT-SEED-R1B-P-2015-17</x:v>
      </x:c>
      <x:c r="B141" s="19" t="str">
        <x:v>2015</x:v>
      </x:c>
      <x:c r="C141" s="25" t="n">
        <x:v>17</x:v>
      </x:c>
      <x:c r="D141" s="31" t="str">
        <x:v>risk of loss and damage</x:v>
      </x:c>
      <x:c r="E141" s="31" t="str">
        <x:v>administrative risk assessment</x:v>
      </x:c>
      <x:c r="F141" s="31" t="str">
        <x:v>risk</x:v>
      </x:c>
      <x:c r="G141" s="31" t="str">
        <x:v>TECHNICAL_GLOSSARY</x:v>
      </x:c>
      <x:c r="H141" s="19" t="str">
        <x:v>NO</x:v>
      </x:c>
      <x:c r="I141" s="31" t="str">
        <x:v>IPCC climate-science glossary / assessment terminology</x:v>
      </x:c>
      <x:c r="J141" s="31" t="str">
        <x:v>Component headword checked: damage.</x:v>
      </x:c>
      <x:c r="K141" s="31" t="str">
        <x:v>Anchor-period research source/context; Webster 1913 stable component URL recorded but automated page retrieval was unavailable</x:v>
      </x:c>
      <x:c r="L141" s="31" t="str">
        <x:v>Risk managed or assessed through institutional procedure; the candidate is interpreted in its documented anchor and voice context.</x:v>
      </x:c>
      <x:c r="M141" s="31" t="str">
        <x:v>Institutional climate-policy terminology for harms and losses associated with climate impacts, with economic and non-economic subtypes.</x:v>
      </x:c>
      <x:c r="N141" s="31" t="str">
        <x:v>Risk managed or assessed through institutional procedure; the candidate is interpreted in its documented anchor and voice context.</x:v>
      </x:c>
      <x:c r="O141" s="31" t="str">
        <x:v>STRONG</x:v>
      </x:c>
      <x:c r="P141" s="19" t="str">
        <x:v>NOT_LOCATED</x:v>
      </x:c>
      <x:c r="Q141" s="31" t="str">
        <x:v>Generic damage/loss and the UNFCCC policy term 'loss and damage' are not interchangeable.</x:v>
      </x:c>
      <x:c r="R141" s="31" t="str">
        <x:v>https://www.ipcc.ch/site/assets/uploads/2018/02/WGIIAR5-AnnexII_FINAL.pdf; https://api.dictionaryapi.dev/api/v2/entries/en/risk%20of%20loss%20and%20damage; https://websters1913.timcieplowski.com/word/damage/</x:v>
      </x:c>
      <x:c r="S141" s="19" t="str">
        <x:v>2026-08-26</x:v>
      </x:c>
      <x:c r="T141" s="43" t="str">
        <x:v>RECONSTRUCTED_FROM_REPORT; Fear of Temperature_ Stratified Lexical Expansion, Voice Mapping, and Semantic-Relational Pre-Valida.pdf; p.11; project candidate FT-SEED-R1B-P-2015-17; original visible ID not available</x:v>
      </x:c>
    </x:row>
    <x:row r="142" ht="38" customHeight="1">
      <x:c r="A142" s="40" t="str">
        <x:v>FT-SEED-R1B-P-2015-18</x:v>
      </x:c>
      <x:c r="B142" s="19" t="str">
        <x:v>2015</x:v>
      </x:c>
      <x:c r="C142" s="25" t="n">
        <x:v>18</x:v>
      </x:c>
      <x:c r="D142" s="31" t="str">
        <x:v>early warning systems</x:v>
      </x:c>
      <x:c r="E142" s="31" t="str">
        <x:v>generic damage</x:v>
      </x:c>
      <x:c r="F142" s="31" t="str">
        <x:v>harm_loss_consequences</x:v>
      </x:c>
      <x:c r="G142" s="31" t="str">
        <x:v>TECHNICAL_GLOSSARY</x:v>
      </x:c>
      <x:c r="H142" s="19" t="str">
        <x:v>NO</x:v>
      </x:c>
      <x:c r="I142" s="31" t="str">
        <x:v>IPCC climate-science glossary / assessment terminology</x:v>
      </x:c>
      <x:c r="J142" s="31" t="str">
        <x:v>Component headword checked: systems.</x:v>
      </x:c>
      <x:c r="K142" s="31" t="str">
        <x:v>Anchor-period research source/context; Webster 1913 stable component URL recorded but automated page retrieval was unavailable</x:v>
      </x:c>
      <x:c r="L142" s="31" t="str">
        <x:v>Generic material, ecological, or social damage; the candidate is interpreted in its documented anchor and voice context.</x:v>
      </x:c>
      <x:c r="M142" s="31" t="str">
        <x:v>A threat, risk, harm, severity, or consequence sense in the documented source; it is not automatically an emotion.</x:v>
      </x:c>
      <x:c r="N142" s="31" t="str">
        <x:v>Generic material, ecological, or social damage; the candidate is interpreted in its documented anchor and voice context.</x:v>
      </x:c>
      <x:c r="O142" s="31" t="str">
        <x:v>STRONG</x:v>
      </x:c>
      <x:c r="P142" s="19" t="str">
        <x:v>NOT_LOCATED</x:v>
      </x:c>
      <x:c r="Q142" s="31" t="str">
        <x:v>The surface form may realize multiple senses; candidate meaning remains anchored to the report-visible source context.</x:v>
      </x:c>
      <x:c r="R142" s="31" t="str">
        <x:v>https://www.ipcc.ch/site/assets/uploads/2018/02/WGIIAR5-AnnexII_FINAL.pdf; https://api.dictionaryapi.dev/api/v2/entries/en/early%20warning%20systems; https://websters1913.timcieplowski.com/word/systems/</x:v>
      </x:c>
      <x:c r="S142" s="19" t="str">
        <x:v>2026-08-26</x:v>
      </x:c>
      <x:c r="T142" s="43" t="str">
        <x:v>RECONSTRUCTED_FROM_REPORT; Fear of Temperature_ Stratified Lexical Expansion, Voice Mapping, and Semantic-Relational Pre-Valida.pdf; p.11; project candidate FT-SEED-R1B-P-2015-18; original visible ID not available</x:v>
      </x:c>
    </x:row>
    <x:row r="143" ht="38" customHeight="1">
      <x:c r="A143" s="40" t="str">
        <x:v>FT-SEED-R1B-P-2015-19</x:v>
      </x:c>
      <x:c r="B143" s="19" t="str">
        <x:v>2015</x:v>
      </x:c>
      <x:c r="C143" s="25" t="n">
        <x:v>19</x:v>
      </x:c>
      <x:c r="D143" s="31" t="str">
        <x:v>emergency preparedness</x:v>
      </x:c>
      <x:c r="E143" s="31" t="str">
        <x:v>emergency response category</x:v>
      </x:c>
      <x:c r="F143" s="31" t="str">
        <x:v>crisis_emergency</x:v>
      </x:c>
      <x:c r="G143" s="31" t="str">
        <x:v>NO_STANDALONE_HEADWORD</x:v>
      </x:c>
      <x:c r="H143" s="19" t="str">
        <x:v>NO</x:v>
      </x:c>
      <x:c r="I143" s="31" t="str">
        <x:v>Component lexical analysis plus anchor-source contextual meaning</x:v>
      </x:c>
      <x:c r="J143" s="31" t="str">
        <x:v>Component headword checked: preparedness.</x:v>
      </x:c>
      <x:c r="K143" s="31" t="str">
        <x:v>Anchor-period research source/context; Webster 1913 stable component URL recorded but automated page retrieval was unavailable</x:v>
      </x:c>
      <x:c r="L143" s="31" t="str">
        <x:v>Emergency preparedness or response as a governance procedure; the candidate is interpreted in its documented anchor and voice context.</x:v>
      </x:c>
      <x:c r="M143" s="31" t="str">
        <x:v>A threat, risk, harm, severity, or consequence sense in the documented source; it is not automatically an emotion.</x:v>
      </x:c>
      <x:c r="N143" s="31" t="str">
        <x:v>Emergency preparedness or response as a governance procedure; the candidate is interpreted in its documented anchor and voice context.</x:v>
      </x:c>
      <x:c r="O143" s="31" t="str">
        <x:v>STRONG</x:v>
      </x:c>
      <x:c r="P143" s="19" t="str">
        <x:v>NOT_LOCATED</x:v>
      </x:c>
      <x:c r="Q143" s="31" t="str">
        <x:v>The surface form may realize multiple senses; candidate meaning remains anchored to the report-visible source context.</x:v>
      </x:c>
      <x:c r="R143" s="31" t="str">
        <x:v>Fear of Temperature_ Stratified Lexical Expansion, Voice Mapping, and Semantic-Relational Pre-Valida.pdf#page=11; https://api.dictionaryapi.dev/api/v2/entries/en/emergency%20preparedness; https://websters1913.timcieplowski.com/word/preparedness/</x:v>
      </x:c>
      <x:c r="S143" s="19" t="str">
        <x:v>2026-08-26</x:v>
      </x:c>
      <x:c r="T143" s="43" t="str">
        <x:v>RECONSTRUCTED_FROM_REPORT; Fear of Temperature_ Stratified Lexical Expansion, Voice Mapping, and Semantic-Relational Pre-Valida.pdf; p.11; project candidate FT-SEED-R1B-P-2015-19; original visible ID not available</x:v>
      </x:c>
    </x:row>
    <x:row r="144" ht="38" customHeight="1">
      <x:c r="A144" s="40" t="str">
        <x:v>FT-SEED-R1B-P-2015-20</x:v>
      </x:c>
      <x:c r="B144" s="19" t="str">
        <x:v>2015</x:v>
      </x:c>
      <x:c r="C144" s="25" t="n">
        <x:v>20</x:v>
      </x:c>
      <x:c r="D144" s="31" t="str">
        <x:v>irreversible and permanent loss and damage</x:v>
      </x:c>
      <x:c r="E144" s="31" t="str">
        <x:v>loss and damage</x:v>
      </x:c>
      <x:c r="F144" s="31" t="str">
        <x:v>harm_loss_consequences</x:v>
      </x:c>
      <x:c r="G144" s="31" t="str">
        <x:v>NO_STANDALONE_HEADWORD</x:v>
      </x:c>
      <x:c r="H144" s="19" t="str">
        <x:v>NO</x:v>
      </x:c>
      <x:c r="I144" s="31" t="str">
        <x:v>Component lexical analysis plus anchor-source contextual meaning</x:v>
      </x:c>
      <x:c r="J144" s="31" t="str">
        <x:v>Component headword checked: damage.</x:v>
      </x:c>
      <x:c r="K144" s="31" t="str">
        <x:v>Anchor-period research source/context; Webster 1913 stable component URL recorded but automated page retrieval was unavailable</x:v>
      </x:c>
      <x:c r="L144" s="31" t="str">
        <x:v>The climate-governance domain of loss and damage; the candidate is interpreted in its documented anchor and voice context.</x:v>
      </x:c>
      <x:c r="M144" s="31" t="str">
        <x:v>Institutional climate-policy terminology for harms and losses associated with climate impacts, with economic and non-economic subtypes.</x:v>
      </x:c>
      <x:c r="N144" s="31" t="str">
        <x:v>The climate-governance domain of loss and damage; the candidate is interpreted in its documented anchor and voice context.</x:v>
      </x:c>
      <x:c r="O144" s="31" t="str">
        <x:v>STRONG</x:v>
      </x:c>
      <x:c r="P144" s="19" t="str">
        <x:v>NOT_LOCATED</x:v>
      </x:c>
      <x:c r="Q144" s="31" t="str">
        <x:v>Generic damage/loss and the UNFCCC policy term 'loss and damage' are not interchangeable.</x:v>
      </x:c>
      <x:c r="R144" s="31" t="str">
        <x:v>Fear of Temperature_ Stratified Lexical Expansion, Voice Mapping, and Semantic-Relational Pre-Valida.pdf#page=11; https://api.dictionaryapi.dev/api/v2/entries/en/irreversible%20and%20permanent%20loss%20and%20damage; https://websters1913.timcieplowski.com/word/damage/</x:v>
      </x:c>
      <x:c r="S144" s="19" t="str">
        <x:v>2026-08-26</x:v>
      </x:c>
      <x:c r="T144" s="43" t="str">
        <x:v>RECONSTRUCTED_FROM_REPORT; Fear of Temperature_ Stratified Lexical Expansion, Voice Mapping, and Semantic-Relational Pre-Valida.pdf; p.11; project candidate FT-SEED-R1B-P-2015-20; original visible ID not available</x:v>
      </x:c>
    </x:row>
    <x:row r="145" ht="38" customHeight="1">
      <x:c r="A145" s="40" t="str">
        <x:v>FT-SEED-R1B-P-2015-21</x:v>
      </x:c>
      <x:c r="B145" s="19" t="str">
        <x:v>2015</x:v>
      </x:c>
      <x:c r="C145" s="25" t="n">
        <x:v>21</x:v>
      </x:c>
      <x:c r="D145" s="31" t="str">
        <x:v>comprehensive risk assessment and management</x:v>
      </x:c>
      <x:c r="E145" s="31" t="str">
        <x:v>administrative risk assessment</x:v>
      </x:c>
      <x:c r="F145" s="31" t="str">
        <x:v>risk</x:v>
      </x:c>
      <x:c r="G145" s="31" t="str">
        <x:v>NO_STANDALONE_HEADWORD</x:v>
      </x:c>
      <x:c r="H145" s="19" t="str">
        <x:v>NO</x:v>
      </x:c>
      <x:c r="I145" s="31" t="str">
        <x:v>Component lexical analysis plus anchor-source contextual meaning</x:v>
      </x:c>
      <x:c r="J145" s="31" t="str">
        <x:v>Component headword checked: management.</x:v>
      </x:c>
      <x:c r="K145" s="31" t="str">
        <x:v>Anchor-period research source/context; Webster 1913 stable component URL recorded but automated page retrieval was unavailable</x:v>
      </x:c>
      <x:c r="L145" s="31" t="str">
        <x:v>Risk managed or assessed through institutional procedure; the candidate is interpreted in its documented anchor and voice context.</x:v>
      </x:c>
      <x:c r="M145" s="31" t="str">
        <x:v>A threat, risk, harm, severity, or consequence sense in the documented source; it is not automatically an emotion.</x:v>
      </x:c>
      <x:c r="N145" s="31" t="str">
        <x:v>Risk managed or assessed through institutional procedure; the candidate is interpreted in its documented anchor and voice context.</x:v>
      </x:c>
      <x:c r="O145" s="31" t="str">
        <x:v>STRONG</x:v>
      </x:c>
      <x:c r="P145" s="19" t="str">
        <x:v>NOT_LOCATED</x:v>
      </x:c>
      <x:c r="Q145" s="31" t="str">
        <x:v>The surface form may realize multiple senses; candidate meaning remains anchored to the report-visible source context.</x:v>
      </x:c>
      <x:c r="R145" s="31" t="str">
        <x:v>Fear of Temperature_ Stratified Lexical Expansion, Voice Mapping, and Semantic-Relational Pre-Valida.pdf#page=11; https://api.dictionaryapi.dev/api/v2/entries/en/comprehensive%20risk%20assessment%20and%20management; https://websters1913.timcieplowski.com/word/management/</x:v>
      </x:c>
      <x:c r="S145" s="19" t="str">
        <x:v>2026-08-26</x:v>
      </x:c>
      <x:c r="T145" s="43" t="str">
        <x:v>RECONSTRUCTED_FROM_REPORT; Fear of Temperature_ Stratified Lexical Expansion, Voice Mapping, and Semantic-Relational Pre-Valida.pdf; p.11; project candidate FT-SEED-R1B-P-2015-21; original visible ID not available</x:v>
      </x:c>
    </x:row>
    <x:row r="146" ht="38" customHeight="1">
      <x:c r="A146" s="40" t="str">
        <x:v>FT-SEED-R1B-P-2015-22</x:v>
      </x:c>
      <x:c r="B146" s="19" t="str">
        <x:v>2015</x:v>
      </x:c>
      <x:c r="C146" s="25" t="n">
        <x:v>22</x:v>
      </x:c>
      <x:c r="D146" s="31" t="str">
        <x:v>non-economic losses</x:v>
      </x:c>
      <x:c r="E146" s="31" t="str">
        <x:v>non-economic losses</x:v>
      </x:c>
      <x:c r="F146" s="31" t="str">
        <x:v>harm_loss_consequences</x:v>
      </x:c>
      <x:c r="G146" s="31" t="str">
        <x:v>TECHNICAL_GLOSSARY</x:v>
      </x:c>
      <x:c r="H146" s="19" t="str">
        <x:v>NO</x:v>
      </x:c>
      <x:c r="I146" s="31" t="str">
        <x:v>IPCC climate-science glossary / assessment terminology</x:v>
      </x:c>
      <x:c r="J146" s="31" t="str">
        <x:v>Component headword checked: losses.</x:v>
      </x:c>
      <x:c r="K146" s="31" t="str">
        <x:v>Anchor-period research source/context; Webster 1913 stable component URL recorded but automated page retrieval was unavailable</x:v>
      </x:c>
      <x:c r="L146" s="31" t="str">
        <x:v>Climate-related losses not readily expressed in monetary terms, including cultural, health, identity, ecosystem, and heritage harms.</x:v>
      </x:c>
      <x:c r="M146" s="31" t="str">
        <x:v>Institutional climate-policy terminology for harms and losses associated with climate impacts, with economic and non-economic subtypes.</x:v>
      </x:c>
      <x:c r="N146" s="31" t="str">
        <x:v>Climate-related losses not readily expressed in monetary terms, including cultural, health, identity, ecosystem, and heritage harms.</x:v>
      </x:c>
      <x:c r="O146" s="31" t="str">
        <x:v>STRONG</x:v>
      </x:c>
      <x:c r="P146" s="19" t="str">
        <x:v>NOT_LOCATED</x:v>
      </x:c>
      <x:c r="Q146" s="31" t="str">
        <x:v>Generic damage/loss and the UNFCCC policy term 'loss and damage' are not interchangeable.</x:v>
      </x:c>
      <x:c r="R146" s="31" t="str">
        <x:v>https://www.ipcc.ch/site/assets/uploads/2018/02/WGIIAR5-AnnexII_FINAL.pdf; https://api.dictionaryapi.dev/api/v2/entries/en/non-economic%20losses; https://websters1913.timcieplowski.com/word/losses/</x:v>
      </x:c>
      <x:c r="S146" s="19" t="str">
        <x:v>2026-08-26</x:v>
      </x:c>
      <x:c r="T146" s="43" t="str">
        <x:v>RECONSTRUCTED_FROM_REPORT; Fear of Temperature_ Stratified Lexical Expansion, Voice Mapping, and Semantic-Relational Pre-Valida.pdf; p.11; project candidate FT-SEED-R1B-P-2015-22; original visible ID not available</x:v>
      </x:c>
    </x:row>
    <x:row r="147" ht="38" customHeight="1">
      <x:c r="A147" s="40" t="str">
        <x:v>FT-SEED-R1B-P-2015-23</x:v>
      </x:c>
      <x:c r="B147" s="19" t="str">
        <x:v>2015</x:v>
      </x:c>
      <x:c r="C147" s="25" t="n">
        <x:v>23</x:v>
      </x:c>
      <x:c r="D147" s="31" t="str">
        <x:v>common concern of humankind</x:v>
      </x:c>
      <x:c r="E147" s="31" t="str">
        <x:v>common concern of humankind</x:v>
      </x:c>
      <x:c r="F147" s="31" t="str">
        <x:v>concern_alarm</x:v>
      </x:c>
      <x:c r="G147" s="31" t="str">
        <x:v>TECHNICAL_GLOSSARY</x:v>
      </x:c>
      <x:c r="H147" s="19" t="str">
        <x:v>NO</x:v>
      </x:c>
      <x:c r="I147" s="31" t="str">
        <x:v>UNFCCC Paris Agreement legal text</x:v>
      </x:c>
      <x:c r="J147" s="31" t="str">
        <x:v>Component headword checked: humankind.</x:v>
      </x:c>
      <x:c r="K147" s="31" t="str">
        <x:v>Anchor-period research source/context; Webster 1913 stable component URL recorded but automated page retrieval was unavailable</x:v>
      </x:c>
      <x:c r="L147" s="31" t="str">
        <x:v>A legal-institutional formula identifying climate change as a matter of shared international concern, not an assertion of personal emotion.</x:v>
      </x:c>
      <x:c r="M147" s="31" t="str">
        <x:v>A legal formula assigning shared international importance to climate change, not a report of an individual's emotional concern.</x:v>
      </x:c>
      <x:c r="N147" s="31" t="str">
        <x:v>Personal concern can denote felt worry, but this continuing treaty formula designates a shared legal and governance object rather than an individual's emotion.</x:v>
      </x:c>
      <x:c r="O147" s="31" t="str">
        <x:v>DIFFERENT</x:v>
      </x:c>
      <x:c r="P147" s="19" t="str">
        <x:v>NOT_LOCATED</x:v>
      </x:c>
      <x:c r="Q147" s="31" t="str">
        <x:v>Legal/institutional concern differs from personal concern and from concern as a commercial enterprise.</x:v>
      </x:c>
      <x:c r="R147" s="31" t="str">
        <x:v>https://unfccc.int/sites/default/files/english_paris_agreement.pdf; https://api.dictionaryapi.dev/api/v2/entries/en/common%20concern%20of%20humankind; https://websters1913.timcieplowski.com/word/humankind/</x:v>
      </x:c>
      <x:c r="S147" s="19" t="str">
        <x:v>2026-08-26</x:v>
      </x:c>
      <x:c r="T147" s="43" t="str">
        <x:v>RECONSTRUCTED_FROM_REPORT; Fear of Temperature_ Stratified Lexical Expansion, Voice Mapping, and Semantic-Relational Pre-Valida.pdf; p.11; project candidate FT-SEED-R1B-P-2015-23; original visible ID not available</x:v>
      </x:c>
    </x:row>
    <x:row r="148" ht="38" customHeight="1">
      <x:c r="A148" s="40" t="str">
        <x:v>FT-SEED-R1B-P-2015-24</x:v>
      </x:c>
      <x:c r="B148" s="19" t="str">
        <x:v>2015</x:v>
      </x:c>
      <x:c r="C148" s="25" t="n">
        <x:v>24</x:v>
      </x:c>
      <x:c r="D148" s="31" t="str">
        <x:v>climate justice</x:v>
      </x:c>
      <x:c r="E148" s="31" t="str">
        <x:v>generic damage</x:v>
      </x:c>
      <x:c r="F148" s="31" t="str">
        <x:v>harm_loss_consequences</x:v>
      </x:c>
      <x:c r="G148" s="31" t="str">
        <x:v>TECHNICAL_GLOSSARY</x:v>
      </x:c>
      <x:c r="H148" s="19" t="str">
        <x:v>NO</x:v>
      </x:c>
      <x:c r="I148" s="31" t="str">
        <x:v>IPCC AR6 glossary and assessment usage</x:v>
      </x:c>
      <x:c r="J148" s="31" t="str">
        <x:v>Component headword checked: justice.</x:v>
      </x:c>
      <x:c r="K148" s="31" t="str">
        <x:v>Anchor-period research source/context; Webster 1913 stable component URL recorded but automated page retrieval was unavailable</x:v>
      </x:c>
      <x:c r="L148" s="31" t="str">
        <x:v>An evaluative framework concerned with fair distribution of climate harms, responsibilities, participation, and remedies.</x:v>
      </x:c>
      <x:c r="M148" s="31" t="str">
        <x:v>A threat, risk, harm, severity, or consequence sense in the documented source; it is not automatically an emotion.</x:v>
      </x:c>
      <x:c r="N148" s="31" t="str">
        <x:v>An evaluative framework concerned with fair distribution of climate harms, responsibilities, participation, and remedies.</x:v>
      </x:c>
      <x:c r="O148" s="31" t="str">
        <x:v>STRONG</x:v>
      </x:c>
      <x:c r="P148" s="19" t="str">
        <x:v>NOT_LOCATED</x:v>
      </x:c>
      <x:c r="Q148" s="31" t="str">
        <x:v>The surface form may realize multiple senses; candidate meaning remains anchored to the report-visible source context.</x:v>
      </x:c>
      <x:c r="R148" s="31" t="str">
        <x:v>https://www.ipcc.ch/report/ar6/syr/downloads/report/IPCC_AR6_SYR_FullVolume.pdf; https://api.dictionaryapi.dev/api/v2/entries/en/climate%20justice; https://websters1913.timcieplowski.com/word/justice/</x:v>
      </x:c>
      <x:c r="S148" s="19" t="str">
        <x:v>2026-08-26</x:v>
      </x:c>
      <x:c r="T148" s="43" t="str">
        <x:v>RECONSTRUCTED_FROM_REPORT; Fear of Temperature_ Stratified Lexical Expansion, Voice Mapping, and Semantic-Relational Pre-Valida.pdf; p.11; project candidate FT-SEED-R1B-P-2015-24; original visible ID not available</x:v>
      </x:c>
    </x:row>
    <x:row r="149" ht="38" customHeight="1">
      <x:c r="A149" s="40" t="str">
        <x:v>FT-SEED-R1B-P-2015-25</x:v>
      </x:c>
      <x:c r="B149" s="19" t="str">
        <x:v>2015</x:v>
      </x:c>
      <x:c r="C149" s="25" t="n">
        <x:v>25</x:v>
      </x:c>
      <x:c r="D149" s="31" t="str">
        <x:v>very worried</x:v>
      </x:c>
      <x:c r="E149" s="31" t="str">
        <x:v>participant worry endorsement</x:v>
      </x:c>
      <x:c r="F149" s="31" t="str">
        <x:v>worry</x:v>
      </x:c>
      <x:c r="G149" s="31" t="str">
        <x:v>NO_STANDALONE_HEADWORD</x:v>
      </x:c>
      <x:c r="H149" s="19" t="str">
        <x:v>NO</x:v>
      </x:c>
      <x:c r="I149" s="31" t="str">
        <x:v>Component lexical analysis plus anchor-source contextual meaning</x:v>
      </x:c>
      <x:c r="J149" s="31" t="str">
        <x:v>Component headword checked: worried.</x:v>
      </x:c>
      <x:c r="K149" s="31" t="str">
        <x:v>Anchor-period research source/context; Webster 1913 stable component URL recorded but automated page retrieval was unavailable</x:v>
      </x:c>
      <x:c r="L149" s="31" t="str">
        <x:v>A participant selection or endorsement of a supplied worry category; the candidate is interpreted in its documented anchor and voice context.</x:v>
      </x:c>
      <x:c r="M149" s="31" t="str">
        <x:v>Survey or instrument wording used to elicit and classify participant endorsement; the response may be participant evidence, but the lexical wording is supplied.</x:v>
      </x:c>
      <x:c r="N149" s="31" t="str">
        <x:v>Contemporary worry wording may describe affect, but in the cited survey setting it is instrument-supplied and participant endorsement is elicited rather than spontaneous.</x:v>
      </x:c>
      <x:c r="O149" s="31" t="str">
        <x:v>STRONG</x:v>
      </x:c>
      <x:c r="P149" s="19" t="str">
        <x:v>NOT_LOCATED</x:v>
      </x:c>
      <x:c r="Q149" s="31" t="str">
        <x:v>Elicited endorsement, question wording, and spontaneous participant vocabulary are distinct provenance states.</x:v>
      </x:c>
      <x:c r="R149" s="31" t="str">
        <x:v>Fear of Temperature_ Stratified Lexical Expansion, Voice Mapping, and Semantic-Relational Pre-Valida.pdf#page=12; https://api.dictionaryapi.dev/api/v2/entries/en/very%20worried; https://websters1913.timcieplowski.com/word/worried/</x:v>
      </x:c>
      <x:c r="S149" s="19" t="str">
        <x:v>2026-08-26</x:v>
      </x:c>
      <x:c r="T149" s="43" t="str">
        <x:v>RECONSTRUCTED_FROM_REPORT; Fear of Temperature_ Stratified Lexical Expansion, Voice Mapping, and Semantic-Relational Pre-Valida.pdf; p.11; project candidate FT-SEED-R1B-P-2015-25; original visible ID not available</x:v>
      </x:c>
    </x:row>
    <x:row r="150" ht="38" customHeight="1">
      <x:c r="A150" s="40" t="str">
        <x:v>FT-SEED-R1B-P-2015-26</x:v>
      </x:c>
      <x:c r="B150" s="19" t="str">
        <x:v>2015</x:v>
      </x:c>
      <x:c r="C150" s="25" t="n">
        <x:v>26</x:v>
      </x:c>
      <x:c r="D150" s="31" t="str">
        <x:v>somewhat worried</x:v>
      </x:c>
      <x:c r="E150" s="31" t="str">
        <x:v>participant worry endorsement</x:v>
      </x:c>
      <x:c r="F150" s="31" t="str">
        <x:v>worry</x:v>
      </x:c>
      <x:c r="G150" s="31" t="str">
        <x:v>NO_STANDALONE_HEADWORD</x:v>
      </x:c>
      <x:c r="H150" s="19" t="str">
        <x:v>NO</x:v>
      </x:c>
      <x:c r="I150" s="31" t="str">
        <x:v>Component lexical analysis plus anchor-source contextual meaning</x:v>
      </x:c>
      <x:c r="J150" s="31" t="str">
        <x:v>Component headword checked: worried.</x:v>
      </x:c>
      <x:c r="K150" s="31" t="str">
        <x:v>Anchor-period research source/context; Webster 1913 stable component URL recorded but automated page retrieval was unavailable</x:v>
      </x:c>
      <x:c r="L150" s="31" t="str">
        <x:v>A participant selection or endorsement of a supplied worry category; the candidate is interpreted in its documented anchor and voice context.</x:v>
      </x:c>
      <x:c r="M150" s="31" t="str">
        <x:v>Survey or instrument wording used to elicit and classify participant endorsement; the response may be participant evidence, but the lexical wording is supplied.</x:v>
      </x:c>
      <x:c r="N150" s="31" t="str">
        <x:v>A participant selection or endorsement of a supplied worry category; the candidate is interpreted in its documented anchor and voice context.</x:v>
      </x:c>
      <x:c r="O150" s="31" t="str">
        <x:v>STRONG</x:v>
      </x:c>
      <x:c r="P150" s="19" t="str">
        <x:v>NOT_LOCATED</x:v>
      </x:c>
      <x:c r="Q150" s="31" t="str">
        <x:v>Elicited endorsement, question wording, and spontaneous participant vocabulary are distinct provenance states.</x:v>
      </x:c>
      <x:c r="R150" s="31" t="str">
        <x:v>Fear of Temperature_ Stratified Lexical Expansion, Voice Mapping, and Semantic-Relational Pre-Valida.pdf#page=12; https://api.dictionaryapi.dev/api/v2/entries/en/somewhat%20worried; https://websters1913.timcieplowski.com/word/worried/</x:v>
      </x:c>
      <x:c r="S150" s="19" t="str">
        <x:v>2026-08-26</x:v>
      </x:c>
      <x:c r="T150" s="43" t="str">
        <x:v>RECONSTRUCTED_FROM_REPORT; Fear of Temperature_ Stratified Lexical Expansion, Voice Mapping, and Semantic-Relational Pre-Valida.pdf; p.11; project candidate FT-SEED-R1B-P-2015-26; original visible ID not available</x:v>
      </x:c>
    </x:row>
    <x:row r="151" ht="38" customHeight="1">
      <x:c r="A151" s="40" t="str">
        <x:v>FT-SEED-R1B-P-2015-27</x:v>
      </x:c>
      <x:c r="B151" s="19" t="str">
        <x:v>2015</x:v>
      </x:c>
      <x:c r="C151" s="25" t="n">
        <x:v>27</x:v>
      </x:c>
      <x:c r="D151" s="31" t="str">
        <x:v>very serious problem</x:v>
      </x:c>
      <x:c r="E151" s="31" t="str">
        <x:v>generic damage</x:v>
      </x:c>
      <x:c r="F151" s="31" t="str">
        <x:v>harm_loss_consequences</x:v>
      </x:c>
      <x:c r="G151" s="31" t="str">
        <x:v>NO_STANDALONE_HEADWORD</x:v>
      </x:c>
      <x:c r="H151" s="19" t="str">
        <x:v>NO</x:v>
      </x:c>
      <x:c r="I151" s="31" t="str">
        <x:v>Component lexical analysis plus anchor-source contextual meaning</x:v>
      </x:c>
      <x:c r="J151" s="31" t="str">
        <x:v>Component headword checked: problem.</x:v>
      </x:c>
      <x:c r="K151" s="31" t="str">
        <x:v>Anchor-period research source/context; Webster 1913 stable component URL recorded but automated page retrieval was unavailable</x:v>
      </x:c>
      <x:c r="L151" s="31" t="str">
        <x:v>Generic material, ecological, or social damage; the candidate is interpreted in its documented anchor and voice context.</x:v>
      </x:c>
      <x:c r="M151" s="31" t="str">
        <x:v>A threat, risk, harm, severity, or consequence sense in the documented source; it is not automatically an emotion.</x:v>
      </x:c>
      <x:c r="N151" s="31" t="str">
        <x:v>Generic material, ecological, or social damage; the candidate is interpreted in its documented anchor and voice context.</x:v>
      </x:c>
      <x:c r="O151" s="31" t="str">
        <x:v>STRONG</x:v>
      </x:c>
      <x:c r="P151" s="19" t="str">
        <x:v>NOT_LOCATED</x:v>
      </x:c>
      <x:c r="Q151" s="31" t="str">
        <x:v>The surface form may realize multiple senses; candidate meaning remains anchored to the report-visible source context.</x:v>
      </x:c>
      <x:c r="R151" s="31" t="str">
        <x:v>Fear of Temperature_ Stratified Lexical Expansion, Voice Mapping, and Semantic-Relational Pre-Valida.pdf#page=11; https://api.dictionaryapi.dev/api/v2/entries/en/very%20serious%20problem; https://websters1913.timcieplowski.com/word/problem/</x:v>
      </x:c>
      <x:c r="S151" s="19" t="str">
        <x:v>2026-08-26</x:v>
      </x:c>
      <x:c r="T151" s="43" t="str">
        <x:v>RECONSTRUCTED_FROM_REPORT; Fear of Temperature_ Stratified Lexical Expansion, Voice Mapping, and Semantic-Relational Pre-Valida.pdf; p.11; project candidate FT-SEED-R1B-P-2015-27; original visible ID not available</x:v>
      </x:c>
    </x:row>
    <x:row r="152" ht="38" customHeight="1">
      <x:c r="A152" s="40" t="str">
        <x:v>FT-SEED-R1B-P-2015-28</x:v>
      </x:c>
      <x:c r="B152" s="19" t="str">
        <x:v>2015</x:v>
      </x:c>
      <x:c r="C152" s="25" t="n">
        <x:v>28</x:v>
      </x:c>
      <x:c r="D152" s="31" t="str">
        <x:v>harm them personally</x:v>
      </x:c>
      <x:c r="E152" s="31" t="str">
        <x:v>generic damage</x:v>
      </x:c>
      <x:c r="F152" s="31" t="str">
        <x:v>harm_loss_consequences</x:v>
      </x:c>
      <x:c r="G152" s="31" t="str">
        <x:v>NO_STANDALONE_HEADWORD</x:v>
      </x:c>
      <x:c r="H152" s="19" t="str">
        <x:v>NO</x:v>
      </x:c>
      <x:c r="I152" s="31" t="str">
        <x:v>Component lexical analysis plus anchor-source contextual meaning</x:v>
      </x:c>
      <x:c r="J152" s="31" t="str">
        <x:v>Component headword checked: harm.</x:v>
      </x:c>
      <x:c r="K152" s="31" t="str">
        <x:v>Anchor-period research source/context; Webster 1913 stable component URL recorded but automated page retrieval was unavailable</x:v>
      </x:c>
      <x:c r="L152" s="31" t="str">
        <x:v>Generic material, ecological, or social damage; the candidate is interpreted in its documented anchor and voice context.</x:v>
      </x:c>
      <x:c r="M152" s="31" t="str">
        <x:v>A threat, risk, harm, severity, or consequence sense in the documented source; it is not automatically an emotion.</x:v>
      </x:c>
      <x:c r="N152" s="31" t="str">
        <x:v>Generic material, ecological, or social damage; the candidate is interpreted in its documented anchor and voice context.</x:v>
      </x:c>
      <x:c r="O152" s="31" t="str">
        <x:v>STRONG</x:v>
      </x:c>
      <x:c r="P152" s="19" t="str">
        <x:v>NOT_LOCATED</x:v>
      </x:c>
      <x:c r="Q152" s="31" t="str">
        <x:v>The surface form may realize multiple senses; candidate meaning remains anchored to the report-visible source context.</x:v>
      </x:c>
      <x:c r="R152" s="31" t="str">
        <x:v>Fear of Temperature_ Stratified Lexical Expansion, Voice Mapping, and Semantic-Relational Pre-Valida.pdf#page=11; https://api.dictionaryapi.dev/api/v2/entries/en/harm%20them%20personally; https://websters1913.timcieplowski.com/word/harm/</x:v>
      </x:c>
      <x:c r="S152" s="19" t="str">
        <x:v>2026-08-26</x:v>
      </x:c>
      <x:c r="T152" s="43" t="str">
        <x:v>RECONSTRUCTED_FROM_REPORT; Fear of Temperature_ Stratified Lexical Expansion, Voice Mapping, and Semantic-Relational Pre-Valida.pdf; p.11; project candidate FT-SEED-R1B-P-2015-28; original visible ID not available</x:v>
      </x:c>
    </x:row>
    <x:row r="153" ht="38" customHeight="1">
      <x:c r="A153" s="40" t="str">
        <x:v>FT-SEED-R1B-P-2015-29</x:v>
      </x:c>
      <x:c r="B153" s="19" t="str">
        <x:v>2015</x:v>
      </x:c>
      <x:c r="C153" s="25" t="n">
        <x:v>29</x:v>
      </x:c>
      <x:c r="D153" s="31" t="str">
        <x:v>drought or water shortages</x:v>
      </x:c>
      <x:c r="E153" s="31" t="str">
        <x:v>generic damage</x:v>
      </x:c>
      <x:c r="F153" s="31" t="str">
        <x:v>harm_loss_consequences</x:v>
      </x:c>
      <x:c r="G153" s="31" t="str">
        <x:v>NO_STANDALONE_HEADWORD</x:v>
      </x:c>
      <x:c r="H153" s="19" t="str">
        <x:v>NO</x:v>
      </x:c>
      <x:c r="I153" s="31" t="str">
        <x:v>Component lexical analysis plus anchor-source contextual meaning</x:v>
      </x:c>
      <x:c r="J153" s="31" t="str">
        <x:v>Component headword checked: shortages.</x:v>
      </x:c>
      <x:c r="K153" s="31" t="str">
        <x:v>Anchor-period research source/context; Webster 1913 stable component URL recorded but automated page retrieval was unavailable</x:v>
      </x:c>
      <x:c r="L153" s="31" t="str">
        <x:v>Generic material, ecological, or social damage; the candidate is interpreted in its documented anchor and voice context.</x:v>
      </x:c>
      <x:c r="M153" s="31" t="str">
        <x:v>A threat, risk, harm, severity, or consequence sense in the documented source; it is not automatically an emotion.</x:v>
      </x:c>
      <x:c r="N153" s="31" t="str">
        <x:v>Generic material, ecological, or social damage; the candidate is interpreted in its documented anchor and voice context.</x:v>
      </x:c>
      <x:c r="O153" s="31" t="str">
        <x:v>STRONG</x:v>
      </x:c>
      <x:c r="P153" s="19" t="str">
        <x:v>NOT_LOCATED</x:v>
      </x:c>
      <x:c r="Q153" s="31" t="str">
        <x:v>The surface form may realize multiple senses; candidate meaning remains anchored to the report-visible source context.</x:v>
      </x:c>
      <x:c r="R153" s="31" t="str">
        <x:v>Fear of Temperature_ Stratified Lexical Expansion, Voice Mapping, and Semantic-Relational Pre-Valida.pdf#page=11; https://api.dictionaryapi.dev/api/v2/entries/en/drought%20or%20water%20shortages; https://websters1913.timcieplowski.com/word/shortages/</x:v>
      </x:c>
      <x:c r="S153" s="19" t="str">
        <x:v>2026-08-26</x:v>
      </x:c>
      <x:c r="T153" s="43" t="str">
        <x:v>RECONSTRUCTED_FROM_REPORT; Fear of Temperature_ Stratified Lexical Expansion, Voice Mapping, and Semantic-Relational Pre-Valida.pdf; p.11; project candidate FT-SEED-R1B-P-2015-29; original visible ID not available</x:v>
      </x:c>
    </x:row>
    <x:row r="154" ht="38" customHeight="1">
      <x:c r="A154" s="40" t="str">
        <x:v>FT-SEED-R1B-P-2015-30</x:v>
      </x:c>
      <x:c r="B154" s="19" t="str">
        <x:v>2015</x:v>
      </x:c>
      <x:c r="C154" s="25" t="n">
        <x:v>30</x:v>
      </x:c>
      <x:c r="D154" s="31" t="str">
        <x:v>We are nature defending itself</x:v>
      </x:c>
      <x:c r="E154" s="31" t="str">
        <x:v>personal concern</x:v>
      </x:c>
      <x:c r="F154" s="31" t="str">
        <x:v>concern_alarm</x:v>
      </x:c>
      <x:c r="G154" s="31" t="str">
        <x:v>NO_STANDALONE_HEADWORD</x:v>
      </x:c>
      <x:c r="H154" s="19" t="str">
        <x:v>NO</x:v>
      </x:c>
      <x:c r="I154" s="31" t="str">
        <x:v>Component lexical analysis plus anchor-source contextual meaning</x:v>
      </x:c>
      <x:c r="J154" s="31" t="str">
        <x:v>Component headword checked: defending.</x:v>
      </x:c>
      <x:c r="K154" s="31" t="str">
        <x:v>Anchor-period research source/context; Webster 1913 stable component URL recorded but automated page retrieval was unavailable</x:v>
      </x:c>
      <x:c r="L154" s="31" t="str">
        <x:v>Concern expressed or endorsed by an identifiable person about a climate or heat object; the candidate is interpreted in its documented anchor and voice context.</x:v>
      </x:c>
      <x:c r="M154" s="31" t="str">
        <x:v>The candidate's affective or evaluative sense as used by the documented speaker/instrument/research voice at the anchor.</x:v>
      </x:c>
      <x:c r="N154" s="31" t="str">
        <x:v>Concern expressed or endorsed by an identifiable person about a climate or heat object; the candidate is interpreted in its documented anchor and voice context.</x:v>
      </x:c>
      <x:c r="O154" s="31" t="str">
        <x:v>STRONG</x:v>
      </x:c>
      <x:c r="P154" s="19" t="str">
        <x:v>NOT_LOCATED</x:v>
      </x:c>
      <x:c r="Q154" s="31" t="str">
        <x:v>The surface form may realize multiple senses; candidate meaning remains anchored to the report-visible source context.</x:v>
      </x:c>
      <x:c r="R154" s="31" t="str">
        <x:v>Fear of Temperature_ Stratified Lexical Expansion, Voice Mapping, and Semantic-Relational Pre-Valida.pdf#page=11; https://api.dictionaryapi.dev/api/v2/entries/en/We%20are%20nature%20defending%20itself; https://websters1913.timcieplowski.com/word/defending/</x:v>
      </x:c>
      <x:c r="S154" s="19" t="str">
        <x:v>2026-08-26</x:v>
      </x:c>
      <x:c r="T154" s="43" t="str">
        <x:v>RECONSTRUCTED_FROM_REPORT; Fear of Temperature_ Stratified Lexical Expansion, Voice Mapping, and Semantic-Relational Pre-Valida.pdf; p.11; project candidate FT-SEED-R1B-P-2015-30; original visible ID not available</x:v>
      </x:c>
    </x:row>
    <x:row r="155" ht="38" customHeight="1">
      <x:c r="A155" s="40" t="str">
        <x:v>FT-SEED-R1B-P-2022-01</x:v>
      </x:c>
      <x:c r="B155" s="19" t="str">
        <x:v>2022</x:v>
      </x:c>
      <x:c r="C155" s="25" t="n">
        <x:v>1</x:v>
      </x:c>
      <x:c r="D155" s="31" t="str">
        <x:v>climate change</x:v>
      </x:c>
      <x:c r="E155" s="31" t="str">
        <x:v>modern climate change</x:v>
      </x:c>
      <x:c r="F155" s="31" t="str">
        <x:v>climate</x:v>
      </x:c>
      <x:c r="G155" s="31" t="str">
        <x:v>TECHNICAL_GLOSSARY</x:v>
      </x:c>
      <x:c r="H155" s="19" t="str">
        <x:v>NO</x:v>
      </x:c>
      <x:c r="I155" s="31" t="str">
        <x:v>IPCC climate-science glossary / assessment terminology</x:v>
      </x:c>
      <x:c r="J155" s="31" t="str">
        <x:v>Component headword checked: change.</x:v>
      </x:c>
      <x:c r="K155" s="31" t="str">
        <x:v>Anchor-period research source/context; Webster 1913 stable component URL recorded but automated page retrieval was unavailable</x:v>
      </x:c>
      <x:c r="L155" s="31" t="str">
        <x:v>A persistent change in the state or variability of climate; institutional definitions differ on whether human attribution is required.</x:v>
      </x:c>
      <x:c r="M155" s="31" t="str">
        <x:v>The established modern issue label for sustained climatic change, used in institutional, scientific, or public contexts depending on voice.</x:v>
      </x:c>
      <x:c r="N155" s="31" t="str">
        <x:v>A persistent change in the state or variability of climate; institutional definitions differ on whether human attribution is required.</x:v>
      </x:c>
      <x:c r="O155" s="31" t="str">
        <x:v>STRONG</x:v>
      </x:c>
      <x:c r="P155" s="19" t="str">
        <x:v>NOT_LOCATED</x:v>
      </x:c>
      <x:c r="Q155" s="31" t="str">
        <x:v>The modern issue label must still be distinguished from generic change and historical climatic variability.</x:v>
      </x:c>
      <x:c r="R155" s="31" t="str">
        <x:v>https://www.ipcc.ch/site/assets/uploads/2018/02/WGIIAR5-AnnexII_FINAL.pdf; https://api.dictionaryapi.dev/api/v2/entries/en/climate%20change; https://websters1913.timcieplowski.com/word/change/</x:v>
      </x:c>
      <x:c r="S155" s="19" t="str">
        <x:v>2026-08-26</x:v>
      </x:c>
      <x:c r="T155" s="43" t="str">
        <x:v>RECONSTRUCTED_FROM_REPORT; Fear of Temperature_ Stratified Lexical Expansion, Voice Mapping, and Semantic-Relational Pre-Valida.pdf; p.12; project candidate FT-SEED-R1B-P-2022-01; original visible ID not available</x:v>
      </x:c>
    </x:row>
    <x:row r="156" ht="38" customHeight="1">
      <x:c r="A156" s="40" t="str">
        <x:v>FT-SEED-R1B-P-2022-02</x:v>
      </x:c>
      <x:c r="B156" s="19" t="str">
        <x:v>2022</x:v>
      </x:c>
      <x:c r="C156" s="25" t="n">
        <x:v>2</x:v>
      </x:c>
      <x:c r="D156" s="31" t="str">
        <x:v>global warming</x:v>
      </x:c>
      <x:c r="E156" s="31" t="str">
        <x:v>global warming as issue label</x:v>
      </x:c>
      <x:c r="F156" s="31" t="str">
        <x:v>warming</x:v>
      </x:c>
      <x:c r="G156" s="31" t="str">
        <x:v>TECHNICAL_GLOSSARY</x:v>
      </x:c>
      <x:c r="H156" s="19" t="str">
        <x:v>NO</x:v>
      </x:c>
      <x:c r="I156" s="31" t="str">
        <x:v>IPCC climate-science glossary / assessment terminology</x:v>
      </x:c>
      <x:c r="J156" s="31" t="str">
        <x:v>Component headword checked: warming.</x:v>
      </x:c>
      <x:c r="K156" s="31" t="str">
        <x:v>Anchor-period research source/context; Webster 1913 stable component URL recorded but automated page retrieval was unavailable</x:v>
      </x:c>
      <x:c r="L156" s="31" t="str">
        <x:v>The long-term rise in global mean surface temperature, commonly used as an established issue label in modern climate discourse.</x:v>
      </x:c>
      <x:c r="M156" s="31" t="str">
        <x:v>A physical temperature, warming, heat, or measurement sense in the documented anchor context.</x:v>
      </x:c>
      <x:c r="N156" s="31" t="str">
        <x:v>The long-term rise in global mean surface temperature, commonly used as an established issue label in modern climate discourse.</x:v>
      </x:c>
      <x:c r="O156" s="31" t="str">
        <x:v>STRONG</x:v>
      </x:c>
      <x:c r="P156" s="19" t="str">
        <x:v>NOT_LOCATED</x:v>
      </x:c>
      <x:c r="Q156" s="31" t="str">
        <x:v>The surface form may realize multiple senses; candidate meaning remains anchored to the report-visible source context.</x:v>
      </x:c>
      <x:c r="R156" s="31" t="str">
        <x:v>https://www.ipcc.ch/site/assets/uploads/2018/02/WGIIAR5-AnnexII_FINAL.pdf; https://api.dictionaryapi.dev/api/v2/entries/en/global%20warming; https://websters1913.timcieplowski.com/word/warming/</x:v>
      </x:c>
      <x:c r="S156" s="19" t="str">
        <x:v>2026-08-26</x:v>
      </x:c>
      <x:c r="T156" s="43" t="str">
        <x:v>RECONSTRUCTED_FROM_REPORT; Fear of Temperature_ Stratified Lexical Expansion, Voice Mapping, and Semantic-Relational Pre-Valida.pdf; p.12; project candidate FT-SEED-R1B-P-2022-02; original visible ID not available</x:v>
      </x:c>
    </x:row>
    <x:row r="157" ht="38" customHeight="1">
      <x:c r="A157" s="40" t="str">
        <x:v>FT-SEED-R1B-P-2022-03</x:v>
      </x:c>
      <x:c r="B157" s="19" t="str">
        <x:v>2022</x:v>
      </x:c>
      <x:c r="C157" s="25" t="n">
        <x:v>3</x:v>
      </x:c>
      <x:c r="D157" s="31" t="str">
        <x:v>very worried</x:v>
      </x:c>
      <x:c r="E157" s="31" t="str">
        <x:v>participant worry endorsement</x:v>
      </x:c>
      <x:c r="F157" s="31" t="str">
        <x:v>worry</x:v>
      </x:c>
      <x:c r="G157" s="31" t="str">
        <x:v>NO_STANDALONE_HEADWORD</x:v>
      </x:c>
      <x:c r="H157" s="19" t="str">
        <x:v>NO</x:v>
      </x:c>
      <x:c r="I157" s="31" t="str">
        <x:v>Component lexical analysis plus anchor-source contextual meaning</x:v>
      </x:c>
      <x:c r="J157" s="31" t="str">
        <x:v>Component headword checked: worried.</x:v>
      </x:c>
      <x:c r="K157" s="31" t="str">
        <x:v>Anchor-period research source/context; Webster 1913 stable component URL recorded but automated page retrieval was unavailable</x:v>
      </x:c>
      <x:c r="L157" s="31" t="str">
        <x:v>A participant selection or endorsement of a supplied worry category; the candidate is interpreted in its documented anchor and voice context.</x:v>
      </x:c>
      <x:c r="M157" s="31" t="str">
        <x:v>Survey or instrument wording used to elicit and classify participant endorsement; the response may be participant evidence, but the lexical wording is supplied.</x:v>
      </x:c>
      <x:c r="N157" s="31" t="str">
        <x:v>Contemporary worry wording may describe affect, but in the cited survey setting it is instrument-supplied and participant endorsement is elicited rather than spontaneous.</x:v>
      </x:c>
      <x:c r="O157" s="31" t="str">
        <x:v>STRONG</x:v>
      </x:c>
      <x:c r="P157" s="19" t="str">
        <x:v>NOT_LOCATED</x:v>
      </x:c>
      <x:c r="Q157" s="31" t="str">
        <x:v>Elicited endorsement, question wording, and spontaneous participant vocabulary are distinct provenance states.</x:v>
      </x:c>
      <x:c r="R157" s="31" t="str">
        <x:v>Fear of Temperature_ Stratified Lexical Expansion, Voice Mapping, and Semantic-Relational Pre-Valida.pdf#page=12; https://api.dictionaryapi.dev/api/v2/entries/en/very%20worried; https://websters1913.timcieplowski.com/word/worried/</x:v>
      </x:c>
      <x:c r="S157" s="19" t="str">
        <x:v>2026-08-26</x:v>
      </x:c>
      <x:c r="T157" s="43" t="str">
        <x:v>RECONSTRUCTED_FROM_REPORT; Fear of Temperature_ Stratified Lexical Expansion, Voice Mapping, and Semantic-Relational Pre-Valida.pdf; p.12; project candidate FT-SEED-R1B-P-2022-03; original visible ID not available</x:v>
      </x:c>
    </x:row>
    <x:row r="158" ht="38" customHeight="1">
      <x:c r="A158" s="40" t="str">
        <x:v>FT-SEED-R1B-P-2022-04</x:v>
      </x:c>
      <x:c r="B158" s="19" t="str">
        <x:v>2022</x:v>
      </x:c>
      <x:c r="C158" s="25" t="n">
        <x:v>4</x:v>
      </x:c>
      <x:c r="D158" s="31" t="str">
        <x:v>somewhat worried</x:v>
      </x:c>
      <x:c r="E158" s="31" t="str">
        <x:v>participant worry endorsement</x:v>
      </x:c>
      <x:c r="F158" s="31" t="str">
        <x:v>worry</x:v>
      </x:c>
      <x:c r="G158" s="31" t="str">
        <x:v>NO_STANDALONE_HEADWORD</x:v>
      </x:c>
      <x:c r="H158" s="19" t="str">
        <x:v>NO</x:v>
      </x:c>
      <x:c r="I158" s="31" t="str">
        <x:v>Component lexical analysis plus anchor-source contextual meaning</x:v>
      </x:c>
      <x:c r="J158" s="31" t="str">
        <x:v>Component headword checked: worried.</x:v>
      </x:c>
      <x:c r="K158" s="31" t="str">
        <x:v>Anchor-period research source/context; Webster 1913 stable component URL recorded but automated page retrieval was unavailable</x:v>
      </x:c>
      <x:c r="L158" s="31" t="str">
        <x:v>A participant selection or endorsement of a supplied worry category; the candidate is interpreted in its documented anchor and voice context.</x:v>
      </x:c>
      <x:c r="M158" s="31" t="str">
        <x:v>Survey or instrument wording used to elicit and classify participant endorsement; the response may be participant evidence, but the lexical wording is supplied.</x:v>
      </x:c>
      <x:c r="N158" s="31" t="str">
        <x:v>A participant selection or endorsement of a supplied worry category; the candidate is interpreted in its documented anchor and voice context.</x:v>
      </x:c>
      <x:c r="O158" s="31" t="str">
        <x:v>STRONG</x:v>
      </x:c>
      <x:c r="P158" s="19" t="str">
        <x:v>NOT_LOCATED</x:v>
      </x:c>
      <x:c r="Q158" s="31" t="str">
        <x:v>Elicited endorsement, question wording, and spontaneous participant vocabulary are distinct provenance states.</x:v>
      </x:c>
      <x:c r="R158" s="31" t="str">
        <x:v>Fear of Temperature_ Stratified Lexical Expansion, Voice Mapping, and Semantic-Relational Pre-Valida.pdf#page=12; https://api.dictionaryapi.dev/api/v2/entries/en/somewhat%20worried; https://websters1913.timcieplowski.com/word/worried/</x:v>
      </x:c>
      <x:c r="S158" s="19" t="str">
        <x:v>2026-08-26</x:v>
      </x:c>
      <x:c r="T158" s="43" t="str">
        <x:v>RECONSTRUCTED_FROM_REPORT; Fear of Temperature_ Stratified Lexical Expansion, Voice Mapping, and Semantic-Relational Pre-Valida.pdf; p.12; project candidate FT-SEED-R1B-P-2022-04; original visible ID not available</x:v>
      </x:c>
    </x:row>
    <x:row r="159" ht="38" customHeight="1">
      <x:c r="A159" s="40" t="str">
        <x:v>FT-SEED-R1B-P-2022-05</x:v>
      </x:c>
      <x:c r="B159" s="19" t="str">
        <x:v>2022</x:v>
      </x:c>
      <x:c r="C159" s="25" t="n">
        <x:v>5</x:v>
      </x:c>
      <x:c r="D159" s="31" t="str">
        <x:v>afraid</x:v>
      </x:c>
      <x:c r="E159" s="31" t="str">
        <x:v>participant afraid endorsement</x:v>
      </x:c>
      <x:c r="F159" s="31" t="str">
        <x:v>fear_afraid</x:v>
      </x:c>
      <x:c r="G159" s="31" t="str">
        <x:v>DIRECT_HEADWORD</x:v>
      </x:c>
      <x:c r="H159" s="19" t="str">
        <x:v>YES</x:v>
      </x:c>
      <x:c r="I159" s="31" t="str">
        <x:v>Webster's Revised Unabridged Dictionary (1913 public-domain headword index)</x:v>
      </x:c>
      <x:c r="J159" s="31" t="str">
        <x:v>Component headword checked: afraid.</x:v>
      </x:c>
      <x:c r="K159" s="31" t="str">
        <x:v>Webster's Revised Unabridged Dictionary (1913 public-domain edition)</x:v>
      </x:c>
      <x:c r="L159" s="31" t="str">
        <x:v>Participant endorsement of a supplied afraid category; the candidate is interpreted in its documented anchor and voice context.</x:v>
      </x:c>
      <x:c r="M159" s="31" t="str">
        <x:v>The candidate's affective or evaluative sense as used by the documented speaker/instrument/research voice at the anchor.</x:v>
      </x:c>
      <x:c r="N159" s="31" t="str">
        <x:v>Participant endorsement of a supplied afraid category; the candidate is interpreted in its documented anchor and voice context.</x:v>
      </x:c>
      <x:c r="O159" s="31" t="str">
        <x:v>STRONG</x:v>
      </x:c>
      <x:c r="P159" s="19" t="str">
        <x:v>NOT_LOCATED</x:v>
      </x:c>
      <x:c r="Q159" s="31" t="str">
        <x:v>The surface form may realize multiple senses; candidate meaning remains anchored to the report-visible source context.</x:v>
      </x:c>
      <x:c r="R159" s="31" t="str">
        <x:v>https://websters1913.timcieplowski.com/word/afraid/; https://api.dictionaryapi.dev/api/v2/entries/en/afraid</x:v>
      </x:c>
      <x:c r="S159" s="19" t="str">
        <x:v>2026-08-26</x:v>
      </x:c>
      <x:c r="T159" s="43" t="str">
        <x:v>RECONSTRUCTED_FROM_REPORT; Fear of Temperature_ Stratified Lexical Expansion, Voice Mapping, and Semantic-Relational Pre-Valida.pdf; p.12; project candidate FT-SEED-R1B-P-2022-05; original visible ID not available</x:v>
      </x:c>
    </x:row>
    <x:row r="160" ht="38" customHeight="1">
      <x:c r="A160" s="40" t="str">
        <x:v>FT-SEED-R1B-P-2022-06</x:v>
      </x:c>
      <x:c r="B160" s="19" t="str">
        <x:v>2022</x:v>
      </x:c>
      <x:c r="C160" s="25" t="n">
        <x:v>6</x:v>
      </x:c>
      <x:c r="D160" s="31" t="str">
        <x:v>anxious</x:v>
      </x:c>
      <x:c r="E160" s="31" t="str">
        <x:v>anxious affect</x:v>
      </x:c>
      <x:c r="F160" s="31" t="str">
        <x:v>anxiety</x:v>
      </x:c>
      <x:c r="G160" s="31" t="str">
        <x:v>DIRECT_HEADWORD</x:v>
      </x:c>
      <x:c r="H160" s="19" t="str">
        <x:v>YES</x:v>
      </x:c>
      <x:c r="I160" s="31" t="str">
        <x:v>Webster's Revised Unabridged Dictionary (1913 public-domain headword index)</x:v>
      </x:c>
      <x:c r="J160" s="31" t="str">
        <x:v>Component headword checked: anxious.</x:v>
      </x:c>
      <x:c r="K160" s="31" t="str">
        <x:v>Anchor-period research source/context; Webster 1913 stable component URL recorded but automated page retrieval was unavailable</x:v>
      </x:c>
      <x:c r="L160" s="31" t="str">
        <x:v>Anxious feeling directly expressed or endorsed by a participant; the candidate is interpreted in its documented anchor and voice context.</x:v>
      </x:c>
      <x:c r="M160" s="31" t="str">
        <x:v>The candidate's affective or evaluative sense as used by the documented speaker/instrument/research voice at the anchor.</x:v>
      </x:c>
      <x:c r="N160" s="31" t="str">
        <x:v>Anxious feeling directly expressed or endorsed by a participant; the candidate is interpreted in its documented anchor and voice context.</x:v>
      </x:c>
      <x:c r="O160" s="31" t="str">
        <x:v>STRONG</x:v>
      </x:c>
      <x:c r="P160" s="19" t="str">
        <x:v>NOT_LOCATED</x:v>
      </x:c>
      <x:c r="Q160" s="31" t="str">
        <x:v>The surface form may realize multiple senses; candidate meaning remains anchored to the report-visible source context.</x:v>
      </x:c>
      <x:c r="R160" s="31" t="str">
        <x:v>https://websters1913.timcieplowski.com/word/anxious/; https://api.dictionaryapi.dev/api/v2/entries/en/anxious</x:v>
      </x:c>
      <x:c r="S160" s="19" t="str">
        <x:v>2026-08-26</x:v>
      </x:c>
      <x:c r="T160" s="43" t="str">
        <x:v>RECONSTRUCTED_FROM_REPORT; Fear of Temperature_ Stratified Lexical Expansion, Voice Mapping, and Semantic-Relational Pre-Valida.pdf; p.12; project candidate FT-SEED-R1B-P-2022-06; original visible ID not available</x:v>
      </x:c>
    </x:row>
    <x:row r="161" ht="38" customHeight="1">
      <x:c r="A161" s="40" t="str">
        <x:v>FT-SEED-R1B-P-2022-07</x:v>
      </x:c>
      <x:c r="B161" s="19" t="str">
        <x:v>2022</x:v>
      </x:c>
      <x:c r="C161" s="25" t="n">
        <x:v>7</x:v>
      </x:c>
      <x:c r="D161" s="31" t="str">
        <x:v>hopeless</x:v>
      </x:c>
      <x:c r="E161" s="31" t="str">
        <x:v>depressed affect</x:v>
      </x:c>
      <x:c r="F161" s="31" t="str">
        <x:v>distress_depression</x:v>
      </x:c>
      <x:c r="G161" s="31" t="str">
        <x:v>DIRECT_HEADWORD</x:v>
      </x:c>
      <x:c r="H161" s="19" t="str">
        <x:v>YES</x:v>
      </x:c>
      <x:c r="I161" s="31" t="str">
        <x:v>Webster's Revised Unabridged Dictionary (1913 public-domain headword index)</x:v>
      </x:c>
      <x:c r="J161" s="31" t="str">
        <x:v>Component headword checked: hopeless.</x:v>
      </x:c>
      <x:c r="K161" s="31" t="str">
        <x:v>Anchor-period research source/context; Webster 1913 stable component URL recorded but automated page retrieval was unavailable</x:v>
      </x:c>
      <x:c r="L161" s="31" t="str">
        <x:v>Depressed affect directly expressed or instrument-endorsed in a climate context; the candidate is interpreted in its documented anchor and voice context.</x:v>
      </x:c>
      <x:c r="M161" s="31" t="str">
        <x:v>The candidate's affective or evaluative sense as used by the documented speaker/instrument/research voice at the anchor.</x:v>
      </x:c>
      <x:c r="N161" s="31" t="str">
        <x:v>Depressed affect directly expressed or instrument-endorsed in a climate context; the candidate is interpreted in its documented anchor and voice context.</x:v>
      </x:c>
      <x:c r="O161" s="31" t="str">
        <x:v>STRONG</x:v>
      </x:c>
      <x:c r="P161" s="19" t="str">
        <x:v>NOT_LOCATED</x:v>
      </x:c>
      <x:c r="Q161" s="31" t="str">
        <x:v>The surface form may realize multiple senses; candidate meaning remains anchored to the report-visible source context.</x:v>
      </x:c>
      <x:c r="R161" s="31" t="str">
        <x:v>https://websters1913.timcieplowski.com/word/hopeless/; https://api.dictionaryapi.dev/api/v2/entries/en/hopeless</x:v>
      </x:c>
      <x:c r="S161" s="19" t="str">
        <x:v>2026-08-26</x:v>
      </x:c>
      <x:c r="T161" s="43" t="str">
        <x:v>RECONSTRUCTED_FROM_REPORT; Fear of Temperature_ Stratified Lexical Expansion, Voice Mapping, and Semantic-Relational Pre-Valida.pdf; p.12; project candidate FT-SEED-R1B-P-2022-07; original visible ID not available</x:v>
      </x:c>
    </x:row>
    <x:row r="162" ht="38" customHeight="1">
      <x:c r="A162" s="40" t="str">
        <x:v>FT-SEED-R1B-P-2022-08</x:v>
      </x:c>
      <x:c r="B162" s="19" t="str">
        <x:v>2022</x:v>
      </x:c>
      <x:c r="C162" s="25" t="n">
        <x:v>8</x:v>
      </x:c>
      <x:c r="D162" s="31" t="str">
        <x:v>sad</x:v>
      </x:c>
      <x:c r="E162" s="31" t="str">
        <x:v>depressed affect</x:v>
      </x:c>
      <x:c r="F162" s="31" t="str">
        <x:v>distress_depression</x:v>
      </x:c>
      <x:c r="G162" s="31" t="str">
        <x:v>DIRECT_HEADWORD</x:v>
      </x:c>
      <x:c r="H162" s="19" t="str">
        <x:v>YES</x:v>
      </x:c>
      <x:c r="I162" s="31" t="str">
        <x:v>Webster's Revised Unabridged Dictionary (1913 public-domain headword index)</x:v>
      </x:c>
      <x:c r="J162" s="31" t="str">
        <x:v>Component headword checked: sad.</x:v>
      </x:c>
      <x:c r="K162" s="31" t="str">
        <x:v>Anchor-period research source/context; Webster 1913 stable component URL recorded but automated page retrieval was unavailable</x:v>
      </x:c>
      <x:c r="L162" s="31" t="str">
        <x:v>Depressed affect directly expressed or instrument-endorsed in a climate context; the candidate is interpreted in its documented anchor and voice context.</x:v>
      </x:c>
      <x:c r="M162" s="31" t="str">
        <x:v>The candidate's affective or evaluative sense as used by the documented speaker/instrument/research voice at the anchor.</x:v>
      </x:c>
      <x:c r="N162" s="31" t="str">
        <x:v>Depressed affect directly expressed or instrument-endorsed in a climate context; the candidate is interpreted in its documented anchor and voice context.</x:v>
      </x:c>
      <x:c r="O162" s="31" t="str">
        <x:v>STRONG</x:v>
      </x:c>
      <x:c r="P162" s="19" t="str">
        <x:v>NOT_LOCATED</x:v>
      </x:c>
      <x:c r="Q162" s="31" t="str">
        <x:v>The surface form may realize multiple senses; candidate meaning remains anchored to the report-visible source context.</x:v>
      </x:c>
      <x:c r="R162" s="31" t="str">
        <x:v>https://websters1913.timcieplowski.com/word/sad/; https://api.dictionaryapi.dev/api/v2/entries/en/sad</x:v>
      </x:c>
      <x:c r="S162" s="19" t="str">
        <x:v>2026-08-26</x:v>
      </x:c>
      <x:c r="T162" s="43" t="str">
        <x:v>RECONSTRUCTED_FROM_REPORT; Fear of Temperature_ Stratified Lexical Expansion, Voice Mapping, and Semantic-Relational Pre-Valida.pdf; p.12; project candidate FT-SEED-R1B-P-2022-08; original visible ID not available</x:v>
      </x:c>
    </x:row>
    <x:row r="163" ht="38" customHeight="1">
      <x:c r="A163" s="40" t="str">
        <x:v>FT-SEED-R1B-P-2022-09</x:v>
      </x:c>
      <x:c r="B163" s="19" t="str">
        <x:v>2022</x:v>
      </x:c>
      <x:c r="C163" s="25" t="n">
        <x:v>9</x:v>
      </x:c>
      <x:c r="D163" s="31" t="str">
        <x:v>angry</x:v>
      </x:c>
      <x:c r="E163" s="31" t="str">
        <x:v>depressed affect</x:v>
      </x:c>
      <x:c r="F163" s="31" t="str">
        <x:v>distress_depression</x:v>
      </x:c>
      <x:c r="G163" s="31" t="str">
        <x:v>DIRECT_HEADWORD</x:v>
      </x:c>
      <x:c r="H163" s="19" t="str">
        <x:v>YES</x:v>
      </x:c>
      <x:c r="I163" s="31" t="str">
        <x:v>Webster's Revised Unabridged Dictionary (1913 public-domain headword index)</x:v>
      </x:c>
      <x:c r="J163" s="31" t="str">
        <x:v>Component headword checked: angry.</x:v>
      </x:c>
      <x:c r="K163" s="31" t="str">
        <x:v>Anchor-period research source/context; Webster 1913 stable component URL recorded but automated page retrieval was unavailable</x:v>
      </x:c>
      <x:c r="L163" s="31" t="str">
        <x:v>Depressed affect directly expressed or instrument-endorsed in a climate context; the candidate is interpreted in its documented anchor and voice context.</x:v>
      </x:c>
      <x:c r="M163" s="31" t="str">
        <x:v>The candidate's affective or evaluative sense as used by the documented speaker/instrument/research voice at the anchor.</x:v>
      </x:c>
      <x:c r="N163" s="31" t="str">
        <x:v>Depressed affect directly expressed or instrument-endorsed in a climate context; the candidate is interpreted in its documented anchor and voice context.</x:v>
      </x:c>
      <x:c r="O163" s="31" t="str">
        <x:v>STRONG</x:v>
      </x:c>
      <x:c r="P163" s="19" t="str">
        <x:v>NOT_LOCATED</x:v>
      </x:c>
      <x:c r="Q163" s="31" t="str">
        <x:v>The surface form may realize multiple senses; candidate meaning remains anchored to the report-visible source context.</x:v>
      </x:c>
      <x:c r="R163" s="31" t="str">
        <x:v>https://websters1913.timcieplowski.com/word/angry/; https://api.dictionaryapi.dev/api/v2/entries/en/angry</x:v>
      </x:c>
      <x:c r="S163" s="19" t="str">
        <x:v>2026-08-26</x:v>
      </x:c>
      <x:c r="T163" s="43" t="str">
        <x:v>RECONSTRUCTED_FROM_REPORT; Fear of Temperature_ Stratified Lexical Expansion, Voice Mapping, and Semantic-Relational Pre-Valida.pdf; p.13; project candidate FT-SEED-R1B-P-2022-09; original visible ID not available</x:v>
      </x:c>
    </x:row>
    <x:row r="164" ht="38" customHeight="1">
      <x:c r="A164" s="40" t="str">
        <x:v>FT-SEED-R1B-P-2022-10</x:v>
      </x:c>
      <x:c r="B164" s="19" t="str">
        <x:v>2022</x:v>
      </x:c>
      <x:c r="C164" s="25" t="n">
        <x:v>10</x:v>
      </x:c>
      <x:c r="D164" s="31" t="str">
        <x:v>frustrated</x:v>
      </x:c>
      <x:c r="E164" s="31" t="str">
        <x:v>depressed affect</x:v>
      </x:c>
      <x:c r="F164" s="31" t="str">
        <x:v>distress_depression</x:v>
      </x:c>
      <x:c r="G164" s="31" t="str">
        <x:v>DIRECT_HEADWORD</x:v>
      </x:c>
      <x:c r="H164" s="19" t="str">
        <x:v>YES</x:v>
      </x:c>
      <x:c r="I164" s="31" t="str">
        <x:v>Webster's Revised Unabridged Dictionary (1913 public-domain headword index)</x:v>
      </x:c>
      <x:c r="J164" s="31" t="str">
        <x:v>Component headword checked: frustrated.</x:v>
      </x:c>
      <x:c r="K164" s="31" t="str">
        <x:v>Anchor-period research source/context; Webster 1913 stable component URL recorded but automated page retrieval was unavailable</x:v>
      </x:c>
      <x:c r="L164" s="31" t="str">
        <x:v>Depressed affect directly expressed or instrument-endorsed in a climate context; the candidate is interpreted in its documented anchor and voice context.</x:v>
      </x:c>
      <x:c r="M164" s="31" t="str">
        <x:v>The candidate's affective or evaluative sense as used by the documented speaker/instrument/research voice at the anchor.</x:v>
      </x:c>
      <x:c r="N164" s="31" t="str">
        <x:v>Depressed affect directly expressed or instrument-endorsed in a climate context; the candidate is interpreted in its documented anchor and voice context.</x:v>
      </x:c>
      <x:c r="O164" s="31" t="str">
        <x:v>STRONG</x:v>
      </x:c>
      <x:c r="P164" s="19" t="str">
        <x:v>NOT_LOCATED</x:v>
      </x:c>
      <x:c r="Q164" s="31" t="str">
        <x:v>The surface form may realize multiple senses; candidate meaning remains anchored to the report-visible source context.</x:v>
      </x:c>
      <x:c r="R164" s="31" t="str">
        <x:v>https://websters1913.timcieplowski.com/word/frustrated/; https://api.dictionaryapi.dev/api/v2/entries/en/frustrated</x:v>
      </x:c>
      <x:c r="S164" s="19" t="str">
        <x:v>2026-08-26</x:v>
      </x:c>
      <x:c r="T164" s="43" t="str">
        <x:v>RECONSTRUCTED_FROM_REPORT; Fear of Temperature_ Stratified Lexical Expansion, Voice Mapping, and Semantic-Relational Pre-Valida.pdf; p.13; project candidate FT-SEED-R1B-P-2022-10; original visible ID not available</x:v>
      </x:c>
    </x:row>
    <x:row r="165" ht="38" customHeight="1">
      <x:c r="A165" s="40" t="str">
        <x:v>FT-SEED-R1B-P-2022-11</x:v>
      </x:c>
      <x:c r="B165" s="19" t="str">
        <x:v>2022</x:v>
      </x:c>
      <x:c r="C165" s="25" t="n">
        <x:v>11</x:v>
      </x:c>
      <x:c r="D165" s="31" t="str">
        <x:v>hopeful</x:v>
      </x:c>
      <x:c r="E165" s="31" t="str">
        <x:v>personal concern</x:v>
      </x:c>
      <x:c r="F165" s="31" t="str">
        <x:v>concern_alarm</x:v>
      </x:c>
      <x:c r="G165" s="31" t="str">
        <x:v>DIRECT_HEADWORD</x:v>
      </x:c>
      <x:c r="H165" s="19" t="str">
        <x:v>YES</x:v>
      </x:c>
      <x:c r="I165" s="31" t="str">
        <x:v>Webster's Revised Unabridged Dictionary (1913 public-domain headword index)</x:v>
      </x:c>
      <x:c r="J165" s="31" t="str">
        <x:v>Component headword checked: hopeful.</x:v>
      </x:c>
      <x:c r="K165" s="31" t="str">
        <x:v>Anchor-period research source/context; Webster 1913 stable component URL recorded but automated page retrieval was unavailable</x:v>
      </x:c>
      <x:c r="L165" s="31" t="str">
        <x:v>Concern expressed or endorsed by an identifiable person about a climate or heat object; the candidate is interpreted in its documented anchor and voice context.</x:v>
      </x:c>
      <x:c r="M165" s="31" t="str">
        <x:v>The candidate's affective or evaluative sense as used by the documented speaker/instrument/research voice at the anchor.</x:v>
      </x:c>
      <x:c r="N165" s="31" t="str">
        <x:v>Concern expressed or endorsed by an identifiable person about a climate or heat object; the candidate is interpreted in its documented anchor and voice context.</x:v>
      </x:c>
      <x:c r="O165" s="31" t="str">
        <x:v>STRONG</x:v>
      </x:c>
      <x:c r="P165" s="19" t="str">
        <x:v>NOT_LOCATED</x:v>
      </x:c>
      <x:c r="Q165" s="31" t="str">
        <x:v>The surface form may realize multiple senses; candidate meaning remains anchored to the report-visible source context.</x:v>
      </x:c>
      <x:c r="R165" s="31" t="str">
        <x:v>https://websters1913.timcieplowski.com/word/hopeful/; https://api.dictionaryapi.dev/api/v2/entries/en/hopeful</x:v>
      </x:c>
      <x:c r="S165" s="19" t="str">
        <x:v>2026-08-26</x:v>
      </x:c>
      <x:c r="T165" s="43" t="str">
        <x:v>RECONSTRUCTED_FROM_REPORT; Fear of Temperature_ Stratified Lexical Expansion, Voice Mapping, and Semantic-Relational Pre-Valida.pdf; p.12; project candidate FT-SEED-R1B-P-2022-11; original visible ID not available</x:v>
      </x:c>
    </x:row>
    <x:row r="166" ht="38" customHeight="1">
      <x:c r="A166" s="40" t="str">
        <x:v>FT-SEED-R1B-P-2022-12</x:v>
      </x:c>
      <x:c r="B166" s="19" t="str">
        <x:v>2022</x:v>
      </x:c>
      <x:c r="C166" s="25" t="n">
        <x:v>12</x:v>
      </x:c>
      <x:c r="D166" s="31" t="str">
        <x:v>disgusted</x:v>
      </x:c>
      <x:c r="E166" s="31" t="str">
        <x:v>depressed affect</x:v>
      </x:c>
      <x:c r="F166" s="31" t="str">
        <x:v>distress_depression</x:v>
      </x:c>
      <x:c r="G166" s="31" t="str">
        <x:v>DIRECT_HEADWORD</x:v>
      </x:c>
      <x:c r="H166" s="19" t="str">
        <x:v>YES</x:v>
      </x:c>
      <x:c r="I166" s="31" t="str">
        <x:v>Webster's Revised Unabridged Dictionary (1913 public-domain headword index)</x:v>
      </x:c>
      <x:c r="J166" s="31" t="str">
        <x:v>Component headword checked: disgusted.</x:v>
      </x:c>
      <x:c r="K166" s="31" t="str">
        <x:v>Anchor-period research source/context; Webster 1913 stable component URL recorded but automated page retrieval was unavailable</x:v>
      </x:c>
      <x:c r="L166" s="31" t="str">
        <x:v>Depressed affect directly expressed or instrument-endorsed in a climate context; the candidate is interpreted in its documented anchor and voice context.</x:v>
      </x:c>
      <x:c r="M166" s="31" t="str">
        <x:v>The candidate's affective or evaluative sense as used by the documented speaker/instrument/research voice at the anchor.</x:v>
      </x:c>
      <x:c r="N166" s="31" t="str">
        <x:v>Depressed affect directly expressed or instrument-endorsed in a climate context; the candidate is interpreted in its documented anchor and voice context.</x:v>
      </x:c>
      <x:c r="O166" s="31" t="str">
        <x:v>STRONG</x:v>
      </x:c>
      <x:c r="P166" s="19" t="str">
        <x:v>NOT_LOCATED</x:v>
      </x:c>
      <x:c r="Q166" s="31" t="str">
        <x:v>The surface form may realize multiple senses; candidate meaning remains anchored to the report-visible source context.</x:v>
      </x:c>
      <x:c r="R166" s="31" t="str">
        <x:v>https://websters1913.timcieplowski.com/word/disgusted/; https://api.dictionaryapi.dev/api/v2/entries/en/disgusted</x:v>
      </x:c>
      <x:c r="S166" s="19" t="str">
        <x:v>2026-08-26</x:v>
      </x:c>
      <x:c r="T166" s="43" t="str">
        <x:v>RECONSTRUCTED_FROM_REPORT; Fear of Temperature_ Stratified Lexical Expansion, Voice Mapping, and Semantic-Relational Pre-Valida.pdf; p.12; project candidate FT-SEED-R1B-P-2022-12; original visible ID not available</x:v>
      </x:c>
    </x:row>
    <x:row r="167" ht="38" customHeight="1">
      <x:c r="A167" s="40" t="str">
        <x:v>FT-SEED-R1B-P-2022-13</x:v>
      </x:c>
      <x:c r="B167" s="19" t="str">
        <x:v>2022</x:v>
      </x:c>
      <x:c r="C167" s="25" t="n">
        <x:v>13</x:v>
      </x:c>
      <x:c r="D167" s="31" t="str">
        <x:v>outraged</x:v>
      </x:c>
      <x:c r="E167" s="31" t="str">
        <x:v>depressed affect</x:v>
      </x:c>
      <x:c r="F167" s="31" t="str">
        <x:v>distress_depression</x:v>
      </x:c>
      <x:c r="G167" s="31" t="str">
        <x:v>DIRECT_HEADWORD</x:v>
      </x:c>
      <x:c r="H167" s="19" t="str">
        <x:v>YES</x:v>
      </x:c>
      <x:c r="I167" s="31" t="str">
        <x:v>Webster's Revised Unabridged Dictionary (1913 public-domain headword index)</x:v>
      </x:c>
      <x:c r="J167" s="31" t="str">
        <x:v>Component headword checked: outraged.</x:v>
      </x:c>
      <x:c r="K167" s="31" t="str">
        <x:v>Anchor-period research source/context; Webster 1913 stable component URL recorded but automated page retrieval was unavailable</x:v>
      </x:c>
      <x:c r="L167" s="31" t="str">
        <x:v>Depressed affect directly expressed or instrument-endorsed in a climate context; the candidate is interpreted in its documented anchor and voice context.</x:v>
      </x:c>
      <x:c r="M167" s="31" t="str">
        <x:v>The candidate's affective or evaluative sense as used by the documented speaker/instrument/research voice at the anchor.</x:v>
      </x:c>
      <x:c r="N167" s="31" t="str">
        <x:v>Depressed affect directly expressed or instrument-endorsed in a climate context; the candidate is interpreted in its documented anchor and voice context.</x:v>
      </x:c>
      <x:c r="O167" s="31" t="str">
        <x:v>STRONG</x:v>
      </x:c>
      <x:c r="P167" s="19" t="str">
        <x:v>NOT_LOCATED</x:v>
      </x:c>
      <x:c r="Q167" s="31" t="str">
        <x:v>The surface form may realize multiple senses; candidate meaning remains anchored to the report-visible source context.</x:v>
      </x:c>
      <x:c r="R167" s="31" t="str">
        <x:v>https://websters1913.timcieplowski.com/word/outraged/; https://api.dictionaryapi.dev/api/v2/entries/en/outraged</x:v>
      </x:c>
      <x:c r="S167" s="19" t="str">
        <x:v>2026-08-26</x:v>
      </x:c>
      <x:c r="T167" s="43" t="str">
        <x:v>RECONSTRUCTED_FROM_REPORT; Fear of Temperature_ Stratified Lexical Expansion, Voice Mapping, and Semantic-Relational Pre-Valida.pdf; p.12; project candidate FT-SEED-R1B-P-2022-13; original visible ID not available</x:v>
      </x:c>
    </x:row>
    <x:row r="168" ht="38" customHeight="1">
      <x:c r="A168" s="40" t="str">
        <x:v>FT-SEED-R1B-P-2022-14</x:v>
      </x:c>
      <x:c r="B168" s="19" t="str">
        <x:v>2022</x:v>
      </x:c>
      <x:c r="C168" s="25" t="n">
        <x:v>14</x:v>
      </x:c>
      <x:c r="D168" s="31" t="str">
        <x:v>depressed</x:v>
      </x:c>
      <x:c r="E168" s="31" t="str">
        <x:v>depressed affect</x:v>
      </x:c>
      <x:c r="F168" s="31" t="str">
        <x:v>distress_depression</x:v>
      </x:c>
      <x:c r="G168" s="31" t="str">
        <x:v>DIRECT_HEADWORD</x:v>
      </x:c>
      <x:c r="H168" s="19" t="str">
        <x:v>YES</x:v>
      </x:c>
      <x:c r="I168" s="31" t="str">
        <x:v>Webster's Revised Unabridged Dictionary (1913 public-domain headword index)</x:v>
      </x:c>
      <x:c r="J168" s="31" t="str">
        <x:v>Component headword checked: depressed.</x:v>
      </x:c>
      <x:c r="K168" s="31" t="str">
        <x:v>Anchor-period research source/context; Webster 1913 stable component URL recorded but automated page retrieval was unavailable</x:v>
      </x:c>
      <x:c r="L168" s="31" t="str">
        <x:v>Depressed affect directly expressed or instrument-endorsed in a climate context; the candidate is interpreted in its documented anchor and voice context.</x:v>
      </x:c>
      <x:c r="M168" s="31" t="str">
        <x:v>The candidate's affective or evaluative sense as used by the documented speaker/instrument/research voice at the anchor.</x:v>
      </x:c>
      <x:c r="N168" s="31" t="str">
        <x:v>Depressed affect directly expressed or instrument-endorsed in a climate context; the candidate is interpreted in its documented anchor and voice context.</x:v>
      </x:c>
      <x:c r="O168" s="31" t="str">
        <x:v>STRONG</x:v>
      </x:c>
      <x:c r="P168" s="19" t="str">
        <x:v>NOT_LOCATED</x:v>
      </x:c>
      <x:c r="Q168" s="31" t="str">
        <x:v>The surface form may realize multiple senses; candidate meaning remains anchored to the report-visible source context.</x:v>
      </x:c>
      <x:c r="R168" s="31" t="str">
        <x:v>https://websters1913.timcieplowski.com/word/depressed/; https://api.dictionaryapi.dev/api/v2/entries/en/depressed</x:v>
      </x:c>
      <x:c r="S168" s="19" t="str">
        <x:v>2026-08-26</x:v>
      </x:c>
      <x:c r="T168" s="43" t="str">
        <x:v>RECONSTRUCTED_FROM_REPORT; Fear of Temperature_ Stratified Lexical Expansion, Voice Mapping, and Semantic-Relational Pre-Valida.pdf; p.12; project candidate FT-SEED-R1B-P-2022-14; original visible ID not available</x:v>
      </x:c>
    </x:row>
    <x:row r="169" ht="38" customHeight="1">
      <x:c r="A169" s="40" t="str">
        <x:v>FT-SEED-R1B-P-2022-15</x:v>
      </x:c>
      <x:c r="B169" s="19" t="str">
        <x:v>2022</x:v>
      </x:c>
      <x:c r="C169" s="25" t="n">
        <x:v>15</x:v>
      </x:c>
      <x:c r="D169" s="31" t="str">
        <x:v>symptoms of anxiety</x:v>
      </x:c>
      <x:c r="E169" s="31" t="str">
        <x:v>anxiety symptom measure</x:v>
      </x:c>
      <x:c r="F169" s="31" t="str">
        <x:v>anxiety</x:v>
      </x:c>
      <x:c r="G169" s="31" t="str">
        <x:v>NO_STANDALONE_HEADWORD</x:v>
      </x:c>
      <x:c r="H169" s="19" t="str">
        <x:v>NO</x:v>
      </x:c>
      <x:c r="I169" s="31" t="str">
        <x:v>Component lexical analysis plus anchor-source contextual meaning</x:v>
      </x:c>
      <x:c r="J169" s="31" t="str">
        <x:v>Component headword checked: anxiety.</x:v>
      </x:c>
      <x:c r="K169" s="31" t="str">
        <x:v>Anchor-period research source/context; Webster 1913 stable component URL recorded but automated page retrieval was unavailable</x:v>
      </x:c>
      <x:c r="L169" s="31" t="str">
        <x:v>Anxiety operationalised as a symptom or health measure; the candidate is interpreted in its documented anchor and voice context.</x:v>
      </x:c>
      <x:c r="M169" s="31" t="str">
        <x:v>The candidate's affective or evaluative sense as used by the documented speaker/instrument/research voice at the anchor.</x:v>
      </x:c>
      <x:c r="N169" s="31" t="str">
        <x:v>Anxiety operationalised as a symptom or health measure; the candidate is interpreted in its documented anchor and voice context.</x:v>
      </x:c>
      <x:c r="O169" s="31" t="str">
        <x:v>STRONG</x:v>
      </x:c>
      <x:c r="P169" s="19" t="str">
        <x:v>NOT_LOCATED</x:v>
      </x:c>
      <x:c r="Q169" s="31" t="str">
        <x:v>The surface form may realize multiple senses; candidate meaning remains anchored to the report-visible source context.</x:v>
      </x:c>
      <x:c r="R169" s="31" t="str">
        <x:v>Fear of Temperature_ Stratified Lexical Expansion, Voice Mapping, and Semantic-Relational Pre-Valida.pdf#page=12; https://api.dictionaryapi.dev/api/v2/entries/en/symptoms%20of%20anxiety; https://websters1913.timcieplowski.com/word/anxiety/</x:v>
      </x:c>
      <x:c r="S169" s="19" t="str">
        <x:v>2026-08-26</x:v>
      </x:c>
      <x:c r="T169" s="43" t="str">
        <x:v>RECONSTRUCTED_FROM_REPORT; Fear of Temperature_ Stratified Lexical Expansion, Voice Mapping, and Semantic-Relational Pre-Valida.pdf; p.12; project candidate FT-SEED-R1B-P-2022-15; original visible ID not available</x:v>
      </x:c>
    </x:row>
    <x:row r="170" ht="38" customHeight="1">
      <x:c r="A170" s="40" t="str">
        <x:v>FT-SEED-R1B-P-2022-16</x:v>
      </x:c>
      <x:c r="B170" s="19" t="str">
        <x:v>2022</x:v>
      </x:c>
      <x:c r="C170" s="25" t="n">
        <x:v>16</x:v>
      </x:c>
      <x:c r="D170" s="31" t="str">
        <x:v>climate anxiety</x:v>
      </x:c>
      <x:c r="E170" s="31" t="str">
        <x:v>climate anxiety research construct</x:v>
      </x:c>
      <x:c r="F170" s="31" t="str">
        <x:v>anxiety</x:v>
      </x:c>
      <x:c r="G170" s="31" t="str">
        <x:v>TECHNICAL_GLOSSARY</x:v>
      </x:c>
      <x:c r="H170" s="19" t="str">
        <x:v>NO</x:v>
      </x:c>
      <x:c r="I170" s="31" t="str">
        <x:v>American Psychological Association / ecoAmerica mental-health terminology</x:v>
      </x:c>
      <x:c r="J170" s="31" t="str">
        <x:v>Component headword checked: anxiety.</x:v>
      </x:c>
      <x:c r="K170" s="31" t="str">
        <x:v>Anchor-period research source/context; Webster 1913 stable component URL recorded but automated page retrieval was unavailable</x:v>
      </x:c>
      <x:c r="L170" s="31" t="str">
        <x:v>An apprehensive or distress-related response associated with climate change; in the 2022 evidence it is primarily a research construct unless participant self-use is separately shown.</x:v>
      </x:c>
      <x:c r="M170" s="31" t="str">
        <x:v>A 2022 research construct for anxiety or distress related to climate change; lay self-labelling requires independent source evidence.</x:v>
      </x:c>
      <x:c r="N170" s="31" t="str">
        <x:v>Current usage can refer to climate-related apprehension or distress, but researcher construct, instrument wording and participant self-description remain distinct evidence states.</x:v>
      </x:c>
      <x:c r="O170" s="31" t="str">
        <x:v>PARTIAL</x:v>
      </x:c>
      <x:c r="P170" s="19" t="str">
        <x:v>NOT_LOCATED</x:v>
      </x:c>
      <x:c r="Q170" s="31" t="str">
        <x:v>Researcher-coded construct, instrument wording, symptoms, and participant self-use must remain distinct.</x:v>
      </x:c>
      <x:c r="R170" s="31" t="str">
        <x:v>https://www.apa.org/news/press/releases/2021/11/mental-health-effects-climate-change; https://api.dictionaryapi.dev/api/v2/entries/en/climate%20anxiety; https://websters1913.timcieplowski.com/word/anxiety/</x:v>
      </x:c>
      <x:c r="S170" s="19" t="str">
        <x:v>2026-08-26</x:v>
      </x:c>
      <x:c r="T170" s="43" t="str">
        <x:v>RECONSTRUCTED_FROM_REPORT; Fear of Temperature_ Stratified Lexical Expansion, Voice Mapping, and Semantic-Relational Pre-Valida.pdf; p.12; project candidate FT-SEED-R1B-P-2022-16; original visible ID not available</x:v>
      </x:c>
    </x:row>
    <x:row r="171" ht="38" customHeight="1">
      <x:c r="A171" s="40" t="str">
        <x:v>FT-SEED-R1B-P-2022-17</x:v>
      </x:c>
      <x:c r="B171" s="19" t="str">
        <x:v>2022</x:v>
      </x:c>
      <x:c r="C171" s="25" t="n">
        <x:v>17</x:v>
      </x:c>
      <x:c r="D171" s="31" t="str">
        <x:v>eco-anxiety</x:v>
      </x:c>
      <x:c r="E171" s="31" t="str">
        <x:v>eco-anxiety research construct</x:v>
      </x:c>
      <x:c r="F171" s="31" t="str">
        <x:v>anxiety</x:v>
      </x:c>
      <x:c r="G171" s="31" t="str">
        <x:v>TECHNICAL_GLOSSARY</x:v>
      </x:c>
      <x:c r="H171" s="19" t="str">
        <x:v>NO</x:v>
      </x:c>
      <x:c r="I171" s="31" t="str">
        <x:v>American Psychological Association / ecoAmerica mental-health terminology</x:v>
      </x:c>
      <x:c r="J171" s="31" t="str">
        <x:v>Component headword checked: eco-anxiety.</x:v>
      </x:c>
      <x:c r="K171" s="31" t="str">
        <x:v>Anchor-period research source/context; Webster 1913 stable component URL recorded but automated page retrieval was unavailable</x:v>
      </x:c>
      <x:c r="L171" s="31" t="str">
        <x:v>Persistent worry or distress associated with environmental and ecological threats; provenance is required to distinguish clinical/research labelling from self-description.</x:v>
      </x:c>
      <x:c r="M171" s="31" t="str">
        <x:v>The candidate's affective or evaluative sense as used by the documented speaker/instrument/research voice at the anchor.</x:v>
      </x:c>
      <x:c r="N171" s="31" t="str">
        <x:v>Persistent worry or distress associated with environmental and ecological threats; provenance is required to distinguish clinical/research labelling from self-description.</x:v>
      </x:c>
      <x:c r="O171" s="31" t="str">
        <x:v>STRONG</x:v>
      </x:c>
      <x:c r="P171" s="19" t="str">
        <x:v>NOT_LOCATED</x:v>
      </x:c>
      <x:c r="Q171" s="31" t="str">
        <x:v>The surface form may realize multiple senses; candidate meaning remains anchored to the report-visible source context.</x:v>
      </x:c>
      <x:c r="R171" s="31" t="str">
        <x:v>https://www.apa.org/news/press/releases/2021/11/mental-health-effects-climate-change; https://api.dictionaryapi.dev/api/v2/entries/en/eco-anxiety; https://websters1913.timcieplowski.com/word/eco-anxiety/</x:v>
      </x:c>
      <x:c r="S171" s="19" t="str">
        <x:v>2026-08-26</x:v>
      </x:c>
      <x:c r="T171" s="43" t="str">
        <x:v>RECONSTRUCTED_FROM_REPORT; Fear of Temperature_ Stratified Lexical Expansion, Voice Mapping, and Semantic-Relational Pre-Valida.pdf; p.12; project candidate FT-SEED-R1B-P-2022-17; original visible ID not available</x:v>
      </x:c>
    </x:row>
    <x:row r="172" ht="38" customHeight="1">
      <x:c r="A172" s="40" t="str">
        <x:v>FT-SEED-R1B-P-2022-18</x:v>
      </x:c>
      <x:c r="B172" s="19" t="str">
        <x:v>2022</x:v>
      </x:c>
      <x:c r="C172" s="25" t="n">
        <x:v>18</x:v>
      </x:c>
      <x:c r="D172" s="31" t="str">
        <x:v>psychological distress</x:v>
      </x:c>
      <x:c r="E172" s="31" t="str">
        <x:v>psychological distress</x:v>
      </x:c>
      <x:c r="F172" s="31" t="str">
        <x:v>distress_depression</x:v>
      </x:c>
      <x:c r="G172" s="31" t="str">
        <x:v>TECHNICAL_GLOSSARY</x:v>
      </x:c>
      <x:c r="H172" s="19" t="str">
        <x:v>NO</x:v>
      </x:c>
      <x:c r="I172" s="31" t="str">
        <x:v>World Health Organization mental-health terminology</x:v>
      </x:c>
      <x:c r="J172" s="31" t="str">
        <x:v>Component headword checked: distress.</x:v>
      </x:c>
      <x:c r="K172" s="31" t="str">
        <x:v>Anchor-period research source/context; Webster 1913 stable component URL recorded but automated page retrieval was unavailable</x:v>
      </x:c>
      <x:c r="L172" s="31" t="str">
        <x:v>Modern psychological distress as a research, health, or participant category; the candidate is interpreted in its documented anchor and voice context.</x:v>
      </x:c>
      <x:c r="M172" s="31" t="str">
        <x:v>The candidate's affective or evaluative sense as used by the documented speaker/instrument/research voice at the anchor.</x:v>
      </x:c>
      <x:c r="N172" s="31" t="str">
        <x:v>Modern psychological distress as a research, health, or participant category; the candidate is interpreted in its documented anchor and voice context.</x:v>
      </x:c>
      <x:c r="O172" s="31" t="str">
        <x:v>STRONG</x:v>
      </x:c>
      <x:c r="P172" s="19" t="str">
        <x:v>NOT_LOCATED</x:v>
      </x:c>
      <x:c r="Q172" s="31" t="str">
        <x:v>The surface form may realize multiple senses; candidate meaning remains anchored to the report-visible source context.</x:v>
      </x:c>
      <x:c r="R172" s="31" t="str">
        <x:v>https://www.who.int/news-room/fact-sheets/detail/climate-change-and-health; https://api.dictionaryapi.dev/api/v2/entries/en/psychological%20distress; https://websters1913.timcieplowski.com/word/distress/</x:v>
      </x:c>
      <x:c r="S172" s="19" t="str">
        <x:v>2026-08-26</x:v>
      </x:c>
      <x:c r="T172" s="43" t="str">
        <x:v>RECONSTRUCTED_FROM_REPORT; Fear of Temperature_ Stratified Lexical Expansion, Voice Mapping, and Semantic-Relational Pre-Valida.pdf; p.12; project candidate FT-SEED-R1B-P-2022-18; original visible ID not available</x:v>
      </x:c>
    </x:row>
    <x:row r="173" ht="38" customHeight="1">
      <x:c r="A173" s="40" t="str">
        <x:v>FT-SEED-R1B-P-2022-19</x:v>
      </x:c>
      <x:c r="B173" s="19" t="str">
        <x:v>2022</x:v>
      </x:c>
      <x:c r="C173" s="25" t="n">
        <x:v>19</x:v>
      </x:c>
      <x:c r="D173" s="31" t="str">
        <x:v>distress</x:v>
      </x:c>
      <x:c r="E173" s="31" t="str">
        <x:v>psychological distress</x:v>
      </x:c>
      <x:c r="F173" s="31" t="str">
        <x:v>distress_depression</x:v>
      </x:c>
      <x:c r="G173" s="31" t="str">
        <x:v>DIRECT_HEADWORD</x:v>
      </x:c>
      <x:c r="H173" s="19" t="str">
        <x:v>YES</x:v>
      </x:c>
      <x:c r="I173" s="31" t="str">
        <x:v>Webster's Revised Unabridged Dictionary (1913 public-domain headword index)</x:v>
      </x:c>
      <x:c r="J173" s="31" t="str">
        <x:v>Component headword checked: distress.</x:v>
      </x:c>
      <x:c r="K173" s="31" t="str">
        <x:v>Anchor-period research source/context; Webster 1913 stable component URL recorded but automated page retrieval was unavailable</x:v>
      </x:c>
      <x:c r="L173" s="31" t="str">
        <x:v>Modern psychological distress as a research, health, or participant category; the candidate is interpreted in its documented anchor and voice context.</x:v>
      </x:c>
      <x:c r="M173" s="31" t="str">
        <x:v>The candidate's affective or evaluative sense as used by the documented speaker/instrument/research voice at the anchor.</x:v>
      </x:c>
      <x:c r="N173" s="31" t="str">
        <x:v>Modern psychological distress as a research, health, or participant category; the candidate is interpreted in its documented anchor and voice context.</x:v>
      </x:c>
      <x:c r="O173" s="31" t="str">
        <x:v>STRONG</x:v>
      </x:c>
      <x:c r="P173" s="19" t="str">
        <x:v>NOT_LOCATED</x:v>
      </x:c>
      <x:c r="Q173" s="31" t="str">
        <x:v>The surface form may realize multiple senses; candidate meaning remains anchored to the report-visible source context.</x:v>
      </x:c>
      <x:c r="R173" s="31" t="str">
        <x:v>https://websters1913.timcieplowski.com/word/distress/; https://api.dictionaryapi.dev/api/v2/entries/en/distress</x:v>
      </x:c>
      <x:c r="S173" s="19" t="str">
        <x:v>2026-08-26</x:v>
      </x:c>
      <x:c r="T173" s="43" t="str">
        <x:v>RECONSTRUCTED_FROM_REPORT; Fear of Temperature_ Stratified Lexical Expansion, Voice Mapping, and Semantic-Relational Pre-Valida.pdf; p.13; project candidate FT-SEED-R1B-P-2022-19; original visible ID not available</x:v>
      </x:c>
    </x:row>
    <x:row r="174" ht="38" customHeight="1">
      <x:c r="A174" s="40" t="str">
        <x:v>FT-SEED-R1B-P-2022-20</x:v>
      </x:c>
      <x:c r="B174" s="19" t="str">
        <x:v>2022</x:v>
      </x:c>
      <x:c r="C174" s="25" t="n">
        <x:v>20</x:v>
      </x:c>
      <x:c r="D174" s="31" t="str">
        <x:v>powerlessness</x:v>
      </x:c>
      <x:c r="E174" s="31" t="str">
        <x:v>depressed affect</x:v>
      </x:c>
      <x:c r="F174" s="31" t="str">
        <x:v>distress_depression</x:v>
      </x:c>
      <x:c r="G174" s="31" t="str">
        <x:v>DIRECT_HEADWORD</x:v>
      </x:c>
      <x:c r="H174" s="19" t="str">
        <x:v>YES</x:v>
      </x:c>
      <x:c r="I174" s="31" t="str">
        <x:v>Webster's Revised Unabridged Dictionary (1913 public-domain headword index)</x:v>
      </x:c>
      <x:c r="J174" s="31" t="str">
        <x:v>Component headword checked: powerlessness.</x:v>
      </x:c>
      <x:c r="K174" s="31" t="str">
        <x:v>Anchor-period research source/context; Webster 1913 stable component URL recorded but automated page retrieval was unavailable</x:v>
      </x:c>
      <x:c r="L174" s="31" t="str">
        <x:v>Depressed affect directly expressed or instrument-endorsed in a climate context; the candidate is interpreted in its documented anchor and voice context.</x:v>
      </x:c>
      <x:c r="M174" s="31" t="str">
        <x:v>The candidate's affective or evaluative sense as used by the documented speaker/instrument/research voice at the anchor.</x:v>
      </x:c>
      <x:c r="N174" s="31" t="str">
        <x:v>Depressed affect directly expressed or instrument-endorsed in a climate context; the candidate is interpreted in its documented anchor and voice context.</x:v>
      </x:c>
      <x:c r="O174" s="31" t="str">
        <x:v>STRONG</x:v>
      </x:c>
      <x:c r="P174" s="19" t="str">
        <x:v>NOT_LOCATED</x:v>
      </x:c>
      <x:c r="Q174" s="31" t="str">
        <x:v>The surface form may realize multiple senses; candidate meaning remains anchored to the report-visible source context.</x:v>
      </x:c>
      <x:c r="R174" s="31" t="str">
        <x:v>https://websters1913.timcieplowski.com/word/powerlessness/; https://api.dictionaryapi.dev/api/v2/entries/en/powerlessness</x:v>
      </x:c>
      <x:c r="S174" s="19" t="str">
        <x:v>2026-08-26</x:v>
      </x:c>
      <x:c r="T174" s="43" t="str">
        <x:v>RECONSTRUCTED_FROM_REPORT; Fear of Temperature_ Stratified Lexical Expansion, Voice Mapping, and Semantic-Relational Pre-Valida.pdf; p.13; project candidate FT-SEED-R1B-P-2022-20; original visible ID not available</x:v>
      </x:c>
    </x:row>
    <x:row r="175" ht="38" customHeight="1">
      <x:c r="A175" s="40" t="str">
        <x:v>FT-SEED-R1B-P-2022-21</x:v>
      </x:c>
      <x:c r="B175" s="19" t="str">
        <x:v>2022</x:v>
      </x:c>
      <x:c r="C175" s="25" t="n">
        <x:v>21</x:v>
      </x:c>
      <x:c r="D175" s="31" t="str">
        <x:v>guilt</x:v>
      </x:c>
      <x:c r="E175" s="31" t="str">
        <x:v>depressed affect</x:v>
      </x:c>
      <x:c r="F175" s="31" t="str">
        <x:v>distress_depression</x:v>
      </x:c>
      <x:c r="G175" s="31" t="str">
        <x:v>DIRECT_HEADWORD</x:v>
      </x:c>
      <x:c r="H175" s="19" t="str">
        <x:v>YES</x:v>
      </x:c>
      <x:c r="I175" s="31" t="str">
        <x:v>Webster's Revised Unabridged Dictionary (1913 public-domain headword index)</x:v>
      </x:c>
      <x:c r="J175" s="31" t="str">
        <x:v>Component headword checked: guilt.</x:v>
      </x:c>
      <x:c r="K175" s="31" t="str">
        <x:v>Anchor-period research source/context; Webster 1913 stable component URL recorded but automated page retrieval was unavailable</x:v>
      </x:c>
      <x:c r="L175" s="31" t="str">
        <x:v>Depressed affect directly expressed or instrument-endorsed in a climate context; the candidate is interpreted in its documented anchor and voice context.</x:v>
      </x:c>
      <x:c r="M175" s="31" t="str">
        <x:v>The candidate's affective or evaluative sense as used by the documented speaker/instrument/research voice at the anchor.</x:v>
      </x:c>
      <x:c r="N175" s="31" t="str">
        <x:v>Depressed affect directly expressed or instrument-endorsed in a climate context; the candidate is interpreted in its documented anchor and voice context.</x:v>
      </x:c>
      <x:c r="O175" s="31" t="str">
        <x:v>STRONG</x:v>
      </x:c>
      <x:c r="P175" s="19" t="str">
        <x:v>NOT_LOCATED</x:v>
      </x:c>
      <x:c r="Q175" s="31" t="str">
        <x:v>The surface form may realize multiple senses; candidate meaning remains anchored to the report-visible source context.</x:v>
      </x:c>
      <x:c r="R175" s="31" t="str">
        <x:v>https://websters1913.timcieplowski.com/word/guilt/; https://api.dictionaryapi.dev/api/v2/entries/en/guilt</x:v>
      </x:c>
      <x:c r="S175" s="19" t="str">
        <x:v>2026-08-26</x:v>
      </x:c>
      <x:c r="T175" s="43" t="str">
        <x:v>RECONSTRUCTED_FROM_REPORT; Fear of Temperature_ Stratified Lexical Expansion, Voice Mapping, and Semantic-Relational Pre-Valida.pdf; p.12; project candidate FT-SEED-R1B-P-2022-21; original visible ID not available</x:v>
      </x:c>
    </x:row>
    <x:row r="176" ht="38" customHeight="1">
      <x:c r="A176" s="40" t="str">
        <x:v>FT-SEED-R1B-P-2022-22</x:v>
      </x:c>
      <x:c r="B176" s="19" t="str">
        <x:v>2022</x:v>
      </x:c>
      <x:c r="C176" s="25" t="n">
        <x:v>22</x:v>
      </x:c>
      <x:c r="D176" s="31" t="str">
        <x:v>heatwaves</x:v>
      </x:c>
      <x:c r="E176" s="31" t="str">
        <x:v>heatwave / weather event</x:v>
      </x:c>
      <x:c r="F176" s="31" t="str">
        <x:v>heat</x:v>
      </x:c>
      <x:c r="G176" s="31" t="str">
        <x:v>DIRECT_HEADWORD</x:v>
      </x:c>
      <x:c r="H176" s="19" t="str">
        <x:v>YES</x:v>
      </x:c>
      <x:c r="I176" s="31" t="str">
        <x:v>Webster's Revised Unabridged Dictionary (1913 public-domain headword index)</x:v>
      </x:c>
      <x:c r="J176" s="31" t="str">
        <x:v>Component headword checked: heatwaves.</x:v>
      </x:c>
      <x:c r="K176" s="31" t="str">
        <x:v>Anchor-period research source/context; Webster 1913 stable component URL recorded but automated page retrieval was unavailable</x:v>
      </x:c>
      <x:c r="L176" s="31" t="str">
        <x:v>A bounded hot-weather or heatwave event; the candidate is interpreted in its documented anchor and voice context.</x:v>
      </x:c>
      <x:c r="M176" s="31" t="str">
        <x:v>A physical temperature, warming, heat, or measurement sense in the documented anchor context.</x:v>
      </x:c>
      <x:c r="N176" s="31" t="str">
        <x:v>A bounded hot-weather or heatwave event; the candidate is interpreted in its documented anchor and voice context.</x:v>
      </x:c>
      <x:c r="O176" s="31" t="str">
        <x:v>STRONG</x:v>
      </x:c>
      <x:c r="P176" s="19" t="str">
        <x:v>NOT_LOCATED</x:v>
      </x:c>
      <x:c r="Q176" s="31" t="str">
        <x:v>The surface form may realize multiple senses; candidate meaning remains anchored to the report-visible source context.</x:v>
      </x:c>
      <x:c r="R176" s="31" t="str">
        <x:v>https://websters1913.timcieplowski.com/word/heatwaves/; https://api.dictionaryapi.dev/api/v2/entries/en/heatwaves</x:v>
      </x:c>
      <x:c r="S176" s="19" t="str">
        <x:v>2026-08-26</x:v>
      </x:c>
      <x:c r="T176" s="43" t="str">
        <x:v>RECONSTRUCTED_FROM_REPORT; Fear of Temperature_ Stratified Lexical Expansion, Voice Mapping, and Semantic-Relational Pre-Valida.pdf; p.12; project candidate FT-SEED-R1B-P-2022-22; original visible ID not available</x:v>
      </x:c>
    </x:row>
    <x:row r="177" ht="38" customHeight="1">
      <x:c r="A177" s="40" t="str">
        <x:v>FT-SEED-R1B-P-2022-23</x:v>
      </x:c>
      <x:c r="B177" s="19" t="str">
        <x:v>2022</x:v>
      </x:c>
      <x:c r="C177" s="25" t="n">
        <x:v>23</x:v>
      </x:c>
      <x:c r="D177" s="31" t="str">
        <x:v>heat-related mortality</x:v>
      </x:c>
      <x:c r="E177" s="31" t="str">
        <x:v>extreme-heat hazard</x:v>
      </x:c>
      <x:c r="F177" s="31" t="str">
        <x:v>heat</x:v>
      </x:c>
      <x:c r="G177" s="31" t="str">
        <x:v>TECHNICAL_GLOSSARY</x:v>
      </x:c>
      <x:c r="H177" s="19" t="str">
        <x:v>NO</x:v>
      </x:c>
      <x:c r="I177" s="31" t="str">
        <x:v>IPCC climate-science glossary / assessment terminology</x:v>
      </x:c>
      <x:c r="J177" s="31" t="str">
        <x:v>Component headword checked: mortality.</x:v>
      </x:c>
      <x:c r="K177" s="31" t="str">
        <x:v>Anchor-period research source/context; Webster 1913 stable component URL recorded but automated page retrieval was unavailable</x:v>
      </x:c>
      <x:c r="L177" s="31" t="str">
        <x:v>Deaths attributable to, or materially associated with, exposure to high ambient temperatures.</x:v>
      </x:c>
      <x:c r="M177" s="31" t="str">
        <x:v>A threat, risk, harm, severity, or consequence sense in the documented source; it is not automatically an emotion.</x:v>
      </x:c>
      <x:c r="N177" s="31" t="str">
        <x:v>Deaths attributable to, or materially associated with, exposure to high ambient temperatures.</x:v>
      </x:c>
      <x:c r="O177" s="31" t="str">
        <x:v>STRONG</x:v>
      </x:c>
      <x:c r="P177" s="19" t="str">
        <x:v>NOT_LOCATED</x:v>
      </x:c>
      <x:c r="Q177" s="31" t="str">
        <x:v>The surface form may realize multiple senses; candidate meaning remains anchored to the report-visible source context.</x:v>
      </x:c>
      <x:c r="R177" s="31" t="str">
        <x:v>https://www.ipcc.ch/site/assets/uploads/2018/02/WGIIAR5-AnnexII_FINAL.pdf; https://api.dictionaryapi.dev/api/v2/entries/en/heat-related%20mortality; https://websters1913.timcieplowski.com/word/mortality/</x:v>
      </x:c>
      <x:c r="S177" s="19" t="str">
        <x:v>2026-08-26</x:v>
      </x:c>
      <x:c r="T177" s="43" t="str">
        <x:v>RECONSTRUCTED_FROM_REPORT; Fear of Temperature_ Stratified Lexical Expansion, Voice Mapping, and Semantic-Relational Pre-Valida.pdf; p.12; project candidate FT-SEED-R1B-P-2022-23; original visible ID not available</x:v>
      </x:c>
    </x:row>
    <x:row r="178" ht="38" customHeight="1">
      <x:c r="A178" s="40" t="str">
        <x:v>FT-SEED-R1B-P-2022-24</x:v>
      </x:c>
      <x:c r="B178" s="19" t="str">
        <x:v>2022</x:v>
      </x:c>
      <x:c r="C178" s="25" t="n">
        <x:v>24</x:v>
      </x:c>
      <x:c r="D178" s="31" t="str">
        <x:v>mental health challenges</x:v>
      </x:c>
      <x:c r="E178" s="31" t="str">
        <x:v>generic damage</x:v>
      </x:c>
      <x:c r="F178" s="31" t="str">
        <x:v>harm_loss_consequences</x:v>
      </x:c>
      <x:c r="G178" s="31" t="str">
        <x:v>NO_STANDALONE_HEADWORD</x:v>
      </x:c>
      <x:c r="H178" s="19" t="str">
        <x:v>NO</x:v>
      </x:c>
      <x:c r="I178" s="31" t="str">
        <x:v>Component lexical analysis plus anchor-source contextual meaning</x:v>
      </x:c>
      <x:c r="J178" s="31" t="str">
        <x:v>Component headword checked: challenges.</x:v>
      </x:c>
      <x:c r="K178" s="31" t="str">
        <x:v>Anchor-period research source/context; Webster 1913 stable component URL recorded but automated page retrieval was unavailable</x:v>
      </x:c>
      <x:c r="L178" s="31" t="str">
        <x:v>Generic material, ecological, or social damage; the candidate is interpreted in its documented anchor and voice context.</x:v>
      </x:c>
      <x:c r="M178" s="31" t="str">
        <x:v>A threat, risk, harm, severity, or consequence sense in the documented source; it is not automatically an emotion.</x:v>
      </x:c>
      <x:c r="N178" s="31" t="str">
        <x:v>Generic material, ecological, or social damage; the candidate is interpreted in its documented anchor and voice context.</x:v>
      </x:c>
      <x:c r="O178" s="31" t="str">
        <x:v>STRONG</x:v>
      </x:c>
      <x:c r="P178" s="19" t="str">
        <x:v>NOT_LOCATED</x:v>
      </x:c>
      <x:c r="Q178" s="31" t="str">
        <x:v>The surface form may realize multiple senses; candidate meaning remains anchored to the report-visible source context.</x:v>
      </x:c>
      <x:c r="R178" s="31" t="str">
        <x:v>Fear of Temperature_ Stratified Lexical Expansion, Voice Mapping, and Semantic-Relational Pre-Valida.pdf#page=12; https://api.dictionaryapi.dev/api/v2/entries/en/mental%20health%20challenges; https://websters1913.timcieplowski.com/word/challenges/</x:v>
      </x:c>
      <x:c r="S178" s="19" t="str">
        <x:v>2026-08-26</x:v>
      </x:c>
      <x:c r="T178" s="43" t="str">
        <x:v>RECONSTRUCTED_FROM_REPORT; Fear of Temperature_ Stratified Lexical Expansion, Voice Mapping, and Semantic-Relational Pre-Valida.pdf; p.12; project candidate FT-SEED-R1B-P-2022-24; original visible ID not available</x:v>
      </x:c>
    </x:row>
    <x:row r="179" ht="38" customHeight="1">
      <x:c r="A179" s="40" t="str">
        <x:v>FT-SEED-R1B-P-2022-25</x:v>
      </x:c>
      <x:c r="B179" s="19" t="str">
        <x:v>2022</x:v>
      </x:c>
      <x:c r="C179" s="25" t="n">
        <x:v>25</x:v>
      </x:c>
      <x:c r="D179" s="31" t="str">
        <x:v>anxiety and stress</x:v>
      </x:c>
      <x:c r="E179" s="31" t="str">
        <x:v>anxiety symptom measure</x:v>
      </x:c>
      <x:c r="F179" s="31" t="str">
        <x:v>anxiety</x:v>
      </x:c>
      <x:c r="G179" s="31" t="str">
        <x:v>NO_STANDALONE_HEADWORD</x:v>
      </x:c>
      <x:c r="H179" s="19" t="str">
        <x:v>NO</x:v>
      </x:c>
      <x:c r="I179" s="31" t="str">
        <x:v>Component lexical analysis plus anchor-source contextual meaning</x:v>
      </x:c>
      <x:c r="J179" s="31" t="str">
        <x:v>Component headword checked: stress.</x:v>
      </x:c>
      <x:c r="K179" s="31" t="str">
        <x:v>Anchor-period research source/context; Webster 1913 stable component URL recorded but automated page retrieval was unavailable</x:v>
      </x:c>
      <x:c r="L179" s="31" t="str">
        <x:v>Anxiety operationalised as a symptom or health measure; the candidate is interpreted in its documented anchor and voice context.</x:v>
      </x:c>
      <x:c r="M179" s="31" t="str">
        <x:v>The candidate's affective or evaluative sense as used by the documented speaker/instrument/research voice at the anchor.</x:v>
      </x:c>
      <x:c r="N179" s="31" t="str">
        <x:v>Anxiety operationalised as a symptom or health measure; the candidate is interpreted in its documented anchor and voice context.</x:v>
      </x:c>
      <x:c r="O179" s="31" t="str">
        <x:v>STRONG</x:v>
      </x:c>
      <x:c r="P179" s="19" t="str">
        <x:v>NOT_LOCATED</x:v>
      </x:c>
      <x:c r="Q179" s="31" t="str">
        <x:v>The surface form may realize multiple senses; candidate meaning remains anchored to the report-visible source context.</x:v>
      </x:c>
      <x:c r="R179" s="31" t="str">
        <x:v>Fear of Temperature_ Stratified Lexical Expansion, Voice Mapping, and Semantic-Relational Pre-Valida.pdf#page=12; https://api.dictionaryapi.dev/api/v2/entries/en/anxiety%20and%20stress; https://websters1913.timcieplowski.com/word/stress/</x:v>
      </x:c>
      <x:c r="S179" s="19" t="str">
        <x:v>2026-08-26</x:v>
      </x:c>
      <x:c r="T179" s="43" t="str">
        <x:v>RECONSTRUCTED_FROM_REPORT; Fear of Temperature_ Stratified Lexical Expansion, Voice Mapping, and Semantic-Relational Pre-Valida.pdf; p.12; project candidate FT-SEED-R1B-P-2022-25; original visible ID not available</x:v>
      </x:c>
    </x:row>
    <x:row r="180" ht="38" customHeight="1">
      <x:c r="A180" s="40" t="str">
        <x:v>FT-SEED-R1B-P-2022-26</x:v>
      </x:c>
      <x:c r="B180" s="19" t="str">
        <x:v>2022</x:v>
      </x:c>
      <x:c r="C180" s="25" t="n">
        <x:v>26</x:v>
      </x:c>
      <x:c r="D180" s="31" t="str">
        <x:v>ill health</x:v>
      </x:c>
      <x:c r="E180" s="31" t="str">
        <x:v>generic damage</x:v>
      </x:c>
      <x:c r="F180" s="31" t="str">
        <x:v>harm_loss_consequences</x:v>
      </x:c>
      <x:c r="G180" s="31" t="str">
        <x:v>NO_STANDALONE_HEADWORD</x:v>
      </x:c>
      <x:c r="H180" s="19" t="str">
        <x:v>NO</x:v>
      </x:c>
      <x:c r="I180" s="31" t="str">
        <x:v>Component lexical analysis plus anchor-source contextual meaning</x:v>
      </x:c>
      <x:c r="J180" s="31" t="str">
        <x:v>Component headword checked: health.</x:v>
      </x:c>
      <x:c r="K180" s="31" t="str">
        <x:v>Anchor-period research source/context; Webster 1913 stable component URL recorded but automated page retrieval was unavailable</x:v>
      </x:c>
      <x:c r="L180" s="31" t="str">
        <x:v>Generic material, ecological, or social damage; the candidate is interpreted in its documented anchor and voice context.</x:v>
      </x:c>
      <x:c r="M180" s="31" t="str">
        <x:v>A threat, risk, harm, severity, or consequence sense in the documented source; it is not automatically an emotion.</x:v>
      </x:c>
      <x:c r="N180" s="31" t="str">
        <x:v>Generic material, ecological, or social damage; the candidate is interpreted in its documented anchor and voice context.</x:v>
      </x:c>
      <x:c r="O180" s="31" t="str">
        <x:v>STRONG</x:v>
      </x:c>
      <x:c r="P180" s="19" t="str">
        <x:v>NOT_LOCATED</x:v>
      </x:c>
      <x:c r="Q180" s="31" t="str">
        <x:v>The surface form may realize multiple senses; candidate meaning remains anchored to the report-visible source context.</x:v>
      </x:c>
      <x:c r="R180" s="31" t="str">
        <x:v>Fear of Temperature_ Stratified Lexical Expansion, Voice Mapping, and Semantic-Relational Pre-Valida.pdf#page=12; https://api.dictionaryapi.dev/api/v2/entries/en/ill%20health; https://websters1913.timcieplowski.com/word/health/</x:v>
      </x:c>
      <x:c r="S180" s="19" t="str">
        <x:v>2026-08-26</x:v>
      </x:c>
      <x:c r="T180" s="43" t="str">
        <x:v>RECONSTRUCTED_FROM_REPORT; Fear of Temperature_ Stratified Lexical Expansion, Voice Mapping, and Semantic-Relational Pre-Valida.pdf; p.12; project candidate FT-SEED-R1B-P-2022-26; original visible ID not available</x:v>
      </x:c>
    </x:row>
    <x:row r="181" ht="38" customHeight="1">
      <x:c r="A181" s="40" t="str">
        <x:v>FT-SEED-R1B-P-2022-27</x:v>
      </x:c>
      <x:c r="B181" s="19" t="str">
        <x:v>2022</x:v>
      </x:c>
      <x:c r="C181" s="25" t="n">
        <x:v>27</x:v>
      </x:c>
      <x:c r="D181" s="31" t="str">
        <x:v>premature deaths</x:v>
      </x:c>
      <x:c r="E181" s="31" t="str">
        <x:v>mortality</x:v>
      </x:c>
      <x:c r="F181" s="31" t="str">
        <x:v>harm_loss_consequences</x:v>
      </x:c>
      <x:c r="G181" s="31" t="str">
        <x:v>NO_STANDALONE_HEADWORD</x:v>
      </x:c>
      <x:c r="H181" s="19" t="str">
        <x:v>NO</x:v>
      </x:c>
      <x:c r="I181" s="31" t="str">
        <x:v>Component lexical analysis plus anchor-source contextual meaning</x:v>
      </x:c>
      <x:c r="J181" s="31" t="str">
        <x:v>Component headword checked: deaths.</x:v>
      </x:c>
      <x:c r="K181" s="31" t="str">
        <x:v>Anchor-period research source/context; Webster 1913 stable component URL recorded but automated page retrieval was unavailable</x:v>
      </x:c>
      <x:c r="L181" s="31" t="str">
        <x:v>Death or mortality attributed to heat or climate consequences; the candidate is interpreted in its documented anchor and voice context.</x:v>
      </x:c>
      <x:c r="M181" s="31" t="str">
        <x:v>A threat, risk, harm, severity, or consequence sense in the documented source; it is not automatically an emotion.</x:v>
      </x:c>
      <x:c r="N181" s="31" t="str">
        <x:v>Death or mortality attributed to heat or climate consequences; the candidate is interpreted in its documented anchor and voice context.</x:v>
      </x:c>
      <x:c r="O181" s="31" t="str">
        <x:v>STRONG</x:v>
      </x:c>
      <x:c r="P181" s="19" t="str">
        <x:v>NOT_LOCATED</x:v>
      </x:c>
      <x:c r="Q181" s="31" t="str">
        <x:v>The surface form may realize multiple senses; candidate meaning remains anchored to the report-visible source context.</x:v>
      </x:c>
      <x:c r="R181" s="31" t="str">
        <x:v>Fear of Temperature_ Stratified Lexical Expansion, Voice Mapping, and Semantic-Relational Pre-Valida.pdf#page=12; https://api.dictionaryapi.dev/api/v2/entries/en/premature%20deaths; https://websters1913.timcieplowski.com/word/deaths/</x:v>
      </x:c>
      <x:c r="S181" s="19" t="str">
        <x:v>2026-08-26</x:v>
      </x:c>
      <x:c r="T181" s="43" t="str">
        <x:v>RECONSTRUCTED_FROM_REPORT; Fear of Temperature_ Stratified Lexical Expansion, Voice Mapping, and Semantic-Relational Pre-Valida.pdf; p.12; project candidate FT-SEED-R1B-P-2022-27; original visible ID not available</x:v>
      </x:c>
    </x:row>
    <x:row r="182" ht="38" customHeight="1">
      <x:c r="A182" s="40" t="str">
        <x:v>FT-SEED-R1B-P-2022-28</x:v>
      </x:c>
      <x:c r="B182" s="19" t="str">
        <x:v>2022</x:v>
      </x:c>
      <x:c r="C182" s="25" t="n">
        <x:v>28</x:v>
      </x:c>
      <x:c r="D182" s="31" t="str">
        <x:v>very serious threat</x:v>
      </x:c>
      <x:c r="E182" s="31" t="str">
        <x:v>institutional climate threat</x:v>
      </x:c>
      <x:c r="F182" s="31" t="str">
        <x:v>danger_threat</x:v>
      </x:c>
      <x:c r="G182" s="31" t="str">
        <x:v>NO_STANDALONE_HEADWORD</x:v>
      </x:c>
      <x:c r="H182" s="19" t="str">
        <x:v>NO</x:v>
      </x:c>
      <x:c r="I182" s="31" t="str">
        <x:v>Component lexical analysis plus anchor-source contextual meaning</x:v>
      </x:c>
      <x:c r="J182" s="31" t="str">
        <x:v>Component headword checked: threat.</x:v>
      </x:c>
      <x:c r="K182" s="31" t="str">
        <x:v>Anchor-period research source/context; Webster 1913 stable component URL recorded but automated page retrieval was unavailable</x:v>
      </x:c>
      <x:c r="L182" s="31" t="str">
        <x:v>Climate change framed as an institutional threat; the candidate is interpreted in its documented anchor and voice context.</x:v>
      </x:c>
      <x:c r="M182" s="31" t="str">
        <x:v>A threat, risk, harm, severity, or consequence sense in the documented source; it is not automatically an emotion.</x:v>
      </x:c>
      <x:c r="N182" s="31" t="str">
        <x:v>Climate change framed as an institutional threat; the candidate is interpreted in its documented anchor and voice context.</x:v>
      </x:c>
      <x:c r="O182" s="31" t="str">
        <x:v>STRONG</x:v>
      </x:c>
      <x:c r="P182" s="19" t="str">
        <x:v>NOT_LOCATED</x:v>
      </x:c>
      <x:c r="Q182" s="31" t="str">
        <x:v>The surface form may realize multiple senses; candidate meaning remains anchored to the report-visible source context.</x:v>
      </x:c>
      <x:c r="R182" s="31" t="str">
        <x:v>Fear of Temperature_ Stratified Lexical Expansion, Voice Mapping, and Semantic-Relational Pre-Valida.pdf#page=12; https://api.dictionaryapi.dev/api/v2/entries/en/very%20serious%20threat; https://websters1913.timcieplowski.com/word/threat/</x:v>
      </x:c>
      <x:c r="S182" s="19" t="str">
        <x:v>2026-08-26</x:v>
      </x:c>
      <x:c r="T182" s="43" t="str">
        <x:v>RECONSTRUCTED_FROM_REPORT; Fear of Temperature_ Stratified Lexical Expansion, Voice Mapping, and Semantic-Relational Pre-Valida.pdf; p.12; project candidate FT-SEED-R1B-P-2022-28; original visible ID not available</x:v>
      </x:c>
    </x:row>
    <x:row r="183" ht="38" customHeight="1">
      <x:c r="A183" s="40" t="str">
        <x:v>FT-SEED-R1B-P-2022-29</x:v>
      </x:c>
      <x:c r="B183" s="19" t="str">
        <x:v>2022</x:v>
      </x:c>
      <x:c r="C183" s="25" t="n">
        <x:v>29</x:v>
      </x:c>
      <x:c r="D183" s="31" t="str">
        <x:v>harm future generations</x:v>
      </x:c>
      <x:c r="E183" s="31" t="str">
        <x:v>future-generation harm</x:v>
      </x:c>
      <x:c r="F183" s="31" t="str">
        <x:v>harm_loss_consequences</x:v>
      </x:c>
      <x:c r="G183" s="31" t="str">
        <x:v>NO_STANDALONE_HEADWORD</x:v>
      </x:c>
      <x:c r="H183" s="19" t="str">
        <x:v>NO</x:v>
      </x:c>
      <x:c r="I183" s="31" t="str">
        <x:v>Component lexical analysis plus anchor-source contextual meaning</x:v>
      </x:c>
      <x:c r="J183" s="31" t="str">
        <x:v>Component headword checked: generations.</x:v>
      </x:c>
      <x:c r="K183" s="31" t="str">
        <x:v>Anchor-period research source/context; Webster 1913 stable component URL recorded but automated page retrieval was unavailable</x:v>
      </x:c>
      <x:c r="L183" s="31" t="str">
        <x:v>Harm or loss explicitly attributed to future generations; the candidate is interpreted in its documented anchor and voice context.</x:v>
      </x:c>
      <x:c r="M183" s="31" t="str">
        <x:v>A threat, risk, harm, severity, or consequence sense in the documented source; it is not automatically an emotion.</x:v>
      </x:c>
      <x:c r="N183" s="31" t="str">
        <x:v>Harm or loss explicitly attributed to future generations; the candidate is interpreted in its documented anchor and voice context.</x:v>
      </x:c>
      <x:c r="O183" s="31" t="str">
        <x:v>STRONG</x:v>
      </x:c>
      <x:c r="P183" s="19" t="str">
        <x:v>NOT_LOCATED</x:v>
      </x:c>
      <x:c r="Q183" s="31" t="str">
        <x:v>The surface form may realize multiple senses; candidate meaning remains anchored to the report-visible source context.</x:v>
      </x:c>
      <x:c r="R183" s="31" t="str">
        <x:v>Fear of Temperature_ Stratified Lexical Expansion, Voice Mapping, and Semantic-Relational Pre-Valida.pdf#page=13; https://api.dictionaryapi.dev/api/v2/entries/en/harm%20future%20generations; https://websters1913.timcieplowski.com/word/generations/</x:v>
      </x:c>
      <x:c r="S183" s="19" t="str">
        <x:v>2026-08-26</x:v>
      </x:c>
      <x:c r="T183" s="43" t="str">
        <x:v>RECONSTRUCTED_FROM_REPORT; Fear of Temperature_ Stratified Lexical Expansion, Voice Mapping, and Semantic-Relational Pre-Valida.pdf; p.13; project candidate FT-SEED-R1B-P-2022-29; original visible ID not available</x:v>
      </x:c>
    </x:row>
    <x:row r="184" ht="38" customHeight="1">
      <x:c r="A184" s="41" t="str">
        <x:v>FT-SEED-R1B-P-2022-30</x:v>
      </x:c>
      <x:c r="B184" s="22" t="str">
        <x:v>2022</x:v>
      </x:c>
      <x:c r="C184" s="26" t="n">
        <x:v>30</x:v>
      </x:c>
      <x:c r="D184" s="32" t="str">
        <x:v>climate crisis</x:v>
      </x:c>
      <x:c r="E184" s="32" t="str">
        <x:v>climate crisis issue label</x:v>
      </x:c>
      <x:c r="F184" s="32" t="str">
        <x:v>crisis_emergency</x:v>
      </x:c>
      <x:c r="G184" s="32" t="str">
        <x:v>TECHNICAL_GLOSSARY</x:v>
      </x:c>
      <x:c r="H184" s="22" t="str">
        <x:v>NO</x:v>
      </x:c>
      <x:c r="I184" s="32" t="str">
        <x:v>IPCC climate-science glossary / assessment terminology</x:v>
      </x:c>
      <x:c r="J184" s="32" t="str">
        <x:v>Component headword checked: crisis.</x:v>
      </x:c>
      <x:c r="K184" s="32" t="str">
        <x:v>Anchor-period research source/context; Webster 1913 stable component URL recorded but automated page retrieval was unavailable</x:v>
      </x:c>
      <x:c r="L184" s="32" t="str">
        <x:v>Climate crisis used as an established issue label; the candidate is interpreted in its documented anchor and voice context.</x:v>
      </x:c>
      <x:c r="M184" s="32" t="str">
        <x:v>A threat, risk, harm, severity, or consequence sense in the documented source; it is not automatically an emotion.</x:v>
      </x:c>
      <x:c r="N184" s="32" t="str">
        <x:v>Climate crisis used as an established issue label; the candidate is interpreted in its documented anchor and voice context.</x:v>
      </x:c>
      <x:c r="O184" s="32" t="str">
        <x:v>STRONG</x:v>
      </x:c>
      <x:c r="P184" s="22" t="str">
        <x:v>NOT_LOCATED</x:v>
      </x:c>
      <x:c r="Q184" s="32" t="str">
        <x:v>The surface form may realize multiple senses; candidate meaning remains anchored to the report-visible source context.</x:v>
      </x:c>
      <x:c r="R184" s="32" t="str">
        <x:v>https://www.ipcc.ch/site/assets/uploads/2018/02/WGIIAR5-AnnexII_FINAL.pdf; https://api.dictionaryapi.dev/api/v2/entries/en/climate%20crisis; https://websters1913.timcieplowski.com/word/crisis/</x:v>
      </x:c>
      <x:c r="S184" s="22" t="str">
        <x:v>2026-08-26</x:v>
      </x:c>
      <x:c r="T184" s="44" t="str">
        <x:v>RECONSTRUCTED_FROM_REPORT; Fear of Temperature_ Stratified Lexical Expansion, Voice Mapping, and Semantic-Relational Pre-Valida.pdf; p.13; project candidate FT-SEED-R1B-P-2022-30; original visible ID not available</x:v>
      </x:c>
    </x:row>
  </x:sheetData>
  <x:mergeCells>
    <x:mergeCell ref="A1:T1"/>
    <x:mergeCell ref="A2:T2"/>
  </x:mergeCells>
  <x:conditionalFormatting sqref="G5:G184">
    <x:cfRule type="containsText" dxfId="102" priority="1" operator="containsText" text="COMPLETE"/>
    <x:cfRule type="containsText" dxfId="103" priority="2" operator="containsText" text="TRACEABLE"/>
    <x:cfRule type="containsText" dxfId="104" priority="3" operator="containsText" text="ZERO"/>
    <x:cfRule type="containsText" dxfId="105" priority="4" operator="containsText" text="UNRESOLVED"/>
    <x:cfRule type="containsText" dxfId="106" priority="5" operator="containsText" text="NOT_"/>
    <x:cfRule type="containsText" dxfId="107" priority="6" operator="containsText" text="PARTIAL"/>
  </x:conditionalFormatting>
  <x:conditionalFormatting sqref="O5:O184">
    <x:cfRule type="containsText" dxfId="108" priority="7" operator="containsText" text="COMPLETE"/>
    <x:cfRule type="containsText" dxfId="109" priority="8" operator="containsText" text="TRACEABLE"/>
    <x:cfRule type="containsText" dxfId="110" priority="9" operator="containsText" text="ZERO"/>
    <x:cfRule type="containsText" dxfId="111" priority="10" operator="containsText" text="UNRESOLVED"/>
    <x:cfRule type="containsText" dxfId="112" priority="11" operator="containsText" text="NOT_"/>
    <x:cfRule type="containsText" dxfId="113" priority="12" operator="containsText" text="PARTIAL"/>
  </x:conditionalFormatting>
  <x:pageMargins left="0.7" right="0.7" top="0.75" bottom="0.75" header="0.3" footer="0.3"/>
  <x:tableParts count="1">
    <x:tablePart xmlns:r="http://schemas.openxmlformats.org/officeDocument/2006/relationships" r:id="Rfabd3ab475fa4c92"/>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32" hidden="0" customWidth="1"/>
    <x:col min="6" max="6" width="16" hidden="0" customWidth="1"/>
    <x:col min="7" max="7" width="16" hidden="0" customWidth="1"/>
    <x:col min="8" max="8" width="16" hidden="0" customWidth="1"/>
    <x:col min="9" max="9" width="23" hidden="0" customWidth="1"/>
    <x:col min="10" max="10" width="16" hidden="0" customWidth="1"/>
    <x:col min="11" max="11" width="16" hidden="0" customWidth="1"/>
    <x:col min="12" max="12" width="16" hidden="0" customWidth="1"/>
    <x:col min="13" max="13" width="23" hidden="0" customWidth="1"/>
    <x:col min="14" max="14" width="16" hidden="0" customWidth="1"/>
    <x:col min="15" max="15" width="32" hidden="0" customWidth="1"/>
    <x:col min="16" max="16" width="40" hidden="0" customWidth="1"/>
    <x:col min="17" max="17" width="32" hidden="0" customWidth="1"/>
    <x:col min="18" max="18" width="16" hidden="0" customWidth="1"/>
  </x:cols>
  <x:sheetData>
    <x:row r="1" ht="38" customHeight="1">
      <x:c r="A1" s="3" t="str">
        <x:v>Bounded Search Coverage — 180 Candidates</x:v>
      </x:c>
      <x:c r="B1" s="3" t="str">
        <x:v>Bounded Search Coverage — 180 Candidates</x:v>
      </x:c>
      <x:c r="C1" s="3" t="str">
        <x:v>Bounded Search Coverage — 180 Candidates</x:v>
      </x:c>
      <x:c r="D1" s="3" t="str">
        <x:v>Bounded Search Coverage — 180 Candidates</x:v>
      </x:c>
      <x:c r="E1" s="3" t="str">
        <x:v>Bounded Search Coverage — 180 Candidates</x:v>
      </x:c>
      <x:c r="F1" s="3" t="str">
        <x:v>Bounded Search Coverage — 180 Candidates</x:v>
      </x:c>
      <x:c r="G1" s="3" t="str">
        <x:v>Bounded Search Coverage — 180 Candidates</x:v>
      </x:c>
      <x:c r="H1" s="3" t="str">
        <x:v>Bounded Search Coverage — 180 Candidates</x:v>
      </x:c>
      <x:c r="I1" s="3" t="str">
        <x:v>Bounded Search Coverage — 180 Candidates</x:v>
      </x:c>
      <x:c r="J1" s="3" t="str">
        <x:v>Bounded Search Coverage — 180 Candidates</x:v>
      </x:c>
      <x:c r="K1" s="3" t="str">
        <x:v>Bounded Search Coverage — 180 Candidates</x:v>
      </x:c>
      <x:c r="L1" s="3" t="str">
        <x:v>Bounded Search Coverage — 180 Candidates</x:v>
      </x:c>
      <x:c r="M1" s="3" t="str">
        <x:v>Bounded Search Coverage — 180 Candidates</x:v>
      </x:c>
      <x:c r="N1" s="3" t="str">
        <x:v>Bounded Search Coverage — 180 Candidates</x:v>
      </x:c>
      <x:c r="O1" s="3" t="str">
        <x:v>Bounded Search Coverage — 180 Candidates</x:v>
      </x:c>
      <x:c r="P1" s="3" t="str">
        <x:v>Bounded Search Coverage — 180 Candidates</x:v>
      </x:c>
      <x:c r="Q1" s="3" t="str">
        <x:v>Bounded Search Coverage — 180 Candidates</x:v>
      </x:c>
      <x:c r="R1" s="3" t="str">
        <x:v>Bounded Search Coverage — 180 Candidates</x:v>
      </x:c>
    </x:row>
    <x:row r="2" ht="32" customHeight="1">
      <x:c r="A2" s="7" t="str">
        <x:v>Primary metric is Internet Archive Advanced Search API numFound at retrieval time, not lexical prevalence.</x:v>
      </x:c>
      <x:c r="B2" s="7" t="str">
        <x:v>Primary metric is Internet Archive Advanced Search API numFound at retrieval time, not lexical prevalence.</x:v>
      </x:c>
      <x:c r="C2" s="7" t="str">
        <x:v>Primary metric is Internet Archive Advanced Search API numFound at retrieval time, not lexical prevalence.</x:v>
      </x:c>
      <x:c r="D2" s="7" t="str">
        <x:v>Primary metric is Internet Archive Advanced Search API numFound at retrieval time, not lexical prevalence.</x:v>
      </x:c>
      <x:c r="E2" s="7" t="str">
        <x:v>Primary metric is Internet Archive Advanced Search API numFound at retrieval time, not lexical prevalence.</x:v>
      </x:c>
      <x:c r="F2" s="7" t="str">
        <x:v>Primary metric is Internet Archive Advanced Search API numFound at retrieval time, not lexical prevalence.</x:v>
      </x:c>
      <x:c r="G2" s="7" t="str">
        <x:v>Primary metric is Internet Archive Advanced Search API numFound at retrieval time, not lexical prevalence.</x:v>
      </x:c>
      <x:c r="H2" s="7" t="str">
        <x:v>Primary metric is Internet Archive Advanced Search API numFound at retrieval time, not lexical prevalence.</x:v>
      </x:c>
      <x:c r="I2" s="7" t="str">
        <x:v>Primary metric is Internet Archive Advanced Search API numFound at retrieval time, not lexical prevalence.</x:v>
      </x:c>
      <x:c r="J2" s="7" t="str">
        <x:v>Primary metric is Internet Archive Advanced Search API numFound at retrieval time, not lexical prevalence.</x:v>
      </x:c>
      <x:c r="K2" s="7" t="str">
        <x:v>Primary metric is Internet Archive Advanced Search API numFound at retrieval time, not lexical prevalence.</x:v>
      </x:c>
      <x:c r="L2" s="7" t="str">
        <x:v>Primary metric is Internet Archive Advanced Search API numFound at retrieval time, not lexical prevalence.</x:v>
      </x:c>
      <x:c r="M2" s="7" t="str">
        <x:v>Primary metric is Internet Archive Advanced Search API numFound at retrieval time, not lexical prevalence.</x:v>
      </x:c>
      <x:c r="N2" s="7" t="str">
        <x:v>Primary metric is Internet Archive Advanced Search API numFound at retrieval time, not lexical prevalence.</x:v>
      </x:c>
      <x:c r="O2" s="7" t="str">
        <x:v>Primary metric is Internet Archive Advanced Search API numFound at retrieval time, not lexical prevalence.</x:v>
      </x:c>
      <x:c r="P2" s="7" t="str">
        <x:v>Primary metric is Internet Archive Advanced Search API numFound at retrieval time, not lexical prevalence.</x:v>
      </x:c>
      <x:c r="Q2" s="7" t="str">
        <x:v>Primary metric is Internet Archive Advanced Search API numFound at retrieval time, not lexical prevalence.</x:v>
      </x:c>
      <x:c r="R2" s="7" t="str">
        <x:v>Primary metric is Internet Archive Advanced Search API numFound at retrieval time, not lexical prevalence.</x:v>
      </x:c>
    </x:row>
    <x:row r="4" ht="42" customHeight="1">
      <x:c r="A4" s="14" t="str">
        <x:v>Candidate ID</x:v>
      </x:c>
      <x:c r="B4" s="14" t="str">
        <x:v>Anchor</x:v>
      </x:c>
      <x:c r="C4" s="14" t="str">
        <x:v>Rank</x:v>
      </x:c>
      <x:c r="D4" s="14" t="str">
        <x:v>Surface Form</x:v>
      </x:c>
      <x:c r="E4" s="14" t="str">
        <x:v>Search Source</x:v>
      </x:c>
      <x:c r="F4" s="14" t="str">
        <x:v>Count Meaning</x:v>
      </x:c>
      <x:c r="G4" s="14" t="str">
        <x:v>Query String</x:v>
      </x:c>
      <x:c r="H4" s="14" t="str">
        <x:v>Query Type</x:v>
      </x:c>
      <x:c r="I4" s="14" t="str">
        <x:v>Exactness</x:v>
      </x:c>
      <x:c r="J4" s="14" t="str">
        <x:v>Full-Corpus Result Count</x:v>
      </x:c>
      <x:c r="K4" s="14" t="str">
        <x:v>Strict-Window Result Count</x:v>
      </x:c>
      <x:c r="L4" s="14" t="str">
        <x:v>Contextual-Window Result Count</x:v>
      </x:c>
      <x:c r="M4" s="14" t="str">
        <x:v>Search Status</x:v>
      </x:c>
      <x:c r="N4" s="14" t="str">
        <x:v>Retrieval Timestamp</x:v>
      </x:c>
      <x:c r="O4" s="14" t="str">
        <x:v>API / Interface</x:v>
      </x:c>
      <x:c r="P4" s="14" t="str">
        <x:v>Notes</x:v>
      </x:c>
      <x:c r="Q4" s="14" t="str">
        <x:v>Secondary Source</x:v>
      </x:c>
      <x:c r="R4" s="14" t="str">
        <x:v>Secondary All-Period Count</x:v>
      </x:c>
    </x:row>
    <x:row r="5" ht="34" customHeight="1">
      <x:c r="A5" s="39" t="str">
        <x:v>FT-SEED-R1B-P-1842-01</x:v>
      </x:c>
      <x:c r="B5" s="16" t="str">
        <x:v>1842</x:v>
      </x:c>
      <x:c r="C5" s="24" t="n">
        <x:v>1</x:v>
      </x:c>
      <x:c r="D5" s="30" t="str">
        <x:v>temperature</x:v>
      </x:c>
      <x:c r="E5" s="30" t="str">
        <x:v>INTERNET_ARCHIVE_METADATA_TEXT_ITEM_COUNT</x:v>
      </x:c>
      <x:c r="F5" s="45" t="str">
        <x:v>INTERNET_ARCHIVE_ADVANCEDSEARCH_NUMFOUND</x:v>
      </x:c>
      <x:c r="G5" s="16" t="str">
        <x:v>"temperature" AND mediatype:texts</x:v>
      </x:c>
      <x:c r="H5" s="16" t="str">
        <x:v>PHRASE_METADATA_SEARCH</x:v>
      </x:c>
      <x:c r="I5" s="30" t="str">
        <x:v>EXACT_PHRASE</x:v>
      </x:c>
      <x:c r="J5" s="24" t="n">
        <x:v>193717</x:v>
      </x:c>
      <x:c r="K5" s="24" t="n">
        <x:v>6</x:v>
      </x:c>
      <x:c r="L5" s="24" t="n">
        <x:v>60</x:v>
      </x:c>
      <x:c r="M5" s="30" t="str">
        <x:v>COMPLETED_NONZERO</x:v>
      </x:c>
      <x:c r="N5" s="16" t="str">
        <x:v>2026-08-26</x:v>
      </x:c>
      <x:c r="O5" s="30" t="str">
        <x:v>https://archive.org/advancedsearch.php</x:v>
      </x:c>
      <x:c r="P5" s="30" t="str">
        <x:v>Metadata text-item count; not a full-text lexical frequency. Secondary metric: NOT_RUN_OPENALEX_DAILY_BUDGET_EXHAUSTED: shared provider response retained; no count fabricated.</x:v>
      </x:c>
      <x:c r="Q5" s="30" t="str">
        <x:v>OPENALEX_WORK_COUNT</x:v>
      </x:c>
      <x:c r="R5" s="36" t="str">
        <x:v>NOT_APPLICABLE</x:v>
      </x:c>
    </x:row>
    <x:row r="6" ht="34" customHeight="1">
      <x:c r="A6" s="40" t="str">
        <x:v>FT-SEED-R1B-P-1842-02</x:v>
      </x:c>
      <x:c r="B6" s="19" t="str">
        <x:v>1842</x:v>
      </x:c>
      <x:c r="C6" s="25" t="n">
        <x:v>2</x:v>
      </x:c>
      <x:c r="D6" s="31" t="str">
        <x:v>mean temperature</x:v>
      </x:c>
      <x:c r="E6" s="31" t="str">
        <x:v>INTERNET_ARCHIVE_METADATA_TEXT_ITEM_COUNT</x:v>
      </x:c>
      <x:c r="F6" s="46" t="str">
        <x:v>INTERNET_ARCHIVE_ADVANCEDSEARCH_NUMFOUND</x:v>
      </x:c>
      <x:c r="G6" s="19" t="str">
        <x:v>"mean temperature" AND mediatype:texts</x:v>
      </x:c>
      <x:c r="H6" s="19" t="str">
        <x:v>PHRASE_METADATA_SEARCH</x:v>
      </x:c>
      <x:c r="I6" s="31" t="str">
        <x:v>EXACT_PHRASE</x:v>
      </x:c>
      <x:c r="J6" s="25" t="n">
        <x:v>664</x:v>
      </x:c>
      <x:c r="K6" s="25" t="n">
        <x:v>0</x:v>
      </x:c>
      <x:c r="L6" s="25" t="n">
        <x:v>4</x:v>
      </x:c>
      <x:c r="M6" s="31" t="str">
        <x:v>COMPLETED_NONZERO</x:v>
      </x:c>
      <x:c r="N6" s="19" t="str">
        <x:v>2026-08-26</x:v>
      </x:c>
      <x:c r="O6" s="31" t="str">
        <x:v>https://archive.org/advancedsearch.php</x:v>
      </x:c>
      <x:c r="P6" s="31" t="str">
        <x:v>Metadata text-item count; not a full-text lexical frequency. Secondary metric: NOT_RUN_OPENALEX_DAILY_BUDGET_EXHAUSTED: shared provider response retained; no count fabricated.</x:v>
      </x:c>
      <x:c r="Q6" s="31" t="str">
        <x:v>OPENALEX_WORK_COUNT</x:v>
      </x:c>
      <x:c r="R6" s="37" t="str">
        <x:v>NOT_APPLICABLE</x:v>
      </x:c>
    </x:row>
    <x:row r="7" ht="34" customHeight="1">
      <x:c r="A7" s="40" t="str">
        <x:v>FT-SEED-R1B-P-1842-03</x:v>
      </x:c>
      <x:c r="B7" s="19" t="str">
        <x:v>1842</x:v>
      </x:c>
      <x:c r="C7" s="25" t="n">
        <x:v>3</x:v>
      </x:c>
      <x:c r="D7" s="31" t="str">
        <x:v>temperature of the air in shade</x:v>
      </x:c>
      <x:c r="E7" s="31" t="str">
        <x:v>INTERNET_ARCHIVE_METADATA_TEXT_ITEM_COUNT</x:v>
      </x:c>
      <x:c r="F7" s="46" t="str">
        <x:v>INTERNET_ARCHIVE_ADVANCEDSEARCH_NUMFOUND</x:v>
      </x:c>
      <x:c r="G7" s="19" t="str">
        <x:v>"temperature of the air in shade" AND mediatype:texts</x:v>
      </x:c>
      <x:c r="H7" s="19" t="str">
        <x:v>PHRASE_METADATA_SEARCH</x:v>
      </x:c>
      <x:c r="I7" s="31" t="str">
        <x:v>EXACT_PHRASE</x:v>
      </x:c>
      <x:c r="J7" s="25" t="n">
        <x:v>0</x:v>
      </x:c>
      <x:c r="K7" s="25" t="n">
        <x:v>0</x:v>
      </x:c>
      <x:c r="L7" s="25" t="n">
        <x:v>0</x:v>
      </x:c>
      <x:c r="M7" s="31" t="str">
        <x:v>COMPLETED_ZERO</x:v>
      </x:c>
      <x:c r="N7" s="19" t="str">
        <x:v>2026-08-26</x:v>
      </x:c>
      <x:c r="O7" s="31" t="str">
        <x:v>https://archive.org/advancedsearch.php</x:v>
      </x:c>
      <x:c r="P7" s="31" t="str">
        <x:v>Metadata text-item count; not a full-text lexical frequency. Secondary metric: NOT_RUN_OPENALEX_DAILY_BUDGET_EXHAUSTED: shared provider response retained; no count fabricated.</x:v>
      </x:c>
      <x:c r="Q7" s="31" t="str">
        <x:v>OPENALEX_WORK_COUNT</x:v>
      </x:c>
      <x:c r="R7" s="37" t="str">
        <x:v>NOT_APPLICABLE</x:v>
      </x:c>
    </x:row>
    <x:row r="8" ht="34" customHeight="1">
      <x:c r="A8" s="40" t="str">
        <x:v>FT-SEED-R1B-P-1842-04</x:v>
      </x:c>
      <x:c r="B8" s="19" t="str">
        <x:v>1842</x:v>
      </x:c>
      <x:c r="C8" s="25" t="n">
        <x:v>4</x:v>
      </x:c>
      <x:c r="D8" s="31" t="str">
        <x:v>maximum temperature</x:v>
      </x:c>
      <x:c r="E8" s="31" t="str">
        <x:v>INTERNET_ARCHIVE_METADATA_TEXT_ITEM_COUNT</x:v>
      </x:c>
      <x:c r="F8" s="46" t="str">
        <x:v>INTERNET_ARCHIVE_ADVANCEDSEARCH_NUMFOUND</x:v>
      </x:c>
      <x:c r="G8" s="19" t="str">
        <x:v>"maximum temperature" AND mediatype:texts</x:v>
      </x:c>
      <x:c r="H8" s="19" t="str">
        <x:v>PHRASE_METADATA_SEARCH</x:v>
      </x:c>
      <x:c r="I8" s="31" t="str">
        <x:v>EXACT_PHRASE</x:v>
      </x:c>
      <x:c r="J8" s="25" t="n">
        <x:v>1464</x:v>
      </x:c>
      <x:c r="K8" s="25" t="n">
        <x:v>0</x:v>
      </x:c>
      <x:c r="L8" s="25" t="n">
        <x:v>0</x:v>
      </x:c>
      <x:c r="M8" s="31" t="str">
        <x:v>COMPLETED_NONZERO</x:v>
      </x:c>
      <x:c r="N8" s="19" t="str">
        <x:v>2026-08-26</x:v>
      </x:c>
      <x:c r="O8" s="31" t="str">
        <x:v>https://archive.org/advancedsearch.php</x:v>
      </x:c>
      <x:c r="P8" s="31" t="str">
        <x:v>Metadata text-item count; not a full-text lexical frequency. Secondary metric: NOT_RUN_OPENALEX_DAILY_BUDGET_EXHAUSTED: shared provider response retained; no count fabricated.</x:v>
      </x:c>
      <x:c r="Q8" s="31" t="str">
        <x:v>OPENALEX_WORK_COUNT</x:v>
      </x:c>
      <x:c r="R8" s="37" t="str">
        <x:v>NOT_APPLICABLE</x:v>
      </x:c>
    </x:row>
    <x:row r="9" ht="34" customHeight="1">
      <x:c r="A9" s="40" t="str">
        <x:v>FT-SEED-R1B-P-1842-05</x:v>
      </x:c>
      <x:c r="B9" s="19" t="str">
        <x:v>1842</x:v>
      </x:c>
      <x:c r="C9" s="25" t="n">
        <x:v>5</x:v>
      </x:c>
      <x:c r="D9" s="31" t="str">
        <x:v>minimum temperature</x:v>
      </x:c>
      <x:c r="E9" s="31" t="str">
        <x:v>INTERNET_ARCHIVE_METADATA_TEXT_ITEM_COUNT</x:v>
      </x:c>
      <x:c r="F9" s="46" t="str">
        <x:v>INTERNET_ARCHIVE_ADVANCEDSEARCH_NUMFOUND</x:v>
      </x:c>
      <x:c r="G9" s="19" t="str">
        <x:v>"minimum temperature" AND mediatype:texts</x:v>
      </x:c>
      <x:c r="H9" s="19" t="str">
        <x:v>PHRASE_METADATA_SEARCH</x:v>
      </x:c>
      <x:c r="I9" s="31" t="str">
        <x:v>EXACT_PHRASE</x:v>
      </x:c>
      <x:c r="J9" s="25" t="n">
        <x:v>460</x:v>
      </x:c>
      <x:c r="K9" s="25" t="n">
        <x:v>0</x:v>
      </x:c>
      <x:c r="L9" s="25" t="n">
        <x:v>0</x:v>
      </x:c>
      <x:c r="M9" s="31" t="str">
        <x:v>COMPLETED_NONZERO</x:v>
      </x:c>
      <x:c r="N9" s="19" t="str">
        <x:v>2026-08-26</x:v>
      </x:c>
      <x:c r="O9" s="31" t="str">
        <x:v>https://archive.org/advancedsearch.php</x:v>
      </x:c>
      <x:c r="P9" s="31" t="str">
        <x:v>Metadata text-item count; not a full-text lexical frequency. Secondary metric: NOT_RUN_OPENALEX_DAILY_BUDGET_EXHAUSTED: shared provider response retained; no count fabricated.</x:v>
      </x:c>
      <x:c r="Q9" s="31" t="str">
        <x:v>OPENALEX_WORK_COUNT</x:v>
      </x:c>
      <x:c r="R9" s="37" t="str">
        <x:v>NOT_APPLICABLE</x:v>
      </x:c>
    </x:row>
    <x:row r="10" ht="34" customHeight="1">
      <x:c r="A10" s="40" t="str">
        <x:v>FT-SEED-R1B-P-1842-06</x:v>
      </x:c>
      <x:c r="B10" s="19" t="str">
        <x:v>1842</x:v>
      </x:c>
      <x:c r="C10" s="25" t="n">
        <x:v>6</x:v>
      </x:c>
      <x:c r="D10" s="31" t="str">
        <x:v>mean temperature of sea at surface</x:v>
      </x:c>
      <x:c r="E10" s="31" t="str">
        <x:v>INTERNET_ARCHIVE_METADATA_TEXT_ITEM_COUNT</x:v>
      </x:c>
      <x:c r="F10" s="46" t="str">
        <x:v>INTERNET_ARCHIVE_ADVANCEDSEARCH_NUMFOUND</x:v>
      </x:c>
      <x:c r="G10" s="19" t="str">
        <x:v>"mean temperature of sea at surface" AND mediatype:texts</x:v>
      </x:c>
      <x:c r="H10" s="19" t="str">
        <x:v>PHRASE_METADATA_SEARCH</x:v>
      </x:c>
      <x:c r="I10" s="31" t="str">
        <x:v>EXACT_PHRASE</x:v>
      </x:c>
      <x:c r="J10" s="25" t="n">
        <x:v>0</x:v>
      </x:c>
      <x:c r="K10" s="25" t="n">
        <x:v>0</x:v>
      </x:c>
      <x:c r="L10" s="25" t="n">
        <x:v>0</x:v>
      </x:c>
      <x:c r="M10" s="31" t="str">
        <x:v>COMPLETED_ZERO</x:v>
      </x:c>
      <x:c r="N10" s="19" t="str">
        <x:v>2026-08-26</x:v>
      </x:c>
      <x:c r="O10" s="31" t="str">
        <x:v>https://archive.org/advancedsearch.php</x:v>
      </x:c>
      <x:c r="P10" s="31" t="str">
        <x:v>Metadata text-item count; not a full-text lexical frequency. Secondary metric: NOT_RUN_OPENALEX_DAILY_BUDGET_EXHAUSTED: shared provider response retained; no count fabricated.</x:v>
      </x:c>
      <x:c r="Q10" s="31" t="str">
        <x:v>OPENALEX_WORK_COUNT</x:v>
      </x:c>
      <x:c r="R10" s="37" t="str">
        <x:v>NOT_APPLICABLE</x:v>
      </x:c>
    </x:row>
    <x:row r="11" ht="34" customHeight="1">
      <x:c r="A11" s="40" t="str">
        <x:v>FT-SEED-R1B-P-1842-07</x:v>
      </x:c>
      <x:c r="B11" s="19" t="str">
        <x:v>1842</x:v>
      </x:c>
      <x:c r="C11" s="25" t="n">
        <x:v>7</x:v>
      </x:c>
      <x:c r="D11" s="31" t="str">
        <x:v>dew point</x:v>
      </x:c>
      <x:c r="E11" s="31" t="str">
        <x:v>INTERNET_ARCHIVE_METADATA_TEXT_ITEM_COUNT</x:v>
      </x:c>
      <x:c r="F11" s="46" t="str">
        <x:v>INTERNET_ARCHIVE_ADVANCEDSEARCH_NUMFOUND</x:v>
      </x:c>
      <x:c r="G11" s="19" t="str">
        <x:v>"dew point" AND mediatype:texts</x:v>
      </x:c>
      <x:c r="H11" s="19" t="str">
        <x:v>PHRASE_METADATA_SEARCH</x:v>
      </x:c>
      <x:c r="I11" s="31" t="str">
        <x:v>EXACT_PHRASE</x:v>
      </x:c>
      <x:c r="J11" s="25" t="n">
        <x:v>1217</x:v>
      </x:c>
      <x:c r="K11" s="25" t="n">
        <x:v>0</x:v>
      </x:c>
      <x:c r="L11" s="25" t="n">
        <x:v>2</x:v>
      </x:c>
      <x:c r="M11" s="31" t="str">
        <x:v>COMPLETED_NONZERO</x:v>
      </x:c>
      <x:c r="N11" s="19" t="str">
        <x:v>2026-08-26</x:v>
      </x:c>
      <x:c r="O11" s="31" t="str">
        <x:v>https://archive.org/advancedsearch.php</x:v>
      </x:c>
      <x:c r="P11" s="31" t="str">
        <x:v>Metadata text-item count; not a full-text lexical frequency. Secondary metric: NOT_RUN_OPENALEX_DAILY_BUDGET_EXHAUSTED: shared provider response retained; no count fabricated.</x:v>
      </x:c>
      <x:c r="Q11" s="31" t="str">
        <x:v>OPENALEX_WORK_COUNT</x:v>
      </x:c>
      <x:c r="R11" s="37" t="str">
        <x:v>NOT_APPLICABLE</x:v>
      </x:c>
    </x:row>
    <x:row r="12" ht="34" customHeight="1">
      <x:c r="A12" s="40" t="str">
        <x:v>FT-SEED-R1B-P-1842-08</x:v>
      </x:c>
      <x:c r="B12" s="19" t="str">
        <x:v>1842</x:v>
      </x:c>
      <x:c r="C12" s="25" t="n">
        <x:v>8</x:v>
      </x:c>
      <x:c r="D12" s="31" t="str">
        <x:v>standard thermometer</x:v>
      </x:c>
      <x:c r="E12" s="31" t="str">
        <x:v>INTERNET_ARCHIVE_METADATA_TEXT_ITEM_COUNT</x:v>
      </x:c>
      <x:c r="F12" s="46" t="str">
        <x:v>INTERNET_ARCHIVE_ADVANCEDSEARCH_NUMFOUND</x:v>
      </x:c>
      <x:c r="G12" s="19" t="str">
        <x:v>"standard thermometer" AND mediatype:texts</x:v>
      </x:c>
      <x:c r="H12" s="19" t="str">
        <x:v>PHRASE_METADATA_SEARCH</x:v>
      </x:c>
      <x:c r="I12" s="31" t="str">
        <x:v>EXACT_PHRASE</x:v>
      </x:c>
      <x:c r="J12" s="25" t="n">
        <x:v>2</x:v>
      </x:c>
      <x:c r="K12" s="25" t="n">
        <x:v>0</x:v>
      </x:c>
      <x:c r="L12" s="25" t="n">
        <x:v>0</x:v>
      </x:c>
      <x:c r="M12" s="31" t="str">
        <x:v>COMPLETED_NONZERO</x:v>
      </x:c>
      <x:c r="N12" s="19" t="str">
        <x:v>2026-08-26</x:v>
      </x:c>
      <x:c r="O12" s="31" t="str">
        <x:v>https://archive.org/advancedsearch.php</x:v>
      </x:c>
      <x:c r="P12" s="31" t="str">
        <x:v>Metadata text-item count; not a full-text lexical frequency. Secondary metric: NOT_RUN_OPENALEX_DAILY_BUDGET_EXHAUSTED: shared provider response retained; no count fabricated.</x:v>
      </x:c>
      <x:c r="Q12" s="31" t="str">
        <x:v>OPENALEX_WORK_COUNT</x:v>
      </x:c>
      <x:c r="R12" s="37" t="str">
        <x:v>NOT_APPLICABLE</x:v>
      </x:c>
    </x:row>
    <x:row r="13" ht="34" customHeight="1">
      <x:c r="A13" s="40" t="str">
        <x:v>FT-SEED-R1B-P-1842-09</x:v>
      </x:c>
      <x:c r="B13" s="19" t="str">
        <x:v>1842</x:v>
      </x:c>
      <x:c r="C13" s="25" t="n">
        <x:v>9</x:v>
      </x:c>
      <x:c r="D13" s="31" t="str">
        <x:v>attached thermometer</x:v>
      </x:c>
      <x:c r="E13" s="31" t="str">
        <x:v>INTERNET_ARCHIVE_METADATA_TEXT_ITEM_COUNT</x:v>
      </x:c>
      <x:c r="F13" s="46" t="str">
        <x:v>INTERNET_ARCHIVE_ADVANCEDSEARCH_NUMFOUND</x:v>
      </x:c>
      <x:c r="G13" s="19" t="str">
        <x:v>"attached thermometer" AND mediatype:texts</x:v>
      </x:c>
      <x:c r="H13" s="19" t="str">
        <x:v>PHRASE_METADATA_SEARCH</x:v>
      </x:c>
      <x:c r="I13" s="31" t="str">
        <x:v>EXACT_PHRASE</x:v>
      </x:c>
      <x:c r="J13" s="25" t="n">
        <x:v>0</x:v>
      </x:c>
      <x:c r="K13" s="25" t="n">
        <x:v>0</x:v>
      </x:c>
      <x:c r="L13" s="25" t="n">
        <x:v>0</x:v>
      </x:c>
      <x:c r="M13" s="31" t="str">
        <x:v>COMPLETED_ZERO</x:v>
      </x:c>
      <x:c r="N13" s="19" t="str">
        <x:v>2026-08-26</x:v>
      </x:c>
      <x:c r="O13" s="31" t="str">
        <x:v>https://archive.org/advancedsearch.php</x:v>
      </x:c>
      <x:c r="P13" s="31" t="str">
        <x:v>Metadata text-item count; not a full-text lexical frequency. Secondary metric: Scholarly work discoverability count over OpenAlex search fields; not a corpus word frequency.</x:v>
      </x:c>
      <x:c r="Q13" s="31" t="str">
        <x:v>OPENALEX_WORK_COUNT</x:v>
      </x:c>
      <x:c r="R13" s="37" t="n">
        <x:v>96</x:v>
      </x:c>
    </x:row>
    <x:row r="14" ht="34" customHeight="1">
      <x:c r="A14" s="40" t="str">
        <x:v>FT-SEED-R1B-P-1842-10</x:v>
      </x:c>
      <x:c r="B14" s="19" t="str">
        <x:v>1842</x:v>
      </x:c>
      <x:c r="C14" s="25" t="n">
        <x:v>10</x:v>
      </x:c>
      <x:c r="D14" s="31" t="str">
        <x:v>dry bulb thermometer</x:v>
      </x:c>
      <x:c r="E14" s="31" t="str">
        <x:v>INTERNET_ARCHIVE_METADATA_TEXT_ITEM_COUNT</x:v>
      </x:c>
      <x:c r="F14" s="46" t="str">
        <x:v>INTERNET_ARCHIVE_ADVANCEDSEARCH_NUMFOUND</x:v>
      </x:c>
      <x:c r="G14" s="19" t="str">
        <x:v>"dry bulb thermometer" AND mediatype:texts</x:v>
      </x:c>
      <x:c r="H14" s="19" t="str">
        <x:v>PHRASE_METADATA_SEARCH</x:v>
      </x:c>
      <x:c r="I14" s="31" t="str">
        <x:v>EXACT_PHRASE</x:v>
      </x:c>
      <x:c r="J14" s="25" t="n">
        <x:v>2</x:v>
      </x:c>
      <x:c r="K14" s="25" t="n">
        <x:v>0</x:v>
      </x:c>
      <x:c r="L14" s="25" t="n">
        <x:v>0</x:v>
      </x:c>
      <x:c r="M14" s="31" t="str">
        <x:v>COMPLETED_NONZERO</x:v>
      </x:c>
      <x:c r="N14" s="19" t="str">
        <x:v>2026-08-26</x:v>
      </x:c>
      <x:c r="O14" s="31" t="str">
        <x:v>https://archive.org/advancedsearch.php</x:v>
      </x:c>
      <x:c r="P14" s="31" t="str">
        <x:v>Metadata text-item count; not a full-text lexical frequency. Secondary metric: NOT_RUN_OPENALEX_DAILY_BUDGET_EXHAUSTED: shared provider response retained; no count fabricated.</x:v>
      </x:c>
      <x:c r="Q14" s="31" t="str">
        <x:v>OPENALEX_WORK_COUNT</x:v>
      </x:c>
      <x:c r="R14" s="37" t="str">
        <x:v>NOT_APPLICABLE</x:v>
      </x:c>
    </x:row>
    <x:row r="15" ht="34" customHeight="1">
      <x:c r="A15" s="40" t="str">
        <x:v>FT-SEED-R1B-P-1842-11</x:v>
      </x:c>
      <x:c r="B15" s="19" t="str">
        <x:v>1842</x:v>
      </x:c>
      <x:c r="C15" s="25" t="n">
        <x:v>11</x:v>
      </x:c>
      <x:c r="D15" s="31" t="str">
        <x:v>wet bulb thermometer</x:v>
      </x:c>
      <x:c r="E15" s="31" t="str">
        <x:v>INTERNET_ARCHIVE_METADATA_TEXT_ITEM_COUNT</x:v>
      </x:c>
      <x:c r="F15" s="46" t="str">
        <x:v>INTERNET_ARCHIVE_ADVANCEDSEARCH_NUMFOUND</x:v>
      </x:c>
      <x:c r="G15" s="19" t="str">
        <x:v>"wet bulb thermometer" AND mediatype:texts</x:v>
      </x:c>
      <x:c r="H15" s="19" t="str">
        <x:v>PHRASE_METADATA_SEARCH</x:v>
      </x:c>
      <x:c r="I15" s="31" t="str">
        <x:v>EXACT_PHRASE</x:v>
      </x:c>
      <x:c r="J15" s="25" t="n">
        <x:v>7</x:v>
      </x:c>
      <x:c r="K15" s="25" t="n">
        <x:v>0</x:v>
      </x:c>
      <x:c r="L15" s="25" t="n">
        <x:v>0</x:v>
      </x:c>
      <x:c r="M15" s="31" t="str">
        <x:v>COMPLETED_NONZERO</x:v>
      </x:c>
      <x:c r="N15" s="19" t="str">
        <x:v>2026-08-26</x:v>
      </x:c>
      <x:c r="O15" s="31" t="str">
        <x:v>https://archive.org/advancedsearch.php</x:v>
      </x:c>
      <x:c r="P15" s="31" t="str">
        <x:v>Metadata text-item count; not a full-text lexical frequency. Secondary metric: NOT_RUN_OPENALEX_DAILY_BUDGET_EXHAUSTED: shared provider response retained; no count fabricated.</x:v>
      </x:c>
      <x:c r="Q15" s="31" t="str">
        <x:v>OPENALEX_WORK_COUNT</x:v>
      </x:c>
      <x:c r="R15" s="37" t="str">
        <x:v>NOT_APPLICABLE</x:v>
      </x:c>
    </x:row>
    <x:row r="16" ht="34" customHeight="1">
      <x:c r="A16" s="40" t="str">
        <x:v>FT-SEED-R1B-P-1842-12</x:v>
      </x:c>
      <x:c r="B16" s="19" t="str">
        <x:v>1842</x:v>
      </x:c>
      <x:c r="C16" s="25" t="n">
        <x:v>12</x:v>
      </x:c>
      <x:c r="D16" s="31" t="str">
        <x:v>meteorological observations</x:v>
      </x:c>
      <x:c r="E16" s="31" t="str">
        <x:v>INTERNET_ARCHIVE_METADATA_TEXT_ITEM_COUNT</x:v>
      </x:c>
      <x:c r="F16" s="46" t="str">
        <x:v>INTERNET_ARCHIVE_ADVANCEDSEARCH_NUMFOUND</x:v>
      </x:c>
      <x:c r="G16" s="19" t="str">
        <x:v>"meteorological observations" AND mediatype:texts</x:v>
      </x:c>
      <x:c r="H16" s="19" t="str">
        <x:v>PHRASE_METADATA_SEARCH</x:v>
      </x:c>
      <x:c r="I16" s="31" t="str">
        <x:v>EXACT_PHRASE</x:v>
      </x:c>
      <x:c r="J16" s="25" t="n">
        <x:v>1458</x:v>
      </x:c>
      <x:c r="K16" s="25" t="n">
        <x:v>14</x:v>
      </x:c>
      <x:c r="L16" s="25" t="n">
        <x:v>94</x:v>
      </x:c>
      <x:c r="M16" s="31" t="str">
        <x:v>COMPLETED_NONZERO</x:v>
      </x:c>
      <x:c r="N16" s="19" t="str">
        <x:v>2026-08-26</x:v>
      </x:c>
      <x:c r="O16" s="31" t="str">
        <x:v>https://archive.org/advancedsearch.php</x:v>
      </x:c>
      <x:c r="P16" s="31" t="str">
        <x:v>Metadata text-item count; not a full-text lexical frequency. Secondary metric: NOT_RUN_OPENALEX_DAILY_BUDGET_EXHAUSTED: shared provider response retained; no count fabricated.</x:v>
      </x:c>
      <x:c r="Q16" s="31" t="str">
        <x:v>OPENALEX_WORK_COUNT</x:v>
      </x:c>
      <x:c r="R16" s="37" t="str">
        <x:v>NOT_APPLICABLE</x:v>
      </x:c>
    </x:row>
    <x:row r="17" ht="34" customHeight="1">
      <x:c r="A17" s="40" t="str">
        <x:v>FT-SEED-R1B-P-1842-13</x:v>
      </x:c>
      <x:c r="B17" s="19" t="str">
        <x:v>1842</x:v>
      </x:c>
      <x:c r="C17" s="25" t="n">
        <x:v>13</x:v>
      </x:c>
      <x:c r="D17" s="31" t="str">
        <x:v>meteorological journal</x:v>
      </x:c>
      <x:c r="E17" s="31" t="str">
        <x:v>INTERNET_ARCHIVE_METADATA_TEXT_ITEM_COUNT</x:v>
      </x:c>
      <x:c r="F17" s="46" t="str">
        <x:v>INTERNET_ARCHIVE_ADVANCEDSEARCH_NUMFOUND</x:v>
      </x:c>
      <x:c r="G17" s="19" t="str">
        <x:v>"meteorological journal" AND mediatype:texts</x:v>
      </x:c>
      <x:c r="H17" s="19" t="str">
        <x:v>PHRASE_METADATA_SEARCH</x:v>
      </x:c>
      <x:c r="I17" s="31" t="str">
        <x:v>EXACT_PHRASE</x:v>
      </x:c>
      <x:c r="J17" s="25" t="n">
        <x:v>411</x:v>
      </x:c>
      <x:c r="K17" s="25" t="n">
        <x:v>3</x:v>
      </x:c>
      <x:c r="L17" s="25" t="n">
        <x:v>19</x:v>
      </x:c>
      <x:c r="M17" s="31" t="str">
        <x:v>COMPLETED_NONZERO</x:v>
      </x:c>
      <x:c r="N17" s="19" t="str">
        <x:v>2026-08-26</x:v>
      </x:c>
      <x:c r="O17" s="31" t="str">
        <x:v>https://archive.org/advancedsearch.php</x:v>
      </x:c>
      <x:c r="P17" s="31" t="str">
        <x:v>Metadata text-item count; not a full-text lexical frequency. Secondary metric: NOT_RUN_OPENALEX_DAILY_BUDGET_EXHAUSTED: shared provider response retained; no count fabricated.</x:v>
      </x:c>
      <x:c r="Q17" s="31" t="str">
        <x:v>OPENALEX_WORK_COUNT</x:v>
      </x:c>
      <x:c r="R17" s="37" t="str">
        <x:v>NOT_APPLICABLE</x:v>
      </x:c>
    </x:row>
    <x:row r="18" ht="34" customHeight="1">
      <x:c r="A18" s="40" t="str">
        <x:v>FT-SEED-R1B-P-1842-14</x:v>
      </x:c>
      <x:c r="B18" s="19" t="str">
        <x:v>1842</x:v>
      </x:c>
      <x:c r="C18" s="25" t="n">
        <x:v>14</x:v>
      </x:c>
      <x:c r="D18" s="31" t="str">
        <x:v>weather</x:v>
      </x:c>
      <x:c r="E18" s="31" t="str">
        <x:v>INTERNET_ARCHIVE_METADATA_TEXT_ITEM_COUNT</x:v>
      </x:c>
      <x:c r="F18" s="46" t="str">
        <x:v>INTERNET_ARCHIVE_ADVANCEDSEARCH_NUMFOUND</x:v>
      </x:c>
      <x:c r="G18" s="19" t="str">
        <x:v>"weather" AND mediatype:texts</x:v>
      </x:c>
      <x:c r="H18" s="19" t="str">
        <x:v>PHRASE_METADATA_SEARCH</x:v>
      </x:c>
      <x:c r="I18" s="31" t="str">
        <x:v>EXACT_PHRASE</x:v>
      </x:c>
      <x:c r="J18" s="25" t="n">
        <x:v>67834</x:v>
      </x:c>
      <x:c r="K18" s="25" t="n">
        <x:v>18</x:v>
      </x:c>
      <x:c r="L18" s="25" t="n">
        <x:v>123</x:v>
      </x:c>
      <x:c r="M18" s="31" t="str">
        <x:v>COMPLETED_NONZERO</x:v>
      </x:c>
      <x:c r="N18" s="19" t="str">
        <x:v>2026-08-26</x:v>
      </x:c>
      <x:c r="O18" s="31" t="str">
        <x:v>https://archive.org/advancedsearch.php</x:v>
      </x:c>
      <x:c r="P18" s="31" t="str">
        <x:v>Metadata text-item count; not a full-text lexical frequency. Secondary metric: NOT_RUN_OPENALEX_DAILY_BUDGET_EXHAUSTED: shared provider response retained; no count fabricated.</x:v>
      </x:c>
      <x:c r="Q18" s="31" t="str">
        <x:v>OPENALEX_WORK_COUNT</x:v>
      </x:c>
      <x:c r="R18" s="37" t="str">
        <x:v>NOT_APPLICABLE</x:v>
      </x:c>
    </x:row>
    <x:row r="19" ht="34" customHeight="1">
      <x:c r="A19" s="40" t="str">
        <x:v>FT-SEED-R1B-P-1842-15</x:v>
      </x:c>
      <x:c r="B19" s="19" t="str">
        <x:v>1842</x:v>
      </x:c>
      <x:c r="C19" s="25" t="n">
        <x:v>15</x:v>
      </x:c>
      <x:c r="D19" s="31" t="str">
        <x:v>climate</x:v>
      </x:c>
      <x:c r="E19" s="31" t="str">
        <x:v>INTERNET_ARCHIVE_METADATA_TEXT_ITEM_COUNT</x:v>
      </x:c>
      <x:c r="F19" s="46" t="str">
        <x:v>INTERNET_ARCHIVE_ADVANCEDSEARCH_NUMFOUND</x:v>
      </x:c>
      <x:c r="G19" s="19" t="str">
        <x:v>"climate" AND mediatype:texts</x:v>
      </x:c>
      <x:c r="H19" s="19" t="str">
        <x:v>PHRASE_METADATA_SEARCH</x:v>
      </x:c>
      <x:c r="I19" s="31" t="str">
        <x:v>EXACT_PHRASE</x:v>
      </x:c>
      <x:c r="J19" s="25" t="n">
        <x:v>76386</x:v>
      </x:c>
      <x:c r="K19" s="25" t="n">
        <x:v>21</x:v>
      </x:c>
      <x:c r="L19" s="25" t="n">
        <x:v>140</x:v>
      </x:c>
      <x:c r="M19" s="31" t="str">
        <x:v>COMPLETED_NONZERO</x:v>
      </x:c>
      <x:c r="N19" s="19" t="str">
        <x:v>2026-08-26</x:v>
      </x:c>
      <x:c r="O19" s="31" t="str">
        <x:v>https://archive.org/advancedsearch.php</x:v>
      </x:c>
      <x:c r="P19" s="31" t="str">
        <x:v>Metadata text-item count; not a full-text lexical frequency. Secondary metric: Scholarly work discoverability count over OpenAlex search fields; not a corpus word frequency.</x:v>
      </x:c>
      <x:c r="Q19" s="31" t="str">
        <x:v>OPENALEX_WORK_COUNT</x:v>
      </x:c>
      <x:c r="R19" s="37" t="n">
        <x:v>5536434</x:v>
      </x:c>
    </x:row>
    <x:row r="20" ht="34" customHeight="1">
      <x:c r="A20" s="40" t="str">
        <x:v>FT-SEED-R1B-P-1842-16</x:v>
      </x:c>
      <x:c r="B20" s="19" t="str">
        <x:v>1842</x:v>
      </x:c>
      <x:c r="C20" s="25" t="n">
        <x:v>16</x:v>
      </x:c>
      <x:c r="D20" s="31" t="str">
        <x:v>sun's heat</x:v>
      </x:c>
      <x:c r="E20" s="31" t="str">
        <x:v>INTERNET_ARCHIVE_METADATA_TEXT_ITEM_COUNT</x:v>
      </x:c>
      <x:c r="F20" s="46" t="str">
        <x:v>INTERNET_ARCHIVE_ADVANCEDSEARCH_NUMFOUND</x:v>
      </x:c>
      <x:c r="G20" s="19" t="str">
        <x:v>"sun's heat" AND mediatype:texts</x:v>
      </x:c>
      <x:c r="H20" s="19" t="str">
        <x:v>PHRASE_METADATA_SEARCH</x:v>
      </x:c>
      <x:c r="I20" s="31" t="str">
        <x:v>EXACT_PHRASE</x:v>
      </x:c>
      <x:c r="J20" s="25" t="n">
        <x:v>42</x:v>
      </x:c>
      <x:c r="K20" s="25" t="n">
        <x:v>0</x:v>
      </x:c>
      <x:c r="L20" s="25" t="n">
        <x:v>0</x:v>
      </x:c>
      <x:c r="M20" s="31" t="str">
        <x:v>COMPLETED_NONZERO</x:v>
      </x:c>
      <x:c r="N20" s="19" t="str">
        <x:v>2026-08-26</x:v>
      </x:c>
      <x:c r="O20" s="31" t="str">
        <x:v>https://archive.org/advancedsearch.php</x:v>
      </x:c>
      <x:c r="P20" s="31" t="str">
        <x:v>Metadata text-item count; not a full-text lexical frequency. Secondary metric: NOT_RUN_OPENALEX_DAILY_BUDGET_EXHAUSTED: shared provider response retained; no count fabricated.</x:v>
      </x:c>
      <x:c r="Q20" s="31" t="str">
        <x:v>OPENALEX_WORK_COUNT</x:v>
      </x:c>
      <x:c r="R20" s="37" t="str">
        <x:v>NOT_APPLICABLE</x:v>
      </x:c>
    </x:row>
    <x:row r="21" ht="34" customHeight="1">
      <x:c r="A21" s="40" t="str">
        <x:v>FT-SEED-R1B-P-1842-17</x:v>
      </x:c>
      <x:c r="B21" s="19" t="str">
        <x:v>1842</x:v>
      </x:c>
      <x:c r="C21" s="25" t="n">
        <x:v>17</x:v>
      </x:c>
      <x:c r="D21" s="31" t="str">
        <x:v>radiation of the heat</x:v>
      </x:c>
      <x:c r="E21" s="31" t="str">
        <x:v>INTERNET_ARCHIVE_METADATA_TEXT_ITEM_COUNT</x:v>
      </x:c>
      <x:c r="F21" s="46" t="str">
        <x:v>INTERNET_ARCHIVE_ADVANCEDSEARCH_NUMFOUND</x:v>
      </x:c>
      <x:c r="G21" s="19" t="str">
        <x:v>"radiation of the heat" AND mediatype:texts</x:v>
      </x:c>
      <x:c r="H21" s="19" t="str">
        <x:v>PHRASE_METADATA_SEARCH</x:v>
      </x:c>
      <x:c r="I21" s="31" t="str">
        <x:v>EXACT_PHRASE</x:v>
      </x:c>
      <x:c r="J21" s="25" t="n">
        <x:v>1</x:v>
      </x:c>
      <x:c r="K21" s="25" t="n">
        <x:v>0</x:v>
      </x:c>
      <x:c r="L21" s="25" t="n">
        <x:v>0</x:v>
      </x:c>
      <x:c r="M21" s="31" t="str">
        <x:v>COMPLETED_NONZERO</x:v>
      </x:c>
      <x:c r="N21" s="19" t="str">
        <x:v>2026-08-26</x:v>
      </x:c>
      <x:c r="O21" s="31" t="str">
        <x:v>https://archive.org/advancedsearch.php</x:v>
      </x:c>
      <x:c r="P21" s="31" t="str">
        <x:v>Metadata text-item count; not a full-text lexical frequency. Secondary metric: NOT_RUN_OPENALEX_DAILY_BUDGET_EXHAUSTED: shared provider response retained; no count fabricated.</x:v>
      </x:c>
      <x:c r="Q21" s="31" t="str">
        <x:v>OPENALEX_WORK_COUNT</x:v>
      </x:c>
      <x:c r="R21" s="37" t="str">
        <x:v>NOT_APPLICABLE</x:v>
      </x:c>
    </x:row>
    <x:row r="22" ht="34" customHeight="1">
      <x:c r="A22" s="40" t="str">
        <x:v>FT-SEED-R1B-P-1842-18</x:v>
      </x:c>
      <x:c r="B22" s="19" t="str">
        <x:v>1842</x:v>
      </x:c>
      <x:c r="C22" s="25" t="n">
        <x:v>18</x:v>
      </x:c>
      <x:c r="D22" s="31" t="str">
        <x:v>changes of temperature</x:v>
      </x:c>
      <x:c r="E22" s="31" t="str">
        <x:v>INTERNET_ARCHIVE_METADATA_TEXT_ITEM_COUNT</x:v>
      </x:c>
      <x:c r="F22" s="46" t="str">
        <x:v>INTERNET_ARCHIVE_ADVANCEDSEARCH_NUMFOUND</x:v>
      </x:c>
      <x:c r="G22" s="19" t="str">
        <x:v>"changes of temperature" AND mediatype:texts</x:v>
      </x:c>
      <x:c r="H22" s="19" t="str">
        <x:v>PHRASE_METADATA_SEARCH</x:v>
      </x:c>
      <x:c r="I22" s="31" t="str">
        <x:v>EXACT_PHRASE</x:v>
      </x:c>
      <x:c r="J22" s="25" t="n">
        <x:v>75</x:v>
      </x:c>
      <x:c r="K22" s="25" t="n">
        <x:v>0</x:v>
      </x:c>
      <x:c r="L22" s="25" t="n">
        <x:v>4</x:v>
      </x:c>
      <x:c r="M22" s="31" t="str">
        <x:v>COMPLETED_NONZERO</x:v>
      </x:c>
      <x:c r="N22" s="19" t="str">
        <x:v>2026-08-26</x:v>
      </x:c>
      <x:c r="O22" s="31" t="str">
        <x:v>https://archive.org/advancedsearch.php</x:v>
      </x:c>
      <x:c r="P22" s="31" t="str">
        <x:v>Metadata text-item count; not a full-text lexical frequency. Secondary metric: Scholarly work discoverability count over OpenAlex search fields; not a corpus word frequency.</x:v>
      </x:c>
      <x:c r="Q22" s="31" t="str">
        <x:v>OPENALEX_WORK_COUNT</x:v>
      </x:c>
      <x:c r="R22" s="37" t="n">
        <x:v>12037</x:v>
      </x:c>
    </x:row>
    <x:row r="23" ht="34" customHeight="1">
      <x:c r="A23" s="40" t="str">
        <x:v>FT-SEED-R1B-P-1842-19</x:v>
      </x:c>
      <x:c r="B23" s="19" t="str">
        <x:v>1842</x:v>
      </x:c>
      <x:c r="C23" s="25" t="n">
        <x:v>19</x:v>
      </x:c>
      <x:c r="D23" s="31" t="str">
        <x:v>excessive heat</x:v>
      </x:c>
      <x:c r="E23" s="31" t="str">
        <x:v>INTERNET_ARCHIVE_METADATA_TEXT_ITEM_COUNT</x:v>
      </x:c>
      <x:c r="F23" s="46" t="str">
        <x:v>INTERNET_ARCHIVE_ADVANCEDSEARCH_NUMFOUND</x:v>
      </x:c>
      <x:c r="G23" s="19" t="str">
        <x:v>"excessive heat" AND mediatype:texts</x:v>
      </x:c>
      <x:c r="H23" s="19" t="str">
        <x:v>PHRASE_METADATA_SEARCH</x:v>
      </x:c>
      <x:c r="I23" s="31" t="str">
        <x:v>EXACT_PHRASE</x:v>
      </x:c>
      <x:c r="J23" s="25" t="n">
        <x:v>165</x:v>
      </x:c>
      <x:c r="K23" s="25" t="n">
        <x:v>0</x:v>
      </x:c>
      <x:c r="L23" s="25" t="n">
        <x:v>0</x:v>
      </x:c>
      <x:c r="M23" s="31" t="str">
        <x:v>COMPLETED_NONZERO</x:v>
      </x:c>
      <x:c r="N23" s="19" t="str">
        <x:v>2026-08-26</x:v>
      </x:c>
      <x:c r="O23" s="31" t="str">
        <x:v>https://archive.org/advancedsearch.php</x:v>
      </x:c>
      <x:c r="P23" s="31" t="str">
        <x:v>Metadata text-item count; not a full-text lexical frequency. Secondary metric: NOT_RUN_OPENALEX_DAILY_BUDGET_EXHAUSTED: shared provider response retained; no count fabricated.</x:v>
      </x:c>
      <x:c r="Q23" s="31" t="str">
        <x:v>OPENALEX_WORK_COUNT</x:v>
      </x:c>
      <x:c r="R23" s="37" t="str">
        <x:v>NOT_APPLICABLE</x:v>
      </x:c>
    </x:row>
    <x:row r="24" ht="34" customHeight="1">
      <x:c r="A24" s="40" t="str">
        <x:v>FT-SEED-R1B-P-1842-20</x:v>
      </x:c>
      <x:c r="B24" s="19" t="str">
        <x:v>1842</x:v>
      </x:c>
      <x:c r="C24" s="25" t="n">
        <x:v>20</x:v>
      </x:c>
      <x:c r="D24" s="31" t="str">
        <x:v>heat of the men</x:v>
      </x:c>
      <x:c r="E24" s="31" t="str">
        <x:v>INTERNET_ARCHIVE_METADATA_TEXT_ITEM_COUNT</x:v>
      </x:c>
      <x:c r="F24" s="46" t="str">
        <x:v>INTERNET_ARCHIVE_ADVANCEDSEARCH_NUMFOUND</x:v>
      </x:c>
      <x:c r="G24" s="19" t="str">
        <x:v>"heat of the men" AND mediatype:texts</x:v>
      </x:c>
      <x:c r="H24" s="19" t="str">
        <x:v>PHRASE_METADATA_SEARCH</x:v>
      </x:c>
      <x:c r="I24" s="31" t="str">
        <x:v>EXACT_PHRASE</x:v>
      </x:c>
      <x:c r="J24" s="25" t="n">
        <x:v>0</x:v>
      </x:c>
      <x:c r="K24" s="25" t="n">
        <x:v>0</x:v>
      </x:c>
      <x:c r="L24" s="25" t="n">
        <x:v>0</x:v>
      </x:c>
      <x:c r="M24" s="31" t="str">
        <x:v>COMPLETED_ZERO</x:v>
      </x:c>
      <x:c r="N24" s="19" t="str">
        <x:v>2026-08-26</x:v>
      </x:c>
      <x:c r="O24" s="31" t="str">
        <x:v>https://archive.org/advancedsearch.php</x:v>
      </x:c>
      <x:c r="P24" s="31" t="str">
        <x:v>Metadata text-item count; not a full-text lexical frequency. Secondary metric: NOT_RUN_OPENALEX_DAILY_BUDGET_EXHAUSTED: shared provider response retained; no count fabricated.</x:v>
      </x:c>
      <x:c r="Q24" s="31" t="str">
        <x:v>OPENALEX_WORK_COUNT</x:v>
      </x:c>
      <x:c r="R24" s="37" t="str">
        <x:v>NOT_APPLICABLE</x:v>
      </x:c>
    </x:row>
    <x:row r="25" ht="34" customHeight="1">
      <x:c r="A25" s="40" t="str">
        <x:v>FT-SEED-R1B-P-1842-21</x:v>
      </x:c>
      <x:c r="B25" s="19" t="str">
        <x:v>1842</x:v>
      </x:c>
      <x:c r="C25" s="25" t="n">
        <x:v>21</x:v>
      </x:c>
      <x:c r="D25" s="31" t="str">
        <x:v>heat of the irons</x:v>
      </x:c>
      <x:c r="E25" s="31" t="str">
        <x:v>INTERNET_ARCHIVE_METADATA_TEXT_ITEM_COUNT</x:v>
      </x:c>
      <x:c r="F25" s="46" t="str">
        <x:v>INTERNET_ARCHIVE_ADVANCEDSEARCH_NUMFOUND</x:v>
      </x:c>
      <x:c r="G25" s="19" t="str">
        <x:v>"heat of the irons" AND mediatype:texts</x:v>
      </x:c>
      <x:c r="H25" s="19" t="str">
        <x:v>PHRASE_METADATA_SEARCH</x:v>
      </x:c>
      <x:c r="I25" s="31" t="str">
        <x:v>EXACT_PHRASE</x:v>
      </x:c>
      <x:c r="J25" s="25" t="n">
        <x:v>0</x:v>
      </x:c>
      <x:c r="K25" s="25" t="n">
        <x:v>0</x:v>
      </x:c>
      <x:c r="L25" s="25" t="n">
        <x:v>0</x:v>
      </x:c>
      <x:c r="M25" s="31" t="str">
        <x:v>COMPLETED_ZERO</x:v>
      </x:c>
      <x:c r="N25" s="19" t="str">
        <x:v>2026-08-26</x:v>
      </x:c>
      <x:c r="O25" s="31" t="str">
        <x:v>https://archive.org/advancedsearch.php</x:v>
      </x:c>
      <x:c r="P25" s="31" t="str">
        <x:v>Metadata text-item count; not a full-text lexical frequency. Secondary metric: NOT_RUN_OPENALEX_DAILY_BUDGET_EXHAUSTED: shared provider response retained; no count fabricated.</x:v>
      </x:c>
      <x:c r="Q25" s="31" t="str">
        <x:v>OPENALEX_WORK_COUNT</x:v>
      </x:c>
      <x:c r="R25" s="37" t="str">
        <x:v>NOT_APPLICABLE</x:v>
      </x:c>
    </x:row>
    <x:row r="26" ht="34" customHeight="1">
      <x:c r="A26" s="40" t="str">
        <x:v>FT-SEED-R1B-P-1842-22</x:v>
      </x:c>
      <x:c r="B26" s="19" t="str">
        <x:v>1842</x:v>
      </x:c>
      <x:c r="C26" s="25" t="n">
        <x:v>22</x:v>
      </x:c>
      <x:c r="D26" s="31" t="str">
        <x:v>most suffocating</x:v>
      </x:c>
      <x:c r="E26" s="31" t="str">
        <x:v>INTERNET_ARCHIVE_METADATA_TEXT_ITEM_COUNT</x:v>
      </x:c>
      <x:c r="F26" s="46" t="str">
        <x:v>INTERNET_ARCHIVE_ADVANCEDSEARCH_NUMFOUND</x:v>
      </x:c>
      <x:c r="G26" s="19" t="str">
        <x:v>"most suffocating" AND mediatype:texts</x:v>
      </x:c>
      <x:c r="H26" s="19" t="str">
        <x:v>PHRASE_METADATA_SEARCH</x:v>
      </x:c>
      <x:c r="I26" s="31" t="str">
        <x:v>EXACT_PHRASE</x:v>
      </x:c>
      <x:c r="J26" s="25" t="n">
        <x:v>0</x:v>
      </x:c>
      <x:c r="K26" s="25" t="n">
        <x:v>0</x:v>
      </x:c>
      <x:c r="L26" s="25" t="n">
        <x:v>0</x:v>
      </x:c>
      <x:c r="M26" s="31" t="str">
        <x:v>COMPLETED_ZERO</x:v>
      </x:c>
      <x:c r="N26" s="19" t="str">
        <x:v>2026-08-26</x:v>
      </x:c>
      <x:c r="O26" s="31" t="str">
        <x:v>https://archive.org/advancedsearch.php</x:v>
      </x:c>
      <x:c r="P26" s="31" t="str">
        <x:v>Metadata text-item count; not a full-text lexical frequency. Secondary metric: NOT_RUN_OPENALEX_DAILY_BUDGET_EXHAUSTED: shared provider response retained; no count fabricated.</x:v>
      </x:c>
      <x:c r="Q26" s="31" t="str">
        <x:v>OPENALEX_WORK_COUNT</x:v>
      </x:c>
      <x:c r="R26" s="37" t="str">
        <x:v>NOT_APPLICABLE</x:v>
      </x:c>
    </x:row>
    <x:row r="27" ht="34" customHeight="1">
      <x:c r="A27" s="40" t="str">
        <x:v>FT-SEED-R1B-P-1842-23</x:v>
      </x:c>
      <x:c r="B27" s="19" t="str">
        <x:v>1842</x:v>
      </x:c>
      <x:c r="C27" s="25" t="n">
        <x:v>23</x:v>
      </x:c>
      <x:c r="D27" s="31" t="str">
        <x:v>faint away</x:v>
      </x:c>
      <x:c r="E27" s="31" t="str">
        <x:v>INTERNET_ARCHIVE_METADATA_TEXT_ITEM_COUNT</x:v>
      </x:c>
      <x:c r="F27" s="46" t="str">
        <x:v>INTERNET_ARCHIVE_ADVANCEDSEARCH_NUMFOUND</x:v>
      </x:c>
      <x:c r="G27" s="19" t="str">
        <x:v>"faint away" AND mediatype:texts</x:v>
      </x:c>
      <x:c r="H27" s="19" t="str">
        <x:v>PHRASE_METADATA_SEARCH</x:v>
      </x:c>
      <x:c r="I27" s="31" t="str">
        <x:v>EXACT_PHRASE</x:v>
      </x:c>
      <x:c r="J27" s="25" t="n">
        <x:v>2</x:v>
      </x:c>
      <x:c r="K27" s="25" t="n">
        <x:v>0</x:v>
      </x:c>
      <x:c r="L27" s="25" t="n">
        <x:v>0</x:v>
      </x:c>
      <x:c r="M27" s="31" t="str">
        <x:v>COMPLETED_NONZERO</x:v>
      </x:c>
      <x:c r="N27" s="19" t="str">
        <x:v>2026-08-26</x:v>
      </x:c>
      <x:c r="O27" s="31" t="str">
        <x:v>https://archive.org/advancedsearch.php</x:v>
      </x:c>
      <x:c r="P27" s="31" t="str">
        <x:v>Metadata text-item count; not a full-text lexical frequency. Secondary metric: NOT_RUN_OPENALEX_DAILY_BUDGET_EXHAUSTED: shared provider response retained; no count fabricated.</x:v>
      </x:c>
      <x:c r="Q27" s="31" t="str">
        <x:v>OPENALEX_WORK_COUNT</x:v>
      </x:c>
      <x:c r="R27" s="37" t="str">
        <x:v>NOT_APPLICABLE</x:v>
      </x:c>
    </x:row>
    <x:row r="28" ht="34" customHeight="1">
      <x:c r="A28" s="40" t="str">
        <x:v>FT-SEED-R1B-P-1842-24</x:v>
      </x:c>
      <x:c r="B28" s="19" t="str">
        <x:v>1842</x:v>
      </x:c>
      <x:c r="C28" s="25" t="n">
        <x:v>24</x:v>
      </x:c>
      <x:c r="D28" s="31" t="str">
        <x:v>perspiration</x:v>
      </x:c>
      <x:c r="E28" s="31" t="str">
        <x:v>INTERNET_ARCHIVE_METADATA_TEXT_ITEM_COUNT</x:v>
      </x:c>
      <x:c r="F28" s="46" t="str">
        <x:v>INTERNET_ARCHIVE_ADVANCEDSEARCH_NUMFOUND</x:v>
      </x:c>
      <x:c r="G28" s="19" t="str">
        <x:v>"perspiration" AND mediatype:texts</x:v>
      </x:c>
      <x:c r="H28" s="19" t="str">
        <x:v>PHRASE_METADATA_SEARCH</x:v>
      </x:c>
      <x:c r="I28" s="31" t="str">
        <x:v>EXACT_PHRASE</x:v>
      </x:c>
      <x:c r="J28" s="25" t="n">
        <x:v>551</x:v>
      </x:c>
      <x:c r="K28" s="25" t="n">
        <x:v>0</x:v>
      </x:c>
      <x:c r="L28" s="25" t="n">
        <x:v>2</x:v>
      </x:c>
      <x:c r="M28" s="31" t="str">
        <x:v>COMPLETED_NONZERO</x:v>
      </x:c>
      <x:c r="N28" s="19" t="str">
        <x:v>2026-08-26</x:v>
      </x:c>
      <x:c r="O28" s="31" t="str">
        <x:v>https://archive.org/advancedsearch.php</x:v>
      </x:c>
      <x:c r="P28" s="31" t="str">
        <x:v>Metadata text-item count; not a full-text lexical frequency. Secondary metric: NOT_RUN_OPENALEX_DAILY_BUDGET_EXHAUSTED: shared provider response retained; no count fabricated.</x:v>
      </x:c>
      <x:c r="Q28" s="31" t="str">
        <x:v>OPENALEX_WORK_COUNT</x:v>
      </x:c>
      <x:c r="R28" s="37" t="str">
        <x:v>NOT_APPLICABLE</x:v>
      </x:c>
    </x:row>
    <x:row r="29" ht="34" customHeight="1">
      <x:c r="A29" s="40" t="str">
        <x:v>FT-SEED-R1B-P-1842-25</x:v>
      </x:c>
      <x:c r="B29" s="19" t="str">
        <x:v>1842</x:v>
      </x:c>
      <x:c r="C29" s="25" t="n">
        <x:v>25</x:v>
      </x:c>
      <x:c r="D29" s="31" t="str">
        <x:v>depressing effect</x:v>
      </x:c>
      <x:c r="E29" s="31" t="str">
        <x:v>INTERNET_ARCHIVE_METADATA_TEXT_ITEM_COUNT</x:v>
      </x:c>
      <x:c r="F29" s="46" t="str">
        <x:v>INTERNET_ARCHIVE_ADVANCEDSEARCH_NUMFOUND</x:v>
      </x:c>
      <x:c r="G29" s="19" t="str">
        <x:v>"depressing effect" AND mediatype:texts</x:v>
      </x:c>
      <x:c r="H29" s="19" t="str">
        <x:v>PHRASE_METADATA_SEARCH</x:v>
      </x:c>
      <x:c r="I29" s="31" t="str">
        <x:v>EXACT_PHRASE</x:v>
      </x:c>
      <x:c r="J29" s="25" t="n">
        <x:v>62</x:v>
      </x:c>
      <x:c r="K29" s="25" t="n">
        <x:v>0</x:v>
      </x:c>
      <x:c r="L29" s="25" t="n">
        <x:v>0</x:v>
      </x:c>
      <x:c r="M29" s="31" t="str">
        <x:v>COMPLETED_NONZERO</x:v>
      </x:c>
      <x:c r="N29" s="19" t="str">
        <x:v>2026-08-26</x:v>
      </x:c>
      <x:c r="O29" s="31" t="str">
        <x:v>https://archive.org/advancedsearch.php</x:v>
      </x:c>
      <x:c r="P29" s="31" t="str">
        <x:v>Metadata text-item count; not a full-text lexical frequency. Secondary metric: NOT_RUN_OPENALEX_DAILY_BUDGET_EXHAUSTED: shared provider response retained; no count fabricated.</x:v>
      </x:c>
      <x:c r="Q29" s="31" t="str">
        <x:v>OPENALEX_WORK_COUNT</x:v>
      </x:c>
      <x:c r="R29" s="37" t="str">
        <x:v>NOT_APPLICABLE</x:v>
      </x:c>
    </x:row>
    <x:row r="30" ht="34" customHeight="1">
      <x:c r="A30" s="40" t="str">
        <x:v>FT-SEED-R1B-P-1842-26</x:v>
      </x:c>
      <x:c r="B30" s="19" t="str">
        <x:v>1842</x:v>
      </x:c>
      <x:c r="C30" s="25" t="n">
        <x:v>26</x:v>
      </x:c>
      <x:c r="D30" s="31" t="str">
        <x:v>complain of the heat</x:v>
      </x:c>
      <x:c r="E30" s="31" t="str">
        <x:v>INTERNET_ARCHIVE_METADATA_TEXT_ITEM_COUNT</x:v>
      </x:c>
      <x:c r="F30" s="46" t="str">
        <x:v>INTERNET_ARCHIVE_ADVANCEDSEARCH_NUMFOUND</x:v>
      </x:c>
      <x:c r="G30" s="19" t="str">
        <x:v>"complain of the heat" AND mediatype:texts</x:v>
      </x:c>
      <x:c r="H30" s="19" t="str">
        <x:v>PHRASE_METADATA_SEARCH</x:v>
      </x:c>
      <x:c r="I30" s="31" t="str">
        <x:v>EXACT_PHRASE</x:v>
      </x:c>
      <x:c r="J30" s="25" t="n">
        <x:v>0</x:v>
      </x:c>
      <x:c r="K30" s="25" t="n">
        <x:v>0</x:v>
      </x:c>
      <x:c r="L30" s="25" t="n">
        <x:v>0</x:v>
      </x:c>
      <x:c r="M30" s="31" t="str">
        <x:v>COMPLETED_ZERO</x:v>
      </x:c>
      <x:c r="N30" s="19" t="str">
        <x:v>2026-08-26</x:v>
      </x:c>
      <x:c r="O30" s="31" t="str">
        <x:v>https://archive.org/advancedsearch.php</x:v>
      </x:c>
      <x:c r="P30" s="31" t="str">
        <x:v>Metadata text-item count; not a full-text lexical frequency. Secondary metric: Scholarly work discoverability count over OpenAlex search fields; not a corpus word frequency.</x:v>
      </x:c>
      <x:c r="Q30" s="31" t="str">
        <x:v>OPENALEX_WORK_COUNT</x:v>
      </x:c>
      <x:c r="R30" s="37" t="n">
        <x:v>9</x:v>
      </x:c>
    </x:row>
    <x:row r="31" ht="34" customHeight="1">
      <x:c r="A31" s="40" t="str">
        <x:v>FT-SEED-R1B-P-1842-27</x:v>
      </x:c>
      <x:c r="B31" s="19" t="str">
        <x:v>1842</x:v>
      </x:c>
      <x:c r="C31" s="25" t="n">
        <x:v>27</x:v>
      </x:c>
      <x:c r="D31" s="31" t="str">
        <x:v>premature heat of the weather</x:v>
      </x:c>
      <x:c r="E31" s="31" t="str">
        <x:v>INTERNET_ARCHIVE_METADATA_TEXT_ITEM_COUNT</x:v>
      </x:c>
      <x:c r="F31" s="46" t="str">
        <x:v>INTERNET_ARCHIVE_ADVANCEDSEARCH_NUMFOUND</x:v>
      </x:c>
      <x:c r="G31" s="19" t="str">
        <x:v>"premature heat of the weather" AND mediatype:texts</x:v>
      </x:c>
      <x:c r="H31" s="19" t="str">
        <x:v>PHRASE_METADATA_SEARCH</x:v>
      </x:c>
      <x:c r="I31" s="31" t="str">
        <x:v>EXACT_PHRASE</x:v>
      </x:c>
      <x:c r="J31" s="25" t="n">
        <x:v>0</x:v>
      </x:c>
      <x:c r="K31" s="25" t="n">
        <x:v>0</x:v>
      </x:c>
      <x:c r="L31" s="25" t="n">
        <x:v>0</x:v>
      </x:c>
      <x:c r="M31" s="31" t="str">
        <x:v>COMPLETED_ZERO</x:v>
      </x:c>
      <x:c r="N31" s="19" t="str">
        <x:v>2026-08-26</x:v>
      </x:c>
      <x:c r="O31" s="31" t="str">
        <x:v>https://archive.org/advancedsearch.php</x:v>
      </x:c>
      <x:c r="P31" s="31" t="str">
        <x:v>Metadata text-item count; not a full-text lexical frequency. Secondary metric: NOT_RUN_OPENALEX_DAILY_BUDGET_EXHAUSTED: shared provider response retained; no count fabricated.</x:v>
      </x:c>
      <x:c r="Q31" s="31" t="str">
        <x:v>OPENALEX_WORK_COUNT</x:v>
      </x:c>
      <x:c r="R31" s="37" t="str">
        <x:v>NOT_APPLICABLE</x:v>
      </x:c>
    </x:row>
    <x:row r="32" ht="34" customHeight="1">
      <x:c r="A32" s="40" t="str">
        <x:v>FT-SEED-R1B-P-1842-28</x:v>
      </x:c>
      <x:c r="B32" s="19" t="str">
        <x:v>1842</x:v>
      </x:c>
      <x:c r="C32" s="25" t="n">
        <x:v>28</x:v>
      </x:c>
      <x:c r="D32" s="31" t="str">
        <x:v>suffered more from cold than from heat</x:v>
      </x:c>
      <x:c r="E32" s="31" t="str">
        <x:v>INTERNET_ARCHIVE_METADATA_TEXT_ITEM_COUNT</x:v>
      </x:c>
      <x:c r="F32" s="46" t="str">
        <x:v>INTERNET_ARCHIVE_ADVANCEDSEARCH_NUMFOUND</x:v>
      </x:c>
      <x:c r="G32" s="19" t="str">
        <x:v>"suffered more from cold than from heat" AND mediatype:texts</x:v>
      </x:c>
      <x:c r="H32" s="19" t="str">
        <x:v>PHRASE_METADATA_SEARCH</x:v>
      </x:c>
      <x:c r="I32" s="31" t="str">
        <x:v>EXACT_PHRASE</x:v>
      </x:c>
      <x:c r="J32" s="25" t="n">
        <x:v>0</x:v>
      </x:c>
      <x:c r="K32" s="25" t="n">
        <x:v>0</x:v>
      </x:c>
      <x:c r="L32" s="25" t="n">
        <x:v>0</x:v>
      </x:c>
      <x:c r="M32" s="31" t="str">
        <x:v>COMPLETED_ZERO</x:v>
      </x:c>
      <x:c r="N32" s="19" t="str">
        <x:v>2026-08-26</x:v>
      </x:c>
      <x:c r="O32" s="31" t="str">
        <x:v>https://archive.org/advancedsearch.php</x:v>
      </x:c>
      <x:c r="P32" s="31" t="str">
        <x:v>Metadata text-item count; not a full-text lexical frequency. Secondary metric: NOT_RUN_OPENALEX_DAILY_BUDGET_EXHAUSTED: shared provider response retained; no count fabricated.</x:v>
      </x:c>
      <x:c r="Q32" s="31" t="str">
        <x:v>OPENALEX_WORK_COUNT</x:v>
      </x:c>
      <x:c r="R32" s="37" t="str">
        <x:v>NOT_APPLICABLE</x:v>
      </x:c>
    </x:row>
    <x:row r="33" ht="34" customHeight="1">
      <x:c r="A33" s="40" t="str">
        <x:v>FT-SEED-R1B-P-1842-29</x:v>
      </x:c>
      <x:c r="B33" s="19" t="str">
        <x:v>1842</x:v>
      </x:c>
      <x:c r="C33" s="25" t="n">
        <x:v>29</x:v>
      </x:c>
      <x:c r="D33" s="31" t="str">
        <x:v>sickness and mortality</x:v>
      </x:c>
      <x:c r="E33" s="31" t="str">
        <x:v>INTERNET_ARCHIVE_METADATA_TEXT_ITEM_COUNT</x:v>
      </x:c>
      <x:c r="F33" s="46" t="str">
        <x:v>INTERNET_ARCHIVE_ADVANCEDSEARCH_NUMFOUND</x:v>
      </x:c>
      <x:c r="G33" s="19" t="str">
        <x:v>"sickness and mortality" AND mediatype:texts</x:v>
      </x:c>
      <x:c r="H33" s="19" t="str">
        <x:v>PHRASE_METADATA_SEARCH</x:v>
      </x:c>
      <x:c r="I33" s="31" t="str">
        <x:v>EXACT_PHRASE</x:v>
      </x:c>
      <x:c r="J33" s="25" t="n">
        <x:v>73</x:v>
      </x:c>
      <x:c r="K33" s="25" t="n">
        <x:v>0</x:v>
      </x:c>
      <x:c r="L33" s="25" t="n">
        <x:v>18</x:v>
      </x:c>
      <x:c r="M33" s="31" t="str">
        <x:v>COMPLETED_NONZERO</x:v>
      </x:c>
      <x:c r="N33" s="19" t="str">
        <x:v>2026-08-26</x:v>
      </x:c>
      <x:c r="O33" s="31" t="str">
        <x:v>https://archive.org/advancedsearch.php</x:v>
      </x:c>
      <x:c r="P33" s="31" t="str">
        <x:v>Metadata text-item count; not a full-text lexical frequency. Secondary metric: NOT_RUN_OPENALEX_DAILY_BUDGET_EXHAUSTED: shared provider response retained; no count fabricated.</x:v>
      </x:c>
      <x:c r="Q33" s="31" t="str">
        <x:v>OPENALEX_WORK_COUNT</x:v>
      </x:c>
      <x:c r="R33" s="37" t="str">
        <x:v>NOT_APPLICABLE</x:v>
      </x:c>
    </x:row>
    <x:row r="34" ht="34" customHeight="1">
      <x:c r="A34" s="40" t="str">
        <x:v>FT-SEED-R1B-P-1842-30</x:v>
      </x:c>
      <x:c r="B34" s="19" t="str">
        <x:v>1842</x:v>
      </x:c>
      <x:c r="C34" s="25" t="n">
        <x:v>30</x:v>
      </x:c>
      <x:c r="D34" s="31" t="str">
        <x:v>alarm to the public</x:v>
      </x:c>
      <x:c r="E34" s="31" t="str">
        <x:v>INTERNET_ARCHIVE_METADATA_TEXT_ITEM_COUNT</x:v>
      </x:c>
      <x:c r="F34" s="46" t="str">
        <x:v>INTERNET_ARCHIVE_ADVANCEDSEARCH_NUMFOUND</x:v>
      </x:c>
      <x:c r="G34" s="19" t="str">
        <x:v>"alarm to the public" AND mediatype:texts</x:v>
      </x:c>
      <x:c r="H34" s="19" t="str">
        <x:v>PHRASE_METADATA_SEARCH</x:v>
      </x:c>
      <x:c r="I34" s="31" t="str">
        <x:v>EXACT_PHRASE</x:v>
      </x:c>
      <x:c r="J34" s="25" t="n">
        <x:v>3</x:v>
      </x:c>
      <x:c r="K34" s="25" t="n">
        <x:v>0</x:v>
      </x:c>
      <x:c r="L34" s="25" t="n">
        <x:v>0</x:v>
      </x:c>
      <x:c r="M34" s="31" t="str">
        <x:v>COMPLETED_NONZERO</x:v>
      </x:c>
      <x:c r="N34" s="19" t="str">
        <x:v>2026-08-26</x:v>
      </x:c>
      <x:c r="O34" s="31" t="str">
        <x:v>https://archive.org/advancedsearch.php</x:v>
      </x:c>
      <x:c r="P34" s="31" t="str">
        <x:v>Metadata text-item count; not a full-text lexical frequency. Secondary metric: Scholarly work discoverability count over OpenAlex search fields; not a corpus word frequency.</x:v>
      </x:c>
      <x:c r="Q34" s="31" t="str">
        <x:v>OPENALEX_WORK_COUNT</x:v>
      </x:c>
      <x:c r="R34" s="37" t="n">
        <x:v>110</x:v>
      </x:c>
    </x:row>
    <x:row r="35" ht="34" customHeight="1">
      <x:c r="A35" s="40" t="str">
        <x:v>FT-SEED-R1B-P-1938-01</x:v>
      </x:c>
      <x:c r="B35" s="19" t="str">
        <x:v>1938</x:v>
      </x:c>
      <x:c r="C35" s="25" t="n">
        <x:v>1</x:v>
      </x:c>
      <x:c r="D35" s="31" t="str">
        <x:v>artificial production of carbon dioxide</x:v>
      </x:c>
      <x:c r="E35" s="31" t="str">
        <x:v>INTERNET_ARCHIVE_METADATA_TEXT_ITEM_COUNT</x:v>
      </x:c>
      <x:c r="F35" s="46" t="str">
        <x:v>INTERNET_ARCHIVE_ADVANCEDSEARCH_NUMFOUND</x:v>
      </x:c>
      <x:c r="G35" s="19" t="str">
        <x:v>"artificial production of carbon dioxide" AND mediatype:texts</x:v>
      </x:c>
      <x:c r="H35" s="19" t="str">
        <x:v>PHRASE_METADATA_SEARCH</x:v>
      </x:c>
      <x:c r="I35" s="31" t="str">
        <x:v>EXACT_PHRASE</x:v>
      </x:c>
      <x:c r="J35" s="25" t="n">
        <x:v>0</x:v>
      </x:c>
      <x:c r="K35" s="25" t="n">
        <x:v>0</x:v>
      </x:c>
      <x:c r="L35" s="25" t="n">
        <x:v>0</x:v>
      </x:c>
      <x:c r="M35" s="31" t="str">
        <x:v>COMPLETED_ZERO</x:v>
      </x:c>
      <x:c r="N35" s="19" t="str">
        <x:v>2026-08-26</x:v>
      </x:c>
      <x:c r="O35" s="31" t="str">
        <x:v>https://archive.org/advancedsearch.php</x:v>
      </x:c>
      <x:c r="P35" s="31" t="str">
        <x:v>Metadata text-item count; not a full-text lexical frequency. Secondary metric: Scholarly work discoverability count over OpenAlex search fields; not a corpus word frequency.</x:v>
      </x:c>
      <x:c r="Q35" s="31" t="str">
        <x:v>OPENALEX_WORK_COUNT</x:v>
      </x:c>
      <x:c r="R35" s="37" t="n">
        <x:v>270</x:v>
      </x:c>
    </x:row>
    <x:row r="36" ht="34" customHeight="1">
      <x:c r="A36" s="40" t="str">
        <x:v>FT-SEED-R1B-P-1938-02</x:v>
      </x:c>
      <x:c r="B36" s="19" t="str">
        <x:v>1938</x:v>
      </x:c>
      <x:c r="C36" s="25" t="n">
        <x:v>2</x:v>
      </x:c>
      <x:c r="D36" s="31" t="str">
        <x:v>carbon dioxide</x:v>
      </x:c>
      <x:c r="E36" s="31" t="str">
        <x:v>INTERNET_ARCHIVE_METADATA_TEXT_ITEM_COUNT</x:v>
      </x:c>
      <x:c r="F36" s="46" t="str">
        <x:v>INTERNET_ARCHIVE_ADVANCEDSEARCH_NUMFOUND</x:v>
      </x:c>
      <x:c r="G36" s="19" t="str">
        <x:v>"carbon dioxide" AND mediatype:texts</x:v>
      </x:c>
      <x:c r="H36" s="19" t="str">
        <x:v>PHRASE_METADATA_SEARCH</x:v>
      </x:c>
      <x:c r="I36" s="31" t="str">
        <x:v>EXACT_PHRASE</x:v>
      </x:c>
      <x:c r="J36" s="25" t="n">
        <x:v>10042</x:v>
      </x:c>
      <x:c r="K36" s="25" t="n">
        <x:v>7</x:v>
      </x:c>
      <x:c r="L36" s="25" t="n">
        <x:v>29</x:v>
      </x:c>
      <x:c r="M36" s="31" t="str">
        <x:v>COMPLETED_NONZERO</x:v>
      </x:c>
      <x:c r="N36" s="19" t="str">
        <x:v>2026-08-26</x:v>
      </x:c>
      <x:c r="O36" s="31" t="str">
        <x:v>https://archive.org/advancedsearch.php</x:v>
      </x:c>
      <x:c r="P36" s="31" t="str">
        <x:v>Metadata text-item count; not a full-text lexical frequency. Secondary metric: Scholarly work discoverability count over OpenAlex search fields; not a corpus word frequency.</x:v>
      </x:c>
      <x:c r="Q36" s="31" t="str">
        <x:v>OPENALEX_WORK_COUNT</x:v>
      </x:c>
      <x:c r="R36" s="37" t="n">
        <x:v>1319347</x:v>
      </x:c>
    </x:row>
    <x:row r="37" ht="34" customHeight="1">
      <x:c r="A37" s="40" t="str">
        <x:v>FT-SEED-R1B-P-1938-03</x:v>
      </x:c>
      <x:c r="B37" s="19" t="str">
        <x:v>1938</x:v>
      </x:c>
      <x:c r="C37" s="25" t="n">
        <x:v>3</x:v>
      </x:c>
      <x:c r="D37" s="31" t="str">
        <x:v>fuel combustion</x:v>
      </x:c>
      <x:c r="E37" s="31" t="str">
        <x:v>INTERNET_ARCHIVE_METADATA_TEXT_ITEM_COUNT</x:v>
      </x:c>
      <x:c r="F37" s="46" t="str">
        <x:v>INTERNET_ARCHIVE_ADVANCEDSEARCH_NUMFOUND</x:v>
      </x:c>
      <x:c r="G37" s="19" t="str">
        <x:v>"fuel combustion" AND mediatype:texts</x:v>
      </x:c>
      <x:c r="H37" s="19" t="str">
        <x:v>PHRASE_METADATA_SEARCH</x:v>
      </x:c>
      <x:c r="I37" s="31" t="str">
        <x:v>EXACT_PHRASE</x:v>
      </x:c>
      <x:c r="J37" s="25" t="n">
        <x:v>660</x:v>
      </x:c>
      <x:c r="K37" s="25" t="n">
        <x:v>0</x:v>
      </x:c>
      <x:c r="L37" s="25" t="n">
        <x:v>0</x:v>
      </x:c>
      <x:c r="M37" s="31" t="str">
        <x:v>COMPLETED_NONZERO</x:v>
      </x:c>
      <x:c r="N37" s="19" t="str">
        <x:v>2026-08-26</x:v>
      </x:c>
      <x:c r="O37" s="31" t="str">
        <x:v>https://archive.org/advancedsearch.php</x:v>
      </x:c>
      <x:c r="P37" s="31" t="str">
        <x:v>Metadata text-item count; not a full-text lexical frequency. Secondary metric: NOT_RUN_OPENALEX_DAILY_BUDGET_EXHAUSTED: shared provider response retained; no count fabricated.</x:v>
      </x:c>
      <x:c r="Q37" s="31" t="str">
        <x:v>OPENALEX_WORK_COUNT</x:v>
      </x:c>
      <x:c r="R37" s="37" t="str">
        <x:v>NOT_APPLICABLE</x:v>
      </x:c>
    </x:row>
    <x:row r="38" ht="34" customHeight="1">
      <x:c r="A38" s="40" t="str">
        <x:v>FT-SEED-R1B-P-1938-04</x:v>
      </x:c>
      <x:c r="B38" s="19" t="str">
        <x:v>1938</x:v>
      </x:c>
      <x:c r="C38" s="25" t="n">
        <x:v>4</x:v>
      </x:c>
      <x:c r="D38" s="31" t="str">
        <x:v>air</x:v>
      </x:c>
      <x:c r="E38" s="31" t="str">
        <x:v>INTERNET_ARCHIVE_METADATA_TEXT_ITEM_COUNT</x:v>
      </x:c>
      <x:c r="F38" s="46" t="str">
        <x:v>INTERNET_ARCHIVE_ADVANCEDSEARCH_NUMFOUND</x:v>
      </x:c>
      <x:c r="G38" s="19" t="str">
        <x:v>"air" AND mediatype:texts</x:v>
      </x:c>
      <x:c r="H38" s="19" t="str">
        <x:v>PHRASE_METADATA_SEARCH</x:v>
      </x:c>
      <x:c r="I38" s="31" t="str">
        <x:v>EXACT_PHRASE</x:v>
      </x:c>
      <x:c r="J38" s="25" t="n">
        <x:v>406830</x:v>
      </x:c>
      <x:c r="K38" s="25" t="n">
        <x:v>1800</x:v>
      </x:c>
      <x:c r="L38" s="25" t="n">
        <x:v>8904</x:v>
      </x:c>
      <x:c r="M38" s="31" t="str">
        <x:v>COMPLETED_NONZERO</x:v>
      </x:c>
      <x:c r="N38" s="19" t="str">
        <x:v>2026-08-26</x:v>
      </x:c>
      <x:c r="O38" s="31" t="str">
        <x:v>https://archive.org/advancedsearch.php</x:v>
      </x:c>
      <x:c r="P38" s="31" t="str">
        <x:v>Metadata text-item count; not a full-text lexical frequency. Secondary metric: Scholarly work discoverability count over OpenAlex search fields; not a corpus word frequency.</x:v>
      </x:c>
      <x:c r="Q38" s="31" t="str">
        <x:v>OPENALEX_WORK_COUNT</x:v>
      </x:c>
      <x:c r="R38" s="37" t="n">
        <x:v>8872588</x:v>
      </x:c>
    </x:row>
    <x:row r="39" ht="34" customHeight="1">
      <x:c r="A39" s="40" t="str">
        <x:v>FT-SEED-R1B-P-1938-05</x:v>
      </x:c>
      <x:c r="B39" s="19" t="str">
        <x:v>1938</x:v>
      </x:c>
      <x:c r="C39" s="25" t="n">
        <x:v>5</x:v>
      </x:c>
      <x:c r="D39" s="31" t="str">
        <x:v>atmosphere</x:v>
      </x:c>
      <x:c r="E39" s="31" t="str">
        <x:v>INTERNET_ARCHIVE_METADATA_TEXT_ITEM_COUNT</x:v>
      </x:c>
      <x:c r="F39" s="46" t="str">
        <x:v>INTERNET_ARCHIVE_ADVANCEDSEARCH_NUMFOUND</x:v>
      </x:c>
      <x:c r="G39" s="19" t="str">
        <x:v>"atmosphere" AND mediatype:texts</x:v>
      </x:c>
      <x:c r="H39" s="19" t="str">
        <x:v>PHRASE_METADATA_SEARCH</x:v>
      </x:c>
      <x:c r="I39" s="31" t="str">
        <x:v>EXACT_PHRASE</x:v>
      </x:c>
      <x:c r="J39" s="25" t="n">
        <x:v>41908</x:v>
      </x:c>
      <x:c r="K39" s="25" t="n">
        <x:v>35</x:v>
      </x:c>
      <x:c r="L39" s="25" t="n">
        <x:v>186</x:v>
      </x:c>
      <x:c r="M39" s="31" t="str">
        <x:v>COMPLETED_NONZERO</x:v>
      </x:c>
      <x:c r="N39" s="19" t="str">
        <x:v>2026-08-26</x:v>
      </x:c>
      <x:c r="O39" s="31" t="str">
        <x:v>https://archive.org/advancedsearch.php</x:v>
      </x:c>
      <x:c r="P39" s="31" t="str">
        <x:v>Metadata text-item count; not a full-text lexical frequency. Secondary metric: Scholarly work discoverability count over OpenAlex search fields; not a corpus word frequency.</x:v>
      </x:c>
      <x:c r="Q39" s="31" t="str">
        <x:v>OPENALEX_WORK_COUNT</x:v>
      </x:c>
      <x:c r="R39" s="37" t="n">
        <x:v>3201156</x:v>
      </x:c>
    </x:row>
    <x:row r="40" ht="34" customHeight="1">
      <x:c r="A40" s="40" t="str">
        <x:v>FT-SEED-R1B-P-1938-06</x:v>
      </x:c>
      <x:c r="B40" s="19" t="str">
        <x:v>1938</x:v>
      </x:c>
      <x:c r="C40" s="25" t="n">
        <x:v>6</x:v>
      </x:c>
      <x:c r="D40" s="31" t="str">
        <x:v>radiation absorption coefficients</x:v>
      </x:c>
      <x:c r="E40" s="31" t="str">
        <x:v>INTERNET_ARCHIVE_METADATA_TEXT_ITEM_COUNT</x:v>
      </x:c>
      <x:c r="F40" s="46" t="str">
        <x:v>INTERNET_ARCHIVE_ADVANCEDSEARCH_NUMFOUND</x:v>
      </x:c>
      <x:c r="G40" s="19" t="str">
        <x:v>"radiation absorption coefficients" AND mediatype:texts</x:v>
      </x:c>
      <x:c r="H40" s="19" t="str">
        <x:v>PHRASE_METADATA_SEARCH</x:v>
      </x:c>
      <x:c r="I40" s="31" t="str">
        <x:v>EXACT_PHRASE</x:v>
      </x:c>
      <x:c r="J40" s="25" t="n">
        <x:v>20</x:v>
      </x:c>
      <x:c r="K40" s="25" t="n">
        <x:v>0</x:v>
      </x:c>
      <x:c r="L40" s="25" t="n">
        <x:v>0</x:v>
      </x:c>
      <x:c r="M40" s="31" t="str">
        <x:v>COMPLETED_NONZERO</x:v>
      </x:c>
      <x:c r="N40" s="19" t="str">
        <x:v>2026-08-26</x:v>
      </x:c>
      <x:c r="O40" s="31" t="str">
        <x:v>https://archive.org/advancedsearch.php</x:v>
      </x:c>
      <x:c r="P40" s="31" t="str">
        <x:v>Metadata text-item count; not a full-text lexical frequency. Secondary metric: NOT_RUN_OPENALEX_DAILY_BUDGET_EXHAUSTED: shared provider response retained; no count fabricated.</x:v>
      </x:c>
      <x:c r="Q40" s="31" t="str">
        <x:v>OPENALEX_WORK_COUNT</x:v>
      </x:c>
      <x:c r="R40" s="37" t="str">
        <x:v>NOT_APPLICABLE</x:v>
      </x:c>
    </x:row>
    <x:row r="41" ht="34" customHeight="1">
      <x:c r="A41" s="40" t="str">
        <x:v>FT-SEED-R1B-P-1938-07</x:v>
      </x:c>
      <x:c r="B41" s="19" t="str">
        <x:v>1938</x:v>
      </x:c>
      <x:c r="C41" s="25" t="n">
        <x:v>7</x:v>
      </x:c>
      <x:c r="D41" s="31" t="str">
        <x:v>water vapour</x:v>
      </x:c>
      <x:c r="E41" s="31" t="str">
        <x:v>INTERNET_ARCHIVE_METADATA_TEXT_ITEM_COUNT</x:v>
      </x:c>
      <x:c r="F41" s="46" t="str">
        <x:v>INTERNET_ARCHIVE_ADVANCEDSEARCH_NUMFOUND</x:v>
      </x:c>
      <x:c r="G41" s="19" t="str">
        <x:v>"water vapour" AND mediatype:texts</x:v>
      </x:c>
      <x:c r="H41" s="19" t="str">
        <x:v>PHRASE_METADATA_SEARCH</x:v>
      </x:c>
      <x:c r="I41" s="31" t="str">
        <x:v>EXACT_PHRASE</x:v>
      </x:c>
      <x:c r="J41" s="25" t="n">
        <x:v>371</x:v>
      </x:c>
      <x:c r="K41" s="25" t="n">
        <x:v>0</x:v>
      </x:c>
      <x:c r="L41" s="25" t="n">
        <x:v>0</x:v>
      </x:c>
      <x:c r="M41" s="31" t="str">
        <x:v>COMPLETED_NONZERO</x:v>
      </x:c>
      <x:c r="N41" s="19" t="str">
        <x:v>2026-08-26</x:v>
      </x:c>
      <x:c r="O41" s="31" t="str">
        <x:v>https://archive.org/advancedsearch.php</x:v>
      </x:c>
      <x:c r="P41" s="31" t="str">
        <x:v>Metadata text-item count; not a full-text lexical frequency. Secondary metric: NOT_RUN_OPENALEX_DAILY_BUDGET_EXHAUSTED: shared provider response retained; no count fabricated.</x:v>
      </x:c>
      <x:c r="Q41" s="31" t="str">
        <x:v>OPENALEX_WORK_COUNT</x:v>
      </x:c>
      <x:c r="R41" s="37" t="str">
        <x:v>NOT_APPLICABLE</x:v>
      </x:c>
    </x:row>
    <x:row r="42" ht="34" customHeight="1">
      <x:c r="A42" s="40" t="str">
        <x:v>FT-SEED-R1B-P-1938-08</x:v>
      </x:c>
      <x:c r="B42" s="19" t="str">
        <x:v>1938</x:v>
      </x:c>
      <x:c r="C42" s="25" t="n">
        <x:v>8</x:v>
      </x:c>
      <x:c r="D42" s="31" t="str">
        <x:v>sky radiation</x:v>
      </x:c>
      <x:c r="E42" s="31" t="str">
        <x:v>INTERNET_ARCHIVE_METADATA_TEXT_ITEM_COUNT</x:v>
      </x:c>
      <x:c r="F42" s="46" t="str">
        <x:v>INTERNET_ARCHIVE_ADVANCEDSEARCH_NUMFOUND</x:v>
      </x:c>
      <x:c r="G42" s="19" t="str">
        <x:v>"sky radiation" AND mediatype:texts</x:v>
      </x:c>
      <x:c r="H42" s="19" t="str">
        <x:v>PHRASE_METADATA_SEARCH</x:v>
      </x:c>
      <x:c r="I42" s="31" t="str">
        <x:v>EXACT_PHRASE</x:v>
      </x:c>
      <x:c r="J42" s="25" t="n">
        <x:v>78</x:v>
      </x:c>
      <x:c r="K42" s="25" t="n">
        <x:v>0</x:v>
      </x:c>
      <x:c r="L42" s="25" t="n">
        <x:v>0</x:v>
      </x:c>
      <x:c r="M42" s="31" t="str">
        <x:v>COMPLETED_NONZERO</x:v>
      </x:c>
      <x:c r="N42" s="19" t="str">
        <x:v>2026-08-26</x:v>
      </x:c>
      <x:c r="O42" s="31" t="str">
        <x:v>https://archive.org/advancedsearch.php</x:v>
      </x:c>
      <x:c r="P42" s="31" t="str">
        <x:v>Metadata text-item count; not a full-text lexical frequency. Secondary metric: NOT_RUN_OPENALEX_DAILY_BUDGET_EXHAUSTED: shared provider response retained; no count fabricated.</x:v>
      </x:c>
      <x:c r="Q42" s="31" t="str">
        <x:v>OPENALEX_WORK_COUNT</x:v>
      </x:c>
      <x:c r="R42" s="37" t="str">
        <x:v>NOT_APPLICABLE</x:v>
      </x:c>
    </x:row>
    <x:row r="43" ht="34" customHeight="1">
      <x:c r="A43" s="40" t="str">
        <x:v>FT-SEED-R1B-P-1938-09</x:v>
      </x:c>
      <x:c r="B43" s="19" t="str">
        <x:v>1938</x:v>
      </x:c>
      <x:c r="C43" s="25" t="n">
        <x:v>9</x:v>
      </x:c>
      <x:c r="D43" s="31" t="str">
        <x:v>increase in mean temperature</x:v>
      </x:c>
      <x:c r="E43" s="31" t="str">
        <x:v>INTERNET_ARCHIVE_METADATA_TEXT_ITEM_COUNT</x:v>
      </x:c>
      <x:c r="F43" s="46" t="str">
        <x:v>INTERNET_ARCHIVE_ADVANCEDSEARCH_NUMFOUND</x:v>
      </x:c>
      <x:c r="G43" s="19" t="str">
        <x:v>"increase in mean temperature" AND mediatype:texts</x:v>
      </x:c>
      <x:c r="H43" s="19" t="str">
        <x:v>PHRASE_METADATA_SEARCH</x:v>
      </x:c>
      <x:c r="I43" s="31" t="str">
        <x:v>EXACT_PHRASE</x:v>
      </x:c>
      <x:c r="J43" s="25" t="n">
        <x:v>6</x:v>
      </x:c>
      <x:c r="K43" s="25" t="n">
        <x:v>0</x:v>
      </x:c>
      <x:c r="L43" s="25" t="n">
        <x:v>0</x:v>
      </x:c>
      <x:c r="M43" s="31" t="str">
        <x:v>COMPLETED_NONZERO</x:v>
      </x:c>
      <x:c r="N43" s="19" t="str">
        <x:v>2026-08-26</x:v>
      </x:c>
      <x:c r="O43" s="31" t="str">
        <x:v>https://archive.org/advancedsearch.php</x:v>
      </x:c>
      <x:c r="P43" s="31" t="str">
        <x:v>Metadata text-item count; not a full-text lexical frequency. Secondary metric: NOT_RUN_OPENALEX_DAILY_BUDGET_EXHAUSTED: shared provider response retained; no count fabricated.</x:v>
      </x:c>
      <x:c r="Q43" s="31" t="str">
        <x:v>OPENALEX_WORK_COUNT</x:v>
      </x:c>
      <x:c r="R43" s="37" t="str">
        <x:v>NOT_APPLICABLE</x:v>
      </x:c>
    </x:row>
    <x:row r="44" ht="34" customHeight="1">
      <x:c r="A44" s="40" t="str">
        <x:v>FT-SEED-R1B-P-1938-10</x:v>
      </x:c>
      <x:c r="B44" s="19" t="str">
        <x:v>1938</x:v>
      </x:c>
      <x:c r="C44" s="25" t="n">
        <x:v>10</x:v>
      </x:c>
      <x:c r="D44" s="31" t="str">
        <x:v>mean temperature</x:v>
      </x:c>
      <x:c r="E44" s="31" t="str">
        <x:v>INTERNET_ARCHIVE_METADATA_TEXT_ITEM_COUNT</x:v>
      </x:c>
      <x:c r="F44" s="46" t="str">
        <x:v>INTERNET_ARCHIVE_ADVANCEDSEARCH_NUMFOUND</x:v>
      </x:c>
      <x:c r="G44" s="19" t="str">
        <x:v>"mean temperature" AND mediatype:texts</x:v>
      </x:c>
      <x:c r="H44" s="19" t="str">
        <x:v>PHRASE_METADATA_SEARCH</x:v>
      </x:c>
      <x:c r="I44" s="31" t="str">
        <x:v>EXACT_PHRASE</x:v>
      </x:c>
      <x:c r="J44" s="25" t="n">
        <x:v>664</x:v>
      </x:c>
      <x:c r="K44" s="25" t="n">
        <x:v>0</x:v>
      </x:c>
      <x:c r="L44" s="25" t="n">
        <x:v>4</x:v>
      </x:c>
      <x:c r="M44" s="31" t="str">
        <x:v>COMPLETED_NONZERO</x:v>
      </x:c>
      <x:c r="N44" s="19" t="str">
        <x:v>2026-08-26</x:v>
      </x:c>
      <x:c r="O44" s="31" t="str">
        <x:v>https://archive.org/advancedsearch.php</x:v>
      </x:c>
      <x:c r="P44" s="31" t="str">
        <x:v>Metadata text-item count; not a full-text lexical frequency. Secondary metric: NOT_RUN_OPENALEX_DAILY_BUDGET_EXHAUSTED: shared provider response retained; no count fabricated.</x:v>
      </x:c>
      <x:c r="Q44" s="31" t="str">
        <x:v>OPENALEX_WORK_COUNT</x:v>
      </x:c>
      <x:c r="R44" s="37" t="str">
        <x:v>NOT_APPLICABLE</x:v>
      </x:c>
    </x:row>
    <x:row r="45" ht="34" customHeight="1">
      <x:c r="A45" s="40" t="str">
        <x:v>FT-SEED-R1B-P-1938-11</x:v>
      </x:c>
      <x:c r="B45" s="19" t="str">
        <x:v>1938</x:v>
      </x:c>
      <x:c r="C45" s="25" t="n">
        <x:v>11</x:v>
      </x:c>
      <x:c r="D45" s="31" t="str">
        <x:v>temperature observations</x:v>
      </x:c>
      <x:c r="E45" s="31" t="str">
        <x:v>INTERNET_ARCHIVE_METADATA_TEXT_ITEM_COUNT</x:v>
      </x:c>
      <x:c r="F45" s="46" t="str">
        <x:v>INTERNET_ARCHIVE_ADVANCEDSEARCH_NUMFOUND</x:v>
      </x:c>
      <x:c r="G45" s="19" t="str">
        <x:v>"temperature observations" AND mediatype:texts</x:v>
      </x:c>
      <x:c r="H45" s="19" t="str">
        <x:v>PHRASE_METADATA_SEARCH</x:v>
      </x:c>
      <x:c r="I45" s="31" t="str">
        <x:v>EXACT_PHRASE</x:v>
      </x:c>
      <x:c r="J45" s="25" t="n">
        <x:v>141</x:v>
      </x:c>
      <x:c r="K45" s="25" t="n">
        <x:v>0</x:v>
      </x:c>
      <x:c r="L45" s="25" t="n">
        <x:v>0</x:v>
      </x:c>
      <x:c r="M45" s="31" t="str">
        <x:v>COMPLETED_NONZERO</x:v>
      </x:c>
      <x:c r="N45" s="19" t="str">
        <x:v>2026-08-26</x:v>
      </x:c>
      <x:c r="O45" s="31" t="str">
        <x:v>https://archive.org/advancedsearch.php</x:v>
      </x:c>
      <x:c r="P45" s="31" t="str">
        <x:v>Metadata text-item count; not a full-text lexical frequency. Secondary metric: NOT_RUN_OPENALEX_DAILY_BUDGET_EXHAUSTED: shared provider response retained; no count fabricated.</x:v>
      </x:c>
      <x:c r="Q45" s="31" t="str">
        <x:v>OPENALEX_WORK_COUNT</x:v>
      </x:c>
      <x:c r="R45" s="37" t="str">
        <x:v>NOT_APPLICABLE</x:v>
      </x:c>
    </x:row>
    <x:row r="46" ht="34" customHeight="1">
      <x:c r="A46" s="40" t="str">
        <x:v>FT-SEED-R1B-P-1938-12</x:v>
      </x:c>
      <x:c r="B46" s="19" t="str">
        <x:v>1938</x:v>
      </x:c>
      <x:c r="C46" s="25" t="n">
        <x:v>12</x:v>
      </x:c>
      <x:c r="D46" s="31" t="str">
        <x:v>meteorological stations</x:v>
      </x:c>
      <x:c r="E46" s="31" t="str">
        <x:v>INTERNET_ARCHIVE_METADATA_TEXT_ITEM_COUNT</x:v>
      </x:c>
      <x:c r="F46" s="46" t="str">
        <x:v>INTERNET_ARCHIVE_ADVANCEDSEARCH_NUMFOUND</x:v>
      </x:c>
      <x:c r="G46" s="19" t="str">
        <x:v>"meteorological stations" AND mediatype:texts</x:v>
      </x:c>
      <x:c r="H46" s="19" t="str">
        <x:v>PHRASE_METADATA_SEARCH</x:v>
      </x:c>
      <x:c r="I46" s="31" t="str">
        <x:v>EXACT_PHRASE</x:v>
      </x:c>
      <x:c r="J46" s="25" t="n">
        <x:v>336</x:v>
      </x:c>
      <x:c r="K46" s="25" t="n">
        <x:v>0</x:v>
      </x:c>
      <x:c r="L46" s="25" t="n">
        <x:v>0</x:v>
      </x:c>
      <x:c r="M46" s="31" t="str">
        <x:v>COMPLETED_NONZERO</x:v>
      </x:c>
      <x:c r="N46" s="19" t="str">
        <x:v>2026-08-26</x:v>
      </x:c>
      <x:c r="O46" s="31" t="str">
        <x:v>https://archive.org/advancedsearch.php</x:v>
      </x:c>
      <x:c r="P46" s="31" t="str">
        <x:v>Metadata text-item count; not a full-text lexical frequency. Secondary metric: NOT_RUN_OPENALEX_DAILY_BUDGET_EXHAUSTED: shared provider response retained; no count fabricated.</x:v>
      </x:c>
      <x:c r="Q46" s="31" t="str">
        <x:v>OPENALEX_WORK_COUNT</x:v>
      </x:c>
      <x:c r="R46" s="37" t="str">
        <x:v>NOT_APPLICABLE</x:v>
      </x:c>
    </x:row>
    <x:row r="47" ht="34" customHeight="1">
      <x:c r="A47" s="40" t="str">
        <x:v>FT-SEED-R1B-P-1938-13</x:v>
      </x:c>
      <x:c r="B47" s="19" t="str">
        <x:v>1938</x:v>
      </x:c>
      <x:c r="C47" s="25" t="n">
        <x:v>13</x:v>
      </x:c>
      <x:c r="D47" s="31" t="str">
        <x:v>world temperatures</x:v>
      </x:c>
      <x:c r="E47" s="31" t="str">
        <x:v>INTERNET_ARCHIVE_METADATA_TEXT_ITEM_COUNT</x:v>
      </x:c>
      <x:c r="F47" s="46" t="str">
        <x:v>INTERNET_ARCHIVE_ADVANCEDSEARCH_NUMFOUND</x:v>
      </x:c>
      <x:c r="G47" s="19" t="str">
        <x:v>"world temperatures" AND mediatype:texts</x:v>
      </x:c>
      <x:c r="H47" s="19" t="str">
        <x:v>PHRASE_METADATA_SEARCH</x:v>
      </x:c>
      <x:c r="I47" s="31" t="str">
        <x:v>EXACT_PHRASE</x:v>
      </x:c>
      <x:c r="J47" s="25" t="n">
        <x:v>3</x:v>
      </x:c>
      <x:c r="K47" s="25" t="n">
        <x:v>0</x:v>
      </x:c>
      <x:c r="L47" s="25" t="n">
        <x:v>0</x:v>
      </x:c>
      <x:c r="M47" s="31" t="str">
        <x:v>COMPLETED_NONZERO</x:v>
      </x:c>
      <x:c r="N47" s="19" t="str">
        <x:v>2026-08-26</x:v>
      </x:c>
      <x:c r="O47" s="31" t="str">
        <x:v>https://archive.org/advancedsearch.php</x:v>
      </x:c>
      <x:c r="P47" s="31" t="str">
        <x:v>Metadata text-item count; not a full-text lexical frequency. Secondary metric: NOT_RUN_OPENALEX_DAILY_BUDGET_EXHAUSTED: shared provider response retained; no count fabricated.</x:v>
      </x:c>
      <x:c r="Q47" s="31" t="str">
        <x:v>OPENALEX_WORK_COUNT</x:v>
      </x:c>
      <x:c r="R47" s="37" t="str">
        <x:v>NOT_APPLICABLE</x:v>
      </x:c>
    </x:row>
    <x:row r="48" ht="34" customHeight="1">
      <x:c r="A48" s="40" t="str">
        <x:v>FT-SEED-R1B-P-1938-14</x:v>
      </x:c>
      <x:c r="B48" s="19" t="str">
        <x:v>1938</x:v>
      </x:c>
      <x:c r="C48" s="25" t="n">
        <x:v>14</x:v>
      </x:c>
      <x:c r="D48" s="31" t="str">
        <x:v>actually increased</x:v>
      </x:c>
      <x:c r="E48" s="31" t="str">
        <x:v>INTERNET_ARCHIVE_METADATA_TEXT_ITEM_COUNT</x:v>
      </x:c>
      <x:c r="F48" s="46" t="str">
        <x:v>INTERNET_ARCHIVE_ADVANCEDSEARCH_NUMFOUND</x:v>
      </x:c>
      <x:c r="G48" s="19" t="str">
        <x:v>"actually increased" AND mediatype:texts</x:v>
      </x:c>
      <x:c r="H48" s="19" t="str">
        <x:v>PHRASE_METADATA_SEARCH</x:v>
      </x:c>
      <x:c r="I48" s="31" t="str">
        <x:v>EXACT_PHRASE</x:v>
      </x:c>
      <x:c r="J48" s="25" t="n">
        <x:v>151</x:v>
      </x:c>
      <x:c r="K48" s="25" t="n">
        <x:v>0</x:v>
      </x:c>
      <x:c r="L48" s="25" t="n">
        <x:v>0</x:v>
      </x:c>
      <x:c r="M48" s="31" t="str">
        <x:v>COMPLETED_NONZERO</x:v>
      </x:c>
      <x:c r="N48" s="19" t="str">
        <x:v>2026-08-26</x:v>
      </x:c>
      <x:c r="O48" s="31" t="str">
        <x:v>https://archive.org/advancedsearch.php</x:v>
      </x:c>
      <x:c r="P48" s="31" t="str">
        <x:v>Metadata text-item count; not a full-text lexical frequency. Secondary metric: Scholarly work discoverability count over OpenAlex search fields; not a corpus word frequency.</x:v>
      </x:c>
      <x:c r="Q48" s="31" t="str">
        <x:v>OPENALEX_WORK_COUNT</x:v>
      </x:c>
      <x:c r="R48" s="37" t="n">
        <x:v>40274</x:v>
      </x:c>
    </x:row>
    <x:row r="49" ht="34" customHeight="1">
      <x:c r="A49" s="40" t="str">
        <x:v>FT-SEED-R1B-P-1938-15</x:v>
      </x:c>
      <x:c r="B49" s="19" t="str">
        <x:v>1938</x:v>
      </x:c>
      <x:c r="C49" s="25" t="n">
        <x:v>15</x:v>
      </x:c>
      <x:c r="D49" s="31" t="str">
        <x:v>average rate</x:v>
      </x:c>
      <x:c r="E49" s="31" t="str">
        <x:v>INTERNET_ARCHIVE_METADATA_TEXT_ITEM_COUNT</x:v>
      </x:c>
      <x:c r="F49" s="46" t="str">
        <x:v>INTERNET_ARCHIVE_ADVANCEDSEARCH_NUMFOUND</x:v>
      </x:c>
      <x:c r="G49" s="19" t="str">
        <x:v>"average rate" AND mediatype:texts</x:v>
      </x:c>
      <x:c r="H49" s="19" t="str">
        <x:v>PHRASE_METADATA_SEARCH</x:v>
      </x:c>
      <x:c r="I49" s="31" t="str">
        <x:v>EXACT_PHRASE</x:v>
      </x:c>
      <x:c r="J49" s="25" t="n">
        <x:v>891</x:v>
      </x:c>
      <x:c r="K49" s="25" t="n">
        <x:v>0</x:v>
      </x:c>
      <x:c r="L49" s="25" t="n">
        <x:v>0</x:v>
      </x:c>
      <x:c r="M49" s="31" t="str">
        <x:v>COMPLETED_NONZERO</x:v>
      </x:c>
      <x:c r="N49" s="19" t="str">
        <x:v>2026-08-26</x:v>
      </x:c>
      <x:c r="O49" s="31" t="str">
        <x:v>https://archive.org/advancedsearch.php</x:v>
      </x:c>
      <x:c r="P49" s="31" t="str">
        <x:v>Metadata text-item count; not a full-text lexical frequency. Secondary metric: Scholarly work discoverability count over OpenAlex search fields; not a corpus word frequency.</x:v>
      </x:c>
      <x:c r="Q49" s="31" t="str">
        <x:v>OPENALEX_WORK_COUNT</x:v>
      </x:c>
      <x:c r="R49" s="37" t="n">
        <x:v>179699</x:v>
      </x:c>
    </x:row>
    <x:row r="50" ht="34" customHeight="1">
      <x:c r="A50" s="40" t="str">
        <x:v>FT-SEED-R1B-P-1938-16</x:v>
      </x:c>
      <x:c r="B50" s="19" t="str">
        <x:v>1938</x:v>
      </x:c>
      <x:c r="C50" s="25" t="n">
        <x:v>16</x:v>
      </x:c>
      <x:c r="D50" s="31" t="str">
        <x:v>small increases in mean temperature</x:v>
      </x:c>
      <x:c r="E50" s="31" t="str">
        <x:v>INTERNET_ARCHIVE_METADATA_TEXT_ITEM_COUNT</x:v>
      </x:c>
      <x:c r="F50" s="46" t="str">
        <x:v>INTERNET_ARCHIVE_ADVANCEDSEARCH_NUMFOUND</x:v>
      </x:c>
      <x:c r="G50" s="19" t="str">
        <x:v>"small increases in mean temperature" AND mediatype:texts</x:v>
      </x:c>
      <x:c r="H50" s="19" t="str">
        <x:v>PHRASE_METADATA_SEARCH</x:v>
      </x:c>
      <x:c r="I50" s="31" t="str">
        <x:v>EXACT_PHRASE</x:v>
      </x:c>
      <x:c r="J50" s="25" t="n">
        <x:v>0</x:v>
      </x:c>
      <x:c r="K50" s="25" t="n">
        <x:v>0</x:v>
      </x:c>
      <x:c r="L50" s="25" t="n">
        <x:v>0</x:v>
      </x:c>
      <x:c r="M50" s="31" t="str">
        <x:v>COMPLETED_ZERO</x:v>
      </x:c>
      <x:c r="N50" s="19" t="str">
        <x:v>2026-08-26</x:v>
      </x:c>
      <x:c r="O50" s="31" t="str">
        <x:v>https://archive.org/advancedsearch.php</x:v>
      </x:c>
      <x:c r="P50" s="31" t="str">
        <x:v>Metadata text-item count; not a full-text lexical frequency. Secondary metric: NOT_RUN_OPENALEX_DAILY_BUDGET_EXHAUSTED: shared provider response retained; no count fabricated.</x:v>
      </x:c>
      <x:c r="Q50" s="31" t="str">
        <x:v>OPENALEX_WORK_COUNT</x:v>
      </x:c>
      <x:c r="R50" s="37" t="str">
        <x:v>NOT_APPLICABLE</x:v>
      </x:c>
    </x:row>
    <x:row r="51" ht="34" customHeight="1">
      <x:c r="A51" s="40" t="str">
        <x:v>FT-SEED-R1B-P-1938-17</x:v>
      </x:c>
      <x:c r="B51" s="19" t="str">
        <x:v>1938</x:v>
      </x:c>
      <x:c r="C51" s="25" t="n">
        <x:v>17</x:v>
      </x:c>
      <x:c r="D51" s="31" t="str">
        <x:v>deadly glaciers</x:v>
      </x:c>
      <x:c r="E51" s="31" t="str">
        <x:v>INTERNET_ARCHIVE_METADATA_TEXT_ITEM_COUNT</x:v>
      </x:c>
      <x:c r="F51" s="46" t="str">
        <x:v>INTERNET_ARCHIVE_ADVANCEDSEARCH_NUMFOUND</x:v>
      </x:c>
      <x:c r="G51" s="19" t="str">
        <x:v>"deadly glaciers" AND mediatype:texts</x:v>
      </x:c>
      <x:c r="H51" s="19" t="str">
        <x:v>PHRASE_METADATA_SEARCH</x:v>
      </x:c>
      <x:c r="I51" s="31" t="str">
        <x:v>EXACT_PHRASE</x:v>
      </x:c>
      <x:c r="J51" s="25" t="n">
        <x:v>0</x:v>
      </x:c>
      <x:c r="K51" s="25" t="n">
        <x:v>0</x:v>
      </x:c>
      <x:c r="L51" s="25" t="n">
        <x:v>0</x:v>
      </x:c>
      <x:c r="M51" s="31" t="str">
        <x:v>COMPLETED_ZERO</x:v>
      </x:c>
      <x:c r="N51" s="19" t="str">
        <x:v>2026-08-26</x:v>
      </x:c>
      <x:c r="O51" s="31" t="str">
        <x:v>https://archive.org/advancedsearch.php</x:v>
      </x:c>
      <x:c r="P51" s="31" t="str">
        <x:v>Metadata text-item count; not a full-text lexical frequency. Secondary metric: NOT_RUN_OPENALEX_DAILY_BUDGET_EXHAUSTED: shared provider response retained; no count fabricated.</x:v>
      </x:c>
      <x:c r="Q51" s="31" t="str">
        <x:v>OPENALEX_WORK_COUNT</x:v>
      </x:c>
      <x:c r="R51" s="37" t="str">
        <x:v>NOT_APPLICABLE</x:v>
      </x:c>
    </x:row>
    <x:row r="52" ht="34" customHeight="1">
      <x:c r="A52" s="40" t="str">
        <x:v>FT-SEED-R1B-P-1938-18</x:v>
      </x:c>
      <x:c r="B52" s="19" t="str">
        <x:v>1938</x:v>
      </x:c>
      <x:c r="C52" s="25" t="n">
        <x:v>18</x:v>
      </x:c>
      <x:c r="D52" s="31" t="str">
        <x:v>rather a coincidence</x:v>
      </x:c>
      <x:c r="E52" s="31" t="str">
        <x:v>INTERNET_ARCHIVE_METADATA_TEXT_ITEM_COUNT</x:v>
      </x:c>
      <x:c r="F52" s="46" t="str">
        <x:v>INTERNET_ARCHIVE_ADVANCEDSEARCH_NUMFOUND</x:v>
      </x:c>
      <x:c r="G52" s="19" t="str">
        <x:v>"rather a coincidence" AND mediatype:texts</x:v>
      </x:c>
      <x:c r="H52" s="19" t="str">
        <x:v>PHRASE_METADATA_SEARCH</x:v>
      </x:c>
      <x:c r="I52" s="31" t="str">
        <x:v>EXACT_PHRASE</x:v>
      </x:c>
      <x:c r="J52" s="25" t="n">
        <x:v>0</x:v>
      </x:c>
      <x:c r="K52" s="25" t="n">
        <x:v>0</x:v>
      </x:c>
      <x:c r="L52" s="25" t="n">
        <x:v>0</x:v>
      </x:c>
      <x:c r="M52" s="31" t="str">
        <x:v>COMPLETED_ZERO</x:v>
      </x:c>
      <x:c r="N52" s="19" t="str">
        <x:v>2026-08-26</x:v>
      </x:c>
      <x:c r="O52" s="31" t="str">
        <x:v>https://archive.org/advancedsearch.php</x:v>
      </x:c>
      <x:c r="P52" s="31" t="str">
        <x:v>Metadata text-item count; not a full-text lexical frequency. Secondary metric: NOT_RUN_OPENALEX_DAILY_BUDGET_EXHAUSTED: shared provider response retained; no count fabricated.</x:v>
      </x:c>
      <x:c r="Q52" s="31" t="str">
        <x:v>OPENALEX_WORK_COUNT</x:v>
      </x:c>
      <x:c r="R52" s="37" t="str">
        <x:v>NOT_APPLICABLE</x:v>
      </x:c>
    </x:row>
    <x:row r="53" ht="34" customHeight="1">
      <x:c r="A53" s="40" t="str">
        <x:v>FT-SEED-R1B-P-1938-19</x:v>
      </x:c>
      <x:c r="B53" s="19" t="str">
        <x:v>1938</x:v>
      </x:c>
      <x:c r="C53" s="25" t="n">
        <x:v>19</x:v>
      </x:c>
      <x:c r="D53" s="31" t="str">
        <x:v>Hottest Day for Ten Years</x:v>
      </x:c>
      <x:c r="E53" s="31" t="str">
        <x:v>INTERNET_ARCHIVE_METADATA_TEXT_ITEM_COUNT</x:v>
      </x:c>
      <x:c r="F53" s="46" t="str">
        <x:v>INTERNET_ARCHIVE_ADVANCEDSEARCH_NUMFOUND</x:v>
      </x:c>
      <x:c r="G53" s="19" t="str">
        <x:v>"Hottest Day for Ten Years" AND mediatype:texts</x:v>
      </x:c>
      <x:c r="H53" s="19" t="str">
        <x:v>PHRASE_METADATA_SEARCH</x:v>
      </x:c>
      <x:c r="I53" s="31" t="str">
        <x:v>EXACT_PHRASE</x:v>
      </x:c>
      <x:c r="J53" s="25" t="n">
        <x:v>0</x:v>
      </x:c>
      <x:c r="K53" s="25" t="n">
        <x:v>0</x:v>
      </x:c>
      <x:c r="L53" s="25" t="n">
        <x:v>0</x:v>
      </x:c>
      <x:c r="M53" s="31" t="str">
        <x:v>COMPLETED_ZERO</x:v>
      </x:c>
      <x:c r="N53" s="19" t="str">
        <x:v>2026-08-26</x:v>
      </x:c>
      <x:c r="O53" s="31" t="str">
        <x:v>https://archive.org/advancedsearch.php</x:v>
      </x:c>
      <x:c r="P53" s="31" t="str">
        <x:v>Metadata text-item count; not a full-text lexical frequency. Secondary metric: NOT_RUN_OPENALEX_DAILY_BUDGET_EXHAUSTED: shared provider response retained; no count fabricated.</x:v>
      </x:c>
      <x:c r="Q53" s="31" t="str">
        <x:v>OPENALEX_WORK_COUNT</x:v>
      </x:c>
      <x:c r="R53" s="37" t="str">
        <x:v>NOT_APPLICABLE</x:v>
      </x:c>
    </x:row>
    <x:row r="54" ht="34" customHeight="1">
      <x:c r="A54" s="40" t="str">
        <x:v>FT-SEED-R1B-P-1938-20</x:v>
      </x:c>
      <x:c r="B54" s="19" t="str">
        <x:v>1938</x:v>
      </x:c>
      <x:c r="C54" s="25" t="n">
        <x:v>20</x:v>
      </x:c>
      <x:c r="D54" s="31" t="str">
        <x:v>Heat Wave Over Queensland</x:v>
      </x:c>
      <x:c r="E54" s="31" t="str">
        <x:v>INTERNET_ARCHIVE_METADATA_TEXT_ITEM_COUNT</x:v>
      </x:c>
      <x:c r="F54" s="46" t="str">
        <x:v>INTERNET_ARCHIVE_ADVANCEDSEARCH_NUMFOUND</x:v>
      </x:c>
      <x:c r="G54" s="19" t="str">
        <x:v>"Heat Wave Over Queensland" AND mediatype:texts</x:v>
      </x:c>
      <x:c r="H54" s="19" t="str">
        <x:v>PHRASE_METADATA_SEARCH</x:v>
      </x:c>
      <x:c r="I54" s="31" t="str">
        <x:v>EXACT_PHRASE</x:v>
      </x:c>
      <x:c r="J54" s="25" t="n">
        <x:v>0</x:v>
      </x:c>
      <x:c r="K54" s="25" t="n">
        <x:v>0</x:v>
      </x:c>
      <x:c r="L54" s="25" t="n">
        <x:v>0</x:v>
      </x:c>
      <x:c r="M54" s="31" t="str">
        <x:v>COMPLETED_ZERO</x:v>
      </x:c>
      <x:c r="N54" s="19" t="str">
        <x:v>2026-08-26</x:v>
      </x:c>
      <x:c r="O54" s="31" t="str">
        <x:v>https://archive.org/advancedsearch.php</x:v>
      </x:c>
      <x:c r="P54" s="31" t="str">
        <x:v>Metadata text-item count; not a full-text lexical frequency. Secondary metric: NOT_RUN_OPENALEX_DAILY_BUDGET_EXHAUSTED: shared provider response retained; no count fabricated.</x:v>
      </x:c>
      <x:c r="Q54" s="31" t="str">
        <x:v>OPENALEX_WORK_COUNT</x:v>
      </x:c>
      <x:c r="R54" s="37" t="str">
        <x:v>NOT_APPLICABLE</x:v>
      </x:c>
    </x:row>
    <x:row r="55" ht="34" customHeight="1">
      <x:c r="A55" s="40" t="str">
        <x:v>FT-SEED-R1B-P-1938-21</x:v>
      </x:c>
      <x:c r="B55" s="19" t="str">
        <x:v>1938</x:v>
      </x:c>
      <x:c r="C55" s="25" t="n">
        <x:v>21</x:v>
      </x:c>
      <x:c r="D55" s="31" t="str">
        <x:v>heat wave</x:v>
      </x:c>
      <x:c r="E55" s="31" t="str">
        <x:v>INTERNET_ARCHIVE_METADATA_TEXT_ITEM_COUNT</x:v>
      </x:c>
      <x:c r="F55" s="46" t="str">
        <x:v>INTERNET_ARCHIVE_ADVANCEDSEARCH_NUMFOUND</x:v>
      </x:c>
      <x:c r="G55" s="19" t="str">
        <x:v>"heat wave" AND mediatype:texts</x:v>
      </x:c>
      <x:c r="H55" s="19" t="str">
        <x:v>PHRASE_METADATA_SEARCH</x:v>
      </x:c>
      <x:c r="I55" s="31" t="str">
        <x:v>EXACT_PHRASE</x:v>
      </x:c>
      <x:c r="J55" s="25" t="n">
        <x:v>957</x:v>
      </x:c>
      <x:c r="K55" s="25" t="n">
        <x:v>7</x:v>
      </x:c>
      <x:c r="L55" s="25" t="n">
        <x:v>64</x:v>
      </x:c>
      <x:c r="M55" s="31" t="str">
        <x:v>COMPLETED_NONZERO</x:v>
      </x:c>
      <x:c r="N55" s="19" t="str">
        <x:v>2026-08-26</x:v>
      </x:c>
      <x:c r="O55" s="31" t="str">
        <x:v>https://archive.org/advancedsearch.php</x:v>
      </x:c>
      <x:c r="P55" s="31" t="str">
        <x:v>Metadata text-item count; not a full-text lexical frequency. Secondary metric: NOT_RUN_OPENALEX_DAILY_BUDGET_EXHAUSTED: shared provider response retained; no count fabricated.</x:v>
      </x:c>
      <x:c r="Q55" s="31" t="str">
        <x:v>OPENALEX_WORK_COUNT</x:v>
      </x:c>
      <x:c r="R55" s="37" t="str">
        <x:v>NOT_APPLICABLE</x:v>
      </x:c>
    </x:row>
    <x:row r="56" ht="34" customHeight="1">
      <x:c r="A56" s="40" t="str">
        <x:v>FT-SEED-R1B-P-1938-22</x:v>
      </x:c>
      <x:c r="B56" s="19" t="str">
        <x:v>1938</x:v>
      </x:c>
      <x:c r="C56" s="25" t="n">
        <x:v>22</x:v>
      </x:c>
      <x:c r="D56" s="31" t="str">
        <x:v>40-degree temperatures</x:v>
      </x:c>
      <x:c r="E56" s="31" t="str">
        <x:v>INTERNET_ARCHIVE_METADATA_TEXT_ITEM_COUNT</x:v>
      </x:c>
      <x:c r="F56" s="46" t="str">
        <x:v>INTERNET_ARCHIVE_ADVANCEDSEARCH_NUMFOUND</x:v>
      </x:c>
      <x:c r="G56" s="19" t="str">
        <x:v>"40-degree temperatures" AND mediatype:texts</x:v>
      </x:c>
      <x:c r="H56" s="19" t="str">
        <x:v>PHRASE_METADATA_SEARCH</x:v>
      </x:c>
      <x:c r="I56" s="31" t="str">
        <x:v>EXACT_PHRASE</x:v>
      </x:c>
      <x:c r="J56" s="25" t="n">
        <x:v>0</x:v>
      </x:c>
      <x:c r="K56" s="25" t="n">
        <x:v>0</x:v>
      </x:c>
      <x:c r="L56" s="25" t="n">
        <x:v>0</x:v>
      </x:c>
      <x:c r="M56" s="31" t="str">
        <x:v>COMPLETED_ZERO</x:v>
      </x:c>
      <x:c r="N56" s="19" t="str">
        <x:v>2026-08-26</x:v>
      </x:c>
      <x:c r="O56" s="31" t="str">
        <x:v>https://archive.org/advancedsearch.php</x:v>
      </x:c>
      <x:c r="P56" s="31" t="str">
        <x:v>Metadata text-item count; not a full-text lexical frequency. Secondary metric: Scholarly work discoverability count over OpenAlex search fields; not a corpus word frequency.</x:v>
      </x:c>
      <x:c r="Q56" s="31" t="str">
        <x:v>OPENALEX_WORK_COUNT</x:v>
      </x:c>
      <x:c r="R56" s="37" t="n">
        <x:v>18</x:v>
      </x:c>
    </x:row>
    <x:row r="57" ht="34" customHeight="1">
      <x:c r="A57" s="40" t="str">
        <x:v>FT-SEED-R1B-P-1938-23</x:v>
      </x:c>
      <x:c r="B57" s="19" t="str">
        <x:v>1938</x:v>
      </x:c>
      <x:c r="C57" s="25" t="n">
        <x:v>23</x:v>
      </x:c>
      <x:c r="D57" s="31" t="str">
        <x:v>scorching westerly wind</x:v>
      </x:c>
      <x:c r="E57" s="31" t="str">
        <x:v>INTERNET_ARCHIVE_METADATA_TEXT_ITEM_COUNT</x:v>
      </x:c>
      <x:c r="F57" s="46" t="str">
        <x:v>INTERNET_ARCHIVE_ADVANCEDSEARCH_NUMFOUND</x:v>
      </x:c>
      <x:c r="G57" s="19" t="str">
        <x:v>"scorching westerly wind" AND mediatype:texts</x:v>
      </x:c>
      <x:c r="H57" s="19" t="str">
        <x:v>PHRASE_METADATA_SEARCH</x:v>
      </x:c>
      <x:c r="I57" s="31" t="str">
        <x:v>EXACT_PHRASE</x:v>
      </x:c>
      <x:c r="J57" s="25" t="n">
        <x:v>0</x:v>
      </x:c>
      <x:c r="K57" s="25" t="n">
        <x:v>0</x:v>
      </x:c>
      <x:c r="L57" s="25" t="n">
        <x:v>0</x:v>
      </x:c>
      <x:c r="M57" s="31" t="str">
        <x:v>COMPLETED_ZERO</x:v>
      </x:c>
      <x:c r="N57" s="19" t="str">
        <x:v>2026-08-26</x:v>
      </x:c>
      <x:c r="O57" s="31" t="str">
        <x:v>https://archive.org/advancedsearch.php</x:v>
      </x:c>
      <x:c r="P57" s="31" t="str">
        <x:v>Metadata text-item count; not a full-text lexical frequency. Secondary metric: NOT_RUN_OPENALEX_DAILY_BUDGET_EXHAUSTED: shared provider response retained; no count fabricated.</x:v>
      </x:c>
      <x:c r="Q57" s="31" t="str">
        <x:v>OPENALEX_WORK_COUNT</x:v>
      </x:c>
      <x:c r="R57" s="37" t="str">
        <x:v>NOT_APPLICABLE</x:v>
      </x:c>
    </x:row>
    <x:row r="58" ht="34" customHeight="1">
      <x:c r="A58" s="40" t="str">
        <x:v>FT-SEED-R1B-P-1938-24</x:v>
      </x:c>
      <x:c r="B58" s="19" t="str">
        <x:v>1938</x:v>
      </x:c>
      <x:c r="C58" s="25" t="n">
        <x:v>24</x:v>
      </x:c>
      <x:c r="D58" s="31" t="str">
        <x:v>pitiless sun</x:v>
      </x:c>
      <x:c r="E58" s="31" t="str">
        <x:v>INTERNET_ARCHIVE_METADATA_TEXT_ITEM_COUNT</x:v>
      </x:c>
      <x:c r="F58" s="46" t="str">
        <x:v>INTERNET_ARCHIVE_ADVANCEDSEARCH_NUMFOUND</x:v>
      </x:c>
      <x:c r="G58" s="19" t="str">
        <x:v>"pitiless sun" AND mediatype:texts</x:v>
      </x:c>
      <x:c r="H58" s="19" t="str">
        <x:v>PHRASE_METADATA_SEARCH</x:v>
      </x:c>
      <x:c r="I58" s="31" t="str">
        <x:v>EXACT_PHRASE</x:v>
      </x:c>
      <x:c r="J58" s="25" t="n">
        <x:v>4</x:v>
      </x:c>
      <x:c r="K58" s="25" t="n">
        <x:v>0</x:v>
      </x:c>
      <x:c r="L58" s="25" t="n">
        <x:v>1</x:v>
      </x:c>
      <x:c r="M58" s="31" t="str">
        <x:v>COMPLETED_NONZERO</x:v>
      </x:c>
      <x:c r="N58" s="19" t="str">
        <x:v>2026-08-26</x:v>
      </x:c>
      <x:c r="O58" s="31" t="str">
        <x:v>https://archive.org/advancedsearch.php</x:v>
      </x:c>
      <x:c r="P58" s="31" t="str">
        <x:v>Metadata text-item count; not a full-text lexical frequency. Secondary metric: NOT_RUN_OPENALEX_DAILY_BUDGET_EXHAUSTED: shared provider response retained; no count fabricated.</x:v>
      </x:c>
      <x:c r="Q58" s="31" t="str">
        <x:v>OPENALEX_WORK_COUNT</x:v>
      </x:c>
      <x:c r="R58" s="37" t="str">
        <x:v>NOT_APPLICABLE</x:v>
      </x:c>
    </x:row>
    <x:row r="59" ht="34" customHeight="1">
      <x:c r="A59" s="40" t="str">
        <x:v>FT-SEED-R1B-P-1938-25</x:v>
      </x:c>
      <x:c r="B59" s="19" t="str">
        <x:v>1938</x:v>
      </x:c>
      <x:c r="C59" s="25" t="n">
        <x:v>25</x:v>
      </x:c>
      <x:c r="D59" s="31" t="str">
        <x:v>hottest spell for years</x:v>
      </x:c>
      <x:c r="E59" s="31" t="str">
        <x:v>INTERNET_ARCHIVE_METADATA_TEXT_ITEM_COUNT</x:v>
      </x:c>
      <x:c r="F59" s="46" t="str">
        <x:v>INTERNET_ARCHIVE_ADVANCEDSEARCH_NUMFOUND</x:v>
      </x:c>
      <x:c r="G59" s="19" t="str">
        <x:v>"hottest spell for years" AND mediatype:texts</x:v>
      </x:c>
      <x:c r="H59" s="19" t="str">
        <x:v>PHRASE_METADATA_SEARCH</x:v>
      </x:c>
      <x:c r="I59" s="31" t="str">
        <x:v>EXACT_PHRASE</x:v>
      </x:c>
      <x:c r="J59" s="25" t="n">
        <x:v>0</x:v>
      </x:c>
      <x:c r="K59" s="25" t="n">
        <x:v>0</x:v>
      </x:c>
      <x:c r="L59" s="25" t="n">
        <x:v>0</x:v>
      </x:c>
      <x:c r="M59" s="31" t="str">
        <x:v>COMPLETED_ZERO</x:v>
      </x:c>
      <x:c r="N59" s="19" t="str">
        <x:v>2026-08-26</x:v>
      </x:c>
      <x:c r="O59" s="31" t="str">
        <x:v>https://archive.org/advancedsearch.php</x:v>
      </x:c>
      <x:c r="P59" s="31" t="str">
        <x:v>Metadata text-item count; not a full-text lexical frequency. Secondary metric: NOT_RUN_OPENALEX_DAILY_BUDGET_EXHAUSTED: shared provider response retained; no count fabricated.</x:v>
      </x:c>
      <x:c r="Q59" s="31" t="str">
        <x:v>OPENALEX_WORK_COUNT</x:v>
      </x:c>
      <x:c r="R59" s="37" t="str">
        <x:v>NOT_APPLICABLE</x:v>
      </x:c>
    </x:row>
    <x:row r="60" ht="34" customHeight="1">
      <x:c r="A60" s="40" t="str">
        <x:v>FT-SEED-R1B-P-1938-26</x:v>
      </x:c>
      <x:c r="B60" s="19" t="str">
        <x:v>1938</x:v>
      </x:c>
      <x:c r="C60" s="25" t="n">
        <x:v>26</x:v>
      </x:c>
      <x:c r="D60" s="31" t="str">
        <x:v>weather is just bearable</x:v>
      </x:c>
      <x:c r="E60" s="31" t="str">
        <x:v>INTERNET_ARCHIVE_METADATA_TEXT_ITEM_COUNT</x:v>
      </x:c>
      <x:c r="F60" s="46" t="str">
        <x:v>INTERNET_ARCHIVE_ADVANCEDSEARCH_NUMFOUND</x:v>
      </x:c>
      <x:c r="G60" s="19" t="str">
        <x:v>"weather is just bearable" AND mediatype:texts</x:v>
      </x:c>
      <x:c r="H60" s="19" t="str">
        <x:v>PHRASE_METADATA_SEARCH</x:v>
      </x:c>
      <x:c r="I60" s="31" t="str">
        <x:v>EXACT_PHRASE</x:v>
      </x:c>
      <x:c r="J60" s="25" t="n">
        <x:v>0</x:v>
      </x:c>
      <x:c r="K60" s="25" t="n">
        <x:v>0</x:v>
      </x:c>
      <x:c r="L60" s="25" t="n">
        <x:v>0</x:v>
      </x:c>
      <x:c r="M60" s="31" t="str">
        <x:v>COMPLETED_ZERO</x:v>
      </x:c>
      <x:c r="N60" s="19" t="str">
        <x:v>2026-08-26</x:v>
      </x:c>
      <x:c r="O60" s="31" t="str">
        <x:v>https://archive.org/advancedsearch.php</x:v>
      </x:c>
      <x:c r="P60" s="31" t="str">
        <x:v>Metadata text-item count; not a full-text lexical frequency. Secondary metric: NOT_RUN_OPENALEX_DAILY_BUDGET_EXHAUSTED: shared provider response retained; no count fabricated.</x:v>
      </x:c>
      <x:c r="Q60" s="31" t="str">
        <x:v>OPENALEX_WORK_COUNT</x:v>
      </x:c>
      <x:c r="R60" s="37" t="str">
        <x:v>NOT_APPLICABLE</x:v>
      </x:c>
    </x:row>
    <x:row r="61" ht="34" customHeight="1">
      <x:c r="A61" s="40" t="str">
        <x:v>FT-SEED-R1B-P-1938-27</x:v>
      </x:c>
      <x:c r="B61" s="19" t="str">
        <x:v>1938</x:v>
      </x:c>
      <x:c r="C61" s="25" t="n">
        <x:v>27</x:v>
      </x:c>
      <x:c r="D61" s="31" t="str">
        <x:v>heat records</x:v>
      </x:c>
      <x:c r="E61" s="31" t="str">
        <x:v>INTERNET_ARCHIVE_METADATA_TEXT_ITEM_COUNT</x:v>
      </x:c>
      <x:c r="F61" s="46" t="str">
        <x:v>INTERNET_ARCHIVE_ADVANCEDSEARCH_NUMFOUND</x:v>
      </x:c>
      <x:c r="G61" s="19" t="str">
        <x:v>"heat records" AND mediatype:texts</x:v>
      </x:c>
      <x:c r="H61" s="19" t="str">
        <x:v>PHRASE_METADATA_SEARCH</x:v>
      </x:c>
      <x:c r="I61" s="31" t="str">
        <x:v>EXACT_PHRASE</x:v>
      </x:c>
      <x:c r="J61" s="25" t="n">
        <x:v>2</x:v>
      </x:c>
      <x:c r="K61" s="25" t="n">
        <x:v>0</x:v>
      </x:c>
      <x:c r="L61" s="25" t="n">
        <x:v>0</x:v>
      </x:c>
      <x:c r="M61" s="31" t="str">
        <x:v>COMPLETED_NONZERO</x:v>
      </x:c>
      <x:c r="N61" s="19" t="str">
        <x:v>2026-08-26</x:v>
      </x:c>
      <x:c r="O61" s="31" t="str">
        <x:v>https://archive.org/advancedsearch.php</x:v>
      </x:c>
      <x:c r="P61" s="31" t="str">
        <x:v>Metadata text-item count; not a full-text lexical frequency. Secondary metric: NOT_RUN_OPENALEX_DAILY_BUDGET_EXHAUSTED: shared provider response retained; no count fabricated.</x:v>
      </x:c>
      <x:c r="Q61" s="31" t="str">
        <x:v>OPENALEX_WORK_COUNT</x:v>
      </x:c>
      <x:c r="R61" s="37" t="str">
        <x:v>NOT_APPLICABLE</x:v>
      </x:c>
    </x:row>
    <x:row r="62" ht="34" customHeight="1">
      <x:c r="A62" s="40" t="str">
        <x:v>FT-SEED-R1B-P-1938-28</x:v>
      </x:c>
      <x:c r="B62" s="19" t="str">
        <x:v>1938</x:v>
      </x:c>
      <x:c r="C62" s="25" t="n">
        <x:v>28</x:v>
      </x:c>
      <x:c r="D62" s="31" t="str">
        <x:v>drought</x:v>
      </x:c>
      <x:c r="E62" s="31" t="str">
        <x:v>INTERNET_ARCHIVE_METADATA_TEXT_ITEM_COUNT</x:v>
      </x:c>
      <x:c r="F62" s="46" t="str">
        <x:v>INTERNET_ARCHIVE_ADVANCEDSEARCH_NUMFOUND</x:v>
      </x:c>
      <x:c r="G62" s="19" t="str">
        <x:v>"drought" AND mediatype:texts</x:v>
      </x:c>
      <x:c r="H62" s="19" t="str">
        <x:v>PHRASE_METADATA_SEARCH</x:v>
      </x:c>
      <x:c r="I62" s="31" t="str">
        <x:v>EXACT_PHRASE</x:v>
      </x:c>
      <x:c r="J62" s="25" t="n">
        <x:v>10647</x:v>
      </x:c>
      <x:c r="K62" s="25" t="n">
        <x:v>84</x:v>
      </x:c>
      <x:c r="L62" s="25" t="n">
        <x:v>298</x:v>
      </x:c>
      <x:c r="M62" s="31" t="str">
        <x:v>COMPLETED_NONZERO</x:v>
      </x:c>
      <x:c r="N62" s="19" t="str">
        <x:v>2026-08-26</x:v>
      </x:c>
      <x:c r="O62" s="31" t="str">
        <x:v>https://archive.org/advancedsearch.php</x:v>
      </x:c>
      <x:c r="P62" s="31" t="str">
        <x:v>Metadata text-item count; not a full-text lexical frequency. Secondary metric: NOT_RUN_OPENALEX_DAILY_BUDGET_EXHAUSTED: shared provider response retained; no count fabricated.</x:v>
      </x:c>
      <x:c r="Q62" s="31" t="str">
        <x:v>OPENALEX_WORK_COUNT</x:v>
      </x:c>
      <x:c r="R62" s="37" t="str">
        <x:v>NOT_APPLICABLE</x:v>
      </x:c>
    </x:row>
    <x:row r="63" ht="34" customHeight="1">
      <x:c r="A63" s="40" t="str">
        <x:v>FT-SEED-R1B-P-1938-29</x:v>
      </x:c>
      <x:c r="B63" s="19" t="str">
        <x:v>1938</x:v>
      </x:c>
      <x:c r="C63" s="25" t="n">
        <x:v>29</x:v>
      </x:c>
      <x:c r="D63" s="31" t="str">
        <x:v>grass fires</x:v>
      </x:c>
      <x:c r="E63" s="31" t="str">
        <x:v>INTERNET_ARCHIVE_METADATA_TEXT_ITEM_COUNT</x:v>
      </x:c>
      <x:c r="F63" s="46" t="str">
        <x:v>INTERNET_ARCHIVE_ADVANCEDSEARCH_NUMFOUND</x:v>
      </x:c>
      <x:c r="G63" s="19" t="str">
        <x:v>"grass fires" AND mediatype:texts</x:v>
      </x:c>
      <x:c r="H63" s="19" t="str">
        <x:v>PHRASE_METADATA_SEARCH</x:v>
      </x:c>
      <x:c r="I63" s="31" t="str">
        <x:v>EXACT_PHRASE</x:v>
      </x:c>
      <x:c r="J63" s="25" t="n">
        <x:v>39</x:v>
      </x:c>
      <x:c r="K63" s="25" t="n">
        <x:v>0</x:v>
      </x:c>
      <x:c r="L63" s="25" t="n">
        <x:v>0</x:v>
      </x:c>
      <x:c r="M63" s="31" t="str">
        <x:v>COMPLETED_NONZERO</x:v>
      </x:c>
      <x:c r="N63" s="19" t="str">
        <x:v>2026-08-26</x:v>
      </x:c>
      <x:c r="O63" s="31" t="str">
        <x:v>https://archive.org/advancedsearch.php</x:v>
      </x:c>
      <x:c r="P63" s="31" t="str">
        <x:v>Metadata text-item count; not a full-text lexical frequency. Secondary metric: NOT_RUN_OPENALEX_DAILY_BUDGET_EXHAUSTED: shared provider response retained; no count fabricated.</x:v>
      </x:c>
      <x:c r="Q63" s="31" t="str">
        <x:v>OPENALEX_WORK_COUNT</x:v>
      </x:c>
      <x:c r="R63" s="37" t="str">
        <x:v>NOT_APPLICABLE</x:v>
      </x:c>
    </x:row>
    <x:row r="64" ht="34" customHeight="1">
      <x:c r="A64" s="40" t="str">
        <x:v>FT-SEED-R1B-P-1938-30</x:v>
      </x:c>
      <x:c r="B64" s="19" t="str">
        <x:v>1938</x:v>
      </x:c>
      <x:c r="C64" s="25" t="n">
        <x:v>30</x:v>
      </x:c>
      <x:c r="D64" s="31" t="str">
        <x:v>unbearable heat</x:v>
      </x:c>
      <x:c r="E64" s="31" t="str">
        <x:v>INTERNET_ARCHIVE_METADATA_TEXT_ITEM_COUNT</x:v>
      </x:c>
      <x:c r="F64" s="46" t="str">
        <x:v>INTERNET_ARCHIVE_ADVANCEDSEARCH_NUMFOUND</x:v>
      </x:c>
      <x:c r="G64" s="19" t="str">
        <x:v>"unbearable heat" AND mediatype:texts</x:v>
      </x:c>
      <x:c r="H64" s="19" t="str">
        <x:v>PHRASE_METADATA_SEARCH</x:v>
      </x:c>
      <x:c r="I64" s="31" t="str">
        <x:v>EXACT_PHRASE</x:v>
      </x:c>
      <x:c r="J64" s="25" t="n">
        <x:v>6</x:v>
      </x:c>
      <x:c r="K64" s="25" t="n">
        <x:v>0</x:v>
      </x:c>
      <x:c r="L64" s="25" t="n">
        <x:v>0</x:v>
      </x:c>
      <x:c r="M64" s="31" t="str">
        <x:v>COMPLETED_NONZERO</x:v>
      </x:c>
      <x:c r="N64" s="19" t="str">
        <x:v>2026-08-26</x:v>
      </x:c>
      <x:c r="O64" s="31" t="str">
        <x:v>https://archive.org/advancedsearch.php</x:v>
      </x:c>
      <x:c r="P64" s="31" t="str">
        <x:v>Metadata text-item count; not a full-text lexical frequency. Secondary metric: NOT_RUN_OPENALEX_DAILY_BUDGET_EXHAUSTED: shared provider response retained; no count fabricated.</x:v>
      </x:c>
      <x:c r="Q64" s="31" t="str">
        <x:v>OPENALEX_WORK_COUNT</x:v>
      </x:c>
      <x:c r="R64" s="37" t="str">
        <x:v>NOT_APPLICABLE</x:v>
      </x:c>
    </x:row>
    <x:row r="65" ht="34" customHeight="1">
      <x:c r="A65" s="40" t="str">
        <x:v>FT-SEED-R1B-P-1988-01</x:v>
      </x:c>
      <x:c r="B65" s="19" t="str">
        <x:v>1988</x:v>
      </x:c>
      <x:c r="C65" s="25" t="n">
        <x:v>1</x:v>
      </x:c>
      <x:c r="D65" s="31" t="str">
        <x:v>greenhouse effect</x:v>
      </x:c>
      <x:c r="E65" s="31" t="str">
        <x:v>INTERNET_ARCHIVE_METADATA_TEXT_ITEM_COUNT</x:v>
      </x:c>
      <x:c r="F65" s="46" t="str">
        <x:v>INTERNET_ARCHIVE_ADVANCEDSEARCH_NUMFOUND</x:v>
      </x:c>
      <x:c r="G65" s="19" t="str">
        <x:v>"greenhouse effect" AND mediatype:texts</x:v>
      </x:c>
      <x:c r="H65" s="19" t="str">
        <x:v>PHRASE_METADATA_SEARCH</x:v>
      </x:c>
      <x:c r="I65" s="31" t="str">
        <x:v>EXACT_PHRASE</x:v>
      </x:c>
      <x:c r="J65" s="25" t="n">
        <x:v>1441</x:v>
      </x:c>
      <x:c r="K65" s="25" t="n">
        <x:v>19</x:v>
      </x:c>
      <x:c r="L65" s="25" t="n">
        <x:v>156</x:v>
      </x:c>
      <x:c r="M65" s="31" t="str">
        <x:v>COMPLETED_NONZERO</x:v>
      </x:c>
      <x:c r="N65" s="19" t="str">
        <x:v>2026-08-26</x:v>
      </x:c>
      <x:c r="O65" s="31" t="str">
        <x:v>https://archive.org/advancedsearch.php</x:v>
      </x:c>
      <x:c r="P65" s="31" t="str">
        <x:v>Metadata text-item count; not a full-text lexical frequency. Secondary metric: NOT_RUN_OPENALEX_DAILY_BUDGET_EXHAUSTED: shared provider response retained; no count fabricated.</x:v>
      </x:c>
      <x:c r="Q65" s="31" t="str">
        <x:v>OPENALEX_WORK_COUNT</x:v>
      </x:c>
      <x:c r="R65" s="37" t="str">
        <x:v>NOT_APPLICABLE</x:v>
      </x:c>
    </x:row>
    <x:row r="66" ht="34" customHeight="1">
      <x:c r="A66" s="40" t="str">
        <x:v>FT-SEED-R1B-P-1988-02</x:v>
      </x:c>
      <x:c r="B66" s="19" t="str">
        <x:v>1988</x:v>
      </x:c>
      <x:c r="C66" s="25" t="n">
        <x:v>2</x:v>
      </x:c>
      <x:c r="D66" s="31" t="str">
        <x:v>global warming</x:v>
      </x:c>
      <x:c r="E66" s="31" t="str">
        <x:v>INTERNET_ARCHIVE_METADATA_TEXT_ITEM_COUNT</x:v>
      </x:c>
      <x:c r="F66" s="46" t="str">
        <x:v>INTERNET_ARCHIVE_ADVANCEDSEARCH_NUMFOUND</x:v>
      </x:c>
      <x:c r="G66" s="19" t="str">
        <x:v>"global warming" AND mediatype:texts</x:v>
      </x:c>
      <x:c r="H66" s="19" t="str">
        <x:v>PHRASE_METADATA_SEARCH</x:v>
      </x:c>
      <x:c r="I66" s="31" t="str">
        <x:v>EXACT_PHRASE</x:v>
      </x:c>
      <x:c r="J66" s="25" t="n">
        <x:v>5619</x:v>
      </x:c>
      <x:c r="K66" s="25" t="n">
        <x:v>11</x:v>
      </x:c>
      <x:c r="L66" s="25" t="n">
        <x:v>123</x:v>
      </x:c>
      <x:c r="M66" s="31" t="str">
        <x:v>COMPLETED_NONZERO</x:v>
      </x:c>
      <x:c r="N66" s="19" t="str">
        <x:v>2026-08-26</x:v>
      </x:c>
      <x:c r="O66" s="31" t="str">
        <x:v>https://archive.org/advancedsearch.php</x:v>
      </x:c>
      <x:c r="P66" s="31" t="str">
        <x:v>Metadata text-item count; not a full-text lexical frequency. Secondary metric: NOT_RUN_OPENALEX_DAILY_BUDGET_EXHAUSTED: shared provider response retained; no count fabricated.</x:v>
      </x:c>
      <x:c r="Q66" s="31" t="str">
        <x:v>OPENALEX_WORK_COUNT</x:v>
      </x:c>
      <x:c r="R66" s="37" t="str">
        <x:v>NOT_APPLICABLE</x:v>
      </x:c>
    </x:row>
    <x:row r="67" ht="34" customHeight="1">
      <x:c r="A67" s="40" t="str">
        <x:v>FT-SEED-R1B-P-1988-03</x:v>
      </x:c>
      <x:c r="B67" s="19" t="str">
        <x:v>1988</x:v>
      </x:c>
      <x:c r="C67" s="25" t="n">
        <x:v>3</x:v>
      </x:c>
      <x:c r="D67" s="31" t="str">
        <x:v>earth is warmer</x:v>
      </x:c>
      <x:c r="E67" s="31" t="str">
        <x:v>INTERNET_ARCHIVE_METADATA_TEXT_ITEM_COUNT</x:v>
      </x:c>
      <x:c r="F67" s="46" t="str">
        <x:v>INTERNET_ARCHIVE_ADVANCEDSEARCH_NUMFOUND</x:v>
      </x:c>
      <x:c r="G67" s="19" t="str">
        <x:v>"earth is warmer" AND mediatype:texts</x:v>
      </x:c>
      <x:c r="H67" s="19" t="str">
        <x:v>PHRASE_METADATA_SEARCH</x:v>
      </x:c>
      <x:c r="I67" s="31" t="str">
        <x:v>EXACT_PHRASE</x:v>
      </x:c>
      <x:c r="J67" s="25" t="n">
        <x:v>0</x:v>
      </x:c>
      <x:c r="K67" s="25" t="n">
        <x:v>0</x:v>
      </x:c>
      <x:c r="L67" s="25" t="n">
        <x:v>0</x:v>
      </x:c>
      <x:c r="M67" s="31" t="str">
        <x:v>COMPLETED_ZERO</x:v>
      </x:c>
      <x:c r="N67" s="19" t="str">
        <x:v>2026-08-26</x:v>
      </x:c>
      <x:c r="O67" s="31" t="str">
        <x:v>https://archive.org/advancedsearch.php</x:v>
      </x:c>
      <x:c r="P67" s="31" t="str">
        <x:v>Metadata text-item count; not a full-text lexical frequency. Secondary metric: NOT_RUN_OPENALEX_DAILY_BUDGET_EXHAUSTED: shared provider response retained; no count fabricated.</x:v>
      </x:c>
      <x:c r="Q67" s="31" t="str">
        <x:v>OPENALEX_WORK_COUNT</x:v>
      </x:c>
      <x:c r="R67" s="37" t="str">
        <x:v>NOT_APPLICABLE</x:v>
      </x:c>
    </x:row>
    <x:row r="68" ht="34" customHeight="1">
      <x:c r="A68" s="40" t="str">
        <x:v>FT-SEED-R1B-P-1988-04</x:v>
      </x:c>
      <x:c r="B68" s="19" t="str">
        <x:v>1988</x:v>
      </x:c>
      <x:c r="C68" s="25" t="n">
        <x:v>4</x:v>
      </x:c>
      <x:c r="D68" s="31" t="str">
        <x:v>instrumental measurements</x:v>
      </x:c>
      <x:c r="E68" s="31" t="str">
        <x:v>INTERNET_ARCHIVE_METADATA_TEXT_ITEM_COUNT</x:v>
      </x:c>
      <x:c r="F68" s="46" t="str">
        <x:v>INTERNET_ARCHIVE_ADVANCEDSEARCH_NUMFOUND</x:v>
      </x:c>
      <x:c r="G68" s="19" t="str">
        <x:v>"instrumental measurements" AND mediatype:texts</x:v>
      </x:c>
      <x:c r="H68" s="19" t="str">
        <x:v>PHRASE_METADATA_SEARCH</x:v>
      </x:c>
      <x:c r="I68" s="31" t="str">
        <x:v>EXACT_PHRASE</x:v>
      </x:c>
      <x:c r="J68" s="25" t="n">
        <x:v>13</x:v>
      </x:c>
      <x:c r="K68" s="25" t="n">
        <x:v>0</x:v>
      </x:c>
      <x:c r="L68" s="25" t="n">
        <x:v>1</x:v>
      </x:c>
      <x:c r="M68" s="31" t="str">
        <x:v>COMPLETED_NONZERO</x:v>
      </x:c>
      <x:c r="N68" s="19" t="str">
        <x:v>2026-08-26</x:v>
      </x:c>
      <x:c r="O68" s="31" t="str">
        <x:v>https://archive.org/advancedsearch.php</x:v>
      </x:c>
      <x:c r="P68" s="31" t="str">
        <x:v>Metadata text-item count; not a full-text lexical frequency. Secondary metric: NOT_RUN_OPENALEX_DAILY_BUDGET_EXHAUSTED: shared provider response retained; no count fabricated.</x:v>
      </x:c>
      <x:c r="Q68" s="31" t="str">
        <x:v>OPENALEX_WORK_COUNT</x:v>
      </x:c>
      <x:c r="R68" s="37" t="str">
        <x:v>NOT_APPLICABLE</x:v>
      </x:c>
    </x:row>
    <x:row r="69" ht="34" customHeight="1">
      <x:c r="A69" s="40" t="str">
        <x:v>FT-SEED-R1B-P-1988-05</x:v>
      </x:c>
      <x:c r="B69" s="19" t="str">
        <x:v>1988</x:v>
      </x:c>
      <x:c r="C69" s="25" t="n">
        <x:v>5</x:v>
      </x:c>
      <x:c r="D69" s="31" t="str">
        <x:v>cause-and-effect relationship</x:v>
      </x:c>
      <x:c r="E69" s="31" t="str">
        <x:v>INTERNET_ARCHIVE_METADATA_TEXT_ITEM_COUNT</x:v>
      </x:c>
      <x:c r="F69" s="46" t="str">
        <x:v>INTERNET_ARCHIVE_ADVANCEDSEARCH_NUMFOUND</x:v>
      </x:c>
      <x:c r="G69" s="19" t="str">
        <x:v>"cause-and-effect relationship" AND mediatype:texts</x:v>
      </x:c>
      <x:c r="H69" s="19" t="str">
        <x:v>PHRASE_METADATA_SEARCH</x:v>
      </x:c>
      <x:c r="I69" s="31" t="str">
        <x:v>EXACT_PHRASE</x:v>
      </x:c>
      <x:c r="J69" s="25" t="n">
        <x:v>118</x:v>
      </x:c>
      <x:c r="K69" s="25" t="n">
        <x:v>1</x:v>
      </x:c>
      <x:c r="L69" s="25" t="n">
        <x:v>9</x:v>
      </x:c>
      <x:c r="M69" s="31" t="str">
        <x:v>COMPLETED_NONZERO</x:v>
      </x:c>
      <x:c r="N69" s="19" t="str">
        <x:v>2026-08-26</x:v>
      </x:c>
      <x:c r="O69" s="31" t="str">
        <x:v>https://archive.org/advancedsearch.php</x:v>
      </x:c>
      <x:c r="P69" s="31" t="str">
        <x:v>Metadata text-item count; not a full-text lexical frequency. Secondary metric: Scholarly work discoverability count over OpenAlex search fields; not a corpus word frequency.</x:v>
      </x:c>
      <x:c r="Q69" s="31" t="str">
        <x:v>OPENALEX_WORK_COUNT</x:v>
      </x:c>
      <x:c r="R69" s="37" t="n">
        <x:v>50251</x:v>
      </x:c>
    </x:row>
    <x:row r="70" ht="34" customHeight="1">
      <x:c r="A70" s="40" t="str">
        <x:v>FT-SEED-R1B-P-1988-06</x:v>
      </x:c>
      <x:c r="B70" s="19" t="str">
        <x:v>1988</x:v>
      </x:c>
      <x:c r="C70" s="25" t="n">
        <x:v>6</x:v>
      </x:c>
      <x:c r="D70" s="31" t="str">
        <x:v>global temperature</x:v>
      </x:c>
      <x:c r="E70" s="31" t="str">
        <x:v>INTERNET_ARCHIVE_METADATA_TEXT_ITEM_COUNT</x:v>
      </x:c>
      <x:c r="F70" s="46" t="str">
        <x:v>INTERNET_ARCHIVE_ADVANCEDSEARCH_NUMFOUND</x:v>
      </x:c>
      <x:c r="G70" s="19" t="str">
        <x:v>"global temperature" AND mediatype:texts</x:v>
      </x:c>
      <x:c r="H70" s="19" t="str">
        <x:v>PHRASE_METADATA_SEARCH</x:v>
      </x:c>
      <x:c r="I70" s="31" t="str">
        <x:v>EXACT_PHRASE</x:v>
      </x:c>
      <x:c r="J70" s="25" t="n">
        <x:v>328</x:v>
      </x:c>
      <x:c r="K70" s="25" t="n">
        <x:v>2</x:v>
      </x:c>
      <x:c r="L70" s="25" t="n">
        <x:v>18</x:v>
      </x:c>
      <x:c r="M70" s="31" t="str">
        <x:v>COMPLETED_NONZERO</x:v>
      </x:c>
      <x:c r="N70" s="19" t="str">
        <x:v>2026-08-26</x:v>
      </x:c>
      <x:c r="O70" s="31" t="str">
        <x:v>https://archive.org/advancedsearch.php</x:v>
      </x:c>
      <x:c r="P70" s="31" t="str">
        <x:v>Metadata text-item count; not a full-text lexical frequency. Secondary metric: NOT_RUN_OPENALEX_DAILY_BUDGET_EXHAUSTED: shared provider response retained; no count fabricated.</x:v>
      </x:c>
      <x:c r="Q70" s="31" t="str">
        <x:v>OPENALEX_WORK_COUNT</x:v>
      </x:c>
      <x:c r="R70" s="37" t="str">
        <x:v>NOT_APPLICABLE</x:v>
      </x:c>
    </x:row>
    <x:row r="71" ht="34" customHeight="1">
      <x:c r="A71" s="40" t="str">
        <x:v>FT-SEED-R1B-P-1988-07</x:v>
      </x:c>
      <x:c r="B71" s="19" t="str">
        <x:v>1988</x:v>
      </x:c>
      <x:c r="C71" s="25" t="n">
        <x:v>7</x:v>
      </x:c>
      <x:c r="D71" s="31" t="str">
        <x:v>regional heat waves</x:v>
      </x:c>
      <x:c r="E71" s="31" t="str">
        <x:v>INTERNET_ARCHIVE_METADATA_TEXT_ITEM_COUNT</x:v>
      </x:c>
      <x:c r="F71" s="46" t="str">
        <x:v>INTERNET_ARCHIVE_ADVANCEDSEARCH_NUMFOUND</x:v>
      </x:c>
      <x:c r="G71" s="19" t="str">
        <x:v>"regional heat waves" AND mediatype:texts</x:v>
      </x:c>
      <x:c r="H71" s="19" t="str">
        <x:v>PHRASE_METADATA_SEARCH</x:v>
      </x:c>
      <x:c r="I71" s="31" t="str">
        <x:v>EXACT_PHRASE</x:v>
      </x:c>
      <x:c r="J71" s="25" t="n">
        <x:v>0</x:v>
      </x:c>
      <x:c r="K71" s="25" t="n">
        <x:v>0</x:v>
      </x:c>
      <x:c r="L71" s="25" t="n">
        <x:v>0</x:v>
      </x:c>
      <x:c r="M71" s="31" t="str">
        <x:v>COMPLETED_ZERO</x:v>
      </x:c>
      <x:c r="N71" s="19" t="str">
        <x:v>2026-08-26</x:v>
      </x:c>
      <x:c r="O71" s="31" t="str">
        <x:v>https://archive.org/advancedsearch.php</x:v>
      </x:c>
      <x:c r="P71" s="31" t="str">
        <x:v>Metadata text-item count; not a full-text lexical frequency. Secondary metric: NOT_RUN_OPENALEX_DAILY_BUDGET_EXHAUSTED: shared provider response retained; no count fabricated.</x:v>
      </x:c>
      <x:c r="Q71" s="31" t="str">
        <x:v>OPENALEX_WORK_COUNT</x:v>
      </x:c>
      <x:c r="R71" s="37" t="str">
        <x:v>NOT_APPLICABLE</x:v>
      </x:c>
    </x:row>
    <x:row r="72" ht="34" customHeight="1">
      <x:c r="A72" s="40" t="str">
        <x:v>FT-SEED-R1B-P-1988-08</x:v>
      </x:c>
      <x:c r="B72" s="19" t="str">
        <x:v>1988</x:v>
      </x:c>
      <x:c r="C72" s="25" t="n">
        <x:v>8</x:v>
      </x:c>
      <x:c r="D72" s="31" t="str">
        <x:v>heat wave</x:v>
      </x:c>
      <x:c r="E72" s="31" t="str">
        <x:v>INTERNET_ARCHIVE_METADATA_TEXT_ITEM_COUNT</x:v>
      </x:c>
      <x:c r="F72" s="46" t="str">
        <x:v>INTERNET_ARCHIVE_ADVANCEDSEARCH_NUMFOUND</x:v>
      </x:c>
      <x:c r="G72" s="19" t="str">
        <x:v>"heat wave" AND mediatype:texts</x:v>
      </x:c>
      <x:c r="H72" s="19" t="str">
        <x:v>PHRASE_METADATA_SEARCH</x:v>
      </x:c>
      <x:c r="I72" s="31" t="str">
        <x:v>EXACT_PHRASE</x:v>
      </x:c>
      <x:c r="J72" s="25" t="n">
        <x:v>957</x:v>
      </x:c>
      <x:c r="K72" s="25" t="n">
        <x:v>7</x:v>
      </x:c>
      <x:c r="L72" s="25" t="n">
        <x:v>64</x:v>
      </x:c>
      <x:c r="M72" s="31" t="str">
        <x:v>COMPLETED_NONZERO</x:v>
      </x:c>
      <x:c r="N72" s="19" t="str">
        <x:v>2026-08-26</x:v>
      </x:c>
      <x:c r="O72" s="31" t="str">
        <x:v>https://archive.org/advancedsearch.php</x:v>
      </x:c>
      <x:c r="P72" s="31" t="str">
        <x:v>Metadata text-item count; not a full-text lexical frequency. Secondary metric: NOT_RUN_OPENALEX_DAILY_BUDGET_EXHAUSTED: shared provider response retained; no count fabricated.</x:v>
      </x:c>
      <x:c r="Q72" s="31" t="str">
        <x:v>OPENALEX_WORK_COUNT</x:v>
      </x:c>
      <x:c r="R72" s="37" t="str">
        <x:v>NOT_APPLICABLE</x:v>
      </x:c>
    </x:row>
    <x:row r="73" ht="34" customHeight="1">
      <x:c r="A73" s="40" t="str">
        <x:v>FT-SEED-R1B-P-1988-09</x:v>
      </x:c>
      <x:c r="B73" s="19" t="str">
        <x:v>1988</x:v>
      </x:c>
      <x:c r="C73" s="25" t="n">
        <x:v>9</x:v>
      </x:c>
      <x:c r="D73" s="31" t="str">
        <x:v>drought</x:v>
      </x:c>
      <x:c r="E73" s="31" t="str">
        <x:v>INTERNET_ARCHIVE_METADATA_TEXT_ITEM_COUNT</x:v>
      </x:c>
      <x:c r="F73" s="46" t="str">
        <x:v>INTERNET_ARCHIVE_ADVANCEDSEARCH_NUMFOUND</x:v>
      </x:c>
      <x:c r="G73" s="19" t="str">
        <x:v>"drought" AND mediatype:texts</x:v>
      </x:c>
      <x:c r="H73" s="19" t="str">
        <x:v>PHRASE_METADATA_SEARCH</x:v>
      </x:c>
      <x:c r="I73" s="31" t="str">
        <x:v>EXACT_PHRASE</x:v>
      </x:c>
      <x:c r="J73" s="25" t="n">
        <x:v>10647</x:v>
      </x:c>
      <x:c r="K73" s="25" t="n">
        <x:v>84</x:v>
      </x:c>
      <x:c r="L73" s="25" t="n">
        <x:v>298</x:v>
      </x:c>
      <x:c r="M73" s="31" t="str">
        <x:v>COMPLETED_NONZERO</x:v>
      </x:c>
      <x:c r="N73" s="19" t="str">
        <x:v>2026-08-26</x:v>
      </x:c>
      <x:c r="O73" s="31" t="str">
        <x:v>https://archive.org/advancedsearch.php</x:v>
      </x:c>
      <x:c r="P73" s="31" t="str">
        <x:v>Metadata text-item count; not a full-text lexical frequency. Secondary metric: NOT_RUN_OPENALEX_DAILY_BUDGET_EXHAUSTED: shared provider response retained; no count fabricated.</x:v>
      </x:c>
      <x:c r="Q73" s="31" t="str">
        <x:v>OPENALEX_WORK_COUNT</x:v>
      </x:c>
      <x:c r="R73" s="37" t="str">
        <x:v>NOT_APPLICABLE</x:v>
      </x:c>
    </x:row>
    <x:row r="74" ht="34" customHeight="1">
      <x:c r="A74" s="40" t="str">
        <x:v>FT-SEED-R1B-P-1988-10</x:v>
      </x:c>
      <x:c r="B74" s="19" t="str">
        <x:v>1988</x:v>
      </x:c>
      <x:c r="C74" s="25" t="n">
        <x:v>10</x:v>
      </x:c>
      <x:c r="D74" s="31" t="str">
        <x:v>heat wave/drought occurrences</x:v>
      </x:c>
      <x:c r="E74" s="31" t="str">
        <x:v>INTERNET_ARCHIVE_METADATA_TEXT_ITEM_COUNT</x:v>
      </x:c>
      <x:c r="F74" s="46" t="str">
        <x:v>INTERNET_ARCHIVE_ADVANCEDSEARCH_NUMFOUND</x:v>
      </x:c>
      <x:c r="G74" s="19" t="str">
        <x:v>"heat wave/drought occurrences" AND mediatype:texts</x:v>
      </x:c>
      <x:c r="H74" s="19" t="str">
        <x:v>PHRASE_METADATA_SEARCH</x:v>
      </x:c>
      <x:c r="I74" s="31" t="str">
        <x:v>EXACT_PHRASE</x:v>
      </x:c>
      <x:c r="J74" s="25" t="n">
        <x:v>0</x:v>
      </x:c>
      <x:c r="K74" s="25" t="n">
        <x:v>0</x:v>
      </x:c>
      <x:c r="L74" s="25" t="n">
        <x:v>0</x:v>
      </x:c>
      <x:c r="M74" s="31" t="str">
        <x:v>COMPLETED_ZERO</x:v>
      </x:c>
      <x:c r="N74" s="19" t="str">
        <x:v>2026-08-26</x:v>
      </x:c>
      <x:c r="O74" s="31" t="str">
        <x:v>https://archive.org/advancedsearch.php</x:v>
      </x:c>
      <x:c r="P74" s="31" t="str">
        <x:v>Metadata text-item count; not a full-text lexical frequency. Secondary metric: NOT_RUN_OPENALEX_DAILY_BUDGET_EXHAUSTED: shared provider response retained; no count fabricated.</x:v>
      </x:c>
      <x:c r="Q74" s="31" t="str">
        <x:v>OPENALEX_WORK_COUNT</x:v>
      </x:c>
      <x:c r="R74" s="37" t="str">
        <x:v>NOT_APPLICABLE</x:v>
      </x:c>
    </x:row>
    <x:row r="75" ht="34" customHeight="1">
      <x:c r="A75" s="40" t="str">
        <x:v>FT-SEED-R1B-P-1988-11</x:v>
      </x:c>
      <x:c r="B75" s="19" t="str">
        <x:v>1988</x:v>
      </x:c>
      <x:c r="C75" s="25" t="n">
        <x:v>11</x:v>
      </x:c>
      <x:c r="D75" s="31" t="str">
        <x:v>extreme events</x:v>
      </x:c>
      <x:c r="E75" s="31" t="str">
        <x:v>INTERNET_ARCHIVE_METADATA_TEXT_ITEM_COUNT</x:v>
      </x:c>
      <x:c r="F75" s="46" t="str">
        <x:v>INTERNET_ARCHIVE_ADVANCEDSEARCH_NUMFOUND</x:v>
      </x:c>
      <x:c r="G75" s="19" t="str">
        <x:v>"extreme events" AND mediatype:texts</x:v>
      </x:c>
      <x:c r="H75" s="19" t="str">
        <x:v>PHRASE_METADATA_SEARCH</x:v>
      </x:c>
      <x:c r="I75" s="31" t="str">
        <x:v>EXACT_PHRASE</x:v>
      </x:c>
      <x:c r="J75" s="25" t="n">
        <x:v>515</x:v>
      </x:c>
      <x:c r="K75" s="25" t="n">
        <x:v>1</x:v>
      </x:c>
      <x:c r="L75" s="25" t="n">
        <x:v>6</x:v>
      </x:c>
      <x:c r="M75" s="31" t="str">
        <x:v>COMPLETED_NONZERO</x:v>
      </x:c>
      <x:c r="N75" s="19" t="str">
        <x:v>2026-08-26</x:v>
      </x:c>
      <x:c r="O75" s="31" t="str">
        <x:v>https://archive.org/advancedsearch.php</x:v>
      </x:c>
      <x:c r="P75" s="31" t="str">
        <x:v>Metadata text-item count; not a full-text lexical frequency. Secondary metric: NOT_RUN_OPENALEX_DAILY_BUDGET_EXHAUSTED: shared provider response retained; no count fabricated.</x:v>
      </x:c>
      <x:c r="Q75" s="31" t="str">
        <x:v>OPENALEX_WORK_COUNT</x:v>
      </x:c>
      <x:c r="R75" s="37" t="str">
        <x:v>NOT_APPLICABLE</x:v>
      </x:c>
    </x:row>
    <x:row r="76" ht="34" customHeight="1">
      <x:c r="A76" s="40" t="str">
        <x:v>FT-SEED-R1B-P-1988-12</x:v>
      </x:c>
      <x:c r="B76" s="19" t="str">
        <x:v>1988</x:v>
      </x:c>
      <x:c r="C76" s="25" t="n">
        <x:v>12</x:v>
      </x:c>
      <x:c r="D76" s="31" t="str">
        <x:v>global climate models</x:v>
      </x:c>
      <x:c r="E76" s="31" t="str">
        <x:v>INTERNET_ARCHIVE_METADATA_TEXT_ITEM_COUNT</x:v>
      </x:c>
      <x:c r="F76" s="46" t="str">
        <x:v>INTERNET_ARCHIVE_ADVANCEDSEARCH_NUMFOUND</x:v>
      </x:c>
      <x:c r="G76" s="19" t="str">
        <x:v>"global climate models" AND mediatype:texts</x:v>
      </x:c>
      <x:c r="H76" s="19" t="str">
        <x:v>PHRASE_METADATA_SEARCH</x:v>
      </x:c>
      <x:c r="I76" s="31" t="str">
        <x:v>EXACT_PHRASE</x:v>
      </x:c>
      <x:c r="J76" s="25" t="n">
        <x:v>180</x:v>
      </x:c>
      <x:c r="K76" s="25" t="n">
        <x:v>0</x:v>
      </x:c>
      <x:c r="L76" s="25" t="n">
        <x:v>3</x:v>
      </x:c>
      <x:c r="M76" s="31" t="str">
        <x:v>COMPLETED_NONZERO</x:v>
      </x:c>
      <x:c r="N76" s="19" t="str">
        <x:v>2026-08-26</x:v>
      </x:c>
      <x:c r="O76" s="31" t="str">
        <x:v>https://archive.org/advancedsearch.php</x:v>
      </x:c>
      <x:c r="P76" s="31" t="str">
        <x:v>Metadata text-item count; not a full-text lexical frequency. Secondary metric: NOT_RUN_OPENALEX_DAILY_BUDGET_EXHAUSTED: shared provider response retained; no count fabricated.</x:v>
      </x:c>
      <x:c r="Q76" s="31" t="str">
        <x:v>OPENALEX_WORK_COUNT</x:v>
      </x:c>
      <x:c r="R76" s="37" t="str">
        <x:v>NOT_APPLICABLE</x:v>
      </x:c>
    </x:row>
    <x:row r="77" ht="34" customHeight="1">
      <x:c r="A77" s="40" t="str">
        <x:v>FT-SEED-R1B-P-1988-13</x:v>
      </x:c>
      <x:c r="B77" s="19" t="str">
        <x:v>1988</x:v>
      </x:c>
      <x:c r="C77" s="25" t="n">
        <x:v>13</x:v>
      </x:c>
      <x:c r="D77" s="31" t="str">
        <x:v>global observations</x:v>
      </x:c>
      <x:c r="E77" s="31" t="str">
        <x:v>INTERNET_ARCHIVE_METADATA_TEXT_ITEM_COUNT</x:v>
      </x:c>
      <x:c r="F77" s="46" t="str">
        <x:v>INTERNET_ARCHIVE_ADVANCEDSEARCH_NUMFOUND</x:v>
      </x:c>
      <x:c r="G77" s="19" t="str">
        <x:v>"global observations" AND mediatype:texts</x:v>
      </x:c>
      <x:c r="H77" s="19" t="str">
        <x:v>PHRASE_METADATA_SEARCH</x:v>
      </x:c>
      <x:c r="I77" s="31" t="str">
        <x:v>EXACT_PHRASE</x:v>
      </x:c>
      <x:c r="J77" s="25" t="n">
        <x:v>87</x:v>
      </x:c>
      <x:c r="K77" s="25" t="n">
        <x:v>0</x:v>
      </x:c>
      <x:c r="L77" s="25" t="n">
        <x:v>2</x:v>
      </x:c>
      <x:c r="M77" s="31" t="str">
        <x:v>COMPLETED_NONZERO</x:v>
      </x:c>
      <x:c r="N77" s="19" t="str">
        <x:v>2026-08-26</x:v>
      </x:c>
      <x:c r="O77" s="31" t="str">
        <x:v>https://archive.org/advancedsearch.php</x:v>
      </x:c>
      <x:c r="P77" s="31" t="str">
        <x:v>Metadata text-item count; not a full-text lexical frequency. Secondary metric: NOT_RUN_OPENALEX_DAILY_BUDGET_EXHAUSTED: shared provider response retained; no count fabricated.</x:v>
      </x:c>
      <x:c r="Q77" s="31" t="str">
        <x:v>OPENALEX_WORK_COUNT</x:v>
      </x:c>
      <x:c r="R77" s="37" t="str">
        <x:v>NOT_APPLICABLE</x:v>
      </x:c>
    </x:row>
    <x:row r="78" ht="34" customHeight="1">
      <x:c r="A78" s="40" t="str">
        <x:v>FT-SEED-R1B-P-1988-14</x:v>
      </x:c>
      <x:c r="B78" s="19" t="str">
        <x:v>1988</x:v>
      </x:c>
      <x:c r="C78" s="25" t="n">
        <x:v>14</x:v>
      </x:c>
      <x:c r="D78" s="31" t="str">
        <x:v>warm air</x:v>
      </x:c>
      <x:c r="E78" s="31" t="str">
        <x:v>INTERNET_ARCHIVE_METADATA_TEXT_ITEM_COUNT</x:v>
      </x:c>
      <x:c r="F78" s="46" t="str">
        <x:v>INTERNET_ARCHIVE_ADVANCEDSEARCH_NUMFOUND</x:v>
      </x:c>
      <x:c r="G78" s="19" t="str">
        <x:v>"warm air" AND mediatype:texts</x:v>
      </x:c>
      <x:c r="H78" s="19" t="str">
        <x:v>PHRASE_METADATA_SEARCH</x:v>
      </x:c>
      <x:c r="I78" s="31" t="str">
        <x:v>EXACT_PHRASE</x:v>
      </x:c>
      <x:c r="J78" s="25" t="n">
        <x:v>376</x:v>
      </x:c>
      <x:c r="K78" s="25" t="n">
        <x:v>2</x:v>
      </x:c>
      <x:c r="L78" s="25" t="n">
        <x:v>13</x:v>
      </x:c>
      <x:c r="M78" s="31" t="str">
        <x:v>COMPLETED_NONZERO</x:v>
      </x:c>
      <x:c r="N78" s="19" t="str">
        <x:v>2026-08-26</x:v>
      </x:c>
      <x:c r="O78" s="31" t="str">
        <x:v>https://archive.org/advancedsearch.php</x:v>
      </x:c>
      <x:c r="P78" s="31" t="str">
        <x:v>Metadata text-item count; not a full-text lexical frequency. Secondary metric: NOT_RUN_OPENALEX_DAILY_BUDGET_EXHAUSTED: shared provider response retained; no count fabricated.</x:v>
      </x:c>
      <x:c r="Q78" s="31" t="str">
        <x:v>OPENALEX_WORK_COUNT</x:v>
      </x:c>
      <x:c r="R78" s="37" t="str">
        <x:v>NOT_APPLICABLE</x:v>
      </x:c>
    </x:row>
    <x:row r="79" ht="34" customHeight="1">
      <x:c r="A79" s="40" t="str">
        <x:v>FT-SEED-R1B-P-1988-15</x:v>
      </x:c>
      <x:c r="B79" s="19" t="str">
        <x:v>1988</x:v>
      </x:c>
      <x:c r="C79" s="25" t="n">
        <x:v>15</x:v>
      </x:c>
      <x:c r="D79" s="31" t="str">
        <x:v>changing atmosphere</x:v>
      </x:c>
      <x:c r="E79" s="31" t="str">
        <x:v>INTERNET_ARCHIVE_METADATA_TEXT_ITEM_COUNT</x:v>
      </x:c>
      <x:c r="F79" s="46" t="str">
        <x:v>INTERNET_ARCHIVE_ADVANCEDSEARCH_NUMFOUND</x:v>
      </x:c>
      <x:c r="G79" s="19" t="str">
        <x:v>"changing atmosphere" AND mediatype:texts</x:v>
      </x:c>
      <x:c r="H79" s="19" t="str">
        <x:v>PHRASE_METADATA_SEARCH</x:v>
      </x:c>
      <x:c r="I79" s="31" t="str">
        <x:v>EXACT_PHRASE</x:v>
      </x:c>
      <x:c r="J79" s="25" t="n">
        <x:v>37</x:v>
      </x:c>
      <x:c r="K79" s="25" t="n">
        <x:v>2</x:v>
      </x:c>
      <x:c r="L79" s="25" t="n">
        <x:v>8</x:v>
      </x:c>
      <x:c r="M79" s="31" t="str">
        <x:v>COMPLETED_NONZERO</x:v>
      </x:c>
      <x:c r="N79" s="19" t="str">
        <x:v>2026-08-26</x:v>
      </x:c>
      <x:c r="O79" s="31" t="str">
        <x:v>https://archive.org/advancedsearch.php</x:v>
      </x:c>
      <x:c r="P79" s="31" t="str">
        <x:v>Metadata text-item count; not a full-text lexical frequency. Secondary metric: Scholarly work discoverability count over OpenAlex search fields; not a corpus word frequency.</x:v>
      </x:c>
      <x:c r="Q79" s="31" t="str">
        <x:v>OPENALEX_WORK_COUNT</x:v>
      </x:c>
      <x:c r="R79" s="37" t="n">
        <x:v>2410</x:v>
      </x:c>
    </x:row>
    <x:row r="80" ht="34" customHeight="1">
      <x:c r="A80" s="40" t="str">
        <x:v>FT-SEED-R1B-P-1988-16</x:v>
      </x:c>
      <x:c r="B80" s="19" t="str">
        <x:v>1988</x:v>
      </x:c>
      <x:c r="C80" s="25" t="n">
        <x:v>16</x:v>
      </x:c>
      <x:c r="D80" s="31" t="str">
        <x:v>global security</x:v>
      </x:c>
      <x:c r="E80" s="31" t="str">
        <x:v>INTERNET_ARCHIVE_METADATA_TEXT_ITEM_COUNT</x:v>
      </x:c>
      <x:c r="F80" s="46" t="str">
        <x:v>INTERNET_ARCHIVE_ADVANCEDSEARCH_NUMFOUND</x:v>
      </x:c>
      <x:c r="G80" s="19" t="str">
        <x:v>"global security" AND mediatype:texts</x:v>
      </x:c>
      <x:c r="H80" s="19" t="str">
        <x:v>PHRASE_METADATA_SEARCH</x:v>
      </x:c>
      <x:c r="I80" s="31" t="str">
        <x:v>EXACT_PHRASE</x:v>
      </x:c>
      <x:c r="J80" s="25" t="n">
        <x:v>946</x:v>
      </x:c>
      <x:c r="K80" s="25" t="n">
        <x:v>12</x:v>
      </x:c>
      <x:c r="L80" s="25" t="n">
        <x:v>44</x:v>
      </x:c>
      <x:c r="M80" s="31" t="str">
        <x:v>COMPLETED_NONZERO</x:v>
      </x:c>
      <x:c r="N80" s="19" t="str">
        <x:v>2026-08-26</x:v>
      </x:c>
      <x:c r="O80" s="31" t="str">
        <x:v>https://archive.org/advancedsearch.php</x:v>
      </x:c>
      <x:c r="P80" s="31" t="str">
        <x:v>Metadata text-item count; not a full-text lexical frequency. Secondary metric: NOT_RUN_OPENALEX_DAILY_BUDGET_EXHAUSTED: shared provider response retained; no count fabricated.</x:v>
      </x:c>
      <x:c r="Q80" s="31" t="str">
        <x:v>OPENALEX_WORK_COUNT</x:v>
      </x:c>
      <x:c r="R80" s="37" t="str">
        <x:v>NOT_APPLICABLE</x:v>
      </x:c>
    </x:row>
    <x:row r="81" ht="34" customHeight="1">
      <x:c r="A81" s="40" t="str">
        <x:v>FT-SEED-R1B-P-1988-17</x:v>
      </x:c>
      <x:c r="B81" s="19" t="str">
        <x:v>1988</x:v>
      </x:c>
      <x:c r="C81" s="25" t="n">
        <x:v>17</x:v>
      </x:c>
      <x:c r="D81" s="31" t="str">
        <x:v>climate warming</x:v>
      </x:c>
      <x:c r="E81" s="31" t="str">
        <x:v>INTERNET_ARCHIVE_METADATA_TEXT_ITEM_COUNT</x:v>
      </x:c>
      <x:c r="F81" s="46" t="str">
        <x:v>INTERNET_ARCHIVE_ADVANCEDSEARCH_NUMFOUND</x:v>
      </x:c>
      <x:c r="G81" s="19" t="str">
        <x:v>"climate warming" AND mediatype:texts</x:v>
      </x:c>
      <x:c r="H81" s="19" t="str">
        <x:v>PHRASE_METADATA_SEARCH</x:v>
      </x:c>
      <x:c r="I81" s="31" t="str">
        <x:v>EXACT_PHRASE</x:v>
      </x:c>
      <x:c r="J81" s="25" t="n">
        <x:v>237</x:v>
      </x:c>
      <x:c r="K81" s="25" t="n">
        <x:v>1</x:v>
      </x:c>
      <x:c r="L81" s="25" t="n">
        <x:v>5</x:v>
      </x:c>
      <x:c r="M81" s="31" t="str">
        <x:v>COMPLETED_NONZERO</x:v>
      </x:c>
      <x:c r="N81" s="19" t="str">
        <x:v>2026-08-26</x:v>
      </x:c>
      <x:c r="O81" s="31" t="str">
        <x:v>https://archive.org/advancedsearch.php</x:v>
      </x:c>
      <x:c r="P81" s="31" t="str">
        <x:v>Metadata text-item count; not a full-text lexical frequency. Secondary metric: Scholarly work discoverability count over OpenAlex search fields; not a corpus word frequency.</x:v>
      </x:c>
      <x:c r="Q81" s="31" t="str">
        <x:v>OPENALEX_WORK_COUNT</x:v>
      </x:c>
      <x:c r="R81" s="37" t="n">
        <x:v>106345</x:v>
      </x:c>
    </x:row>
    <x:row r="82" ht="34" customHeight="1">
      <x:c r="A82" s="40" t="str">
        <x:v>FT-SEED-R1B-P-1988-18</x:v>
      </x:c>
      <x:c r="B82" s="19" t="str">
        <x:v>1988</x:v>
      </x:c>
      <x:c r="C82" s="25" t="n">
        <x:v>18</x:v>
      </x:c>
      <x:c r="D82" s="31" t="str">
        <x:v>changed climatic extremes</x:v>
      </x:c>
      <x:c r="E82" s="31" t="str">
        <x:v>INTERNET_ARCHIVE_METADATA_TEXT_ITEM_COUNT</x:v>
      </x:c>
      <x:c r="F82" s="46" t="str">
        <x:v>INTERNET_ARCHIVE_ADVANCEDSEARCH_NUMFOUND</x:v>
      </x:c>
      <x:c r="G82" s="19" t="str">
        <x:v>"changed climatic extremes" AND mediatype:texts</x:v>
      </x:c>
      <x:c r="H82" s="19" t="str">
        <x:v>PHRASE_METADATA_SEARCH</x:v>
      </x:c>
      <x:c r="I82" s="31" t="str">
        <x:v>EXACT_PHRASE</x:v>
      </x:c>
      <x:c r="J82" s="25" t="n">
        <x:v>0</x:v>
      </x:c>
      <x:c r="K82" s="25" t="n">
        <x:v>0</x:v>
      </x:c>
      <x:c r="L82" s="25" t="n">
        <x:v>0</x:v>
      </x:c>
      <x:c r="M82" s="31" t="str">
        <x:v>COMPLETED_ZERO</x:v>
      </x:c>
      <x:c r="N82" s="19" t="str">
        <x:v>2026-08-26</x:v>
      </x:c>
      <x:c r="O82" s="31" t="str">
        <x:v>https://archive.org/advancedsearch.php</x:v>
      </x:c>
      <x:c r="P82" s="31" t="str">
        <x:v>Metadata text-item count; not a full-text lexical frequency. Secondary metric: Scholarly work discoverability count over OpenAlex search fields; not a corpus word frequency.</x:v>
      </x:c>
      <x:c r="Q82" s="31" t="str">
        <x:v>OPENALEX_WORK_COUNT</x:v>
      </x:c>
      <x:c r="R82" s="37" t="n">
        <x:v>1</x:v>
      </x:c>
    </x:row>
    <x:row r="83" ht="34" customHeight="1">
      <x:c r="A83" s="40" t="str">
        <x:v>FT-SEED-R1B-P-1988-19</x:v>
      </x:c>
      <x:c r="B83" s="19" t="str">
        <x:v>1988</x:v>
      </x:c>
      <x:c r="C83" s="25" t="n">
        <x:v>19</x:v>
      </x:c>
      <x:c r="D83" s="31" t="str">
        <x:v>major threat</x:v>
      </x:c>
      <x:c r="E83" s="31" t="str">
        <x:v>INTERNET_ARCHIVE_METADATA_TEXT_ITEM_COUNT</x:v>
      </x:c>
      <x:c r="F83" s="46" t="str">
        <x:v>INTERNET_ARCHIVE_ADVANCEDSEARCH_NUMFOUND</x:v>
      </x:c>
      <x:c r="G83" s="19" t="str">
        <x:v>"major threat" AND mediatype:texts</x:v>
      </x:c>
      <x:c r="H83" s="19" t="str">
        <x:v>PHRASE_METADATA_SEARCH</x:v>
      </x:c>
      <x:c r="I83" s="31" t="str">
        <x:v>EXACT_PHRASE</x:v>
      </x:c>
      <x:c r="J83" s="25" t="n">
        <x:v>659</x:v>
      </x:c>
      <x:c r="K83" s="25" t="n">
        <x:v>16</x:v>
      </x:c>
      <x:c r="L83" s="25" t="n">
        <x:v>82</x:v>
      </x:c>
      <x:c r="M83" s="31" t="str">
        <x:v>COMPLETED_NONZERO</x:v>
      </x:c>
      <x:c r="N83" s="19" t="str">
        <x:v>2026-08-26</x:v>
      </x:c>
      <x:c r="O83" s="31" t="str">
        <x:v>https://archive.org/advancedsearch.php</x:v>
      </x:c>
      <x:c r="P83" s="31" t="str">
        <x:v>Metadata text-item count; not a full-text lexical frequency. Secondary metric: NOT_RUN_OPENALEX_DAILY_BUDGET_EXHAUSTED: shared provider response retained; no count fabricated.</x:v>
      </x:c>
      <x:c r="Q83" s="31" t="str">
        <x:v>OPENALEX_WORK_COUNT</x:v>
      </x:c>
      <x:c r="R83" s="37" t="str">
        <x:v>NOT_APPLICABLE</x:v>
      </x:c>
    </x:row>
    <x:row r="84" ht="34" customHeight="1">
      <x:c r="A84" s="40" t="str">
        <x:v>FT-SEED-R1B-P-1988-20</x:v>
      </x:c>
      <x:c r="B84" s="19" t="str">
        <x:v>1988</x:v>
      </x:c>
      <x:c r="C84" s="25" t="n">
        <x:v>20</x:v>
      </x:c>
      <x:c r="D84" s="31" t="str">
        <x:v>harmful consequences</x:v>
      </x:c>
      <x:c r="E84" s="31" t="str">
        <x:v>INTERNET_ARCHIVE_METADATA_TEXT_ITEM_COUNT</x:v>
      </x:c>
      <x:c r="F84" s="46" t="str">
        <x:v>INTERNET_ARCHIVE_ADVANCEDSEARCH_NUMFOUND</x:v>
      </x:c>
      <x:c r="G84" s="19" t="str">
        <x:v>"harmful consequences" AND mediatype:texts</x:v>
      </x:c>
      <x:c r="H84" s="19" t="str">
        <x:v>PHRASE_METADATA_SEARCH</x:v>
      </x:c>
      <x:c r="I84" s="31" t="str">
        <x:v>EXACT_PHRASE</x:v>
      </x:c>
      <x:c r="J84" s="25" t="n">
        <x:v>111</x:v>
      </x:c>
      <x:c r="K84" s="25" t="n">
        <x:v>2</x:v>
      </x:c>
      <x:c r="L84" s="25" t="n">
        <x:v>4</x:v>
      </x:c>
      <x:c r="M84" s="31" t="str">
        <x:v>COMPLETED_NONZERO</x:v>
      </x:c>
      <x:c r="N84" s="19" t="str">
        <x:v>2026-08-26</x:v>
      </x:c>
      <x:c r="O84" s="31" t="str">
        <x:v>https://archive.org/advancedsearch.php</x:v>
      </x:c>
      <x:c r="P84" s="31" t="str">
        <x:v>Metadata text-item count; not a full-text lexical frequency. Secondary metric: NOT_RUN_OPENALEX_DAILY_BUDGET_EXHAUSTED: shared provider response retained; no count fabricated.</x:v>
      </x:c>
      <x:c r="Q84" s="31" t="str">
        <x:v>OPENALEX_WORK_COUNT</x:v>
      </x:c>
      <x:c r="R84" s="37" t="str">
        <x:v>NOT_APPLICABLE</x:v>
      </x:c>
    </x:row>
    <x:row r="85" ht="34" customHeight="1">
      <x:c r="A85" s="40" t="str">
        <x:v>FT-SEED-R1B-P-1988-21</x:v>
      </x:c>
      <x:c r="B85" s="19" t="str">
        <x:v>1988</x:v>
      </x:c>
      <x:c r="C85" s="25" t="n">
        <x:v>21</x:v>
      </x:c>
      <x:c r="D85" s="31" t="str">
        <x:v>grave threats</x:v>
      </x:c>
      <x:c r="E85" s="31" t="str">
        <x:v>INTERNET_ARCHIVE_METADATA_TEXT_ITEM_COUNT</x:v>
      </x:c>
      <x:c r="F85" s="46" t="str">
        <x:v>INTERNET_ARCHIVE_ADVANCEDSEARCH_NUMFOUND</x:v>
      </x:c>
      <x:c r="G85" s="19" t="str">
        <x:v>"grave threats" AND mediatype:texts</x:v>
      </x:c>
      <x:c r="H85" s="19" t="str">
        <x:v>PHRASE_METADATA_SEARCH</x:v>
      </x:c>
      <x:c r="I85" s="31" t="str">
        <x:v>EXACT_PHRASE</x:v>
      </x:c>
      <x:c r="J85" s="25" t="n">
        <x:v>21</x:v>
      </x:c>
      <x:c r="K85" s="25" t="n">
        <x:v>0</x:v>
      </x:c>
      <x:c r="L85" s="25" t="n">
        <x:v>1</x:v>
      </x:c>
      <x:c r="M85" s="31" t="str">
        <x:v>COMPLETED_NONZERO</x:v>
      </x:c>
      <x:c r="N85" s="19" t="str">
        <x:v>2026-08-26</x:v>
      </x:c>
      <x:c r="O85" s="31" t="str">
        <x:v>https://archive.org/advancedsearch.php</x:v>
      </x:c>
      <x:c r="P85" s="31" t="str">
        <x:v>Metadata text-item count; not a full-text lexical frequency. Secondary metric: NOT_RUN_OPENALEX_DAILY_BUDGET_EXHAUSTED: shared provider response retained; no count fabricated.</x:v>
      </x:c>
      <x:c r="Q85" s="31" t="str">
        <x:v>OPENALEX_WORK_COUNT</x:v>
      </x:c>
      <x:c r="R85" s="37" t="str">
        <x:v>NOT_APPLICABLE</x:v>
      </x:c>
    </x:row>
    <x:row r="86" ht="34" customHeight="1">
      <x:c r="A86" s="40" t="str">
        <x:v>FT-SEED-R1B-P-1988-22</x:v>
      </x:c>
      <x:c r="B86" s="19" t="str">
        <x:v>1988</x:v>
      </x:c>
      <x:c r="C86" s="25" t="n">
        <x:v>22</x:v>
      </x:c>
      <x:c r="D86" s="31" t="str">
        <x:v>severe economic and social dislocation</x:v>
      </x:c>
      <x:c r="E86" s="31" t="str">
        <x:v>INTERNET_ARCHIVE_METADATA_TEXT_ITEM_COUNT</x:v>
      </x:c>
      <x:c r="F86" s="46" t="str">
        <x:v>INTERNET_ARCHIVE_ADVANCEDSEARCH_NUMFOUND</x:v>
      </x:c>
      <x:c r="G86" s="19" t="str">
        <x:v>"severe economic and social dislocation" AND mediatype:texts</x:v>
      </x:c>
      <x:c r="H86" s="19" t="str">
        <x:v>PHRASE_METADATA_SEARCH</x:v>
      </x:c>
      <x:c r="I86" s="31" t="str">
        <x:v>EXACT_PHRASE</x:v>
      </x:c>
      <x:c r="J86" s="25" t="n">
        <x:v>0</x:v>
      </x:c>
      <x:c r="K86" s="25" t="n">
        <x:v>0</x:v>
      </x:c>
      <x:c r="L86" s="25" t="n">
        <x:v>0</x:v>
      </x:c>
      <x:c r="M86" s="31" t="str">
        <x:v>COMPLETED_ZERO</x:v>
      </x:c>
      <x:c r="N86" s="19" t="str">
        <x:v>2026-08-26</x:v>
      </x:c>
      <x:c r="O86" s="31" t="str">
        <x:v>https://archive.org/advancedsearch.php</x:v>
      </x:c>
      <x:c r="P86" s="31" t="str">
        <x:v>Metadata text-item count; not a full-text lexical frequency. Secondary metric: NOT_RUN_OPENALEX_DAILY_BUDGET_EXHAUSTED: shared provider response retained; no count fabricated.</x:v>
      </x:c>
      <x:c r="Q86" s="31" t="str">
        <x:v>OPENALEX_WORK_COUNT</x:v>
      </x:c>
      <x:c r="R86" s="37" t="str">
        <x:v>NOT_APPLICABLE</x:v>
      </x:c>
    </x:row>
    <x:row r="87" ht="34" customHeight="1">
      <x:c r="A87" s="40" t="str">
        <x:v>FT-SEED-R1B-P-1988-23</x:v>
      </x:c>
      <x:c r="B87" s="19" t="str">
        <x:v>1988</x:v>
      </x:c>
      <x:c r="C87" s="25" t="n">
        <x:v>23</x:v>
      </x:c>
      <x:c r="D87" s="31" t="str">
        <x:v>risk of conflicts</x:v>
      </x:c>
      <x:c r="E87" s="31" t="str">
        <x:v>INTERNET_ARCHIVE_METADATA_TEXT_ITEM_COUNT</x:v>
      </x:c>
      <x:c r="F87" s="46" t="str">
        <x:v>INTERNET_ARCHIVE_ADVANCEDSEARCH_NUMFOUND</x:v>
      </x:c>
      <x:c r="G87" s="19" t="str">
        <x:v>"risk of conflicts" AND mediatype:texts</x:v>
      </x:c>
      <x:c r="H87" s="19" t="str">
        <x:v>PHRASE_METADATA_SEARCH</x:v>
      </x:c>
      <x:c r="I87" s="31" t="str">
        <x:v>EXACT_PHRASE</x:v>
      </x:c>
      <x:c r="J87" s="25" t="n">
        <x:v>4</x:v>
      </x:c>
      <x:c r="K87" s="25" t="n">
        <x:v>0</x:v>
      </x:c>
      <x:c r="L87" s="25" t="n">
        <x:v>0</x:v>
      </x:c>
      <x:c r="M87" s="31" t="str">
        <x:v>COMPLETED_NONZERO</x:v>
      </x:c>
      <x:c r="N87" s="19" t="str">
        <x:v>2026-08-26</x:v>
      </x:c>
      <x:c r="O87" s="31" t="str">
        <x:v>https://archive.org/advancedsearch.php</x:v>
      </x:c>
      <x:c r="P87" s="31" t="str">
        <x:v>Metadata text-item count; not a full-text lexical frequency. Secondary metric: NOT_RUN_OPENALEX_DAILY_BUDGET_EXHAUSTED: shared provider response retained; no count fabricated.</x:v>
      </x:c>
      <x:c r="Q87" s="31" t="str">
        <x:v>OPENALEX_WORK_COUNT</x:v>
      </x:c>
      <x:c r="R87" s="37" t="str">
        <x:v>NOT_APPLICABLE</x:v>
      </x:c>
    </x:row>
    <x:row r="88" ht="34" customHeight="1">
      <x:c r="A88" s="40" t="str">
        <x:v>FT-SEED-R1B-P-1988-24</x:v>
      </x:c>
      <x:c r="B88" s="19" t="str">
        <x:v>1988</x:v>
      </x:c>
      <x:c r="C88" s="25" t="n">
        <x:v>24</x:v>
      </x:c>
      <x:c r="D88" s="31" t="str">
        <x:v>impending crisis</x:v>
      </x:c>
      <x:c r="E88" s="31" t="str">
        <x:v>INTERNET_ARCHIVE_METADATA_TEXT_ITEM_COUNT</x:v>
      </x:c>
      <x:c r="F88" s="46" t="str">
        <x:v>INTERNET_ARCHIVE_ADVANCEDSEARCH_NUMFOUND</x:v>
      </x:c>
      <x:c r="G88" s="19" t="str">
        <x:v>"impending crisis" AND mediatype:texts</x:v>
      </x:c>
      <x:c r="H88" s="19" t="str">
        <x:v>PHRASE_METADATA_SEARCH</x:v>
      </x:c>
      <x:c r="I88" s="31" t="str">
        <x:v>EXACT_PHRASE</x:v>
      </x:c>
      <x:c r="J88" s="25" t="n">
        <x:v>203</x:v>
      </x:c>
      <x:c r="K88" s="25" t="n">
        <x:v>5</x:v>
      </x:c>
      <x:c r="L88" s="25" t="n">
        <x:v>11</x:v>
      </x:c>
      <x:c r="M88" s="31" t="str">
        <x:v>COMPLETED_NONZERO</x:v>
      </x:c>
      <x:c r="N88" s="19" t="str">
        <x:v>2026-08-26</x:v>
      </x:c>
      <x:c r="O88" s="31" t="str">
        <x:v>https://archive.org/advancedsearch.php</x:v>
      </x:c>
      <x:c r="P88" s="31" t="str">
        <x:v>Metadata text-item count; not a full-text lexical frequency. Secondary metric: NOT_RUN_OPENALEX_DAILY_BUDGET_EXHAUSTED: shared provider response retained; no count fabricated.</x:v>
      </x:c>
      <x:c r="Q88" s="31" t="str">
        <x:v>OPENALEX_WORK_COUNT</x:v>
      </x:c>
      <x:c r="R88" s="37" t="str">
        <x:v>NOT_APPLICABLE</x:v>
      </x:c>
    </x:row>
    <x:row r="89" ht="34" customHeight="1">
      <x:c r="A89" s="40" t="str">
        <x:v>FT-SEED-R1B-P-1988-25</x:v>
      </x:c>
      <x:c r="B89" s="19" t="str">
        <x:v>1988</x:v>
      </x:c>
      <x:c r="C89" s="25" t="n">
        <x:v>25</x:v>
      </x:c>
      <x:c r="D89" s="31" t="str">
        <x:v>degradation of the atmosphere</x:v>
      </x:c>
      <x:c r="E89" s="31" t="str">
        <x:v>INTERNET_ARCHIVE_METADATA_TEXT_ITEM_COUNT</x:v>
      </x:c>
      <x:c r="F89" s="46" t="str">
        <x:v>INTERNET_ARCHIVE_ADVANCEDSEARCH_NUMFOUND</x:v>
      </x:c>
      <x:c r="G89" s="19" t="str">
        <x:v>"degradation of the atmosphere" AND mediatype:texts</x:v>
      </x:c>
      <x:c r="H89" s="19" t="str">
        <x:v>PHRASE_METADATA_SEARCH</x:v>
      </x:c>
      <x:c r="I89" s="31" t="str">
        <x:v>EXACT_PHRASE</x:v>
      </x:c>
      <x:c r="J89" s="25" t="n">
        <x:v>0</x:v>
      </x:c>
      <x:c r="K89" s="25" t="n">
        <x:v>0</x:v>
      </x:c>
      <x:c r="L89" s="25" t="n">
        <x:v>0</x:v>
      </x:c>
      <x:c r="M89" s="31" t="str">
        <x:v>COMPLETED_ZERO</x:v>
      </x:c>
      <x:c r="N89" s="19" t="str">
        <x:v>2026-08-26</x:v>
      </x:c>
      <x:c r="O89" s="31" t="str">
        <x:v>https://archive.org/advancedsearch.php</x:v>
      </x:c>
      <x:c r="P89" s="31" t="str">
        <x:v>Metadata text-item count; not a full-text lexical frequency. Secondary metric: NOT_RUN_OPENALEX_DAILY_BUDGET_EXHAUSTED: shared provider response retained; no count fabricated.</x:v>
      </x:c>
      <x:c r="Q89" s="31" t="str">
        <x:v>OPENALEX_WORK_COUNT</x:v>
      </x:c>
      <x:c r="R89" s="37" t="str">
        <x:v>NOT_APPLICABLE</x:v>
      </x:c>
    </x:row>
    <x:row r="90" ht="34" customHeight="1">
      <x:c r="A90" s="40" t="str">
        <x:v>FT-SEED-R1B-P-1988-26</x:v>
      </x:c>
      <x:c r="B90" s="19" t="str">
        <x:v>1988</x:v>
      </x:c>
      <x:c r="C90" s="25" t="n">
        <x:v>26</x:v>
      </x:c>
      <x:c r="D90" s="31" t="str">
        <x:v>atmospheric pollution</x:v>
      </x:c>
      <x:c r="E90" s="31" t="str">
        <x:v>INTERNET_ARCHIVE_METADATA_TEXT_ITEM_COUNT</x:v>
      </x:c>
      <x:c r="F90" s="46" t="str">
        <x:v>INTERNET_ARCHIVE_ADVANCEDSEARCH_NUMFOUND</x:v>
      </x:c>
      <x:c r="G90" s="19" t="str">
        <x:v>"atmospheric pollution" AND mediatype:texts</x:v>
      </x:c>
      <x:c r="H90" s="19" t="str">
        <x:v>PHRASE_METADATA_SEARCH</x:v>
      </x:c>
      <x:c r="I90" s="31" t="str">
        <x:v>EXACT_PHRASE</x:v>
      </x:c>
      <x:c r="J90" s="25" t="n">
        <x:v>221</x:v>
      </x:c>
      <x:c r="K90" s="25" t="n">
        <x:v>5</x:v>
      </x:c>
      <x:c r="L90" s="25" t="n">
        <x:v>19</x:v>
      </x:c>
      <x:c r="M90" s="31" t="str">
        <x:v>COMPLETED_NONZERO</x:v>
      </x:c>
      <x:c r="N90" s="19" t="str">
        <x:v>2026-08-26</x:v>
      </x:c>
      <x:c r="O90" s="31" t="str">
        <x:v>https://archive.org/advancedsearch.php</x:v>
      </x:c>
      <x:c r="P90" s="31" t="str">
        <x:v>Metadata text-item count; not a full-text lexical frequency. Secondary metric: Scholarly work discoverability count over OpenAlex search fields; not a corpus word frequency.</x:v>
      </x:c>
      <x:c r="Q90" s="31" t="str">
        <x:v>OPENALEX_WORK_COUNT</x:v>
      </x:c>
      <x:c r="R90" s="37" t="n">
        <x:v>53072</x:v>
      </x:c>
    </x:row>
    <x:row r="91" ht="34" customHeight="1">
      <x:c r="A91" s="40" t="str">
        <x:v>FT-SEED-R1B-P-1988-27</x:v>
      </x:c>
      <x:c r="B91" s="19" t="str">
        <x:v>1988</x:v>
      </x:c>
      <x:c r="C91" s="25" t="n">
        <x:v>27</x:v>
      </x:c>
      <x:c r="D91" s="31" t="str">
        <x:v>greenhouse gases</x:v>
      </x:c>
      <x:c r="E91" s="31" t="str">
        <x:v>INTERNET_ARCHIVE_METADATA_TEXT_ITEM_COUNT</x:v>
      </x:c>
      <x:c r="F91" s="46" t="str">
        <x:v>INTERNET_ARCHIVE_ADVANCEDSEARCH_NUMFOUND</x:v>
      </x:c>
      <x:c r="G91" s="19" t="str">
        <x:v>"greenhouse gases" AND mediatype:texts</x:v>
      </x:c>
      <x:c r="H91" s="19" t="str">
        <x:v>PHRASE_METADATA_SEARCH</x:v>
      </x:c>
      <x:c r="I91" s="31" t="str">
        <x:v>EXACT_PHRASE</x:v>
      </x:c>
      <x:c r="J91" s="25" t="n">
        <x:v>1549</x:v>
      </x:c>
      <x:c r="K91" s="25" t="n">
        <x:v>3</x:v>
      </x:c>
      <x:c r="L91" s="25" t="n">
        <x:v>30</x:v>
      </x:c>
      <x:c r="M91" s="31" t="str">
        <x:v>COMPLETED_NONZERO</x:v>
      </x:c>
      <x:c r="N91" s="19" t="str">
        <x:v>2026-08-26</x:v>
      </x:c>
      <x:c r="O91" s="31" t="str">
        <x:v>https://archive.org/advancedsearch.php</x:v>
      </x:c>
      <x:c r="P91" s="31" t="str">
        <x:v>Metadata text-item count; not a full-text lexical frequency. Secondary metric: NOT_RUN_OPENALEX_DAILY_BUDGET_EXHAUSTED: shared provider response retained; no count fabricated.</x:v>
      </x:c>
      <x:c r="Q91" s="31" t="str">
        <x:v>OPENALEX_WORK_COUNT</x:v>
      </x:c>
      <x:c r="R91" s="37" t="str">
        <x:v>NOT_APPLICABLE</x:v>
      </x:c>
    </x:row>
    <x:row r="92" ht="34" customHeight="1">
      <x:c r="A92" s="40" t="str">
        <x:v>FT-SEED-R1B-P-1988-28</x:v>
      </x:c>
      <x:c r="B92" s="19" t="str">
        <x:v>1988</x:v>
      </x:c>
      <x:c r="C92" s="25" t="n">
        <x:v>28</x:v>
      </x:c>
      <x:c r="D92" s="31" t="str">
        <x:v>Global Warming Has Begun</x:v>
      </x:c>
      <x:c r="E92" s="31" t="str">
        <x:v>INTERNET_ARCHIVE_METADATA_TEXT_ITEM_COUNT</x:v>
      </x:c>
      <x:c r="F92" s="46" t="str">
        <x:v>INTERNET_ARCHIVE_ADVANCEDSEARCH_NUMFOUND</x:v>
      </x:c>
      <x:c r="G92" s="19" t="str">
        <x:v>"Global Warming Has Begun" AND mediatype:texts</x:v>
      </x:c>
      <x:c r="H92" s="19" t="str">
        <x:v>PHRASE_METADATA_SEARCH</x:v>
      </x:c>
      <x:c r="I92" s="31" t="str">
        <x:v>EXACT_PHRASE</x:v>
      </x:c>
      <x:c r="J92" s="25" t="n">
        <x:v>0</x:v>
      </x:c>
      <x:c r="K92" s="25" t="n">
        <x:v>0</x:v>
      </x:c>
      <x:c r="L92" s="25" t="n">
        <x:v>0</x:v>
      </x:c>
      <x:c r="M92" s="31" t="str">
        <x:v>COMPLETED_ZERO</x:v>
      </x:c>
      <x:c r="N92" s="19" t="str">
        <x:v>2026-08-26</x:v>
      </x:c>
      <x:c r="O92" s="31" t="str">
        <x:v>https://archive.org/advancedsearch.php</x:v>
      </x:c>
      <x:c r="P92" s="31" t="str">
        <x:v>Metadata text-item count; not a full-text lexical frequency. Secondary metric: NOT_RUN_OPENALEX_DAILY_BUDGET_EXHAUSTED: shared provider response retained; no count fabricated.</x:v>
      </x:c>
      <x:c r="Q92" s="31" t="str">
        <x:v>OPENALEX_WORK_COUNT</x:v>
      </x:c>
      <x:c r="R92" s="37" t="str">
        <x:v>NOT_APPLICABLE</x:v>
      </x:c>
    </x:row>
    <x:row r="93" ht="34" customHeight="1">
      <x:c r="A93" s="40" t="str">
        <x:v>FT-SEED-R1B-P-1988-29</x:v>
      </x:c>
      <x:c r="B93" s="19" t="str">
        <x:v>1988</x:v>
      </x:c>
      <x:c r="C93" s="25" t="n">
        <x:v>29</x:v>
      </x:c>
      <x:c r="D93" s="31" t="str">
        <x:v>evidence is pretty strong</x:v>
      </x:c>
      <x:c r="E93" s="31" t="str">
        <x:v>INTERNET_ARCHIVE_METADATA_TEXT_ITEM_COUNT</x:v>
      </x:c>
      <x:c r="F93" s="46" t="str">
        <x:v>INTERNET_ARCHIVE_ADVANCEDSEARCH_NUMFOUND</x:v>
      </x:c>
      <x:c r="G93" s="19" t="str">
        <x:v>"evidence is pretty strong" AND mediatype:texts</x:v>
      </x:c>
      <x:c r="H93" s="19" t="str">
        <x:v>PHRASE_METADATA_SEARCH</x:v>
      </x:c>
      <x:c r="I93" s="31" t="str">
        <x:v>EXACT_PHRASE</x:v>
      </x:c>
      <x:c r="J93" s="25" t="n">
        <x:v>0</x:v>
      </x:c>
      <x:c r="K93" s="25" t="n">
        <x:v>0</x:v>
      </x:c>
      <x:c r="L93" s="25" t="n">
        <x:v>0</x:v>
      </x:c>
      <x:c r="M93" s="31" t="str">
        <x:v>COMPLETED_ZERO</x:v>
      </x:c>
      <x:c r="N93" s="19" t="str">
        <x:v>2026-08-26</x:v>
      </x:c>
      <x:c r="O93" s="31" t="str">
        <x:v>https://archive.org/advancedsearch.php</x:v>
      </x:c>
      <x:c r="P93" s="31" t="str">
        <x:v>Metadata text-item count; not a full-text lexical frequency. Secondary metric: NOT_RUN_OPENALEX_DAILY_BUDGET_EXHAUSTED: shared provider response retained; no count fabricated.</x:v>
      </x:c>
      <x:c r="Q93" s="31" t="str">
        <x:v>OPENALEX_WORK_COUNT</x:v>
      </x:c>
      <x:c r="R93" s="37" t="str">
        <x:v>NOT_APPLICABLE</x:v>
      </x:c>
    </x:row>
    <x:row r="94" ht="34" customHeight="1">
      <x:c r="A94" s="40" t="str">
        <x:v>FT-SEED-R1B-P-1988-30</x:v>
      </x:c>
      <x:c r="B94" s="19" t="str">
        <x:v>1988</x:v>
      </x:c>
      <x:c r="C94" s="25" t="n">
        <x:v>30</x:v>
      </x:c>
      <x:c r="D94" s="31" t="str">
        <x:v>too much carbon dioxide is dangerous</x:v>
      </x:c>
      <x:c r="E94" s="31" t="str">
        <x:v>INTERNET_ARCHIVE_METADATA_TEXT_ITEM_COUNT</x:v>
      </x:c>
      <x:c r="F94" s="46" t="str">
        <x:v>INTERNET_ARCHIVE_ADVANCEDSEARCH_NUMFOUND</x:v>
      </x:c>
      <x:c r="G94" s="19" t="str">
        <x:v>"too much carbon dioxide is dangerous" AND mediatype:texts</x:v>
      </x:c>
      <x:c r="H94" s="19" t="str">
        <x:v>PHRASE_METADATA_SEARCH</x:v>
      </x:c>
      <x:c r="I94" s="31" t="str">
        <x:v>EXACT_PHRASE</x:v>
      </x:c>
      <x:c r="J94" s="25" t="n">
        <x:v>0</x:v>
      </x:c>
      <x:c r="K94" s="25" t="n">
        <x:v>0</x:v>
      </x:c>
      <x:c r="L94" s="25" t="n">
        <x:v>0</x:v>
      </x:c>
      <x:c r="M94" s="31" t="str">
        <x:v>COMPLETED_ZERO</x:v>
      </x:c>
      <x:c r="N94" s="19" t="str">
        <x:v>2026-08-26</x:v>
      </x:c>
      <x:c r="O94" s="31" t="str">
        <x:v>https://archive.org/advancedsearch.php</x:v>
      </x:c>
      <x:c r="P94" s="31" t="str">
        <x:v>Metadata text-item count; not a full-text lexical frequency. Secondary metric: NOT_RUN_OPENALEX_DAILY_BUDGET_EXHAUSTED: shared provider response retained; no count fabricated.</x:v>
      </x:c>
      <x:c r="Q94" s="31" t="str">
        <x:v>OPENALEX_WORK_COUNT</x:v>
      </x:c>
      <x:c r="R94" s="37" t="str">
        <x:v>NOT_APPLICABLE</x:v>
      </x:c>
    </x:row>
    <x:row r="95" ht="34" customHeight="1">
      <x:c r="A95" s="40" t="str">
        <x:v>FT-SEED-R1B-P-0607-01</x:v>
      </x:c>
      <x:c r="B95" s="19" t="str">
        <x:v>2006–2007</x:v>
      </x:c>
      <x:c r="C95" s="25" t="n">
        <x:v>1</x:v>
      </x:c>
      <x:c r="D95" s="31" t="str">
        <x:v>warming of the climate system</x:v>
      </x:c>
      <x:c r="E95" s="31" t="str">
        <x:v>INTERNET_ARCHIVE_METADATA_TEXT_ITEM_COUNT</x:v>
      </x:c>
      <x:c r="F95" s="46" t="str">
        <x:v>INTERNET_ARCHIVE_ADVANCEDSEARCH_NUMFOUND</x:v>
      </x:c>
      <x:c r="G95" s="19" t="str">
        <x:v>"warming of the climate system" AND mediatype:texts</x:v>
      </x:c>
      <x:c r="H95" s="19" t="str">
        <x:v>PHRASE_METADATA_SEARCH</x:v>
      </x:c>
      <x:c r="I95" s="31" t="str">
        <x:v>EXACT_PHRASE</x:v>
      </x:c>
      <x:c r="J95" s="25" t="n">
        <x:v>3</x:v>
      </x:c>
      <x:c r="K95" s="25" t="n">
        <x:v>0</x:v>
      </x:c>
      <x:c r="L95" s="25" t="n">
        <x:v>0</x:v>
      </x:c>
      <x:c r="M95" s="31" t="str">
        <x:v>COMPLETED_NONZERO</x:v>
      </x:c>
      <x:c r="N95" s="19" t="str">
        <x:v>2026-08-26</x:v>
      </x:c>
      <x:c r="O95" s="31" t="str">
        <x:v>https://archive.org/advancedsearch.php</x:v>
      </x:c>
      <x:c r="P95" s="31" t="str">
        <x:v>Metadata text-item count; not a full-text lexical frequency. Secondary metric: NOT_RUN_OPENALEX_DAILY_BUDGET_EXHAUSTED: shared provider response retained; no count fabricated.</x:v>
      </x:c>
      <x:c r="Q95" s="31" t="str">
        <x:v>OPENALEX_WORK_COUNT</x:v>
      </x:c>
      <x:c r="R95" s="37" t="str">
        <x:v>NOT_APPLICABLE</x:v>
      </x:c>
    </x:row>
    <x:row r="96" ht="34" customHeight="1">
      <x:c r="A96" s="40" t="str">
        <x:v>FT-SEED-R1B-P-0607-02</x:v>
      </x:c>
      <x:c r="B96" s="19" t="str">
        <x:v>2006–2007</x:v>
      </x:c>
      <x:c r="C96" s="25" t="n">
        <x:v>2</x:v>
      </x:c>
      <x:c r="D96" s="31" t="str">
        <x:v>unequivocal</x:v>
      </x:c>
      <x:c r="E96" s="31" t="str">
        <x:v>INTERNET_ARCHIVE_METADATA_TEXT_ITEM_COUNT</x:v>
      </x:c>
      <x:c r="F96" s="46" t="str">
        <x:v>INTERNET_ARCHIVE_ADVANCEDSEARCH_NUMFOUND</x:v>
      </x:c>
      <x:c r="G96" s="19" t="str">
        <x:v>"unequivocal" AND mediatype:texts</x:v>
      </x:c>
      <x:c r="H96" s="19" t="str">
        <x:v>PHRASE_METADATA_SEARCH</x:v>
      </x:c>
      <x:c r="I96" s="31" t="str">
        <x:v>EXACT_PHRASE</x:v>
      </x:c>
      <x:c r="J96" s="25" t="n">
        <x:v>919</x:v>
      </x:c>
      <x:c r="K96" s="25" t="n">
        <x:v>31</x:v>
      </x:c>
      <x:c r="L96" s="25" t="n">
        <x:v>58</x:v>
      </x:c>
      <x:c r="M96" s="31" t="str">
        <x:v>COMPLETED_NONZERO</x:v>
      </x:c>
      <x:c r="N96" s="19" t="str">
        <x:v>2026-08-26</x:v>
      </x:c>
      <x:c r="O96" s="31" t="str">
        <x:v>https://archive.org/advancedsearch.php</x:v>
      </x:c>
      <x:c r="P96" s="31" t="str">
        <x:v>Metadata text-item count; not a full-text lexical frequency. Secondary metric: NOT_RUN_OPENALEX_DAILY_BUDGET_EXHAUSTED: shared provider response retained; no count fabricated.</x:v>
      </x:c>
      <x:c r="Q96" s="31" t="str">
        <x:v>OPENALEX_WORK_COUNT</x:v>
      </x:c>
      <x:c r="R96" s="37" t="str">
        <x:v>NOT_APPLICABLE</x:v>
      </x:c>
    </x:row>
    <x:row r="97" ht="34" customHeight="1">
      <x:c r="A97" s="40" t="str">
        <x:v>FT-SEED-R1B-P-0607-03</x:v>
      </x:c>
      <x:c r="B97" s="19" t="str">
        <x:v>2006–2007</x:v>
      </x:c>
      <x:c r="C97" s="25" t="n">
        <x:v>3</x:v>
      </x:c>
      <x:c r="D97" s="31" t="str">
        <x:v>global average air and ocean temperatures</x:v>
      </x:c>
      <x:c r="E97" s="31" t="str">
        <x:v>INTERNET_ARCHIVE_METADATA_TEXT_ITEM_COUNT</x:v>
      </x:c>
      <x:c r="F97" s="46" t="str">
        <x:v>INTERNET_ARCHIVE_ADVANCEDSEARCH_NUMFOUND</x:v>
      </x:c>
      <x:c r="G97" s="19" t="str">
        <x:v>"global average air and ocean temperatures" AND mediatype:texts</x:v>
      </x:c>
      <x:c r="H97" s="19" t="str">
        <x:v>PHRASE_METADATA_SEARCH</x:v>
      </x:c>
      <x:c r="I97" s="31" t="str">
        <x:v>EXACT_PHRASE</x:v>
      </x:c>
      <x:c r="J97" s="25" t="n">
        <x:v>0</x:v>
      </x:c>
      <x:c r="K97" s="25" t="n">
        <x:v>0</x:v>
      </x:c>
      <x:c r="L97" s="25" t="n">
        <x:v>0</x:v>
      </x:c>
      <x:c r="M97" s="31" t="str">
        <x:v>COMPLETED_ZERO</x:v>
      </x:c>
      <x:c r="N97" s="19" t="str">
        <x:v>2026-08-26</x:v>
      </x:c>
      <x:c r="O97" s="31" t="str">
        <x:v>https://archive.org/advancedsearch.php</x:v>
      </x:c>
      <x:c r="P97" s="31" t="str">
        <x:v>Metadata text-item count; not a full-text lexical frequency. Secondary metric: NOT_RUN_OPENALEX_DAILY_BUDGET_EXHAUSTED: shared provider response retained; no count fabricated.</x:v>
      </x:c>
      <x:c r="Q97" s="31" t="str">
        <x:v>OPENALEX_WORK_COUNT</x:v>
      </x:c>
      <x:c r="R97" s="37" t="str">
        <x:v>NOT_APPLICABLE</x:v>
      </x:c>
    </x:row>
    <x:row r="98" ht="34" customHeight="1">
      <x:c r="A98" s="40" t="str">
        <x:v>FT-SEED-R1B-P-0607-04</x:v>
      </x:c>
      <x:c r="B98" s="19" t="str">
        <x:v>2006–2007</x:v>
      </x:c>
      <x:c r="C98" s="25" t="n">
        <x:v>4</x:v>
      </x:c>
      <x:c r="D98" s="31" t="str">
        <x:v>global surface temperature</x:v>
      </x:c>
      <x:c r="E98" s="31" t="str">
        <x:v>INTERNET_ARCHIVE_METADATA_TEXT_ITEM_COUNT</x:v>
      </x:c>
      <x:c r="F98" s="46" t="str">
        <x:v>INTERNET_ARCHIVE_ADVANCEDSEARCH_NUMFOUND</x:v>
      </x:c>
      <x:c r="G98" s="19" t="str">
        <x:v>"global surface temperature" AND mediatype:texts</x:v>
      </x:c>
      <x:c r="H98" s="19" t="str">
        <x:v>PHRASE_METADATA_SEARCH</x:v>
      </x:c>
      <x:c r="I98" s="31" t="str">
        <x:v>EXACT_PHRASE</x:v>
      </x:c>
      <x:c r="J98" s="25" t="n">
        <x:v>34</x:v>
      </x:c>
      <x:c r="K98" s="25" t="n">
        <x:v>0</x:v>
      </x:c>
      <x:c r="L98" s="25" t="n">
        <x:v>2</x:v>
      </x:c>
      <x:c r="M98" s="31" t="str">
        <x:v>COMPLETED_NONZERO</x:v>
      </x:c>
      <x:c r="N98" s="19" t="str">
        <x:v>2026-08-26</x:v>
      </x:c>
      <x:c r="O98" s="31" t="str">
        <x:v>https://archive.org/advancedsearch.php</x:v>
      </x:c>
      <x:c r="P98" s="31" t="str">
        <x:v>Metadata text-item count; not a full-text lexical frequency. Secondary metric: NOT_RUN_OPENALEX_DAILY_BUDGET_EXHAUSTED: shared provider response retained; no count fabricated.</x:v>
      </x:c>
      <x:c r="Q98" s="31" t="str">
        <x:v>OPENALEX_WORK_COUNT</x:v>
      </x:c>
      <x:c r="R98" s="37" t="str">
        <x:v>NOT_APPLICABLE</x:v>
      </x:c>
    </x:row>
    <x:row r="99" ht="34" customHeight="1">
      <x:c r="A99" s="40" t="str">
        <x:v>FT-SEED-R1B-P-0607-05</x:v>
      </x:c>
      <x:c r="B99" s="19" t="str">
        <x:v>2006–2007</x:v>
      </x:c>
      <x:c r="C99" s="25" t="n">
        <x:v>5</x:v>
      </x:c>
      <x:c r="D99" s="31" t="str">
        <x:v>temperature increase</x:v>
      </x:c>
      <x:c r="E99" s="31" t="str">
        <x:v>INTERNET_ARCHIVE_METADATA_TEXT_ITEM_COUNT</x:v>
      </x:c>
      <x:c r="F99" s="46" t="str">
        <x:v>INTERNET_ARCHIVE_ADVANCEDSEARCH_NUMFOUND</x:v>
      </x:c>
      <x:c r="G99" s="19" t="str">
        <x:v>"temperature increase" AND mediatype:texts</x:v>
      </x:c>
      <x:c r="H99" s="19" t="str">
        <x:v>PHRASE_METADATA_SEARCH</x:v>
      </x:c>
      <x:c r="I99" s="31" t="str">
        <x:v>EXACT_PHRASE</x:v>
      </x:c>
      <x:c r="J99" s="25" t="n">
        <x:v>442</x:v>
      </x:c>
      <x:c r="K99" s="25" t="n">
        <x:v>17</x:v>
      </x:c>
      <x:c r="L99" s="25" t="n">
        <x:v>29</x:v>
      </x:c>
      <x:c r="M99" s="31" t="str">
        <x:v>COMPLETED_NONZERO</x:v>
      </x:c>
      <x:c r="N99" s="19" t="str">
        <x:v>2026-08-26</x:v>
      </x:c>
      <x:c r="O99" s="31" t="str">
        <x:v>https://archive.org/advancedsearch.php</x:v>
      </x:c>
      <x:c r="P99" s="31" t="str">
        <x:v>Metadata text-item count; not a full-text lexical frequency. Secondary metric: NOT_RUN_OPENALEX_DAILY_BUDGET_EXHAUSTED: shared provider response retained; no count fabricated.</x:v>
      </x:c>
      <x:c r="Q99" s="31" t="str">
        <x:v>OPENALEX_WORK_COUNT</x:v>
      </x:c>
      <x:c r="R99" s="37" t="str">
        <x:v>NOT_APPLICABLE</x:v>
      </x:c>
    </x:row>
    <x:row r="100" ht="34" customHeight="1">
      <x:c r="A100" s="40" t="str">
        <x:v>FT-SEED-R1B-P-0607-06</x:v>
      </x:c>
      <x:c r="B100" s="19" t="str">
        <x:v>2006–2007</x:v>
      </x:c>
      <x:c r="C100" s="25" t="n">
        <x:v>6</x:v>
      </x:c>
      <x:c r="D100" s="31" t="str">
        <x:v>rising global average sea level</x:v>
      </x:c>
      <x:c r="E100" s="31" t="str">
        <x:v>INTERNET_ARCHIVE_METADATA_TEXT_ITEM_COUNT</x:v>
      </x:c>
      <x:c r="F100" s="46" t="str">
        <x:v>INTERNET_ARCHIVE_ADVANCEDSEARCH_NUMFOUND</x:v>
      </x:c>
      <x:c r="G100" s="19" t="str">
        <x:v>"rising global average sea level" AND mediatype:texts</x:v>
      </x:c>
      <x:c r="H100" s="19" t="str">
        <x:v>PHRASE_METADATA_SEARCH</x:v>
      </x:c>
      <x:c r="I100" s="31" t="str">
        <x:v>EXACT_PHRASE</x:v>
      </x:c>
      <x:c r="J100" s="25" t="n">
        <x:v>0</x:v>
      </x:c>
      <x:c r="K100" s="25" t="n">
        <x:v>0</x:v>
      </x:c>
      <x:c r="L100" s="25" t="n">
        <x:v>0</x:v>
      </x:c>
      <x:c r="M100" s="31" t="str">
        <x:v>COMPLETED_ZERO</x:v>
      </x:c>
      <x:c r="N100" s="19" t="str">
        <x:v>2026-08-26</x:v>
      </x:c>
      <x:c r="O100" s="31" t="str">
        <x:v>https://archive.org/advancedsearch.php</x:v>
      </x:c>
      <x:c r="P100" s="31" t="str">
        <x:v>Metadata text-item count; not a full-text lexical frequency. Secondary metric: NOT_RUN_OPENALEX_DAILY_BUDGET_EXHAUSTED: shared provider response retained; no count fabricated.</x:v>
      </x:c>
      <x:c r="Q100" s="31" t="str">
        <x:v>OPENALEX_WORK_COUNT</x:v>
      </x:c>
      <x:c r="R100" s="37" t="str">
        <x:v>NOT_APPLICABLE</x:v>
      </x:c>
    </x:row>
    <x:row r="101" ht="34" customHeight="1">
      <x:c r="A101" s="40" t="str">
        <x:v>FT-SEED-R1B-P-0607-07</x:v>
      </x:c>
      <x:c r="B101" s="19" t="str">
        <x:v>2006–2007</x:v>
      </x:c>
      <x:c r="C101" s="25" t="n">
        <x:v>7</x:v>
      </x:c>
      <x:c r="D101" s="31" t="str">
        <x:v>widespread melting of snow and ice</x:v>
      </x:c>
      <x:c r="E101" s="31" t="str">
        <x:v>INTERNET_ARCHIVE_METADATA_TEXT_ITEM_COUNT</x:v>
      </x:c>
      <x:c r="F101" s="46" t="str">
        <x:v>INTERNET_ARCHIVE_ADVANCEDSEARCH_NUMFOUND</x:v>
      </x:c>
      <x:c r="G101" s="19" t="str">
        <x:v>"widespread melting of snow and ice" AND mediatype:texts</x:v>
      </x:c>
      <x:c r="H101" s="19" t="str">
        <x:v>PHRASE_METADATA_SEARCH</x:v>
      </x:c>
      <x:c r="I101" s="31" t="str">
        <x:v>EXACT_PHRASE</x:v>
      </x:c>
      <x:c r="J101" s="25" t="n">
        <x:v>0</x:v>
      </x:c>
      <x:c r="K101" s="25" t="n">
        <x:v>0</x:v>
      </x:c>
      <x:c r="L101" s="25" t="n">
        <x:v>0</x:v>
      </x:c>
      <x:c r="M101" s="31" t="str">
        <x:v>COMPLETED_ZERO</x:v>
      </x:c>
      <x:c r="N101" s="19" t="str">
        <x:v>2026-08-26</x:v>
      </x:c>
      <x:c r="O101" s="31" t="str">
        <x:v>https://archive.org/advancedsearch.php</x:v>
      </x:c>
      <x:c r="P101" s="31" t="str">
        <x:v>Metadata text-item count; not a full-text lexical frequency. Secondary metric: NOT_RUN_OPENALEX_DAILY_BUDGET_EXHAUSTED: shared provider response retained; no count fabricated.</x:v>
      </x:c>
      <x:c r="Q101" s="31" t="str">
        <x:v>OPENALEX_WORK_COUNT</x:v>
      </x:c>
      <x:c r="R101" s="37" t="str">
        <x:v>NOT_APPLICABLE</x:v>
      </x:c>
    </x:row>
    <x:row r="102" ht="34" customHeight="1">
      <x:c r="A102" s="40" t="str">
        <x:v>FT-SEED-R1B-P-0607-08</x:v>
      </x:c>
      <x:c r="B102" s="19" t="str">
        <x:v>2006–2007</x:v>
      </x:c>
      <x:c r="C102" s="25" t="n">
        <x:v>8</x:v>
      </x:c>
      <x:c r="D102" s="31" t="str">
        <x:v>anthropogenic CO₂</x:v>
      </x:c>
      <x:c r="E102" s="31" t="str">
        <x:v>INTERNET_ARCHIVE_METADATA_TEXT_ITEM_COUNT</x:v>
      </x:c>
      <x:c r="F102" s="46" t="str">
        <x:v>INTERNET_ARCHIVE_ADVANCEDSEARCH_NUMFOUND</x:v>
      </x:c>
      <x:c r="G102" s="19" t="str">
        <x:v>"anthropogenic CO₂" AND mediatype:texts</x:v>
      </x:c>
      <x:c r="H102" s="19" t="str">
        <x:v>PHRASE_METADATA_SEARCH</x:v>
      </x:c>
      <x:c r="I102" s="31" t="str">
        <x:v>EXACT_PHRASE</x:v>
      </x:c>
      <x:c r="J102" s="25" t="n">
        <x:v>8</x:v>
      </x:c>
      <x:c r="K102" s="25" t="n">
        <x:v>0</x:v>
      </x:c>
      <x:c r="L102" s="25" t="n">
        <x:v>0</x:v>
      </x:c>
      <x:c r="M102" s="31" t="str">
        <x:v>COMPLETED_NONZERO</x:v>
      </x:c>
      <x:c r="N102" s="19" t="str">
        <x:v>2026-08-26</x:v>
      </x:c>
      <x:c r="O102" s="31" t="str">
        <x:v>https://archive.org/advancedsearch.php</x:v>
      </x:c>
      <x:c r="P102" s="31" t="str">
        <x:v>Metadata text-item count; not a full-text lexical frequency. Secondary metric: Scholarly work discoverability count over OpenAlex search fields; not a corpus word frequency.</x:v>
      </x:c>
      <x:c r="Q102" s="31" t="str">
        <x:v>OPENALEX_WORK_COUNT</x:v>
      </x:c>
      <x:c r="R102" s="37" t="n">
        <x:v>19164</x:v>
      </x:c>
    </x:row>
    <x:row r="103" ht="34" customHeight="1">
      <x:c r="A103" s="40" t="str">
        <x:v>FT-SEED-R1B-P-0607-09</x:v>
      </x:c>
      <x:c r="B103" s="19" t="str">
        <x:v>2006–2007</x:v>
      </x:c>
      <x:c r="C103" s="25" t="n">
        <x:v>9</x:v>
      </x:c>
      <x:c r="D103" s="31" t="str">
        <x:v>anthropogenic GHG emissions</x:v>
      </x:c>
      <x:c r="E103" s="31" t="str">
        <x:v>INTERNET_ARCHIVE_METADATA_TEXT_ITEM_COUNT</x:v>
      </x:c>
      <x:c r="F103" s="46" t="str">
        <x:v>INTERNET_ARCHIVE_ADVANCEDSEARCH_NUMFOUND</x:v>
      </x:c>
      <x:c r="G103" s="19" t="str">
        <x:v>"anthropogenic GHG emissions" AND mediatype:texts</x:v>
      </x:c>
      <x:c r="H103" s="19" t="str">
        <x:v>PHRASE_METADATA_SEARCH</x:v>
      </x:c>
      <x:c r="I103" s="31" t="str">
        <x:v>EXACT_PHRASE</x:v>
      </x:c>
      <x:c r="J103" s="25" t="n">
        <x:v>4</x:v>
      </x:c>
      <x:c r="K103" s="25" t="n">
        <x:v>0</x:v>
      </x:c>
      <x:c r="L103" s="25" t="n">
        <x:v>0</x:v>
      </x:c>
      <x:c r="M103" s="31" t="str">
        <x:v>COMPLETED_NONZERO</x:v>
      </x:c>
      <x:c r="N103" s="19" t="str">
        <x:v>2026-08-26</x:v>
      </x:c>
      <x:c r="O103" s="31" t="str">
        <x:v>https://archive.org/advancedsearch.php</x:v>
      </x:c>
      <x:c r="P103" s="31" t="str">
        <x:v>Metadata text-item count; not a full-text lexical frequency. Secondary metric: Scholarly work discoverability count over OpenAlex search fields; not a corpus word frequency.</x:v>
      </x:c>
      <x:c r="Q103" s="31" t="str">
        <x:v>OPENALEX_WORK_COUNT</x:v>
      </x:c>
      <x:c r="R103" s="37" t="n">
        <x:v>5913</x:v>
      </x:c>
    </x:row>
    <x:row r="104" ht="34" customHeight="1">
      <x:c r="A104" s="40" t="str">
        <x:v>FT-SEED-R1B-P-0607-10</x:v>
      </x:c>
      <x:c r="B104" s="19" t="str">
        <x:v>2006–2007</x:v>
      </x:c>
      <x:c r="C104" s="25" t="n">
        <x:v>10</x:v>
      </x:c>
      <x:c r="D104" s="31" t="str">
        <x:v>climate change</x:v>
      </x:c>
      <x:c r="E104" s="31" t="str">
        <x:v>INTERNET_ARCHIVE_METADATA_TEXT_ITEM_COUNT</x:v>
      </x:c>
      <x:c r="F104" s="46" t="str">
        <x:v>INTERNET_ARCHIVE_ADVANCEDSEARCH_NUMFOUND</x:v>
      </x:c>
      <x:c r="G104" s="19" t="str">
        <x:v>"climate change" AND mediatype:texts</x:v>
      </x:c>
      <x:c r="H104" s="19" t="str">
        <x:v>PHRASE_METADATA_SEARCH</x:v>
      </x:c>
      <x:c r="I104" s="31" t="str">
        <x:v>EXACT_PHRASE</x:v>
      </x:c>
      <x:c r="J104" s="25" t="n">
        <x:v>30525</x:v>
      </x:c>
      <x:c r="K104" s="25" t="n">
        <x:v>656</x:v>
      </x:c>
      <x:c r="L104" s="25" t="n">
        <x:v>1334</x:v>
      </x:c>
      <x:c r="M104" s="31" t="str">
        <x:v>COMPLETED_NONZERO</x:v>
      </x:c>
      <x:c r="N104" s="19" t="str">
        <x:v>2026-08-26</x:v>
      </x:c>
      <x:c r="O104" s="31" t="str">
        <x:v>https://archive.org/advancedsearch.php</x:v>
      </x:c>
      <x:c r="P104" s="31" t="str">
        <x:v>Metadata text-item count; not a full-text lexical frequency. Secondary metric: Scholarly work discoverability count over OpenAlex search fields; not a corpus word frequency.</x:v>
      </x:c>
      <x:c r="Q104" s="31" t="str">
        <x:v>OPENALEX_WORK_COUNT</x:v>
      </x:c>
      <x:c r="R104" s="37" t="n">
        <x:v>2549592</x:v>
      </x:c>
    </x:row>
    <x:row r="105" ht="34" customHeight="1">
      <x:c r="A105" s="40" t="str">
        <x:v>FT-SEED-R1B-P-0607-11</x:v>
      </x:c>
      <x:c r="B105" s="19" t="str">
        <x:v>2006–2007</x:v>
      </x:c>
      <x:c r="C105" s="25" t="n">
        <x:v>11</x:v>
      </x:c>
      <x:c r="D105" s="31" t="str">
        <x:v>global warming</x:v>
      </x:c>
      <x:c r="E105" s="31" t="str">
        <x:v>INTERNET_ARCHIVE_METADATA_TEXT_ITEM_COUNT</x:v>
      </x:c>
      <x:c r="F105" s="46" t="str">
        <x:v>INTERNET_ARCHIVE_ADVANCEDSEARCH_NUMFOUND</x:v>
      </x:c>
      <x:c r="G105" s="19" t="str">
        <x:v>"global warming" AND mediatype:texts</x:v>
      </x:c>
      <x:c r="H105" s="19" t="str">
        <x:v>PHRASE_METADATA_SEARCH</x:v>
      </x:c>
      <x:c r="I105" s="31" t="str">
        <x:v>EXACT_PHRASE</x:v>
      </x:c>
      <x:c r="J105" s="25" t="n">
        <x:v>5619</x:v>
      </x:c>
      <x:c r="K105" s="25" t="n">
        <x:v>11</x:v>
      </x:c>
      <x:c r="L105" s="25" t="n">
        <x:v>123</x:v>
      </x:c>
      <x:c r="M105" s="31" t="str">
        <x:v>COMPLETED_NONZERO</x:v>
      </x:c>
      <x:c r="N105" s="19" t="str">
        <x:v>2026-08-26</x:v>
      </x:c>
      <x:c r="O105" s="31" t="str">
        <x:v>https://archive.org/advancedsearch.php</x:v>
      </x:c>
      <x:c r="P105" s="31" t="str">
        <x:v>Metadata text-item count; not a full-text lexical frequency. Secondary metric: NOT_RUN_OPENALEX_DAILY_BUDGET_EXHAUSTED: shared provider response retained; no count fabricated.</x:v>
      </x:c>
      <x:c r="Q105" s="31" t="str">
        <x:v>OPENALEX_WORK_COUNT</x:v>
      </x:c>
      <x:c r="R105" s="37" t="str">
        <x:v>NOT_APPLICABLE</x:v>
      </x:c>
    </x:row>
    <x:row r="106" ht="34" customHeight="1">
      <x:c r="A106" s="40" t="str">
        <x:v>FT-SEED-R1B-P-0607-12</x:v>
      </x:c>
      <x:c r="B106" s="19" t="str">
        <x:v>2006–2007</x:v>
      </x:c>
      <x:c r="C106" s="25" t="n">
        <x:v>12</x:v>
      </x:c>
      <x:c r="D106" s="31" t="str">
        <x:v>serious global threat</x:v>
      </x:c>
      <x:c r="E106" s="31" t="str">
        <x:v>INTERNET_ARCHIVE_METADATA_TEXT_ITEM_COUNT</x:v>
      </x:c>
      <x:c r="F106" s="46" t="str">
        <x:v>INTERNET_ARCHIVE_ADVANCEDSEARCH_NUMFOUND</x:v>
      </x:c>
      <x:c r="G106" s="19" t="str">
        <x:v>"serious global threat" AND mediatype:texts</x:v>
      </x:c>
      <x:c r="H106" s="19" t="str">
        <x:v>PHRASE_METADATA_SEARCH</x:v>
      </x:c>
      <x:c r="I106" s="31" t="str">
        <x:v>EXACT_PHRASE</x:v>
      </x:c>
      <x:c r="J106" s="25" t="n">
        <x:v>3</x:v>
      </x:c>
      <x:c r="K106" s="25" t="n">
        <x:v>0</x:v>
      </x:c>
      <x:c r="L106" s="25" t="n">
        <x:v>1</x:v>
      </x:c>
      <x:c r="M106" s="31" t="str">
        <x:v>COMPLETED_NONZERO</x:v>
      </x:c>
      <x:c r="N106" s="19" t="str">
        <x:v>2026-08-26</x:v>
      </x:c>
      <x:c r="O106" s="31" t="str">
        <x:v>https://archive.org/advancedsearch.php</x:v>
      </x:c>
      <x:c r="P106" s="31" t="str">
        <x:v>Metadata text-item count; not a full-text lexical frequency. Secondary metric: NOT_RUN_OPENALEX_DAILY_BUDGET_EXHAUSTED: shared provider response retained; no count fabricated.</x:v>
      </x:c>
      <x:c r="Q106" s="31" t="str">
        <x:v>OPENALEX_WORK_COUNT</x:v>
      </x:c>
      <x:c r="R106" s="37" t="str">
        <x:v>NOT_APPLICABLE</x:v>
      </x:c>
    </x:row>
    <x:row r="107" ht="34" customHeight="1">
      <x:c r="A107" s="40" t="str">
        <x:v>FT-SEED-R1B-P-0607-13</x:v>
      </x:c>
      <x:c r="B107" s="19" t="str">
        <x:v>2006–2007</x:v>
      </x:c>
      <x:c r="C107" s="25" t="n">
        <x:v>13</x:v>
      </x:c>
      <x:c r="D107" s="31" t="str">
        <x:v>urgent global response</x:v>
      </x:c>
      <x:c r="E107" s="31" t="str">
        <x:v>INTERNET_ARCHIVE_METADATA_TEXT_ITEM_COUNT</x:v>
      </x:c>
      <x:c r="F107" s="46" t="str">
        <x:v>INTERNET_ARCHIVE_ADVANCEDSEARCH_NUMFOUND</x:v>
      </x:c>
      <x:c r="G107" s="19" t="str">
        <x:v>"urgent global response" AND mediatype:texts</x:v>
      </x:c>
      <x:c r="H107" s="19" t="str">
        <x:v>PHRASE_METADATA_SEARCH</x:v>
      </x:c>
      <x:c r="I107" s="31" t="str">
        <x:v>EXACT_PHRASE</x:v>
      </x:c>
      <x:c r="J107" s="25" t="n">
        <x:v>0</x:v>
      </x:c>
      <x:c r="K107" s="25" t="n">
        <x:v>0</x:v>
      </x:c>
      <x:c r="L107" s="25" t="n">
        <x:v>0</x:v>
      </x:c>
      <x:c r="M107" s="31" t="str">
        <x:v>COMPLETED_ZERO</x:v>
      </x:c>
      <x:c r="N107" s="19" t="str">
        <x:v>2026-08-26</x:v>
      </x:c>
      <x:c r="O107" s="31" t="str">
        <x:v>https://archive.org/advancedsearch.php</x:v>
      </x:c>
      <x:c r="P107" s="31" t="str">
        <x:v>Metadata text-item count; not a full-text lexical frequency. Secondary metric: NOT_RUN_OPENALEX_DAILY_BUDGET_EXHAUSTED: shared provider response retained; no count fabricated.</x:v>
      </x:c>
      <x:c r="Q107" s="31" t="str">
        <x:v>OPENALEX_WORK_COUNT</x:v>
      </x:c>
      <x:c r="R107" s="37" t="str">
        <x:v>NOT_APPLICABLE</x:v>
      </x:c>
    </x:row>
    <x:row r="108" ht="34" customHeight="1">
      <x:c r="A108" s="40" t="str">
        <x:v>FT-SEED-R1B-P-0607-14</x:v>
      </x:c>
      <x:c r="B108" s="19" t="str">
        <x:v>2006–2007</x:v>
      </x:c>
      <x:c r="C108" s="25" t="n">
        <x:v>14</x:v>
      </x:c>
      <x:c r="D108" s="31" t="str">
        <x:v>costs and risks of climate change</x:v>
      </x:c>
      <x:c r="E108" s="31" t="str">
        <x:v>INTERNET_ARCHIVE_METADATA_TEXT_ITEM_COUNT</x:v>
      </x:c>
      <x:c r="F108" s="46" t="str">
        <x:v>INTERNET_ARCHIVE_ADVANCEDSEARCH_NUMFOUND</x:v>
      </x:c>
      <x:c r="G108" s="19" t="str">
        <x:v>"costs and risks of climate change" AND mediatype:texts</x:v>
      </x:c>
      <x:c r="H108" s="19" t="str">
        <x:v>PHRASE_METADATA_SEARCH</x:v>
      </x:c>
      <x:c r="I108" s="31" t="str">
        <x:v>EXACT_PHRASE</x:v>
      </x:c>
      <x:c r="J108" s="25" t="n">
        <x:v>0</x:v>
      </x:c>
      <x:c r="K108" s="25" t="n">
        <x:v>0</x:v>
      </x:c>
      <x:c r="L108" s="25" t="n">
        <x:v>0</x:v>
      </x:c>
      <x:c r="M108" s="31" t="str">
        <x:v>COMPLETED_ZERO</x:v>
      </x:c>
      <x:c r="N108" s="19" t="str">
        <x:v>2026-08-26</x:v>
      </x:c>
      <x:c r="O108" s="31" t="str">
        <x:v>https://archive.org/advancedsearch.php</x:v>
      </x:c>
      <x:c r="P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Q108" s="31" t="str">
        <x:v>OPENALEX_WORK_COUNT</x:v>
      </x:c>
      <x:c r="R108" s="37" t="str">
        <x:v>NOT_APPLICABLE</x:v>
      </x:c>
    </x:row>
    <x:row r="109" ht="34" customHeight="1">
      <x:c r="A109" s="40" t="str">
        <x:v>FT-SEED-R1B-P-0607-15</x:v>
      </x:c>
      <x:c r="B109" s="19" t="str">
        <x:v>2006–2007</x:v>
      </x:c>
      <x:c r="C109" s="25" t="n">
        <x:v>15</x:v>
      </x:c>
      <x:c r="D109" s="31" t="str">
        <x:v>impacts of climate change</x:v>
      </x:c>
      <x:c r="E109" s="31" t="str">
        <x:v>INTERNET_ARCHIVE_METADATA_TEXT_ITEM_COUNT</x:v>
      </x:c>
      <x:c r="F109" s="46" t="str">
        <x:v>INTERNET_ARCHIVE_ADVANCEDSEARCH_NUMFOUND</x:v>
      </x:c>
      <x:c r="G109" s="19" t="str">
        <x:v>"impacts of climate change" AND mediatype:texts</x:v>
      </x:c>
      <x:c r="H109" s="19" t="str">
        <x:v>PHRASE_METADATA_SEARCH</x:v>
      </x:c>
      <x:c r="I109" s="31" t="str">
        <x:v>EXACT_PHRASE</x:v>
      </x:c>
      <x:c r="J109" s="25" t="n">
        <x:v>656</x:v>
      </x:c>
      <x:c r="K109" s="25" t="n">
        <x:v>18</x:v>
      </x:c>
      <x:c r="L109" s="25" t="n">
        <x:v>33</x:v>
      </x:c>
      <x:c r="M109" s="31" t="str">
        <x:v>COMPLETED_NONZERO</x:v>
      </x:c>
      <x:c r="N109" s="19" t="str">
        <x:v>2026-08-26</x:v>
      </x:c>
      <x:c r="O109" s="31" t="str">
        <x:v>https://archive.org/advancedsearch.php</x:v>
      </x:c>
      <x:c r="P109" s="31" t="str">
        <x:v>Metadata text-item count; not a full-text lexical frequency. Secondary metric: NOT_RUN_OPENALEX_DAILY_BUDGET_EXHAUSTED: shared provider response retained; no count fabricated.</x:v>
      </x:c>
      <x:c r="Q109" s="31" t="str">
        <x:v>OPENALEX_WORK_COUNT</x:v>
      </x:c>
      <x:c r="R109" s="37" t="str">
        <x:v>NOT_APPLICABLE</x:v>
      </x:c>
    </x:row>
    <x:row r="110" ht="34" customHeight="1">
      <x:c r="A110" s="40" t="str">
        <x:v>FT-SEED-R1B-P-0607-16</x:v>
      </x:c>
      <x:c r="B110" s="19" t="str">
        <x:v>2006–2007</x:v>
      </x:c>
      <x:c r="C110" s="25" t="n">
        <x:v>16</x:v>
      </x:c>
      <x:c r="D110" s="31" t="str">
        <x:v>damage</x:v>
      </x:c>
      <x:c r="E110" s="31" t="str">
        <x:v>INTERNET_ARCHIVE_METADATA_TEXT_ITEM_COUNT</x:v>
      </x:c>
      <x:c r="F110" s="46" t="str">
        <x:v>INTERNET_ARCHIVE_ADVANCEDSEARCH_NUMFOUND</x:v>
      </x:c>
      <x:c r="G110" s="19" t="str">
        <x:v>"damage" AND mediatype:texts</x:v>
      </x:c>
      <x:c r="H110" s="19" t="str">
        <x:v>PHRASE_METADATA_SEARCH</x:v>
      </x:c>
      <x:c r="I110" s="31" t="str">
        <x:v>EXACT_PHRASE</x:v>
      </x:c>
      <x:c r="J110" s="25" t="n">
        <x:v>71319</x:v>
      </x:c>
      <x:c r="K110" s="25" t="n">
        <x:v>1697</x:v>
      </x:c>
      <x:c r="L110" s="25" t="n">
        <x:v>3470</x:v>
      </x:c>
      <x:c r="M110" s="31" t="str">
        <x:v>COMPLETED_NONZERO</x:v>
      </x:c>
      <x:c r="N110" s="19" t="str">
        <x:v>2026-08-26</x:v>
      </x:c>
      <x:c r="O110" s="31" t="str">
        <x:v>https://archive.org/advancedsearch.php</x:v>
      </x:c>
      <x:c r="P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Q110" s="31" t="str">
        <x:v>OPENALEX_WORK_COUNT</x:v>
      </x:c>
      <x:c r="R110" s="37" t="str">
        <x:v>NOT_APPLICABLE</x:v>
      </x:c>
    </x:row>
    <x:row r="111" ht="34" customHeight="1">
      <x:c r="A111" s="40" t="str">
        <x:v>FT-SEED-R1B-P-0607-17</x:v>
      </x:c>
      <x:c r="B111" s="19" t="str">
        <x:v>2006–2007</x:v>
      </x:c>
      <x:c r="C111" s="25" t="n">
        <x:v>17</x:v>
      </x:c>
      <x:c r="D111" s="31" t="str">
        <x:v>hunger</x:v>
      </x:c>
      <x:c r="E111" s="31" t="str">
        <x:v>INTERNET_ARCHIVE_METADATA_TEXT_ITEM_COUNT</x:v>
      </x:c>
      <x:c r="F111" s="46" t="str">
        <x:v>INTERNET_ARCHIVE_ADVANCEDSEARCH_NUMFOUND</x:v>
      </x:c>
      <x:c r="G111" s="19" t="str">
        <x:v>"hunger" AND mediatype:texts</x:v>
      </x:c>
      <x:c r="H111" s="19" t="str">
        <x:v>PHRASE_METADATA_SEARCH</x:v>
      </x:c>
      <x:c r="I111" s="31" t="str">
        <x:v>EXACT_PHRASE</x:v>
      </x:c>
      <x:c r="J111" s="25" t="n">
        <x:v>8913</x:v>
      </x:c>
      <x:c r="K111" s="25" t="n">
        <x:v>273</x:v>
      </x:c>
      <x:c r="L111" s="25" t="n">
        <x:v>544</x:v>
      </x:c>
      <x:c r="M111" s="31" t="str">
        <x:v>COMPLETED_NONZERO</x:v>
      </x:c>
      <x:c r="N111" s="19" t="str">
        <x:v>2026-08-26</x:v>
      </x:c>
      <x:c r="O111" s="31" t="str">
        <x:v>https://archive.org/advancedsearch.php</x:v>
      </x:c>
      <x:c r="P111" s="31" t="str">
        <x:v>Metadata text-item count; not a full-text lexical frequency. Secondary metric: NOT_RUN_OPENALEX_DAILY_BUDGET_EXHAUSTED: shared provider response retained; no count fabricated.</x:v>
      </x:c>
      <x:c r="Q111" s="31" t="str">
        <x:v>OPENALEX_WORK_COUNT</x:v>
      </x:c>
      <x:c r="R111" s="37" t="str">
        <x:v>NOT_APPLICABLE</x:v>
      </x:c>
    </x:row>
    <x:row r="112" ht="34" customHeight="1">
      <x:c r="A112" s="40" t="str">
        <x:v>FT-SEED-R1B-P-0607-18</x:v>
      </x:c>
      <x:c r="B112" s="19" t="str">
        <x:v>2006–2007</x:v>
      </x:c>
      <x:c r="C112" s="25" t="n">
        <x:v>18</x:v>
      </x:c>
      <x:c r="D112" s="31" t="str">
        <x:v>water shortages</x:v>
      </x:c>
      <x:c r="E112" s="31" t="str">
        <x:v>INTERNET_ARCHIVE_METADATA_TEXT_ITEM_COUNT</x:v>
      </x:c>
      <x:c r="F112" s="46" t="str">
        <x:v>INTERNET_ARCHIVE_ADVANCEDSEARCH_NUMFOUND</x:v>
      </x:c>
      <x:c r="G112" s="19" t="str">
        <x:v>"water shortages" AND mediatype:texts</x:v>
      </x:c>
      <x:c r="H112" s="19" t="str">
        <x:v>PHRASE_METADATA_SEARCH</x:v>
      </x:c>
      <x:c r="I112" s="31" t="str">
        <x:v>EXACT_PHRASE</x:v>
      </x:c>
      <x:c r="J112" s="25" t="n">
        <x:v>223</x:v>
      </x:c>
      <x:c r="K112" s="25" t="n">
        <x:v>4</x:v>
      </x:c>
      <x:c r="L112" s="25" t="n">
        <x:v>10</x:v>
      </x:c>
      <x:c r="M112" s="31" t="str">
        <x:v>COMPLETED_NONZERO</x:v>
      </x:c>
      <x:c r="N112" s="19" t="str">
        <x:v>2026-08-26</x:v>
      </x:c>
      <x:c r="O112" s="31" t="str">
        <x:v>https://archive.org/advancedsearch.php</x:v>
      </x:c>
      <x:c r="P112" s="31" t="str">
        <x:v>Metadata text-item count; not a full-text lexical frequency. Secondary metric: NOT_RUN_OPENALEX_DAILY_BUDGET_EXHAUSTED: shared provider response retained; no count fabricated.</x:v>
      </x:c>
      <x:c r="Q112" s="31" t="str">
        <x:v>OPENALEX_WORK_COUNT</x:v>
      </x:c>
      <x:c r="R112" s="37" t="str">
        <x:v>NOT_APPLICABLE</x:v>
      </x:c>
    </x:row>
    <x:row r="113" ht="34" customHeight="1">
      <x:c r="A113" s="40" t="str">
        <x:v>FT-SEED-R1B-P-0607-19</x:v>
      </x:c>
      <x:c r="B113" s="19" t="str">
        <x:v>2006–2007</x:v>
      </x:c>
      <x:c r="C113" s="25" t="n">
        <x:v>19</x:v>
      </x:c>
      <x:c r="D113" s="31" t="str">
        <x:v>coastal flooding</x:v>
      </x:c>
      <x:c r="E113" s="31" t="str">
        <x:v>INTERNET_ARCHIVE_METADATA_TEXT_ITEM_COUNT</x:v>
      </x:c>
      <x:c r="F113" s="46" t="str">
        <x:v>INTERNET_ARCHIVE_ADVANCEDSEARCH_NUMFOUND</x:v>
      </x:c>
      <x:c r="G113" s="19" t="str">
        <x:v>"coastal flooding" AND mediatype:texts</x:v>
      </x:c>
      <x:c r="H113" s="19" t="str">
        <x:v>PHRASE_METADATA_SEARCH</x:v>
      </x:c>
      <x:c r="I113" s="31" t="str">
        <x:v>EXACT_PHRASE</x:v>
      </x:c>
      <x:c r="J113" s="25" t="n">
        <x:v>87</x:v>
      </x:c>
      <x:c r="K113" s="25" t="n">
        <x:v>1</x:v>
      </x:c>
      <x:c r="L113" s="25" t="n">
        <x:v>4</x:v>
      </x:c>
      <x:c r="M113" s="31" t="str">
        <x:v>COMPLETED_NONZERO</x:v>
      </x:c>
      <x:c r="N113" s="19" t="str">
        <x:v>2026-08-26</x:v>
      </x:c>
      <x:c r="O113" s="31" t="str">
        <x:v>https://archive.org/advancedsearch.php</x:v>
      </x:c>
      <x:c r="P113" s="31" t="str">
        <x:v>Metadata text-item count; not a full-text lexical frequency. Secondary metric: Scholarly work discoverability count over OpenAlex search fields; not a corpus word frequency.</x:v>
      </x:c>
      <x:c r="Q113" s="31" t="str">
        <x:v>OPENALEX_WORK_COUNT</x:v>
      </x:c>
      <x:c r="R113" s="37" t="n">
        <x:v>22058</x:v>
      </x:c>
    </x:row>
    <x:row r="114" ht="34" customHeight="1">
      <x:c r="A114" s="40" t="str">
        <x:v>FT-SEED-R1B-P-0607-20</x:v>
      </x:c>
      <x:c r="B114" s="19" t="str">
        <x:v>2006–2007</x:v>
      </x:c>
      <x:c r="C114" s="25" t="n">
        <x:v>20</x:v>
      </x:c>
      <x:c r="D114" s="31" t="str">
        <x:v>worst impacts</x:v>
      </x:c>
      <x:c r="E114" s="31" t="str">
        <x:v>INTERNET_ARCHIVE_METADATA_TEXT_ITEM_COUNT</x:v>
      </x:c>
      <x:c r="F114" s="46" t="str">
        <x:v>INTERNET_ARCHIVE_ADVANCEDSEARCH_NUMFOUND</x:v>
      </x:c>
      <x:c r="G114" s="19" t="str">
        <x:v>"worst impacts" AND mediatype:texts</x:v>
      </x:c>
      <x:c r="H114" s="19" t="str">
        <x:v>PHRASE_METADATA_SEARCH</x:v>
      </x:c>
      <x:c r="I114" s="31" t="str">
        <x:v>EXACT_PHRASE</x:v>
      </x:c>
      <x:c r="J114" s="25" t="n">
        <x:v>13</x:v>
      </x:c>
      <x:c r="K114" s="25" t="n">
        <x:v>0</x:v>
      </x:c>
      <x:c r="L114" s="25" t="n">
        <x:v>1</x:v>
      </x:c>
      <x:c r="M114" s="31" t="str">
        <x:v>COMPLETED_NONZERO</x:v>
      </x:c>
      <x:c r="N114" s="19" t="str">
        <x:v>2026-08-26</x:v>
      </x:c>
      <x:c r="O114" s="31" t="str">
        <x:v>https://archive.org/advancedsearch.php</x:v>
      </x:c>
      <x:c r="P114" s="31" t="str">
        <x:v>Metadata text-item count; not a full-text lexical frequency. Secondary metric: NOT_RUN_OPENALEX_DAILY_BUDGET_EXHAUSTED: shared provider response retained; no count fabricated.</x:v>
      </x:c>
      <x:c r="Q114" s="31" t="str">
        <x:v>OPENALEX_WORK_COUNT</x:v>
      </x:c>
      <x:c r="R114" s="37" t="str">
        <x:v>NOT_APPLICABLE</x:v>
      </x:c>
    </x:row>
    <x:row r="115" ht="34" customHeight="1">
      <x:c r="A115" s="40" t="str">
        <x:v>FT-SEED-R1B-P-0607-21</x:v>
      </x:c>
      <x:c r="B115" s="19" t="str">
        <x:v>2006–2007</x:v>
      </x:c>
      <x:c r="C115" s="25" t="n">
        <x:v>21</x:v>
      </x:c>
      <x:c r="D115" s="31" t="str">
        <x:v>Be Worried. Be Very Worried.</x:v>
      </x:c>
      <x:c r="E115" s="31" t="str">
        <x:v>INTERNET_ARCHIVE_METADATA_TEXT_ITEM_COUNT</x:v>
      </x:c>
      <x:c r="F115" s="46" t="str">
        <x:v>INTERNET_ARCHIVE_ADVANCEDSEARCH_NUMFOUND</x:v>
      </x:c>
      <x:c r="G115" s="19" t="str">
        <x:v>"Be Worried. Be Very Worried." AND mediatype:texts</x:v>
      </x:c>
      <x:c r="H115" s="19" t="str">
        <x:v>PHRASE_METADATA_SEARCH</x:v>
      </x:c>
      <x:c r="I115" s="31" t="str">
        <x:v>EXACT_PHRASE</x:v>
      </x:c>
      <x:c r="J115" s="25" t="n">
        <x:v>0</x:v>
      </x:c>
      <x:c r="K115" s="25" t="n">
        <x:v>0</x:v>
      </x:c>
      <x:c r="L115" s="25" t="n">
        <x:v>0</x:v>
      </x:c>
      <x:c r="M115" s="31" t="str">
        <x:v>COMPLETED_ZERO</x:v>
      </x:c>
      <x:c r="N115" s="19" t="str">
        <x:v>2026-08-26</x:v>
      </x:c>
      <x:c r="O115" s="31" t="str">
        <x:v>https://archive.org/advancedsearch.php</x:v>
      </x:c>
      <x:c r="P115" s="31" t="str">
        <x:v>Metadata text-item count; not a full-text lexical frequency. Secondary metric: Scholarly work discoverability count over OpenAlex search fields; not a corpus word frequency.</x:v>
      </x:c>
      <x:c r="Q115" s="31" t="str">
        <x:v>OPENALEX_WORK_COUNT</x:v>
      </x:c>
      <x:c r="R115" s="37" t="n">
        <x:v>41</x:v>
      </x:c>
    </x:row>
    <x:row r="116" ht="34" customHeight="1">
      <x:c r="A116" s="40" t="str">
        <x:v>FT-SEED-R1B-P-0607-22</x:v>
      </x:c>
      <x:c r="B116" s="19" t="str">
        <x:v>2006–2007</x:v>
      </x:c>
      <x:c r="C116" s="25" t="n">
        <x:v>22</x:v>
      </x:c>
      <x:c r="D116" s="31" t="str">
        <x:v>personally worry</x:v>
      </x:c>
      <x:c r="E116" s="31" t="str">
        <x:v>INTERNET_ARCHIVE_METADATA_TEXT_ITEM_COUNT</x:v>
      </x:c>
      <x:c r="F116" s="46" t="str">
        <x:v>INTERNET_ARCHIVE_ADVANCEDSEARCH_NUMFOUND</x:v>
      </x:c>
      <x:c r="G116" s="19" t="str">
        <x:v>"personally worry" AND mediatype:texts</x:v>
      </x:c>
      <x:c r="H116" s="19" t="str">
        <x:v>PHRASE_METADATA_SEARCH</x:v>
      </x:c>
      <x:c r="I116" s="31" t="str">
        <x:v>EXACT_PHRASE</x:v>
      </x:c>
      <x:c r="J116" s="25" t="n">
        <x:v>0</x:v>
      </x:c>
      <x:c r="K116" s="25" t="n">
        <x:v>0</x:v>
      </x:c>
      <x:c r="L116" s="25" t="n">
        <x:v>0</x:v>
      </x:c>
      <x:c r="M116" s="31" t="str">
        <x:v>COMPLETED_ZERO</x:v>
      </x:c>
      <x:c r="N116" s="19" t="str">
        <x:v>2026-08-26</x:v>
      </x:c>
      <x:c r="O116" s="31" t="str">
        <x:v>https://archive.org/advancedsearch.php</x:v>
      </x:c>
      <x:c r="P116" s="31" t="str">
        <x:v>Metadata text-item count; not a full-text lexical frequency. Secondary metric: NOT_RUN_OPENALEX_DAILY_BUDGET_EXHAUSTED: shared provider response retained; no count fabricated.</x:v>
      </x:c>
      <x:c r="Q116" s="31" t="str">
        <x:v>OPENALEX_WORK_COUNT</x:v>
      </x:c>
      <x:c r="R116" s="37" t="str">
        <x:v>NOT_APPLICABLE</x:v>
      </x:c>
    </x:row>
    <x:row r="117" ht="34" customHeight="1">
      <x:c r="A117" s="40" t="str">
        <x:v>FT-SEED-R1B-P-0607-23</x:v>
      </x:c>
      <x:c r="B117" s="19" t="str">
        <x:v>2006–2007</x:v>
      </x:c>
      <x:c r="C117" s="25" t="n">
        <x:v>23</x:v>
      </x:c>
      <x:c r="D117" s="31" t="str">
        <x:v>worry a great deal</x:v>
      </x:c>
      <x:c r="E117" s="31" t="str">
        <x:v>INTERNET_ARCHIVE_METADATA_TEXT_ITEM_COUNT</x:v>
      </x:c>
      <x:c r="F117" s="46" t="str">
        <x:v>INTERNET_ARCHIVE_ADVANCEDSEARCH_NUMFOUND</x:v>
      </x:c>
      <x:c r="G117" s="19" t="str">
        <x:v>"worry a great deal" AND mediatype:texts</x:v>
      </x:c>
      <x:c r="H117" s="19" t="str">
        <x:v>PHRASE_METADATA_SEARCH</x:v>
      </x:c>
      <x:c r="I117" s="31" t="str">
        <x:v>EXACT_PHRASE</x:v>
      </x:c>
      <x:c r="J117" s="25" t="n">
        <x:v>3</x:v>
      </x:c>
      <x:c r="K117" s="25" t="n">
        <x:v>0</x:v>
      </x:c>
      <x:c r="L117" s="25" t="n">
        <x:v>0</x:v>
      </x:c>
      <x:c r="M117" s="31" t="str">
        <x:v>COMPLETED_NONZERO</x:v>
      </x:c>
      <x:c r="N117" s="19" t="str">
        <x:v>2026-08-26</x:v>
      </x:c>
      <x:c r="O117" s="31" t="str">
        <x:v>https://archive.org/advancedsearch.php</x:v>
      </x:c>
      <x:c r="P117" s="31" t="str">
        <x:v>Metadata text-item count; not a full-text lexical frequency. Secondary metric: NOT_RUN_OPENALEX_DAILY_BUDGET_EXHAUSTED: shared provider response retained; no count fabricated.</x:v>
      </x:c>
      <x:c r="Q117" s="31" t="str">
        <x:v>OPENALEX_WORK_COUNT</x:v>
      </x:c>
      <x:c r="R117" s="37" t="str">
        <x:v>NOT_APPLICABLE</x:v>
      </x:c>
    </x:row>
    <x:row r="118" ht="34" customHeight="1">
      <x:c r="A118" s="40" t="str">
        <x:v>FT-SEED-R1B-P-0607-24</x:v>
      </x:c>
      <x:c r="B118" s="19" t="str">
        <x:v>2006–2007</x:v>
      </x:c>
      <x:c r="C118" s="25" t="n">
        <x:v>24</x:v>
      </x:c>
      <x:c r="D118" s="31" t="str">
        <x:v>serious problem</x:v>
      </x:c>
      <x:c r="E118" s="31" t="str">
        <x:v>INTERNET_ARCHIVE_METADATA_TEXT_ITEM_COUNT</x:v>
      </x:c>
      <x:c r="F118" s="46" t="str">
        <x:v>INTERNET_ARCHIVE_ADVANCEDSEARCH_NUMFOUND</x:v>
      </x:c>
      <x:c r="G118" s="19" t="str">
        <x:v>"serious problem" AND mediatype:texts</x:v>
      </x:c>
      <x:c r="H118" s="19" t="str">
        <x:v>PHRASE_METADATA_SEARCH</x:v>
      </x:c>
      <x:c r="I118" s="31" t="str">
        <x:v>EXACT_PHRASE</x:v>
      </x:c>
      <x:c r="J118" s="25" t="n">
        <x:v>2579</x:v>
      </x:c>
      <x:c r="K118" s="25" t="n">
        <x:v>80</x:v>
      </x:c>
      <x:c r="L118" s="25" t="n">
        <x:v>147</x:v>
      </x:c>
      <x:c r="M118" s="31" t="str">
        <x:v>COMPLETED_NONZERO</x:v>
      </x:c>
      <x:c r="N118" s="19" t="str">
        <x:v>2026-08-26</x:v>
      </x:c>
      <x:c r="O118" s="31" t="str">
        <x:v>https://archive.org/advancedsearch.php</x:v>
      </x:c>
      <x:c r="P118" s="31" t="str">
        <x:v>Metadata text-item count; not a full-text lexical frequency. Secondary metric: NOT_RUN_OPENALEX_DAILY_BUDGET_EXHAUSTED: shared provider response retained; no count fabricated.</x:v>
      </x:c>
      <x:c r="Q118" s="31" t="str">
        <x:v>OPENALEX_WORK_COUNT</x:v>
      </x:c>
      <x:c r="R118" s="37" t="str">
        <x:v>NOT_APPLICABLE</x:v>
      </x:c>
    </x:row>
    <x:row r="119" ht="34" customHeight="1">
      <x:c r="A119" s="40" t="str">
        <x:v>FT-SEED-R1B-P-0607-25</x:v>
      </x:c>
      <x:c r="B119" s="19" t="str">
        <x:v>2006–2007</x:v>
      </x:c>
      <x:c r="C119" s="25" t="n">
        <x:v>25</x:v>
      </x:c>
      <x:c r="D119" s="31" t="str">
        <x:v>danger</x:v>
      </x:c>
      <x:c r="E119" s="31" t="str">
        <x:v>INTERNET_ARCHIVE_METADATA_TEXT_ITEM_COUNT</x:v>
      </x:c>
      <x:c r="F119" s="46" t="str">
        <x:v>INTERNET_ARCHIVE_ADVANCEDSEARCH_NUMFOUND</x:v>
      </x:c>
      <x:c r="G119" s="19" t="str">
        <x:v>"danger" AND mediatype:texts</x:v>
      </x:c>
      <x:c r="H119" s="19" t="str">
        <x:v>PHRASE_METADATA_SEARCH</x:v>
      </x:c>
      <x:c r="I119" s="31" t="str">
        <x:v>EXACT_PHRASE</x:v>
      </x:c>
      <x:c r="J119" s="25" t="n">
        <x:v>37158</x:v>
      </x:c>
      <x:c r="K119" s="25" t="n">
        <x:v>1050</x:v>
      </x:c>
      <x:c r="L119" s="25" t="n">
        <x:v>2139</x:v>
      </x:c>
      <x:c r="M119" s="31" t="str">
        <x:v>COMPLETED_NONZERO</x:v>
      </x:c>
      <x:c r="N119" s="19" t="str">
        <x:v>2026-08-26</x:v>
      </x:c>
      <x:c r="O119" s="31" t="str">
        <x:v>https://archive.org/advancedsearch.php</x:v>
      </x:c>
      <x:c r="P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Q119" s="31" t="str">
        <x:v>OPENALEX_WORK_COUNT</x:v>
      </x:c>
      <x:c r="R119" s="37" t="str">
        <x:v>NOT_APPLICABLE</x:v>
      </x:c>
    </x:row>
    <x:row r="120" ht="34" customHeight="1">
      <x:c r="A120" s="40" t="str">
        <x:v>FT-SEED-R1B-P-0607-26</x:v>
      </x:c>
      <x:c r="B120" s="19" t="str">
        <x:v>2006–2007</x:v>
      </x:c>
      <x:c r="C120" s="25" t="n">
        <x:v>26</x:v>
      </x:c>
      <x:c r="D120" s="31" t="str">
        <x:v>urgent threat</x:v>
      </x:c>
      <x:c r="E120" s="31" t="str">
        <x:v>INTERNET_ARCHIVE_METADATA_TEXT_ITEM_COUNT</x:v>
      </x:c>
      <x:c r="F120" s="46" t="str">
        <x:v>INTERNET_ARCHIVE_ADVANCEDSEARCH_NUMFOUND</x:v>
      </x:c>
      <x:c r="G120" s="19" t="str">
        <x:v>"urgent threat" AND mediatype:texts</x:v>
      </x:c>
      <x:c r="H120" s="19" t="str">
        <x:v>PHRASE_METADATA_SEARCH</x:v>
      </x:c>
      <x:c r="I120" s="31" t="str">
        <x:v>EXACT_PHRASE</x:v>
      </x:c>
      <x:c r="J120" s="25" t="n">
        <x:v>11</x:v>
      </x:c>
      <x:c r="K120" s="25" t="n">
        <x:v>0</x:v>
      </x:c>
      <x:c r="L120" s="25" t="n">
        <x:v>0</x:v>
      </x:c>
      <x:c r="M120" s="31" t="str">
        <x:v>COMPLETED_NONZERO</x:v>
      </x:c>
      <x:c r="N120" s="19" t="str">
        <x:v>2026-08-26</x:v>
      </x:c>
      <x:c r="O120" s="31" t="str">
        <x:v>https://archive.org/advancedsearch.php</x:v>
      </x:c>
      <x:c r="P120" s="31" t="str">
        <x:v>Metadata text-item count; not a full-text lexical frequency. Secondary metric: NOT_RUN_OPENALEX_DAILY_BUDGET_EXHAUSTED: shared provider response retained; no count fabricated.</x:v>
      </x:c>
      <x:c r="Q120" s="31" t="str">
        <x:v>OPENALEX_WORK_COUNT</x:v>
      </x:c>
      <x:c r="R120" s="37" t="str">
        <x:v>NOT_APPLICABLE</x:v>
      </x:c>
    </x:row>
    <x:row r="121" ht="34" customHeight="1">
      <x:c r="A121" s="40" t="str">
        <x:v>FT-SEED-R1B-P-0607-27</x:v>
      </x:c>
      <x:c r="B121" s="19" t="str">
        <x:v>2006–2007</x:v>
      </x:c>
      <x:c r="C121" s="25" t="n">
        <x:v>27</x:v>
      </x:c>
      <x:c r="D121" s="31" t="str">
        <x:v>dangerous impacts</x:v>
      </x:c>
      <x:c r="E121" s="31" t="str">
        <x:v>INTERNET_ARCHIVE_METADATA_TEXT_ITEM_COUNT</x:v>
      </x:c>
      <x:c r="F121" s="46" t="str">
        <x:v>INTERNET_ARCHIVE_ADVANCEDSEARCH_NUMFOUND</x:v>
      </x:c>
      <x:c r="G121" s="19" t="str">
        <x:v>"dangerous impacts" AND mediatype:texts</x:v>
      </x:c>
      <x:c r="H121" s="19" t="str">
        <x:v>PHRASE_METADATA_SEARCH</x:v>
      </x:c>
      <x:c r="I121" s="31" t="str">
        <x:v>EXACT_PHRASE</x:v>
      </x:c>
      <x:c r="J121" s="25" t="n">
        <x:v>3</x:v>
      </x:c>
      <x:c r="K121" s="25" t="n">
        <x:v>0</x:v>
      </x:c>
      <x:c r="L121" s="25" t="n">
        <x:v>0</x:v>
      </x:c>
      <x:c r="M121" s="31" t="str">
        <x:v>COMPLETED_NONZERO</x:v>
      </x:c>
      <x:c r="N121" s="19" t="str">
        <x:v>2026-08-26</x:v>
      </x:c>
      <x:c r="O121" s="31" t="str">
        <x:v>https://archive.org/advancedsearch.php</x:v>
      </x:c>
      <x:c r="P121" s="31" t="str">
        <x:v>Metadata text-item count; not a full-text lexical frequency. Secondary metric: NOT_RUN_OPENALEX_DAILY_BUDGET_EXHAUSTED: shared provider response retained; no count fabricated.</x:v>
      </x:c>
      <x:c r="Q121" s="31" t="str">
        <x:v>OPENALEX_WORK_COUNT</x:v>
      </x:c>
      <x:c r="R121" s="37" t="str">
        <x:v>NOT_APPLICABLE</x:v>
      </x:c>
    </x:row>
    <x:row r="122" ht="34" customHeight="1">
      <x:c r="A122" s="40" t="str">
        <x:v>FT-SEED-R1B-P-0607-28</x:v>
      </x:c>
      <x:c r="B122" s="19" t="str">
        <x:v>2006–2007</x:v>
      </x:c>
      <x:c r="C122" s="25" t="n">
        <x:v>28</x:v>
      </x:c>
      <x:c r="D122" s="31" t="str">
        <x:v>drastic action</x:v>
      </x:c>
      <x:c r="E122" s="31" t="str">
        <x:v>INTERNET_ARCHIVE_METADATA_TEXT_ITEM_COUNT</x:v>
      </x:c>
      <x:c r="F122" s="46" t="str">
        <x:v>INTERNET_ARCHIVE_ADVANCEDSEARCH_NUMFOUND</x:v>
      </x:c>
      <x:c r="G122" s="19" t="str">
        <x:v>"drastic action" AND mediatype:texts</x:v>
      </x:c>
      <x:c r="H122" s="19" t="str">
        <x:v>PHRASE_METADATA_SEARCH</x:v>
      </x:c>
      <x:c r="I122" s="31" t="str">
        <x:v>EXACT_PHRASE</x:v>
      </x:c>
      <x:c r="J122" s="25" t="n">
        <x:v>532</x:v>
      </x:c>
      <x:c r="K122" s="25" t="n">
        <x:v>2</x:v>
      </x:c>
      <x:c r="L122" s="25" t="n">
        <x:v>4</x:v>
      </x:c>
      <x:c r="M122" s="31" t="str">
        <x:v>COMPLETED_NONZERO</x:v>
      </x:c>
      <x:c r="N122" s="19" t="str">
        <x:v>2026-08-26</x:v>
      </x:c>
      <x:c r="O122" s="31" t="str">
        <x:v>https://archive.org/advancedsearch.php</x:v>
      </x:c>
      <x:c r="P122" s="31" t="str">
        <x:v>Metadata text-item count; not a full-text lexical frequency. Secondary metric: NOT_RUN_OPENALEX_DAILY_BUDGET_EXHAUSTED: shared provider response retained; no count fabricated.</x:v>
      </x:c>
      <x:c r="Q122" s="31" t="str">
        <x:v>OPENALEX_WORK_COUNT</x:v>
      </x:c>
      <x:c r="R122" s="37" t="str">
        <x:v>NOT_APPLICABLE</x:v>
      </x:c>
    </x:row>
    <x:row r="123" ht="34" customHeight="1">
      <x:c r="A123" s="40" t="str">
        <x:v>FT-SEED-R1B-P-0607-29</x:v>
      </x:c>
      <x:c r="B123" s="19" t="str">
        <x:v>2006–2007</x:v>
      </x:c>
      <x:c r="C123" s="25" t="n">
        <x:v>29</x:v>
      </x:c>
      <x:c r="D123" s="31" t="str">
        <x:v>dangerous climate change</x:v>
      </x:c>
      <x:c r="E123" s="31" t="str">
        <x:v>INTERNET_ARCHIVE_METADATA_TEXT_ITEM_COUNT</x:v>
      </x:c>
      <x:c r="F123" s="46" t="str">
        <x:v>INTERNET_ARCHIVE_ADVANCEDSEARCH_NUMFOUND</x:v>
      </x:c>
      <x:c r="G123" s="19" t="str">
        <x:v>"dangerous climate change" AND mediatype:texts</x:v>
      </x:c>
      <x:c r="H123" s="19" t="str">
        <x:v>PHRASE_METADATA_SEARCH</x:v>
      </x:c>
      <x:c r="I123" s="31" t="str">
        <x:v>EXACT_PHRASE</x:v>
      </x:c>
      <x:c r="J123" s="25" t="n">
        <x:v>28</x:v>
      </x:c>
      <x:c r="K123" s="25" t="n">
        <x:v>2</x:v>
      </x:c>
      <x:c r="L123" s="25" t="n">
        <x:v>5</x:v>
      </x:c>
      <x:c r="M123" s="31" t="str">
        <x:v>COMPLETED_NONZERO</x:v>
      </x:c>
      <x:c r="N123" s="19" t="str">
        <x:v>2026-08-26</x:v>
      </x:c>
      <x:c r="O123" s="31" t="str">
        <x:v>https://archive.org/advancedsearch.php</x:v>
      </x:c>
      <x:c r="P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Q123" s="31" t="str">
        <x:v>OPENALEX_WORK_COUNT</x:v>
      </x:c>
      <x:c r="R123" s="37" t="str">
        <x:v>NOT_APPLICABLE</x:v>
      </x:c>
    </x:row>
    <x:row r="124" ht="34" customHeight="1">
      <x:c r="A124" s="40" t="str">
        <x:v>FT-SEED-R1B-P-0607-30</x:v>
      </x:c>
      <x:c r="B124" s="19" t="str">
        <x:v>2006–2007</x:v>
      </x:c>
      <x:c r="C124" s="25" t="n">
        <x:v>30</x:v>
      </x:c>
      <x:c r="D124" s="31" t="str">
        <x:v>threatens serious negative effects</x:v>
      </x:c>
      <x:c r="E124" s="31" t="str">
        <x:v>INTERNET_ARCHIVE_METADATA_TEXT_ITEM_COUNT</x:v>
      </x:c>
      <x:c r="F124" s="46" t="str">
        <x:v>INTERNET_ARCHIVE_ADVANCEDSEARCH_NUMFOUND</x:v>
      </x:c>
      <x:c r="G124" s="19" t="str">
        <x:v>"threatens serious negative effects" AND mediatype:texts</x:v>
      </x:c>
      <x:c r="H124" s="19" t="str">
        <x:v>PHRASE_METADATA_SEARCH</x:v>
      </x:c>
      <x:c r="I124" s="31" t="str">
        <x:v>EXACT_PHRASE</x:v>
      </x:c>
      <x:c r="J124" s="25" t="n">
        <x:v>0</x:v>
      </x:c>
      <x:c r="K124" s="25" t="n">
        <x:v>0</x:v>
      </x:c>
      <x:c r="L124" s="25" t="n">
        <x:v>0</x:v>
      </x:c>
      <x:c r="M124" s="31" t="str">
        <x:v>COMPLETED_ZERO</x:v>
      </x:c>
      <x:c r="N124" s="19" t="str">
        <x:v>2026-08-26</x:v>
      </x:c>
      <x:c r="O124" s="31" t="str">
        <x:v>https://archive.org/advancedsearch.php</x:v>
      </x:c>
      <x:c r="P124" s="31" t="str">
        <x:v>Metadata text-item count; not a full-text lexical frequency. Secondary metric: NOT_RUN_OPENALEX_DAILY_BUDGET_EXHAUSTED: shared provider response retained; no count fabricated.</x:v>
      </x:c>
      <x:c r="Q124" s="31" t="str">
        <x:v>OPENALEX_WORK_COUNT</x:v>
      </x:c>
      <x:c r="R124" s="37" t="str">
        <x:v>NOT_APPLICABLE</x:v>
      </x:c>
    </x:row>
    <x:row r="125" ht="34" customHeight="1">
      <x:c r="A125" s="40" t="str">
        <x:v>FT-SEED-R1B-P-2015-01</x:v>
      </x:c>
      <x:c r="B125" s="19" t="str">
        <x:v>2015</x:v>
      </x:c>
      <x:c r="C125" s="25" t="n">
        <x:v>1</x:v>
      </x:c>
      <x:c r="D125" s="31" t="str">
        <x:v>climate change</x:v>
      </x:c>
      <x:c r="E125" s="31" t="str">
        <x:v>INTERNET_ARCHIVE_METADATA_TEXT_ITEM_COUNT</x:v>
      </x:c>
      <x:c r="F125" s="46" t="str">
        <x:v>INTERNET_ARCHIVE_ADVANCEDSEARCH_NUMFOUND</x:v>
      </x:c>
      <x:c r="G125" s="19" t="str">
        <x:v>"climate change" AND mediatype:texts</x:v>
      </x:c>
      <x:c r="H125" s="19" t="str">
        <x:v>PHRASE_METADATA_SEARCH</x:v>
      </x:c>
      <x:c r="I125" s="31" t="str">
        <x:v>EXACT_PHRASE</x:v>
      </x:c>
      <x:c r="J125" s="25" t="n">
        <x:v>30525</x:v>
      </x:c>
      <x:c r="K125" s="25" t="n">
        <x:v>656</x:v>
      </x:c>
      <x:c r="L125" s="25" t="n">
        <x:v>1334</x:v>
      </x:c>
      <x:c r="M125" s="31" t="str">
        <x:v>COMPLETED_NONZERO</x:v>
      </x:c>
      <x:c r="N125" s="19" t="str">
        <x:v>2026-08-26</x:v>
      </x:c>
      <x:c r="O125" s="31" t="str">
        <x:v>https://archive.org/advancedsearch.php</x:v>
      </x:c>
      <x:c r="P125" s="31" t="str">
        <x:v>Metadata text-item count; not a full-text lexical frequency. Secondary metric: Scholarly work discoverability count over OpenAlex search fields; not a corpus word frequency.</x:v>
      </x:c>
      <x:c r="Q125" s="31" t="str">
        <x:v>OPENALEX_WORK_COUNT</x:v>
      </x:c>
      <x:c r="R125" s="37" t="n">
        <x:v>2549592</x:v>
      </x:c>
    </x:row>
    <x:row r="126" ht="34" customHeight="1">
      <x:c r="A126" s="40" t="str">
        <x:v>FT-SEED-R1B-P-2015-02</x:v>
      </x:c>
      <x:c r="B126" s="19" t="str">
        <x:v>2015</x:v>
      </x:c>
      <x:c r="C126" s="25" t="n">
        <x:v>2</x:v>
      </x:c>
      <x:c r="D126" s="31" t="str">
        <x:v>threat of climate change</x:v>
      </x:c>
      <x:c r="E126" s="31" t="str">
        <x:v>INTERNET_ARCHIVE_METADATA_TEXT_ITEM_COUNT</x:v>
      </x:c>
      <x:c r="F126" s="46" t="str">
        <x:v>INTERNET_ARCHIVE_ADVANCEDSEARCH_NUMFOUND</x:v>
      </x:c>
      <x:c r="G126" s="19" t="str">
        <x:v>"threat of climate change" AND mediatype:texts</x:v>
      </x:c>
      <x:c r="H126" s="19" t="str">
        <x:v>PHRASE_METADATA_SEARCH</x:v>
      </x:c>
      <x:c r="I126" s="31" t="str">
        <x:v>EXACT_PHRASE</x:v>
      </x:c>
      <x:c r="J126" s="25" t="n">
        <x:v>42</x:v>
      </x:c>
      <x:c r="K126" s="25" t="n">
        <x:v>2</x:v>
      </x:c>
      <x:c r="L126" s="25" t="n">
        <x:v>3</x:v>
      </x:c>
      <x:c r="M126" s="31" t="str">
        <x:v>COMPLETED_NONZERO</x:v>
      </x:c>
      <x:c r="N126" s="19" t="str">
        <x:v>2026-08-26</x:v>
      </x:c>
      <x:c r="O126" s="31" t="str">
        <x:v>https://archive.org/advancedsearch.php</x:v>
      </x:c>
      <x:c r="P126" s="31" t="str">
        <x:v>Metadata text-item count; not a full-text lexical frequency. Secondary metric: NOT_RUN_OPENALEX_DAILY_BUDGET_EXHAUSTED: shared provider response retained; no count fabricated.</x:v>
      </x:c>
      <x:c r="Q126" s="31" t="str">
        <x:v>OPENALEX_WORK_COUNT</x:v>
      </x:c>
      <x:c r="R126" s="37" t="str">
        <x:v>NOT_APPLICABLE</x:v>
      </x:c>
    </x:row>
    <x:row r="127" ht="34" customHeight="1">
      <x:c r="A127" s="40" t="str">
        <x:v>FT-SEED-R1B-P-2015-03</x:v>
      </x:c>
      <x:c r="B127" s="19" t="str">
        <x:v>2015</x:v>
      </x:c>
      <x:c r="C127" s="25" t="n">
        <x:v>3</x:v>
      </x:c>
      <x:c r="D127" s="31" t="str">
        <x:v>global average temperature</x:v>
      </x:c>
      <x:c r="E127" s="31" t="str">
        <x:v>INTERNET_ARCHIVE_METADATA_TEXT_ITEM_COUNT</x:v>
      </x:c>
      <x:c r="F127" s="46" t="str">
        <x:v>INTERNET_ARCHIVE_ADVANCEDSEARCH_NUMFOUND</x:v>
      </x:c>
      <x:c r="G127" s="19" t="str">
        <x:v>"global average temperature" AND mediatype:texts</x:v>
      </x:c>
      <x:c r="H127" s="19" t="str">
        <x:v>PHRASE_METADATA_SEARCH</x:v>
      </x:c>
      <x:c r="I127" s="31" t="str">
        <x:v>EXACT_PHRASE</x:v>
      </x:c>
      <x:c r="J127" s="25" t="n">
        <x:v>25</x:v>
      </x:c>
      <x:c r="K127" s="25" t="n">
        <x:v>1</x:v>
      </x:c>
      <x:c r="L127" s="25" t="n">
        <x:v>2</x:v>
      </x:c>
      <x:c r="M127" s="31" t="str">
        <x:v>COMPLETED_NONZERO</x:v>
      </x:c>
      <x:c r="N127" s="19" t="str">
        <x:v>2026-08-26</x:v>
      </x:c>
      <x:c r="O127" s="31" t="str">
        <x:v>https://archive.org/advancedsearch.php</x:v>
      </x:c>
      <x:c r="P127" s="31" t="str">
        <x:v>Metadata text-item count; not a full-text lexical frequency. Secondary metric: NOT_RUN_OPENALEX_DAILY_BUDGET_EXHAUSTED: shared provider response retained; no count fabricated.</x:v>
      </x:c>
      <x:c r="Q127" s="31" t="str">
        <x:v>OPENALEX_WORK_COUNT</x:v>
      </x:c>
      <x:c r="R127" s="37" t="str">
        <x:v>NOT_APPLICABLE</x:v>
      </x:c>
    </x:row>
    <x:row r="128" ht="34" customHeight="1">
      <x:c r="A128" s="40" t="str">
        <x:v>FT-SEED-R1B-P-2015-04</x:v>
      </x:c>
      <x:c r="B128" s="19" t="str">
        <x:v>2015</x:v>
      </x:c>
      <x:c r="C128" s="25" t="n">
        <x:v>4</x:v>
      </x:c>
      <x:c r="D128" s="31" t="str">
        <x:v>well below 2°C above pre-industrial levels</x:v>
      </x:c>
      <x:c r="E128" s="31" t="str">
        <x:v>INTERNET_ARCHIVE_METADATA_TEXT_ITEM_COUNT</x:v>
      </x:c>
      <x:c r="F128" s="46" t="str">
        <x:v>INTERNET_ARCHIVE_ADVANCEDSEARCH_NUMFOUND</x:v>
      </x:c>
      <x:c r="G128" s="19" t="str">
        <x:v>"well below 2°C above pre-industrial levels" AND mediatype:texts</x:v>
      </x:c>
      <x:c r="H128" s="19" t="str">
        <x:v>PHRASE_METADATA_SEARCH</x:v>
      </x:c>
      <x:c r="I128" s="31" t="str">
        <x:v>EXACT_PHRASE</x:v>
      </x:c>
      <x:c r="J128" s="25" t="n">
        <x:v>2</x:v>
      </x:c>
      <x:c r="K128" s="25" t="n">
        <x:v>1</x:v>
      </x:c>
      <x:c r="L128" s="25" t="n">
        <x:v>1</x:v>
      </x:c>
      <x:c r="M128" s="31" t="str">
        <x:v>COMPLETED_NONZERO</x:v>
      </x:c>
      <x:c r="N128" s="19" t="str">
        <x:v>2026-08-26</x:v>
      </x:c>
      <x:c r="O128" s="31" t="str">
        <x:v>https://archive.org/advancedsearch.php</x:v>
      </x:c>
      <x:c r="P128" s="31" t="str">
        <x:v>Metadata text-item count; not a full-text lexical frequency. Secondary metric: NOT_RUN_OPENALEX_DAILY_BUDGET_EXHAUSTED: shared provider response retained; no count fabricated.</x:v>
      </x:c>
      <x:c r="Q128" s="31" t="str">
        <x:v>OPENALEX_WORK_COUNT</x:v>
      </x:c>
      <x:c r="R128" s="37" t="str">
        <x:v>NOT_APPLICABLE</x:v>
      </x:c>
    </x:row>
    <x:row r="129" ht="34" customHeight="1">
      <x:c r="A129" s="40" t="str">
        <x:v>FT-SEED-R1B-P-2015-05</x:v>
      </x:c>
      <x:c r="B129" s="19" t="str">
        <x:v>2015</x:v>
      </x:c>
      <x:c r="C129" s="25" t="n">
        <x:v>5</x:v>
      </x:c>
      <x:c r="D129" s="31" t="str">
        <x:v>1.5°C above pre-industrial levels</x:v>
      </x:c>
      <x:c r="E129" s="31" t="str">
        <x:v>INTERNET_ARCHIVE_METADATA_TEXT_ITEM_COUNT</x:v>
      </x:c>
      <x:c r="F129" s="46" t="str">
        <x:v>INTERNET_ARCHIVE_ADVANCEDSEARCH_NUMFOUND</x:v>
      </x:c>
      <x:c r="G129" s="19" t="str">
        <x:v>"1.5°C above pre-industrial levels" AND mediatype:texts</x:v>
      </x:c>
      <x:c r="H129" s="19" t="str">
        <x:v>PHRASE_METADATA_SEARCH</x:v>
      </x:c>
      <x:c r="I129" s="31" t="str">
        <x:v>EXACT_PHRASE</x:v>
      </x:c>
      <x:c r="J129" s="25" t="n">
        <x:v>3</x:v>
      </x:c>
      <x:c r="K129" s="25" t="n">
        <x:v>1</x:v>
      </x:c>
      <x:c r="L129" s="25" t="n">
        <x:v>1</x:v>
      </x:c>
      <x:c r="M129" s="31" t="str">
        <x:v>COMPLETED_NONZERO</x:v>
      </x:c>
      <x:c r="N129" s="19" t="str">
        <x:v>2026-08-26</x:v>
      </x:c>
      <x:c r="O129" s="31" t="str">
        <x:v>https://archive.org/advancedsearch.php</x:v>
      </x:c>
      <x:c r="P129" s="31" t="str">
        <x:v>Metadata text-item count; not a full-text lexical frequency. Secondary metric: Scholarly work discoverability count over OpenAlex search fields; not a corpus word frequency.</x:v>
      </x:c>
      <x:c r="Q129" s="31" t="str">
        <x:v>OPENALEX_WORK_COUNT</x:v>
      </x:c>
      <x:c r="R129" s="37" t="n">
        <x:v>11609</x:v>
      </x:c>
    </x:row>
    <x:row r="130" ht="34" customHeight="1">
      <x:c r="A130" s="40" t="str">
        <x:v>FT-SEED-R1B-P-2015-06</x:v>
      </x:c>
      <x:c r="B130" s="19" t="str">
        <x:v>2015</x:v>
      </x:c>
      <x:c r="C130" s="25" t="n">
        <x:v>6</x:v>
      </x:c>
      <x:c r="D130" s="31" t="str">
        <x:v>pre-industrial levels</x:v>
      </x:c>
      <x:c r="E130" s="31" t="str">
        <x:v>INTERNET_ARCHIVE_METADATA_TEXT_ITEM_COUNT</x:v>
      </x:c>
      <x:c r="F130" s="46" t="str">
        <x:v>INTERNET_ARCHIVE_ADVANCEDSEARCH_NUMFOUND</x:v>
      </x:c>
      <x:c r="G130" s="19" t="str">
        <x:v>"pre-industrial levels" AND mediatype:texts</x:v>
      </x:c>
      <x:c r="H130" s="19" t="str">
        <x:v>PHRASE_METADATA_SEARCH</x:v>
      </x:c>
      <x:c r="I130" s="31" t="str">
        <x:v>EXACT_PHRASE</x:v>
      </x:c>
      <x:c r="J130" s="25" t="n">
        <x:v>30</x:v>
      </x:c>
      <x:c r="K130" s="25" t="n">
        <x:v>1</x:v>
      </x:c>
      <x:c r="L130" s="25" t="n">
        <x:v>1</x:v>
      </x:c>
      <x:c r="M130" s="31" t="str">
        <x:v>COMPLETED_NONZERO</x:v>
      </x:c>
      <x:c r="N130" s="19" t="str">
        <x:v>2026-08-26</x:v>
      </x:c>
      <x:c r="O130" s="31" t="str">
        <x:v>https://archive.org/advancedsearch.php</x:v>
      </x:c>
      <x:c r="P130" s="31" t="str">
        <x:v>Metadata text-item count; not a full-text lexical frequency. Secondary metric: NOT_RUN_OPENALEX_DAILY_BUDGET_EXHAUSTED: shared provider response retained; no count fabricated.</x:v>
      </x:c>
      <x:c r="Q130" s="31" t="str">
        <x:v>OPENALEX_WORK_COUNT</x:v>
      </x:c>
      <x:c r="R130" s="37" t="str">
        <x:v>NOT_APPLICABLE</x:v>
      </x:c>
    </x:row>
    <x:row r="131" ht="34" customHeight="1">
      <x:c r="A131" s="40" t="str">
        <x:v>FT-SEED-R1B-P-2015-07</x:v>
      </x:c>
      <x:c r="B131" s="19" t="str">
        <x:v>2015</x:v>
      </x:c>
      <x:c r="C131" s="25" t="n">
        <x:v>7</x:v>
      </x:c>
      <x:c r="D131" s="31" t="str">
        <x:v>risks and impacts</x:v>
      </x:c>
      <x:c r="E131" s="31" t="str">
        <x:v>INTERNET_ARCHIVE_METADATA_TEXT_ITEM_COUNT</x:v>
      </x:c>
      <x:c r="F131" s="46" t="str">
        <x:v>INTERNET_ARCHIVE_ADVANCEDSEARCH_NUMFOUND</x:v>
      </x:c>
      <x:c r="G131" s="19" t="str">
        <x:v>"risks and impacts" AND mediatype:texts</x:v>
      </x:c>
      <x:c r="H131" s="19" t="str">
        <x:v>PHRASE_METADATA_SEARCH</x:v>
      </x:c>
      <x:c r="I131" s="31" t="str">
        <x:v>EXACT_PHRASE</x:v>
      </x:c>
      <x:c r="J131" s="25" t="n">
        <x:v>27</x:v>
      </x:c>
      <x:c r="K131" s="25" t="n">
        <x:v>1</x:v>
      </x:c>
      <x:c r="L131" s="25" t="n">
        <x:v>3</x:v>
      </x:c>
      <x:c r="M131" s="31" t="str">
        <x:v>COMPLETED_NONZERO</x:v>
      </x:c>
      <x:c r="N131" s="19" t="str">
        <x:v>2026-08-26</x:v>
      </x:c>
      <x:c r="O131" s="31" t="str">
        <x:v>https://archive.org/advancedsearch.php</x:v>
      </x:c>
      <x:c r="P131" s="31" t="str">
        <x:v>Metadata text-item count; not a full-text lexical frequency. Secondary metric: NOT_RUN_OPENALEX_DAILY_BUDGET_EXHAUSTED: shared provider response retained; no count fabricated.</x:v>
      </x:c>
      <x:c r="Q131" s="31" t="str">
        <x:v>OPENALEX_WORK_COUNT</x:v>
      </x:c>
      <x:c r="R131" s="37" t="str">
        <x:v>NOT_APPLICABLE</x:v>
      </x:c>
    </x:row>
    <x:row r="132" ht="34" customHeight="1">
      <x:c r="A132" s="40" t="str">
        <x:v>FT-SEED-R1B-P-2015-08</x:v>
      </x:c>
      <x:c r="B132" s="19" t="str">
        <x:v>2015</x:v>
      </x:c>
      <x:c r="C132" s="25" t="n">
        <x:v>8</x:v>
      </x:c>
      <x:c r="D132" s="31" t="str">
        <x:v>adverse impacts</x:v>
      </x:c>
      <x:c r="E132" s="31" t="str">
        <x:v>INTERNET_ARCHIVE_METADATA_TEXT_ITEM_COUNT</x:v>
      </x:c>
      <x:c r="F132" s="46" t="str">
        <x:v>INTERNET_ARCHIVE_ADVANCEDSEARCH_NUMFOUND</x:v>
      </x:c>
      <x:c r="G132" s="19" t="str">
        <x:v>"adverse impacts" AND mediatype:texts</x:v>
      </x:c>
      <x:c r="H132" s="19" t="str">
        <x:v>PHRASE_METADATA_SEARCH</x:v>
      </x:c>
      <x:c r="I132" s="31" t="str">
        <x:v>EXACT_PHRASE</x:v>
      </x:c>
      <x:c r="J132" s="25" t="n">
        <x:v>442</x:v>
      </x:c>
      <x:c r="K132" s="25" t="n">
        <x:v>4</x:v>
      </x:c>
      <x:c r="L132" s="25" t="n">
        <x:v>25</x:v>
      </x:c>
      <x:c r="M132" s="31" t="str">
        <x:v>COMPLETED_NONZERO</x:v>
      </x:c>
      <x:c r="N132" s="19" t="str">
        <x:v>2026-08-26</x:v>
      </x:c>
      <x:c r="O132" s="31" t="str">
        <x:v>https://archive.org/advancedsearch.php</x:v>
      </x:c>
      <x:c r="P132" s="31" t="str">
        <x:v>Metadata text-item count; not a full-text lexical frequency. Secondary metric: Scholarly work discoverability count over OpenAlex search fields; not a corpus word frequency.</x:v>
      </x:c>
      <x:c r="Q132" s="31" t="str">
        <x:v>OPENALEX_WORK_COUNT</x:v>
      </x:c>
      <x:c r="R132" s="37" t="n">
        <x:v>115739</x:v>
      </x:c>
    </x:row>
    <x:row r="133" ht="34" customHeight="1">
      <x:c r="A133" s="40" t="str">
        <x:v>FT-SEED-R1B-P-2015-09</x:v>
      </x:c>
      <x:c r="B133" s="19" t="str">
        <x:v>2015</x:v>
      </x:c>
      <x:c r="C133" s="25" t="n">
        <x:v>9</x:v>
      </x:c>
      <x:c r="D133" s="31" t="str">
        <x:v>adverse effects of climate change</x:v>
      </x:c>
      <x:c r="E133" s="31" t="str">
        <x:v>INTERNET_ARCHIVE_METADATA_TEXT_ITEM_COUNT</x:v>
      </x:c>
      <x:c r="F133" s="46" t="str">
        <x:v>INTERNET_ARCHIVE_ADVANCEDSEARCH_NUMFOUND</x:v>
      </x:c>
      <x:c r="G133" s="19" t="str">
        <x:v>"adverse effects of climate change" AND mediatype:texts</x:v>
      </x:c>
      <x:c r="H133" s="19" t="str">
        <x:v>PHRASE_METADATA_SEARCH</x:v>
      </x:c>
      <x:c r="I133" s="31" t="str">
        <x:v>EXACT_PHRASE</x:v>
      </x:c>
      <x:c r="J133" s="25" t="n">
        <x:v>41</x:v>
      </x:c>
      <x:c r="K133" s="25" t="n">
        <x:v>1</x:v>
      </x:c>
      <x:c r="L133" s="25" t="n">
        <x:v>1</x:v>
      </x:c>
      <x:c r="M133" s="31" t="str">
        <x:v>COMPLETED_NONZERO</x:v>
      </x:c>
      <x:c r="N133" s="19" t="str">
        <x:v>2026-08-26</x:v>
      </x:c>
      <x:c r="O133" s="31" t="str">
        <x:v>https://archive.org/advancedsearch.php</x:v>
      </x:c>
      <x:c r="P133" s="31" t="str">
        <x:v>Metadata text-item count; not a full-text lexical frequency. Secondary metric: Scholarly work discoverability count over OpenAlex search fields; not a corpus word frequency.</x:v>
      </x:c>
      <x:c r="Q133" s="31" t="str">
        <x:v>OPENALEX_WORK_COUNT</x:v>
      </x:c>
      <x:c r="R133" s="37" t="n">
        <x:v>12883</x:v>
      </x:c>
    </x:row>
    <x:row r="134" ht="34" customHeight="1">
      <x:c r="A134" s="40" t="str">
        <x:v>FT-SEED-R1B-P-2015-10</x:v>
      </x:c>
      <x:c r="B134" s="19" t="str">
        <x:v>2015</x:v>
      </x:c>
      <x:c r="C134" s="25" t="n">
        <x:v>10</x:v>
      </x:c>
      <x:c r="D134" s="31" t="str">
        <x:v>greenhouse gas emissions</x:v>
      </x:c>
      <x:c r="E134" s="31" t="str">
        <x:v>INTERNET_ARCHIVE_METADATA_TEXT_ITEM_COUNT</x:v>
      </x:c>
      <x:c r="F134" s="46" t="str">
        <x:v>INTERNET_ARCHIVE_ADVANCEDSEARCH_NUMFOUND</x:v>
      </x:c>
      <x:c r="G134" s="19" t="str">
        <x:v>"greenhouse gas emissions" AND mediatype:texts</x:v>
      </x:c>
      <x:c r="H134" s="19" t="str">
        <x:v>PHRASE_METADATA_SEARCH</x:v>
      </x:c>
      <x:c r="I134" s="31" t="str">
        <x:v>EXACT_PHRASE</x:v>
      </x:c>
      <x:c r="J134" s="25" t="n">
        <x:v>1078</x:v>
      </x:c>
      <x:c r="K134" s="25" t="n">
        <x:v>22</x:v>
      </x:c>
      <x:c r="L134" s="25" t="n">
        <x:v>102</x:v>
      </x:c>
      <x:c r="M134" s="31" t="str">
        <x:v>COMPLETED_NONZERO</x:v>
      </x:c>
      <x:c r="N134" s="19" t="str">
        <x:v>2026-08-26</x:v>
      </x:c>
      <x:c r="O134" s="31" t="str">
        <x:v>https://archive.org/advancedsearch.php</x:v>
      </x:c>
      <x:c r="P134" s="31" t="str">
        <x:v>Metadata text-item count; not a full-text lexical frequency. Secondary metric: NOT_RUN_OPENALEX_DAILY_BUDGET_EXHAUSTED: shared provider response retained; no count fabricated.</x:v>
      </x:c>
      <x:c r="Q134" s="31" t="str">
        <x:v>OPENALEX_WORK_COUNT</x:v>
      </x:c>
      <x:c r="R134" s="37" t="str">
        <x:v>NOT_APPLICABLE</x:v>
      </x:c>
    </x:row>
    <x:row r="135" ht="34" customHeight="1">
      <x:c r="A135" s="40" t="str">
        <x:v>FT-SEED-R1B-P-2015-11</x:v>
      </x:c>
      <x:c r="B135" s="19" t="str">
        <x:v>2015</x:v>
      </x:c>
      <x:c r="C135" s="25" t="n">
        <x:v>11</x:v>
      </x:c>
      <x:c r="D135" s="31" t="str">
        <x:v>climate resilience</x:v>
      </x:c>
      <x:c r="E135" s="31" t="str">
        <x:v>INTERNET_ARCHIVE_METADATA_TEXT_ITEM_COUNT</x:v>
      </x:c>
      <x:c r="F135" s="46" t="str">
        <x:v>INTERNET_ARCHIVE_ADVANCEDSEARCH_NUMFOUND</x:v>
      </x:c>
      <x:c r="G135" s="19" t="str">
        <x:v>"climate resilience" AND mediatype:texts</x:v>
      </x:c>
      <x:c r="H135" s="19" t="str">
        <x:v>PHRASE_METADATA_SEARCH</x:v>
      </x:c>
      <x:c r="I135" s="31" t="str">
        <x:v>EXACT_PHRASE</x:v>
      </x:c>
      <x:c r="J135" s="25" t="n">
        <x:v>196</x:v>
      </x:c>
      <x:c r="K135" s="25" t="n">
        <x:v>4</x:v>
      </x:c>
      <x:c r="L135" s="25" t="n">
        <x:v>7</x:v>
      </x:c>
      <x:c r="M135" s="31" t="str">
        <x:v>COMPLETED_NONZERO</x:v>
      </x:c>
      <x:c r="N135" s="19" t="str">
        <x:v>2026-08-26</x:v>
      </x:c>
      <x:c r="O135" s="31" t="str">
        <x:v>https://archive.org/advancedsearch.php</x:v>
      </x:c>
      <x:c r="P135" s="31" t="str">
        <x:v>Metadata text-item count; not a full-text lexical frequency. Secondary metric: Scholarly work discoverability count over OpenAlex search fields; not a corpus word frequency.</x:v>
      </x:c>
      <x:c r="Q135" s="31" t="str">
        <x:v>OPENALEX_WORK_COUNT</x:v>
      </x:c>
      <x:c r="R135" s="37" t="n">
        <x:v>71130</x:v>
      </x:c>
    </x:row>
    <x:row r="136" ht="34" customHeight="1">
      <x:c r="A136" s="40" t="str">
        <x:v>FT-SEED-R1B-P-2015-12</x:v>
      </x:c>
      <x:c r="B136" s="19" t="str">
        <x:v>2015</x:v>
      </x:c>
      <x:c r="C136" s="25" t="n">
        <x:v>12</x:v>
      </x:c>
      <x:c r="D136" s="31" t="str">
        <x:v>vulnerability</x:v>
      </x:c>
      <x:c r="E136" s="31" t="str">
        <x:v>INTERNET_ARCHIVE_METADATA_TEXT_ITEM_COUNT</x:v>
      </x:c>
      <x:c r="F136" s="46" t="str">
        <x:v>INTERNET_ARCHIVE_ADVANCEDSEARCH_NUMFOUND</x:v>
      </x:c>
      <x:c r="G136" s="19" t="str">
        <x:v>"vulnerability" AND mediatype:texts</x:v>
      </x:c>
      <x:c r="H136" s="19" t="str">
        <x:v>PHRASE_METADATA_SEARCH</x:v>
      </x:c>
      <x:c r="I136" s="31" t="str">
        <x:v>EXACT_PHRASE</x:v>
      </x:c>
      <x:c r="J136" s="25" t="n">
        <x:v>13888</x:v>
      </x:c>
      <x:c r="K136" s="25" t="n">
        <x:v>333</x:v>
      </x:c>
      <x:c r="L136" s="25" t="n">
        <x:v>1289</x:v>
      </x:c>
      <x:c r="M136" s="31" t="str">
        <x:v>COMPLETED_NONZERO</x:v>
      </x:c>
      <x:c r="N136" s="19" t="str">
        <x:v>2026-08-26</x:v>
      </x:c>
      <x:c r="O136" s="31" t="str">
        <x:v>https://archive.org/advancedsearch.php</x:v>
      </x:c>
      <x:c r="P136" s="31" t="str">
        <x:v>Metadata text-item count; not a full-text lexical frequency. Secondary metric: NOT_RUN_OPENALEX_DAILY_BUDGET_EXHAUSTED: shared provider response retained; no count fabricated.</x:v>
      </x:c>
      <x:c r="Q136" s="31" t="str">
        <x:v>OPENALEX_WORK_COUNT</x:v>
      </x:c>
      <x:c r="R136" s="37" t="str">
        <x:v>NOT_APPLICABLE</x:v>
      </x:c>
    </x:row>
    <x:row r="137" ht="34" customHeight="1">
      <x:c r="A137" s="40" t="str">
        <x:v>FT-SEED-R1B-P-2015-13</x:v>
      </x:c>
      <x:c r="B137" s="19" t="str">
        <x:v>2015</x:v>
      </x:c>
      <x:c r="C137" s="25" t="n">
        <x:v>13</x:v>
      </x:c>
      <x:c r="D137" s="31" t="str">
        <x:v>vulnerable groups</x:v>
      </x:c>
      <x:c r="E137" s="31" t="str">
        <x:v>INTERNET_ARCHIVE_METADATA_TEXT_ITEM_COUNT</x:v>
      </x:c>
      <x:c r="F137" s="46" t="str">
        <x:v>INTERNET_ARCHIVE_ADVANCEDSEARCH_NUMFOUND</x:v>
      </x:c>
      <x:c r="G137" s="19" t="str">
        <x:v>"vulnerable groups" AND mediatype:texts</x:v>
      </x:c>
      <x:c r="H137" s="19" t="str">
        <x:v>PHRASE_METADATA_SEARCH</x:v>
      </x:c>
      <x:c r="I137" s="31" t="str">
        <x:v>EXACT_PHRASE</x:v>
      </x:c>
      <x:c r="J137" s="25" t="n">
        <x:v>359</x:v>
      </x:c>
      <x:c r="K137" s="25" t="n">
        <x:v>12</x:v>
      </x:c>
      <x:c r="L137" s="25" t="n">
        <x:v>49</x:v>
      </x:c>
      <x:c r="M137" s="31" t="str">
        <x:v>COMPLETED_NONZERO</x:v>
      </x:c>
      <x:c r="N137" s="19" t="str">
        <x:v>2026-08-26</x:v>
      </x:c>
      <x:c r="O137" s="31" t="str">
        <x:v>https://archive.org/advancedsearch.php</x:v>
      </x:c>
      <x:c r="P137" s="31" t="str">
        <x:v>Metadata text-item count; not a full-text lexical frequency. Secondary metric: NOT_RUN_OPENALEX_DAILY_BUDGET_EXHAUSTED: shared provider response retained; no count fabricated.</x:v>
      </x:c>
      <x:c r="Q137" s="31" t="str">
        <x:v>OPENALEX_WORK_COUNT</x:v>
      </x:c>
      <x:c r="R137" s="37" t="str">
        <x:v>NOT_APPLICABLE</x:v>
      </x:c>
    </x:row>
    <x:row r="138" ht="34" customHeight="1">
      <x:c r="A138" s="40" t="str">
        <x:v>FT-SEED-R1B-P-2015-14</x:v>
      </x:c>
      <x:c r="B138" s="19" t="str">
        <x:v>2015</x:v>
      </x:c>
      <x:c r="C138" s="25" t="n">
        <x:v>14</x:v>
      </x:c>
      <x:c r="D138" s="31" t="str">
        <x:v>loss and damage</x:v>
      </x:c>
      <x:c r="E138" s="31" t="str">
        <x:v>INTERNET_ARCHIVE_METADATA_TEXT_ITEM_COUNT</x:v>
      </x:c>
      <x:c r="F138" s="46" t="str">
        <x:v>INTERNET_ARCHIVE_ADVANCEDSEARCH_NUMFOUND</x:v>
      </x:c>
      <x:c r="G138" s="19" t="str">
        <x:v>"loss and damage" AND mediatype:texts</x:v>
      </x:c>
      <x:c r="H138" s="19" t="str">
        <x:v>PHRASE_METADATA_SEARCH</x:v>
      </x:c>
      <x:c r="I138" s="31" t="str">
        <x:v>EXACT_PHRASE</x:v>
      </x:c>
      <x:c r="J138" s="25" t="n">
        <x:v>86</x:v>
      </x:c>
      <x:c r="K138" s="25" t="n">
        <x:v>4</x:v>
      </x:c>
      <x:c r="L138" s="25" t="n">
        <x:v>4</x:v>
      </x:c>
      <x:c r="M138" s="31" t="str">
        <x:v>COMPLETED_NONZERO</x:v>
      </x:c>
      <x:c r="N138" s="19" t="str">
        <x:v>2026-08-26</x:v>
      </x:c>
      <x:c r="O138" s="31" t="str">
        <x:v>https://archive.org/advancedsearch.php</x:v>
      </x:c>
      <x:c r="P138" s="31" t="str">
        <x:v>Metadata text-item count; not a full-text lexical frequency. Secondary metric: NOT_RUN_OPENALEX_DAILY_BUDGET_EXHAUSTED: shared provider response retained; no count fabricated.</x:v>
      </x:c>
      <x:c r="Q138" s="31" t="str">
        <x:v>OPENALEX_WORK_COUNT</x:v>
      </x:c>
      <x:c r="R138" s="37" t="str">
        <x:v>NOT_APPLICABLE</x:v>
      </x:c>
    </x:row>
    <x:row r="139" ht="34" customHeight="1">
      <x:c r="A139" s="40" t="str">
        <x:v>FT-SEED-R1B-P-2015-15</x:v>
      </x:c>
      <x:c r="B139" s="19" t="str">
        <x:v>2015</x:v>
      </x:c>
      <x:c r="C139" s="25" t="n">
        <x:v>15</x:v>
      </x:c>
      <x:c r="D139" s="31" t="str">
        <x:v>extreme weather events</x:v>
      </x:c>
      <x:c r="E139" s="31" t="str">
        <x:v>INTERNET_ARCHIVE_METADATA_TEXT_ITEM_COUNT</x:v>
      </x:c>
      <x:c r="F139" s="46" t="str">
        <x:v>INTERNET_ARCHIVE_ADVANCEDSEARCH_NUMFOUND</x:v>
      </x:c>
      <x:c r="G139" s="19" t="str">
        <x:v>"extreme weather events" AND mediatype:texts</x:v>
      </x:c>
      <x:c r="H139" s="19" t="str">
        <x:v>PHRASE_METADATA_SEARCH</x:v>
      </x:c>
      <x:c r="I139" s="31" t="str">
        <x:v>EXACT_PHRASE</x:v>
      </x:c>
      <x:c r="J139" s="25" t="n">
        <x:v>251</x:v>
      </x:c>
      <x:c r="K139" s="25" t="n">
        <x:v>9</x:v>
      </x:c>
      <x:c r="L139" s="25" t="n">
        <x:v>30</x:v>
      </x:c>
      <x:c r="M139" s="31" t="str">
        <x:v>COMPLETED_NONZERO</x:v>
      </x:c>
      <x:c r="N139" s="19" t="str">
        <x:v>2026-08-26</x:v>
      </x:c>
      <x:c r="O139" s="31" t="str">
        <x:v>https://archive.org/advancedsearch.php</x:v>
      </x:c>
      <x:c r="P139" s="31" t="str">
        <x:v>Metadata text-item count; not a full-text lexical frequency. Secondary metric: NOT_RUN_OPENALEX_DAILY_BUDGET_EXHAUSTED: shared provider response retained; no count fabricated.</x:v>
      </x:c>
      <x:c r="Q139" s="31" t="str">
        <x:v>OPENALEX_WORK_COUNT</x:v>
      </x:c>
      <x:c r="R139" s="37" t="str">
        <x:v>NOT_APPLICABLE</x:v>
      </x:c>
    </x:row>
    <x:row r="140" ht="34" customHeight="1">
      <x:c r="A140" s="40" t="str">
        <x:v>FT-SEED-R1B-P-2015-16</x:v>
      </x:c>
      <x:c r="B140" s="19" t="str">
        <x:v>2015</x:v>
      </x:c>
      <x:c r="C140" s="25" t="n">
        <x:v>16</x:v>
      </x:c>
      <x:c r="D140" s="31" t="str">
        <x:v>slow onset events</x:v>
      </x:c>
      <x:c r="E140" s="31" t="str">
        <x:v>INTERNET_ARCHIVE_METADATA_TEXT_ITEM_COUNT</x:v>
      </x:c>
      <x:c r="F140" s="46" t="str">
        <x:v>INTERNET_ARCHIVE_ADVANCEDSEARCH_NUMFOUND</x:v>
      </x:c>
      <x:c r="G140" s="19" t="str">
        <x:v>"slow onset events" AND mediatype:texts</x:v>
      </x:c>
      <x:c r="H140" s="19" t="str">
        <x:v>PHRASE_METADATA_SEARCH</x:v>
      </x:c>
      <x:c r="I140" s="31" t="str">
        <x:v>EXACT_PHRASE</x:v>
      </x:c>
      <x:c r="J140" s="25" t="n">
        <x:v>2</x:v>
      </x:c>
      <x:c r="K140" s="25" t="n">
        <x:v>1</x:v>
      </x:c>
      <x:c r="L140" s="25" t="n">
        <x:v>1</x:v>
      </x:c>
      <x:c r="M140" s="31" t="str">
        <x:v>COMPLETED_NONZERO</x:v>
      </x:c>
      <x:c r="N140" s="19" t="str">
        <x:v>2026-08-26</x:v>
      </x:c>
      <x:c r="O140" s="31" t="str">
        <x:v>https://archive.org/advancedsearch.php</x:v>
      </x:c>
      <x:c r="P140" s="31" t="str">
        <x:v>Metadata text-item count; not a full-text lexical frequency. Secondary metric: NOT_RUN_OPENALEX_DAILY_BUDGET_EXHAUSTED: shared provider response retained; no count fabricated.</x:v>
      </x:c>
      <x:c r="Q140" s="31" t="str">
        <x:v>OPENALEX_WORK_COUNT</x:v>
      </x:c>
      <x:c r="R140" s="37" t="str">
        <x:v>NOT_APPLICABLE</x:v>
      </x:c>
    </x:row>
    <x:row r="141" ht="34" customHeight="1">
      <x:c r="A141" s="40" t="str">
        <x:v>FT-SEED-R1B-P-2015-17</x:v>
      </x:c>
      <x:c r="B141" s="19" t="str">
        <x:v>2015</x:v>
      </x:c>
      <x:c r="C141" s="25" t="n">
        <x:v>17</x:v>
      </x:c>
      <x:c r="D141" s="31" t="str">
        <x:v>risk of loss and damage</x:v>
      </x:c>
      <x:c r="E141" s="31" t="str">
        <x:v>INTERNET_ARCHIVE_METADATA_TEXT_ITEM_COUNT</x:v>
      </x:c>
      <x:c r="F141" s="46" t="str">
        <x:v>INTERNET_ARCHIVE_ADVANCEDSEARCH_NUMFOUND</x:v>
      </x:c>
      <x:c r="G141" s="19" t="str">
        <x:v>"risk of loss and damage" AND mediatype:texts</x:v>
      </x:c>
      <x:c r="H141" s="19" t="str">
        <x:v>PHRASE_METADATA_SEARCH</x:v>
      </x:c>
      <x:c r="I141" s="31" t="str">
        <x:v>EXACT_PHRASE</x:v>
      </x:c>
      <x:c r="J141" s="25" t="n">
        <x:v>2</x:v>
      </x:c>
      <x:c r="K141" s="25" t="n">
        <x:v>1</x:v>
      </x:c>
      <x:c r="L141" s="25" t="n">
        <x:v>1</x:v>
      </x:c>
      <x:c r="M141" s="31" t="str">
        <x:v>COMPLETED_NONZERO</x:v>
      </x:c>
      <x:c r="N141" s="19" t="str">
        <x:v>2026-08-26</x:v>
      </x:c>
      <x:c r="O141" s="31" t="str">
        <x:v>https://archive.org/advancedsearch.php</x:v>
      </x:c>
      <x:c r="P141" s="31" t="str">
        <x:v>Metadata text-item count; not a full-text lexical frequency. Secondary metric: NOT_RUN_OPENALEX_DAILY_BUDGET_EXHAUSTED: shared provider response retained; no count fabricated.</x:v>
      </x:c>
      <x:c r="Q141" s="31" t="str">
        <x:v>OPENALEX_WORK_COUNT</x:v>
      </x:c>
      <x:c r="R141" s="37" t="str">
        <x:v>NOT_APPLICABLE</x:v>
      </x:c>
    </x:row>
    <x:row r="142" ht="34" customHeight="1">
      <x:c r="A142" s="40" t="str">
        <x:v>FT-SEED-R1B-P-2015-18</x:v>
      </x:c>
      <x:c r="B142" s="19" t="str">
        <x:v>2015</x:v>
      </x:c>
      <x:c r="C142" s="25" t="n">
        <x:v>18</x:v>
      </x:c>
      <x:c r="D142" s="31" t="str">
        <x:v>early warning systems</x:v>
      </x:c>
      <x:c r="E142" s="31" t="str">
        <x:v>INTERNET_ARCHIVE_METADATA_TEXT_ITEM_COUNT</x:v>
      </x:c>
      <x:c r="F142" s="46" t="str">
        <x:v>INTERNET_ARCHIVE_ADVANCEDSEARCH_NUMFOUND</x:v>
      </x:c>
      <x:c r="G142" s="19" t="str">
        <x:v>"early warning systems" AND mediatype:texts</x:v>
      </x:c>
      <x:c r="H142" s="19" t="str">
        <x:v>PHRASE_METADATA_SEARCH</x:v>
      </x:c>
      <x:c r="I142" s="31" t="str">
        <x:v>EXACT_PHRASE</x:v>
      </x:c>
      <x:c r="J142" s="25" t="n">
        <x:v>833</x:v>
      </x:c>
      <x:c r="K142" s="25" t="n">
        <x:v>18</x:v>
      </x:c>
      <x:c r="L142" s="25" t="n">
        <x:v>56</x:v>
      </x:c>
      <x:c r="M142" s="31" t="str">
        <x:v>COMPLETED_NONZERO</x:v>
      </x:c>
      <x:c r="N142" s="19" t="str">
        <x:v>2026-08-26</x:v>
      </x:c>
      <x:c r="O142" s="31" t="str">
        <x:v>https://archive.org/advancedsearch.php</x:v>
      </x:c>
      <x:c r="P142" s="31" t="str">
        <x:v>Metadata text-item count; not a full-text lexical frequency. Secondary metric: NOT_RUN_OPENALEX_DAILY_BUDGET_EXHAUSTED: shared provider response retained; no count fabricated.</x:v>
      </x:c>
      <x:c r="Q142" s="31" t="str">
        <x:v>OPENALEX_WORK_COUNT</x:v>
      </x:c>
      <x:c r="R142" s="37" t="str">
        <x:v>NOT_APPLICABLE</x:v>
      </x:c>
    </x:row>
    <x:row r="143" ht="34" customHeight="1">
      <x:c r="A143" s="40" t="str">
        <x:v>FT-SEED-R1B-P-2015-19</x:v>
      </x:c>
      <x:c r="B143" s="19" t="str">
        <x:v>2015</x:v>
      </x:c>
      <x:c r="C143" s="25" t="n">
        <x:v>19</x:v>
      </x:c>
      <x:c r="D143" s="31" t="str">
        <x:v>emergency preparedness</x:v>
      </x:c>
      <x:c r="E143" s="31" t="str">
        <x:v>INTERNET_ARCHIVE_METADATA_TEXT_ITEM_COUNT</x:v>
      </x:c>
      <x:c r="F143" s="46" t="str">
        <x:v>INTERNET_ARCHIVE_ADVANCEDSEARCH_NUMFOUND</x:v>
      </x:c>
      <x:c r="G143" s="19" t="str">
        <x:v>"emergency preparedness" AND mediatype:texts</x:v>
      </x:c>
      <x:c r="H143" s="19" t="str">
        <x:v>PHRASE_METADATA_SEARCH</x:v>
      </x:c>
      <x:c r="I143" s="31" t="str">
        <x:v>EXACT_PHRASE</x:v>
      </x:c>
      <x:c r="J143" s="25" t="n">
        <x:v>1406</x:v>
      </x:c>
      <x:c r="K143" s="25" t="n">
        <x:v>30</x:v>
      </x:c>
      <x:c r="L143" s="25" t="n">
        <x:v>100</x:v>
      </x:c>
      <x:c r="M143" s="31" t="str">
        <x:v>COMPLETED_NONZERO</x:v>
      </x:c>
      <x:c r="N143" s="19" t="str">
        <x:v>2026-08-26</x:v>
      </x:c>
      <x:c r="O143" s="31" t="str">
        <x:v>https://archive.org/advancedsearch.php</x:v>
      </x:c>
      <x:c r="P143" s="31" t="str">
        <x:v>Metadata text-item count; not a full-text lexical frequency. Secondary metric: NOT_RUN_OPENALEX_DAILY_BUDGET_EXHAUSTED: shared provider response retained; no count fabricated.</x:v>
      </x:c>
      <x:c r="Q143" s="31" t="str">
        <x:v>OPENALEX_WORK_COUNT</x:v>
      </x:c>
      <x:c r="R143" s="37" t="str">
        <x:v>NOT_APPLICABLE</x:v>
      </x:c>
    </x:row>
    <x:row r="144" ht="34" customHeight="1">
      <x:c r="A144" s="40" t="str">
        <x:v>FT-SEED-R1B-P-2015-20</x:v>
      </x:c>
      <x:c r="B144" s="19" t="str">
        <x:v>2015</x:v>
      </x:c>
      <x:c r="C144" s="25" t="n">
        <x:v>20</x:v>
      </x:c>
      <x:c r="D144" s="31" t="str">
        <x:v>irreversible and permanent loss and damage</x:v>
      </x:c>
      <x:c r="E144" s="31" t="str">
        <x:v>INTERNET_ARCHIVE_METADATA_TEXT_ITEM_COUNT</x:v>
      </x:c>
      <x:c r="F144" s="46" t="str">
        <x:v>INTERNET_ARCHIVE_ADVANCEDSEARCH_NUMFOUND</x:v>
      </x:c>
      <x:c r="G144" s="19" t="str">
        <x:v>"irreversible and permanent loss and damage" AND mediatype:texts</x:v>
      </x:c>
      <x:c r="H144" s="19" t="str">
        <x:v>PHRASE_METADATA_SEARCH</x:v>
      </x:c>
      <x:c r="I144" s="31" t="str">
        <x:v>EXACT_PHRASE</x:v>
      </x:c>
      <x:c r="J144" s="25" t="n">
        <x:v>1</x:v>
      </x:c>
      <x:c r="K144" s="25" t="n">
        <x:v>1</x:v>
      </x:c>
      <x:c r="L144" s="25" t="n">
        <x:v>1</x:v>
      </x:c>
      <x:c r="M144" s="31" t="str">
        <x:v>COMPLETED_NONZERO</x:v>
      </x:c>
      <x:c r="N144" s="19" t="str">
        <x:v>2026-08-26</x:v>
      </x:c>
      <x:c r="O144" s="31" t="str">
        <x:v>https://archive.org/advancedsearch.php</x:v>
      </x:c>
      <x:c r="P144" s="31" t="str">
        <x:v>Metadata text-item count; not a full-text lexical frequency. Secondary metric: NOT_RUN_OPENALEX_DAILY_BUDGET_EXHAUSTED: shared provider response retained; no count fabricated.</x:v>
      </x:c>
      <x:c r="Q144" s="31" t="str">
        <x:v>OPENALEX_WORK_COUNT</x:v>
      </x:c>
      <x:c r="R144" s="37" t="str">
        <x:v>NOT_APPLICABLE</x:v>
      </x:c>
    </x:row>
    <x:row r="145" ht="34" customHeight="1">
      <x:c r="A145" s="40" t="str">
        <x:v>FT-SEED-R1B-P-2015-21</x:v>
      </x:c>
      <x:c r="B145" s="19" t="str">
        <x:v>2015</x:v>
      </x:c>
      <x:c r="C145" s="25" t="n">
        <x:v>21</x:v>
      </x:c>
      <x:c r="D145" s="31" t="str">
        <x:v>comprehensive risk assessment and management</x:v>
      </x:c>
      <x:c r="E145" s="31" t="str">
        <x:v>INTERNET_ARCHIVE_METADATA_TEXT_ITEM_COUNT</x:v>
      </x:c>
      <x:c r="F145" s="46" t="str">
        <x:v>INTERNET_ARCHIVE_ADVANCEDSEARCH_NUMFOUND</x:v>
      </x:c>
      <x:c r="G145" s="19" t="str">
        <x:v>"comprehensive risk assessment and management" AND mediatype:texts</x:v>
      </x:c>
      <x:c r="H145" s="19" t="str">
        <x:v>PHRASE_METADATA_SEARCH</x:v>
      </x:c>
      <x:c r="I145" s="31" t="str">
        <x:v>EXACT_PHRASE</x:v>
      </x:c>
      <x:c r="J145" s="25" t="n">
        <x:v>1</x:v>
      </x:c>
      <x:c r="K145" s="25" t="n">
        <x:v>1</x:v>
      </x:c>
      <x:c r="L145" s="25" t="n">
        <x:v>1</x:v>
      </x:c>
      <x:c r="M145" s="31" t="str">
        <x:v>COMPLETED_NONZERO</x:v>
      </x:c>
      <x:c r="N145" s="19" t="str">
        <x:v>2026-08-26</x:v>
      </x:c>
      <x:c r="O145" s="31" t="str">
        <x:v>https://archive.org/advancedsearch.php</x:v>
      </x:c>
      <x:c r="P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Q145" s="31" t="str">
        <x:v>OPENALEX_WORK_COUNT</x:v>
      </x:c>
      <x:c r="R145" s="37" t="str">
        <x:v>NOT_APPLICABLE</x:v>
      </x:c>
    </x:row>
    <x:row r="146" ht="34" customHeight="1">
      <x:c r="A146" s="40" t="str">
        <x:v>FT-SEED-R1B-P-2015-22</x:v>
      </x:c>
      <x:c r="B146" s="19" t="str">
        <x:v>2015</x:v>
      </x:c>
      <x:c r="C146" s="25" t="n">
        <x:v>22</x:v>
      </x:c>
      <x:c r="D146" s="31" t="str">
        <x:v>non-economic losses</x:v>
      </x:c>
      <x:c r="E146" s="31" t="str">
        <x:v>INTERNET_ARCHIVE_METADATA_TEXT_ITEM_COUNT</x:v>
      </x:c>
      <x:c r="F146" s="46" t="str">
        <x:v>INTERNET_ARCHIVE_ADVANCEDSEARCH_NUMFOUND</x:v>
      </x:c>
      <x:c r="G146" s="19" t="str">
        <x:v>"non-economic losses" AND mediatype:texts</x:v>
      </x:c>
      <x:c r="H146" s="19" t="str">
        <x:v>PHRASE_METADATA_SEARCH</x:v>
      </x:c>
      <x:c r="I146" s="31" t="str">
        <x:v>EXACT_PHRASE</x:v>
      </x:c>
      <x:c r="J146" s="25" t="n">
        <x:v>1</x:v>
      </x:c>
      <x:c r="K146" s="25" t="n">
        <x:v>1</x:v>
      </x:c>
      <x:c r="L146" s="25" t="n">
        <x:v>1</x:v>
      </x:c>
      <x:c r="M146" s="31" t="str">
        <x:v>COMPLETED_NONZERO</x:v>
      </x:c>
      <x:c r="N146" s="19" t="str">
        <x:v>2026-08-26</x:v>
      </x:c>
      <x:c r="O146" s="31" t="str">
        <x:v>https://archive.org/advancedsearch.php</x:v>
      </x:c>
      <x:c r="P146" s="31" t="str">
        <x:v>Metadata text-item count; not a full-text lexical frequency. Secondary metric: NOT_RUN_OPENALEX_DAILY_BUDGET_EXHAUSTED: shared provider response retained; no count fabricated.</x:v>
      </x:c>
      <x:c r="Q146" s="31" t="str">
        <x:v>OPENALEX_WORK_COUNT</x:v>
      </x:c>
      <x:c r="R146" s="37" t="str">
        <x:v>NOT_APPLICABLE</x:v>
      </x:c>
    </x:row>
    <x:row r="147" ht="34" customHeight="1">
      <x:c r="A147" s="40" t="str">
        <x:v>FT-SEED-R1B-P-2015-23</x:v>
      </x:c>
      <x:c r="B147" s="19" t="str">
        <x:v>2015</x:v>
      </x:c>
      <x:c r="C147" s="25" t="n">
        <x:v>23</x:v>
      </x:c>
      <x:c r="D147" s="31" t="str">
        <x:v>common concern of humankind</x:v>
      </x:c>
      <x:c r="E147" s="31" t="str">
        <x:v>INTERNET_ARCHIVE_METADATA_TEXT_ITEM_COUNT</x:v>
      </x:c>
      <x:c r="F147" s="46" t="str">
        <x:v>INTERNET_ARCHIVE_ADVANCEDSEARCH_NUMFOUND</x:v>
      </x:c>
      <x:c r="G147" s="19" t="str">
        <x:v>"common concern of humankind" AND mediatype:texts</x:v>
      </x:c>
      <x:c r="H147" s="19" t="str">
        <x:v>PHRASE_METADATA_SEARCH</x:v>
      </x:c>
      <x:c r="I147" s="31" t="str">
        <x:v>EXACT_PHRASE</x:v>
      </x:c>
      <x:c r="J147" s="25" t="n">
        <x:v>5</x:v>
      </x:c>
      <x:c r="K147" s="25" t="n">
        <x:v>0</x:v>
      </x:c>
      <x:c r="L147" s="25" t="n">
        <x:v>0</x:v>
      </x:c>
      <x:c r="M147" s="31" t="str">
        <x:v>COMPLETED_NONZERO</x:v>
      </x:c>
      <x:c r="N147" s="19" t="str">
        <x:v>2026-08-26</x:v>
      </x:c>
      <x:c r="O147" s="31" t="str">
        <x:v>https://archive.org/advancedsearch.php</x:v>
      </x:c>
      <x:c r="P147" s="31" t="str">
        <x:v>Metadata text-item count; not a full-text lexical frequency. Secondary metric: Scholarly work discoverability count over OpenAlex search fields; not a corpus word frequency.</x:v>
      </x:c>
      <x:c r="Q147" s="31" t="str">
        <x:v>OPENALEX_WORK_COUNT</x:v>
      </x:c>
      <x:c r="R147" s="37" t="n">
        <x:v>1078</x:v>
      </x:c>
    </x:row>
    <x:row r="148" ht="34" customHeight="1">
      <x:c r="A148" s="40" t="str">
        <x:v>FT-SEED-R1B-P-2015-24</x:v>
      </x:c>
      <x:c r="B148" s="19" t="str">
        <x:v>2015</x:v>
      </x:c>
      <x:c r="C148" s="25" t="n">
        <x:v>24</x:v>
      </x:c>
      <x:c r="D148" s="31" t="str">
        <x:v>climate justice</x:v>
      </x:c>
      <x:c r="E148" s="31" t="str">
        <x:v>INTERNET_ARCHIVE_METADATA_TEXT_ITEM_COUNT</x:v>
      </x:c>
      <x:c r="F148" s="46" t="str">
        <x:v>INTERNET_ARCHIVE_ADVANCEDSEARCH_NUMFOUND</x:v>
      </x:c>
      <x:c r="G148" s="19" t="str">
        <x:v>"climate justice" AND mediatype:texts</x:v>
      </x:c>
      <x:c r="H148" s="19" t="str">
        <x:v>PHRASE_METADATA_SEARCH</x:v>
      </x:c>
      <x:c r="I148" s="31" t="str">
        <x:v>EXACT_PHRASE</x:v>
      </x:c>
      <x:c r="J148" s="25" t="n">
        <x:v>145</x:v>
      </x:c>
      <x:c r="K148" s="25" t="n">
        <x:v>8</x:v>
      </x:c>
      <x:c r="L148" s="25" t="n">
        <x:v>20</x:v>
      </x:c>
      <x:c r="M148" s="31" t="str">
        <x:v>COMPLETED_NONZERO</x:v>
      </x:c>
      <x:c r="N148" s="19" t="str">
        <x:v>2026-08-26</x:v>
      </x:c>
      <x:c r="O148" s="31" t="str">
        <x:v>https://archive.org/advancedsearch.php</x:v>
      </x:c>
      <x:c r="P148" s="31" t="str">
        <x:v>Metadata text-item count; not a full-text lexical frequency. Secondary metric: Scholarly work discoverability count over OpenAlex search fields; not a corpus word frequency.</x:v>
      </x:c>
      <x:c r="Q148" s="31" t="str">
        <x:v>OPENALEX_WORK_COUNT</x:v>
      </x:c>
      <x:c r="R148" s="37" t="n">
        <x:v>30786</x:v>
      </x:c>
    </x:row>
    <x:row r="149" ht="34" customHeight="1">
      <x:c r="A149" s="40" t="str">
        <x:v>FT-SEED-R1B-P-2015-25</x:v>
      </x:c>
      <x:c r="B149" s="19" t="str">
        <x:v>2015</x:v>
      </x:c>
      <x:c r="C149" s="25" t="n">
        <x:v>25</x:v>
      </x:c>
      <x:c r="D149" s="31" t="str">
        <x:v>very worried</x:v>
      </x:c>
      <x:c r="E149" s="31" t="str">
        <x:v>INTERNET_ARCHIVE_METADATA_TEXT_ITEM_COUNT</x:v>
      </x:c>
      <x:c r="F149" s="46" t="str">
        <x:v>INTERNET_ARCHIVE_ADVANCEDSEARCH_NUMFOUND</x:v>
      </x:c>
      <x:c r="G149" s="19" t="str">
        <x:v>"very worried" AND mediatype:texts</x:v>
      </x:c>
      <x:c r="H149" s="19" t="str">
        <x:v>PHRASE_METADATA_SEARCH</x:v>
      </x:c>
      <x:c r="I149" s="31" t="str">
        <x:v>EXACT_PHRASE</x:v>
      </x:c>
      <x:c r="J149" s="25" t="n">
        <x:v>131</x:v>
      </x:c>
      <x:c r="K149" s="25" t="n">
        <x:v>2</x:v>
      </x:c>
      <x:c r="L149" s="25" t="n">
        <x:v>4</x:v>
      </x:c>
      <x:c r="M149" s="31" t="str">
        <x:v>COMPLETED_NONZERO</x:v>
      </x:c>
      <x:c r="N149" s="19" t="str">
        <x:v>2026-08-26</x:v>
      </x:c>
      <x:c r="O149" s="31" t="str">
        <x:v>https://archive.org/advancedsearch.php</x:v>
      </x:c>
      <x:c r="P149" s="31" t="str">
        <x:v>Metadata text-item count; not a full-text lexical frequency. Secondary metric: NOT_RUN_OPENALEX_DAILY_BUDGET_EXHAUSTED: shared provider response retained; no count fabricated.</x:v>
      </x:c>
      <x:c r="Q149" s="31" t="str">
        <x:v>OPENALEX_WORK_COUNT</x:v>
      </x:c>
      <x:c r="R149" s="37" t="str">
        <x:v>NOT_APPLICABLE</x:v>
      </x:c>
    </x:row>
    <x:row r="150" ht="34" customHeight="1">
      <x:c r="A150" s="40" t="str">
        <x:v>FT-SEED-R1B-P-2015-26</x:v>
      </x:c>
      <x:c r="B150" s="19" t="str">
        <x:v>2015</x:v>
      </x:c>
      <x:c r="C150" s="25" t="n">
        <x:v>26</x:v>
      </x:c>
      <x:c r="D150" s="31" t="str">
        <x:v>somewhat worried</x:v>
      </x:c>
      <x:c r="E150" s="31" t="str">
        <x:v>INTERNET_ARCHIVE_METADATA_TEXT_ITEM_COUNT</x:v>
      </x:c>
      <x:c r="F150" s="46" t="str">
        <x:v>INTERNET_ARCHIVE_ADVANCEDSEARCH_NUMFOUND</x:v>
      </x:c>
      <x:c r="G150" s="19" t="str">
        <x:v>"somewhat worried" AND mediatype:texts</x:v>
      </x:c>
      <x:c r="H150" s="19" t="str">
        <x:v>PHRASE_METADATA_SEARCH</x:v>
      </x:c>
      <x:c r="I150" s="31" t="str">
        <x:v>EXACT_PHRASE</x:v>
      </x:c>
      <x:c r="J150" s="25" t="n">
        <x:v>15</x:v>
      </x:c>
      <x:c r="K150" s="25" t="n">
        <x:v>0</x:v>
      </x:c>
      <x:c r="L150" s="25" t="n">
        <x:v>2</x:v>
      </x:c>
      <x:c r="M150" s="31" t="str">
        <x:v>COMPLETED_NONZERO</x:v>
      </x:c>
      <x:c r="N150" s="19" t="str">
        <x:v>2026-08-26</x:v>
      </x:c>
      <x:c r="O150" s="31" t="str">
        <x:v>https://archive.org/advancedsearch.php</x:v>
      </x:c>
      <x:c r="P150" s="31" t="str">
        <x:v>Metadata text-item count; not a full-text lexical frequency. Secondary metric: NOT_RUN_OPENALEX_DAILY_BUDGET_EXHAUSTED: shared provider response retained; no count fabricated.</x:v>
      </x:c>
      <x:c r="Q150" s="31" t="str">
        <x:v>OPENALEX_WORK_COUNT</x:v>
      </x:c>
      <x:c r="R150" s="37" t="str">
        <x:v>NOT_APPLICABLE</x:v>
      </x:c>
    </x:row>
    <x:row r="151" ht="34" customHeight="1">
      <x:c r="A151" s="40" t="str">
        <x:v>FT-SEED-R1B-P-2015-27</x:v>
      </x:c>
      <x:c r="B151" s="19" t="str">
        <x:v>2015</x:v>
      </x:c>
      <x:c r="C151" s="25" t="n">
        <x:v>27</x:v>
      </x:c>
      <x:c r="D151" s="31" t="str">
        <x:v>very serious problem</x:v>
      </x:c>
      <x:c r="E151" s="31" t="str">
        <x:v>INTERNET_ARCHIVE_METADATA_TEXT_ITEM_COUNT</x:v>
      </x:c>
      <x:c r="F151" s="46" t="str">
        <x:v>INTERNET_ARCHIVE_ADVANCEDSEARCH_NUMFOUND</x:v>
      </x:c>
      <x:c r="G151" s="19" t="str">
        <x:v>"very serious problem" AND mediatype:texts</x:v>
      </x:c>
      <x:c r="H151" s="19" t="str">
        <x:v>PHRASE_METADATA_SEARCH</x:v>
      </x:c>
      <x:c r="I151" s="31" t="str">
        <x:v>EXACT_PHRASE</x:v>
      </x:c>
      <x:c r="J151" s="25" t="n">
        <x:v>101</x:v>
      </x:c>
      <x:c r="K151" s="25" t="n">
        <x:v>0</x:v>
      </x:c>
      <x:c r="L151" s="25" t="n">
        <x:v>5</x:v>
      </x:c>
      <x:c r="M151" s="31" t="str">
        <x:v>COMPLETED_NONZERO</x:v>
      </x:c>
      <x:c r="N151" s="19" t="str">
        <x:v>2026-08-26</x:v>
      </x:c>
      <x:c r="O151" s="31" t="str">
        <x:v>https://archive.org/advancedsearch.php</x:v>
      </x:c>
      <x:c r="P151" s="31" t="str">
        <x:v>Metadata text-item count; not a full-text lexical frequency. Secondary metric: NOT_RUN_OPENALEX_DAILY_BUDGET_EXHAUSTED: shared provider response retained; no count fabricated.</x:v>
      </x:c>
      <x:c r="Q151" s="31" t="str">
        <x:v>OPENALEX_WORK_COUNT</x:v>
      </x:c>
      <x:c r="R151" s="37" t="str">
        <x:v>NOT_APPLICABLE</x:v>
      </x:c>
    </x:row>
    <x:row r="152" ht="34" customHeight="1">
      <x:c r="A152" s="40" t="str">
        <x:v>FT-SEED-R1B-P-2015-28</x:v>
      </x:c>
      <x:c r="B152" s="19" t="str">
        <x:v>2015</x:v>
      </x:c>
      <x:c r="C152" s="25" t="n">
        <x:v>28</x:v>
      </x:c>
      <x:c r="D152" s="31" t="str">
        <x:v>harm them personally</x:v>
      </x:c>
      <x:c r="E152" s="31" t="str">
        <x:v>INTERNET_ARCHIVE_METADATA_TEXT_ITEM_COUNT</x:v>
      </x:c>
      <x:c r="F152" s="46" t="str">
        <x:v>INTERNET_ARCHIVE_ADVANCEDSEARCH_NUMFOUND</x:v>
      </x:c>
      <x:c r="G152" s="19" t="str">
        <x:v>"harm them personally" AND mediatype:texts</x:v>
      </x:c>
      <x:c r="H152" s="19" t="str">
        <x:v>PHRASE_METADATA_SEARCH</x:v>
      </x:c>
      <x:c r="I152" s="31" t="str">
        <x:v>EXACT_PHRASE</x:v>
      </x:c>
      <x:c r="J152" s="25" t="n">
        <x:v>0</x:v>
      </x:c>
      <x:c r="K152" s="25" t="n">
        <x:v>0</x:v>
      </x:c>
      <x:c r="L152" s="25" t="n">
        <x:v>0</x:v>
      </x:c>
      <x:c r="M152" s="31" t="str">
        <x:v>COMPLETED_ZERO</x:v>
      </x:c>
      <x:c r="N152" s="19" t="str">
        <x:v>2026-08-26</x:v>
      </x:c>
      <x:c r="O152" s="31" t="str">
        <x:v>https://archive.org/advancedsearch.php</x:v>
      </x:c>
      <x:c r="P152" s="31" t="str">
        <x:v>Metadata text-item count; not a full-text lexical frequency. Secondary metric: NOT_RUN_OPENALEX_DAILY_BUDGET_EXHAUSTED: shared provider response retained; no count fabricated.</x:v>
      </x:c>
      <x:c r="Q152" s="31" t="str">
        <x:v>OPENALEX_WORK_COUNT</x:v>
      </x:c>
      <x:c r="R152" s="37" t="str">
        <x:v>NOT_APPLICABLE</x:v>
      </x:c>
    </x:row>
    <x:row r="153" ht="34" customHeight="1">
      <x:c r="A153" s="40" t="str">
        <x:v>FT-SEED-R1B-P-2015-29</x:v>
      </x:c>
      <x:c r="B153" s="19" t="str">
        <x:v>2015</x:v>
      </x:c>
      <x:c r="C153" s="25" t="n">
        <x:v>29</x:v>
      </x:c>
      <x:c r="D153" s="31" t="str">
        <x:v>drought or water shortages</x:v>
      </x:c>
      <x:c r="E153" s="31" t="str">
        <x:v>INTERNET_ARCHIVE_METADATA_TEXT_ITEM_COUNT</x:v>
      </x:c>
      <x:c r="F153" s="46" t="str">
        <x:v>INTERNET_ARCHIVE_ADVANCEDSEARCH_NUMFOUND</x:v>
      </x:c>
      <x:c r="G153" s="19" t="str">
        <x:v>"drought or water shortages" AND mediatype:texts</x:v>
      </x:c>
      <x:c r="H153" s="19" t="str">
        <x:v>PHRASE_METADATA_SEARCH</x:v>
      </x:c>
      <x:c r="I153" s="31" t="str">
        <x:v>EXACT_PHRASE</x:v>
      </x:c>
      <x:c r="J153" s="25" t="n">
        <x:v>1</x:v>
      </x:c>
      <x:c r="K153" s="25" t="n">
        <x:v>1</x:v>
      </x:c>
      <x:c r="L153" s="25" t="n">
        <x:v>1</x:v>
      </x:c>
      <x:c r="M153" s="31" t="str">
        <x:v>COMPLETED_NONZERO</x:v>
      </x:c>
      <x:c r="N153" s="19" t="str">
        <x:v>2026-08-26</x:v>
      </x:c>
      <x:c r="O153" s="31" t="str">
        <x:v>https://archive.org/advancedsearch.php</x:v>
      </x:c>
      <x:c r="P153" s="31" t="str">
        <x:v>Metadata text-item count; not a full-text lexical frequency. Secondary metric: NOT_RUN_OPENALEX_DAILY_BUDGET_EXHAUSTED: shared provider response retained; no count fabricated.</x:v>
      </x:c>
      <x:c r="Q153" s="31" t="str">
        <x:v>OPENALEX_WORK_COUNT</x:v>
      </x:c>
      <x:c r="R153" s="37" t="str">
        <x:v>NOT_APPLICABLE</x:v>
      </x:c>
    </x:row>
    <x:row r="154" ht="34" customHeight="1">
      <x:c r="A154" s="40" t="str">
        <x:v>FT-SEED-R1B-P-2015-30</x:v>
      </x:c>
      <x:c r="B154" s="19" t="str">
        <x:v>2015</x:v>
      </x:c>
      <x:c r="C154" s="25" t="n">
        <x:v>30</x:v>
      </x:c>
      <x:c r="D154" s="31" t="str">
        <x:v>We are nature defending itself</x:v>
      </x:c>
      <x:c r="E154" s="31" t="str">
        <x:v>INTERNET_ARCHIVE_METADATA_TEXT_ITEM_COUNT</x:v>
      </x:c>
      <x:c r="F154" s="46" t="str">
        <x:v>INTERNET_ARCHIVE_ADVANCEDSEARCH_NUMFOUND</x:v>
      </x:c>
      <x:c r="G154" s="19" t="str">
        <x:v>"We are nature defending itself" AND mediatype:texts</x:v>
      </x:c>
      <x:c r="H154" s="19" t="str">
        <x:v>PHRASE_METADATA_SEARCH</x:v>
      </x:c>
      <x:c r="I154" s="31" t="str">
        <x:v>EXACT_PHRASE</x:v>
      </x:c>
      <x:c r="J154" s="25" t="n">
        <x:v>0</x:v>
      </x:c>
      <x:c r="K154" s="25" t="n">
        <x:v>0</x:v>
      </x:c>
      <x:c r="L154" s="25" t="n">
        <x:v>0</x:v>
      </x:c>
      <x:c r="M154" s="31" t="str">
        <x:v>COMPLETED_ZERO</x:v>
      </x:c>
      <x:c r="N154" s="19" t="str">
        <x:v>2026-08-26</x:v>
      </x:c>
      <x:c r="O154" s="31" t="str">
        <x:v>https://archive.org/advancedsearch.php</x:v>
      </x:c>
      <x:c r="P154" s="31" t="str">
        <x:v>Metadata text-item count; not a full-text lexical frequency. Secondary metric: NOT_RUN_OPENALEX_DAILY_BUDGET_EXHAUSTED: shared provider response retained; no count fabricated.</x:v>
      </x:c>
      <x:c r="Q154" s="31" t="str">
        <x:v>OPENALEX_WORK_COUNT</x:v>
      </x:c>
      <x:c r="R154" s="37" t="str">
        <x:v>NOT_APPLICABLE</x:v>
      </x:c>
    </x:row>
    <x:row r="155" ht="34" customHeight="1">
      <x:c r="A155" s="40" t="str">
        <x:v>FT-SEED-R1B-P-2022-01</x:v>
      </x:c>
      <x:c r="B155" s="19" t="str">
        <x:v>2022</x:v>
      </x:c>
      <x:c r="C155" s="25" t="n">
        <x:v>1</x:v>
      </x:c>
      <x:c r="D155" s="31" t="str">
        <x:v>climate change</x:v>
      </x:c>
      <x:c r="E155" s="31" t="str">
        <x:v>INTERNET_ARCHIVE_METADATA_TEXT_ITEM_COUNT</x:v>
      </x:c>
      <x:c r="F155" s="46" t="str">
        <x:v>INTERNET_ARCHIVE_ADVANCEDSEARCH_NUMFOUND</x:v>
      </x:c>
      <x:c r="G155" s="19" t="str">
        <x:v>"climate change" AND mediatype:texts</x:v>
      </x:c>
      <x:c r="H155" s="19" t="str">
        <x:v>PHRASE_METADATA_SEARCH</x:v>
      </x:c>
      <x:c r="I155" s="31" t="str">
        <x:v>EXACT_PHRASE</x:v>
      </x:c>
      <x:c r="J155" s="25" t="n">
        <x:v>30525</x:v>
      </x:c>
      <x:c r="K155" s="25" t="n">
        <x:v>656</x:v>
      </x:c>
      <x:c r="L155" s="25" t="n">
        <x:v>1334</x:v>
      </x:c>
      <x:c r="M155" s="31" t="str">
        <x:v>COMPLETED_NONZERO</x:v>
      </x:c>
      <x:c r="N155" s="19" t="str">
        <x:v>2026-08-26</x:v>
      </x:c>
      <x:c r="O155" s="31" t="str">
        <x:v>https://archive.org/advancedsearch.php</x:v>
      </x:c>
      <x:c r="P155" s="31" t="str">
        <x:v>Metadata text-item count; not a full-text lexical frequency. Secondary metric: Scholarly work discoverability count over OpenAlex search fields; not a corpus word frequency.</x:v>
      </x:c>
      <x:c r="Q155" s="31" t="str">
        <x:v>OPENALEX_WORK_COUNT</x:v>
      </x:c>
      <x:c r="R155" s="37" t="n">
        <x:v>2549592</x:v>
      </x:c>
    </x:row>
    <x:row r="156" ht="34" customHeight="1">
      <x:c r="A156" s="40" t="str">
        <x:v>FT-SEED-R1B-P-2022-02</x:v>
      </x:c>
      <x:c r="B156" s="19" t="str">
        <x:v>2022</x:v>
      </x:c>
      <x:c r="C156" s="25" t="n">
        <x:v>2</x:v>
      </x:c>
      <x:c r="D156" s="31" t="str">
        <x:v>global warming</x:v>
      </x:c>
      <x:c r="E156" s="31" t="str">
        <x:v>INTERNET_ARCHIVE_METADATA_TEXT_ITEM_COUNT</x:v>
      </x:c>
      <x:c r="F156" s="46" t="str">
        <x:v>INTERNET_ARCHIVE_ADVANCEDSEARCH_NUMFOUND</x:v>
      </x:c>
      <x:c r="G156" s="19" t="str">
        <x:v>"global warming" AND mediatype:texts</x:v>
      </x:c>
      <x:c r="H156" s="19" t="str">
        <x:v>PHRASE_METADATA_SEARCH</x:v>
      </x:c>
      <x:c r="I156" s="31" t="str">
        <x:v>EXACT_PHRASE</x:v>
      </x:c>
      <x:c r="J156" s="25" t="n">
        <x:v>5619</x:v>
      </x:c>
      <x:c r="K156" s="25" t="n">
        <x:v>11</x:v>
      </x:c>
      <x:c r="L156" s="25" t="n">
        <x:v>123</x:v>
      </x:c>
      <x:c r="M156" s="31" t="str">
        <x:v>COMPLETED_NONZERO</x:v>
      </x:c>
      <x:c r="N156" s="19" t="str">
        <x:v>2026-08-26</x:v>
      </x:c>
      <x:c r="O156" s="31" t="str">
        <x:v>https://archive.org/advancedsearch.php</x:v>
      </x:c>
      <x:c r="P156" s="31" t="str">
        <x:v>Metadata text-item count; not a full-text lexical frequency. Secondary metric: NOT_RUN_OPENALEX_DAILY_BUDGET_EXHAUSTED: shared provider response retained; no count fabricated.</x:v>
      </x:c>
      <x:c r="Q156" s="31" t="str">
        <x:v>OPENALEX_WORK_COUNT</x:v>
      </x:c>
      <x:c r="R156" s="37" t="str">
        <x:v>NOT_APPLICABLE</x:v>
      </x:c>
    </x:row>
    <x:row r="157" ht="34" customHeight="1">
      <x:c r="A157" s="40" t="str">
        <x:v>FT-SEED-R1B-P-2022-03</x:v>
      </x:c>
      <x:c r="B157" s="19" t="str">
        <x:v>2022</x:v>
      </x:c>
      <x:c r="C157" s="25" t="n">
        <x:v>3</x:v>
      </x:c>
      <x:c r="D157" s="31" t="str">
        <x:v>very worried</x:v>
      </x:c>
      <x:c r="E157" s="31" t="str">
        <x:v>INTERNET_ARCHIVE_METADATA_TEXT_ITEM_COUNT</x:v>
      </x:c>
      <x:c r="F157" s="46" t="str">
        <x:v>INTERNET_ARCHIVE_ADVANCEDSEARCH_NUMFOUND</x:v>
      </x:c>
      <x:c r="G157" s="19" t="str">
        <x:v>"very worried" AND mediatype:texts</x:v>
      </x:c>
      <x:c r="H157" s="19" t="str">
        <x:v>PHRASE_METADATA_SEARCH</x:v>
      </x:c>
      <x:c r="I157" s="31" t="str">
        <x:v>EXACT_PHRASE</x:v>
      </x:c>
      <x:c r="J157" s="25" t="n">
        <x:v>131</x:v>
      </x:c>
      <x:c r="K157" s="25" t="n">
        <x:v>2</x:v>
      </x:c>
      <x:c r="L157" s="25" t="n">
        <x:v>4</x:v>
      </x:c>
      <x:c r="M157" s="31" t="str">
        <x:v>COMPLETED_NONZERO</x:v>
      </x:c>
      <x:c r="N157" s="19" t="str">
        <x:v>2026-08-26</x:v>
      </x:c>
      <x:c r="O157" s="31" t="str">
        <x:v>https://archive.org/advancedsearch.php</x:v>
      </x:c>
      <x:c r="P157" s="31" t="str">
        <x:v>Metadata text-item count; not a full-text lexical frequency. Secondary metric: NOT_RUN_OPENALEX_DAILY_BUDGET_EXHAUSTED: shared provider response retained; no count fabricated.</x:v>
      </x:c>
      <x:c r="Q157" s="31" t="str">
        <x:v>OPENALEX_WORK_COUNT</x:v>
      </x:c>
      <x:c r="R157" s="37" t="str">
        <x:v>NOT_APPLICABLE</x:v>
      </x:c>
    </x:row>
    <x:row r="158" ht="34" customHeight="1">
      <x:c r="A158" s="40" t="str">
        <x:v>FT-SEED-R1B-P-2022-04</x:v>
      </x:c>
      <x:c r="B158" s="19" t="str">
        <x:v>2022</x:v>
      </x:c>
      <x:c r="C158" s="25" t="n">
        <x:v>4</x:v>
      </x:c>
      <x:c r="D158" s="31" t="str">
        <x:v>somewhat worried</x:v>
      </x:c>
      <x:c r="E158" s="31" t="str">
        <x:v>INTERNET_ARCHIVE_METADATA_TEXT_ITEM_COUNT</x:v>
      </x:c>
      <x:c r="F158" s="46" t="str">
        <x:v>INTERNET_ARCHIVE_ADVANCEDSEARCH_NUMFOUND</x:v>
      </x:c>
      <x:c r="G158" s="19" t="str">
        <x:v>"somewhat worried" AND mediatype:texts</x:v>
      </x:c>
      <x:c r="H158" s="19" t="str">
        <x:v>PHRASE_METADATA_SEARCH</x:v>
      </x:c>
      <x:c r="I158" s="31" t="str">
        <x:v>EXACT_PHRASE</x:v>
      </x:c>
      <x:c r="J158" s="25" t="n">
        <x:v>15</x:v>
      </x:c>
      <x:c r="K158" s="25" t="n">
        <x:v>0</x:v>
      </x:c>
      <x:c r="L158" s="25" t="n">
        <x:v>2</x:v>
      </x:c>
      <x:c r="M158" s="31" t="str">
        <x:v>COMPLETED_NONZERO</x:v>
      </x:c>
      <x:c r="N158" s="19" t="str">
        <x:v>2026-08-26</x:v>
      </x:c>
      <x:c r="O158" s="31" t="str">
        <x:v>https://archive.org/advancedsearch.php</x:v>
      </x:c>
      <x:c r="P158" s="31" t="str">
        <x:v>Metadata text-item count; not a full-text lexical frequency. Secondary metric: NOT_RUN_OPENALEX_DAILY_BUDGET_EXHAUSTED: shared provider response retained; no count fabricated.</x:v>
      </x:c>
      <x:c r="Q158" s="31" t="str">
        <x:v>OPENALEX_WORK_COUNT</x:v>
      </x:c>
      <x:c r="R158" s="37" t="str">
        <x:v>NOT_APPLICABLE</x:v>
      </x:c>
    </x:row>
    <x:row r="159" ht="34" customHeight="1">
      <x:c r="A159" s="40" t="str">
        <x:v>FT-SEED-R1B-P-2022-05</x:v>
      </x:c>
      <x:c r="B159" s="19" t="str">
        <x:v>2022</x:v>
      </x:c>
      <x:c r="C159" s="25" t="n">
        <x:v>5</x:v>
      </x:c>
      <x:c r="D159" s="31" t="str">
        <x:v>afraid</x:v>
      </x:c>
      <x:c r="E159" s="31" t="str">
        <x:v>INTERNET_ARCHIVE_METADATA_TEXT_ITEM_COUNT</x:v>
      </x:c>
      <x:c r="F159" s="46" t="str">
        <x:v>INTERNET_ARCHIVE_ADVANCEDSEARCH_NUMFOUND</x:v>
      </x:c>
      <x:c r="G159" s="19" t="str">
        <x:v>"afraid" AND mediatype:texts</x:v>
      </x:c>
      <x:c r="H159" s="19" t="str">
        <x:v>PHRASE_METADATA_SEARCH</x:v>
      </x:c>
      <x:c r="I159" s="31" t="str">
        <x:v>EXACT_PHRASE</x:v>
      </x:c>
      <x:c r="J159" s="25" t="n">
        <x:v>9411</x:v>
      </x:c>
      <x:c r="K159" s="25" t="n">
        <x:v>44</x:v>
      </x:c>
      <x:c r="L159" s="25" t="n">
        <x:v>125</x:v>
      </x:c>
      <x:c r="M159" s="31" t="str">
        <x:v>COMPLETED_NONZERO</x:v>
      </x:c>
      <x:c r="N159" s="19" t="str">
        <x:v>2026-08-26</x:v>
      </x:c>
      <x:c r="O159" s="31" t="str">
        <x:v>https://archive.org/advancedsearch.php</x:v>
      </x:c>
      <x:c r="P159" s="31" t="str">
        <x:v>Metadata text-item count; not a full-text lexical frequency. Secondary metric: Scholarly work discoverability count over OpenAlex search fields; not a corpus word frequency.</x:v>
      </x:c>
      <x:c r="Q159" s="31" t="str">
        <x:v>OPENALEX_WORK_COUNT</x:v>
      </x:c>
      <x:c r="R159" s="37" t="n">
        <x:v>559397</x:v>
      </x:c>
    </x:row>
    <x:row r="160" ht="34" customHeight="1">
      <x:c r="A160" s="40" t="str">
        <x:v>FT-SEED-R1B-P-2022-06</x:v>
      </x:c>
      <x:c r="B160" s="19" t="str">
        <x:v>2022</x:v>
      </x:c>
      <x:c r="C160" s="25" t="n">
        <x:v>6</x:v>
      </x:c>
      <x:c r="D160" s="31" t="str">
        <x:v>anxious</x:v>
      </x:c>
      <x:c r="E160" s="31" t="str">
        <x:v>INTERNET_ARCHIVE_METADATA_TEXT_ITEM_COUNT</x:v>
      </x:c>
      <x:c r="F160" s="46" t="str">
        <x:v>INTERNET_ARCHIVE_ADVANCEDSEARCH_NUMFOUND</x:v>
      </x:c>
      <x:c r="G160" s="19" t="str">
        <x:v>"anxious" AND mediatype:texts</x:v>
      </x:c>
      <x:c r="H160" s="19" t="str">
        <x:v>PHRASE_METADATA_SEARCH</x:v>
      </x:c>
      <x:c r="I160" s="31" t="str">
        <x:v>EXACT_PHRASE</x:v>
      </x:c>
      <x:c r="J160" s="25" t="n">
        <x:v>9274</x:v>
      </x:c>
      <x:c r="K160" s="25" t="n">
        <x:v>43</x:v>
      </x:c>
      <x:c r="L160" s="25" t="n">
        <x:v>124</x:v>
      </x:c>
      <x:c r="M160" s="31" t="str">
        <x:v>COMPLETED_NONZERO</x:v>
      </x:c>
      <x:c r="N160" s="19" t="str">
        <x:v>2026-08-26</x:v>
      </x:c>
      <x:c r="O160" s="31" t="str">
        <x:v>https://archive.org/advancedsearch.php</x:v>
      </x:c>
      <x:c r="P160" s="31" t="str">
        <x:v>Metadata text-item count; not a full-text lexical frequency. Secondary metric: Scholarly work discoverability count over OpenAlex search fields; not a corpus word frequency.</x:v>
      </x:c>
      <x:c r="Q160" s="31" t="str">
        <x:v>OPENALEX_WORK_COUNT</x:v>
      </x:c>
      <x:c r="R160" s="37" t="n">
        <x:v>557474</x:v>
      </x:c>
    </x:row>
    <x:row r="161" ht="34" customHeight="1">
      <x:c r="A161" s="40" t="str">
        <x:v>FT-SEED-R1B-P-2022-07</x:v>
      </x:c>
      <x:c r="B161" s="19" t="str">
        <x:v>2022</x:v>
      </x:c>
      <x:c r="C161" s="25" t="n">
        <x:v>7</x:v>
      </x:c>
      <x:c r="D161" s="31" t="str">
        <x:v>hopeless</x:v>
      </x:c>
      <x:c r="E161" s="31" t="str">
        <x:v>INTERNET_ARCHIVE_METADATA_TEXT_ITEM_COUNT</x:v>
      </x:c>
      <x:c r="F161" s="46" t="str">
        <x:v>INTERNET_ARCHIVE_ADVANCEDSEARCH_NUMFOUND</x:v>
      </x:c>
      <x:c r="G161" s="19" t="str">
        <x:v>"hopeless" AND mediatype:texts</x:v>
      </x:c>
      <x:c r="H161" s="19" t="str">
        <x:v>PHRASE_METADATA_SEARCH</x:v>
      </x:c>
      <x:c r="I161" s="31" t="str">
        <x:v>EXACT_PHRASE</x:v>
      </x:c>
      <x:c r="J161" s="25" t="n">
        <x:v>2257</x:v>
      </x:c>
      <x:c r="K161" s="25" t="n">
        <x:v>15</x:v>
      </x:c>
      <x:c r="L161" s="25" t="n">
        <x:v>36</x:v>
      </x:c>
      <x:c r="M161" s="31" t="str">
        <x:v>COMPLETED_NONZERO</x:v>
      </x:c>
      <x:c r="N161" s="19" t="str">
        <x:v>2026-08-26</x:v>
      </x:c>
      <x:c r="O161" s="31" t="str">
        <x:v>https://archive.org/advancedsearch.php</x:v>
      </x:c>
      <x:c r="P161" s="31" t="str">
        <x:v>Metadata text-item count; not a full-text lexical frequency. Secondary metric: NOT_RUN_OPENALEX_DAILY_BUDGET_EXHAUSTED: shared provider response retained; no count fabricated.</x:v>
      </x:c>
      <x:c r="Q161" s="31" t="str">
        <x:v>OPENALEX_WORK_COUNT</x:v>
      </x:c>
      <x:c r="R161" s="37" t="str">
        <x:v>NOT_APPLICABLE</x:v>
      </x:c>
    </x:row>
    <x:row r="162" ht="34" customHeight="1">
      <x:c r="A162" s="40" t="str">
        <x:v>FT-SEED-R1B-P-2022-08</x:v>
      </x:c>
      <x:c r="B162" s="19" t="str">
        <x:v>2022</x:v>
      </x:c>
      <x:c r="C162" s="25" t="n">
        <x:v>8</x:v>
      </x:c>
      <x:c r="D162" s="31" t="str">
        <x:v>sad</x:v>
      </x:c>
      <x:c r="E162" s="31" t="str">
        <x:v>INTERNET_ARCHIVE_METADATA_TEXT_ITEM_COUNT</x:v>
      </x:c>
      <x:c r="F162" s="46" t="str">
        <x:v>INTERNET_ARCHIVE_ADVANCEDSEARCH_NUMFOUND</x:v>
      </x:c>
      <x:c r="G162" s="19" t="str">
        <x:v>"sad" AND mediatype:texts</x:v>
      </x:c>
      <x:c r="H162" s="19" t="str">
        <x:v>PHRASE_METADATA_SEARCH</x:v>
      </x:c>
      <x:c r="I162" s="31" t="str">
        <x:v>EXACT_PHRASE</x:v>
      </x:c>
      <x:c r="J162" s="25" t="n">
        <x:v>21781</x:v>
      </x:c>
      <x:c r="K162" s="25" t="n">
        <x:v>87</x:v>
      </x:c>
      <x:c r="L162" s="25" t="n">
        <x:v>272</x:v>
      </x:c>
      <x:c r="M162" s="31" t="str">
        <x:v>COMPLETED_NONZERO</x:v>
      </x:c>
      <x:c r="N162" s="19" t="str">
        <x:v>2026-08-26</x:v>
      </x:c>
      <x:c r="O162" s="31" t="str">
        <x:v>https://archive.org/advancedsearch.php</x:v>
      </x:c>
      <x:c r="P162" s="31" t="str">
        <x:v>Metadata text-item count; not a full-text lexical frequency. Secondary metric: NOT_RUN_OPENALEX_DAILY_BUDGET_EXHAUSTED: shared provider response retained; no count fabricated.</x:v>
      </x:c>
      <x:c r="Q162" s="31" t="str">
        <x:v>OPENALEX_WORK_COUNT</x:v>
      </x:c>
      <x:c r="R162" s="37" t="str">
        <x:v>NOT_APPLICABLE</x:v>
      </x:c>
    </x:row>
    <x:row r="163" ht="34" customHeight="1">
      <x:c r="A163" s="40" t="str">
        <x:v>FT-SEED-R1B-P-2022-09</x:v>
      </x:c>
      <x:c r="B163" s="19" t="str">
        <x:v>2022</x:v>
      </x:c>
      <x:c r="C163" s="25" t="n">
        <x:v>9</x:v>
      </x:c>
      <x:c r="D163" s="31" t="str">
        <x:v>angry</x:v>
      </x:c>
      <x:c r="E163" s="31" t="str">
        <x:v>INTERNET_ARCHIVE_METADATA_TEXT_ITEM_COUNT</x:v>
      </x:c>
      <x:c r="F163" s="46" t="str">
        <x:v>INTERNET_ARCHIVE_ADVANCEDSEARCH_NUMFOUND</x:v>
      </x:c>
      <x:c r="G163" s="19" t="str">
        <x:v>"angry" AND mediatype:texts</x:v>
      </x:c>
      <x:c r="H163" s="19" t="str">
        <x:v>PHRASE_METADATA_SEARCH</x:v>
      </x:c>
      <x:c r="I163" s="31" t="str">
        <x:v>EXACT_PHRASE</x:v>
      </x:c>
      <x:c r="J163" s="25" t="n">
        <x:v>8245</x:v>
      </x:c>
      <x:c r="K163" s="25" t="n">
        <x:v>34</x:v>
      </x:c>
      <x:c r="L163" s="25" t="n">
        <x:v>113</x:v>
      </x:c>
      <x:c r="M163" s="31" t="str">
        <x:v>COMPLETED_NONZERO</x:v>
      </x:c>
      <x:c r="N163" s="19" t="str">
        <x:v>2026-08-26</x:v>
      </x:c>
      <x:c r="O163" s="31" t="str">
        <x:v>https://archive.org/advancedsearch.php</x:v>
      </x:c>
      <x:c r="P163" s="31" t="str">
        <x:v>Metadata text-item count; not a full-text lexical frequency. Secondary metric: Scholarly work discoverability count over OpenAlex search fields; not a corpus word frequency.</x:v>
      </x:c>
      <x:c r="Q163" s="31" t="str">
        <x:v>OPENALEX_WORK_COUNT</x:v>
      </x:c>
      <x:c r="R163" s="37" t="n">
        <x:v>382339</x:v>
      </x:c>
    </x:row>
    <x:row r="164" ht="34" customHeight="1">
      <x:c r="A164" s="40" t="str">
        <x:v>FT-SEED-R1B-P-2022-10</x:v>
      </x:c>
      <x:c r="B164" s="19" t="str">
        <x:v>2022</x:v>
      </x:c>
      <x:c r="C164" s="25" t="n">
        <x:v>10</x:v>
      </x:c>
      <x:c r="D164" s="31" t="str">
        <x:v>frustrated</x:v>
      </x:c>
      <x:c r="E164" s="31" t="str">
        <x:v>INTERNET_ARCHIVE_METADATA_TEXT_ITEM_COUNT</x:v>
      </x:c>
      <x:c r="F164" s="46" t="str">
        <x:v>INTERNET_ARCHIVE_ADVANCEDSEARCH_NUMFOUND</x:v>
      </x:c>
      <x:c r="G164" s="19" t="str">
        <x:v>"frustrated" AND mediatype:texts</x:v>
      </x:c>
      <x:c r="H164" s="19" t="str">
        <x:v>PHRASE_METADATA_SEARCH</x:v>
      </x:c>
      <x:c r="I164" s="31" t="str">
        <x:v>EXACT_PHRASE</x:v>
      </x:c>
      <x:c r="J164" s="25" t="n">
        <x:v>6866</x:v>
      </x:c>
      <x:c r="K164" s="25" t="n">
        <x:v>18</x:v>
      </x:c>
      <x:c r="L164" s="25" t="n">
        <x:v>42</x:v>
      </x:c>
      <x:c r="M164" s="31" t="str">
        <x:v>COMPLETED_NONZERO</x:v>
      </x:c>
      <x:c r="N164" s="19" t="str">
        <x:v>2026-08-26</x:v>
      </x:c>
      <x:c r="O164" s="31" t="str">
        <x:v>https://archive.org/advancedsearch.php</x:v>
      </x:c>
      <x:c r="P164" s="31" t="str">
        <x:v>Metadata text-item count; not a full-text lexical frequency. Secondary metric: NOT_RUN_OPENALEX_DAILY_BUDGET_EXHAUSTED: shared provider response retained; no count fabricated.</x:v>
      </x:c>
      <x:c r="Q164" s="31" t="str">
        <x:v>OPENALEX_WORK_COUNT</x:v>
      </x:c>
      <x:c r="R164" s="37" t="str">
        <x:v>NOT_APPLICABLE</x:v>
      </x:c>
    </x:row>
    <x:row r="165" ht="34" customHeight="1">
      <x:c r="A165" s="40" t="str">
        <x:v>FT-SEED-R1B-P-2022-11</x:v>
      </x:c>
      <x:c r="B165" s="19" t="str">
        <x:v>2022</x:v>
      </x:c>
      <x:c r="C165" s="25" t="n">
        <x:v>11</x:v>
      </x:c>
      <x:c r="D165" s="31" t="str">
        <x:v>hopeful</x:v>
      </x:c>
      <x:c r="E165" s="31" t="str">
        <x:v>INTERNET_ARCHIVE_METADATA_TEXT_ITEM_COUNT</x:v>
      </x:c>
      <x:c r="F165" s="46" t="str">
        <x:v>INTERNET_ARCHIVE_ADVANCEDSEARCH_NUMFOUND</x:v>
      </x:c>
      <x:c r="G165" s="19" t="str">
        <x:v>"hopeful" AND mediatype:texts</x:v>
      </x:c>
      <x:c r="H165" s="19" t="str">
        <x:v>PHRASE_METADATA_SEARCH</x:v>
      </x:c>
      <x:c r="I165" s="31" t="str">
        <x:v>EXACT_PHRASE</x:v>
      </x:c>
      <x:c r="J165" s="25" t="n">
        <x:v>4932</x:v>
      </x:c>
      <x:c r="K165" s="25" t="n">
        <x:v>17</x:v>
      </x:c>
      <x:c r="L165" s="25" t="n">
        <x:v>66</x:v>
      </x:c>
      <x:c r="M165" s="31" t="str">
        <x:v>COMPLETED_NONZERO</x:v>
      </x:c>
      <x:c r="N165" s="19" t="str">
        <x:v>2026-08-26</x:v>
      </x:c>
      <x:c r="O165" s="31" t="str">
        <x:v>https://archive.org/advancedsearch.php</x:v>
      </x:c>
      <x:c r="P165" s="31" t="str">
        <x:v>Metadata text-item count; not a full-text lexical frequency. Secondary metric: NOT_RUN_OPENALEX_DAILY_BUDGET_EXHAUSTED: shared provider response retained; no count fabricated.</x:v>
      </x:c>
      <x:c r="Q165" s="31" t="str">
        <x:v>OPENALEX_WORK_COUNT</x:v>
      </x:c>
      <x:c r="R165" s="37" t="str">
        <x:v>NOT_APPLICABLE</x:v>
      </x:c>
    </x:row>
    <x:row r="166" ht="34" customHeight="1">
      <x:c r="A166" s="40" t="str">
        <x:v>FT-SEED-R1B-P-2022-12</x:v>
      </x:c>
      <x:c r="B166" s="19" t="str">
        <x:v>2022</x:v>
      </x:c>
      <x:c r="C166" s="25" t="n">
        <x:v>12</x:v>
      </x:c>
      <x:c r="D166" s="31" t="str">
        <x:v>disgusted</x:v>
      </x:c>
      <x:c r="E166" s="31" t="str">
        <x:v>INTERNET_ARCHIVE_METADATA_TEXT_ITEM_COUNT</x:v>
      </x:c>
      <x:c r="F166" s="46" t="str">
        <x:v>INTERNET_ARCHIVE_ADVANCEDSEARCH_NUMFOUND</x:v>
      </x:c>
      <x:c r="G166" s="19" t="str">
        <x:v>"disgusted" AND mediatype:texts</x:v>
      </x:c>
      <x:c r="H166" s="19" t="str">
        <x:v>PHRASE_METADATA_SEARCH</x:v>
      </x:c>
      <x:c r="I166" s="31" t="str">
        <x:v>EXACT_PHRASE</x:v>
      </x:c>
      <x:c r="J166" s="25" t="n">
        <x:v>556</x:v>
      </x:c>
      <x:c r="K166" s="25" t="n">
        <x:v>1</x:v>
      </x:c>
      <x:c r="L166" s="25" t="n">
        <x:v>9</x:v>
      </x:c>
      <x:c r="M166" s="31" t="str">
        <x:v>COMPLETED_NONZERO</x:v>
      </x:c>
      <x:c r="N166" s="19" t="str">
        <x:v>2026-08-26</x:v>
      </x:c>
      <x:c r="O166" s="31" t="str">
        <x:v>https://archive.org/advancedsearch.php</x:v>
      </x:c>
      <x:c r="P166" s="31" t="str">
        <x:v>Metadata text-item count; not a full-text lexical frequency. Secondary metric: NOT_RUN_OPENALEX_DAILY_BUDGET_EXHAUSTED: shared provider response retained; no count fabricated.</x:v>
      </x:c>
      <x:c r="Q166" s="31" t="str">
        <x:v>OPENALEX_WORK_COUNT</x:v>
      </x:c>
      <x:c r="R166" s="37" t="str">
        <x:v>NOT_APPLICABLE</x:v>
      </x:c>
    </x:row>
    <x:row r="167" ht="34" customHeight="1">
      <x:c r="A167" s="40" t="str">
        <x:v>FT-SEED-R1B-P-2022-13</x:v>
      </x:c>
      <x:c r="B167" s="19" t="str">
        <x:v>2022</x:v>
      </x:c>
      <x:c r="C167" s="25" t="n">
        <x:v>13</x:v>
      </x:c>
      <x:c r="D167" s="31" t="str">
        <x:v>outraged</x:v>
      </x:c>
      <x:c r="E167" s="31" t="str">
        <x:v>INTERNET_ARCHIVE_METADATA_TEXT_ITEM_COUNT</x:v>
      </x:c>
      <x:c r="F167" s="46" t="str">
        <x:v>INTERNET_ARCHIVE_ADVANCEDSEARCH_NUMFOUND</x:v>
      </x:c>
      <x:c r="G167" s="19" t="str">
        <x:v>"outraged" AND mediatype:texts</x:v>
      </x:c>
      <x:c r="H167" s="19" t="str">
        <x:v>PHRASE_METADATA_SEARCH</x:v>
      </x:c>
      <x:c r="I167" s="31" t="str">
        <x:v>EXACT_PHRASE</x:v>
      </x:c>
      <x:c r="J167" s="25" t="n">
        <x:v>1006</x:v>
      </x:c>
      <x:c r="K167" s="25" t="n">
        <x:v>1</x:v>
      </x:c>
      <x:c r="L167" s="25" t="n">
        <x:v>7</x:v>
      </x:c>
      <x:c r="M167" s="31" t="str">
        <x:v>COMPLETED_NONZERO</x:v>
      </x:c>
      <x:c r="N167" s="19" t="str">
        <x:v>2026-08-26</x:v>
      </x:c>
      <x:c r="O167" s="31" t="str">
        <x:v>https://archive.org/advancedsearch.php</x:v>
      </x:c>
      <x:c r="P167" s="31" t="str">
        <x:v>Metadata text-item count; not a full-text lexical frequency. Secondary metric: NOT_RUN_OPENALEX_DAILY_BUDGET_EXHAUSTED: shared provider response retained; no count fabricated.</x:v>
      </x:c>
      <x:c r="Q167" s="31" t="str">
        <x:v>OPENALEX_WORK_COUNT</x:v>
      </x:c>
      <x:c r="R167" s="37" t="str">
        <x:v>NOT_APPLICABLE</x:v>
      </x:c>
    </x:row>
    <x:row r="168" ht="34" customHeight="1">
      <x:c r="A168" s="40" t="str">
        <x:v>FT-SEED-R1B-P-2022-14</x:v>
      </x:c>
      <x:c r="B168" s="19" t="str">
        <x:v>2022</x:v>
      </x:c>
      <x:c r="C168" s="25" t="n">
        <x:v>14</x:v>
      </x:c>
      <x:c r="D168" s="31" t="str">
        <x:v>depressed</x:v>
      </x:c>
      <x:c r="E168" s="31" t="str">
        <x:v>INTERNET_ARCHIVE_METADATA_TEXT_ITEM_COUNT</x:v>
      </x:c>
      <x:c r="F168" s="46" t="str">
        <x:v>INTERNET_ARCHIVE_ADVANCEDSEARCH_NUMFOUND</x:v>
      </x:c>
      <x:c r="G168" s="19" t="str">
        <x:v>"depressed" AND mediatype:texts</x:v>
      </x:c>
      <x:c r="H168" s="19" t="str">
        <x:v>PHRASE_METADATA_SEARCH</x:v>
      </x:c>
      <x:c r="I168" s="31" t="str">
        <x:v>EXACT_PHRASE</x:v>
      </x:c>
      <x:c r="J168" s="25" t="n">
        <x:v>6441</x:v>
      </x:c>
      <x:c r="K168" s="25" t="n">
        <x:v>34</x:v>
      </x:c>
      <x:c r="L168" s="25" t="n">
        <x:v>85</x:v>
      </x:c>
      <x:c r="M168" s="31" t="str">
        <x:v>COMPLETED_NONZERO</x:v>
      </x:c>
      <x:c r="N168" s="19" t="str">
        <x:v>2026-08-26</x:v>
      </x:c>
      <x:c r="O168" s="31" t="str">
        <x:v>https://archive.org/advancedsearch.php</x:v>
      </x:c>
      <x:c r="P168" s="31" t="str">
        <x:v>Metadata text-item count; not a full-text lexical frequency. Secondary metric: NOT_RUN_OPENALEX_DAILY_BUDGET_EXHAUSTED: shared provider response retained; no count fabricated.</x:v>
      </x:c>
      <x:c r="Q168" s="31" t="str">
        <x:v>OPENALEX_WORK_COUNT</x:v>
      </x:c>
      <x:c r="R168" s="37" t="str">
        <x:v>NOT_APPLICABLE</x:v>
      </x:c>
    </x:row>
    <x:row r="169" ht="34" customHeight="1">
      <x:c r="A169" s="40" t="str">
        <x:v>FT-SEED-R1B-P-2022-15</x:v>
      </x:c>
      <x:c r="B169" s="19" t="str">
        <x:v>2022</x:v>
      </x:c>
      <x:c r="C169" s="25" t="n">
        <x:v>15</x:v>
      </x:c>
      <x:c r="D169" s="31" t="str">
        <x:v>symptoms of anxiety</x:v>
      </x:c>
      <x:c r="E169" s="31" t="str">
        <x:v>INTERNET_ARCHIVE_METADATA_TEXT_ITEM_COUNT</x:v>
      </x:c>
      <x:c r="F169" s="46" t="str">
        <x:v>INTERNET_ARCHIVE_ADVANCEDSEARCH_NUMFOUND</x:v>
      </x:c>
      <x:c r="G169" s="19" t="str">
        <x:v>"symptoms of anxiety" AND mediatype:texts</x:v>
      </x:c>
      <x:c r="H169" s="19" t="str">
        <x:v>PHRASE_METADATA_SEARCH</x:v>
      </x:c>
      <x:c r="I169" s="31" t="str">
        <x:v>EXACT_PHRASE</x:v>
      </x:c>
      <x:c r="J169" s="25" t="n">
        <x:v>96</x:v>
      </x:c>
      <x:c r="K169" s="25" t="n">
        <x:v>3</x:v>
      </x:c>
      <x:c r="L169" s="25" t="n">
        <x:v>5</x:v>
      </x:c>
      <x:c r="M169" s="31" t="str">
        <x:v>COMPLETED_NONZERO</x:v>
      </x:c>
      <x:c r="N169" s="19" t="str">
        <x:v>2026-08-26</x:v>
      </x:c>
      <x:c r="O169" s="31" t="str">
        <x:v>https://archive.org/advancedsearch.php</x:v>
      </x:c>
      <x:c r="P169" s="31" t="str">
        <x:v>Metadata text-item count; not a full-text lexical frequency. Secondary metric: NOT_RUN_OPENALEX_DAILY_BUDGET_EXHAUSTED: shared provider response retained; no count fabricated.</x:v>
      </x:c>
      <x:c r="Q169" s="31" t="str">
        <x:v>OPENALEX_WORK_COUNT</x:v>
      </x:c>
      <x:c r="R169" s="37" t="str">
        <x:v>NOT_APPLICABLE</x:v>
      </x:c>
    </x:row>
    <x:row r="170" ht="34" customHeight="1">
      <x:c r="A170" s="40" t="str">
        <x:v>FT-SEED-R1B-P-2022-16</x:v>
      </x:c>
      <x:c r="B170" s="19" t="str">
        <x:v>2022</x:v>
      </x:c>
      <x:c r="C170" s="25" t="n">
        <x:v>16</x:v>
      </x:c>
      <x:c r="D170" s="31" t="str">
        <x:v>climate anxiety</x:v>
      </x:c>
      <x:c r="E170" s="31" t="str">
        <x:v>INTERNET_ARCHIVE_METADATA_TEXT_ITEM_COUNT</x:v>
      </x:c>
      <x:c r="F170" s="46" t="str">
        <x:v>INTERNET_ARCHIVE_ADVANCEDSEARCH_NUMFOUND</x:v>
      </x:c>
      <x:c r="G170" s="19" t="str">
        <x:v>"climate anxiety" AND mediatype:texts</x:v>
      </x:c>
      <x:c r="H170" s="19" t="str">
        <x:v>PHRASE_METADATA_SEARCH</x:v>
      </x:c>
      <x:c r="I170" s="31" t="str">
        <x:v>EXACT_PHRASE</x:v>
      </x:c>
      <x:c r="J170" s="25" t="n">
        <x:v>17</x:v>
      </x:c>
      <x:c r="K170" s="25" t="n">
        <x:v>2</x:v>
      </x:c>
      <x:c r="L170" s="25" t="n">
        <x:v>4</x:v>
      </x:c>
      <x:c r="M170" s="31" t="str">
        <x:v>COMPLETED_NONZERO</x:v>
      </x:c>
      <x:c r="N170" s="19" t="str">
        <x:v>2026-08-26</x:v>
      </x:c>
      <x:c r="O170" s="31" t="str">
        <x:v>https://archive.org/advancedsearch.php</x:v>
      </x:c>
      <x:c r="P170" s="31" t="str">
        <x:v>Metadata text-item count; not a full-text lexical frequency. Secondary metric: Scholarly work discoverability count over OpenAlex search fields; not a corpus word frequency.</x:v>
      </x:c>
      <x:c r="Q170" s="31" t="str">
        <x:v>OPENALEX_WORK_COUNT</x:v>
      </x:c>
      <x:c r="R170" s="37" t="n">
        <x:v>5945</x:v>
      </x:c>
    </x:row>
    <x:row r="171" ht="34" customHeight="1">
      <x:c r="A171" s="40" t="str">
        <x:v>FT-SEED-R1B-P-2022-17</x:v>
      </x:c>
      <x:c r="B171" s="19" t="str">
        <x:v>2022</x:v>
      </x:c>
      <x:c r="C171" s="25" t="n">
        <x:v>17</x:v>
      </x:c>
      <x:c r="D171" s="31" t="str">
        <x:v>eco-anxiety</x:v>
      </x:c>
      <x:c r="E171" s="31" t="str">
        <x:v>INTERNET_ARCHIVE_METADATA_TEXT_ITEM_COUNT</x:v>
      </x:c>
      <x:c r="F171" s="46" t="str">
        <x:v>INTERNET_ARCHIVE_ADVANCEDSEARCH_NUMFOUND</x:v>
      </x:c>
      <x:c r="G171" s="19" t="str">
        <x:v>"eco-anxiety" AND mediatype:texts</x:v>
      </x:c>
      <x:c r="H171" s="19" t="str">
        <x:v>PHRASE_METADATA_SEARCH</x:v>
      </x:c>
      <x:c r="I171" s="31" t="str">
        <x:v>EXACT_PHRASE</x:v>
      </x:c>
      <x:c r="J171" s="25" t="n">
        <x:v>23</x:v>
      </x:c>
      <x:c r="K171" s="25" t="n">
        <x:v>1</x:v>
      </x:c>
      <x:c r="L171" s="25" t="n">
        <x:v>3</x:v>
      </x:c>
      <x:c r="M171" s="31" t="str">
        <x:v>COMPLETED_NONZERO</x:v>
      </x:c>
      <x:c r="N171" s="19" t="str">
        <x:v>2026-08-26</x:v>
      </x:c>
      <x:c r="O171" s="31" t="str">
        <x:v>https://archive.org/advancedsearch.php</x:v>
      </x:c>
      <x:c r="P171" s="31" t="str">
        <x:v>Metadata text-item count; not a full-text lexical frequency. Secondary metric: NOT_RUN_OPENALEX_DAILY_BUDGET_EXHAUSTED: shared provider response retained; no count fabricated.</x:v>
      </x:c>
      <x:c r="Q171" s="31" t="str">
        <x:v>OPENALEX_WORK_COUNT</x:v>
      </x:c>
      <x:c r="R171" s="37" t="str">
        <x:v>NOT_APPLICABLE</x:v>
      </x:c>
    </x:row>
    <x:row r="172" ht="34" customHeight="1">
      <x:c r="A172" s="40" t="str">
        <x:v>FT-SEED-R1B-P-2022-18</x:v>
      </x:c>
      <x:c r="B172" s="19" t="str">
        <x:v>2022</x:v>
      </x:c>
      <x:c r="C172" s="25" t="n">
        <x:v>18</x:v>
      </x:c>
      <x:c r="D172" s="31" t="str">
        <x:v>psychological distress</x:v>
      </x:c>
      <x:c r="E172" s="31" t="str">
        <x:v>INTERNET_ARCHIVE_METADATA_TEXT_ITEM_COUNT</x:v>
      </x:c>
      <x:c r="F172" s="46" t="str">
        <x:v>INTERNET_ARCHIVE_ADVANCEDSEARCH_NUMFOUND</x:v>
      </x:c>
      <x:c r="G172" s="19" t="str">
        <x:v>"psychological distress" AND mediatype:texts</x:v>
      </x:c>
      <x:c r="H172" s="19" t="str">
        <x:v>PHRASE_METADATA_SEARCH</x:v>
      </x:c>
      <x:c r="I172" s="31" t="str">
        <x:v>EXACT_PHRASE</x:v>
      </x:c>
      <x:c r="J172" s="25" t="n">
        <x:v>694</x:v>
      </x:c>
      <x:c r="K172" s="25" t="n">
        <x:v>15</x:v>
      </x:c>
      <x:c r="L172" s="25" t="n">
        <x:v>44</x:v>
      </x:c>
      <x:c r="M172" s="31" t="str">
        <x:v>COMPLETED_NONZERO</x:v>
      </x:c>
      <x:c r="N172" s="19" t="str">
        <x:v>2026-08-26</x:v>
      </x:c>
      <x:c r="O172" s="31" t="str">
        <x:v>https://archive.org/advancedsearch.php</x:v>
      </x:c>
      <x:c r="P172" s="31" t="str">
        <x:v>Metadata text-item count; not a full-text lexical frequency. Secondary metric: NOT_RUN_OPENALEX_DAILY_BUDGET_EXHAUSTED: shared provider response retained; no count fabricated.</x:v>
      </x:c>
      <x:c r="Q172" s="31" t="str">
        <x:v>OPENALEX_WORK_COUNT</x:v>
      </x:c>
      <x:c r="R172" s="37" t="str">
        <x:v>NOT_APPLICABLE</x:v>
      </x:c>
    </x:row>
    <x:row r="173" ht="34" customHeight="1">
      <x:c r="A173" s="40" t="str">
        <x:v>FT-SEED-R1B-P-2022-19</x:v>
      </x:c>
      <x:c r="B173" s="19" t="str">
        <x:v>2022</x:v>
      </x:c>
      <x:c r="C173" s="25" t="n">
        <x:v>19</x:v>
      </x:c>
      <x:c r="D173" s="31" t="str">
        <x:v>distress</x:v>
      </x:c>
      <x:c r="E173" s="31" t="str">
        <x:v>INTERNET_ARCHIVE_METADATA_TEXT_ITEM_COUNT</x:v>
      </x:c>
      <x:c r="F173" s="46" t="str">
        <x:v>INTERNET_ARCHIVE_ADVANCEDSEARCH_NUMFOUND</x:v>
      </x:c>
      <x:c r="G173" s="19" t="str">
        <x:v>"distress" AND mediatype:texts</x:v>
      </x:c>
      <x:c r="H173" s="19" t="str">
        <x:v>PHRASE_METADATA_SEARCH</x:v>
      </x:c>
      <x:c r="I173" s="31" t="str">
        <x:v>EXACT_PHRASE</x:v>
      </x:c>
      <x:c r="J173" s="25" t="n">
        <x:v>10884</x:v>
      </x:c>
      <x:c r="K173" s="25" t="n">
        <x:v>76</x:v>
      </x:c>
      <x:c r="L173" s="25" t="n">
        <x:v>244</x:v>
      </x:c>
      <x:c r="M173" s="31" t="str">
        <x:v>COMPLETED_NONZERO</x:v>
      </x:c>
      <x:c r="N173" s="19" t="str">
        <x:v>2026-08-26</x:v>
      </x:c>
      <x:c r="O173" s="31" t="str">
        <x:v>https://archive.org/advancedsearch.php</x:v>
      </x:c>
      <x:c r="P173" s="31" t="str">
        <x:v>Metadata text-item count; not a full-text lexical frequency. Secondary metric: NOT_RUN_OPENALEX_DAILY_BUDGET_EXHAUSTED: shared provider response retained; no count fabricated.</x:v>
      </x:c>
      <x:c r="Q173" s="31" t="str">
        <x:v>OPENALEX_WORK_COUNT</x:v>
      </x:c>
      <x:c r="R173" s="37" t="str">
        <x:v>NOT_APPLICABLE</x:v>
      </x:c>
    </x:row>
    <x:row r="174" ht="34" customHeight="1">
      <x:c r="A174" s="40" t="str">
        <x:v>FT-SEED-R1B-P-2022-20</x:v>
      </x:c>
      <x:c r="B174" s="19" t="str">
        <x:v>2022</x:v>
      </x:c>
      <x:c r="C174" s="25" t="n">
        <x:v>20</x:v>
      </x:c>
      <x:c r="D174" s="31" t="str">
        <x:v>powerlessness</x:v>
      </x:c>
      <x:c r="E174" s="31" t="str">
        <x:v>INTERNET_ARCHIVE_METADATA_TEXT_ITEM_COUNT</x:v>
      </x:c>
      <x:c r="F174" s="46" t="str">
        <x:v>INTERNET_ARCHIVE_ADVANCEDSEARCH_NUMFOUND</x:v>
      </x:c>
      <x:c r="G174" s="19" t="str">
        <x:v>"powerlessness" AND mediatype:texts</x:v>
      </x:c>
      <x:c r="H174" s="19" t="str">
        <x:v>PHRASE_METADATA_SEARCH</x:v>
      </x:c>
      <x:c r="I174" s="31" t="str">
        <x:v>EXACT_PHRASE</x:v>
      </x:c>
      <x:c r="J174" s="25" t="n">
        <x:v>575</x:v>
      </x:c>
      <x:c r="K174" s="25" t="n">
        <x:v>3</x:v>
      </x:c>
      <x:c r="L174" s="25" t="n">
        <x:v>12</x:v>
      </x:c>
      <x:c r="M174" s="31" t="str">
        <x:v>COMPLETED_NONZERO</x:v>
      </x:c>
      <x:c r="N174" s="19" t="str">
        <x:v>2026-08-26</x:v>
      </x:c>
      <x:c r="O174" s="31" t="str">
        <x:v>https://archive.org/advancedsearch.php</x:v>
      </x:c>
      <x:c r="P174" s="31" t="str">
        <x:v>Metadata text-item count; not a full-text lexical frequency. Secondary metric: NOT_RUN_OPENALEX_DAILY_BUDGET_EXHAUSTED: shared provider response retained; no count fabricated.</x:v>
      </x:c>
      <x:c r="Q174" s="31" t="str">
        <x:v>OPENALEX_WORK_COUNT</x:v>
      </x:c>
      <x:c r="R174" s="37" t="str">
        <x:v>NOT_APPLICABLE</x:v>
      </x:c>
    </x:row>
    <x:row r="175" ht="34" customHeight="1">
      <x:c r="A175" s="40" t="str">
        <x:v>FT-SEED-R1B-P-2022-21</x:v>
      </x:c>
      <x:c r="B175" s="19" t="str">
        <x:v>2022</x:v>
      </x:c>
      <x:c r="C175" s="25" t="n">
        <x:v>21</x:v>
      </x:c>
      <x:c r="D175" s="31" t="str">
        <x:v>guilt</x:v>
      </x:c>
      <x:c r="E175" s="31" t="str">
        <x:v>INTERNET_ARCHIVE_METADATA_TEXT_ITEM_COUNT</x:v>
      </x:c>
      <x:c r="F175" s="46" t="str">
        <x:v>INTERNET_ARCHIVE_ADVANCEDSEARCH_NUMFOUND</x:v>
      </x:c>
      <x:c r="G175" s="19" t="str">
        <x:v>"guilt" AND mediatype:texts</x:v>
      </x:c>
      <x:c r="H175" s="19" t="str">
        <x:v>PHRASE_METADATA_SEARCH</x:v>
      </x:c>
      <x:c r="I175" s="31" t="str">
        <x:v>EXACT_PHRASE</x:v>
      </x:c>
      <x:c r="J175" s="25" t="n">
        <x:v>8299</x:v>
      </x:c>
      <x:c r="K175" s="25" t="n">
        <x:v>24</x:v>
      </x:c>
      <x:c r="L175" s="25" t="n">
        <x:v>86</x:v>
      </x:c>
      <x:c r="M175" s="31" t="str">
        <x:v>COMPLETED_NONZERO</x:v>
      </x:c>
      <x:c r="N175" s="19" t="str">
        <x:v>2026-08-26</x:v>
      </x:c>
      <x:c r="O175" s="31" t="str">
        <x:v>https://archive.org/advancedsearch.php</x:v>
      </x:c>
      <x:c r="P175" s="31" t="str">
        <x:v>Metadata text-item count; not a full-text lexical frequency. Secondary metric: NOT_RUN_OPENALEX_DAILY_BUDGET_EXHAUSTED: shared provider response retained; no count fabricated.</x:v>
      </x:c>
      <x:c r="Q175" s="31" t="str">
        <x:v>OPENALEX_WORK_COUNT</x:v>
      </x:c>
      <x:c r="R175" s="37" t="str">
        <x:v>NOT_APPLICABLE</x:v>
      </x:c>
    </x:row>
    <x:row r="176" ht="34" customHeight="1">
      <x:c r="A176" s="40" t="str">
        <x:v>FT-SEED-R1B-P-2022-22</x:v>
      </x:c>
      <x:c r="B176" s="19" t="str">
        <x:v>2022</x:v>
      </x:c>
      <x:c r="C176" s="25" t="n">
        <x:v>22</x:v>
      </x:c>
      <x:c r="D176" s="31" t="str">
        <x:v>heatwaves</x:v>
      </x:c>
      <x:c r="E176" s="31" t="str">
        <x:v>INTERNET_ARCHIVE_METADATA_TEXT_ITEM_COUNT</x:v>
      </x:c>
      <x:c r="F176" s="46" t="str">
        <x:v>INTERNET_ARCHIVE_ADVANCEDSEARCH_NUMFOUND</x:v>
      </x:c>
      <x:c r="G176" s="19" t="str">
        <x:v>"heatwaves" AND mediatype:texts</x:v>
      </x:c>
      <x:c r="H176" s="19" t="str">
        <x:v>PHRASE_METADATA_SEARCH</x:v>
      </x:c>
      <x:c r="I176" s="31" t="str">
        <x:v>EXACT_PHRASE</x:v>
      </x:c>
      <x:c r="J176" s="25" t="n">
        <x:v>115</x:v>
      </x:c>
      <x:c r="K176" s="25" t="n">
        <x:v>15</x:v>
      </x:c>
      <x:c r="L176" s="25" t="n">
        <x:v>26</x:v>
      </x:c>
      <x:c r="M176" s="31" t="str">
        <x:v>COMPLETED_NONZERO</x:v>
      </x:c>
      <x:c r="N176" s="19" t="str">
        <x:v>2026-08-26</x:v>
      </x:c>
      <x:c r="O176" s="31" t="str">
        <x:v>https://archive.org/advancedsearch.php</x:v>
      </x:c>
      <x:c r="P176" s="31" t="str">
        <x:v>Metadata text-item count; not a full-text lexical frequency. Secondary metric: NOT_RUN_OPENALEX_DAILY_BUDGET_EXHAUSTED: shared provider response retained; no count fabricated.</x:v>
      </x:c>
      <x:c r="Q176" s="31" t="str">
        <x:v>OPENALEX_WORK_COUNT</x:v>
      </x:c>
      <x:c r="R176" s="37" t="str">
        <x:v>NOT_APPLICABLE</x:v>
      </x:c>
    </x:row>
    <x:row r="177" ht="34" customHeight="1">
      <x:c r="A177" s="40" t="str">
        <x:v>FT-SEED-R1B-P-2022-23</x:v>
      </x:c>
      <x:c r="B177" s="19" t="str">
        <x:v>2022</x:v>
      </x:c>
      <x:c r="C177" s="25" t="n">
        <x:v>23</x:v>
      </x:c>
      <x:c r="D177" s="31" t="str">
        <x:v>heat-related mortality</x:v>
      </x:c>
      <x:c r="E177" s="31" t="str">
        <x:v>INTERNET_ARCHIVE_METADATA_TEXT_ITEM_COUNT</x:v>
      </x:c>
      <x:c r="F177" s="46" t="str">
        <x:v>INTERNET_ARCHIVE_ADVANCEDSEARCH_NUMFOUND</x:v>
      </x:c>
      <x:c r="G177" s="19" t="str">
        <x:v>"heat-related mortality" AND mediatype:texts</x:v>
      </x:c>
      <x:c r="H177" s="19" t="str">
        <x:v>PHRASE_METADATA_SEARCH</x:v>
      </x:c>
      <x:c r="I177" s="31" t="str">
        <x:v>EXACT_PHRASE</x:v>
      </x:c>
      <x:c r="J177" s="25" t="n">
        <x:v>25</x:v>
      </x:c>
      <x:c r="K177" s="25" t="n">
        <x:v>1</x:v>
      </x:c>
      <x:c r="L177" s="25" t="n">
        <x:v>1</x:v>
      </x:c>
      <x:c r="M177" s="31" t="str">
        <x:v>COMPLETED_NONZERO</x:v>
      </x:c>
      <x:c r="N177" s="19" t="str">
        <x:v>2026-08-26</x:v>
      </x:c>
      <x:c r="O177" s="31" t="str">
        <x:v>https://archive.org/advancedsearch.php</x:v>
      </x:c>
      <x:c r="P177" s="31" t="str">
        <x:v>Metadata text-item count; not a full-text lexical frequency. Secondary metric: NOT_RUN_OPENALEX_DAILY_BUDGET_EXHAUSTED: shared provider response retained; no count fabricated.</x:v>
      </x:c>
      <x:c r="Q177" s="31" t="str">
        <x:v>OPENALEX_WORK_COUNT</x:v>
      </x:c>
      <x:c r="R177" s="37" t="str">
        <x:v>NOT_APPLICABLE</x:v>
      </x:c>
    </x:row>
    <x:row r="178" ht="34" customHeight="1">
      <x:c r="A178" s="40" t="str">
        <x:v>FT-SEED-R1B-P-2022-24</x:v>
      </x:c>
      <x:c r="B178" s="19" t="str">
        <x:v>2022</x:v>
      </x:c>
      <x:c r="C178" s="25" t="n">
        <x:v>24</x:v>
      </x:c>
      <x:c r="D178" s="31" t="str">
        <x:v>mental health challenges</x:v>
      </x:c>
      <x:c r="E178" s="31" t="str">
        <x:v>INTERNET_ARCHIVE_METADATA_TEXT_ITEM_COUNT</x:v>
      </x:c>
      <x:c r="F178" s="46" t="str">
        <x:v>INTERNET_ARCHIVE_ADVANCEDSEARCH_NUMFOUND</x:v>
      </x:c>
      <x:c r="G178" s="19" t="str">
        <x:v>"mental health challenges" AND mediatype:texts</x:v>
      </x:c>
      <x:c r="H178" s="19" t="str">
        <x:v>PHRASE_METADATA_SEARCH</x:v>
      </x:c>
      <x:c r="I178" s="31" t="str">
        <x:v>EXACT_PHRASE</x:v>
      </x:c>
      <x:c r="J178" s="25" t="n">
        <x:v>134</x:v>
      </x:c>
      <x:c r="K178" s="25" t="n">
        <x:v>4</x:v>
      </x:c>
      <x:c r="L178" s="25" t="n">
        <x:v>23</x:v>
      </x:c>
      <x:c r="M178" s="31" t="str">
        <x:v>COMPLETED_NONZERO</x:v>
      </x:c>
      <x:c r="N178" s="19" t="str">
        <x:v>2026-08-26</x:v>
      </x:c>
      <x:c r="O178" s="31" t="str">
        <x:v>https://archive.org/advancedsearch.php</x:v>
      </x:c>
      <x:c r="P178" s="31" t="str">
        <x:v>Metadata text-item count; not a full-text lexical frequency. Secondary metric: NOT_RUN_OPENALEX_DAILY_BUDGET_EXHAUSTED: shared provider response retained; no count fabricated.</x:v>
      </x:c>
      <x:c r="Q178" s="31" t="str">
        <x:v>OPENALEX_WORK_COUNT</x:v>
      </x:c>
      <x:c r="R178" s="37" t="str">
        <x:v>NOT_APPLICABLE</x:v>
      </x:c>
    </x:row>
    <x:row r="179" ht="34" customHeight="1">
      <x:c r="A179" s="40" t="str">
        <x:v>FT-SEED-R1B-P-2022-25</x:v>
      </x:c>
      <x:c r="B179" s="19" t="str">
        <x:v>2022</x:v>
      </x:c>
      <x:c r="C179" s="25" t="n">
        <x:v>25</x:v>
      </x:c>
      <x:c r="D179" s="31" t="str">
        <x:v>anxiety and stress</x:v>
      </x:c>
      <x:c r="E179" s="31" t="str">
        <x:v>INTERNET_ARCHIVE_METADATA_TEXT_ITEM_COUNT</x:v>
      </x:c>
      <x:c r="F179" s="46" t="str">
        <x:v>INTERNET_ARCHIVE_ADVANCEDSEARCH_NUMFOUND</x:v>
      </x:c>
      <x:c r="G179" s="19" t="str">
        <x:v>"anxiety and stress" AND mediatype:texts</x:v>
      </x:c>
      <x:c r="H179" s="19" t="str">
        <x:v>PHRASE_METADATA_SEARCH</x:v>
      </x:c>
      <x:c r="I179" s="31" t="str">
        <x:v>EXACT_PHRASE</x:v>
      </x:c>
      <x:c r="J179" s="25" t="n">
        <x:v>256</x:v>
      </x:c>
      <x:c r="K179" s="25" t="n">
        <x:v>9</x:v>
      </x:c>
      <x:c r="L179" s="25" t="n">
        <x:v>34</x:v>
      </x:c>
      <x:c r="M179" s="31" t="str">
        <x:v>COMPLETED_NONZERO</x:v>
      </x:c>
      <x:c r="N179" s="19" t="str">
        <x:v>2026-08-26</x:v>
      </x:c>
      <x:c r="O179" s="31" t="str">
        <x:v>https://archive.org/advancedsearch.php</x:v>
      </x:c>
      <x:c r="P179" s="31" t="str">
        <x:v>Metadata text-item count; not a full-text lexical frequency. Secondary metric: Scholarly work discoverability count over OpenAlex search fields; not a corpus word frequency.</x:v>
      </x:c>
      <x:c r="Q179" s="31" t="str">
        <x:v>OPENALEX_WORK_COUNT</x:v>
      </x:c>
      <x:c r="R179" s="37" t="n">
        <x:v>122176</x:v>
      </x:c>
    </x:row>
    <x:row r="180" ht="34" customHeight="1">
      <x:c r="A180" s="40" t="str">
        <x:v>FT-SEED-R1B-P-2022-26</x:v>
      </x:c>
      <x:c r="B180" s="19" t="str">
        <x:v>2022</x:v>
      </x:c>
      <x:c r="C180" s="25" t="n">
        <x:v>26</x:v>
      </x:c>
      <x:c r="D180" s="31" t="str">
        <x:v>ill health</x:v>
      </x:c>
      <x:c r="E180" s="31" t="str">
        <x:v>INTERNET_ARCHIVE_METADATA_TEXT_ITEM_COUNT</x:v>
      </x:c>
      <x:c r="F180" s="46" t="str">
        <x:v>INTERNET_ARCHIVE_ADVANCEDSEARCH_NUMFOUND</x:v>
      </x:c>
      <x:c r="G180" s="19" t="str">
        <x:v>"ill health" AND mediatype:texts</x:v>
      </x:c>
      <x:c r="H180" s="19" t="str">
        <x:v>PHRASE_METADATA_SEARCH</x:v>
      </x:c>
      <x:c r="I180" s="31" t="str">
        <x:v>EXACT_PHRASE</x:v>
      </x:c>
      <x:c r="J180" s="25" t="n">
        <x:v>1084</x:v>
      </x:c>
      <x:c r="K180" s="25" t="n">
        <x:v>2</x:v>
      </x:c>
      <x:c r="L180" s="25" t="n">
        <x:v>12</x:v>
      </x:c>
      <x:c r="M180" s="31" t="str">
        <x:v>COMPLETED_NONZERO</x:v>
      </x:c>
      <x:c r="N180" s="19" t="str">
        <x:v>2026-08-26</x:v>
      </x:c>
      <x:c r="O180" s="31" t="str">
        <x:v>https://archive.org/advancedsearch.php</x:v>
      </x:c>
      <x:c r="P180" s="31" t="str">
        <x:v>Metadata text-item count; not a full-text lexical frequency. Secondary metric: NOT_RUN_OPENALEX_DAILY_BUDGET_EXHAUSTED: shared provider response retained; no count fabricated.</x:v>
      </x:c>
      <x:c r="Q180" s="31" t="str">
        <x:v>OPENALEX_WORK_COUNT</x:v>
      </x:c>
      <x:c r="R180" s="37" t="str">
        <x:v>NOT_APPLICABLE</x:v>
      </x:c>
    </x:row>
    <x:row r="181" ht="34" customHeight="1">
      <x:c r="A181" s="40" t="str">
        <x:v>FT-SEED-R1B-P-2022-27</x:v>
      </x:c>
      <x:c r="B181" s="19" t="str">
        <x:v>2022</x:v>
      </x:c>
      <x:c r="C181" s="25" t="n">
        <x:v>27</x:v>
      </x:c>
      <x:c r="D181" s="31" t="str">
        <x:v>premature deaths</x:v>
      </x:c>
      <x:c r="E181" s="31" t="str">
        <x:v>INTERNET_ARCHIVE_METADATA_TEXT_ITEM_COUNT</x:v>
      </x:c>
      <x:c r="F181" s="46" t="str">
        <x:v>INTERNET_ARCHIVE_ADVANCEDSEARCH_NUMFOUND</x:v>
      </x:c>
      <x:c r="G181" s="19" t="str">
        <x:v>"premature deaths" AND mediatype:texts</x:v>
      </x:c>
      <x:c r="H181" s="19" t="str">
        <x:v>PHRASE_METADATA_SEARCH</x:v>
      </x:c>
      <x:c r="I181" s="31" t="str">
        <x:v>EXACT_PHRASE</x:v>
      </x:c>
      <x:c r="J181" s="25" t="n">
        <x:v>61</x:v>
      </x:c>
      <x:c r="K181" s="25" t="n">
        <x:v>5</x:v>
      </x:c>
      <x:c r="L181" s="25" t="n">
        <x:v>7</x:v>
      </x:c>
      <x:c r="M181" s="31" t="str">
        <x:v>COMPLETED_NONZERO</x:v>
      </x:c>
      <x:c r="N181" s="19" t="str">
        <x:v>2026-08-26</x:v>
      </x:c>
      <x:c r="O181" s="31" t="str">
        <x:v>https://archive.org/advancedsearch.php</x:v>
      </x:c>
      <x:c r="P181" s="31" t="str">
        <x:v>Metadata text-item count; not a full-text lexical frequency. Secondary metric: NOT_RUN_OPENALEX_DAILY_BUDGET_EXHAUSTED: shared provider response retained; no count fabricated.</x:v>
      </x:c>
      <x:c r="Q181" s="31" t="str">
        <x:v>OPENALEX_WORK_COUNT</x:v>
      </x:c>
      <x:c r="R181" s="37" t="str">
        <x:v>NOT_APPLICABLE</x:v>
      </x:c>
    </x:row>
    <x:row r="182" ht="34" customHeight="1">
      <x:c r="A182" s="40" t="str">
        <x:v>FT-SEED-R1B-P-2022-28</x:v>
      </x:c>
      <x:c r="B182" s="19" t="str">
        <x:v>2022</x:v>
      </x:c>
      <x:c r="C182" s="25" t="n">
        <x:v>28</x:v>
      </x:c>
      <x:c r="D182" s="31" t="str">
        <x:v>very serious threat</x:v>
      </x:c>
      <x:c r="E182" s="31" t="str">
        <x:v>INTERNET_ARCHIVE_METADATA_TEXT_ITEM_COUNT</x:v>
      </x:c>
      <x:c r="F182" s="46" t="str">
        <x:v>INTERNET_ARCHIVE_ADVANCEDSEARCH_NUMFOUND</x:v>
      </x:c>
      <x:c r="G182" s="19" t="str">
        <x:v>"very serious threat" AND mediatype:texts</x:v>
      </x:c>
      <x:c r="H182" s="19" t="str">
        <x:v>PHRASE_METADATA_SEARCH</x:v>
      </x:c>
      <x:c r="I182" s="31" t="str">
        <x:v>EXACT_PHRASE</x:v>
      </x:c>
      <x:c r="J182" s="25" t="n">
        <x:v>19</x:v>
      </x:c>
      <x:c r="K182" s="25" t="n">
        <x:v>1</x:v>
      </x:c>
      <x:c r="L182" s="25" t="n">
        <x:v>1</x:v>
      </x:c>
      <x:c r="M182" s="31" t="str">
        <x:v>COMPLETED_NONZERO</x:v>
      </x:c>
      <x:c r="N182" s="19" t="str">
        <x:v>2026-08-26</x:v>
      </x:c>
      <x:c r="O182" s="31" t="str">
        <x:v>https://archive.org/advancedsearch.php</x:v>
      </x:c>
      <x:c r="P182" s="31" t="str">
        <x:v>Metadata text-item count; not a full-text lexical frequency. Secondary metric: NOT_RUN_OPENALEX_DAILY_BUDGET_EXHAUSTED: shared provider response retained; no count fabricated.</x:v>
      </x:c>
      <x:c r="Q182" s="31" t="str">
        <x:v>OPENALEX_WORK_COUNT</x:v>
      </x:c>
      <x:c r="R182" s="37" t="str">
        <x:v>NOT_APPLICABLE</x:v>
      </x:c>
    </x:row>
    <x:row r="183" ht="34" customHeight="1">
      <x:c r="A183" s="40" t="str">
        <x:v>FT-SEED-R1B-P-2022-29</x:v>
      </x:c>
      <x:c r="B183" s="19" t="str">
        <x:v>2022</x:v>
      </x:c>
      <x:c r="C183" s="25" t="n">
        <x:v>29</x:v>
      </x:c>
      <x:c r="D183" s="31" t="str">
        <x:v>harm future generations</x:v>
      </x:c>
      <x:c r="E183" s="31" t="str">
        <x:v>INTERNET_ARCHIVE_METADATA_TEXT_ITEM_COUNT</x:v>
      </x:c>
      <x:c r="F183" s="46" t="str">
        <x:v>INTERNET_ARCHIVE_ADVANCEDSEARCH_NUMFOUND</x:v>
      </x:c>
      <x:c r="G183" s="19" t="str">
        <x:v>"harm future generations" AND mediatype:texts</x:v>
      </x:c>
      <x:c r="H183" s="19" t="str">
        <x:v>PHRASE_METADATA_SEARCH</x:v>
      </x:c>
      <x:c r="I183" s="31" t="str">
        <x:v>EXACT_PHRASE</x:v>
      </x:c>
      <x:c r="J183" s="25" t="n">
        <x:v>0</x:v>
      </x:c>
      <x:c r="K183" s="25" t="n">
        <x:v>0</x:v>
      </x:c>
      <x:c r="L183" s="25" t="n">
        <x:v>0</x:v>
      </x:c>
      <x:c r="M183" s="31" t="str">
        <x:v>COMPLETED_ZERO</x:v>
      </x:c>
      <x:c r="N183" s="19" t="str">
        <x:v>2026-08-26</x:v>
      </x:c>
      <x:c r="O183" s="31" t="str">
        <x:v>https://archive.org/advancedsearch.php</x:v>
      </x:c>
      <x:c r="P183" s="31" t="str">
        <x:v>Metadata text-item count; not a full-text lexical frequency. Secondary metric: NOT_RUN_OPENALEX_DAILY_BUDGET_EXHAUSTED: shared provider response retained; no count fabricated.</x:v>
      </x:c>
      <x:c r="Q183" s="31" t="str">
        <x:v>OPENALEX_WORK_COUNT</x:v>
      </x:c>
      <x:c r="R183" s="37" t="str">
        <x:v>NOT_APPLICABLE</x:v>
      </x:c>
    </x:row>
    <x:row r="184" ht="34" customHeight="1">
      <x:c r="A184" s="41" t="str">
        <x:v>FT-SEED-R1B-P-2022-30</x:v>
      </x:c>
      <x:c r="B184" s="22" t="str">
        <x:v>2022</x:v>
      </x:c>
      <x:c r="C184" s="26" t="n">
        <x:v>30</x:v>
      </x:c>
      <x:c r="D184" s="32" t="str">
        <x:v>climate crisis</x:v>
      </x:c>
      <x:c r="E184" s="32" t="str">
        <x:v>INTERNET_ARCHIVE_METADATA_TEXT_ITEM_COUNT</x:v>
      </x:c>
      <x:c r="F184" s="47" t="str">
        <x:v>INTERNET_ARCHIVE_ADVANCEDSEARCH_NUMFOUND</x:v>
      </x:c>
      <x:c r="G184" s="22" t="str">
        <x:v>"climate crisis" AND mediatype:texts</x:v>
      </x:c>
      <x:c r="H184" s="22" t="str">
        <x:v>PHRASE_METADATA_SEARCH</x:v>
      </x:c>
      <x:c r="I184" s="32" t="str">
        <x:v>EXACT_PHRASE</x:v>
      </x:c>
      <x:c r="J184" s="26" t="n">
        <x:v>439</x:v>
      </x:c>
      <x:c r="K184" s="26" t="n">
        <x:v>40</x:v>
      </x:c>
      <x:c r="L184" s="26" t="n">
        <x:v>114</x:v>
      </x:c>
      <x:c r="M184" s="32" t="str">
        <x:v>COMPLETED_NONZERO</x:v>
      </x:c>
      <x:c r="N184" s="22" t="str">
        <x:v>2026-08-26</x:v>
      </x:c>
      <x:c r="O184" s="32" t="str">
        <x:v>https://archive.org/advancedsearch.php</x:v>
      </x:c>
      <x:c r="P184" s="32" t="str">
        <x:v>Metadata text-item count; not a full-text lexical frequency. Secondary metric: Scholarly work discoverability count over OpenAlex search fields; not a corpus word frequency.</x:v>
      </x:c>
      <x:c r="Q184" s="32" t="str">
        <x:v>OPENALEX_WORK_COUNT</x:v>
      </x:c>
      <x:c r="R184" s="38" t="n">
        <x:v>78120</x:v>
      </x:c>
    </x:row>
  </x:sheetData>
  <x:mergeCells>
    <x:mergeCell ref="A1:R1"/>
    <x:mergeCell ref="A2:R2"/>
  </x:mergeCells>
  <x:conditionalFormatting sqref="M5:M184">
    <x:cfRule type="containsText" dxfId="114" priority="1" operator="containsText" text="COMPLETE"/>
    <x:cfRule type="containsText" dxfId="115" priority="2" operator="containsText" text="TRACEABLE"/>
    <x:cfRule type="containsText" dxfId="116" priority="3" operator="containsText" text="ZERO"/>
    <x:cfRule type="containsText" dxfId="117" priority="4" operator="containsText" text="UNRESOLVED"/>
    <x:cfRule type="containsText" dxfId="118" priority="5" operator="containsText" text="NOT_"/>
    <x:cfRule type="containsText" dxfId="119" priority="6" operator="containsText" text="PARTIAL"/>
  </x:conditionalFormatting>
  <x:pageMargins left="0.7" right="0.7" top="0.75" bottom="0.75" header="0.3" footer="0.3"/>
  <x:tableParts count="1">
    <x:tablePart xmlns:r="http://schemas.openxmlformats.org/officeDocument/2006/relationships" r:id="R97ec1b0dc191426f"/>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5" hidden="0" customWidth="1"/>
    <x:col min="4" max="4" width="32" hidden="0" customWidth="1"/>
    <x:col min="5" max="5" width="16" hidden="0" customWidth="1"/>
    <x:col min="6" max="6" width="24" hidden="0" customWidth="1"/>
    <x:col min="7" max="7" width="16" hidden="0" customWidth="1"/>
    <x:col min="8" max="8" width="16" hidden="0" customWidth="1"/>
    <x:col min="9" max="9" width="32" hidden="0" customWidth="1"/>
    <x:col min="10" max="10" width="16" hidden="0" customWidth="1"/>
    <x:col min="11" max="11" width="16" hidden="0" customWidth="1"/>
    <x:col min="12" max="12" width="16" hidden="0" customWidth="1"/>
    <x:col min="13" max="13" width="16" hidden="0" customWidth="1"/>
    <x:col min="14" max="14" width="23" hidden="0" customWidth="1"/>
    <x:col min="15" max="15" width="23" hidden="0" customWidth="1"/>
    <x:col min="16" max="16" width="16" hidden="0" customWidth="1"/>
    <x:col min="17" max="17" width="40" hidden="0" customWidth="1"/>
    <x:col min="18" max="18" width="40" hidden="0" customWidth="1"/>
  </x:cols>
  <x:sheetData>
    <x:row r="1" ht="38" customHeight="1">
      <x:c r="A1" s="3" t="str">
        <x:v>Provisional Seed Ledger — 396 Provenance-Bearing Records</x:v>
      </x:c>
      <x:c r="B1" s="3" t="str">
        <x:v>Provisional Seed Ledger — 396 Provenance-Bearing Records</x:v>
      </x:c>
      <x:c r="C1" s="3" t="str">
        <x:v>Provisional Seed Ledger — 396 Provenance-Bearing Records</x:v>
      </x:c>
      <x:c r="D1" s="3" t="str">
        <x:v>Provisional Seed Ledger — 396 Provenance-Bearing Records</x:v>
      </x:c>
      <x:c r="E1" s="3" t="str">
        <x:v>Provisional Seed Ledger — 396 Provenance-Bearing Records</x:v>
      </x:c>
      <x:c r="F1" s="3" t="str">
        <x:v>Provisional Seed Ledger — 396 Provenance-Bearing Records</x:v>
      </x:c>
      <x:c r="G1" s="3" t="str">
        <x:v>Provisional Seed Ledger — 396 Provenance-Bearing Records</x:v>
      </x:c>
      <x:c r="H1" s="3" t="str">
        <x:v>Provisional Seed Ledger — 396 Provenance-Bearing Records</x:v>
      </x:c>
      <x:c r="I1" s="3" t="str">
        <x:v>Provisional Seed Ledger — 396 Provenance-Bearing Records</x:v>
      </x:c>
      <x:c r="J1" s="3" t="str">
        <x:v>Provisional Seed Ledger — 396 Provenance-Bearing Records</x:v>
      </x:c>
      <x:c r="K1" s="3" t="str">
        <x:v>Provisional Seed Ledger — 396 Provenance-Bearing Records</x:v>
      </x:c>
      <x:c r="L1" s="3" t="str">
        <x:v>Provisional Seed Ledger — 396 Provenance-Bearing Records</x:v>
      </x:c>
      <x:c r="M1" s="3" t="str">
        <x:v>Provisional Seed Ledger — 396 Provenance-Bearing Records</x:v>
      </x:c>
      <x:c r="N1" s="3" t="str">
        <x:v>Provisional Seed Ledger — 396 Provenance-Bearing Records</x:v>
      </x:c>
      <x:c r="O1" s="3" t="str">
        <x:v>Provisional Seed Ledger — 396 Provenance-Bearing Records</x:v>
      </x:c>
      <x:c r="P1" s="3" t="str">
        <x:v>Provisional Seed Ledger — 396 Provenance-Bearing Records</x:v>
      </x:c>
      <x:c r="Q1" s="3" t="str">
        <x:v>Provisional Seed Ledger — 396 Provenance-Bearing Records</x:v>
      </x:c>
      <x:c r="R1" s="3" t="str">
        <x:v>Provisional Seed Ledger — 396 Provenance-Bearing Records</x:v>
      </x:c>
    </x:row>
    <x:row r="2" ht="32" customHeight="1">
      <x:c r="A2" s="7" t="str">
        <x:v>Original wording and controlled missingness are preserved; no unavailable original ID is fabricated.</x:v>
      </x:c>
      <x:c r="B2" s="7" t="str">
        <x:v>Original wording and controlled missingness are preserved; no unavailable original ID is fabricated.</x:v>
      </x:c>
      <x:c r="C2" s="7" t="str">
        <x:v>Original wording and controlled missingness are preserved; no unavailable original ID is fabricated.</x:v>
      </x:c>
      <x:c r="D2" s="7" t="str">
        <x:v>Original wording and controlled missingness are preserved; no unavailable original ID is fabricated.</x:v>
      </x:c>
      <x:c r="E2" s="7" t="str">
        <x:v>Original wording and controlled missingness are preserved; no unavailable original ID is fabricated.</x:v>
      </x:c>
      <x:c r="F2" s="7" t="str">
        <x:v>Original wording and controlled missingness are preserved; no unavailable original ID is fabricated.</x:v>
      </x:c>
      <x:c r="G2" s="7" t="str">
        <x:v>Original wording and controlled missingness are preserved; no unavailable original ID is fabricated.</x:v>
      </x:c>
      <x:c r="H2" s="7" t="str">
        <x:v>Original wording and controlled missingness are preserved; no unavailable original ID is fabricated.</x:v>
      </x:c>
      <x:c r="I2" s="7" t="str">
        <x:v>Original wording and controlled missingness are preserved; no unavailable original ID is fabricated.</x:v>
      </x:c>
      <x:c r="J2" s="7" t="str">
        <x:v>Original wording and controlled missingness are preserved; no unavailable original ID is fabricated.</x:v>
      </x:c>
      <x:c r="K2" s="7" t="str">
        <x:v>Original wording and controlled missingness are preserved; no unavailable original ID is fabricated.</x:v>
      </x:c>
      <x:c r="L2" s="7" t="str">
        <x:v>Original wording and controlled missingness are preserved; no unavailable original ID is fabricated.</x:v>
      </x:c>
      <x:c r="M2" s="7" t="str">
        <x:v>Original wording and controlled missingness are preserved; no unavailable original ID is fabricated.</x:v>
      </x:c>
      <x:c r="N2" s="7" t="str">
        <x:v>Original wording and controlled missingness are preserved; no unavailable original ID is fabricated.</x:v>
      </x:c>
      <x:c r="O2" s="7" t="str">
        <x:v>Original wording and controlled missingness are preserved; no unavailable original ID is fabricated.</x:v>
      </x:c>
      <x:c r="P2" s="7" t="str">
        <x:v>Original wording and controlled missingness are preserved; no unavailable original ID is fabricated.</x:v>
      </x:c>
      <x:c r="Q2" s="7" t="str">
        <x:v>Original wording and controlled missingness are preserved; no unavailable original ID is fabricated.</x:v>
      </x:c>
      <x:c r="R2" s="7" t="str">
        <x:v>Original wording and controlled missingness are preserved; no unavailable original ID is fabricated.</x:v>
      </x:c>
    </x:row>
    <x:row r="4" ht="42" customHeight="1">
      <x:c r="A4" s="14" t="str">
        <x:v>seed_candidate_id</x:v>
      </x:c>
      <x:c r="B4" s="14" t="str">
        <x:v>originating_seed_stage</x:v>
      </x:c>
      <x:c r="C4" s="14" t="str">
        <x:v>original_candidate_id</x:v>
      </x:c>
      <x:c r="D4" s="14" t="str">
        <x:v>source_page</x:v>
      </x:c>
      <x:c r="E4" s="14" t="str">
        <x:v>anchor_id</x:v>
      </x:c>
      <x:c r="F4" s="14" t="str">
        <x:v>surface_form</x:v>
      </x:c>
      <x:c r="G4" s="14" t="str">
        <x:v>layer_code</x:v>
      </x:c>
      <x:c r="H4" s="14" t="str">
        <x:v>voice_code</x:v>
      </x:c>
      <x:c r="I4" s="14" t="str">
        <x:v>source_id</x:v>
      </x:c>
      <x:c r="J4" s="14" t="str">
        <x:v>expression_mode_code</x:v>
      </x:c>
      <x:c r="K4" s="14" t="str">
        <x:v>original_decision</x:v>
      </x:c>
      <x:c r="L4" s="14" t="str">
        <x:v>confidence_label</x:v>
      </x:c>
      <x:c r="M4" s="14" t="str">
        <x:v>relevance_label</x:v>
      </x:c>
      <x:c r="N4" s="14" t="str">
        <x:v>reconstruction_status</x:v>
      </x:c>
      <x:c r="O4" s="14" t="str">
        <x:v>reconciliation_status</x:v>
      </x:c>
      <x:c r="P4" s="14" t="str">
        <x:v>originating_report</x:v>
      </x:c>
      <x:c r="Q4" s="14" t="str">
        <x:v>provenance_status</x:v>
      </x:c>
      <x:c r="R4" s="14" t="str">
        <x:v>provenance_note</x:v>
      </x:c>
    </x:row>
    <x:row r="5" ht="30" customHeight="1">
      <x:c r="A5" s="39" t="str">
        <x:v>FT-SEED-R1-1842-A-01</x:v>
      </x:c>
      <x:c r="B5" s="16" t="str">
        <x:v>INITIAL_180</x:v>
      </x:c>
      <x:c r="C5" s="30" t="str">
        <x:v>1842-A-01</x:v>
      </x:c>
      <x:c r="D5" s="30" t="str">
        <x:v>4</x:v>
      </x:c>
      <x:c r="E5" s="16" t="str">
        <x:v>FT-A1842</x:v>
      </x:c>
      <x:c r="F5" s="30" t="str">
        <x:v>temperature</x:v>
      </x:c>
      <x:c r="G5" s="16" t="str">
        <x:v>A</x:v>
      </x:c>
      <x:c r="H5" s="16" t="str">
        <x:v>NOT_ANNOTATED_IN_SOURCE</x:v>
      </x:c>
      <x:c r="I5" s="30" t="str">
        <x:v>E1842-1,2</x:v>
      </x:c>
      <x:c r="J5" s="16" t="str">
        <x:v>NOT_ANNOTATED_IN_SOURCE</x:v>
      </x:c>
      <x:c r="K5" s="16" t="str">
        <x:v>CONFIDENCE=Strong;CARRY_FORWARD=Yes</x:v>
      </x:c>
      <x:c r="L5" s="16" t="str">
        <x:v>Strong</x:v>
      </x:c>
      <x:c r="M5" s="16" t="str">
        <x:v>Yes</x:v>
      </x:c>
      <x:c r="N5" s="30" t="str">
        <x:v>RECONSTRUCTED_FROM_REPORT</x:v>
      </x:c>
      <x:c r="O5" s="30" t="str">
        <x:v>RETAIN</x:v>
      </x:c>
      <x:c r="P5" s="16" t="str">
        <x:v>Fear of Temperature_ Historical Lexical Discovery and Anchor Validation.pdf</x:v>
      </x:c>
      <x:c r="Q5" s="30" t="str">
        <x:v>RECONSTRUCTED_FROM_REPORT</x:v>
      </x:c>
      <x:c r="R5" s="42" t="str">
        <x:v>Original candidate ID and row fields reconstructed from the compact narrative PDF table; this is not the missing original structured record.</x:v>
      </x:c>
    </x:row>
    <x:row r="6" ht="30" customHeight="1">
      <x:c r="A6" s="40" t="str">
        <x:v>FT-SEED-R1-1842-A-02</x:v>
      </x:c>
      <x:c r="B6" s="19" t="str">
        <x:v>INITIAL_180</x:v>
      </x:c>
      <x:c r="C6" s="31" t="str">
        <x:v>1842-A-02</x:v>
      </x:c>
      <x:c r="D6" s="31" t="str">
        <x:v>4</x:v>
      </x:c>
      <x:c r="E6" s="19" t="str">
        <x:v>FT-A1842</x:v>
      </x:c>
      <x:c r="F6" s="31" t="str">
        <x:v>mean temperature</x:v>
      </x:c>
      <x:c r="G6" s="19" t="str">
        <x:v>A</x:v>
      </x:c>
      <x:c r="H6" s="19" t="str">
        <x:v>NOT_ANNOTATED_IN_SOURCE</x:v>
      </x:c>
      <x:c r="I6" s="31" t="str">
        <x:v>E1842-1,2</x:v>
      </x:c>
      <x:c r="J6" s="19" t="str">
        <x:v>NOT_ANNOTATED_IN_SOURCE</x:v>
      </x:c>
      <x:c r="K6" s="19" t="str">
        <x:v>CONFIDENCE=Strong;CARRY_FORWARD=Yes</x:v>
      </x:c>
      <x:c r="L6" s="19" t="str">
        <x:v>Strong</x:v>
      </x:c>
      <x:c r="M6" s="19" t="str">
        <x:v>Yes</x:v>
      </x:c>
      <x:c r="N6" s="31" t="str">
        <x:v>RECONSTRUCTED_FROM_REPORT</x:v>
      </x:c>
      <x:c r="O6" s="31" t="str">
        <x:v>RETAIN</x:v>
      </x:c>
      <x:c r="P6" s="19" t="str">
        <x:v>Fear of Temperature_ Historical Lexical Discovery and Anchor Validation.pdf</x:v>
      </x:c>
      <x:c r="Q6" s="31" t="str">
        <x:v>RECONSTRUCTED_FROM_REPORT</x:v>
      </x:c>
      <x:c r="R6" s="43" t="str">
        <x:v>Original candidate ID and row fields reconstructed from the compact narrative PDF table; this is not the missing original structured record.</x:v>
      </x:c>
    </x:row>
    <x:row r="7" ht="30" customHeight="1">
      <x:c r="A7" s="40" t="str">
        <x:v>FT-SEED-R1-1842-A-03</x:v>
      </x:c>
      <x:c r="B7" s="19" t="str">
        <x:v>INITIAL_180</x:v>
      </x:c>
      <x:c r="C7" s="31" t="str">
        <x:v>1842-A-03</x:v>
      </x:c>
      <x:c r="D7" s="31" t="str">
        <x:v>4</x:v>
      </x:c>
      <x:c r="E7" s="19" t="str">
        <x:v>FT-A1842</x:v>
      </x:c>
      <x:c r="F7" s="31" t="str">
        <x:v>high temperature</x:v>
      </x:c>
      <x:c r="G7" s="19" t="str">
        <x:v>A</x:v>
      </x:c>
      <x:c r="H7" s="19" t="str">
        <x:v>NOT_ANNOTATED_IN_SOURCE</x:v>
      </x:c>
      <x:c r="I7" s="31" t="str">
        <x:v>E1842-2</x:v>
      </x:c>
      <x:c r="J7" s="19" t="str">
        <x:v>NOT_ANNOTATED_IN_SOURCE</x:v>
      </x:c>
      <x:c r="K7" s="19" t="str">
        <x:v>CONFIDENCE=Strong;CARRY_FORWARD=Yes</x:v>
      </x:c>
      <x:c r="L7" s="19" t="str">
        <x:v>Strong</x:v>
      </x:c>
      <x:c r="M7" s="19" t="str">
        <x:v>Yes</x:v>
      </x:c>
      <x:c r="N7" s="31" t="str">
        <x:v>RECONSTRUCTED_FROM_REPORT</x:v>
      </x:c>
      <x:c r="O7" s="31" t="str">
        <x:v>RETAIN</x:v>
      </x:c>
      <x:c r="P7" s="19" t="str">
        <x:v>Fear of Temperature_ Historical Lexical Discovery and Anchor Validation.pdf</x:v>
      </x:c>
      <x:c r="Q7" s="31" t="str">
        <x:v>RECONSTRUCTED_FROM_REPORT</x:v>
      </x:c>
      <x:c r="R7" s="43" t="str">
        <x:v>Original candidate ID and row fields reconstructed from the compact narrative PDF table; this is not the missing original structured record.</x:v>
      </x:c>
    </x:row>
    <x:row r="8" ht="30" customHeight="1">
      <x:c r="A8" s="40" t="str">
        <x:v>FT-SEED-R1-1842-A-04</x:v>
      </x:c>
      <x:c r="B8" s="19" t="str">
        <x:v>INITIAL_180</x:v>
      </x:c>
      <x:c r="C8" s="31" t="str">
        <x:v>1842-A-04</x:v>
      </x:c>
      <x:c r="D8" s="31" t="str">
        <x:v>4</x:v>
      </x:c>
      <x:c r="E8" s="19" t="str">
        <x:v>FT-A1842</x:v>
      </x:c>
      <x:c r="F8" s="31" t="str">
        <x:v>heat</x:v>
      </x:c>
      <x:c r="G8" s="19" t="str">
        <x:v>A</x:v>
      </x:c>
      <x:c r="H8" s="19" t="str">
        <x:v>NOT_ANNOTATED_IN_SOURCE</x:v>
      </x:c>
      <x:c r="I8" s="31" t="str">
        <x:v>E1842-3,4</x:v>
      </x:c>
      <x:c r="J8" s="19" t="str">
        <x:v>NOT_ANNOTATED_IN_SOURCE</x:v>
      </x:c>
      <x:c r="K8" s="19" t="str">
        <x:v>CONFIDENCE=Strong;CARRY_FORWARD=Yes</x:v>
      </x:c>
      <x:c r="L8" s="19" t="str">
        <x:v>Strong</x:v>
      </x:c>
      <x:c r="M8" s="19" t="str">
        <x:v>Yes</x:v>
      </x:c>
      <x:c r="N8" s="31" t="str">
        <x:v>RECONSTRUCTED_FROM_REPORT</x:v>
      </x:c>
      <x:c r="O8" s="31" t="str">
        <x:v>RETAIN</x:v>
      </x:c>
      <x:c r="P8" s="19" t="str">
        <x:v>Fear of Temperature_ Historical Lexical Discovery and Anchor Validation.pdf</x:v>
      </x:c>
      <x:c r="Q8" s="31" t="str">
        <x:v>RECONSTRUCTED_FROM_REPORT</x:v>
      </x:c>
      <x:c r="R8" s="43" t="str">
        <x:v>Original candidate ID and row fields reconstructed from the compact narrative PDF table; this is not the missing original structured record.</x:v>
      </x:c>
    </x:row>
    <x:row r="9" ht="30" customHeight="1">
      <x:c r="A9" s="40" t="str">
        <x:v>FT-SEED-R1-1842-A-05</x:v>
      </x:c>
      <x:c r="B9" s="19" t="str">
        <x:v>INITIAL_180</x:v>
      </x:c>
      <x:c r="C9" s="31" t="str">
        <x:v>1842-A-05</x:v>
      </x:c>
      <x:c r="D9" s="31" t="str">
        <x:v>4</x:v>
      </x:c>
      <x:c r="E9" s="19" t="str">
        <x:v>FT-A1842</x:v>
      </x:c>
      <x:c r="F9" s="31" t="str">
        <x:v>great heat</x:v>
      </x:c>
      <x:c r="G9" s="19" t="str">
        <x:v>A</x:v>
      </x:c>
      <x:c r="H9" s="19" t="str">
        <x:v>NOT_ANNOTATED_IN_SOURCE</x:v>
      </x:c>
      <x:c r="I9" s="31" t="str">
        <x:v>E1842-4</x:v>
      </x:c>
      <x:c r="J9" s="19" t="str">
        <x:v>NOT_ANNOTATED_IN_SOURCE</x:v>
      </x:c>
      <x:c r="K9" s="19" t="str">
        <x:v>CONFIDENCE=Weak;CARRY_FORWARD=No</x:v>
      </x:c>
      <x:c r="L9" s="19" t="str">
        <x:v>Weak</x:v>
      </x:c>
      <x:c r="M9" s="19" t="str">
        <x:v>No</x:v>
      </x:c>
      <x:c r="N9" s="31" t="str">
        <x:v>RECONSTRUCTED_FROM_REPORT</x:v>
      </x:c>
      <x:c r="O9" s="31" t="str">
        <x:v>EXCLUDE</x:v>
      </x:c>
      <x:c r="P9" s="19" t="str">
        <x:v>Fear of Temperature_ Historical Lexical Discovery and Anchor Validation.pdf</x:v>
      </x:c>
      <x:c r="Q9" s="31" t="str">
        <x:v>RECONSTRUCTED_FROM_REPORT</x:v>
      </x:c>
      <x:c r="R9" s="43" t="str">
        <x:v>Original candidate ID and row fields reconstructed from the compact narrative PDF table; this is not the missing original structured record.</x:v>
      </x:c>
    </x:row>
    <x:row r="10" ht="30" customHeight="1">
      <x:c r="A10" s="40" t="str">
        <x:v>FT-SEED-R1-1842-A-06</x:v>
      </x:c>
      <x:c r="B10" s="19" t="str">
        <x:v>INITIAL_180</x:v>
      </x:c>
      <x:c r="C10" s="31" t="str">
        <x:v>1842-A-06</x:v>
      </x:c>
      <x:c r="D10" s="31" t="str">
        <x:v>4</x:v>
      </x:c>
      <x:c r="E10" s="19" t="str">
        <x:v>FT-A1842</x:v>
      </x:c>
      <x:c r="F10" s="31" t="str">
        <x:v>oppressive heat</x:v>
      </x:c>
      <x:c r="G10" s="19" t="str">
        <x:v>A</x:v>
      </x:c>
      <x:c r="H10" s="19" t="str">
        <x:v>NOT_ANNOTATED_IN_SOURCE</x:v>
      </x:c>
      <x:c r="I10" s="31" t="str">
        <x:v>E1842-1–4</x:v>
      </x:c>
      <x:c r="J10" s="19" t="str">
        <x:v>NOT_ANNOTATED_IN_SOURCE</x:v>
      </x:c>
      <x:c r="K10" s="19" t="str">
        <x:v>CONFIDENCE=Weak;CARRY_FORWARD=Conditional</x:v>
      </x:c>
      <x:c r="L10" s="19" t="str">
        <x:v>Weak</x:v>
      </x:c>
      <x:c r="M10" s="19" t="str">
        <x:v>Conditional</x:v>
      </x:c>
      <x:c r="N10" s="31" t="str">
        <x:v>RECONSTRUCTED_FROM_REPORT</x:v>
      </x:c>
      <x:c r="O10" s="31" t="str">
        <x:v>UNRESOLVED</x:v>
      </x:c>
      <x:c r="P10" s="19" t="str">
        <x:v>Fear of Temperature_ Historical Lexical Discovery and Anchor Validation.pdf</x:v>
      </x:c>
      <x:c r="Q10" s="31" t="str">
        <x:v>RECONSTRUCTED_FROM_REPORT</x:v>
      </x:c>
      <x:c r="R10" s="43" t="str">
        <x:v>Original candidate ID and row fields reconstructed from the compact narrative PDF table; this is not the missing original structured record.</x:v>
      </x:c>
    </x:row>
    <x:row r="11" ht="30" customHeight="1">
      <x:c r="A11" s="40" t="str">
        <x:v>FT-SEED-R1-1842-A-07</x:v>
      </x:c>
      <x:c r="B11" s="19" t="str">
        <x:v>INITIAL_180</x:v>
      </x:c>
      <x:c r="C11" s="31" t="str">
        <x:v>1842-A-07</x:v>
      </x:c>
      <x:c r="D11" s="31" t="str">
        <x:v>5</x:v>
      </x:c>
      <x:c r="E11" s="19" t="str">
        <x:v>FT-A1842</x:v>
      </x:c>
      <x:c r="F11" s="31" t="str">
        <x:v>unusual heat</x:v>
      </x:c>
      <x:c r="G11" s="19" t="str">
        <x:v>A</x:v>
      </x:c>
      <x:c r="H11" s="19" t="str">
        <x:v>NOT_ANNOTATED_IN_SOURCE</x:v>
      </x:c>
      <x:c r="I11" s="31" t="str">
        <x:v>E1842-1–4</x:v>
      </x:c>
      <x:c r="J11" s="19" t="str">
        <x:v>NOT_ANNOTATED_IN_SOURCE</x:v>
      </x:c>
      <x:c r="K11" s="19" t="str">
        <x:v>CONFIDENCE=Weak;CARRY_FORWARD=No</x:v>
      </x:c>
      <x:c r="L11" s="19" t="str">
        <x:v>Weak</x:v>
      </x:c>
      <x:c r="M11" s="19" t="str">
        <x:v>No</x:v>
      </x:c>
      <x:c r="N11" s="31" t="str">
        <x:v>RECONSTRUCTED_FROM_REPORT</x:v>
      </x:c>
      <x:c r="O11" s="31" t="str">
        <x:v>EXCLUDE</x:v>
      </x:c>
      <x:c r="P11" s="19" t="str">
        <x:v>Fear of Temperature_ Historical Lexical Discovery and Anchor Validation.pdf</x:v>
      </x:c>
      <x:c r="Q11" s="31" t="str">
        <x:v>RECONSTRUCTED_FROM_REPORT</x:v>
      </x:c>
      <x:c r="R11" s="43" t="str">
        <x:v>Original candidate ID and row fields reconstructed from the compact narrative PDF table; this is not the missing original structured record.</x:v>
      </x:c>
    </x:row>
    <x:row r="12" ht="30" customHeight="1">
      <x:c r="A12" s="40" t="str">
        <x:v>FT-SEED-R1-1842-A-08</x:v>
      </x:c>
      <x:c r="B12" s="19" t="str">
        <x:v>INITIAL_180</x:v>
      </x:c>
      <x:c r="C12" s="31" t="str">
        <x:v>1842-A-08</x:v>
      </x:c>
      <x:c r="D12" s="31" t="str">
        <x:v>5</x:v>
      </x:c>
      <x:c r="E12" s="19" t="str">
        <x:v>FT-A1842</x:v>
      </x:c>
      <x:c r="F12" s="31" t="str">
        <x:v>too hot and close</x:v>
      </x:c>
      <x:c r="G12" s="19" t="str">
        <x:v>A</x:v>
      </x:c>
      <x:c r="H12" s="19" t="str">
        <x:v>NOT_ANNOTATED_IN_SOURCE</x:v>
      </x:c>
      <x:c r="I12" s="31" t="str">
        <x:v>E1842-3</x:v>
      </x:c>
      <x:c r="J12" s="19" t="str">
        <x:v>NOT_ANNOTATED_IN_SOURCE</x:v>
      </x:c>
      <x:c r="K12" s="19" t="str">
        <x:v>CONFIDENCE=Strong;CARRY_FORWARD=Yes</x:v>
      </x:c>
      <x:c r="L12" s="19" t="str">
        <x:v>Strong</x:v>
      </x:c>
      <x:c r="M12" s="19" t="str">
        <x:v>Yes</x:v>
      </x:c>
      <x:c r="N12" s="31" t="str">
        <x:v>RECONSTRUCTED_FROM_REPORT</x:v>
      </x:c>
      <x:c r="O12" s="31" t="str">
        <x:v>RETAIN</x:v>
      </x:c>
      <x:c r="P12" s="19" t="str">
        <x:v>Fear of Temperature_ Historical Lexical Discovery and Anchor Validation.pdf</x:v>
      </x:c>
      <x:c r="Q12" s="31" t="str">
        <x:v>RECONSTRUCTED_FROM_REPORT</x:v>
      </x:c>
      <x:c r="R12" s="43" t="str">
        <x:v>Original candidate ID and row fields reconstructed from the compact narrative PDF table; this is not the missing original structured record.</x:v>
      </x:c>
    </x:row>
    <x:row r="13" ht="30" customHeight="1">
      <x:c r="A13" s="40" t="str">
        <x:v>FT-SEED-R1-1842-B-01</x:v>
      </x:c>
      <x:c r="B13" s="19" t="str">
        <x:v>INITIAL_180</x:v>
      </x:c>
      <x:c r="C13" s="31" t="str">
        <x:v>1842-B-01</x:v>
      </x:c>
      <x:c r="D13" s="31" t="str">
        <x:v>5</x:v>
      </x:c>
      <x:c r="E13" s="19" t="str">
        <x:v>FT-A1842</x:v>
      </x:c>
      <x:c r="F13" s="31" t="str">
        <x:v>climate</x:v>
      </x:c>
      <x:c r="G13" s="19" t="str">
        <x:v>B</x:v>
      </x:c>
      <x:c r="H13" s="19" t="str">
        <x:v>NOT_ANNOTATED_IN_SOURCE</x:v>
      </x:c>
      <x:c r="I13" s="31" t="str">
        <x:v>E1842-1,5</x:v>
      </x:c>
      <x:c r="J13" s="19" t="str">
        <x:v>NOT_ANNOTATED_IN_SOURCE</x:v>
      </x:c>
      <x:c r="K13" s="19" t="str">
        <x:v>CONFIDENCE=Strong;CARRY_FORWARD=Yes</x:v>
      </x:c>
      <x:c r="L13" s="19" t="str">
        <x:v>Strong</x:v>
      </x:c>
      <x:c r="M13" s="19" t="str">
        <x:v>Yes</x:v>
      </x:c>
      <x:c r="N13" s="31" t="str">
        <x:v>RECONSTRUCTED_FROM_REPORT</x:v>
      </x:c>
      <x:c r="O13" s="31" t="str">
        <x:v>RETAIN</x:v>
      </x:c>
      <x:c r="P13" s="19" t="str">
        <x:v>Fear of Temperature_ Historical Lexical Discovery and Anchor Validation.pdf</x:v>
      </x:c>
      <x:c r="Q13" s="31" t="str">
        <x:v>RECONSTRUCTED_FROM_REPORT</x:v>
      </x:c>
      <x:c r="R13" s="43" t="str">
        <x:v>Original candidate ID and row fields reconstructed from the compact narrative PDF table; this is not the missing original structured record.</x:v>
      </x:c>
    </x:row>
    <x:row r="14" ht="30" customHeight="1">
      <x:c r="A14" s="40" t="str">
        <x:v>FT-SEED-R1-1842-B-02</x:v>
      </x:c>
      <x:c r="B14" s="19" t="str">
        <x:v>INITIAL_180</x:v>
      </x:c>
      <x:c r="C14" s="31" t="str">
        <x:v>1842-B-02</x:v>
      </x:c>
      <x:c r="D14" s="31" t="str">
        <x:v>5</x:v>
      </x:c>
      <x:c r="E14" s="19" t="str">
        <x:v>FT-A1842</x:v>
      </x:c>
      <x:c r="F14" s="31" t="str">
        <x:v>meteorology</x:v>
      </x:c>
      <x:c r="G14" s="19" t="str">
        <x:v>B</x:v>
      </x:c>
      <x:c r="H14" s="19" t="str">
        <x:v>NOT_ANNOTATED_IN_SOURCE</x:v>
      </x:c>
      <x:c r="I14" s="31" t="str">
        <x:v>E1842-1</x:v>
      </x:c>
      <x:c r="J14" s="19" t="str">
        <x:v>NOT_ANNOTATED_IN_SOURCE</x:v>
      </x:c>
      <x:c r="K14" s="19" t="str">
        <x:v>CONFIDENCE=Strong;CARRY_FORWARD=Yes</x:v>
      </x:c>
      <x:c r="L14" s="19" t="str">
        <x:v>Strong</x:v>
      </x:c>
      <x:c r="M14" s="19" t="str">
        <x:v>Yes</x:v>
      </x:c>
      <x:c r="N14" s="31" t="str">
        <x:v>RECONSTRUCTED_FROM_REPORT</x:v>
      </x:c>
      <x:c r="O14" s="31" t="str">
        <x:v>RETAIN</x:v>
      </x:c>
      <x:c r="P14" s="19" t="str">
        <x:v>Fear of Temperature_ Historical Lexical Discovery and Anchor Validation.pdf</x:v>
      </x:c>
      <x:c r="Q14" s="31" t="str">
        <x:v>RECONSTRUCTED_FROM_REPORT</x:v>
      </x:c>
      <x:c r="R14" s="43" t="str">
        <x:v>Original candidate ID and row fields reconstructed from the compact narrative PDF table; this is not the missing original structured record.</x:v>
      </x:c>
    </x:row>
    <x:row r="15" ht="30" customHeight="1">
      <x:c r="A15" s="40" t="str">
        <x:v>FT-SEED-R1-1842-B-03</x:v>
      </x:c>
      <x:c r="B15" s="19" t="str">
        <x:v>INITIAL_180</x:v>
      </x:c>
      <x:c r="C15" s="31" t="str">
        <x:v>1842-B-03</x:v>
      </x:c>
      <x:c r="D15" s="31" t="str">
        <x:v>5</x:v>
      </x:c>
      <x:c r="E15" s="19" t="str">
        <x:v>FT-A1842</x:v>
      </x:c>
      <x:c r="F15" s="31" t="str">
        <x:v>meteorological observations</x:v>
      </x:c>
      <x:c r="G15" s="19" t="str">
        <x:v>B</x:v>
      </x:c>
      <x:c r="H15" s="19" t="str">
        <x:v>NOT_ANNOTATED_IN_SOURCE</x:v>
      </x:c>
      <x:c r="I15" s="31" t="str">
        <x:v>E1842-1,2</x:v>
      </x:c>
      <x:c r="J15" s="19" t="str">
        <x:v>NOT_ANNOTATED_IN_SOURCE</x:v>
      </x:c>
      <x:c r="K15" s="19" t="str">
        <x:v>CONFIDENCE=Strong;CARRY_FORWARD=Yes</x:v>
      </x:c>
      <x:c r="L15" s="19" t="str">
        <x:v>Strong</x:v>
      </x:c>
      <x:c r="M15" s="19" t="str">
        <x:v>Yes</x:v>
      </x:c>
      <x:c r="N15" s="31" t="str">
        <x:v>RECONSTRUCTED_FROM_REPORT</x:v>
      </x:c>
      <x:c r="O15" s="31" t="str">
        <x:v>RETAIN</x:v>
      </x:c>
      <x:c r="P15" s="19" t="str">
        <x:v>Fear of Temperature_ Historical Lexical Discovery and Anchor Validation.pdf</x:v>
      </x:c>
      <x:c r="Q15" s="31" t="str">
        <x:v>RECONSTRUCTED_FROM_REPORT</x:v>
      </x:c>
      <x:c r="R15" s="43" t="str">
        <x:v>Original candidate ID and row fields reconstructed from the compact narrative PDF table; this is not the missing original structured record.</x:v>
      </x:c>
    </x:row>
    <x:row r="16" ht="30" customHeight="1">
      <x:c r="A16" s="40" t="str">
        <x:v>FT-SEED-R1-1842-B-04</x:v>
      </x:c>
      <x:c r="B16" s="19" t="str">
        <x:v>INITIAL_180</x:v>
      </x:c>
      <x:c r="C16" s="31" t="str">
        <x:v>1842-B-04</x:v>
      </x:c>
      <x:c r="D16" s="31" t="str">
        <x:v>5</x:v>
      </x:c>
      <x:c r="E16" s="19" t="str">
        <x:v>FT-A1842</x:v>
      </x:c>
      <x:c r="F16" s="31" t="str">
        <x:v>weather</x:v>
      </x:c>
      <x:c r="G16" s="19" t="str">
        <x:v>B</x:v>
      </x:c>
      <x:c r="H16" s="19" t="str">
        <x:v>NOT_ANNOTATED_IN_SOURCE</x:v>
      </x:c>
      <x:c r="I16" s="31" t="str">
        <x:v>E1842-3</x:v>
      </x:c>
      <x:c r="J16" s="19" t="str">
        <x:v>NOT_ANNOTATED_IN_SOURCE</x:v>
      </x:c>
      <x:c r="K16" s="19" t="str">
        <x:v>CONFIDENCE=Strong;CARRY_FORWARD=Yes</x:v>
      </x:c>
      <x:c r="L16" s="19" t="str">
        <x:v>Strong</x:v>
      </x:c>
      <x:c r="M16" s="19" t="str">
        <x:v>Yes</x:v>
      </x:c>
      <x:c r="N16" s="31" t="str">
        <x:v>RECONSTRUCTED_FROM_REPORT</x:v>
      </x:c>
      <x:c r="O16" s="31" t="str">
        <x:v>RETAIN</x:v>
      </x:c>
      <x:c r="P16" s="19" t="str">
        <x:v>Fear of Temperature_ Historical Lexical Discovery and Anchor Validation.pdf</x:v>
      </x:c>
      <x:c r="Q16" s="31" t="str">
        <x:v>RECONSTRUCTED_FROM_REPORT</x:v>
      </x:c>
      <x:c r="R16" s="43" t="str">
        <x:v>Original candidate ID and row fields reconstructed from the compact narrative PDF table; this is not the missing original structured record.</x:v>
      </x:c>
    </x:row>
    <x:row r="17" ht="30" customHeight="1">
      <x:c r="A17" s="40" t="str">
        <x:v>FT-SEED-R1-1842-B-05</x:v>
      </x:c>
      <x:c r="B17" s="19" t="str">
        <x:v>INITIAL_180</x:v>
      </x:c>
      <x:c r="C17" s="31" t="str">
        <x:v>1842-B-05</x:v>
      </x:c>
      <x:c r="D17" s="31" t="str">
        <x:v>5</x:v>
      </x:c>
      <x:c r="E17" s="19" t="str">
        <x:v>FT-A1842</x:v>
      </x:c>
      <x:c r="F17" s="31" t="str">
        <x:v>atmosphere</x:v>
      </x:c>
      <x:c r="G17" s="19" t="str">
        <x:v>B</x:v>
      </x:c>
      <x:c r="H17" s="19" t="str">
        <x:v>NOT_ANNOTATED_IN_SOURCE</x:v>
      </x:c>
      <x:c r="I17" s="31" t="str">
        <x:v>E1842-1</x:v>
      </x:c>
      <x:c r="J17" s="19" t="str">
        <x:v>NOT_ANNOTATED_IN_SOURCE</x:v>
      </x:c>
      <x:c r="K17" s="19" t="str">
        <x:v>CONFIDENCE=Strong;CARRY_FORWARD=Yes</x:v>
      </x:c>
      <x:c r="L17" s="19" t="str">
        <x:v>Strong</x:v>
      </x:c>
      <x:c r="M17" s="19" t="str">
        <x:v>Yes</x:v>
      </x:c>
      <x:c r="N17" s="31" t="str">
        <x:v>RECONSTRUCTED_FROM_REPORT</x:v>
      </x:c>
      <x:c r="O17" s="31" t="str">
        <x:v>RETAIN</x:v>
      </x:c>
      <x:c r="P17" s="19" t="str">
        <x:v>Fear of Temperature_ Historical Lexical Discovery and Anchor Validation.pdf</x:v>
      </x:c>
      <x:c r="Q17" s="31" t="str">
        <x:v>RECONSTRUCTED_FROM_REPORT</x:v>
      </x:c>
      <x:c r="R17" s="43" t="str">
        <x:v>Original candidate ID and row fields reconstructed from the compact narrative PDF table; this is not the missing original structured record.</x:v>
      </x:c>
    </x:row>
    <x:row r="18" ht="30" customHeight="1">
      <x:c r="A18" s="40" t="str">
        <x:v>FT-SEED-R1-1842-B-06</x:v>
      </x:c>
      <x:c r="B18" s="19" t="str">
        <x:v>INITIAL_180</x:v>
      </x:c>
      <x:c r="C18" s="31" t="str">
        <x:v>1842-B-06</x:v>
      </x:c>
      <x:c r="D18" s="31" t="str">
        <x:v>5</x:v>
      </x:c>
      <x:c r="E18" s="19" t="str">
        <x:v>FT-A1842</x:v>
      </x:c>
      <x:c r="F18" s="31" t="str">
        <x:v>seasons</x:v>
      </x:c>
      <x:c r="G18" s="19" t="str">
        <x:v>B</x:v>
      </x:c>
      <x:c r="H18" s="19" t="str">
        <x:v>NOT_ANNOTATED_IN_SOURCE</x:v>
      </x:c>
      <x:c r="I18" s="31" t="str">
        <x:v>E1842-1</x:v>
      </x:c>
      <x:c r="J18" s="19" t="str">
        <x:v>NOT_ANNOTATED_IN_SOURCE</x:v>
      </x:c>
      <x:c r="K18" s="19" t="str">
        <x:v>CONFIDENCE=Strong;CARRY_FORWARD=Yes</x:v>
      </x:c>
      <x:c r="L18" s="19" t="str">
        <x:v>Strong</x:v>
      </x:c>
      <x:c r="M18" s="19" t="str">
        <x:v>Yes</x:v>
      </x:c>
      <x:c r="N18" s="31" t="str">
        <x:v>RECONSTRUCTED_FROM_REPORT</x:v>
      </x:c>
      <x:c r="O18" s="31" t="str">
        <x:v>RETAIN</x:v>
      </x:c>
      <x:c r="P18" s="19" t="str">
        <x:v>Fear of Temperature_ Historical Lexical Discovery and Anchor Validation.pdf</x:v>
      </x:c>
      <x:c r="Q18" s="31" t="str">
        <x:v>RECONSTRUCTED_FROM_REPORT</x:v>
      </x:c>
      <x:c r="R18" s="43" t="str">
        <x:v>Original candidate ID and row fields reconstructed from the compact narrative PDF table; this is not the missing original structured record.</x:v>
      </x:c>
    </x:row>
    <x:row r="19" ht="30" customHeight="1">
      <x:c r="A19" s="40" t="str">
        <x:v>FT-SEED-R1-1842-B-07</x:v>
      </x:c>
      <x:c r="B19" s="19" t="str">
        <x:v>INITIAL_180</x:v>
      </x:c>
      <x:c r="C19" s="31" t="str">
        <x:v>1842-B-07</x:v>
      </x:c>
      <x:c r="D19" s="31" t="str">
        <x:v>6</x:v>
      </x:c>
      <x:c r="E19" s="19" t="str">
        <x:v>FT-A1842</x:v>
      </x:c>
      <x:c r="F19" s="31" t="str">
        <x:v>climatic influences</x:v>
      </x:c>
      <x:c r="G19" s="19" t="str">
        <x:v>B</x:v>
      </x:c>
      <x:c r="H19" s="19" t="str">
        <x:v>NOT_ANNOTATED_IN_SOURCE</x:v>
      </x:c>
      <x:c r="I19" s="31" t="str">
        <x:v>E1842-6</x:v>
      </x:c>
      <x:c r="J19" s="19" t="str">
        <x:v>NOT_ANNOTATED_IN_SOURCE</x:v>
      </x:c>
      <x:c r="K19" s="19" t="str">
        <x:v>CONFIDENCE=Weak;CARRY_FORWARD=No</x:v>
      </x:c>
      <x:c r="L19" s="19" t="str">
        <x:v>Weak</x:v>
      </x:c>
      <x:c r="M19" s="19" t="str">
        <x:v>No</x:v>
      </x:c>
      <x:c r="N19" s="31" t="str">
        <x:v>RECONSTRUCTED_FROM_REPORT</x:v>
      </x:c>
      <x:c r="O19" s="31" t="str">
        <x:v>EXCLUDE</x:v>
      </x:c>
      <x:c r="P19" s="19" t="str">
        <x:v>Fear of Temperature_ Historical Lexical Discovery and Anchor Validation.pdf</x:v>
      </x:c>
      <x:c r="Q19" s="31" t="str">
        <x:v>RECONSTRUCTED_FROM_REPORT</x:v>
      </x:c>
      <x:c r="R19" s="43" t="str">
        <x:v>Original candidate ID and row fields reconstructed from the compact narrative PDF table; this is not the missing original structured record.</x:v>
      </x:c>
    </x:row>
    <x:row r="20" ht="30" customHeight="1">
      <x:c r="A20" s="40" t="str">
        <x:v>FT-SEED-R1-1842-B-08</x:v>
      </x:c>
      <x:c r="B20" s="19" t="str">
        <x:v>INITIAL_180</x:v>
      </x:c>
      <x:c r="C20" s="31" t="str">
        <x:v>1842-B-08</x:v>
      </x:c>
      <x:c r="D20" s="31" t="str">
        <x:v>6</x:v>
      </x:c>
      <x:c r="E20" s="19" t="str">
        <x:v>FT-A1842</x:v>
      </x:c>
      <x:c r="F20" s="31" t="str">
        <x:v>change of climate</x:v>
      </x:c>
      <x:c r="G20" s="19" t="str">
        <x:v>B</x:v>
      </x:c>
      <x:c r="H20" s="19" t="str">
        <x:v>NOT_ANNOTATED_IN_SOURCE</x:v>
      </x:c>
      <x:c r="I20" s="31" t="str">
        <x:v>E1842-5</x:v>
      </x:c>
      <x:c r="J20" s="19" t="str">
        <x:v>NOT_ANNOTATED_IN_SOURCE</x:v>
      </x:c>
      <x:c r="K20" s="19" t="str">
        <x:v>CONFIDENCE=Moderate;CARRY_FORWARD=Conditional</x:v>
      </x:c>
      <x:c r="L20" s="19" t="str">
        <x:v>Moderate</x:v>
      </x:c>
      <x:c r="M20" s="19" t="str">
        <x:v>Conditional</x:v>
      </x:c>
      <x:c r="N20" s="31" t="str">
        <x:v>RECONSTRUCTED_FROM_REPORT</x:v>
      </x:c>
      <x:c r="O20" s="31" t="str">
        <x:v>UNRESOLVED</x:v>
      </x:c>
      <x:c r="P20" s="19" t="str">
        <x:v>Fear of Temperature_ Historical Lexical Discovery and Anchor Validation.pdf</x:v>
      </x:c>
      <x:c r="Q20" s="31" t="str">
        <x:v>RECONSTRUCTED_FROM_REPORT</x:v>
      </x:c>
      <x:c r="R20" s="43" t="str">
        <x:v>Original candidate ID and row fields reconstructed from the compact narrative PDF table; this is not the missing original structured record.</x:v>
      </x:c>
    </x:row>
    <x:row r="21" ht="30" customHeight="1">
      <x:c r="A21" s="40" t="str">
        <x:v>FT-SEED-R1-1842-C-01</x:v>
      </x:c>
      <x:c r="B21" s="19" t="str">
        <x:v>INITIAL_180</x:v>
      </x:c>
      <x:c r="C21" s="31" t="str">
        <x:v>1842-C-01</x:v>
      </x:c>
      <x:c r="D21" s="31" t="str">
        <x:v>6</x:v>
      </x:c>
      <x:c r="E21" s="19" t="str">
        <x:v>FT-A1842</x:v>
      </x:c>
      <x:c r="F21" s="31" t="str">
        <x:v>fear</x:v>
      </x:c>
      <x:c r="G21" s="19" t="str">
        <x:v>C</x:v>
      </x:c>
      <x:c r="H21" s="19" t="str">
        <x:v>NOT_ANNOTATED_IN_SOURCE</x:v>
      </x:c>
      <x:c r="I21" s="31" t="str">
        <x:v>E1842-3</x:v>
      </x:c>
      <x:c r="J21" s="19" t="str">
        <x:v>NOT_ANNOTATED_IN_SOURCE</x:v>
      </x:c>
      <x:c r="K21" s="19" t="str">
        <x:v>CONFIDENCE=Moderate;CARRY_FORWARD=Conditional</x:v>
      </x:c>
      <x:c r="L21" s="19" t="str">
        <x:v>Moderate</x:v>
      </x:c>
      <x:c r="M21" s="19" t="str">
        <x:v>Conditional</x:v>
      </x:c>
      <x:c r="N21" s="31" t="str">
        <x:v>RECONSTRUCTED_FROM_REPORT</x:v>
      </x:c>
      <x:c r="O21" s="31" t="str">
        <x:v>UNRESOLVED</x:v>
      </x:c>
      <x:c r="P21" s="19" t="str">
        <x:v>Fear of Temperature_ Historical Lexical Discovery and Anchor Validation.pdf</x:v>
      </x:c>
      <x:c r="Q21" s="31" t="str">
        <x:v>RECONSTRUCTED_FROM_REPORT</x:v>
      </x:c>
      <x:c r="R21" s="43" t="str">
        <x:v>Original candidate ID and row fields reconstructed from the compact narrative PDF table; this is not the missing original structured record.</x:v>
      </x:c>
    </x:row>
    <x:row r="22" ht="30" customHeight="1">
      <x:c r="A22" s="40" t="str">
        <x:v>FT-SEED-R1-1842-C-02</x:v>
      </x:c>
      <x:c r="B22" s="19" t="str">
        <x:v>INITIAL_180</x:v>
      </x:c>
      <x:c r="C22" s="31" t="str">
        <x:v>1842-C-02</x:v>
      </x:c>
      <x:c r="D22" s="31" t="str">
        <x:v>6</x:v>
      </x:c>
      <x:c r="E22" s="19" t="str">
        <x:v>FT-A1842</x:v>
      </x:c>
      <x:c r="F22" s="31" t="str">
        <x:v>alarm</x:v>
      </x:c>
      <x:c r="G22" s="19" t="str">
        <x:v>C</x:v>
      </x:c>
      <x:c r="H22" s="19" t="str">
        <x:v>NOT_ANNOTATED_IN_SOURCE</x:v>
      </x:c>
      <x:c r="I22" s="31" t="str">
        <x:v>E1842-1–3</x:v>
      </x:c>
      <x:c r="J22" s="19" t="str">
        <x:v>NOT_ANNOTATED_IN_SOURCE</x:v>
      </x:c>
      <x:c r="K22" s="19" t="str">
        <x:v>CONFIDENCE=Weak;CARRY_FORWARD=No</x:v>
      </x:c>
      <x:c r="L22" s="19" t="str">
        <x:v>Weak</x:v>
      </x:c>
      <x:c r="M22" s="19" t="str">
        <x:v>No</x:v>
      </x:c>
      <x:c r="N22" s="31" t="str">
        <x:v>RECONSTRUCTED_FROM_REPORT</x:v>
      </x:c>
      <x:c r="O22" s="31" t="str">
        <x:v>EXCLUDE</x:v>
      </x:c>
      <x:c r="P22" s="19" t="str">
        <x:v>Fear of Temperature_ Historical Lexical Discovery and Anchor Validation.pdf</x:v>
      </x:c>
      <x:c r="Q22" s="31" t="str">
        <x:v>RECONSTRUCTED_FROM_REPORT</x:v>
      </x:c>
      <x:c r="R22" s="43" t="str">
        <x:v>Original candidate ID and row fields reconstructed from the compact narrative PDF table; this is not the missing original structured record.</x:v>
      </x:c>
    </x:row>
    <x:row r="23" ht="30" customHeight="1">
      <x:c r="A23" s="40" t="str">
        <x:v>FT-SEED-R1-1842-C-03</x:v>
      </x:c>
      <x:c r="B23" s="19" t="str">
        <x:v>INITIAL_180</x:v>
      </x:c>
      <x:c r="C23" s="31" t="str">
        <x:v>1842-C-03</x:v>
      </x:c>
      <x:c r="D23" s="31" t="str">
        <x:v>6</x:v>
      </x:c>
      <x:c r="E23" s="19" t="str">
        <x:v>FT-A1842</x:v>
      </x:c>
      <x:c r="F23" s="31" t="str">
        <x:v>anxiety</x:v>
      </x:c>
      <x:c r="G23" s="19" t="str">
        <x:v>C</x:v>
      </x:c>
      <x:c r="H23" s="19" t="str">
        <x:v>NOT_ANNOTATED_IN_SOURCE</x:v>
      </x:c>
      <x:c r="I23" s="31" t="str">
        <x:v>E1842-1–3</x:v>
      </x:c>
      <x:c r="J23" s="19" t="str">
        <x:v>NOT_ANNOTATED_IN_SOURCE</x:v>
      </x:c>
      <x:c r="K23" s="19" t="str">
        <x:v>CONFIDENCE=Weak;CARRY_FORWARD=No</x:v>
      </x:c>
      <x:c r="L23" s="19" t="str">
        <x:v>Weak</x:v>
      </x:c>
      <x:c r="M23" s="19" t="str">
        <x:v>No</x:v>
      </x:c>
      <x:c r="N23" s="31" t="str">
        <x:v>RECONSTRUCTED_FROM_REPORT</x:v>
      </x:c>
      <x:c r="O23" s="31" t="str">
        <x:v>EXCLUDE</x:v>
      </x:c>
      <x:c r="P23" s="19" t="str">
        <x:v>Fear of Temperature_ Historical Lexical Discovery and Anchor Validation.pdf</x:v>
      </x:c>
      <x:c r="Q23" s="31" t="str">
        <x:v>RECONSTRUCTED_FROM_REPORT</x:v>
      </x:c>
      <x:c r="R23" s="43" t="str">
        <x:v>Original candidate ID and row fields reconstructed from the compact narrative PDF table; this is not the missing original structured record.</x:v>
      </x:c>
    </x:row>
    <x:row r="24" ht="30" customHeight="1">
      <x:c r="A24" s="40" t="str">
        <x:v>FT-SEED-R1-1842-C-04</x:v>
      </x:c>
      <x:c r="B24" s="19" t="str">
        <x:v>INITIAL_180</x:v>
      </x:c>
      <x:c r="C24" s="31" t="str">
        <x:v>1842-C-04</x:v>
      </x:c>
      <x:c r="D24" s="31" t="str">
        <x:v>6</x:v>
      </x:c>
      <x:c r="E24" s="19" t="str">
        <x:v>FT-A1842</x:v>
      </x:c>
      <x:c r="F24" s="31" t="str">
        <x:v>apprehension</x:v>
      </x:c>
      <x:c r="G24" s="19" t="str">
        <x:v>C</x:v>
      </x:c>
      <x:c r="H24" s="19" t="str">
        <x:v>NOT_ANNOTATED_IN_SOURCE</x:v>
      </x:c>
      <x:c r="I24" s="31" t="str">
        <x:v>E1842-1–3</x:v>
      </x:c>
      <x:c r="J24" s="19" t="str">
        <x:v>NOT_ANNOTATED_IN_SOURCE</x:v>
      </x:c>
      <x:c r="K24" s="19" t="str">
        <x:v>CONFIDENCE=Weak;CARRY_FORWARD=No</x:v>
      </x:c>
      <x:c r="L24" s="19" t="str">
        <x:v>Weak</x:v>
      </x:c>
      <x:c r="M24" s="19" t="str">
        <x:v>No</x:v>
      </x:c>
      <x:c r="N24" s="31" t="str">
        <x:v>RECONSTRUCTED_FROM_REPORT</x:v>
      </x:c>
      <x:c r="O24" s="31" t="str">
        <x:v>EXCLUDE</x:v>
      </x:c>
      <x:c r="P24" s="19" t="str">
        <x:v>Fear of Temperature_ Historical Lexical Discovery and Anchor Validation.pdf</x:v>
      </x:c>
      <x:c r="Q24" s="31" t="str">
        <x:v>RECONSTRUCTED_FROM_REPORT</x:v>
      </x:c>
      <x:c r="R24" s="43" t="str">
        <x:v>Original candidate ID and row fields reconstructed from the compact narrative PDF table; this is not the missing original structured record.</x:v>
      </x:c>
    </x:row>
    <x:row r="25" ht="30" customHeight="1">
      <x:c r="A25" s="40" t="str">
        <x:v>FT-SEED-R1-1842-C-05</x:v>
      </x:c>
      <x:c r="B25" s="19" t="str">
        <x:v>INITIAL_180</x:v>
      </x:c>
      <x:c r="C25" s="31" t="str">
        <x:v>1842-C-05</x:v>
      </x:c>
      <x:c r="D25" s="31" t="str">
        <x:v>6</x:v>
      </x:c>
      <x:c r="E25" s="19" t="str">
        <x:v>FT-A1842</x:v>
      </x:c>
      <x:c r="F25" s="31" t="str">
        <x:v>dread</x:v>
      </x:c>
      <x:c r="G25" s="19" t="str">
        <x:v>C</x:v>
      </x:c>
      <x:c r="H25" s="19" t="str">
        <x:v>NOT_ANNOTATED_IN_SOURCE</x:v>
      </x:c>
      <x:c r="I25" s="31" t="str">
        <x:v>E1842-1–3</x:v>
      </x:c>
      <x:c r="J25" s="19" t="str">
        <x:v>NOT_ANNOTATED_IN_SOURCE</x:v>
      </x:c>
      <x:c r="K25" s="19" t="str">
        <x:v>CONFIDENCE=Weak;CARRY_FORWARD=No</x:v>
      </x:c>
      <x:c r="L25" s="19" t="str">
        <x:v>Weak</x:v>
      </x:c>
      <x:c r="M25" s="19" t="str">
        <x:v>No</x:v>
      </x:c>
      <x:c r="N25" s="31" t="str">
        <x:v>RECONSTRUCTED_FROM_REPORT</x:v>
      </x:c>
      <x:c r="O25" s="31" t="str">
        <x:v>EXCLUDE</x:v>
      </x:c>
      <x:c r="P25" s="19" t="str">
        <x:v>Fear of Temperature_ Historical Lexical Discovery and Anchor Validation.pdf</x:v>
      </x:c>
      <x:c r="Q25" s="31" t="str">
        <x:v>RECONSTRUCTED_FROM_REPORT</x:v>
      </x:c>
      <x:c r="R25" s="43" t="str">
        <x:v>Original candidate ID and row fields reconstructed from the compact narrative PDF table; this is not the missing original structured record.</x:v>
      </x:c>
    </x:row>
    <x:row r="26" ht="30" customHeight="1">
      <x:c r="A26" s="40" t="str">
        <x:v>FT-SEED-R1-1842-C-06</x:v>
      </x:c>
      <x:c r="B26" s="19" t="str">
        <x:v>INITIAL_180</x:v>
      </x:c>
      <x:c r="C26" s="31" t="str">
        <x:v>1842-C-06</x:v>
      </x:c>
      <x:c r="D26" s="31" t="str">
        <x:v>7</x:v>
      </x:c>
      <x:c r="E26" s="19" t="str">
        <x:v>FT-A1842</x:v>
      </x:c>
      <x:c r="F26" s="31" t="str">
        <x:v>distress</x:v>
      </x:c>
      <x:c r="G26" s="19" t="str">
        <x:v>C</x:v>
      </x:c>
      <x:c r="H26" s="19" t="str">
        <x:v>NOT_ANNOTATED_IN_SOURCE</x:v>
      </x:c>
      <x:c r="I26" s="31" t="str">
        <x:v>E1842-3</x:v>
      </x:c>
      <x:c r="J26" s="19" t="str">
        <x:v>NOT_ANNOTATED_IN_SOURCE</x:v>
      </x:c>
      <x:c r="K26" s="19" t="str">
        <x:v>CONFIDENCE=Weak;CARRY_FORWARD=No</x:v>
      </x:c>
      <x:c r="L26" s="19" t="str">
        <x:v>Weak</x:v>
      </x:c>
      <x:c r="M26" s="19" t="str">
        <x:v>No</x:v>
      </x:c>
      <x:c r="N26" s="31" t="str">
        <x:v>RECONSTRUCTED_FROM_REPORT</x:v>
      </x:c>
      <x:c r="O26" s="31" t="str">
        <x:v>EXCLUDE</x:v>
      </x:c>
      <x:c r="P26" s="19" t="str">
        <x:v>Fear of Temperature_ Historical Lexical Discovery and Anchor Validation.pdf</x:v>
      </x:c>
      <x:c r="Q26" s="31" t="str">
        <x:v>RECONSTRUCTED_FROM_REPORT</x:v>
      </x:c>
      <x:c r="R26" s="43" t="str">
        <x:v>Original candidate ID and row fields reconstructed from the compact narrative PDF table; this is not the missing original structured record.</x:v>
      </x:c>
    </x:row>
    <x:row r="27" ht="30" customHeight="1">
      <x:c r="A27" s="40" t="str">
        <x:v>FT-SEED-R1-1842-C-07</x:v>
      </x:c>
      <x:c r="B27" s="19" t="str">
        <x:v>INITIAL_180</x:v>
      </x:c>
      <x:c r="C27" s="31" t="str">
        <x:v>1842-C-07</x:v>
      </x:c>
      <x:c r="D27" s="31" t="str">
        <x:v>7</x:v>
      </x:c>
      <x:c r="E27" s="19" t="str">
        <x:v>FT-A1842</x:v>
      </x:c>
      <x:c r="F27" s="31" t="str">
        <x:v>relief</x:v>
      </x:c>
      <x:c r="G27" s="19" t="str">
        <x:v>C</x:v>
      </x:c>
      <x:c r="H27" s="19" t="str">
        <x:v>NOT_ANNOTATED_IN_SOURCE</x:v>
      </x:c>
      <x:c r="I27" s="31" t="str">
        <x:v>E1842-3,4</x:v>
      </x:c>
      <x:c r="J27" s="19" t="str">
        <x:v>NOT_ANNOTATED_IN_SOURCE</x:v>
      </x:c>
      <x:c r="K27" s="19" t="str">
        <x:v>CONFIDENCE=Weak;CARRY_FORWARD=Conditional</x:v>
      </x:c>
      <x:c r="L27" s="19" t="str">
        <x:v>Weak</x:v>
      </x:c>
      <x:c r="M27" s="19" t="str">
        <x:v>Conditional</x:v>
      </x:c>
      <x:c r="N27" s="31" t="str">
        <x:v>RECONSTRUCTED_FROM_REPORT</x:v>
      </x:c>
      <x:c r="O27" s="31" t="str">
        <x:v>UNRESOLVED</x:v>
      </x:c>
      <x:c r="P27" s="19" t="str">
        <x:v>Fear of Temperature_ Historical Lexical Discovery and Anchor Validation.pdf</x:v>
      </x:c>
      <x:c r="Q27" s="31" t="str">
        <x:v>RECONSTRUCTED_FROM_REPORT</x:v>
      </x:c>
      <x:c r="R27" s="43" t="str">
        <x:v>Original candidate ID and row fields reconstructed from the compact narrative PDF table; this is not the missing original structured record.</x:v>
      </x:c>
    </x:row>
    <x:row r="28" ht="30" customHeight="1">
      <x:c r="A28" s="40" t="str">
        <x:v>FT-SEED-R1-1842-D-01</x:v>
      </x:c>
      <x:c r="B28" s="19" t="str">
        <x:v>INITIAL_180</x:v>
      </x:c>
      <x:c r="C28" s="31" t="str">
        <x:v>1842-D-01</x:v>
      </x:c>
      <x:c r="D28" s="31" t="str">
        <x:v>7</x:v>
      </x:c>
      <x:c r="E28" s="19" t="str">
        <x:v>FT-A1842</x:v>
      </x:c>
      <x:c r="F28" s="31" t="str">
        <x:v>danger</x:v>
      </x:c>
      <x:c r="G28" s="19" t="str">
        <x:v>D</x:v>
      </x:c>
      <x:c r="H28" s="19" t="str">
        <x:v>NOT_ANNOTATED_IN_SOURCE</x:v>
      </x:c>
      <x:c r="I28" s="31" t="str">
        <x:v>E1842-1–4</x:v>
      </x:c>
      <x:c r="J28" s="19" t="str">
        <x:v>NOT_ANNOTATED_IN_SOURCE</x:v>
      </x:c>
      <x:c r="K28" s="19" t="str">
        <x:v>CONFIDENCE=Weak;CARRY_FORWARD=No</x:v>
      </x:c>
      <x:c r="L28" s="19" t="str">
        <x:v>Weak</x:v>
      </x:c>
      <x:c r="M28" s="19" t="str">
        <x:v>No</x:v>
      </x:c>
      <x:c r="N28" s="31" t="str">
        <x:v>RECONSTRUCTED_FROM_REPORT</x:v>
      </x:c>
      <x:c r="O28" s="31" t="str">
        <x:v>EXCLUDE</x:v>
      </x:c>
      <x:c r="P28" s="19" t="str">
        <x:v>Fear of Temperature_ Historical Lexical Discovery and Anchor Validation.pdf</x:v>
      </x:c>
      <x:c r="Q28" s="31" t="str">
        <x:v>RECONSTRUCTED_FROM_REPORT</x:v>
      </x:c>
      <x:c r="R28" s="43" t="str">
        <x:v>Original candidate ID and row fields reconstructed from the compact narrative PDF table; this is not the missing original structured record.</x:v>
      </x:c>
    </x:row>
    <x:row r="29" ht="30" customHeight="1">
      <x:c r="A29" s="40" t="str">
        <x:v>FT-SEED-R1-1842-D-02</x:v>
      </x:c>
      <x:c r="B29" s="19" t="str">
        <x:v>INITIAL_180</x:v>
      </x:c>
      <x:c r="C29" s="31" t="str">
        <x:v>1842-D-02</x:v>
      </x:c>
      <x:c r="D29" s="31" t="str">
        <x:v>7</x:v>
      </x:c>
      <x:c r="E29" s="19" t="str">
        <x:v>FT-A1842</x:v>
      </x:c>
      <x:c r="F29" s="31" t="str">
        <x:v>serious importance</x:v>
      </x:c>
      <x:c r="G29" s="19" t="str">
        <x:v>D</x:v>
      </x:c>
      <x:c r="H29" s="19" t="str">
        <x:v>NOT_ANNOTATED_IN_SOURCE</x:v>
      </x:c>
      <x:c r="I29" s="31" t="str">
        <x:v>E1842-3</x:v>
      </x:c>
      <x:c r="J29" s="19" t="str">
        <x:v>NOT_ANNOTATED_IN_SOURCE</x:v>
      </x:c>
      <x:c r="K29" s="19" t="str">
        <x:v>CONFIDENCE=Strong;CARRY_FORWARD=Conditional</x:v>
      </x:c>
      <x:c r="L29" s="19" t="str">
        <x:v>Strong</x:v>
      </x:c>
      <x:c r="M29" s="19" t="str">
        <x:v>Conditional</x:v>
      </x:c>
      <x:c r="N29" s="31" t="str">
        <x:v>RECONSTRUCTED_FROM_REPORT</x:v>
      </x:c>
      <x:c r="O29" s="31" t="str">
        <x:v>UNRESOLVED</x:v>
      </x:c>
      <x:c r="P29" s="19" t="str">
        <x:v>Fear of Temperature_ Historical Lexical Discovery and Anchor Validation.pdf</x:v>
      </x:c>
      <x:c r="Q29" s="31" t="str">
        <x:v>RECONSTRUCTED_FROM_REPORT</x:v>
      </x:c>
      <x:c r="R29" s="43" t="str">
        <x:v>Original candidate ID and row fields reconstructed from the compact narrative PDF table; this is not the missing original structured record.</x:v>
      </x:c>
    </x:row>
    <x:row r="30" ht="30" customHeight="1">
      <x:c r="A30" s="40" t="str">
        <x:v>FT-SEED-R1-1842-D-03</x:v>
      </x:c>
      <x:c r="B30" s="19" t="str">
        <x:v>INITIAL_180</x:v>
      </x:c>
      <x:c r="C30" s="31" t="str">
        <x:v>1842-D-03</x:v>
      </x:c>
      <x:c r="D30" s="31" t="str">
        <x:v>7</x:v>
      </x:c>
      <x:c r="E30" s="19" t="str">
        <x:v>FT-A1842</x:v>
      </x:c>
      <x:c r="F30" s="31" t="str">
        <x:v>illness</x:v>
      </x:c>
      <x:c r="G30" s="19" t="str">
        <x:v>D</x:v>
      </x:c>
      <x:c r="H30" s="19" t="str">
        <x:v>NOT_ANNOTATED_IN_SOURCE</x:v>
      </x:c>
      <x:c r="I30" s="31" t="str">
        <x:v>E1842-4</x:v>
      </x:c>
      <x:c r="J30" s="19" t="str">
        <x:v>NOT_ANNOTATED_IN_SOURCE</x:v>
      </x:c>
      <x:c r="K30" s="19" t="str">
        <x:v>CONFIDENCE=Moderate;CARRY_FORWARD=Conditional</x:v>
      </x:c>
      <x:c r="L30" s="19" t="str">
        <x:v>Moderate</x:v>
      </x:c>
      <x:c r="M30" s="19" t="str">
        <x:v>Conditional</x:v>
      </x:c>
      <x:c r="N30" s="31" t="str">
        <x:v>RECONSTRUCTED_FROM_REPORT</x:v>
      </x:c>
      <x:c r="O30" s="31" t="str">
        <x:v>UNRESOLVED</x:v>
      </x:c>
      <x:c r="P30" s="19" t="str">
        <x:v>Fear of Temperature_ Historical Lexical Discovery and Anchor Validation.pdf</x:v>
      </x:c>
      <x:c r="Q30" s="31" t="str">
        <x:v>RECONSTRUCTED_FROM_REPORT</x:v>
      </x:c>
      <x:c r="R30" s="43" t="str">
        <x:v>Original candidate ID and row fields reconstructed from the compact narrative PDF table; this is not the missing original structured record.</x:v>
      </x:c>
    </x:row>
    <x:row r="31" ht="30" customHeight="1">
      <x:c r="A31" s="40" t="str">
        <x:v>FT-SEED-R1-1842-D-04</x:v>
      </x:c>
      <x:c r="B31" s="19" t="str">
        <x:v>INITIAL_180</x:v>
      </x:c>
      <x:c r="C31" s="31" t="str">
        <x:v>1842-D-04</x:v>
      </x:c>
      <x:c r="D31" s="31" t="str">
        <x:v>7</x:v>
      </x:c>
      <x:c r="E31" s="19" t="str">
        <x:v>FT-A1842</x:v>
      </x:c>
      <x:c r="F31" s="31" t="str">
        <x:v>death</x:v>
      </x:c>
      <x:c r="G31" s="19" t="str">
        <x:v>D</x:v>
      </x:c>
      <x:c r="H31" s="19" t="str">
        <x:v>NOT_ANNOTATED_IN_SOURCE</x:v>
      </x:c>
      <x:c r="I31" s="31" t="str">
        <x:v>E1842-3</x:v>
      </x:c>
      <x:c r="J31" s="19" t="str">
        <x:v>NOT_ANNOTATED_IN_SOURCE</x:v>
      </x:c>
      <x:c r="K31" s="19" t="str">
        <x:v>CONFIDENCE=Strong;CARRY_FORWARD=Yes</x:v>
      </x:c>
      <x:c r="L31" s="19" t="str">
        <x:v>Strong</x:v>
      </x:c>
      <x:c r="M31" s="19" t="str">
        <x:v>Yes</x:v>
      </x:c>
      <x:c r="N31" s="31" t="str">
        <x:v>RECONSTRUCTED_FROM_REPORT</x:v>
      </x:c>
      <x:c r="O31" s="31" t="str">
        <x:v>RETAIN</x:v>
      </x:c>
      <x:c r="P31" s="19" t="str">
        <x:v>Fear of Temperature_ Historical Lexical Discovery and Anchor Validation.pdf</x:v>
      </x:c>
      <x:c r="Q31" s="31" t="str">
        <x:v>RECONSTRUCTED_FROM_REPORT</x:v>
      </x:c>
      <x:c r="R31" s="43" t="str">
        <x:v>Original candidate ID and row fields reconstructed from the compact narrative PDF table; this is not the missing original structured record.</x:v>
      </x:c>
    </x:row>
    <x:row r="32" ht="30" customHeight="1">
      <x:c r="A32" s="40" t="str">
        <x:v>FT-SEED-R1-1842-D-05</x:v>
      </x:c>
      <x:c r="B32" s="19" t="str">
        <x:v>INITIAL_180</x:v>
      </x:c>
      <x:c r="C32" s="31" t="str">
        <x:v>1842-D-05</x:v>
      </x:c>
      <x:c r="D32" s="31" t="str">
        <x:v>8</x:v>
      </x:c>
      <x:c r="E32" s="19" t="str">
        <x:v>FT-A1842</x:v>
      </x:c>
      <x:c r="F32" s="31" t="str">
        <x:v>loss</x:v>
      </x:c>
      <x:c r="G32" s="19" t="str">
        <x:v>D</x:v>
      </x:c>
      <x:c r="H32" s="19" t="str">
        <x:v>NOT_ANNOTATED_IN_SOURCE</x:v>
      </x:c>
      <x:c r="I32" s="31" t="str">
        <x:v>E1842-3</x:v>
      </x:c>
      <x:c r="J32" s="19" t="str">
        <x:v>NOT_ANNOTATED_IN_SOURCE</x:v>
      </x:c>
      <x:c r="K32" s="19" t="str">
        <x:v>CONFIDENCE=Strong;CARRY_FORWARD=Conditional</x:v>
      </x:c>
      <x:c r="L32" s="19" t="str">
        <x:v>Strong</x:v>
      </x:c>
      <x:c r="M32" s="19" t="str">
        <x:v>Conditional</x:v>
      </x:c>
      <x:c r="N32" s="31" t="str">
        <x:v>RECONSTRUCTED_FROM_REPORT</x:v>
      </x:c>
      <x:c r="O32" s="31" t="str">
        <x:v>UNRESOLVED</x:v>
      </x:c>
      <x:c r="P32" s="19" t="str">
        <x:v>Fear of Temperature_ Historical Lexical Discovery and Anchor Validation.pdf</x:v>
      </x:c>
      <x:c r="Q32" s="31" t="str">
        <x:v>RECONSTRUCTED_FROM_REPORT</x:v>
      </x:c>
      <x:c r="R32" s="43" t="str">
        <x:v>Original candidate ID and row fields reconstructed from the compact narrative PDF table; this is not the missing original structured record.</x:v>
      </x:c>
    </x:row>
    <x:row r="33" ht="30" customHeight="1">
      <x:c r="A33" s="40" t="str">
        <x:v>FT-SEED-R1-1842-D-06</x:v>
      </x:c>
      <x:c r="B33" s="19" t="str">
        <x:v>INITIAL_180</x:v>
      </x:c>
      <x:c r="C33" s="31" t="str">
        <x:v>1842-D-06</x:v>
      </x:c>
      <x:c r="D33" s="31" t="str">
        <x:v>8</x:v>
      </x:c>
      <x:c r="E33" s="19" t="str">
        <x:v>FT-A1842</x:v>
      </x:c>
      <x:c r="F33" s="31" t="str">
        <x:v>damage</x:v>
      </x:c>
      <x:c r="G33" s="19" t="str">
        <x:v>D</x:v>
      </x:c>
      <x:c r="H33" s="19" t="str">
        <x:v>NOT_ANNOTATED_IN_SOURCE</x:v>
      </x:c>
      <x:c r="I33" s="31" t="str">
        <x:v>E1842-3</x:v>
      </x:c>
      <x:c r="J33" s="19" t="str">
        <x:v>NOT_ANNOTATED_IN_SOURCE</x:v>
      </x:c>
      <x:c r="K33" s="19" t="str">
        <x:v>CONFIDENCE=Strong;CARRY_FORWARD=Conditional</x:v>
      </x:c>
      <x:c r="L33" s="19" t="str">
        <x:v>Strong</x:v>
      </x:c>
      <x:c r="M33" s="19" t="str">
        <x:v>Conditional</x:v>
      </x:c>
      <x:c r="N33" s="31" t="str">
        <x:v>RECONSTRUCTED_FROM_REPORT</x:v>
      </x:c>
      <x:c r="O33" s="31" t="str">
        <x:v>UNRESOLVED</x:v>
      </x:c>
      <x:c r="P33" s="19" t="str">
        <x:v>Fear of Temperature_ Historical Lexical Discovery and Anchor Validation.pdf</x:v>
      </x:c>
      <x:c r="Q33" s="31" t="str">
        <x:v>RECONSTRUCTED_FROM_REPORT</x:v>
      </x:c>
      <x:c r="R33" s="43" t="str">
        <x:v>Original candidate ID and row fields reconstructed from the compact narrative PDF table; this is not the missing original structured record.</x:v>
      </x:c>
    </x:row>
    <x:row r="34" ht="30" customHeight="1">
      <x:c r="A34" s="40" t="str">
        <x:v>FT-SEED-R1-1842-D-07</x:v>
      </x:c>
      <x:c r="B34" s="19" t="str">
        <x:v>INITIAL_180</x:v>
      </x:c>
      <x:c r="C34" s="31" t="str">
        <x:v>1842-D-07</x:v>
      </x:c>
      <x:c r="D34" s="31" t="str">
        <x:v>8</x:v>
      </x:c>
      <x:c r="E34" s="19" t="str">
        <x:v>FT-A1842</x:v>
      </x:c>
      <x:c r="F34" s="31" t="str">
        <x:v>heat … caused the death</x:v>
      </x:c>
      <x:c r="G34" s="19" t="str">
        <x:v>D</x:v>
      </x:c>
      <x:c r="H34" s="19" t="str">
        <x:v>NOT_ANNOTATED_IN_SOURCE</x:v>
      </x:c>
      <x:c r="I34" s="31" t="str">
        <x:v>E1842-3</x:v>
      </x:c>
      <x:c r="J34" s="19" t="str">
        <x:v>NOT_ANNOTATED_IN_SOURCE</x:v>
      </x:c>
      <x:c r="K34" s="19" t="str">
        <x:v>CONFIDENCE=Strong;CARRY_FORWARD=Yes</x:v>
      </x:c>
      <x:c r="L34" s="19" t="str">
        <x:v>Strong</x:v>
      </x:c>
      <x:c r="M34" s="19" t="str">
        <x:v>Yes</x:v>
      </x:c>
      <x:c r="N34" s="31" t="str">
        <x:v>RECONSTRUCTED_FROM_REPORT</x:v>
      </x:c>
      <x:c r="O34" s="31" t="str">
        <x:v>RETAIN</x:v>
      </x:c>
      <x:c r="P34" s="19" t="str">
        <x:v>Fear of Temperature_ Historical Lexical Discovery and Anchor Validation.pdf</x:v>
      </x:c>
      <x:c r="Q34" s="31" t="str">
        <x:v>RECONSTRUCTED_FROM_REPORT</x:v>
      </x:c>
      <x:c r="R34" s="43" t="str">
        <x:v>Original candidate ID and row fields reconstructed from the compact narrative PDF table; this is not the missing original structured record.</x:v>
      </x:c>
    </x:row>
    <x:row r="35" ht="30" customHeight="1">
      <x:c r="A35" s="40" t="str">
        <x:v>FT-SEED-R1-1938-A-01</x:v>
      </x:c>
      <x:c r="B35" s="19" t="str">
        <x:v>INITIAL_180</x:v>
      </x:c>
      <x:c r="C35" s="31" t="str">
        <x:v>1938-A-01</x:v>
      </x:c>
      <x:c r="D35" s="31" t="str">
        <x:v>9</x:v>
      </x:c>
      <x:c r="E35" s="19" t="str">
        <x:v>FT-A1938</x:v>
      </x:c>
      <x:c r="F35" s="31" t="str">
        <x:v>temperature</x:v>
      </x:c>
      <x:c r="G35" s="19" t="str">
        <x:v>A</x:v>
      </x:c>
      <x:c r="H35" s="19" t="str">
        <x:v>NOT_ANNOTATED_IN_SOURCE</x:v>
      </x:c>
      <x:c r="I35" s="31" t="str">
        <x:v>E38-1,2</x:v>
      </x:c>
      <x:c r="J35" s="19" t="str">
        <x:v>NOT_ANNOTATED_IN_SOURCE</x:v>
      </x:c>
      <x:c r="K35" s="19" t="str">
        <x:v>CONFIDENCE=Strong;CARRY_FORWARD=Yes</x:v>
      </x:c>
      <x:c r="L35" s="19" t="str">
        <x:v>Strong</x:v>
      </x:c>
      <x:c r="M35" s="19" t="str">
        <x:v>Yes</x:v>
      </x:c>
      <x:c r="N35" s="31" t="str">
        <x:v>RECONSTRUCTED_FROM_REPORT</x:v>
      </x:c>
      <x:c r="O35" s="31" t="str">
        <x:v>RETAIN</x:v>
      </x:c>
      <x:c r="P35" s="19" t="str">
        <x:v>Fear of Temperature_ Historical Lexical Discovery and Anchor Validation.pdf</x:v>
      </x:c>
      <x:c r="Q35" s="31" t="str">
        <x:v>RECONSTRUCTED_FROM_REPORT</x:v>
      </x:c>
      <x:c r="R35" s="43" t="str">
        <x:v>Original candidate ID and row fields reconstructed from the compact narrative PDF table; this is not the missing original structured record.</x:v>
      </x:c>
    </x:row>
    <x:row r="36" ht="30" customHeight="1">
      <x:c r="A36" s="40" t="str">
        <x:v>FT-SEED-R1-1938-A-02</x:v>
      </x:c>
      <x:c r="B36" s="19" t="str">
        <x:v>INITIAL_180</x:v>
      </x:c>
      <x:c r="C36" s="31" t="str">
        <x:v>1938-A-02</x:v>
      </x:c>
      <x:c r="D36" s="31" t="str">
        <x:v>9</x:v>
      </x:c>
      <x:c r="E36" s="19" t="str">
        <x:v>FT-A1938</x:v>
      </x:c>
      <x:c r="F36" s="31" t="str">
        <x:v>mean temperature</x:v>
      </x:c>
      <x:c r="G36" s="19" t="str">
        <x:v>A</x:v>
      </x:c>
      <x:c r="H36" s="19" t="str">
        <x:v>NOT_ANNOTATED_IN_SOURCE</x:v>
      </x:c>
      <x:c r="I36" s="31" t="str">
        <x:v>E38-1</x:v>
      </x:c>
      <x:c r="J36" s="19" t="str">
        <x:v>NOT_ANNOTATED_IN_SOURCE</x:v>
      </x:c>
      <x:c r="K36" s="19" t="str">
        <x:v>CONFIDENCE=Strong;CARRY_FORWARD=Yes</x:v>
      </x:c>
      <x:c r="L36" s="19" t="str">
        <x:v>Strong</x:v>
      </x:c>
      <x:c r="M36" s="19" t="str">
        <x:v>Yes</x:v>
      </x:c>
      <x:c r="N36" s="31" t="str">
        <x:v>RECONSTRUCTED_FROM_REPORT</x:v>
      </x:c>
      <x:c r="O36" s="31" t="str">
        <x:v>RETAIN</x:v>
      </x:c>
      <x:c r="P36" s="19" t="str">
        <x:v>Fear of Temperature_ Historical Lexical Discovery and Anchor Validation.pdf</x:v>
      </x:c>
      <x:c r="Q36" s="31" t="str">
        <x:v>RECONSTRUCTED_FROM_REPORT</x:v>
      </x:c>
      <x:c r="R36" s="43" t="str">
        <x:v>Original candidate ID and row fields reconstructed from the compact narrative PDF table; this is not the missing original structured record.</x:v>
      </x:c>
    </x:row>
    <x:row r="37" ht="30" customHeight="1">
      <x:c r="A37" s="40" t="str">
        <x:v>FT-SEED-R1-1938-A-03</x:v>
      </x:c>
      <x:c r="B37" s="19" t="str">
        <x:v>INITIAL_180</x:v>
      </x:c>
      <x:c r="C37" s="31" t="str">
        <x:v>1938-A-03</x:v>
      </x:c>
      <x:c r="D37" s="31" t="str">
        <x:v>9</x:v>
      </x:c>
      <x:c r="E37" s="19" t="str">
        <x:v>FT-A1938</x:v>
      </x:c>
      <x:c r="F37" s="31" t="str">
        <x:v>world temperatures</x:v>
      </x:c>
      <x:c r="G37" s="19" t="str">
        <x:v>A</x:v>
      </x:c>
      <x:c r="H37" s="19" t="str">
        <x:v>NOT_ANNOTATED_IN_SOURCE</x:v>
      </x:c>
      <x:c r="I37" s="31" t="str">
        <x:v>E38-1</x:v>
      </x:c>
      <x:c r="J37" s="19" t="str">
        <x:v>NOT_ANNOTATED_IN_SOURCE</x:v>
      </x:c>
      <x:c r="K37" s="19" t="str">
        <x:v>CONFIDENCE=Strong;CARRY_FORWARD=Yes</x:v>
      </x:c>
      <x:c r="L37" s="19" t="str">
        <x:v>Strong</x:v>
      </x:c>
      <x:c r="M37" s="19" t="str">
        <x:v>Yes</x:v>
      </x:c>
      <x:c r="N37" s="31" t="str">
        <x:v>RECONSTRUCTED_FROM_REPORT</x:v>
      </x:c>
      <x:c r="O37" s="31" t="str">
        <x:v>RETAIN</x:v>
      </x:c>
      <x:c r="P37" s="19" t="str">
        <x:v>Fear of Temperature_ Historical Lexical Discovery and Anchor Validation.pdf</x:v>
      </x:c>
      <x:c r="Q37" s="31" t="str">
        <x:v>RECONSTRUCTED_FROM_REPORT</x:v>
      </x:c>
      <x:c r="R37" s="43" t="str">
        <x:v>Original candidate ID and row fields reconstructed from the compact narrative PDF table; this is not the missing original structured record.</x:v>
      </x:c>
    </x:row>
    <x:row r="38" ht="30" customHeight="1">
      <x:c r="A38" s="40" t="str">
        <x:v>FT-SEED-R1-1938-A-04</x:v>
      </x:c>
      <x:c r="B38" s="19" t="str">
        <x:v>INITIAL_180</x:v>
      </x:c>
      <x:c r="C38" s="31" t="str">
        <x:v>1938-A-04</x:v>
      </x:c>
      <x:c r="D38" s="31" t="str">
        <x:v>9</x:v>
      </x:c>
      <x:c r="E38" s="19" t="str">
        <x:v>FT-A1938</x:v>
      </x:c>
      <x:c r="F38" s="31" t="str">
        <x:v>temperature increase</x:v>
      </x:c>
      <x:c r="G38" s="19" t="str">
        <x:v>A</x:v>
      </x:c>
      <x:c r="H38" s="19" t="str">
        <x:v>NOT_ANNOTATED_IN_SOURCE</x:v>
      </x:c>
      <x:c r="I38" s="31" t="str">
        <x:v>E38-1</x:v>
      </x:c>
      <x:c r="J38" s="19" t="str">
        <x:v>NOT_ANNOTATED_IN_SOURCE</x:v>
      </x:c>
      <x:c r="K38" s="19" t="str">
        <x:v>CONFIDENCE=Strong;CARRY_FORWARD=Yes</x:v>
      </x:c>
      <x:c r="L38" s="19" t="str">
        <x:v>Strong</x:v>
      </x:c>
      <x:c r="M38" s="19" t="str">
        <x:v>Yes</x:v>
      </x:c>
      <x:c r="N38" s="31" t="str">
        <x:v>RECONSTRUCTED_FROM_REPORT</x:v>
      </x:c>
      <x:c r="O38" s="31" t="str">
        <x:v>RETAIN</x:v>
      </x:c>
      <x:c r="P38" s="19" t="str">
        <x:v>Fear of Temperature_ Historical Lexical Discovery and Anchor Validation.pdf</x:v>
      </x:c>
      <x:c r="Q38" s="31" t="str">
        <x:v>RECONSTRUCTED_FROM_REPORT</x:v>
      </x:c>
      <x:c r="R38" s="43" t="str">
        <x:v>Original candidate ID and row fields reconstructed from the compact narrative PDF table; this is not the missing original structured record.</x:v>
      </x:c>
    </x:row>
    <x:row r="39" ht="30" customHeight="1">
      <x:c r="A39" s="40" t="str">
        <x:v>FT-SEED-R1-1938-A-05</x:v>
      </x:c>
      <x:c r="B39" s="19" t="str">
        <x:v>INITIAL_180</x:v>
      </x:c>
      <x:c r="C39" s="31" t="str">
        <x:v>1938-A-05</x:v>
      </x:c>
      <x:c r="D39" s="31" t="str">
        <x:v>9</x:v>
      </x:c>
      <x:c r="E39" s="19" t="str">
        <x:v>FT-A1938</x:v>
      </x:c>
      <x:c r="F39" s="31" t="str">
        <x:v>rise in temperature</x:v>
      </x:c>
      <x:c r="G39" s="19" t="str">
        <x:v>A</x:v>
      </x:c>
      <x:c r="H39" s="19" t="str">
        <x:v>NOT_ANNOTATED_IN_SOURCE</x:v>
      </x:c>
      <x:c r="I39" s="31" t="str">
        <x:v>E38-2</x:v>
      </x:c>
      <x:c r="J39" s="19" t="str">
        <x:v>NOT_ANNOTATED_IN_SOURCE</x:v>
      </x:c>
      <x:c r="K39" s="19" t="str">
        <x:v>CONFIDENCE=Strong;CARRY_FORWARD=Yes</x:v>
      </x:c>
      <x:c r="L39" s="19" t="str">
        <x:v>Strong</x:v>
      </x:c>
      <x:c r="M39" s="19" t="str">
        <x:v>Yes</x:v>
      </x:c>
      <x:c r="N39" s="31" t="str">
        <x:v>RECONSTRUCTED_FROM_REPORT</x:v>
      </x:c>
      <x:c r="O39" s="31" t="str">
        <x:v>RETAIN</x:v>
      </x:c>
      <x:c r="P39" s="19" t="str">
        <x:v>Fear of Temperature_ Historical Lexical Discovery and Anchor Validation.pdf</x:v>
      </x:c>
      <x:c r="Q39" s="31" t="str">
        <x:v>RECONSTRUCTED_FROM_REPORT</x:v>
      </x:c>
      <x:c r="R39" s="43" t="str">
        <x:v>Original candidate ID and row fields reconstructed from the compact narrative PDF table; this is not the missing original structured record.</x:v>
      </x:c>
    </x:row>
    <x:row r="40" ht="30" customHeight="1">
      <x:c r="A40" s="40" t="str">
        <x:v>FT-SEED-R1-1938-A-06</x:v>
      </x:c>
      <x:c r="B40" s="19" t="str">
        <x:v>INITIAL_180</x:v>
      </x:c>
      <x:c r="C40" s="31" t="str">
        <x:v>1938-A-06</x:v>
      </x:c>
      <x:c r="D40" s="31" t="str">
        <x:v>9</x:v>
      </x:c>
      <x:c r="E40" s="19" t="str">
        <x:v>FT-A1938</x:v>
      </x:c>
      <x:c r="F40" s="31" t="str">
        <x:v>surface temperatures</x:v>
      </x:c>
      <x:c r="G40" s="19" t="str">
        <x:v>A</x:v>
      </x:c>
      <x:c r="H40" s="19" t="str">
        <x:v>NOT_ANNOTATED_IN_SOURCE</x:v>
      </x:c>
      <x:c r="I40" s="31" t="str">
        <x:v>E38-2</x:v>
      </x:c>
      <x:c r="J40" s="19" t="str">
        <x:v>NOT_ANNOTATED_IN_SOURCE</x:v>
      </x:c>
      <x:c r="K40" s="19" t="str">
        <x:v>CONFIDENCE=Strong;CARRY_FORWARD=Yes</x:v>
      </x:c>
      <x:c r="L40" s="19" t="str">
        <x:v>Strong</x:v>
      </x:c>
      <x:c r="M40" s="19" t="str">
        <x:v>Yes</x:v>
      </x:c>
      <x:c r="N40" s="31" t="str">
        <x:v>RECONSTRUCTED_FROM_REPORT</x:v>
      </x:c>
      <x:c r="O40" s="31" t="str">
        <x:v>RETAIN</x:v>
      </x:c>
      <x:c r="P40" s="19" t="str">
        <x:v>Fear of Temperature_ Historical Lexical Discovery and Anchor Validation.pdf</x:v>
      </x:c>
      <x:c r="Q40" s="31" t="str">
        <x:v>RECONSTRUCTED_FROM_REPORT</x:v>
      </x:c>
      <x:c r="R40" s="43" t="str">
        <x:v>Original candidate ID and row fields reconstructed from the compact narrative PDF table; this is not the missing original structured record.</x:v>
      </x:c>
    </x:row>
    <x:row r="41" ht="30" customHeight="1">
      <x:c r="A41" s="40" t="str">
        <x:v>FT-SEED-R1-1938-A-07</x:v>
      </x:c>
      <x:c r="B41" s="19" t="str">
        <x:v>INITIAL_180</x:v>
      </x:c>
      <x:c r="C41" s="31" t="str">
        <x:v>1938-A-07</x:v>
      </x:c>
      <x:c r="D41" s="31" t="str">
        <x:v>10</x:v>
      </x:c>
      <x:c r="E41" s="19" t="str">
        <x:v>FT-A1938</x:v>
      </x:c>
      <x:c r="F41" s="31" t="str">
        <x:v>temperature observations</x:v>
      </x:c>
      <x:c r="G41" s="19" t="str">
        <x:v>A</x:v>
      </x:c>
      <x:c r="H41" s="19" t="str">
        <x:v>NOT_ANNOTATED_IN_SOURCE</x:v>
      </x:c>
      <x:c r="I41" s="31" t="str">
        <x:v>E38-1</x:v>
      </x:c>
      <x:c r="J41" s="19" t="str">
        <x:v>NOT_ANNOTATED_IN_SOURCE</x:v>
      </x:c>
      <x:c r="K41" s="19" t="str">
        <x:v>CONFIDENCE=Strong;CARRY_FORWARD=Yes</x:v>
      </x:c>
      <x:c r="L41" s="19" t="str">
        <x:v>Strong</x:v>
      </x:c>
      <x:c r="M41" s="19" t="str">
        <x:v>Yes</x:v>
      </x:c>
      <x:c r="N41" s="31" t="str">
        <x:v>RECONSTRUCTED_FROM_REPORT</x:v>
      </x:c>
      <x:c r="O41" s="31" t="str">
        <x:v>RETAIN</x:v>
      </x:c>
      <x:c r="P41" s="19" t="str">
        <x:v>Fear of Temperature_ Historical Lexical Discovery and Anchor Validation.pdf</x:v>
      </x:c>
      <x:c r="Q41" s="31" t="str">
        <x:v>RECONSTRUCTED_FROM_REPORT</x:v>
      </x:c>
      <x:c r="R41" s="43" t="str">
        <x:v>Original candidate ID and row fields reconstructed from the compact narrative PDF table; this is not the missing original structured record.</x:v>
      </x:c>
    </x:row>
    <x:row r="42" ht="30" customHeight="1">
      <x:c r="A42" s="40" t="str">
        <x:v>FT-SEED-R1-1938-A-08</x:v>
      </x:c>
      <x:c r="B42" s="19" t="str">
        <x:v>INITIAL_180</x:v>
      </x:c>
      <x:c r="C42" s="31" t="str">
        <x:v>1938-A-08</x:v>
      </x:c>
      <x:c r="D42" s="31" t="str">
        <x:v>10</x:v>
      </x:c>
      <x:c r="E42" s="19" t="str">
        <x:v>FT-A1938</x:v>
      </x:c>
      <x:c r="F42" s="31" t="str">
        <x:v>temperature change</x:v>
      </x:c>
      <x:c r="G42" s="19" t="str">
        <x:v>A</x:v>
      </x:c>
      <x:c r="H42" s="19" t="str">
        <x:v>NOT_ANNOTATED_IN_SOURCE</x:v>
      </x:c>
      <x:c r="I42" s="31" t="str">
        <x:v>E38-2</x:v>
      </x:c>
      <x:c r="J42" s="19" t="str">
        <x:v>NOT_ANNOTATED_IN_SOURCE</x:v>
      </x:c>
      <x:c r="K42" s="19" t="str">
        <x:v>CONFIDENCE=Strong;CARRY_FORWARD=Yes</x:v>
      </x:c>
      <x:c r="L42" s="19" t="str">
        <x:v>Strong</x:v>
      </x:c>
      <x:c r="M42" s="19" t="str">
        <x:v>Yes</x:v>
      </x:c>
      <x:c r="N42" s="31" t="str">
        <x:v>RECONSTRUCTED_FROM_REPORT</x:v>
      </x:c>
      <x:c r="O42" s="31" t="str">
        <x:v>RETAIN</x:v>
      </x:c>
      <x:c r="P42" s="19" t="str">
        <x:v>Fear of Temperature_ Historical Lexical Discovery and Anchor Validation.pdf</x:v>
      </x:c>
      <x:c r="Q42" s="31" t="str">
        <x:v>RECONSTRUCTED_FROM_REPORT</x:v>
      </x:c>
      <x:c r="R42" s="43" t="str">
        <x:v>Original candidate ID and row fields reconstructed from the compact narrative PDF table; this is not the missing original structured record.</x:v>
      </x:c>
    </x:row>
    <x:row r="43" ht="30" customHeight="1">
      <x:c r="A43" s="40" t="str">
        <x:v>FT-SEED-R1-1938-B-01</x:v>
      </x:c>
      <x:c r="B43" s="19" t="str">
        <x:v>INITIAL_180</x:v>
      </x:c>
      <x:c r="C43" s="31" t="str">
        <x:v>1938-B-01</x:v>
      </x:c>
      <x:c r="D43" s="31" t="str">
        <x:v>10</x:v>
      </x:c>
      <x:c r="E43" s="19" t="str">
        <x:v>FT-A1938</x:v>
      </x:c>
      <x:c r="F43" s="31" t="str">
        <x:v>carbon dioxide</x:v>
      </x:c>
      <x:c r="G43" s="19" t="str">
        <x:v>B</x:v>
      </x:c>
      <x:c r="H43" s="19" t="str">
        <x:v>NOT_ANNOTATED_IN_SOURCE</x:v>
      </x:c>
      <x:c r="I43" s="31" t="str">
        <x:v>E38-1,2</x:v>
      </x:c>
      <x:c r="J43" s="19" t="str">
        <x:v>NOT_ANNOTATED_IN_SOURCE</x:v>
      </x:c>
      <x:c r="K43" s="19" t="str">
        <x:v>CONFIDENCE=Strong;CARRY_FORWARD=Yes</x:v>
      </x:c>
      <x:c r="L43" s="19" t="str">
        <x:v>Strong</x:v>
      </x:c>
      <x:c r="M43" s="19" t="str">
        <x:v>Yes</x:v>
      </x:c>
      <x:c r="N43" s="31" t="str">
        <x:v>RECONSTRUCTED_FROM_REPORT</x:v>
      </x:c>
      <x:c r="O43" s="31" t="str">
        <x:v>RETAIN</x:v>
      </x:c>
      <x:c r="P43" s="19" t="str">
        <x:v>Fear of Temperature_ Historical Lexical Discovery and Anchor Validation.pdf</x:v>
      </x:c>
      <x:c r="Q43" s="31" t="str">
        <x:v>RECONSTRUCTED_FROM_REPORT</x:v>
      </x:c>
      <x:c r="R43" s="43" t="str">
        <x:v>Original candidate ID and row fields reconstructed from the compact narrative PDF table; this is not the missing original structured record.</x:v>
      </x:c>
    </x:row>
    <x:row r="44" ht="30" customHeight="1">
      <x:c r="A44" s="40" t="str">
        <x:v>FT-SEED-R1-1938-B-02</x:v>
      </x:c>
      <x:c r="B44" s="19" t="str">
        <x:v>INITIAL_180</x:v>
      </x:c>
      <x:c r="C44" s="31" t="str">
        <x:v>1938-B-02</x:v>
      </x:c>
      <x:c r="D44" s="31" t="str">
        <x:v>10</x:v>
      </x:c>
      <x:c r="E44" s="19" t="str">
        <x:v>FT-A1938</x:v>
      </x:c>
      <x:c r="F44" s="31" t="str">
        <x:v>atmospheric carbon dioxide</x:v>
      </x:c>
      <x:c r="G44" s="19" t="str">
        <x:v>B</x:v>
      </x:c>
      <x:c r="H44" s="19" t="str">
        <x:v>NOT_ANNOTATED_IN_SOURCE</x:v>
      </x:c>
      <x:c r="I44" s="31" t="str">
        <x:v>E38-1–3</x:v>
      </x:c>
      <x:c r="J44" s="19" t="str">
        <x:v>NOT_ANNOTATED_IN_SOURCE</x:v>
      </x:c>
      <x:c r="K44" s="19" t="str">
        <x:v>CONFIDENCE=Strong;CARRY_FORWARD=Yes</x:v>
      </x:c>
      <x:c r="L44" s="19" t="str">
        <x:v>Strong</x:v>
      </x:c>
      <x:c r="M44" s="19" t="str">
        <x:v>Yes</x:v>
      </x:c>
      <x:c r="N44" s="31" t="str">
        <x:v>RECONSTRUCTED_FROM_REPORT</x:v>
      </x:c>
      <x:c r="O44" s="31" t="str">
        <x:v>RETAIN</x:v>
      </x:c>
      <x:c r="P44" s="19" t="str">
        <x:v>Fear of Temperature_ Historical Lexical Discovery and Anchor Validation.pdf</x:v>
      </x:c>
      <x:c r="Q44" s="31" t="str">
        <x:v>RECONSTRUCTED_FROM_REPORT</x:v>
      </x:c>
      <x:c r="R44" s="43" t="str">
        <x:v>Original candidate ID and row fields reconstructed from the compact narrative PDF table; this is not the missing original structured record.</x:v>
      </x:c>
    </x:row>
    <x:row r="45" ht="30" customHeight="1">
      <x:c r="A45" s="40" t="str">
        <x:v>FT-SEED-R1-1938-B-03</x:v>
      </x:c>
      <x:c r="B45" s="19" t="str">
        <x:v>INITIAL_180</x:v>
      </x:c>
      <x:c r="C45" s="31" t="str">
        <x:v>1938-B-03</x:v>
      </x:c>
      <x:c r="D45" s="31" t="str">
        <x:v>10</x:v>
      </x:c>
      <x:c r="E45" s="19" t="str">
        <x:v>FT-A1938</x:v>
      </x:c>
      <x:c r="F45" s="31" t="str">
        <x:v>artificial production of carbon dioxide</x:v>
      </x:c>
      <x:c r="G45" s="19" t="str">
        <x:v>B</x:v>
      </x:c>
      <x:c r="H45" s="19" t="str">
        <x:v>NOT_ANNOTATED_IN_SOURCE</x:v>
      </x:c>
      <x:c r="I45" s="31" t="str">
        <x:v>E38-1</x:v>
      </x:c>
      <x:c r="J45" s="19" t="str">
        <x:v>NOT_ANNOTATED_IN_SOURCE</x:v>
      </x:c>
      <x:c r="K45" s="19" t="str">
        <x:v>CONFIDENCE=Strong;CARRY_FORWARD=Yes</x:v>
      </x:c>
      <x:c r="L45" s="19" t="str">
        <x:v>Strong</x:v>
      </x:c>
      <x:c r="M45" s="19" t="str">
        <x:v>Yes</x:v>
      </x:c>
      <x:c r="N45" s="31" t="str">
        <x:v>RECONSTRUCTED_FROM_REPORT</x:v>
      </x:c>
      <x:c r="O45" s="31" t="str">
        <x:v>RETAIN</x:v>
      </x:c>
      <x:c r="P45" s="19" t="str">
        <x:v>Fear of Temperature_ Historical Lexical Discovery and Anchor Validation.pdf</x:v>
      </x:c>
      <x:c r="Q45" s="31" t="str">
        <x:v>RECONSTRUCTED_FROM_REPORT</x:v>
      </x:c>
      <x:c r="R45" s="43" t="str">
        <x:v>Original candidate ID and row fields reconstructed from the compact narrative PDF table; this is not the missing original structured record.</x:v>
      </x:c>
    </x:row>
    <x:row r="46" ht="30" customHeight="1">
      <x:c r="A46" s="40" t="str">
        <x:v>FT-SEED-R1-1938-B-04</x:v>
      </x:c>
      <x:c r="B46" s="19" t="str">
        <x:v>INITIAL_180</x:v>
      </x:c>
      <x:c r="C46" s="31" t="str">
        <x:v>1938-B-04</x:v>
      </x:c>
      <x:c r="D46" s="31" t="str">
        <x:v>10</x:v>
      </x:c>
      <x:c r="E46" s="19" t="str">
        <x:v>FT-A1938</x:v>
      </x:c>
      <x:c r="F46" s="31" t="str">
        <x:v>atmosphere</x:v>
      </x:c>
      <x:c r="G46" s="19" t="str">
        <x:v>B</x:v>
      </x:c>
      <x:c r="H46" s="19" t="str">
        <x:v>NOT_ANNOTATED_IN_SOURCE</x:v>
      </x:c>
      <x:c r="I46" s="31" t="str">
        <x:v>E38-1,2</x:v>
      </x:c>
      <x:c r="J46" s="19" t="str">
        <x:v>NOT_ANNOTATED_IN_SOURCE</x:v>
      </x:c>
      <x:c r="K46" s="19" t="str">
        <x:v>CONFIDENCE=Strong;CARRY_FORWARD=Yes</x:v>
      </x:c>
      <x:c r="L46" s="19" t="str">
        <x:v>Strong</x:v>
      </x:c>
      <x:c r="M46" s="19" t="str">
        <x:v>Yes</x:v>
      </x:c>
      <x:c r="N46" s="31" t="str">
        <x:v>RECONSTRUCTED_FROM_REPORT</x:v>
      </x:c>
      <x:c r="O46" s="31" t="str">
        <x:v>RETAIN</x:v>
      </x:c>
      <x:c r="P46" s="19" t="str">
        <x:v>Fear of Temperature_ Historical Lexical Discovery and Anchor Validation.pdf</x:v>
      </x:c>
      <x:c r="Q46" s="31" t="str">
        <x:v>RECONSTRUCTED_FROM_REPORT</x:v>
      </x:c>
      <x:c r="R46" s="43" t="str">
        <x:v>Original candidate ID and row fields reconstructed from the compact narrative PDF table; this is not the missing original structured record.</x:v>
      </x:c>
    </x:row>
    <x:row r="47" ht="30" customHeight="1">
      <x:c r="A47" s="40" t="str">
        <x:v>FT-SEED-R1-1938-B-05</x:v>
      </x:c>
      <x:c r="B47" s="19" t="str">
        <x:v>INITIAL_180</x:v>
      </x:c>
      <x:c r="C47" s="31" t="str">
        <x:v>1938-B-05</x:v>
      </x:c>
      <x:c r="D47" s="31" t="str">
        <x:v>10</x:v>
      </x:c>
      <x:c r="E47" s="19" t="str">
        <x:v>FT-A1938</x:v>
      </x:c>
      <x:c r="F47" s="31" t="str">
        <x:v>climate</x:v>
      </x:c>
      <x:c r="G47" s="19" t="str">
        <x:v>B</x:v>
      </x:c>
      <x:c r="H47" s="19" t="str">
        <x:v>NOT_ANNOTATED_IN_SOURCE</x:v>
      </x:c>
      <x:c r="I47" s="31" t="str">
        <x:v>E38-2</x:v>
      </x:c>
      <x:c r="J47" s="19" t="str">
        <x:v>NOT_ANNOTATED_IN_SOURCE</x:v>
      </x:c>
      <x:c r="K47" s="19" t="str">
        <x:v>CONFIDENCE=Strong;CARRY_FORWARD=Yes</x:v>
      </x:c>
      <x:c r="L47" s="19" t="str">
        <x:v>Strong</x:v>
      </x:c>
      <x:c r="M47" s="19" t="str">
        <x:v>Yes</x:v>
      </x:c>
      <x:c r="N47" s="31" t="str">
        <x:v>RECONSTRUCTED_FROM_REPORT</x:v>
      </x:c>
      <x:c r="O47" s="31" t="str">
        <x:v>RETAIN</x:v>
      </x:c>
      <x:c r="P47" s="19" t="str">
        <x:v>Fear of Temperature_ Historical Lexical Discovery and Anchor Validation.pdf</x:v>
      </x:c>
      <x:c r="Q47" s="31" t="str">
        <x:v>RECONSTRUCTED_FROM_REPORT</x:v>
      </x:c>
      <x:c r="R47" s="43" t="str">
        <x:v>Original candidate ID and row fields reconstructed from the compact narrative PDF table; this is not the missing original structured record.</x:v>
      </x:c>
    </x:row>
    <x:row r="48" ht="30" customHeight="1">
      <x:c r="A48" s="40" t="str">
        <x:v>FT-SEED-R1-1938-B-06</x:v>
      </x:c>
      <x:c r="B48" s="19" t="str">
        <x:v>INITIAL_180</x:v>
      </x:c>
      <x:c r="C48" s="31" t="str">
        <x:v>1938-B-06</x:v>
      </x:c>
      <x:c r="D48" s="31" t="str">
        <x:v>10</x:v>
      </x:c>
      <x:c r="E48" s="19" t="str">
        <x:v>FT-A1938</x:v>
      </x:c>
      <x:c r="F48" s="31" t="str">
        <x:v>climatic change</x:v>
      </x:c>
      <x:c r="G48" s="19" t="str">
        <x:v>B</x:v>
      </x:c>
      <x:c r="H48" s="19" t="str">
        <x:v>NOT_ANNOTATED_IN_SOURCE</x:v>
      </x:c>
      <x:c r="I48" s="31" t="str">
        <x:v>E38-2</x:v>
      </x:c>
      <x:c r="J48" s="19" t="str">
        <x:v>NOT_ANNOTATED_IN_SOURCE</x:v>
      </x:c>
      <x:c r="K48" s="19" t="str">
        <x:v>CONFIDENCE=Strong;CARRY_FORWARD=Yes</x:v>
      </x:c>
      <x:c r="L48" s="19" t="str">
        <x:v>Strong</x:v>
      </x:c>
      <x:c r="M48" s="19" t="str">
        <x:v>Yes</x:v>
      </x:c>
      <x:c r="N48" s="31" t="str">
        <x:v>RECONSTRUCTED_FROM_REPORT</x:v>
      </x:c>
      <x:c r="O48" s="31" t="str">
        <x:v>RETAIN</x:v>
      </x:c>
      <x:c r="P48" s="19" t="str">
        <x:v>Fear of Temperature_ Historical Lexical Discovery and Anchor Validation.pdf</x:v>
      </x:c>
      <x:c r="Q48" s="31" t="str">
        <x:v>RECONSTRUCTED_FROM_REPORT</x:v>
      </x:c>
      <x:c r="R48" s="43" t="str">
        <x:v>Original candidate ID and row fields reconstructed from the compact narrative PDF table; this is not the missing original structured record.</x:v>
      </x:c>
    </x:row>
    <x:row r="49" ht="30" customHeight="1">
      <x:c r="A49" s="40" t="str">
        <x:v>FT-SEED-R1-1938-B-07</x:v>
      </x:c>
      <x:c r="B49" s="19" t="str">
        <x:v>INITIAL_180</x:v>
      </x:c>
      <x:c r="C49" s="31" t="str">
        <x:v>1938-B-07</x:v>
      </x:c>
      <x:c r="D49" s="31" t="str">
        <x:v>10</x:v>
      </x:c>
      <x:c r="E49" s="19" t="str">
        <x:v>FT-A1938</x:v>
      </x:c>
      <x:c r="F49" s="31" t="str">
        <x:v>carbon dioxide theory</x:v>
      </x:c>
      <x:c r="G49" s="19" t="str">
        <x:v>B</x:v>
      </x:c>
      <x:c r="H49" s="19" t="str">
        <x:v>NOT_ANNOTATED_IN_SOURCE</x:v>
      </x:c>
      <x:c r="I49" s="31" t="str">
        <x:v>E38-2–4</x:v>
      </x:c>
      <x:c r="J49" s="19" t="str">
        <x:v>NOT_ANNOTATED_IN_SOURCE</x:v>
      </x:c>
      <x:c r="K49" s="19" t="str">
        <x:v>CONFIDENCE=Moderate;CARRY_FORWARD=Conditional</x:v>
      </x:c>
      <x:c r="L49" s="19" t="str">
        <x:v>Moderate</x:v>
      </x:c>
      <x:c r="M49" s="19" t="str">
        <x:v>Conditional</x:v>
      </x:c>
      <x:c r="N49" s="31" t="str">
        <x:v>RECONSTRUCTED_FROM_REPORT</x:v>
      </x:c>
      <x:c r="O49" s="31" t="str">
        <x:v>UNRESOLVED</x:v>
      </x:c>
      <x:c r="P49" s="19" t="str">
        <x:v>Fear of Temperature_ Historical Lexical Discovery and Anchor Validation.pdf</x:v>
      </x:c>
      <x:c r="Q49" s="31" t="str">
        <x:v>RECONSTRUCTED_FROM_REPORT</x:v>
      </x:c>
      <x:c r="R49" s="43" t="str">
        <x:v>Original candidate ID and row fields reconstructed from the compact narrative PDF table; this is not the missing original structured record.</x:v>
      </x:c>
    </x:row>
    <x:row r="50" ht="30" customHeight="1">
      <x:c r="A50" s="40" t="str">
        <x:v>FT-SEED-R1-1938-B-08</x:v>
      </x:c>
      <x:c r="B50" s="19" t="str">
        <x:v>INITIAL_180</x:v>
      </x:c>
      <x:c r="C50" s="31" t="str">
        <x:v>1938-B-08</x:v>
      </x:c>
      <x:c r="D50" s="31" t="str">
        <x:v>11</x:v>
      </x:c>
      <x:c r="E50" s="19" t="str">
        <x:v>FT-A1938</x:v>
      </x:c>
      <x:c r="F50" s="31" t="str">
        <x:v>human agency</x:v>
      </x:c>
      <x:c r="G50" s="19" t="str">
        <x:v>B</x:v>
      </x:c>
      <x:c r="H50" s="19" t="str">
        <x:v>NOT_ANNOTATED_IN_SOURCE</x:v>
      </x:c>
      <x:c r="I50" s="31" t="str">
        <x:v>E38-2</x:v>
      </x:c>
      <x:c r="J50" s="19" t="str">
        <x:v>NOT_ANNOTATED_IN_SOURCE</x:v>
      </x:c>
      <x:c r="K50" s="19" t="str">
        <x:v>CONFIDENCE=Strong;CARRY_FORWARD=Yes</x:v>
      </x:c>
      <x:c r="L50" s="19" t="str">
        <x:v>Strong</x:v>
      </x:c>
      <x:c r="M50" s="19" t="str">
        <x:v>Yes</x:v>
      </x:c>
      <x:c r="N50" s="31" t="str">
        <x:v>RECONSTRUCTED_FROM_REPORT</x:v>
      </x:c>
      <x:c r="O50" s="31" t="str">
        <x:v>RETAIN</x:v>
      </x:c>
      <x:c r="P50" s="19" t="str">
        <x:v>Fear of Temperature_ Historical Lexical Discovery and Anchor Validation.pdf</x:v>
      </x:c>
      <x:c r="Q50" s="31" t="str">
        <x:v>RECONSTRUCTED_FROM_REPORT</x:v>
      </x:c>
      <x:c r="R50" s="43" t="str">
        <x:v>Original candidate ID and row fields reconstructed from the compact narrative PDF table; this is not the missing original structured record.</x:v>
      </x:c>
    </x:row>
    <x:row r="51" ht="30" customHeight="1">
      <x:c r="A51" s="40" t="str">
        <x:v>FT-SEED-R1-1938-C-01</x:v>
      </x:c>
      <x:c r="B51" s="19" t="str">
        <x:v>INITIAL_180</x:v>
      </x:c>
      <x:c r="C51" s="31" t="str">
        <x:v>1938-C-01</x:v>
      </x:c>
      <x:c r="D51" s="31" t="str">
        <x:v>11</x:v>
      </x:c>
      <x:c r="E51" s="19" t="str">
        <x:v>FT-A1938</x:v>
      </x:c>
      <x:c r="F51" s="31" t="str">
        <x:v>doubtful</x:v>
      </x:c>
      <x:c r="G51" s="19" t="str">
        <x:v>C</x:v>
      </x:c>
      <x:c r="H51" s="19" t="str">
        <x:v>NOT_ANNOTATED_IN_SOURCE</x:v>
      </x:c>
      <x:c r="I51" s="31" t="str">
        <x:v>E38-2–4</x:v>
      </x:c>
      <x:c r="J51" s="19" t="str">
        <x:v>NOT_ANNOTATED_IN_SOURCE</x:v>
      </x:c>
      <x:c r="K51" s="19" t="str">
        <x:v>CONFIDENCE=Moderate;CARRY_FORWARD=Conditional</x:v>
      </x:c>
      <x:c r="L51" s="19" t="str">
        <x:v>Moderate</x:v>
      </x:c>
      <x:c r="M51" s="19" t="str">
        <x:v>Conditional</x:v>
      </x:c>
      <x:c r="N51" s="31" t="str">
        <x:v>RECONSTRUCTED_FROM_REPORT</x:v>
      </x:c>
      <x:c r="O51" s="31" t="str">
        <x:v>UNRESOLVED</x:v>
      </x:c>
      <x:c r="P51" s="19" t="str">
        <x:v>Fear of Temperature_ Historical Lexical Discovery and Anchor Validation.pdf</x:v>
      </x:c>
      <x:c r="Q51" s="31" t="str">
        <x:v>RECONSTRUCTED_FROM_REPORT</x:v>
      </x:c>
      <x:c r="R51" s="43" t="str">
        <x:v>Original candidate ID and row fields reconstructed from the compact narrative PDF table; this is not the missing original structured record.</x:v>
      </x:c>
    </x:row>
    <x:row r="52" ht="30" customHeight="1">
      <x:c r="A52" s="40" t="str">
        <x:v>FT-SEED-R1-1938-C-02</x:v>
      </x:c>
      <x:c r="B52" s="19" t="str">
        <x:v>INITIAL_180</x:v>
      </x:c>
      <x:c r="C52" s="31" t="str">
        <x:v>1938-C-02</x:v>
      </x:c>
      <x:c r="D52" s="31" t="str">
        <x:v>11</x:v>
      </x:c>
      <x:c r="E52" s="19" t="str">
        <x:v>FT-A1938</x:v>
      </x:c>
      <x:c r="F52" s="31" t="str">
        <x:v>uncertainty</x:v>
      </x:c>
      <x:c r="G52" s="19" t="str">
        <x:v>C</x:v>
      </x:c>
      <x:c r="H52" s="19" t="str">
        <x:v>NOT_ANNOTATED_IN_SOURCE</x:v>
      </x:c>
      <x:c r="I52" s="31" t="str">
        <x:v>E38-3,4</x:v>
      </x:c>
      <x:c r="J52" s="19" t="str">
        <x:v>NOT_ANNOTATED_IN_SOURCE</x:v>
      </x:c>
      <x:c r="K52" s="19" t="str">
        <x:v>CONFIDENCE=Moderate;CARRY_FORWARD=Conditional</x:v>
      </x:c>
      <x:c r="L52" s="19" t="str">
        <x:v>Moderate</x:v>
      </x:c>
      <x:c r="M52" s="19" t="str">
        <x:v>Conditional</x:v>
      </x:c>
      <x:c r="N52" s="31" t="str">
        <x:v>RECONSTRUCTED_FROM_REPORT</x:v>
      </x:c>
      <x:c r="O52" s="31" t="str">
        <x:v>UNRESOLVED</x:v>
      </x:c>
      <x:c r="P52" s="19" t="str">
        <x:v>Fear of Temperature_ Historical Lexical Discovery and Anchor Validation.pdf</x:v>
      </x:c>
      <x:c r="Q52" s="31" t="str">
        <x:v>RECONSTRUCTED_FROM_REPORT</x:v>
      </x:c>
      <x:c r="R52" s="43" t="str">
        <x:v>Original candidate ID and row fields reconstructed from the compact narrative PDF table; this is not the missing original structured record.</x:v>
      </x:c>
    </x:row>
    <x:row r="53" ht="30" customHeight="1">
      <x:c r="A53" s="40" t="str">
        <x:v>FT-SEED-R1-1938-C-03</x:v>
      </x:c>
      <x:c r="B53" s="19" t="str">
        <x:v>INITIAL_180</x:v>
      </x:c>
      <x:c r="C53" s="31" t="str">
        <x:v>1938-C-03</x:v>
      </x:c>
      <x:c r="D53" s="31" t="str">
        <x:v>11</x:v>
      </x:c>
      <x:c r="E53" s="19" t="str">
        <x:v>FT-A1938</x:v>
      </x:c>
      <x:c r="F53" s="31" t="str">
        <x:v>concern</x:v>
      </x:c>
      <x:c r="G53" s="19" t="str">
        <x:v>C</x:v>
      </x:c>
      <x:c r="H53" s="19" t="str">
        <x:v>NOT_ANNOTATED_IN_SOURCE</x:v>
      </x:c>
      <x:c r="I53" s="31" t="str">
        <x:v>E38-1–4</x:v>
      </x:c>
      <x:c r="J53" s="19" t="str">
        <x:v>NOT_ANNOTATED_IN_SOURCE</x:v>
      </x:c>
      <x:c r="K53" s="19" t="str">
        <x:v>CONFIDENCE=Weak;CARRY_FORWARD=No</x:v>
      </x:c>
      <x:c r="L53" s="19" t="str">
        <x:v>Weak</x:v>
      </x:c>
      <x:c r="M53" s="19" t="str">
        <x:v>No</x:v>
      </x:c>
      <x:c r="N53" s="31" t="str">
        <x:v>RECONSTRUCTED_FROM_REPORT</x:v>
      </x:c>
      <x:c r="O53" s="31" t="str">
        <x:v>EXCLUDE</x:v>
      </x:c>
      <x:c r="P53" s="19" t="str">
        <x:v>Fear of Temperature_ Historical Lexical Discovery and Anchor Validation.pdf</x:v>
      </x:c>
      <x:c r="Q53" s="31" t="str">
        <x:v>RECONSTRUCTED_FROM_REPORT</x:v>
      </x:c>
      <x:c r="R53" s="43" t="str">
        <x:v>Original candidate ID and row fields reconstructed from the compact narrative PDF table; this is not the missing original structured record.</x:v>
      </x:c>
    </x:row>
    <x:row r="54" ht="30" customHeight="1">
      <x:c r="A54" s="40" t="str">
        <x:v>FT-SEED-R1-1938-C-04</x:v>
      </x:c>
      <x:c r="B54" s="19" t="str">
        <x:v>INITIAL_180</x:v>
      </x:c>
      <x:c r="C54" s="31" t="str">
        <x:v>1938-C-04</x:v>
      </x:c>
      <x:c r="D54" s="31" t="str">
        <x:v>11</x:v>
      </x:c>
      <x:c r="E54" s="19" t="str">
        <x:v>FT-A1938</x:v>
      </x:c>
      <x:c r="F54" s="31" t="str">
        <x:v>fear</x:v>
      </x:c>
      <x:c r="G54" s="19" t="str">
        <x:v>C</x:v>
      </x:c>
      <x:c r="H54" s="19" t="str">
        <x:v>NOT_ANNOTATED_IN_SOURCE</x:v>
      </x:c>
      <x:c r="I54" s="31" t="str">
        <x:v>E38-1–4</x:v>
      </x:c>
      <x:c r="J54" s="19" t="str">
        <x:v>NOT_ANNOTATED_IN_SOURCE</x:v>
      </x:c>
      <x:c r="K54" s="19" t="str">
        <x:v>CONFIDENCE=Weak;CARRY_FORWARD=No</x:v>
      </x:c>
      <x:c r="L54" s="19" t="str">
        <x:v>Weak</x:v>
      </x:c>
      <x:c r="M54" s="19" t="str">
        <x:v>No</x:v>
      </x:c>
      <x:c r="N54" s="31" t="str">
        <x:v>RECONSTRUCTED_FROM_REPORT</x:v>
      </x:c>
      <x:c r="O54" s="31" t="str">
        <x:v>EXCLUDE</x:v>
      </x:c>
      <x:c r="P54" s="19" t="str">
        <x:v>Fear of Temperature_ Historical Lexical Discovery and Anchor Validation.pdf</x:v>
      </x:c>
      <x:c r="Q54" s="31" t="str">
        <x:v>RECONSTRUCTED_FROM_REPORT</x:v>
      </x:c>
      <x:c r="R54" s="43" t="str">
        <x:v>Original candidate ID and row fields reconstructed from the compact narrative PDF table; this is not the missing original structured record.</x:v>
      </x:c>
    </x:row>
    <x:row r="55" ht="30" customHeight="1">
      <x:c r="A55" s="40" t="str">
        <x:v>FT-SEED-R1-1938-C-05</x:v>
      </x:c>
      <x:c r="B55" s="19" t="str">
        <x:v>INITIAL_180</x:v>
      </x:c>
      <x:c r="C55" s="31" t="str">
        <x:v>1938-C-05</x:v>
      </x:c>
      <x:c r="D55" s="31" t="str">
        <x:v>11</x:v>
      </x:c>
      <x:c r="E55" s="19" t="str">
        <x:v>FT-A1938</x:v>
      </x:c>
      <x:c r="F55" s="31" t="str">
        <x:v>alarm</x:v>
      </x:c>
      <x:c r="G55" s="19" t="str">
        <x:v>C</x:v>
      </x:c>
      <x:c r="H55" s="19" t="str">
        <x:v>NOT_ANNOTATED_IN_SOURCE</x:v>
      </x:c>
      <x:c r="I55" s="31" t="str">
        <x:v>E38-1–4</x:v>
      </x:c>
      <x:c r="J55" s="19" t="str">
        <x:v>NOT_ANNOTATED_IN_SOURCE</x:v>
      </x:c>
      <x:c r="K55" s="19" t="str">
        <x:v>CONFIDENCE=Weak;CARRY_FORWARD=No</x:v>
      </x:c>
      <x:c r="L55" s="19" t="str">
        <x:v>Weak</x:v>
      </x:c>
      <x:c r="M55" s="19" t="str">
        <x:v>No</x:v>
      </x:c>
      <x:c r="N55" s="31" t="str">
        <x:v>RECONSTRUCTED_FROM_REPORT</x:v>
      </x:c>
      <x:c r="O55" s="31" t="str">
        <x:v>EXCLUDE</x:v>
      </x:c>
      <x:c r="P55" s="19" t="str">
        <x:v>Fear of Temperature_ Historical Lexical Discovery and Anchor Validation.pdf</x:v>
      </x:c>
      <x:c r="Q55" s="31" t="str">
        <x:v>RECONSTRUCTED_FROM_REPORT</x:v>
      </x:c>
      <x:c r="R55" s="43" t="str">
        <x:v>Original candidate ID and row fields reconstructed from the compact narrative PDF table; this is not the missing original structured record.</x:v>
      </x:c>
    </x:row>
    <x:row r="56" ht="30" customHeight="1">
      <x:c r="A56" s="40" t="str">
        <x:v>FT-SEED-R1-1938-C-06</x:v>
      </x:c>
      <x:c r="B56" s="19" t="str">
        <x:v>INITIAL_180</x:v>
      </x:c>
      <x:c r="C56" s="31" t="str">
        <x:v>1938-C-06</x:v>
      </x:c>
      <x:c r="D56" s="31" t="str">
        <x:v>11</x:v>
      </x:c>
      <x:c r="E56" s="19" t="str">
        <x:v>FT-A1938</x:v>
      </x:c>
      <x:c r="F56" s="31" t="str">
        <x:v>anxiety</x:v>
      </x:c>
      <x:c r="G56" s="19" t="str">
        <x:v>C</x:v>
      </x:c>
      <x:c r="H56" s="19" t="str">
        <x:v>NOT_ANNOTATED_IN_SOURCE</x:v>
      </x:c>
      <x:c r="I56" s="31" t="str">
        <x:v>E38-1–4</x:v>
      </x:c>
      <x:c r="J56" s="19" t="str">
        <x:v>NOT_ANNOTATED_IN_SOURCE</x:v>
      </x:c>
      <x:c r="K56" s="19" t="str">
        <x:v>CONFIDENCE=Weak;CARRY_FORWARD=No</x:v>
      </x:c>
      <x:c r="L56" s="19" t="str">
        <x:v>Weak</x:v>
      </x:c>
      <x:c r="M56" s="19" t="str">
        <x:v>No</x:v>
      </x:c>
      <x:c r="N56" s="31" t="str">
        <x:v>RECONSTRUCTED_FROM_REPORT</x:v>
      </x:c>
      <x:c r="O56" s="31" t="str">
        <x:v>EXCLUDE</x:v>
      </x:c>
      <x:c r="P56" s="19" t="str">
        <x:v>Fear of Temperature_ Historical Lexical Discovery and Anchor Validation.pdf</x:v>
      </x:c>
      <x:c r="Q56" s="31" t="str">
        <x:v>RECONSTRUCTED_FROM_REPORT</x:v>
      </x:c>
      <x:c r="R56" s="43" t="str">
        <x:v>Original candidate ID and row fields reconstructed from the compact narrative PDF table; this is not the missing original structured record.</x:v>
      </x:c>
    </x:row>
    <x:row r="57" ht="30" customHeight="1">
      <x:c r="A57" s="40" t="str">
        <x:v>FT-SEED-R1-1938-C-07</x:v>
      </x:c>
      <x:c r="B57" s="19" t="str">
        <x:v>INITIAL_180</x:v>
      </x:c>
      <x:c r="C57" s="31" t="str">
        <x:v>1938-C-07</x:v>
      </x:c>
      <x:c r="D57" s="31" t="str">
        <x:v>11</x:v>
      </x:c>
      <x:c r="E57" s="19" t="str">
        <x:v>FT-A1938</x:v>
      </x:c>
      <x:c r="F57" s="31" t="str">
        <x:v>apprehension</x:v>
      </x:c>
      <x:c r="G57" s="19" t="str">
        <x:v>C</x:v>
      </x:c>
      <x:c r="H57" s="19" t="str">
        <x:v>NOT_ANNOTATED_IN_SOURCE</x:v>
      </x:c>
      <x:c r="I57" s="31" t="str">
        <x:v>E38-1–4</x:v>
      </x:c>
      <x:c r="J57" s="19" t="str">
        <x:v>NOT_ANNOTATED_IN_SOURCE</x:v>
      </x:c>
      <x:c r="K57" s="19" t="str">
        <x:v>CONFIDENCE=Weak;CARRY_FORWARD=No</x:v>
      </x:c>
      <x:c r="L57" s="19" t="str">
        <x:v>Weak</x:v>
      </x:c>
      <x:c r="M57" s="19" t="str">
        <x:v>No</x:v>
      </x:c>
      <x:c r="N57" s="31" t="str">
        <x:v>RECONSTRUCTED_FROM_REPORT</x:v>
      </x:c>
      <x:c r="O57" s="31" t="str">
        <x:v>EXCLUDE</x:v>
      </x:c>
      <x:c r="P57" s="19" t="str">
        <x:v>Fear of Temperature_ Historical Lexical Discovery and Anchor Validation.pdf</x:v>
      </x:c>
      <x:c r="Q57" s="31" t="str">
        <x:v>RECONSTRUCTED_FROM_REPORT</x:v>
      </x:c>
      <x:c r="R57" s="43" t="str">
        <x:v>Original candidate ID and row fields reconstructed from the compact narrative PDF table; this is not the missing original structured record.</x:v>
      </x:c>
    </x:row>
    <x:row r="58" ht="30" customHeight="1">
      <x:c r="A58" s="40" t="str">
        <x:v>FT-SEED-R1-1938-D-01</x:v>
      </x:c>
      <x:c r="B58" s="19" t="str">
        <x:v>INITIAL_180</x:v>
      </x:c>
      <x:c r="C58" s="31" t="str">
        <x:v>1938-D-01</x:v>
      </x:c>
      <x:c r="D58" s="31" t="str">
        <x:v>12</x:v>
      </x:c>
      <x:c r="E58" s="19" t="str">
        <x:v>FT-A1938</x:v>
      </x:c>
      <x:c r="F58" s="31" t="str">
        <x:v>aridity</x:v>
      </x:c>
      <x:c r="G58" s="19" t="str">
        <x:v>D</x:v>
      </x:c>
      <x:c r="H58" s="19" t="str">
        <x:v>NOT_ANNOTATED_IN_SOURCE</x:v>
      </x:c>
      <x:c r="I58" s="31" t="str">
        <x:v>E38-2</x:v>
      </x:c>
      <x:c r="J58" s="19" t="str">
        <x:v>NOT_ANNOTATED_IN_SOURCE</x:v>
      </x:c>
      <x:c r="K58" s="19" t="str">
        <x:v>CONFIDENCE=Strong;CARRY_FORWARD=Conditional</x:v>
      </x:c>
      <x:c r="L58" s="19" t="str">
        <x:v>Strong</x:v>
      </x:c>
      <x:c r="M58" s="19" t="str">
        <x:v>Conditional</x:v>
      </x:c>
      <x:c r="N58" s="31" t="str">
        <x:v>RECONSTRUCTED_FROM_REPORT</x:v>
      </x:c>
      <x:c r="O58" s="31" t="str">
        <x:v>UNRESOLVED</x:v>
      </x:c>
      <x:c r="P58" s="19" t="str">
        <x:v>Fear of Temperature_ Historical Lexical Discovery and Anchor Validation.pdf</x:v>
      </x:c>
      <x:c r="Q58" s="31" t="str">
        <x:v>RECONSTRUCTED_FROM_REPORT</x:v>
      </x:c>
      <x:c r="R58" s="43" t="str">
        <x:v>Original candidate ID and row fields reconstructed from the compact narrative PDF table; this is not the missing original structured record.</x:v>
      </x:c>
    </x:row>
    <x:row r="59" ht="30" customHeight="1">
      <x:c r="A59" s="40" t="str">
        <x:v>FT-SEED-R1-1938-D-02</x:v>
      </x:c>
      <x:c r="B59" s="19" t="str">
        <x:v>INITIAL_180</x:v>
      </x:c>
      <x:c r="C59" s="31" t="str">
        <x:v>1938-D-02</x:v>
      </x:c>
      <x:c r="D59" s="31" t="str">
        <x:v>12</x:v>
      </x:c>
      <x:c r="E59" s="19" t="str">
        <x:v>FT-A1938</x:v>
      </x:c>
      <x:c r="F59" s="31" t="str">
        <x:v>recession of the glaciers</x:v>
      </x:c>
      <x:c r="G59" s="19" t="str">
        <x:v>D</x:v>
      </x:c>
      <x:c r="H59" s="19" t="str">
        <x:v>NOT_ANNOTATED_IN_SOURCE</x:v>
      </x:c>
      <x:c r="I59" s="31" t="str">
        <x:v>E38-2</x:v>
      </x:c>
      <x:c r="J59" s="19" t="str">
        <x:v>NOT_ANNOTATED_IN_SOURCE</x:v>
      </x:c>
      <x:c r="K59" s="19" t="str">
        <x:v>CONFIDENCE=Strong;CARRY_FORWARD=Conditional</x:v>
      </x:c>
      <x:c r="L59" s="19" t="str">
        <x:v>Strong</x:v>
      </x:c>
      <x:c r="M59" s="19" t="str">
        <x:v>Conditional</x:v>
      </x:c>
      <x:c r="N59" s="31" t="str">
        <x:v>RECONSTRUCTED_FROM_REPORT</x:v>
      </x:c>
      <x:c r="O59" s="31" t="str">
        <x:v>UNRESOLVED</x:v>
      </x:c>
      <x:c r="P59" s="19" t="str">
        <x:v>Fear of Temperature_ Historical Lexical Discovery and Anchor Validation.pdf</x:v>
      </x:c>
      <x:c r="Q59" s="31" t="str">
        <x:v>RECONSTRUCTED_FROM_REPORT</x:v>
      </x:c>
      <x:c r="R59" s="43" t="str">
        <x:v>Original candidate ID and row fields reconstructed from the compact narrative PDF table; this is not the missing original structured record.</x:v>
      </x:c>
    </x:row>
    <x:row r="60" ht="30" customHeight="1">
      <x:c r="A60" s="40" t="str">
        <x:v>FT-SEED-R1-1938-D-03</x:v>
      </x:c>
      <x:c r="B60" s="19" t="str">
        <x:v>INITIAL_180</x:v>
      </x:c>
      <x:c r="C60" s="31" t="str">
        <x:v>1938-D-03</x:v>
      </x:c>
      <x:c r="D60" s="31" t="str">
        <x:v>12</x:v>
      </x:c>
      <x:c r="E60" s="19" t="str">
        <x:v>FT-A1938</x:v>
      </x:c>
      <x:c r="F60" s="31" t="str">
        <x:v>danger</x:v>
      </x:c>
      <x:c r="G60" s="19" t="str">
        <x:v>D</x:v>
      </x:c>
      <x:c r="H60" s="19" t="str">
        <x:v>NOT_ANNOTATED_IN_SOURCE</x:v>
      </x:c>
      <x:c r="I60" s="31" t="str">
        <x:v>E38-1–4</x:v>
      </x:c>
      <x:c r="J60" s="19" t="str">
        <x:v>NOT_ANNOTATED_IN_SOURCE</x:v>
      </x:c>
      <x:c r="K60" s="19" t="str">
        <x:v>CONFIDENCE=Weak;CARRY_FORWARD=No</x:v>
      </x:c>
      <x:c r="L60" s="19" t="str">
        <x:v>Weak</x:v>
      </x:c>
      <x:c r="M60" s="19" t="str">
        <x:v>No</x:v>
      </x:c>
      <x:c r="N60" s="31" t="str">
        <x:v>RECONSTRUCTED_FROM_REPORT</x:v>
      </x:c>
      <x:c r="O60" s="31" t="str">
        <x:v>EXCLUDE</x:v>
      </x:c>
      <x:c r="P60" s="19" t="str">
        <x:v>Fear of Temperature_ Historical Lexical Discovery and Anchor Validation.pdf</x:v>
      </x:c>
      <x:c r="Q60" s="31" t="str">
        <x:v>RECONSTRUCTED_FROM_REPORT</x:v>
      </x:c>
      <x:c r="R60" s="43" t="str">
        <x:v>Original candidate ID and row fields reconstructed from the compact narrative PDF table; this is not the missing original structured record.</x:v>
      </x:c>
    </x:row>
    <x:row r="61" ht="30" customHeight="1">
      <x:c r="A61" s="40" t="str">
        <x:v>FT-SEED-R1-1938-D-04</x:v>
      </x:c>
      <x:c r="B61" s="19" t="str">
        <x:v>INITIAL_180</x:v>
      </x:c>
      <x:c r="C61" s="31" t="str">
        <x:v>1938-D-04</x:v>
      </x:c>
      <x:c r="D61" s="31" t="str">
        <x:v>12</x:v>
      </x:c>
      <x:c r="E61" s="19" t="str">
        <x:v>FT-A1938</x:v>
      </x:c>
      <x:c r="F61" s="31" t="str">
        <x:v>risk</x:v>
      </x:c>
      <x:c r="G61" s="19" t="str">
        <x:v>D</x:v>
      </x:c>
      <x:c r="H61" s="19" t="str">
        <x:v>NOT_ANNOTATED_IN_SOURCE</x:v>
      </x:c>
      <x:c r="I61" s="31" t="str">
        <x:v>E38-1–4</x:v>
      </x:c>
      <x:c r="J61" s="19" t="str">
        <x:v>NOT_ANNOTATED_IN_SOURCE</x:v>
      </x:c>
      <x:c r="K61" s="19" t="str">
        <x:v>CONFIDENCE=Weak;CARRY_FORWARD=No</x:v>
      </x:c>
      <x:c r="L61" s="19" t="str">
        <x:v>Weak</x:v>
      </x:c>
      <x:c r="M61" s="19" t="str">
        <x:v>No</x:v>
      </x:c>
      <x:c r="N61" s="31" t="str">
        <x:v>RECONSTRUCTED_FROM_REPORT</x:v>
      </x:c>
      <x:c r="O61" s="31" t="str">
        <x:v>EXCLUDE</x:v>
      </x:c>
      <x:c r="P61" s="19" t="str">
        <x:v>Fear of Temperature_ Historical Lexical Discovery and Anchor Validation.pdf</x:v>
      </x:c>
      <x:c r="Q61" s="31" t="str">
        <x:v>RECONSTRUCTED_FROM_REPORT</x:v>
      </x:c>
      <x:c r="R61" s="43" t="str">
        <x:v>Original candidate ID and row fields reconstructed from the compact narrative PDF table; this is not the missing original structured record.</x:v>
      </x:c>
    </x:row>
    <x:row r="62" ht="30" customHeight="1">
      <x:c r="A62" s="40" t="str">
        <x:v>FT-SEED-R1-1938-D-05</x:v>
      </x:c>
      <x:c r="B62" s="19" t="str">
        <x:v>INITIAL_180</x:v>
      </x:c>
      <x:c r="C62" s="31" t="str">
        <x:v>1938-D-05</x:v>
      </x:c>
      <x:c r="D62" s="31" t="str">
        <x:v>12</x:v>
      </x:c>
      <x:c r="E62" s="19" t="str">
        <x:v>FT-A1938</x:v>
      </x:c>
      <x:c r="F62" s="31" t="str">
        <x:v>harmful</x:v>
      </x:c>
      <x:c r="G62" s="19" t="str">
        <x:v>D</x:v>
      </x:c>
      <x:c r="H62" s="19" t="str">
        <x:v>NOT_ANNOTATED_IN_SOURCE</x:v>
      </x:c>
      <x:c r="I62" s="31" t="str">
        <x:v>E38-1–4</x:v>
      </x:c>
      <x:c r="J62" s="19" t="str">
        <x:v>NOT_ANNOTATED_IN_SOURCE</x:v>
      </x:c>
      <x:c r="K62" s="19" t="str">
        <x:v>CONFIDENCE=Weak;CARRY_FORWARD=No</x:v>
      </x:c>
      <x:c r="L62" s="19" t="str">
        <x:v>Weak</x:v>
      </x:c>
      <x:c r="M62" s="19" t="str">
        <x:v>No</x:v>
      </x:c>
      <x:c r="N62" s="31" t="str">
        <x:v>RECONSTRUCTED_FROM_REPORT</x:v>
      </x:c>
      <x:c r="O62" s="31" t="str">
        <x:v>EXCLUDE</x:v>
      </x:c>
      <x:c r="P62" s="19" t="str">
        <x:v>Fear of Temperature_ Historical Lexical Discovery and Anchor Validation.pdf</x:v>
      </x:c>
      <x:c r="Q62" s="31" t="str">
        <x:v>RECONSTRUCTED_FROM_REPORT</x:v>
      </x:c>
      <x:c r="R62" s="43" t="str">
        <x:v>Original candidate ID and row fields reconstructed from the compact narrative PDF table; this is not the missing original structured record.</x:v>
      </x:c>
    </x:row>
    <x:row r="63" ht="30" customHeight="1">
      <x:c r="A63" s="40" t="str">
        <x:v>FT-SEED-R1-1938-D-06</x:v>
      </x:c>
      <x:c r="B63" s="19" t="str">
        <x:v>INITIAL_180</x:v>
      </x:c>
      <x:c r="C63" s="31" t="str">
        <x:v>1938-D-06</x:v>
      </x:c>
      <x:c r="D63" s="31" t="str">
        <x:v>12</x:v>
      </x:c>
      <x:c r="E63" s="19" t="str">
        <x:v>FT-A1938</x:v>
      </x:c>
      <x:c r="F63" s="31" t="str">
        <x:v>adverse effect</x:v>
      </x:c>
      <x:c r="G63" s="19" t="str">
        <x:v>D</x:v>
      </x:c>
      <x:c r="H63" s="19" t="str">
        <x:v>NOT_ANNOTATED_IN_SOURCE</x:v>
      </x:c>
      <x:c r="I63" s="31" t="str">
        <x:v>E38-1–4</x:v>
      </x:c>
      <x:c r="J63" s="19" t="str">
        <x:v>NOT_ANNOTATED_IN_SOURCE</x:v>
      </x:c>
      <x:c r="K63" s="19" t="str">
        <x:v>CONFIDENCE=Weak;CARRY_FORWARD=No</x:v>
      </x:c>
      <x:c r="L63" s="19" t="str">
        <x:v>Weak</x:v>
      </x:c>
      <x:c r="M63" s="19" t="str">
        <x:v>No</x:v>
      </x:c>
      <x:c r="N63" s="31" t="str">
        <x:v>RECONSTRUCTED_FROM_REPORT</x:v>
      </x:c>
      <x:c r="O63" s="31" t="str">
        <x:v>EXCLUDE</x:v>
      </x:c>
      <x:c r="P63" s="19" t="str">
        <x:v>Fear of Temperature_ Historical Lexical Discovery and Anchor Validation.pdf</x:v>
      </x:c>
      <x:c r="Q63" s="31" t="str">
        <x:v>RECONSTRUCTED_FROM_REPORT</x:v>
      </x:c>
      <x:c r="R63" s="43" t="str">
        <x:v>Original candidate ID and row fields reconstructed from the compact narrative PDF table; this is not the missing original structured record.</x:v>
      </x:c>
    </x:row>
    <x:row r="64" ht="30" customHeight="1">
      <x:c r="A64" s="40" t="str">
        <x:v>FT-SEED-R1-1938-D-07</x:v>
      </x:c>
      <x:c r="B64" s="19" t="str">
        <x:v>INITIAL_180</x:v>
      </x:c>
      <x:c r="C64" s="31" t="str">
        <x:v>1938-D-07</x:v>
      </x:c>
      <x:c r="D64" s="31" t="str">
        <x:v>12</x:v>
      </x:c>
      <x:c r="E64" s="19" t="str">
        <x:v>FT-A1938</x:v>
      </x:c>
      <x:c r="F64" s="31" t="str">
        <x:v>problem</x:v>
      </x:c>
      <x:c r="G64" s="19" t="str">
        <x:v>D</x:v>
      </x:c>
      <x:c r="H64" s="19" t="str">
        <x:v>NOT_ANNOTATED_IN_SOURCE</x:v>
      </x:c>
      <x:c r="I64" s="31" t="str">
        <x:v>E38-1–4</x:v>
      </x:c>
      <x:c r="J64" s="19" t="str">
        <x:v>NOT_ANNOTATED_IN_SOURCE</x:v>
      </x:c>
      <x:c r="K64" s="19" t="str">
        <x:v>CONFIDENCE=Weak;CARRY_FORWARD=No</x:v>
      </x:c>
      <x:c r="L64" s="19" t="str">
        <x:v>Weak</x:v>
      </x:c>
      <x:c r="M64" s="19" t="str">
        <x:v>No</x:v>
      </x:c>
      <x:c r="N64" s="31" t="str">
        <x:v>RECONSTRUCTED_FROM_REPORT</x:v>
      </x:c>
      <x:c r="O64" s="31" t="str">
        <x:v>EXCLUDE</x:v>
      </x:c>
      <x:c r="P64" s="19" t="str">
        <x:v>Fear of Temperature_ Historical Lexical Discovery and Anchor Validation.pdf</x:v>
      </x:c>
      <x:c r="Q64" s="31" t="str">
        <x:v>RECONSTRUCTED_FROM_REPORT</x:v>
      </x:c>
      <x:c r="R64" s="43" t="str">
        <x:v>Original candidate ID and row fields reconstructed from the compact narrative PDF table; this is not the missing original structured record.</x:v>
      </x:c>
    </x:row>
    <x:row r="65" ht="30" customHeight="1">
      <x:c r="A65" s="40" t="str">
        <x:v>FT-SEED-R1-1988-A-01</x:v>
      </x:c>
      <x:c r="B65" s="19" t="str">
        <x:v>INITIAL_180</x:v>
      </x:c>
      <x:c r="C65" s="31" t="str">
        <x:v>1988-A-01</x:v>
      </x:c>
      <x:c r="D65" s="31" t="str">
        <x:v>13</x:v>
      </x:c>
      <x:c r="E65" s="19" t="str">
        <x:v>FT-A1988</x:v>
      </x:c>
      <x:c r="F65" s="31" t="str">
        <x:v>global warming</x:v>
      </x:c>
      <x:c r="G65" s="19" t="str">
        <x:v>A</x:v>
      </x:c>
      <x:c r="H65" s="19" t="str">
        <x:v>NOT_ANNOTATED_IN_SOURCE</x:v>
      </x:c>
      <x:c r="I65" s="31" t="str">
        <x:v>E88-1,4</x:v>
      </x:c>
      <x:c r="J65" s="19" t="str">
        <x:v>NOT_ANNOTATED_IN_SOURCE</x:v>
      </x:c>
      <x:c r="K65" s="19" t="str">
        <x:v>CONFIDENCE=Strong;CARRY_FORWARD=Yes</x:v>
      </x:c>
      <x:c r="L65" s="19" t="str">
        <x:v>Strong</x:v>
      </x:c>
      <x:c r="M65" s="19" t="str">
        <x:v>Yes</x:v>
      </x:c>
      <x:c r="N65" s="31" t="str">
        <x:v>RECONSTRUCTED_FROM_REPORT</x:v>
      </x:c>
      <x:c r="O65" s="31" t="str">
        <x:v>RETAIN</x:v>
      </x:c>
      <x:c r="P65" s="19" t="str">
        <x:v>Fear of Temperature_ Historical Lexical Discovery and Anchor Validation.pdf</x:v>
      </x:c>
      <x:c r="Q65" s="31" t="str">
        <x:v>RECONSTRUCTED_FROM_REPORT</x:v>
      </x:c>
      <x:c r="R65" s="43" t="str">
        <x:v>Original candidate ID and row fields reconstructed from the compact narrative PDF table; this is not the missing original structured record.</x:v>
      </x:c>
    </x:row>
    <x:row r="66" ht="30" customHeight="1">
      <x:c r="A66" s="40" t="str">
        <x:v>FT-SEED-R1-1988-A-02</x:v>
      </x:c>
      <x:c r="B66" s="19" t="str">
        <x:v>INITIAL_180</x:v>
      </x:c>
      <x:c r="C66" s="31" t="str">
        <x:v>1988-A-02</x:v>
      </x:c>
      <x:c r="D66" s="31" t="str">
        <x:v>13</x:v>
      </x:c>
      <x:c r="E66" s="19" t="str">
        <x:v>FT-A1988</x:v>
      </x:c>
      <x:c r="F66" s="31" t="str">
        <x:v>warming</x:v>
      </x:c>
      <x:c r="G66" s="19" t="str">
        <x:v>A</x:v>
      </x:c>
      <x:c r="H66" s="19" t="str">
        <x:v>NOT_ANNOTATED_IN_SOURCE</x:v>
      </x:c>
      <x:c r="I66" s="31" t="str">
        <x:v>E88-1,2,4</x:v>
      </x:c>
      <x:c r="J66" s="19" t="str">
        <x:v>NOT_ANNOTATED_IN_SOURCE</x:v>
      </x:c>
      <x:c r="K66" s="19" t="str">
        <x:v>CONFIDENCE=Strong;CARRY_FORWARD=Yes</x:v>
      </x:c>
      <x:c r="L66" s="19" t="str">
        <x:v>Strong</x:v>
      </x:c>
      <x:c r="M66" s="19" t="str">
        <x:v>Yes</x:v>
      </x:c>
      <x:c r="N66" s="31" t="str">
        <x:v>RECONSTRUCTED_FROM_REPORT</x:v>
      </x:c>
      <x:c r="O66" s="31" t="str">
        <x:v>RETAIN</x:v>
      </x:c>
      <x:c r="P66" s="19" t="str">
        <x:v>Fear of Temperature_ Historical Lexical Discovery and Anchor Validation.pdf</x:v>
      </x:c>
      <x:c r="Q66" s="31" t="str">
        <x:v>RECONSTRUCTED_FROM_REPORT</x:v>
      </x:c>
      <x:c r="R66" s="43" t="str">
        <x:v>Original candidate ID and row fields reconstructed from the compact narrative PDF table; this is not the missing original structured record.</x:v>
      </x:c>
    </x:row>
    <x:row r="67" ht="30" customHeight="1">
      <x:c r="A67" s="40" t="str">
        <x:v>FT-SEED-R1-1988-A-03</x:v>
      </x:c>
      <x:c r="B67" s="19" t="str">
        <x:v>INITIAL_180</x:v>
      </x:c>
      <x:c r="C67" s="31" t="str">
        <x:v>1988-A-03</x:v>
      </x:c>
      <x:c r="D67" s="31" t="str">
        <x:v>13</x:v>
      </x:c>
      <x:c r="E67" s="19" t="str">
        <x:v>FT-A1988</x:v>
      </x:c>
      <x:c r="F67" s="31" t="str">
        <x:v>climate warming</x:v>
      </x:c>
      <x:c r="G67" s="19" t="str">
        <x:v>A</x:v>
      </x:c>
      <x:c r="H67" s="19" t="str">
        <x:v>NOT_ANNOTATED_IN_SOURCE</x:v>
      </x:c>
      <x:c r="I67" s="31" t="str">
        <x:v>E88-2</x:v>
      </x:c>
      <x:c r="J67" s="19" t="str">
        <x:v>NOT_ANNOTATED_IN_SOURCE</x:v>
      </x:c>
      <x:c r="K67" s="19" t="str">
        <x:v>CONFIDENCE=Strong;CARRY_FORWARD=Yes</x:v>
      </x:c>
      <x:c r="L67" s="19" t="str">
        <x:v>Strong</x:v>
      </x:c>
      <x:c r="M67" s="19" t="str">
        <x:v>Yes</x:v>
      </x:c>
      <x:c r="N67" s="31" t="str">
        <x:v>RECONSTRUCTED_FROM_REPORT</x:v>
      </x:c>
      <x:c r="O67" s="31" t="str">
        <x:v>RETAIN</x:v>
      </x:c>
      <x:c r="P67" s="19" t="str">
        <x:v>Fear of Temperature_ Historical Lexical Discovery and Anchor Validation.pdf</x:v>
      </x:c>
      <x:c r="Q67" s="31" t="str">
        <x:v>RECONSTRUCTED_FROM_REPORT</x:v>
      </x:c>
      <x:c r="R67" s="43" t="str">
        <x:v>Original candidate ID and row fields reconstructed from the compact narrative PDF table; this is not the missing original structured record.</x:v>
      </x:c>
    </x:row>
    <x:row r="68" ht="30" customHeight="1">
      <x:c r="A68" s="40" t="str">
        <x:v>FT-SEED-R1-1988-A-04</x:v>
      </x:c>
      <x:c r="B68" s="19" t="str">
        <x:v>INITIAL_180</x:v>
      </x:c>
      <x:c r="C68" s="31" t="str">
        <x:v>1988-A-04</x:v>
      </x:c>
      <x:c r="D68" s="31" t="str">
        <x:v>13</x:v>
      </x:c>
      <x:c r="E68" s="19" t="str">
        <x:v>FT-A1988</x:v>
      </x:c>
      <x:c r="F68" s="31" t="str">
        <x:v>global temperature</x:v>
      </x:c>
      <x:c r="G68" s="19" t="str">
        <x:v>A</x:v>
      </x:c>
      <x:c r="H68" s="19" t="str">
        <x:v>NOT_ANNOTATED_IN_SOURCE</x:v>
      </x:c>
      <x:c r="I68" s="31" t="str">
        <x:v>E88-4</x:v>
      </x:c>
      <x:c r="J68" s="19" t="str">
        <x:v>NOT_ANNOTATED_IN_SOURCE</x:v>
      </x:c>
      <x:c r="K68" s="19" t="str">
        <x:v>CONFIDENCE=Moderate;CARRY_FORWARD=Yes</x:v>
      </x:c>
      <x:c r="L68" s="19" t="str">
        <x:v>Moderate</x:v>
      </x:c>
      <x:c r="M68" s="19" t="str">
        <x:v>Yes</x:v>
      </x:c>
      <x:c r="N68" s="31" t="str">
        <x:v>RECONSTRUCTED_FROM_REPORT</x:v>
      </x:c>
      <x:c r="O68" s="31" t="str">
        <x:v>RETAIN</x:v>
      </x:c>
      <x:c r="P68" s="19" t="str">
        <x:v>Fear of Temperature_ Historical Lexical Discovery and Anchor Validation.pdf</x:v>
      </x:c>
      <x:c r="Q68" s="31" t="str">
        <x:v>RECONSTRUCTED_FROM_REPORT</x:v>
      </x:c>
      <x:c r="R68" s="43" t="str">
        <x:v>Original candidate ID and row fields reconstructed from the compact narrative PDF table; this is not the missing original structured record.</x:v>
      </x:c>
    </x:row>
    <x:row r="69" ht="30" customHeight="1">
      <x:c r="A69" s="40" t="str">
        <x:v>FT-SEED-R1-1988-A-05</x:v>
      </x:c>
      <x:c r="B69" s="19" t="str">
        <x:v>INITIAL_180</x:v>
      </x:c>
      <x:c r="C69" s="31" t="str">
        <x:v>1988-A-05</x:v>
      </x:c>
      <x:c r="D69" s="31" t="str">
        <x:v>14</x:v>
      </x:c>
      <x:c r="E69" s="19" t="str">
        <x:v>FT-A1988</x:v>
      </x:c>
      <x:c r="F69" s="31" t="str">
        <x:v>temperature rise</x:v>
      </x:c>
      <x:c r="G69" s="19" t="str">
        <x:v>A</x:v>
      </x:c>
      <x:c r="H69" s="19" t="str">
        <x:v>NOT_ANNOTATED_IN_SOURCE</x:v>
      </x:c>
      <x:c r="I69" s="31" t="str">
        <x:v>E88-1,4</x:v>
      </x:c>
      <x:c r="J69" s="19" t="str">
        <x:v>NOT_ANNOTATED_IN_SOURCE</x:v>
      </x:c>
      <x:c r="K69" s="19" t="str">
        <x:v>CONFIDENCE=Moderate;CARRY_FORWARD=Conditional</x:v>
      </x:c>
      <x:c r="L69" s="19" t="str">
        <x:v>Moderate</x:v>
      </x:c>
      <x:c r="M69" s="19" t="str">
        <x:v>Conditional</x:v>
      </x:c>
      <x:c r="N69" s="31" t="str">
        <x:v>RECONSTRUCTED_FROM_REPORT</x:v>
      </x:c>
      <x:c r="O69" s="31" t="str">
        <x:v>UNRESOLVED</x:v>
      </x:c>
      <x:c r="P69" s="19" t="str">
        <x:v>Fear of Temperature_ Historical Lexical Discovery and Anchor Validation.pdf</x:v>
      </x:c>
      <x:c r="Q69" s="31" t="str">
        <x:v>RECONSTRUCTED_FROM_REPORT</x:v>
      </x:c>
      <x:c r="R69" s="43" t="str">
        <x:v>Original candidate ID and row fields reconstructed from the compact narrative PDF table; this is not the missing original structured record.</x:v>
      </x:c>
    </x:row>
    <x:row r="70" ht="30" customHeight="1">
      <x:c r="A70" s="40" t="str">
        <x:v>FT-SEED-R1-1988-A-06</x:v>
      </x:c>
      <x:c r="B70" s="19" t="str">
        <x:v>INITIAL_180</x:v>
      </x:c>
      <x:c r="C70" s="31" t="str">
        <x:v>1988-A-06</x:v>
      </x:c>
      <x:c r="D70" s="31" t="str">
        <x:v>14</x:v>
      </x:c>
      <x:c r="E70" s="19" t="str">
        <x:v>FT-A1988</x:v>
      </x:c>
      <x:c r="F70" s="31" t="str">
        <x:v>temperature increase</x:v>
      </x:c>
      <x:c r="G70" s="19" t="str">
        <x:v>A</x:v>
      </x:c>
      <x:c r="H70" s="19" t="str">
        <x:v>NOT_ANNOTATED_IN_SOURCE</x:v>
      </x:c>
      <x:c r="I70" s="31" t="str">
        <x:v>E88-4</x:v>
      </x:c>
      <x:c r="J70" s="19" t="str">
        <x:v>NOT_ANNOTATED_IN_SOURCE</x:v>
      </x:c>
      <x:c r="K70" s="19" t="str">
        <x:v>CONFIDENCE=Moderate;CARRY_FORWARD=Yes</x:v>
      </x:c>
      <x:c r="L70" s="19" t="str">
        <x:v>Moderate</x:v>
      </x:c>
      <x:c r="M70" s="19" t="str">
        <x:v>Yes</x:v>
      </x:c>
      <x:c r="N70" s="31" t="str">
        <x:v>RECONSTRUCTED_FROM_REPORT</x:v>
      </x:c>
      <x:c r="O70" s="31" t="str">
        <x:v>RETAIN</x:v>
      </x:c>
      <x:c r="P70" s="19" t="str">
        <x:v>Fear of Temperature_ Historical Lexical Discovery and Anchor Validation.pdf</x:v>
      </x:c>
      <x:c r="Q70" s="31" t="str">
        <x:v>RECONSTRUCTED_FROM_REPORT</x:v>
      </x:c>
      <x:c r="R70" s="43" t="str">
        <x:v>Original candidate ID and row fields reconstructed from the compact narrative PDF table; this is not the missing original structured record.</x:v>
      </x:c>
    </x:row>
    <x:row r="71" ht="30" customHeight="1">
      <x:c r="A71" s="40" t="str">
        <x:v>FT-SEED-R1-1988-A-07</x:v>
      </x:c>
      <x:c r="B71" s="19" t="str">
        <x:v>INITIAL_180</x:v>
      </x:c>
      <x:c r="C71" s="31" t="str">
        <x:v>1988-A-07</x:v>
      </x:c>
      <x:c r="D71" s="31" t="str">
        <x:v>14</x:v>
      </x:c>
      <x:c r="E71" s="19" t="str">
        <x:v>FT-A1988</x:v>
      </x:c>
      <x:c r="F71" s="31" t="str">
        <x:v>warming trend</x:v>
      </x:c>
      <x:c r="G71" s="19" t="str">
        <x:v>A</x:v>
      </x:c>
      <x:c r="H71" s="19" t="str">
        <x:v>NOT_ANNOTATED_IN_SOURCE</x:v>
      </x:c>
      <x:c r="I71" s="31" t="str">
        <x:v>E88-4</x:v>
      </x:c>
      <x:c r="J71" s="19" t="str">
        <x:v>NOT_ANNOTATED_IN_SOURCE</x:v>
      </x:c>
      <x:c r="K71" s="19" t="str">
        <x:v>CONFIDENCE=Moderate;CARRY_FORWARD=Conditional</x:v>
      </x:c>
      <x:c r="L71" s="19" t="str">
        <x:v>Moderate</x:v>
      </x:c>
      <x:c r="M71" s="19" t="str">
        <x:v>Conditional</x:v>
      </x:c>
      <x:c r="N71" s="31" t="str">
        <x:v>RECONSTRUCTED_FROM_REPORT</x:v>
      </x:c>
      <x:c r="O71" s="31" t="str">
        <x:v>UNRESOLVED</x:v>
      </x:c>
      <x:c r="P71" s="19" t="str">
        <x:v>Fear of Temperature_ Historical Lexical Discovery and Anchor Validation.pdf</x:v>
      </x:c>
      <x:c r="Q71" s="31" t="str">
        <x:v>RECONSTRUCTED_FROM_REPORT</x:v>
      </x:c>
      <x:c r="R71" s="43" t="str">
        <x:v>Original candidate ID and row fields reconstructed from the compact narrative PDF table; this is not the missing original structured record.</x:v>
      </x:c>
    </x:row>
    <x:row r="72" ht="30" customHeight="1">
      <x:c r="A72" s="40" t="str">
        <x:v>FT-SEED-R1-1988-A-08</x:v>
      </x:c>
      <x:c r="B72" s="19" t="str">
        <x:v>INITIAL_180</x:v>
      </x:c>
      <x:c r="C72" s="31" t="str">
        <x:v>1988-A-08</x:v>
      </x:c>
      <x:c r="D72" s="31" t="str">
        <x:v>14</x:v>
      </x:c>
      <x:c r="E72" s="19" t="str">
        <x:v>FT-A1988</x:v>
      </x:c>
      <x:c r="F72" s="31" t="str">
        <x:v>summer heat waves</x:v>
      </x:c>
      <x:c r="G72" s="19" t="str">
        <x:v>A</x:v>
      </x:c>
      <x:c r="H72" s="19" t="str">
        <x:v>NOT_ANNOTATED_IN_SOURCE</x:v>
      </x:c>
      <x:c r="I72" s="31" t="str">
        <x:v>E88-4</x:v>
      </x:c>
      <x:c r="J72" s="19" t="str">
        <x:v>NOT_ANNOTATED_IN_SOURCE</x:v>
      </x:c>
      <x:c r="K72" s="19" t="str">
        <x:v>CONFIDENCE=Moderate;CARRY_FORWARD=Yes</x:v>
      </x:c>
      <x:c r="L72" s="19" t="str">
        <x:v>Moderate</x:v>
      </x:c>
      <x:c r="M72" s="19" t="str">
        <x:v>Yes</x:v>
      </x:c>
      <x:c r="N72" s="31" t="str">
        <x:v>RECONSTRUCTED_FROM_REPORT</x:v>
      </x:c>
      <x:c r="O72" s="31" t="str">
        <x:v>RETAIN</x:v>
      </x:c>
      <x:c r="P72" s="19" t="str">
        <x:v>Fear of Temperature_ Historical Lexical Discovery and Anchor Validation.pdf</x:v>
      </x:c>
      <x:c r="Q72" s="31" t="str">
        <x:v>RECONSTRUCTED_FROM_REPORT</x:v>
      </x:c>
      <x:c r="R72" s="43" t="str">
        <x:v>Original candidate ID and row fields reconstructed from the compact narrative PDF table; this is not the missing original structured record.</x:v>
      </x:c>
    </x:row>
    <x:row r="73" ht="30" customHeight="1">
      <x:c r="A73" s="40" t="str">
        <x:v>FT-SEED-R1-1988-B-01</x:v>
      </x:c>
      <x:c r="B73" s="19" t="str">
        <x:v>INITIAL_180</x:v>
      </x:c>
      <x:c r="C73" s="31" t="str">
        <x:v>1988-B-01</x:v>
      </x:c>
      <x:c r="D73" s="31" t="str">
        <x:v>14</x:v>
      </x:c>
      <x:c r="E73" s="19" t="str">
        <x:v>FT-A1988</x:v>
      </x:c>
      <x:c r="F73" s="31" t="str">
        <x:v>climate change</x:v>
      </x:c>
      <x:c r="G73" s="19" t="str">
        <x:v>B</x:v>
      </x:c>
      <x:c r="H73" s="19" t="str">
        <x:v>NOT_ANNOTATED_IN_SOURCE</x:v>
      </x:c>
      <x:c r="I73" s="31" t="str">
        <x:v>E88-1,3</x:v>
      </x:c>
      <x:c r="J73" s="19" t="str">
        <x:v>NOT_ANNOTATED_IN_SOURCE</x:v>
      </x:c>
      <x:c r="K73" s="19" t="str">
        <x:v>CONFIDENCE=Strong;CARRY_FORWARD=Yes</x:v>
      </x:c>
      <x:c r="L73" s="19" t="str">
        <x:v>Strong</x:v>
      </x:c>
      <x:c r="M73" s="19" t="str">
        <x:v>Yes</x:v>
      </x:c>
      <x:c r="N73" s="31" t="str">
        <x:v>RECONSTRUCTED_FROM_REPORT</x:v>
      </x:c>
      <x:c r="O73" s="31" t="str">
        <x:v>RETAIN</x:v>
      </x:c>
      <x:c r="P73" s="19" t="str">
        <x:v>Fear of Temperature_ Historical Lexical Discovery and Anchor Validation.pdf</x:v>
      </x:c>
      <x:c r="Q73" s="31" t="str">
        <x:v>RECONSTRUCTED_FROM_REPORT</x:v>
      </x:c>
      <x:c r="R73" s="43" t="str">
        <x:v>Original candidate ID and row fields reconstructed from the compact narrative PDF table; this is not the missing original structured record.</x:v>
      </x:c>
    </x:row>
    <x:row r="74" ht="30" customHeight="1">
      <x:c r="A74" s="40" t="str">
        <x:v>FT-SEED-R1-1988-B-02</x:v>
      </x:c>
      <x:c r="B74" s="19" t="str">
        <x:v>INITIAL_180</x:v>
      </x:c>
      <x:c r="C74" s="31" t="str">
        <x:v>1988-B-02</x:v>
      </x:c>
      <x:c r="D74" s="31" t="str">
        <x:v>14</x:v>
      </x:c>
      <x:c r="E74" s="19" t="str">
        <x:v>FT-A1988</x:v>
      </x:c>
      <x:c r="F74" s="31" t="str">
        <x:v>climatic change</x:v>
      </x:c>
      <x:c r="G74" s="19" t="str">
        <x:v>B</x:v>
      </x:c>
      <x:c r="H74" s="19" t="str">
        <x:v>NOT_ANNOTATED_IN_SOURCE</x:v>
      </x:c>
      <x:c r="I74" s="31" t="str">
        <x:v>E88-1</x:v>
      </x:c>
      <x:c r="J74" s="19" t="str">
        <x:v>NOT_ANNOTATED_IN_SOURCE</x:v>
      </x:c>
      <x:c r="K74" s="19" t="str">
        <x:v>CONFIDENCE=Strong;CARRY_FORWARD=Yes</x:v>
      </x:c>
      <x:c r="L74" s="19" t="str">
        <x:v>Strong</x:v>
      </x:c>
      <x:c r="M74" s="19" t="str">
        <x:v>Yes</x:v>
      </x:c>
      <x:c r="N74" s="31" t="str">
        <x:v>RECONSTRUCTED_FROM_REPORT</x:v>
      </x:c>
      <x:c r="O74" s="31" t="str">
        <x:v>RETAIN</x:v>
      </x:c>
      <x:c r="P74" s="19" t="str">
        <x:v>Fear of Temperature_ Historical Lexical Discovery and Anchor Validation.pdf</x:v>
      </x:c>
      <x:c r="Q74" s="31" t="str">
        <x:v>RECONSTRUCTED_FROM_REPORT</x:v>
      </x:c>
      <x:c r="R74" s="43" t="str">
        <x:v>Original candidate ID and row fields reconstructed from the compact narrative PDF table; this is not the missing original structured record.</x:v>
      </x:c>
    </x:row>
    <x:row r="75" ht="30" customHeight="1">
      <x:c r="A75" s="40" t="str">
        <x:v>FT-SEED-R1-1988-B-03</x:v>
      </x:c>
      <x:c r="B75" s="19" t="str">
        <x:v>INITIAL_180</x:v>
      </x:c>
      <x:c r="C75" s="31" t="str">
        <x:v>1988-B-03</x:v>
      </x:c>
      <x:c r="D75" s="31" t="str">
        <x:v>14</x:v>
      </x:c>
      <x:c r="E75" s="19" t="str">
        <x:v>FT-A1988</x:v>
      </x:c>
      <x:c r="F75" s="31" t="str">
        <x:v>global climate</x:v>
      </x:c>
      <x:c r="G75" s="19" t="str">
        <x:v>B</x:v>
      </x:c>
      <x:c r="H75" s="19" t="str">
        <x:v>NOT_ANNOTATED_IN_SOURCE</x:v>
      </x:c>
      <x:c r="I75" s="31" t="str">
        <x:v>E88-1</x:v>
      </x:c>
      <x:c r="J75" s="19" t="str">
        <x:v>NOT_ANNOTATED_IN_SOURCE</x:v>
      </x:c>
      <x:c r="K75" s="19" t="str">
        <x:v>CONFIDENCE=Strong;CARRY_FORWARD=Yes</x:v>
      </x:c>
      <x:c r="L75" s="19" t="str">
        <x:v>Strong</x:v>
      </x:c>
      <x:c r="M75" s="19" t="str">
        <x:v>Yes</x:v>
      </x:c>
      <x:c r="N75" s="31" t="str">
        <x:v>RECONSTRUCTED_FROM_REPORT</x:v>
      </x:c>
      <x:c r="O75" s="31" t="str">
        <x:v>RETAIN</x:v>
      </x:c>
      <x:c r="P75" s="19" t="str">
        <x:v>Fear of Temperature_ Historical Lexical Discovery and Anchor Validation.pdf</x:v>
      </x:c>
      <x:c r="Q75" s="31" t="str">
        <x:v>RECONSTRUCTED_FROM_REPORT</x:v>
      </x:c>
      <x:c r="R75" s="43" t="str">
        <x:v>Original candidate ID and row fields reconstructed from the compact narrative PDF table; this is not the missing original structured record.</x:v>
      </x:c>
    </x:row>
    <x:row r="76" ht="30" customHeight="1">
      <x:c r="A76" s="40" t="str">
        <x:v>FT-SEED-R1-1988-B-04</x:v>
      </x:c>
      <x:c r="B76" s="19" t="str">
        <x:v>INITIAL_180</x:v>
      </x:c>
      <x:c r="C76" s="31" t="str">
        <x:v>1988-B-04</x:v>
      </x:c>
      <x:c r="D76" s="31" t="str">
        <x:v>14</x:v>
      </x:c>
      <x:c r="E76" s="19" t="str">
        <x:v>FT-A1988</x:v>
      </x:c>
      <x:c r="F76" s="31" t="str">
        <x:v>global climate patterns</x:v>
      </x:c>
      <x:c r="G76" s="19" t="str">
        <x:v>B</x:v>
      </x:c>
      <x:c r="H76" s="19" t="str">
        <x:v>NOT_ANNOTATED_IN_SOURCE</x:v>
      </x:c>
      <x:c r="I76" s="31" t="str">
        <x:v>E88-1</x:v>
      </x:c>
      <x:c r="J76" s="19" t="str">
        <x:v>NOT_ANNOTATED_IN_SOURCE</x:v>
      </x:c>
      <x:c r="K76" s="19" t="str">
        <x:v>CONFIDENCE=Strong;CARRY_FORWARD=Yes</x:v>
      </x:c>
      <x:c r="L76" s="19" t="str">
        <x:v>Strong</x:v>
      </x:c>
      <x:c r="M76" s="19" t="str">
        <x:v>Yes</x:v>
      </x:c>
      <x:c r="N76" s="31" t="str">
        <x:v>RECONSTRUCTED_FROM_REPORT</x:v>
      </x:c>
      <x:c r="O76" s="31" t="str">
        <x:v>RETAIN</x:v>
      </x:c>
      <x:c r="P76" s="19" t="str">
        <x:v>Fear of Temperature_ Historical Lexical Discovery and Anchor Validation.pdf</x:v>
      </x:c>
      <x:c r="Q76" s="31" t="str">
        <x:v>RECONSTRUCTED_FROM_REPORT</x:v>
      </x:c>
      <x:c r="R76" s="43" t="str">
        <x:v>Original candidate ID and row fields reconstructed from the compact narrative PDF table; this is not the missing original structured record.</x:v>
      </x:c>
    </x:row>
    <x:row r="77" ht="30" customHeight="1">
      <x:c r="A77" s="40" t="str">
        <x:v>FT-SEED-R1-1988-B-05</x:v>
      </x:c>
      <x:c r="B77" s="19" t="str">
        <x:v>INITIAL_180</x:v>
      </x:c>
      <x:c r="C77" s="31" t="str">
        <x:v>1988-B-05</x:v>
      </x:c>
      <x:c r="D77" s="31" t="str">
        <x:v>14</x:v>
      </x:c>
      <x:c r="E77" s="19" t="str">
        <x:v>FT-A1988</x:v>
      </x:c>
      <x:c r="F77" s="31" t="str">
        <x:v>greenhouse gases</x:v>
      </x:c>
      <x:c r="G77" s="19" t="str">
        <x:v>B</x:v>
      </x:c>
      <x:c r="H77" s="19" t="str">
        <x:v>NOT_ANNOTATED_IN_SOURCE</x:v>
      </x:c>
      <x:c r="I77" s="31" t="str">
        <x:v>E88-1</x:v>
      </x:c>
      <x:c r="J77" s="19" t="str">
        <x:v>NOT_ANNOTATED_IN_SOURCE</x:v>
      </x:c>
      <x:c r="K77" s="19" t="str">
        <x:v>CONFIDENCE=Strong;CARRY_FORWARD=Yes</x:v>
      </x:c>
      <x:c r="L77" s="19" t="str">
        <x:v>Strong</x:v>
      </x:c>
      <x:c r="M77" s="19" t="str">
        <x:v>Yes</x:v>
      </x:c>
      <x:c r="N77" s="31" t="str">
        <x:v>RECONSTRUCTED_FROM_REPORT</x:v>
      </x:c>
      <x:c r="O77" s="31" t="str">
        <x:v>RETAIN</x:v>
      </x:c>
      <x:c r="P77" s="19" t="str">
        <x:v>Fear of Temperature_ Historical Lexical Discovery and Anchor Validation.pdf</x:v>
      </x:c>
      <x:c r="Q77" s="31" t="str">
        <x:v>RECONSTRUCTED_FROM_REPORT</x:v>
      </x:c>
      <x:c r="R77" s="43" t="str">
        <x:v>Original candidate ID and row fields reconstructed from the compact narrative PDF table; this is not the missing original structured record.</x:v>
      </x:c>
    </x:row>
    <x:row r="78" ht="30" customHeight="1">
      <x:c r="A78" s="40" t="str">
        <x:v>FT-SEED-R1-1988-B-06</x:v>
      </x:c>
      <x:c r="B78" s="19" t="str">
        <x:v>INITIAL_180</x:v>
      </x:c>
      <x:c r="C78" s="31" t="str">
        <x:v>1988-B-06</x:v>
      </x:c>
      <x:c r="D78" s="31" t="str">
        <x:v>15</x:v>
      </x:c>
      <x:c r="E78" s="19" t="str">
        <x:v>FT-A1988</x:v>
      </x:c>
      <x:c r="F78" s="31" t="str">
        <x:v>atmospheric concentrations</x:v>
      </x:c>
      <x:c r="G78" s="19" t="str">
        <x:v>B</x:v>
      </x:c>
      <x:c r="H78" s="19" t="str">
        <x:v>NOT_ANNOTATED_IN_SOURCE</x:v>
      </x:c>
      <x:c r="I78" s="31" t="str">
        <x:v>E88-1</x:v>
      </x:c>
      <x:c r="J78" s="19" t="str">
        <x:v>NOT_ANNOTATED_IN_SOURCE</x:v>
      </x:c>
      <x:c r="K78" s="19" t="str">
        <x:v>CONFIDENCE=Strong;CARRY_FORWARD=Yes</x:v>
      </x:c>
      <x:c r="L78" s="19" t="str">
        <x:v>Strong</x:v>
      </x:c>
      <x:c r="M78" s="19" t="str">
        <x:v>Yes</x:v>
      </x:c>
      <x:c r="N78" s="31" t="str">
        <x:v>RECONSTRUCTED_FROM_REPORT</x:v>
      </x:c>
      <x:c r="O78" s="31" t="str">
        <x:v>RETAIN</x:v>
      </x:c>
      <x:c r="P78" s="19" t="str">
        <x:v>Fear of Temperature_ Historical Lexical Discovery and Anchor Validation.pdf</x:v>
      </x:c>
      <x:c r="Q78" s="31" t="str">
        <x:v>RECONSTRUCTED_FROM_REPORT</x:v>
      </x:c>
      <x:c r="R78" s="43" t="str">
        <x:v>Original candidate ID and row fields reconstructed from the compact narrative PDF table; this is not the missing original structured record.</x:v>
      </x:c>
    </x:row>
    <x:row r="79" ht="30" customHeight="1">
      <x:c r="A79" s="40" t="str">
        <x:v>FT-SEED-R1-1988-B-07</x:v>
      </x:c>
      <x:c r="B79" s="19" t="str">
        <x:v>INITIAL_180</x:v>
      </x:c>
      <x:c r="C79" s="31" t="str">
        <x:v>1988-B-07</x:v>
      </x:c>
      <x:c r="D79" s="31" t="str">
        <x:v>15</x:v>
      </x:c>
      <x:c r="E79" s="19" t="str">
        <x:v>FT-A1988</x:v>
      </x:c>
      <x:c r="F79" s="31" t="str">
        <x:v>human activities</x:v>
      </x:c>
      <x:c r="G79" s="19" t="str">
        <x:v>B</x:v>
      </x:c>
      <x:c r="H79" s="19" t="str">
        <x:v>NOT_ANNOTATED_IN_SOURCE</x:v>
      </x:c>
      <x:c r="I79" s="31" t="str">
        <x:v>E88-1</x:v>
      </x:c>
      <x:c r="J79" s="19" t="str">
        <x:v>NOT_ANNOTATED_IN_SOURCE</x:v>
      </x:c>
      <x:c r="K79" s="19" t="str">
        <x:v>CONFIDENCE=Strong;CARRY_FORWARD=Yes</x:v>
      </x:c>
      <x:c r="L79" s="19" t="str">
        <x:v>Strong</x:v>
      </x:c>
      <x:c r="M79" s="19" t="str">
        <x:v>Yes</x:v>
      </x:c>
      <x:c r="N79" s="31" t="str">
        <x:v>RECONSTRUCTED_FROM_REPORT</x:v>
      </x:c>
      <x:c r="O79" s="31" t="str">
        <x:v>RETAIN</x:v>
      </x:c>
      <x:c r="P79" s="19" t="str">
        <x:v>Fear of Temperature_ Historical Lexical Discovery and Anchor Validation.pdf</x:v>
      </x:c>
      <x:c r="Q79" s="31" t="str">
        <x:v>RECONSTRUCTED_FROM_REPORT</x:v>
      </x:c>
      <x:c r="R79" s="43" t="str">
        <x:v>Original candidate ID and row fields reconstructed from the compact narrative PDF table; this is not the missing original structured record.</x:v>
      </x:c>
    </x:row>
    <x:row r="80" ht="30" customHeight="1">
      <x:c r="A80" s="40" t="str">
        <x:v>FT-SEED-R1-1988-B-08</x:v>
      </x:c>
      <x:c r="B80" s="19" t="str">
        <x:v>INITIAL_180</x:v>
      </x:c>
      <x:c r="C80" s="31" t="str">
        <x:v>1988-B-08</x:v>
      </x:c>
      <x:c r="D80" s="31" t="str">
        <x:v>15</x:v>
      </x:c>
      <x:c r="E80" s="19" t="str">
        <x:v>FT-A1988</x:v>
      </x:c>
      <x:c r="F80" s="31" t="str">
        <x:v>changing atmosphere</x:v>
      </x:c>
      <x:c r="G80" s="19" t="str">
        <x:v>B</x:v>
      </x:c>
      <x:c r="H80" s="19" t="str">
        <x:v>NOT_ANNOTATED_IN_SOURCE</x:v>
      </x:c>
      <x:c r="I80" s="31" t="str">
        <x:v>E88-2</x:v>
      </x:c>
      <x:c r="J80" s="19" t="str">
        <x:v>NOT_ANNOTATED_IN_SOURCE</x:v>
      </x:c>
      <x:c r="K80" s="19" t="str">
        <x:v>CONFIDENCE=Strong;CARRY_FORWARD=Yes</x:v>
      </x:c>
      <x:c r="L80" s="19" t="str">
        <x:v>Strong</x:v>
      </x:c>
      <x:c r="M80" s="19" t="str">
        <x:v>Yes</x:v>
      </x:c>
      <x:c r="N80" s="31" t="str">
        <x:v>RECONSTRUCTED_FROM_REPORT</x:v>
      </x:c>
      <x:c r="O80" s="31" t="str">
        <x:v>RETAIN</x:v>
      </x:c>
      <x:c r="P80" s="19" t="str">
        <x:v>Fear of Temperature_ Historical Lexical Discovery and Anchor Validation.pdf</x:v>
      </x:c>
      <x:c r="Q80" s="31" t="str">
        <x:v>RECONSTRUCTED_FROM_REPORT</x:v>
      </x:c>
      <x:c r="R80" s="43" t="str">
        <x:v>Original candidate ID and row fields reconstructed from the compact narrative PDF table; this is not the missing original structured record.</x:v>
      </x:c>
    </x:row>
    <x:row r="81" ht="30" customHeight="1">
      <x:c r="A81" s="40" t="str">
        <x:v>FT-SEED-R1-1988-C-01</x:v>
      </x:c>
      <x:c r="B81" s="19" t="str">
        <x:v>INITIAL_180</x:v>
      </x:c>
      <x:c r="C81" s="31" t="str">
        <x:v>1988-C-01</x:v>
      </x:c>
      <x:c r="D81" s="31" t="str">
        <x:v>15</x:v>
      </x:c>
      <x:c r="E81" s="19" t="str">
        <x:v>FT-A1988</x:v>
      </x:c>
      <x:c r="F81" s="31" t="str">
        <x:v>concern</x:v>
      </x:c>
      <x:c r="G81" s="19" t="str">
        <x:v>C</x:v>
      </x:c>
      <x:c r="H81" s="19" t="str">
        <x:v>NOT_ANNOTATED_IN_SOURCE</x:v>
      </x:c>
      <x:c r="I81" s="31" t="str">
        <x:v>E88-1</x:v>
      </x:c>
      <x:c r="J81" s="19" t="str">
        <x:v>NOT_ANNOTATED_IN_SOURCE</x:v>
      </x:c>
      <x:c r="K81" s="19" t="str">
        <x:v>CONFIDENCE=Strong;CARRY_FORWARD=Yes</x:v>
      </x:c>
      <x:c r="L81" s="19" t="str">
        <x:v>Strong</x:v>
      </x:c>
      <x:c r="M81" s="19" t="str">
        <x:v>Yes</x:v>
      </x:c>
      <x:c r="N81" s="31" t="str">
        <x:v>RECONSTRUCTED_FROM_REPORT</x:v>
      </x:c>
      <x:c r="O81" s="31" t="str">
        <x:v>RETAIN</x:v>
      </x:c>
      <x:c r="P81" s="19" t="str">
        <x:v>Fear of Temperature_ Historical Lexical Discovery and Anchor Validation.pdf</x:v>
      </x:c>
      <x:c r="Q81" s="31" t="str">
        <x:v>RECONSTRUCTED_FROM_REPORT</x:v>
      </x:c>
      <x:c r="R81" s="43" t="str">
        <x:v>Original candidate ID and row fields reconstructed from the compact narrative PDF table; this is not the missing original structured record.</x:v>
      </x:c>
    </x:row>
    <x:row r="82" ht="30" customHeight="1">
      <x:c r="A82" s="40" t="str">
        <x:v>FT-SEED-R1-1988-C-02</x:v>
      </x:c>
      <x:c r="B82" s="19" t="str">
        <x:v>INITIAL_180</x:v>
      </x:c>
      <x:c r="C82" s="31" t="str">
        <x:v>1988-C-02</x:v>
      </x:c>
      <x:c r="D82" s="31" t="str">
        <x:v>15</x:v>
      </x:c>
      <x:c r="E82" s="19" t="str">
        <x:v>FT-A1988</x:v>
      </x:c>
      <x:c r="F82" s="31" t="str">
        <x:v>concerned</x:v>
      </x:c>
      <x:c r="G82" s="19" t="str">
        <x:v>C</x:v>
      </x:c>
      <x:c r="H82" s="19" t="str">
        <x:v>NOT_ANNOTATED_IN_SOURCE</x:v>
      </x:c>
      <x:c r="I82" s="31" t="str">
        <x:v>E88-1</x:v>
      </x:c>
      <x:c r="J82" s="19" t="str">
        <x:v>NOT_ANNOTATED_IN_SOURCE</x:v>
      </x:c>
      <x:c r="K82" s="19" t="str">
        <x:v>CONFIDENCE=Strong;CARRY_FORWARD=Yes</x:v>
      </x:c>
      <x:c r="L82" s="19" t="str">
        <x:v>Strong</x:v>
      </x:c>
      <x:c r="M82" s="19" t="str">
        <x:v>Yes</x:v>
      </x:c>
      <x:c r="N82" s="31" t="str">
        <x:v>RECONSTRUCTED_FROM_REPORT</x:v>
      </x:c>
      <x:c r="O82" s="31" t="str">
        <x:v>RETAIN</x:v>
      </x:c>
      <x:c r="P82" s="19" t="str">
        <x:v>Fear of Temperature_ Historical Lexical Discovery and Anchor Validation.pdf</x:v>
      </x:c>
      <x:c r="Q82" s="31" t="str">
        <x:v>RECONSTRUCTED_FROM_REPORT</x:v>
      </x:c>
      <x:c r="R82" s="43" t="str">
        <x:v>Original candidate ID and row fields reconstructed from the compact narrative PDF table; this is not the missing original structured record.</x:v>
      </x:c>
    </x:row>
    <x:row r="83" ht="30" customHeight="1">
      <x:c r="A83" s="40" t="str">
        <x:v>FT-SEED-R1-1988-C-03</x:v>
      </x:c>
      <x:c r="B83" s="19" t="str">
        <x:v>INITIAL_180</x:v>
      </x:c>
      <x:c r="C83" s="31" t="str">
        <x:v>1988-C-03</x:v>
      </x:c>
      <x:c r="D83" s="31" t="str">
        <x:v>15</x:v>
      </x:c>
      <x:c r="E83" s="19" t="str">
        <x:v>FT-A1988</x:v>
      </x:c>
      <x:c r="F83" s="31" t="str">
        <x:v>alarm</x:v>
      </x:c>
      <x:c r="G83" s="19" t="str">
        <x:v>C</x:v>
      </x:c>
      <x:c r="H83" s="19" t="str">
        <x:v>NOT_ANNOTATED_IN_SOURCE</x:v>
      </x:c>
      <x:c r="I83" s="31" t="str">
        <x:v>E88-1,2</x:v>
      </x:c>
      <x:c r="J83" s="19" t="str">
        <x:v>NOT_ANNOTATED_IN_SOURCE</x:v>
      </x:c>
      <x:c r="K83" s="19" t="str">
        <x:v>CONFIDENCE=Weak;CARRY_FORWARD=No</x:v>
      </x:c>
      <x:c r="L83" s="19" t="str">
        <x:v>Weak</x:v>
      </x:c>
      <x:c r="M83" s="19" t="str">
        <x:v>No</x:v>
      </x:c>
      <x:c r="N83" s="31" t="str">
        <x:v>RECONSTRUCTED_FROM_REPORT</x:v>
      </x:c>
      <x:c r="O83" s="31" t="str">
        <x:v>EXCLUDE</x:v>
      </x:c>
      <x:c r="P83" s="19" t="str">
        <x:v>Fear of Temperature_ Historical Lexical Discovery and Anchor Validation.pdf</x:v>
      </x:c>
      <x:c r="Q83" s="31" t="str">
        <x:v>RECONSTRUCTED_FROM_REPORT</x:v>
      </x:c>
      <x:c r="R83" s="43" t="str">
        <x:v>Original candidate ID and row fields reconstructed from the compact narrative PDF table; this is not the missing original structured record.</x:v>
      </x:c>
    </x:row>
    <x:row r="84" ht="30" customHeight="1">
      <x:c r="A84" s="40" t="str">
        <x:v>FT-SEED-R1-1988-C-04</x:v>
      </x:c>
      <x:c r="B84" s="19" t="str">
        <x:v>INITIAL_180</x:v>
      </x:c>
      <x:c r="C84" s="31" t="str">
        <x:v>1988-C-04</x:v>
      </x:c>
      <x:c r="D84" s="31" t="str">
        <x:v>15</x:v>
      </x:c>
      <x:c r="E84" s="19" t="str">
        <x:v>FT-A1988</x:v>
      </x:c>
      <x:c r="F84" s="31" t="str">
        <x:v>fear</x:v>
      </x:c>
      <x:c r="G84" s="19" t="str">
        <x:v>C</x:v>
      </x:c>
      <x:c r="H84" s="19" t="str">
        <x:v>NOT_ANNOTATED_IN_SOURCE</x:v>
      </x:c>
      <x:c r="I84" s="31" t="str">
        <x:v>E88-1,2</x:v>
      </x:c>
      <x:c r="J84" s="19" t="str">
        <x:v>NOT_ANNOTATED_IN_SOURCE</x:v>
      </x:c>
      <x:c r="K84" s="19" t="str">
        <x:v>CONFIDENCE=Weak;CARRY_FORWARD=No</x:v>
      </x:c>
      <x:c r="L84" s="19" t="str">
        <x:v>Weak</x:v>
      </x:c>
      <x:c r="M84" s="19" t="str">
        <x:v>No</x:v>
      </x:c>
      <x:c r="N84" s="31" t="str">
        <x:v>RECONSTRUCTED_FROM_REPORT</x:v>
      </x:c>
      <x:c r="O84" s="31" t="str">
        <x:v>EXCLUDE</x:v>
      </x:c>
      <x:c r="P84" s="19" t="str">
        <x:v>Fear of Temperature_ Historical Lexical Discovery and Anchor Validation.pdf</x:v>
      </x:c>
      <x:c r="Q84" s="31" t="str">
        <x:v>RECONSTRUCTED_FROM_REPORT</x:v>
      </x:c>
      <x:c r="R84" s="43" t="str">
        <x:v>Original candidate ID and row fields reconstructed from the compact narrative PDF table; this is not the missing original structured record.</x:v>
      </x:c>
    </x:row>
    <x:row r="85" ht="30" customHeight="1">
      <x:c r="A85" s="40" t="str">
        <x:v>FT-SEED-R1-1988-C-05</x:v>
      </x:c>
      <x:c r="B85" s="19" t="str">
        <x:v>INITIAL_180</x:v>
      </x:c>
      <x:c r="C85" s="31" t="str">
        <x:v>1988-C-05</x:v>
      </x:c>
      <x:c r="D85" s="31" t="str">
        <x:v>15</x:v>
      </x:c>
      <x:c r="E85" s="19" t="str">
        <x:v>FT-A1988</x:v>
      </x:c>
      <x:c r="F85" s="31" t="str">
        <x:v>anxiety</x:v>
      </x:c>
      <x:c r="G85" s="19" t="str">
        <x:v>C</x:v>
      </x:c>
      <x:c r="H85" s="19" t="str">
        <x:v>NOT_ANNOTATED_IN_SOURCE</x:v>
      </x:c>
      <x:c r="I85" s="31" t="str">
        <x:v>E88-1,2</x:v>
      </x:c>
      <x:c r="J85" s="19" t="str">
        <x:v>NOT_ANNOTATED_IN_SOURCE</x:v>
      </x:c>
      <x:c r="K85" s="19" t="str">
        <x:v>CONFIDENCE=Weak;CARRY_FORWARD=No</x:v>
      </x:c>
      <x:c r="L85" s="19" t="str">
        <x:v>Weak</x:v>
      </x:c>
      <x:c r="M85" s="19" t="str">
        <x:v>No</x:v>
      </x:c>
      <x:c r="N85" s="31" t="str">
        <x:v>RECONSTRUCTED_FROM_REPORT</x:v>
      </x:c>
      <x:c r="O85" s="31" t="str">
        <x:v>EXCLUDE</x:v>
      </x:c>
      <x:c r="P85" s="19" t="str">
        <x:v>Fear of Temperature_ Historical Lexical Discovery and Anchor Validation.pdf</x:v>
      </x:c>
      <x:c r="Q85" s="31" t="str">
        <x:v>RECONSTRUCTED_FROM_REPORT</x:v>
      </x:c>
      <x:c r="R85" s="43" t="str">
        <x:v>Original candidate ID and row fields reconstructed from the compact narrative PDF table; this is not the missing original structured record.</x:v>
      </x:c>
    </x:row>
    <x:row r="86" ht="30" customHeight="1">
      <x:c r="A86" s="40" t="str">
        <x:v>FT-SEED-R1-1988-C-06</x:v>
      </x:c>
      <x:c r="B86" s="19" t="str">
        <x:v>INITIAL_180</x:v>
      </x:c>
      <x:c r="C86" s="31" t="str">
        <x:v>1988-C-06</x:v>
      </x:c>
      <x:c r="D86" s="31" t="str">
        <x:v>16</x:v>
      </x:c>
      <x:c r="E86" s="19" t="str">
        <x:v>FT-A1988</x:v>
      </x:c>
      <x:c r="F86" s="31" t="str">
        <x:v>worry</x:v>
      </x:c>
      <x:c r="G86" s="19" t="str">
        <x:v>C</x:v>
      </x:c>
      <x:c r="H86" s="19" t="str">
        <x:v>NOT_ANNOTATED_IN_SOURCE</x:v>
      </x:c>
      <x:c r="I86" s="31" t="str">
        <x:v>E88-1,2</x:v>
      </x:c>
      <x:c r="J86" s="19" t="str">
        <x:v>NOT_ANNOTATED_IN_SOURCE</x:v>
      </x:c>
      <x:c r="K86" s="19" t="str">
        <x:v>CONFIDENCE=Weak;CARRY_FORWARD=No</x:v>
      </x:c>
      <x:c r="L86" s="19" t="str">
        <x:v>Weak</x:v>
      </x:c>
      <x:c r="M86" s="19" t="str">
        <x:v>No</x:v>
      </x:c>
      <x:c r="N86" s="31" t="str">
        <x:v>RECONSTRUCTED_FROM_REPORT</x:v>
      </x:c>
      <x:c r="O86" s="31" t="str">
        <x:v>EXCLUDE</x:v>
      </x:c>
      <x:c r="P86" s="19" t="str">
        <x:v>Fear of Temperature_ Historical Lexical Discovery and Anchor Validation.pdf</x:v>
      </x:c>
      <x:c r="Q86" s="31" t="str">
        <x:v>RECONSTRUCTED_FROM_REPORT</x:v>
      </x:c>
      <x:c r="R86" s="43" t="str">
        <x:v>Original candidate ID and row fields reconstructed from the compact narrative PDF table; this is not the missing original structured record.</x:v>
      </x:c>
    </x:row>
    <x:row r="87" ht="30" customHeight="1">
      <x:c r="A87" s="40" t="str">
        <x:v>FT-SEED-R1-1988-C-07</x:v>
      </x:c>
      <x:c r="B87" s="19" t="str">
        <x:v>INITIAL_180</x:v>
      </x:c>
      <x:c r="C87" s="31" t="str">
        <x:v>1988-C-07</x:v>
      </x:c>
      <x:c r="D87" s="31" t="str">
        <x:v>16</x:v>
      </x:c>
      <x:c r="E87" s="19" t="str">
        <x:v>FT-A1988</x:v>
      </x:c>
      <x:c r="F87" s="31" t="str">
        <x:v>urgency</x:v>
      </x:c>
      <x:c r="G87" s="19" t="str">
        <x:v>C</x:v>
      </x:c>
      <x:c r="H87" s="19" t="str">
        <x:v>NOT_ANNOTATED_IN_SOURCE</x:v>
      </x:c>
      <x:c r="I87" s="31" t="str">
        <x:v>E88-1,2</x:v>
      </x:c>
      <x:c r="J87" s="19" t="str">
        <x:v>NOT_ANNOTATED_IN_SOURCE</x:v>
      </x:c>
      <x:c r="K87" s="19" t="str">
        <x:v>CONFIDENCE=Moderate;CARRY_FORWARD=Conditional</x:v>
      </x:c>
      <x:c r="L87" s="19" t="str">
        <x:v>Moderate</x:v>
      </x:c>
      <x:c r="M87" s="19" t="str">
        <x:v>Conditional</x:v>
      </x:c>
      <x:c r="N87" s="31" t="str">
        <x:v>RECONSTRUCTED_FROM_REPORT</x:v>
      </x:c>
      <x:c r="O87" s="31" t="str">
        <x:v>UNRESOLVED</x:v>
      </x:c>
      <x:c r="P87" s="19" t="str">
        <x:v>Fear of Temperature_ Historical Lexical Discovery and Anchor Validation.pdf</x:v>
      </x:c>
      <x:c r="Q87" s="31" t="str">
        <x:v>RECONSTRUCTED_FROM_REPORT</x:v>
      </x:c>
      <x:c r="R87" s="43" t="str">
        <x:v>Original candidate ID and row fields reconstructed from the compact narrative PDF table; this is not the missing original structured record.</x:v>
      </x:c>
    </x:row>
    <x:row r="88" ht="30" customHeight="1">
      <x:c r="A88" s="40" t="str">
        <x:v>FT-SEED-R1-1988-D-01</x:v>
      </x:c>
      <x:c r="B88" s="19" t="str">
        <x:v>INITIAL_180</x:v>
      </x:c>
      <x:c r="C88" s="31" t="str">
        <x:v>1988-D-01</x:v>
      </x:c>
      <x:c r="D88" s="31" t="str">
        <x:v>16</x:v>
      </x:c>
      <x:c r="E88" s="19" t="str">
        <x:v>FT-A1988</x:v>
      </x:c>
      <x:c r="F88" s="31" t="str">
        <x:v>threatening</x:v>
      </x:c>
      <x:c r="G88" s="19" t="str">
        <x:v>D</x:v>
      </x:c>
      <x:c r="H88" s="19" t="str">
        <x:v>NOT_ANNOTATED_IN_SOURCE</x:v>
      </x:c>
      <x:c r="I88" s="31" t="str">
        <x:v>E88-1</x:v>
      </x:c>
      <x:c r="J88" s="19" t="str">
        <x:v>NOT_ANNOTATED_IN_SOURCE</x:v>
      </x:c>
      <x:c r="K88" s="19" t="str">
        <x:v>CONFIDENCE=Strong;CARRY_FORWARD=Yes</x:v>
      </x:c>
      <x:c r="L88" s="19" t="str">
        <x:v>Strong</x:v>
      </x:c>
      <x:c r="M88" s="19" t="str">
        <x:v>Yes</x:v>
      </x:c>
      <x:c r="N88" s="31" t="str">
        <x:v>RECONSTRUCTED_FROM_REPORT</x:v>
      </x:c>
      <x:c r="O88" s="31" t="str">
        <x:v>RETAIN</x:v>
      </x:c>
      <x:c r="P88" s="19" t="str">
        <x:v>Fear of Temperature_ Historical Lexical Discovery and Anchor Validation.pdf</x:v>
      </x:c>
      <x:c r="Q88" s="31" t="str">
        <x:v>RECONSTRUCTED_FROM_REPORT</x:v>
      </x:c>
      <x:c r="R88" s="43" t="str">
        <x:v>Original candidate ID and row fields reconstructed from the compact narrative PDF table; this is not the missing original structured record.</x:v>
      </x:c>
    </x:row>
    <x:row r="89" ht="30" customHeight="1">
      <x:c r="A89" s="40" t="str">
        <x:v>FT-SEED-R1-1988-D-02</x:v>
      </x:c>
      <x:c r="B89" s="19" t="str">
        <x:v>INITIAL_180</x:v>
      </x:c>
      <x:c r="C89" s="31" t="str">
        <x:v>1988-D-02</x:v>
      </x:c>
      <x:c r="D89" s="31" t="str">
        <x:v>16</x:v>
      </x:c>
      <x:c r="E89" s="19" t="str">
        <x:v>FT-A1988</x:v>
      </x:c>
      <x:c r="F89" s="31" t="str">
        <x:v>severe consequences</x:v>
      </x:c>
      <x:c r="G89" s="19" t="str">
        <x:v>D</x:v>
      </x:c>
      <x:c r="H89" s="19" t="str">
        <x:v>NOT_ANNOTATED_IN_SOURCE</x:v>
      </x:c>
      <x:c r="I89" s="31" t="str">
        <x:v>E88-1</x:v>
      </x:c>
      <x:c r="J89" s="19" t="str">
        <x:v>NOT_ANNOTATED_IN_SOURCE</x:v>
      </x:c>
      <x:c r="K89" s="19" t="str">
        <x:v>CONFIDENCE=Strong;CARRY_FORWARD=Yes</x:v>
      </x:c>
      <x:c r="L89" s="19" t="str">
        <x:v>Strong</x:v>
      </x:c>
      <x:c r="M89" s="19" t="str">
        <x:v>Yes</x:v>
      </x:c>
      <x:c r="N89" s="31" t="str">
        <x:v>RECONSTRUCTED_FROM_REPORT</x:v>
      </x:c>
      <x:c r="O89" s="31" t="str">
        <x:v>RETAIN</x:v>
      </x:c>
      <x:c r="P89" s="19" t="str">
        <x:v>Fear of Temperature_ Historical Lexical Discovery and Anchor Validation.pdf</x:v>
      </x:c>
      <x:c r="Q89" s="31" t="str">
        <x:v>RECONSTRUCTED_FROM_REPORT</x:v>
      </x:c>
      <x:c r="R89" s="43" t="str">
        <x:v>Original candidate ID and row fields reconstructed from the compact narrative PDF table; this is not the missing original structured record.</x:v>
      </x:c>
    </x:row>
    <x:row r="90" ht="30" customHeight="1">
      <x:c r="A90" s="40" t="str">
        <x:v>FT-SEED-R1-1988-D-03</x:v>
      </x:c>
      <x:c r="B90" s="19" t="str">
        <x:v>INITIAL_180</x:v>
      </x:c>
      <x:c r="C90" s="31" t="str">
        <x:v>1988-D-03</x:v>
      </x:c>
      <x:c r="D90" s="31" t="str">
        <x:v>16</x:v>
      </x:c>
      <x:c r="E90" s="19" t="str">
        <x:v>FT-A1988</x:v>
      </x:c>
      <x:c r="F90" s="31" t="str">
        <x:v>disastrous</x:v>
      </x:c>
      <x:c r="G90" s="19" t="str">
        <x:v>D</x:v>
      </x:c>
      <x:c r="H90" s="19" t="str">
        <x:v>NOT_ANNOTATED_IN_SOURCE</x:v>
      </x:c>
      <x:c r="I90" s="31" t="str">
        <x:v>E88-1</x:v>
      </x:c>
      <x:c r="J90" s="19" t="str">
        <x:v>NOT_ANNOTATED_IN_SOURCE</x:v>
      </x:c>
      <x:c r="K90" s="19" t="str">
        <x:v>CONFIDENCE=Strong;CARRY_FORWARD=Yes</x:v>
      </x:c>
      <x:c r="L90" s="19" t="str">
        <x:v>Strong</x:v>
      </x:c>
      <x:c r="M90" s="19" t="str">
        <x:v>Yes</x:v>
      </x:c>
      <x:c r="N90" s="31" t="str">
        <x:v>RECONSTRUCTED_FROM_REPORT</x:v>
      </x:c>
      <x:c r="O90" s="31" t="str">
        <x:v>RETAIN</x:v>
      </x:c>
      <x:c r="P90" s="19" t="str">
        <x:v>Fear of Temperature_ Historical Lexical Discovery and Anchor Validation.pdf</x:v>
      </x:c>
      <x:c r="Q90" s="31" t="str">
        <x:v>RECONSTRUCTED_FROM_REPORT</x:v>
      </x:c>
      <x:c r="R90" s="43" t="str">
        <x:v>Original candidate ID and row fields reconstructed from the compact narrative PDF table; this is not the missing original structured record.</x:v>
      </x:c>
    </x:row>
    <x:row r="91" ht="30" customHeight="1">
      <x:c r="A91" s="40" t="str">
        <x:v>FT-SEED-R1-1988-D-04</x:v>
      </x:c>
      <x:c r="B91" s="19" t="str">
        <x:v>INITIAL_180</x:v>
      </x:c>
      <x:c r="C91" s="31" t="str">
        <x:v>1988-D-04</x:v>
      </x:c>
      <x:c r="D91" s="31" t="str">
        <x:v>16</x:v>
      </x:c>
      <x:c r="E91" s="19" t="str">
        <x:v>FT-A1988</x:v>
      </x:c>
      <x:c r="F91" s="31" t="str">
        <x:v>detrimental effects</x:v>
      </x:c>
      <x:c r="G91" s="19" t="str">
        <x:v>D</x:v>
      </x:c>
      <x:c r="H91" s="19" t="str">
        <x:v>NOT_ANNOTATED_IN_SOURCE</x:v>
      </x:c>
      <x:c r="I91" s="31" t="str">
        <x:v>E88-1</x:v>
      </x:c>
      <x:c r="J91" s="19" t="str">
        <x:v>NOT_ANNOTATED_IN_SOURCE</x:v>
      </x:c>
      <x:c r="K91" s="19" t="str">
        <x:v>CONFIDENCE=Strong;CARRY_FORWARD=Yes</x:v>
      </x:c>
      <x:c r="L91" s="19" t="str">
        <x:v>Strong</x:v>
      </x:c>
      <x:c r="M91" s="19" t="str">
        <x:v>Yes</x:v>
      </x:c>
      <x:c r="N91" s="31" t="str">
        <x:v>RECONSTRUCTED_FROM_REPORT</x:v>
      </x:c>
      <x:c r="O91" s="31" t="str">
        <x:v>RETAIN</x:v>
      </x:c>
      <x:c r="P91" s="19" t="str">
        <x:v>Fear of Temperature_ Historical Lexical Discovery and Anchor Validation.pdf</x:v>
      </x:c>
      <x:c r="Q91" s="31" t="str">
        <x:v>RECONSTRUCTED_FROM_REPORT</x:v>
      </x:c>
      <x:c r="R91" s="43" t="str">
        <x:v>Original candidate ID and row fields reconstructed from the compact narrative PDF table; this is not the missing original structured record.</x:v>
      </x:c>
    </x:row>
    <x:row r="92" ht="30" customHeight="1">
      <x:c r="A92" s="40" t="str">
        <x:v>FT-SEED-R1-1988-D-05</x:v>
      </x:c>
      <x:c r="B92" s="19" t="str">
        <x:v>INITIAL_180</x:v>
      </x:c>
      <x:c r="C92" s="31" t="str">
        <x:v>1988-D-05</x:v>
      </x:c>
      <x:c r="D92" s="31" t="str">
        <x:v>16</x:v>
      </x:c>
      <x:c r="E92" s="19" t="str">
        <x:v>FT-A1988</x:v>
      </x:c>
      <x:c r="F92" s="31" t="str">
        <x:v>critical problem</x:v>
      </x:c>
      <x:c r="G92" s="19" t="str">
        <x:v>D</x:v>
      </x:c>
      <x:c r="H92" s="19" t="str">
        <x:v>NOT_ANNOTATED_IN_SOURCE</x:v>
      </x:c>
      <x:c r="I92" s="31" t="str">
        <x:v>E88-2</x:v>
      </x:c>
      <x:c r="J92" s="19" t="str">
        <x:v>NOT_ANNOTATED_IN_SOURCE</x:v>
      </x:c>
      <x:c r="K92" s="19" t="str">
        <x:v>CONFIDENCE=Strong;CARRY_FORWARD=Yes</x:v>
      </x:c>
      <x:c r="L92" s="19" t="str">
        <x:v>Strong</x:v>
      </x:c>
      <x:c r="M92" s="19" t="str">
        <x:v>Yes</x:v>
      </x:c>
      <x:c r="N92" s="31" t="str">
        <x:v>RECONSTRUCTED_FROM_REPORT</x:v>
      </x:c>
      <x:c r="O92" s="31" t="str">
        <x:v>RETAIN</x:v>
      </x:c>
      <x:c r="P92" s="19" t="str">
        <x:v>Fear of Temperature_ Historical Lexical Discovery and Anchor Validation.pdf</x:v>
      </x:c>
      <x:c r="Q92" s="31" t="str">
        <x:v>RECONSTRUCTED_FROM_REPORT</x:v>
      </x:c>
      <x:c r="R92" s="43" t="str">
        <x:v>Original candidate ID and row fields reconstructed from the compact narrative PDF table; this is not the missing original structured record.</x:v>
      </x:c>
    </x:row>
    <x:row r="93" ht="30" customHeight="1">
      <x:c r="A93" s="40" t="str">
        <x:v>FT-SEED-R1-1988-D-06</x:v>
      </x:c>
      <x:c r="B93" s="19" t="str">
        <x:v>INITIAL_180</x:v>
      </x:c>
      <x:c r="C93" s="31" t="str">
        <x:v>1988-D-06</x:v>
      </x:c>
      <x:c r="D93" s="31" t="str">
        <x:v>17</x:v>
      </x:c>
      <x:c r="E93" s="19" t="str">
        <x:v>FT-A1988</x:v>
      </x:c>
      <x:c r="F93" s="31" t="str">
        <x:v>global security</x:v>
      </x:c>
      <x:c r="G93" s="19" t="str">
        <x:v>D</x:v>
      </x:c>
      <x:c r="H93" s="19" t="str">
        <x:v>NOT_ANNOTATED_IN_SOURCE</x:v>
      </x:c>
      <x:c r="I93" s="31" t="str">
        <x:v>E88-2</x:v>
      </x:c>
      <x:c r="J93" s="19" t="str">
        <x:v>E1</x:v>
      </x:c>
      <x:c r="K93" s="19" t="str">
        <x:v>CONFIDENCE=Strong;CARRY_FORWARD=Yes</x:v>
      </x:c>
      <x:c r="L93" s="19" t="str">
        <x:v>Strong</x:v>
      </x:c>
      <x:c r="M93" s="19" t="str">
        <x:v>Yes</x:v>
      </x:c>
      <x:c r="N93" s="31" t="str">
        <x:v>RECONSTRUCTED_FROM_REPORT</x:v>
      </x:c>
      <x:c r="O93" s="31" t="str">
        <x:v>RETAIN</x:v>
      </x:c>
      <x:c r="P93" s="19" t="str">
        <x:v>Fear of Temperature_ Historical Lexical Discovery and Anchor Validation.pdf</x:v>
      </x:c>
      <x:c r="Q93" s="31" t="str">
        <x:v>RECONSTRUCTED_FROM_REPORT</x:v>
      </x:c>
      <x:c r="R93" s="43" t="str">
        <x:v>Original candidate ID and row fields reconstructed from the compact narrative PDF table; this is not the missing original structured record.</x:v>
      </x:c>
    </x:row>
    <x:row r="94" ht="30" customHeight="1">
      <x:c r="A94" s="40" t="str">
        <x:v>FT-SEED-R1-1988-D-07</x:v>
      </x:c>
      <x:c r="B94" s="19" t="str">
        <x:v>INITIAL_180</x:v>
      </x:c>
      <x:c r="C94" s="31" t="str">
        <x:v>1988-D-07</x:v>
      </x:c>
      <x:c r="D94" s="31" t="str">
        <x:v>17</x:v>
      </x:c>
      <x:c r="E94" s="19" t="str">
        <x:v>FT-A1988</x:v>
      </x:c>
      <x:c r="F94" s="31" t="str">
        <x:v>ultimate consequences</x:v>
      </x:c>
      <x:c r="G94" s="19" t="str">
        <x:v>D</x:v>
      </x:c>
      <x:c r="H94" s="19" t="str">
        <x:v>NOT_ANNOTATED_IN_SOURCE</x:v>
      </x:c>
      <x:c r="I94" s="31" t="str">
        <x:v>E88-2</x:v>
      </x:c>
      <x:c r="J94" s="19" t="str">
        <x:v>NOT_ANNOTATED_IN_SOURCE</x:v>
      </x:c>
      <x:c r="K94" s="19" t="str">
        <x:v>CONFIDENCE=Strong;CARRY_FORWARD=Yes</x:v>
      </x:c>
      <x:c r="L94" s="19" t="str">
        <x:v>Strong</x:v>
      </x:c>
      <x:c r="M94" s="19" t="str">
        <x:v>Yes</x:v>
      </x:c>
      <x:c r="N94" s="31" t="str">
        <x:v>RECONSTRUCTED_FROM_REPORT</x:v>
      </x:c>
      <x:c r="O94" s="31" t="str">
        <x:v>RETAIN</x:v>
      </x:c>
      <x:c r="P94" s="19" t="str">
        <x:v>Fear of Temperature_ Historical Lexical Discovery and Anchor Validation.pdf</x:v>
      </x:c>
      <x:c r="Q94" s="31" t="str">
        <x:v>RECONSTRUCTED_FROM_REPORT</x:v>
      </x:c>
      <x:c r="R94" s="43" t="str">
        <x:v>Original candidate ID and row fields reconstructed from the compact narrative PDF table; this is not the missing original structured record.</x:v>
      </x:c>
    </x:row>
    <x:row r="95" ht="30" customHeight="1">
      <x:c r="A95" s="40" t="str">
        <x:v>FT-SEED-R1-0607-A-01</x:v>
      </x:c>
      <x:c r="B95" s="19" t="str">
        <x:v>INITIAL_180</x:v>
      </x:c>
      <x:c r="C95" s="31" t="str">
        <x:v>0607-A-01</x:v>
      </x:c>
      <x:c r="D95" s="31" t="str">
        <x:v>18</x:v>
      </x:c>
      <x:c r="E95" s="19" t="str">
        <x:v>FT-A0607</x:v>
      </x:c>
      <x:c r="F95" s="31" t="str">
        <x:v>global warming</x:v>
      </x:c>
      <x:c r="G95" s="19" t="str">
        <x:v>A</x:v>
      </x:c>
      <x:c r="H95" s="19" t="str">
        <x:v>NOT_ANNOTATED_IN_SOURCE</x:v>
      </x:c>
      <x:c r="I95" s="31" t="str">
        <x:v>E06-2,3</x:v>
      </x:c>
      <x:c r="J95" s="19" t="str">
        <x:v>NOT_ANNOTATED_IN_SOURCE</x:v>
      </x:c>
      <x:c r="K95" s="19" t="str">
        <x:v>CONFIDENCE=Strong;CARRY_FORWARD=Yes</x:v>
      </x:c>
      <x:c r="L95" s="19" t="str">
        <x:v>Strong</x:v>
      </x:c>
      <x:c r="M95" s="19" t="str">
        <x:v>Yes</x:v>
      </x:c>
      <x:c r="N95" s="31" t="str">
        <x:v>RECONSTRUCTED_FROM_REPORT</x:v>
      </x:c>
      <x:c r="O95" s="31" t="str">
        <x:v>RETAIN</x:v>
      </x:c>
      <x:c r="P95" s="19" t="str">
        <x:v>Fear of Temperature_ Historical Lexical Discovery and Anchor Validation.pdf</x:v>
      </x:c>
      <x:c r="Q95" s="31" t="str">
        <x:v>RECONSTRUCTED_FROM_REPORT</x:v>
      </x:c>
      <x:c r="R95" s="43" t="str">
        <x:v>Original candidate ID and row fields reconstructed from the compact narrative PDF table; this is not the missing original structured record.</x:v>
      </x:c>
    </x:row>
    <x:row r="96" ht="30" customHeight="1">
      <x:c r="A96" s="40" t="str">
        <x:v>FT-SEED-R1-0607-A-02</x:v>
      </x:c>
      <x:c r="B96" s="19" t="str">
        <x:v>INITIAL_180</x:v>
      </x:c>
      <x:c r="C96" s="31" t="str">
        <x:v>0607-A-02</x:v>
      </x:c>
      <x:c r="D96" s="31" t="str">
        <x:v>18</x:v>
      </x:c>
      <x:c r="E96" s="19" t="str">
        <x:v>FT-A0607</x:v>
      </x:c>
      <x:c r="F96" s="31" t="str">
        <x:v>warming</x:v>
      </x:c>
      <x:c r="G96" s="19" t="str">
        <x:v>A</x:v>
      </x:c>
      <x:c r="H96" s="19" t="str">
        <x:v>NOT_ANNOTATED_IN_SOURCE</x:v>
      </x:c>
      <x:c r="I96" s="31" t="str">
        <x:v>E06-2</x:v>
      </x:c>
      <x:c r="J96" s="19" t="str">
        <x:v>NOT_ANNOTATED_IN_SOURCE</x:v>
      </x:c>
      <x:c r="K96" s="19" t="str">
        <x:v>CONFIDENCE=Strong;CARRY_FORWARD=Yes</x:v>
      </x:c>
      <x:c r="L96" s="19" t="str">
        <x:v>Strong</x:v>
      </x:c>
      <x:c r="M96" s="19" t="str">
        <x:v>Yes</x:v>
      </x:c>
      <x:c r="N96" s="31" t="str">
        <x:v>RECONSTRUCTED_FROM_REPORT</x:v>
      </x:c>
      <x:c r="O96" s="31" t="str">
        <x:v>RETAIN</x:v>
      </x:c>
      <x:c r="P96" s="19" t="str">
        <x:v>Fear of Temperature_ Historical Lexical Discovery and Anchor Validation.pdf</x:v>
      </x:c>
      <x:c r="Q96" s="31" t="str">
        <x:v>RECONSTRUCTED_FROM_REPORT</x:v>
      </x:c>
      <x:c r="R96" s="43" t="str">
        <x:v>Original candidate ID and row fields reconstructed from the compact narrative PDF table; this is not the missing original structured record.</x:v>
      </x:c>
    </x:row>
    <x:row r="97" ht="30" customHeight="1">
      <x:c r="A97" s="40" t="str">
        <x:v>FT-SEED-R1-0607-A-03</x:v>
      </x:c>
      <x:c r="B97" s="19" t="str">
        <x:v>INITIAL_180</x:v>
      </x:c>
      <x:c r="C97" s="31" t="str">
        <x:v>0607-A-03</x:v>
      </x:c>
      <x:c r="D97" s="31" t="str">
        <x:v>18</x:v>
      </x:c>
      <x:c r="E97" s="19" t="str">
        <x:v>FT-A0607</x:v>
      </x:c>
      <x:c r="F97" s="31" t="str">
        <x:v>global average temperature</x:v>
      </x:c>
      <x:c r="G97" s="19" t="str">
        <x:v>A</x:v>
      </x:c>
      <x:c r="H97" s="19" t="str">
        <x:v>NOT_ANNOTATED_IN_SOURCE</x:v>
      </x:c>
      <x:c r="I97" s="31" t="str">
        <x:v>E06-1,2</x:v>
      </x:c>
      <x:c r="J97" s="19" t="str">
        <x:v>NOT_ANNOTATED_IN_SOURCE</x:v>
      </x:c>
      <x:c r="K97" s="19" t="str">
        <x:v>CONFIDENCE=Strong;CARRY_FORWARD=Yes</x:v>
      </x:c>
      <x:c r="L97" s="19" t="str">
        <x:v>Strong</x:v>
      </x:c>
      <x:c r="M97" s="19" t="str">
        <x:v>Yes</x:v>
      </x:c>
      <x:c r="N97" s="31" t="str">
        <x:v>RECONSTRUCTED_FROM_REPORT</x:v>
      </x:c>
      <x:c r="O97" s="31" t="str">
        <x:v>RETAIN</x:v>
      </x:c>
      <x:c r="P97" s="19" t="str">
        <x:v>Fear of Temperature_ Historical Lexical Discovery and Anchor Validation.pdf</x:v>
      </x:c>
      <x:c r="Q97" s="31" t="str">
        <x:v>RECONSTRUCTED_FROM_REPORT</x:v>
      </x:c>
      <x:c r="R97" s="43" t="str">
        <x:v>Original candidate ID and row fields reconstructed from the compact narrative PDF table; this is not the missing original structured record.</x:v>
      </x:c>
    </x:row>
    <x:row r="98" ht="30" customHeight="1">
      <x:c r="A98" s="40" t="str">
        <x:v>FT-SEED-R1-0607-A-04</x:v>
      </x:c>
      <x:c r="B98" s="19" t="str">
        <x:v>INITIAL_180</x:v>
      </x:c>
      <x:c r="C98" s="31" t="str">
        <x:v>0607-A-04</x:v>
      </x:c>
      <x:c r="D98" s="31" t="str">
        <x:v>18</x:v>
      </x:c>
      <x:c r="E98" s="19" t="str">
        <x:v>FT-A0607</x:v>
      </x:c>
      <x:c r="F98" s="31" t="str">
        <x:v>temperature increase</x:v>
      </x:c>
      <x:c r="G98" s="19" t="str">
        <x:v>A</x:v>
      </x:c>
      <x:c r="H98" s="19" t="str">
        <x:v>NOT_ANNOTATED_IN_SOURCE</x:v>
      </x:c>
      <x:c r="I98" s="31" t="str">
        <x:v>E06-1,2</x:v>
      </x:c>
      <x:c r="J98" s="19" t="str">
        <x:v>NOT_ANNOTATED_IN_SOURCE</x:v>
      </x:c>
      <x:c r="K98" s="19" t="str">
        <x:v>CONFIDENCE=Strong;CARRY_FORWARD=Yes</x:v>
      </x:c>
      <x:c r="L98" s="19" t="str">
        <x:v>Strong</x:v>
      </x:c>
      <x:c r="M98" s="19" t="str">
        <x:v>Yes</x:v>
      </x:c>
      <x:c r="N98" s="31" t="str">
        <x:v>RECONSTRUCTED_FROM_REPORT</x:v>
      </x:c>
      <x:c r="O98" s="31" t="str">
        <x:v>RETAIN</x:v>
      </x:c>
      <x:c r="P98" s="19" t="str">
        <x:v>Fear of Temperature_ Historical Lexical Discovery and Anchor Validation.pdf</x:v>
      </x:c>
      <x:c r="Q98" s="31" t="str">
        <x:v>RECONSTRUCTED_FROM_REPORT</x:v>
      </x:c>
      <x:c r="R98" s="43" t="str">
        <x:v>Original candidate ID and row fields reconstructed from the compact narrative PDF table; this is not the missing original structured record.</x:v>
      </x:c>
    </x:row>
    <x:row r="99" ht="30" customHeight="1">
      <x:c r="A99" s="40" t="str">
        <x:v>FT-SEED-R1-0607-A-05</x:v>
      </x:c>
      <x:c r="B99" s="19" t="str">
        <x:v>INITIAL_180</x:v>
      </x:c>
      <x:c r="C99" s="31" t="str">
        <x:v>0607-A-05</x:v>
      </x:c>
      <x:c r="D99" s="31" t="str">
        <x:v>18</x:v>
      </x:c>
      <x:c r="E99" s="19" t="str">
        <x:v>FT-A0607</x:v>
      </x:c>
      <x:c r="F99" s="31" t="str">
        <x:v>temperature rise</x:v>
      </x:c>
      <x:c r="G99" s="19" t="str">
        <x:v>A</x:v>
      </x:c>
      <x:c r="H99" s="19" t="str">
        <x:v>NOT_ANNOTATED_IN_SOURCE</x:v>
      </x:c>
      <x:c r="I99" s="31" t="str">
        <x:v>E06-1,2</x:v>
      </x:c>
      <x:c r="J99" s="19" t="str">
        <x:v>NOT_ANNOTATED_IN_SOURCE</x:v>
      </x:c>
      <x:c r="K99" s="19" t="str">
        <x:v>CONFIDENCE=Strong;CARRY_FORWARD=Yes</x:v>
      </x:c>
      <x:c r="L99" s="19" t="str">
        <x:v>Strong</x:v>
      </x:c>
      <x:c r="M99" s="19" t="str">
        <x:v>Yes</x:v>
      </x:c>
      <x:c r="N99" s="31" t="str">
        <x:v>RECONSTRUCTED_FROM_REPORT</x:v>
      </x:c>
      <x:c r="O99" s="31" t="str">
        <x:v>RETAIN</x:v>
      </x:c>
      <x:c r="P99" s="19" t="str">
        <x:v>Fear of Temperature_ Historical Lexical Discovery and Anchor Validation.pdf</x:v>
      </x:c>
      <x:c r="Q99" s="31" t="str">
        <x:v>RECONSTRUCTED_FROM_REPORT</x:v>
      </x:c>
      <x:c r="R99" s="43" t="str">
        <x:v>Original candidate ID and row fields reconstructed from the compact narrative PDF table; this is not the missing original structured record.</x:v>
      </x:c>
    </x:row>
    <x:row r="100" ht="30" customHeight="1">
      <x:c r="A100" s="40" t="str">
        <x:v>FT-SEED-R1-0607-A-06</x:v>
      </x:c>
      <x:c r="B100" s="19" t="str">
        <x:v>INITIAL_180</x:v>
      </x:c>
      <x:c r="C100" s="31" t="str">
        <x:v>0607-A-06</x:v>
      </x:c>
      <x:c r="D100" s="31" t="str">
        <x:v>18</x:v>
      </x:c>
      <x:c r="E100" s="19" t="str">
        <x:v>FT-A0607</x:v>
      </x:c>
      <x:c r="F100" s="31" t="str">
        <x:v>warming of the climate system</x:v>
      </x:c>
      <x:c r="G100" s="19" t="str">
        <x:v>A</x:v>
      </x:c>
      <x:c r="H100" s="19" t="str">
        <x:v>NOT_ANNOTATED_IN_SOURCE</x:v>
      </x:c>
      <x:c r="I100" s="31" t="str">
        <x:v>E06-2</x:v>
      </x:c>
      <x:c r="J100" s="19" t="str">
        <x:v>NOT_ANNOTATED_IN_SOURCE</x:v>
      </x:c>
      <x:c r="K100" s="19" t="str">
        <x:v>CONFIDENCE=Strong;CARRY_FORWARD=Yes</x:v>
      </x:c>
      <x:c r="L100" s="19" t="str">
        <x:v>Strong</x:v>
      </x:c>
      <x:c r="M100" s="19" t="str">
        <x:v>Yes</x:v>
      </x:c>
      <x:c r="N100" s="31" t="str">
        <x:v>RECONSTRUCTED_FROM_REPORT</x:v>
      </x:c>
      <x:c r="O100" s="31" t="str">
        <x:v>RETAIN</x:v>
      </x:c>
      <x:c r="P100" s="19" t="str">
        <x:v>Fear of Temperature_ Historical Lexical Discovery and Anchor Validation.pdf</x:v>
      </x:c>
      <x:c r="Q100" s="31" t="str">
        <x:v>RECONSTRUCTED_FROM_REPORT</x:v>
      </x:c>
      <x:c r="R100" s="43" t="str">
        <x:v>Original candidate ID and row fields reconstructed from the compact narrative PDF table; this is not the missing original structured record.</x:v>
      </x:c>
    </x:row>
    <x:row r="101" ht="30" customHeight="1">
      <x:c r="A101" s="40" t="str">
        <x:v>FT-SEED-R1-0607-A-07</x:v>
      </x:c>
      <x:c r="B101" s="19" t="str">
        <x:v>INITIAL_180</x:v>
      </x:c>
      <x:c r="C101" s="31" t="str">
        <x:v>0607-A-07</x:v>
      </x:c>
      <x:c r="D101" s="31" t="str">
        <x:v>18</x:v>
      </x:c>
      <x:c r="E101" s="19" t="str">
        <x:v>FT-A0607</x:v>
      </x:c>
      <x:c r="F101" s="31" t="str">
        <x:v>heat waves</x:v>
      </x:c>
      <x:c r="G101" s="19" t="str">
        <x:v>A</x:v>
      </x:c>
      <x:c r="H101" s="19" t="str">
        <x:v>NOT_ANNOTATED_IN_SOURCE</x:v>
      </x:c>
      <x:c r="I101" s="31" t="str">
        <x:v>E06-1,2</x:v>
      </x:c>
      <x:c r="J101" s="19" t="str">
        <x:v>NOT_ANNOTATED_IN_SOURCE</x:v>
      </x:c>
      <x:c r="K101" s="19" t="str">
        <x:v>CONFIDENCE=Strong;CARRY_FORWARD=Yes</x:v>
      </x:c>
      <x:c r="L101" s="19" t="str">
        <x:v>Strong</x:v>
      </x:c>
      <x:c r="M101" s="19" t="str">
        <x:v>Yes</x:v>
      </x:c>
      <x:c r="N101" s="31" t="str">
        <x:v>RECONSTRUCTED_FROM_REPORT</x:v>
      </x:c>
      <x:c r="O101" s="31" t="str">
        <x:v>RETAIN</x:v>
      </x:c>
      <x:c r="P101" s="19" t="str">
        <x:v>Fear of Temperature_ Historical Lexical Discovery and Anchor Validation.pdf</x:v>
      </x:c>
      <x:c r="Q101" s="31" t="str">
        <x:v>RECONSTRUCTED_FROM_REPORT</x:v>
      </x:c>
      <x:c r="R101" s="43" t="str">
        <x:v>Original candidate ID and row fields reconstructed from the compact narrative PDF table; this is not the missing original structured record.</x:v>
      </x:c>
    </x:row>
    <x:row r="102" ht="30" customHeight="1">
      <x:c r="A102" s="40" t="str">
        <x:v>FT-SEED-R1-0607-A-08</x:v>
      </x:c>
      <x:c r="B102" s="19" t="str">
        <x:v>INITIAL_180</x:v>
      </x:c>
      <x:c r="C102" s="31" t="str">
        <x:v>0607-A-08</x:v>
      </x:c>
      <x:c r="D102" s="31" t="str">
        <x:v>18</x:v>
      </x:c>
      <x:c r="E102" s="19" t="str">
        <x:v>FT-A0607</x:v>
      </x:c>
      <x:c r="F102" s="31" t="str">
        <x:v>warmer</x:v>
      </x:c>
      <x:c r="G102" s="19" t="str">
        <x:v>A</x:v>
      </x:c>
      <x:c r="H102" s="19" t="str">
        <x:v>NOT_ANNOTATED_IN_SOURCE</x:v>
      </x:c>
      <x:c r="I102" s="31" t="str">
        <x:v>E06-1,2</x:v>
      </x:c>
      <x:c r="J102" s="19" t="str">
        <x:v>NOT_ANNOTATED_IN_SOURCE</x:v>
      </x:c>
      <x:c r="K102" s="19" t="str">
        <x:v>CONFIDENCE=Moderate;CARRY_FORWARD=Conditional</x:v>
      </x:c>
      <x:c r="L102" s="19" t="str">
        <x:v>Moderate</x:v>
      </x:c>
      <x:c r="M102" s="19" t="str">
        <x:v>Conditional</x:v>
      </x:c>
      <x:c r="N102" s="31" t="str">
        <x:v>RECONSTRUCTED_FROM_REPORT</x:v>
      </x:c>
      <x:c r="O102" s="31" t="str">
        <x:v>UNRESOLVED</x:v>
      </x:c>
      <x:c r="P102" s="19" t="str">
        <x:v>Fear of Temperature_ Historical Lexical Discovery and Anchor Validation.pdf</x:v>
      </x:c>
      <x:c r="Q102" s="31" t="str">
        <x:v>RECONSTRUCTED_FROM_REPORT</x:v>
      </x:c>
      <x:c r="R102" s="43" t="str">
        <x:v>Original candidate ID and row fields reconstructed from the compact narrative PDF table; this is not the missing original structured record.</x:v>
      </x:c>
    </x:row>
    <x:row r="103" ht="30" customHeight="1">
      <x:c r="A103" s="40" t="str">
        <x:v>FT-SEED-R1-0607-B-01</x:v>
      </x:c>
      <x:c r="B103" s="19" t="str">
        <x:v>INITIAL_180</x:v>
      </x:c>
      <x:c r="C103" s="31" t="str">
        <x:v>0607-B-01</x:v>
      </x:c>
      <x:c r="D103" s="31" t="str">
        <x:v>18</x:v>
      </x:c>
      <x:c r="E103" s="19" t="str">
        <x:v>FT-A0607</x:v>
      </x:c>
      <x:c r="F103" s="31" t="str">
        <x:v>climate change</x:v>
      </x:c>
      <x:c r="G103" s="19" t="str">
        <x:v>B</x:v>
      </x:c>
      <x:c r="H103" s="19" t="str">
        <x:v>NOT_ANNOTATED_IN_SOURCE</x:v>
      </x:c>
      <x:c r="I103" s="31" t="str">
        <x:v>E06-1,2</x:v>
      </x:c>
      <x:c r="J103" s="19" t="str">
        <x:v>NOT_ANNOTATED_IN_SOURCE</x:v>
      </x:c>
      <x:c r="K103" s="19" t="str">
        <x:v>CONFIDENCE=Strong;CARRY_FORWARD=Yes</x:v>
      </x:c>
      <x:c r="L103" s="19" t="str">
        <x:v>Strong</x:v>
      </x:c>
      <x:c r="M103" s="19" t="str">
        <x:v>Yes</x:v>
      </x:c>
      <x:c r="N103" s="31" t="str">
        <x:v>RECONSTRUCTED_FROM_REPORT</x:v>
      </x:c>
      <x:c r="O103" s="31" t="str">
        <x:v>RETAIN</x:v>
      </x:c>
      <x:c r="P103" s="19" t="str">
        <x:v>Fear of Temperature_ Historical Lexical Discovery and Anchor Validation.pdf</x:v>
      </x:c>
      <x:c r="Q103" s="31" t="str">
        <x:v>RECONSTRUCTED_FROM_REPORT</x:v>
      </x:c>
      <x:c r="R103" s="43" t="str">
        <x:v>Original candidate ID and row fields reconstructed from the compact narrative PDF table; this is not the missing original structured record.</x:v>
      </x:c>
    </x:row>
    <x:row r="104" ht="30" customHeight="1">
      <x:c r="A104" s="40" t="str">
        <x:v>FT-SEED-R1-0607-B-02</x:v>
      </x:c>
      <x:c r="B104" s="19" t="str">
        <x:v>INITIAL_180</x:v>
      </x:c>
      <x:c r="C104" s="31" t="str">
        <x:v>0607-B-02</x:v>
      </x:c>
      <x:c r="D104" s="31" t="str">
        <x:v>18</x:v>
      </x:c>
      <x:c r="E104" s="19" t="str">
        <x:v>FT-A0607</x:v>
      </x:c>
      <x:c r="F104" s="31" t="str">
        <x:v>climate system</x:v>
      </x:c>
      <x:c r="G104" s="19" t="str">
        <x:v>B</x:v>
      </x:c>
      <x:c r="H104" s="19" t="str">
        <x:v>NOT_ANNOTATED_IN_SOURCE</x:v>
      </x:c>
      <x:c r="I104" s="31" t="str">
        <x:v>E06-2</x:v>
      </x:c>
      <x:c r="J104" s="19" t="str">
        <x:v>NOT_ANNOTATED_IN_SOURCE</x:v>
      </x:c>
      <x:c r="K104" s="19" t="str">
        <x:v>CONFIDENCE=Strong;CARRY_FORWARD=Yes</x:v>
      </x:c>
      <x:c r="L104" s="19" t="str">
        <x:v>Strong</x:v>
      </x:c>
      <x:c r="M104" s="19" t="str">
        <x:v>Yes</x:v>
      </x:c>
      <x:c r="N104" s="31" t="str">
        <x:v>RECONSTRUCTED_FROM_REPORT</x:v>
      </x:c>
      <x:c r="O104" s="31" t="str">
        <x:v>RETAIN</x:v>
      </x:c>
      <x:c r="P104" s="19" t="str">
        <x:v>Fear of Temperature_ Historical Lexical Discovery and Anchor Validation.pdf</x:v>
      </x:c>
      <x:c r="Q104" s="31" t="str">
        <x:v>RECONSTRUCTED_FROM_REPORT</x:v>
      </x:c>
      <x:c r="R104" s="43" t="str">
        <x:v>Original candidate ID and row fields reconstructed from the compact narrative PDF table; this is not the missing original structured record.</x:v>
      </x:c>
    </x:row>
    <x:row r="105" ht="30" customHeight="1">
      <x:c r="A105" s="40" t="str">
        <x:v>FT-SEED-R1-0607-B-03</x:v>
      </x:c>
      <x:c r="B105" s="19" t="str">
        <x:v>INITIAL_180</x:v>
      </x:c>
      <x:c r="C105" s="31" t="str">
        <x:v>0607-B-03</x:v>
      </x:c>
      <x:c r="D105" s="31" t="str">
        <x:v>19</x:v>
      </x:c>
      <x:c r="E105" s="19" t="str">
        <x:v>FT-A0607</x:v>
      </x:c>
      <x:c r="F105" s="31" t="str">
        <x:v>greenhouse gases</x:v>
      </x:c>
      <x:c r="G105" s="19" t="str">
        <x:v>B</x:v>
      </x:c>
      <x:c r="H105" s="19" t="str">
        <x:v>NOT_ANNOTATED_IN_SOURCE</x:v>
      </x:c>
      <x:c r="I105" s="31" t="str">
        <x:v>E06-1,2</x:v>
      </x:c>
      <x:c r="J105" s="19" t="str">
        <x:v>NOT_ANNOTATED_IN_SOURCE</x:v>
      </x:c>
      <x:c r="K105" s="19" t="str">
        <x:v>CONFIDENCE=Strong;CARRY_FORWARD=Yes</x:v>
      </x:c>
      <x:c r="L105" s="19" t="str">
        <x:v>Strong</x:v>
      </x:c>
      <x:c r="M105" s="19" t="str">
        <x:v>Yes</x:v>
      </x:c>
      <x:c r="N105" s="31" t="str">
        <x:v>RECONSTRUCTED_FROM_REPORT</x:v>
      </x:c>
      <x:c r="O105" s="31" t="str">
        <x:v>RETAIN</x:v>
      </x:c>
      <x:c r="P105" s="19" t="str">
        <x:v>Fear of Temperature_ Historical Lexical Discovery and Anchor Validation.pdf</x:v>
      </x:c>
      <x:c r="Q105" s="31" t="str">
        <x:v>RECONSTRUCTED_FROM_REPORT</x:v>
      </x:c>
      <x:c r="R105" s="43" t="str">
        <x:v>Original candidate ID and row fields reconstructed from the compact narrative PDF table; this is not the missing original structured record.</x:v>
      </x:c>
    </x:row>
    <x:row r="106" ht="30" customHeight="1">
      <x:c r="A106" s="40" t="str">
        <x:v>FT-SEED-R1-0607-B-04</x:v>
      </x:c>
      <x:c r="B106" s="19" t="str">
        <x:v>INITIAL_180</x:v>
      </x:c>
      <x:c r="C106" s="31" t="str">
        <x:v>0607-B-04</x:v>
      </x:c>
      <x:c r="D106" s="31" t="str">
        <x:v>19</x:v>
      </x:c>
      <x:c r="E106" s="19" t="str">
        <x:v>FT-A0607</x:v>
      </x:c>
      <x:c r="F106" s="31" t="str">
        <x:v>greenhouse gas concentrations</x:v>
      </x:c>
      <x:c r="G106" s="19" t="str">
        <x:v>B</x:v>
      </x:c>
      <x:c r="H106" s="19" t="str">
        <x:v>NOT_ANNOTATED_IN_SOURCE</x:v>
      </x:c>
      <x:c r="I106" s="31" t="str">
        <x:v>E06-2</x:v>
      </x:c>
      <x:c r="J106" s="19" t="str">
        <x:v>NOT_ANNOTATED_IN_SOURCE</x:v>
      </x:c>
      <x:c r="K106" s="19" t="str">
        <x:v>CONFIDENCE=Strong;CARRY_FORWARD=Yes</x:v>
      </x:c>
      <x:c r="L106" s="19" t="str">
        <x:v>Strong</x:v>
      </x:c>
      <x:c r="M106" s="19" t="str">
        <x:v>Yes</x:v>
      </x:c>
      <x:c r="N106" s="31" t="str">
        <x:v>RECONSTRUCTED_FROM_REPORT</x:v>
      </x:c>
      <x:c r="O106" s="31" t="str">
        <x:v>RETAIN</x:v>
      </x:c>
      <x:c r="P106" s="19" t="str">
        <x:v>Fear of Temperature_ Historical Lexical Discovery and Anchor Validation.pdf</x:v>
      </x:c>
      <x:c r="Q106" s="31" t="str">
        <x:v>RECONSTRUCTED_FROM_REPORT</x:v>
      </x:c>
      <x:c r="R106" s="43" t="str">
        <x:v>Original candidate ID and row fields reconstructed from the compact narrative PDF table; this is not the missing original structured record.</x:v>
      </x:c>
    </x:row>
    <x:row r="107" ht="30" customHeight="1">
      <x:c r="A107" s="40" t="str">
        <x:v>FT-SEED-R1-0607-B-05</x:v>
      </x:c>
      <x:c r="B107" s="19" t="str">
        <x:v>INITIAL_180</x:v>
      </x:c>
      <x:c r="C107" s="31" t="str">
        <x:v>0607-B-05</x:v>
      </x:c>
      <x:c r="D107" s="31" t="str">
        <x:v>19</x:v>
      </x:c>
      <x:c r="E107" s="19" t="str">
        <x:v>FT-A0607</x:v>
      </x:c>
      <x:c r="F107" s="31" t="str">
        <x:v>anthropogenic warming</x:v>
      </x:c>
      <x:c r="G107" s="19" t="str">
        <x:v>B</x:v>
      </x:c>
      <x:c r="H107" s="19" t="str">
        <x:v>NOT_ANNOTATED_IN_SOURCE</x:v>
      </x:c>
      <x:c r="I107" s="31" t="str">
        <x:v>E06-2</x:v>
      </x:c>
      <x:c r="J107" s="19" t="str">
        <x:v>NOT_ANNOTATED_IN_SOURCE</x:v>
      </x:c>
      <x:c r="K107" s="19" t="str">
        <x:v>CONFIDENCE=Strong;CARRY_FORWARD=Yes</x:v>
      </x:c>
      <x:c r="L107" s="19" t="str">
        <x:v>Strong</x:v>
      </x:c>
      <x:c r="M107" s="19" t="str">
        <x:v>Yes</x:v>
      </x:c>
      <x:c r="N107" s="31" t="str">
        <x:v>RECONSTRUCTED_FROM_REPORT</x:v>
      </x:c>
      <x:c r="O107" s="31" t="str">
        <x:v>RETAIN</x:v>
      </x:c>
      <x:c r="P107" s="19" t="str">
        <x:v>Fear of Temperature_ Historical Lexical Discovery and Anchor Validation.pdf</x:v>
      </x:c>
      <x:c r="Q107" s="31" t="str">
        <x:v>RECONSTRUCTED_FROM_REPORT</x:v>
      </x:c>
      <x:c r="R107" s="43" t="str">
        <x:v>Original candidate ID and row fields reconstructed from the compact narrative PDF table; this is not the missing original structured record.</x:v>
      </x:c>
    </x:row>
    <x:row r="108" ht="30" customHeight="1">
      <x:c r="A108" s="40" t="str">
        <x:v>FT-SEED-R1-0607-B-06</x:v>
      </x:c>
      <x:c r="B108" s="19" t="str">
        <x:v>INITIAL_180</x:v>
      </x:c>
      <x:c r="C108" s="31" t="str">
        <x:v>0607-B-06</x:v>
      </x:c>
      <x:c r="D108" s="31" t="str">
        <x:v>19</x:v>
      </x:c>
      <x:c r="E108" s="19" t="str">
        <x:v>FT-A0607</x:v>
      </x:c>
      <x:c r="F108" s="31" t="str">
        <x:v>human influence</x:v>
      </x:c>
      <x:c r="G108" s="19" t="str">
        <x:v>B</x:v>
      </x:c>
      <x:c r="H108" s="19" t="str">
        <x:v>NOT_ANNOTATED_IN_SOURCE</x:v>
      </x:c>
      <x:c r="I108" s="31" t="str">
        <x:v>E06-2</x:v>
      </x:c>
      <x:c r="J108" s="19" t="str">
        <x:v>NOT_ANNOTATED_IN_SOURCE</x:v>
      </x:c>
      <x:c r="K108" s="19" t="str">
        <x:v>CONFIDENCE=Strong;CARRY_FORWARD=Yes</x:v>
      </x:c>
      <x:c r="L108" s="19" t="str">
        <x:v>Strong</x:v>
      </x:c>
      <x:c r="M108" s="19" t="str">
        <x:v>Yes</x:v>
      </x:c>
      <x:c r="N108" s="31" t="str">
        <x:v>RECONSTRUCTED_FROM_REPORT</x:v>
      </x:c>
      <x:c r="O108" s="31" t="str">
        <x:v>RETAIN</x:v>
      </x:c>
      <x:c r="P108" s="19" t="str">
        <x:v>Fear of Temperature_ Historical Lexical Discovery and Anchor Validation.pdf</x:v>
      </x:c>
      <x:c r="Q108" s="31" t="str">
        <x:v>RECONSTRUCTED_FROM_REPORT</x:v>
      </x:c>
      <x:c r="R108" s="43" t="str">
        <x:v>Original candidate ID and row fields reconstructed from the compact narrative PDF table; this is not the missing original structured record.</x:v>
      </x:c>
    </x:row>
    <x:row r="109" ht="30" customHeight="1">
      <x:c r="A109" s="40" t="str">
        <x:v>FT-SEED-R1-0607-B-07</x:v>
      </x:c>
      <x:c r="B109" s="19" t="str">
        <x:v>INITIAL_180</x:v>
      </x:c>
      <x:c r="C109" s="31" t="str">
        <x:v>0607-B-07</x:v>
      </x:c>
      <x:c r="D109" s="31" t="str">
        <x:v>19</x:v>
      </x:c>
      <x:c r="E109" s="19" t="str">
        <x:v>FT-A0607</x:v>
      </x:c>
      <x:c r="F109" s="31" t="str">
        <x:v>radiative forcing</x:v>
      </x:c>
      <x:c r="G109" s="19" t="str">
        <x:v>B</x:v>
      </x:c>
      <x:c r="H109" s="19" t="str">
        <x:v>NOT_ANNOTATED_IN_SOURCE</x:v>
      </x:c>
      <x:c r="I109" s="31" t="str">
        <x:v>E06-2</x:v>
      </x:c>
      <x:c r="J109" s="19" t="str">
        <x:v>NOT_ANNOTATED_IN_SOURCE</x:v>
      </x:c>
      <x:c r="K109" s="19" t="str">
        <x:v>CONFIDENCE=Strong;CARRY_FORWARD=Yes</x:v>
      </x:c>
      <x:c r="L109" s="19" t="str">
        <x:v>Strong</x:v>
      </x:c>
      <x:c r="M109" s="19" t="str">
        <x:v>Yes</x:v>
      </x:c>
      <x:c r="N109" s="31" t="str">
        <x:v>RECONSTRUCTED_FROM_REPORT</x:v>
      </x:c>
      <x:c r="O109" s="31" t="str">
        <x:v>RETAIN</x:v>
      </x:c>
      <x:c r="P109" s="19" t="str">
        <x:v>Fear of Temperature_ Historical Lexical Discovery and Anchor Validation.pdf</x:v>
      </x:c>
      <x:c r="Q109" s="31" t="str">
        <x:v>RECONSTRUCTED_FROM_REPORT</x:v>
      </x:c>
      <x:c r="R109" s="43" t="str">
        <x:v>Original candidate ID and row fields reconstructed from the compact narrative PDF table; this is not the missing original structured record.</x:v>
      </x:c>
    </x:row>
    <x:row r="110" ht="30" customHeight="1">
      <x:c r="A110" s="40" t="str">
        <x:v>FT-SEED-R1-0607-B-08</x:v>
      </x:c>
      <x:c r="B110" s="19" t="str">
        <x:v>INITIAL_180</x:v>
      </x:c>
      <x:c r="C110" s="31" t="str">
        <x:v>0607-B-08</x:v>
      </x:c>
      <x:c r="D110" s="31" t="str">
        <x:v>19</x:v>
      </x:c>
      <x:c r="E110" s="19" t="str">
        <x:v>FT-A0607</x:v>
      </x:c>
      <x:c r="F110" s="31" t="str">
        <x:v>global climate</x:v>
      </x:c>
      <x:c r="G110" s="19" t="str">
        <x:v>B</x:v>
      </x:c>
      <x:c r="H110" s="19" t="str">
        <x:v>NOT_ANNOTATED_IN_SOURCE</x:v>
      </x:c>
      <x:c r="I110" s="31" t="str">
        <x:v>E06-1,2</x:v>
      </x:c>
      <x:c r="J110" s="19" t="str">
        <x:v>NOT_ANNOTATED_IN_SOURCE</x:v>
      </x:c>
      <x:c r="K110" s="19" t="str">
        <x:v>CONFIDENCE=Moderate;CARRY_FORWARD=Yes</x:v>
      </x:c>
      <x:c r="L110" s="19" t="str">
        <x:v>Moderate</x:v>
      </x:c>
      <x:c r="M110" s="19" t="str">
        <x:v>Yes</x:v>
      </x:c>
      <x:c r="N110" s="31" t="str">
        <x:v>RECONSTRUCTED_FROM_REPORT</x:v>
      </x:c>
      <x:c r="O110" s="31" t="str">
        <x:v>RETAIN</x:v>
      </x:c>
      <x:c r="P110" s="19" t="str">
        <x:v>Fear of Temperature_ Historical Lexical Discovery and Anchor Validation.pdf</x:v>
      </x:c>
      <x:c r="Q110" s="31" t="str">
        <x:v>RECONSTRUCTED_FROM_REPORT</x:v>
      </x:c>
      <x:c r="R110" s="43" t="str">
        <x:v>Original candidate ID and row fields reconstructed from the compact narrative PDF table; this is not the missing original structured record.</x:v>
      </x:c>
    </x:row>
    <x:row r="111" ht="30" customHeight="1">
      <x:c r="A111" s="40" t="str">
        <x:v>FT-SEED-R1-0607-C-01</x:v>
      </x:c>
      <x:c r="B111" s="19" t="str">
        <x:v>INITIAL_180</x:v>
      </x:c>
      <x:c r="C111" s="31" t="str">
        <x:v>0607-C-01</x:v>
      </x:c>
      <x:c r="D111" s="31" t="str">
        <x:v>19</x:v>
      </x:c>
      <x:c r="E111" s="19" t="str">
        <x:v>FT-A0607</x:v>
      </x:c>
      <x:c r="F111" s="31" t="str">
        <x:v>concern</x:v>
      </x:c>
      <x:c r="G111" s="19" t="str">
        <x:v>C</x:v>
      </x:c>
      <x:c r="H111" s="19" t="str">
        <x:v>NOT_ANNOTATED_IN_SOURCE</x:v>
      </x:c>
      <x:c r="I111" s="31" t="str">
        <x:v>E06-1,2</x:v>
      </x:c>
      <x:c r="J111" s="19" t="str">
        <x:v>NOT_ANNOTATED_IN_SOURCE</x:v>
      </x:c>
      <x:c r="K111" s="19" t="str">
        <x:v>CONFIDENCE=Moderate;CARRY_FORWARD=Conditional</x:v>
      </x:c>
      <x:c r="L111" s="19" t="str">
        <x:v>Moderate</x:v>
      </x:c>
      <x:c r="M111" s="19" t="str">
        <x:v>Conditional</x:v>
      </x:c>
      <x:c r="N111" s="31" t="str">
        <x:v>RECONSTRUCTED_FROM_REPORT</x:v>
      </x:c>
      <x:c r="O111" s="31" t="str">
        <x:v>UNRESOLVED</x:v>
      </x:c>
      <x:c r="P111" s="19" t="str">
        <x:v>Fear of Temperature_ Historical Lexical Discovery and Anchor Validation.pdf</x:v>
      </x:c>
      <x:c r="Q111" s="31" t="str">
        <x:v>RECONSTRUCTED_FROM_REPORT</x:v>
      </x:c>
      <x:c r="R111" s="43" t="str">
        <x:v>Original candidate ID and row fields reconstructed from the compact narrative PDF table; this is not the missing original structured record.</x:v>
      </x:c>
    </x:row>
    <x:row r="112" ht="30" customHeight="1">
      <x:c r="A112" s="40" t="str">
        <x:v>FT-SEED-R1-0607-C-02</x:v>
      </x:c>
      <x:c r="B112" s="19" t="str">
        <x:v>INITIAL_180</x:v>
      </x:c>
      <x:c r="C112" s="31" t="str">
        <x:v>0607-C-02</x:v>
      </x:c>
      <x:c r="D112" s="31" t="str">
        <x:v>19</x:v>
      </x:c>
      <x:c r="E112" s="19" t="str">
        <x:v>FT-A0607</x:v>
      </x:c>
      <x:c r="F112" s="31" t="str">
        <x:v>fear</x:v>
      </x:c>
      <x:c r="G112" s="19" t="str">
        <x:v>C</x:v>
      </x:c>
      <x:c r="H112" s="19" t="str">
        <x:v>NOT_ANNOTATED_IN_SOURCE</x:v>
      </x:c>
      <x:c r="I112" s="31" t="str">
        <x:v>E06-1–3</x:v>
      </x:c>
      <x:c r="J112" s="19" t="str">
        <x:v>NOT_ANNOTATED_IN_SOURCE</x:v>
      </x:c>
      <x:c r="K112" s="19" t="str">
        <x:v>CONFIDENCE=Weak;CARRY_FORWARD=No</x:v>
      </x:c>
      <x:c r="L112" s="19" t="str">
        <x:v>Weak</x:v>
      </x:c>
      <x:c r="M112" s="19" t="str">
        <x:v>No</x:v>
      </x:c>
      <x:c r="N112" s="31" t="str">
        <x:v>RECONSTRUCTED_FROM_REPORT</x:v>
      </x:c>
      <x:c r="O112" s="31" t="str">
        <x:v>EXCLUDE</x:v>
      </x:c>
      <x:c r="P112" s="19" t="str">
        <x:v>Fear of Temperature_ Historical Lexical Discovery and Anchor Validation.pdf</x:v>
      </x:c>
      <x:c r="Q112" s="31" t="str">
        <x:v>RECONSTRUCTED_FROM_REPORT</x:v>
      </x:c>
      <x:c r="R112" s="43" t="str">
        <x:v>Original candidate ID and row fields reconstructed from the compact narrative PDF table; this is not the missing original structured record.</x:v>
      </x:c>
    </x:row>
    <x:row r="113" ht="30" customHeight="1">
      <x:c r="A113" s="40" t="str">
        <x:v>FT-SEED-R1-0607-C-03</x:v>
      </x:c>
      <x:c r="B113" s="19" t="str">
        <x:v>INITIAL_180</x:v>
      </x:c>
      <x:c r="C113" s="31" t="str">
        <x:v>0607-C-03</x:v>
      </x:c>
      <x:c r="D113" s="31" t="str">
        <x:v>19</x:v>
      </x:c>
      <x:c r="E113" s="19" t="str">
        <x:v>FT-A0607</x:v>
      </x:c>
      <x:c r="F113" s="31" t="str">
        <x:v>worry</x:v>
      </x:c>
      <x:c r="G113" s="19" t="str">
        <x:v>C</x:v>
      </x:c>
      <x:c r="H113" s="19" t="str">
        <x:v>NOT_ANNOTATED_IN_SOURCE</x:v>
      </x:c>
      <x:c r="I113" s="31" t="str">
        <x:v>E06-1–3</x:v>
      </x:c>
      <x:c r="J113" s="19" t="str">
        <x:v>NOT_ANNOTATED_IN_SOURCE</x:v>
      </x:c>
      <x:c r="K113" s="19" t="str">
        <x:v>CONFIDENCE=Weak;CARRY_FORWARD=No</x:v>
      </x:c>
      <x:c r="L113" s="19" t="str">
        <x:v>Weak</x:v>
      </x:c>
      <x:c r="M113" s="19" t="str">
        <x:v>No</x:v>
      </x:c>
      <x:c r="N113" s="31" t="str">
        <x:v>RECONSTRUCTED_FROM_REPORT</x:v>
      </x:c>
      <x:c r="O113" s="31" t="str">
        <x:v>EXCLUDE</x:v>
      </x:c>
      <x:c r="P113" s="19" t="str">
        <x:v>Fear of Temperature_ Historical Lexical Discovery and Anchor Validation.pdf</x:v>
      </x:c>
      <x:c r="Q113" s="31" t="str">
        <x:v>RECONSTRUCTED_FROM_REPORT</x:v>
      </x:c>
      <x:c r="R113" s="43" t="str">
        <x:v>Original candidate ID and row fields reconstructed from the compact narrative PDF table; this is not the missing original structured record.</x:v>
      </x:c>
    </x:row>
    <x:row r="114" ht="30" customHeight="1">
      <x:c r="A114" s="40" t="str">
        <x:v>FT-SEED-R1-0607-C-04</x:v>
      </x:c>
      <x:c r="B114" s="19" t="str">
        <x:v>INITIAL_180</x:v>
      </x:c>
      <x:c r="C114" s="31" t="str">
        <x:v>0607-C-04</x:v>
      </x:c>
      <x:c r="D114" s="31" t="str">
        <x:v>20</x:v>
      </x:c>
      <x:c r="E114" s="19" t="str">
        <x:v>FT-A0607</x:v>
      </x:c>
      <x:c r="F114" s="31" t="str">
        <x:v>anxiety</x:v>
      </x:c>
      <x:c r="G114" s="19" t="str">
        <x:v>C</x:v>
      </x:c>
      <x:c r="H114" s="19" t="str">
        <x:v>NOT_ANNOTATED_IN_SOURCE</x:v>
      </x:c>
      <x:c r="I114" s="31" t="str">
        <x:v>E06-1–3</x:v>
      </x:c>
      <x:c r="J114" s="19" t="str">
        <x:v>NOT_ANNOTATED_IN_SOURCE</x:v>
      </x:c>
      <x:c r="K114" s="19" t="str">
        <x:v>CONFIDENCE=Weak;CARRY_FORWARD=No</x:v>
      </x:c>
      <x:c r="L114" s="19" t="str">
        <x:v>Weak</x:v>
      </x:c>
      <x:c r="M114" s="19" t="str">
        <x:v>No</x:v>
      </x:c>
      <x:c r="N114" s="31" t="str">
        <x:v>RECONSTRUCTED_FROM_REPORT</x:v>
      </x:c>
      <x:c r="O114" s="31" t="str">
        <x:v>EXCLUDE</x:v>
      </x:c>
      <x:c r="P114" s="19" t="str">
        <x:v>Fear of Temperature_ Historical Lexical Discovery and Anchor Validation.pdf</x:v>
      </x:c>
      <x:c r="Q114" s="31" t="str">
        <x:v>RECONSTRUCTED_FROM_REPORT</x:v>
      </x:c>
      <x:c r="R114" s="43" t="str">
        <x:v>Original candidate ID and row fields reconstructed from the compact narrative PDF table; this is not the missing original structured record.</x:v>
      </x:c>
    </x:row>
    <x:row r="115" ht="30" customHeight="1">
      <x:c r="A115" s="40" t="str">
        <x:v>FT-SEED-R1-0607-C-05</x:v>
      </x:c>
      <x:c r="B115" s="19" t="str">
        <x:v>INITIAL_180</x:v>
      </x:c>
      <x:c r="C115" s="31" t="str">
        <x:v>0607-C-05</x:v>
      </x:c>
      <x:c r="D115" s="31" t="str">
        <x:v>20</x:v>
      </x:c>
      <x:c r="E115" s="19" t="str">
        <x:v>FT-A0607</x:v>
      </x:c>
      <x:c r="F115" s="31" t="str">
        <x:v>alarm</x:v>
      </x:c>
      <x:c r="G115" s="19" t="str">
        <x:v>C</x:v>
      </x:c>
      <x:c r="H115" s="19" t="str">
        <x:v>NOT_ANNOTATED_IN_SOURCE</x:v>
      </x:c>
      <x:c r="I115" s="31" t="str">
        <x:v>E06-1–3</x:v>
      </x:c>
      <x:c r="J115" s="19" t="str">
        <x:v>NOT_ANNOTATED_IN_SOURCE</x:v>
      </x:c>
      <x:c r="K115" s="19" t="str">
        <x:v>CONFIDENCE=Weak;CARRY_FORWARD=No</x:v>
      </x:c>
      <x:c r="L115" s="19" t="str">
        <x:v>Weak</x:v>
      </x:c>
      <x:c r="M115" s="19" t="str">
        <x:v>No</x:v>
      </x:c>
      <x:c r="N115" s="31" t="str">
        <x:v>RECONSTRUCTED_FROM_REPORT</x:v>
      </x:c>
      <x:c r="O115" s="31" t="str">
        <x:v>EXCLUDE</x:v>
      </x:c>
      <x:c r="P115" s="19" t="str">
        <x:v>Fear of Temperature_ Historical Lexical Discovery and Anchor Validation.pdf</x:v>
      </x:c>
      <x:c r="Q115" s="31" t="str">
        <x:v>RECONSTRUCTED_FROM_REPORT</x:v>
      </x:c>
      <x:c r="R115" s="43" t="str">
        <x:v>Original candidate ID and row fields reconstructed from the compact narrative PDF table; this is not the missing original structured record.</x:v>
      </x:c>
    </x:row>
    <x:row r="116" ht="30" customHeight="1">
      <x:c r="A116" s="40" t="str">
        <x:v>FT-SEED-R1-0607-C-06</x:v>
      </x:c>
      <x:c r="B116" s="19" t="str">
        <x:v>INITIAL_180</x:v>
      </x:c>
      <x:c r="C116" s="31" t="str">
        <x:v>0607-C-06</x:v>
      </x:c>
      <x:c r="D116" s="31" t="str">
        <x:v>20</x:v>
      </x:c>
      <x:c r="E116" s="19" t="str">
        <x:v>FT-A0607</x:v>
      </x:c>
      <x:c r="F116" s="31" t="str">
        <x:v>urgency</x:v>
      </x:c>
      <x:c r="G116" s="19" t="str">
        <x:v>C</x:v>
      </x:c>
      <x:c r="H116" s="19" t="str">
        <x:v>NOT_ANNOTATED_IN_SOURCE</x:v>
      </x:c>
      <x:c r="I116" s="31" t="str">
        <x:v>E06-1,3,E07-1</x:v>
      </x:c>
      <x:c r="J116" s="19" t="str">
        <x:v>NOT_ANNOTATED_IN_SOURCE</x:v>
      </x:c>
      <x:c r="K116" s="19" t="str">
        <x:v>CONFIDENCE=Moderate;CARRY_FORWARD=Conditional</x:v>
      </x:c>
      <x:c r="L116" s="19" t="str">
        <x:v>Moderate</x:v>
      </x:c>
      <x:c r="M116" s="19" t="str">
        <x:v>Conditional</x:v>
      </x:c>
      <x:c r="N116" s="31" t="str">
        <x:v>RECONSTRUCTED_FROM_REPORT</x:v>
      </x:c>
      <x:c r="O116" s="31" t="str">
        <x:v>UNRESOLVED</x:v>
      </x:c>
      <x:c r="P116" s="19" t="str">
        <x:v>Fear of Temperature_ Historical Lexical Discovery and Anchor Validation.pdf</x:v>
      </x:c>
      <x:c r="Q116" s="31" t="str">
        <x:v>RECONSTRUCTED_FROM_REPORT</x:v>
      </x:c>
      <x:c r="R116" s="43" t="str">
        <x:v>Original candidate ID and row fields reconstructed from the compact narrative PDF table; this is not the missing original structured record.</x:v>
      </x:c>
    </x:row>
    <x:row r="117" ht="30" customHeight="1">
      <x:c r="A117" s="40" t="str">
        <x:v>FT-SEED-R1-0607-C-07</x:v>
      </x:c>
      <x:c r="B117" s="19" t="str">
        <x:v>INITIAL_180</x:v>
      </x:c>
      <x:c r="C117" s="31" t="str">
        <x:v>0607-C-07</x:v>
      </x:c>
      <x:c r="D117" s="31" t="str">
        <x:v>20</x:v>
      </x:c>
      <x:c r="E117" s="19" t="str">
        <x:v>FT-A0607</x:v>
      </x:c>
      <x:c r="F117" s="31" t="str">
        <x:v>awareness</x:v>
      </x:c>
      <x:c r="G117" s="19" t="str">
        <x:v>C</x:v>
      </x:c>
      <x:c r="H117" s="19" t="str">
        <x:v>NOT_ANNOTATED_IN_SOURCE</x:v>
      </x:c>
      <x:c r="I117" s="31" t="str">
        <x:v>E07-1</x:v>
      </x:c>
      <x:c r="J117" s="19" t="str">
        <x:v>NOT_ANNOTATED_IN_SOURCE</x:v>
      </x:c>
      <x:c r="K117" s="19" t="str">
        <x:v>CONFIDENCE=Strong;CARRY_FORWARD=No</x:v>
      </x:c>
      <x:c r="L117" s="19" t="str">
        <x:v>Strong</x:v>
      </x:c>
      <x:c r="M117" s="19" t="str">
        <x:v>No</x:v>
      </x:c>
      <x:c r="N117" s="31" t="str">
        <x:v>RECONSTRUCTED_FROM_REPORT</x:v>
      </x:c>
      <x:c r="O117" s="31" t="str">
        <x:v>EXCLUDE</x:v>
      </x:c>
      <x:c r="P117" s="19" t="str">
        <x:v>Fear of Temperature_ Historical Lexical Discovery and Anchor Validation.pdf</x:v>
      </x:c>
      <x:c r="Q117" s="31" t="str">
        <x:v>RECONSTRUCTED_FROM_REPORT</x:v>
      </x:c>
      <x:c r="R117" s="43" t="str">
        <x:v>Original candidate ID and row fields reconstructed from the compact narrative PDF table; this is not the missing original structured record.</x:v>
      </x:c>
    </x:row>
    <x:row r="118" ht="30" customHeight="1">
      <x:c r="A118" s="40" t="str">
        <x:v>FT-SEED-R1-0607-D-01</x:v>
      </x:c>
      <x:c r="B118" s="19" t="str">
        <x:v>INITIAL_180</x:v>
      </x:c>
      <x:c r="C118" s="31" t="str">
        <x:v>0607-D-01</x:v>
      </x:c>
      <x:c r="D118" s="31" t="str">
        <x:v>20</x:v>
      </x:c>
      <x:c r="E118" s="19" t="str">
        <x:v>FT-A0607</x:v>
      </x:c>
      <x:c r="F118" s="31" t="str">
        <x:v>risk</x:v>
      </x:c>
      <x:c r="G118" s="19" t="str">
        <x:v>D</x:v>
      </x:c>
      <x:c r="H118" s="19" t="str">
        <x:v>NOT_ANNOTATED_IN_SOURCE</x:v>
      </x:c>
      <x:c r="I118" s="31" t="str">
        <x:v>E06-1</x:v>
      </x:c>
      <x:c r="J118" s="19" t="str">
        <x:v>NOT_ANNOTATED_IN_SOURCE</x:v>
      </x:c>
      <x:c r="K118" s="19" t="str">
        <x:v>CONFIDENCE=Strong;CARRY_FORWARD=Yes</x:v>
      </x:c>
      <x:c r="L118" s="19" t="str">
        <x:v>Strong</x:v>
      </x:c>
      <x:c r="M118" s="19" t="str">
        <x:v>Yes</x:v>
      </x:c>
      <x:c r="N118" s="31" t="str">
        <x:v>RECONSTRUCTED_FROM_REPORT</x:v>
      </x:c>
      <x:c r="O118" s="31" t="str">
        <x:v>RETAIN</x:v>
      </x:c>
      <x:c r="P118" s="19" t="str">
        <x:v>Fear of Temperature_ Historical Lexical Discovery and Anchor Validation.pdf</x:v>
      </x:c>
      <x:c r="Q118" s="31" t="str">
        <x:v>RECONSTRUCTED_FROM_REPORT</x:v>
      </x:c>
      <x:c r="R118" s="43" t="str">
        <x:v>Original candidate ID and row fields reconstructed from the compact narrative PDF table; this is not the missing original structured record.</x:v>
      </x:c>
    </x:row>
    <x:row r="119" ht="30" customHeight="1">
      <x:c r="A119" s="40" t="str">
        <x:v>FT-SEED-R1-0607-D-02</x:v>
      </x:c>
      <x:c r="B119" s="19" t="str">
        <x:v>INITIAL_180</x:v>
      </x:c>
      <x:c r="C119" s="31" t="str">
        <x:v>0607-D-02</x:v>
      </x:c>
      <x:c r="D119" s="31" t="str">
        <x:v>20</x:v>
      </x:c>
      <x:c r="E119" s="19" t="str">
        <x:v>FT-A0607</x:v>
      </x:c>
      <x:c r="F119" s="31" t="str">
        <x:v>dangerous</x:v>
      </x:c>
      <x:c r="G119" s="19" t="str">
        <x:v>D</x:v>
      </x:c>
      <x:c r="H119" s="19" t="str">
        <x:v>NOT_ANNOTATED_IN_SOURCE</x:v>
      </x:c>
      <x:c r="I119" s="31" t="str">
        <x:v>E06-1,E07-2</x:v>
      </x:c>
      <x:c r="J119" s="19" t="str">
        <x:v>NOT_ANNOTATED_IN_SOURCE</x:v>
      </x:c>
      <x:c r="K119" s="19" t="str">
        <x:v>CONFIDENCE=Strong;CARRY_FORWARD=Yes</x:v>
      </x:c>
      <x:c r="L119" s="19" t="str">
        <x:v>Strong</x:v>
      </x:c>
      <x:c r="M119" s="19" t="str">
        <x:v>Yes</x:v>
      </x:c>
      <x:c r="N119" s="31" t="str">
        <x:v>RECONSTRUCTED_FROM_REPORT</x:v>
      </x:c>
      <x:c r="O119" s="31" t="str">
        <x:v>RETAIN</x:v>
      </x:c>
      <x:c r="P119" s="19" t="str">
        <x:v>Fear of Temperature_ Historical Lexical Discovery and Anchor Validation.pdf</x:v>
      </x:c>
      <x:c r="Q119" s="31" t="str">
        <x:v>RECONSTRUCTED_FROM_REPORT</x:v>
      </x:c>
      <x:c r="R119" s="43" t="str">
        <x:v>Original candidate ID and row fields reconstructed from the compact narrative PDF table; this is not the missing original structured record.</x:v>
      </x:c>
    </x:row>
    <x:row r="120" ht="30" customHeight="1">
      <x:c r="A120" s="40" t="str">
        <x:v>FT-SEED-R1-0607-D-03</x:v>
      </x:c>
      <x:c r="B120" s="19" t="str">
        <x:v>INITIAL_180</x:v>
      </x:c>
      <x:c r="C120" s="31" t="str">
        <x:v>0607-D-03</x:v>
      </x:c>
      <x:c r="D120" s="31" t="str">
        <x:v>20</x:v>
      </x:c>
      <x:c r="E120" s="19" t="str">
        <x:v>FT-A0607</x:v>
      </x:c>
      <x:c r="F120" s="31" t="str">
        <x:v>serious impacts</x:v>
      </x:c>
      <x:c r="G120" s="19" t="str">
        <x:v>D</x:v>
      </x:c>
      <x:c r="H120" s="19" t="str">
        <x:v>NOT_ANNOTATED_IN_SOURCE</x:v>
      </x:c>
      <x:c r="I120" s="31" t="str">
        <x:v>E06-1</x:v>
      </x:c>
      <x:c r="J120" s="19" t="str">
        <x:v>NOT_ANNOTATED_IN_SOURCE</x:v>
      </x:c>
      <x:c r="K120" s="19" t="str">
        <x:v>CONFIDENCE=Strong;CARRY_FORWARD=Yes</x:v>
      </x:c>
      <x:c r="L120" s="19" t="str">
        <x:v>Strong</x:v>
      </x:c>
      <x:c r="M120" s="19" t="str">
        <x:v>Yes</x:v>
      </x:c>
      <x:c r="N120" s="31" t="str">
        <x:v>RECONSTRUCTED_FROM_REPORT</x:v>
      </x:c>
      <x:c r="O120" s="31" t="str">
        <x:v>RETAIN</x:v>
      </x:c>
      <x:c r="P120" s="19" t="str">
        <x:v>Fear of Temperature_ Historical Lexical Discovery and Anchor Validation.pdf</x:v>
      </x:c>
      <x:c r="Q120" s="31" t="str">
        <x:v>RECONSTRUCTED_FROM_REPORT</x:v>
      </x:c>
      <x:c r="R120" s="43" t="str">
        <x:v>Original candidate ID and row fields reconstructed from the compact narrative PDF table; this is not the missing original structured record.</x:v>
      </x:c>
    </x:row>
    <x:row r="121" ht="30" customHeight="1">
      <x:c r="A121" s="40" t="str">
        <x:v>FT-SEED-R1-0607-D-04</x:v>
      </x:c>
      <x:c r="B121" s="19" t="str">
        <x:v>INITIAL_180</x:v>
      </x:c>
      <x:c r="C121" s="31" t="str">
        <x:v>0607-D-04</x:v>
      </x:c>
      <x:c r="D121" s="31" t="str">
        <x:v>20</x:v>
      </x:c>
      <x:c r="E121" s="19" t="str">
        <x:v>FT-A0607</x:v>
      </x:c>
      <x:c r="F121" s="31" t="str">
        <x:v>worst impacts</x:v>
      </x:c>
      <x:c r="G121" s="19" t="str">
        <x:v>D</x:v>
      </x:c>
      <x:c r="H121" s="19" t="str">
        <x:v>NOT_ANNOTATED_IN_SOURCE</x:v>
      </x:c>
      <x:c r="I121" s="31" t="str">
        <x:v>E06-1</x:v>
      </x:c>
      <x:c r="J121" s="19" t="str">
        <x:v>NOT_ANNOTATED_IN_SOURCE</x:v>
      </x:c>
      <x:c r="K121" s="19" t="str">
        <x:v>CONFIDENCE=Strong;CARRY_FORWARD=Yes</x:v>
      </x:c>
      <x:c r="L121" s="19" t="str">
        <x:v>Strong</x:v>
      </x:c>
      <x:c r="M121" s="19" t="str">
        <x:v>Yes</x:v>
      </x:c>
      <x:c r="N121" s="31" t="str">
        <x:v>RECONSTRUCTED_FROM_REPORT</x:v>
      </x:c>
      <x:c r="O121" s="31" t="str">
        <x:v>RETAIN</x:v>
      </x:c>
      <x:c r="P121" s="19" t="str">
        <x:v>Fear of Temperature_ Historical Lexical Discovery and Anchor Validation.pdf</x:v>
      </x:c>
      <x:c r="Q121" s="31" t="str">
        <x:v>RECONSTRUCTED_FROM_REPORT</x:v>
      </x:c>
      <x:c r="R121" s="43" t="str">
        <x:v>Original candidate ID and row fields reconstructed from the compact narrative PDF table; this is not the missing original structured record.</x:v>
      </x:c>
    </x:row>
    <x:row r="122" ht="30" customHeight="1">
      <x:c r="A122" s="40" t="str">
        <x:v>FT-SEED-R1-0607-D-05</x:v>
      </x:c>
      <x:c r="B122" s="19" t="str">
        <x:v>INITIAL_180</x:v>
      </x:c>
      <x:c r="C122" s="31" t="str">
        <x:v>0607-D-05</x:v>
      </x:c>
      <x:c r="D122" s="31" t="str">
        <x:v>20</x:v>
      </x:c>
      <x:c r="E122" s="19" t="str">
        <x:v>FT-A0607</x:v>
      </x:c>
      <x:c r="F122" s="31" t="str">
        <x:v>climate crisis</x:v>
      </x:c>
      <x:c r="G122" s="19" t="str">
        <x:v>D</x:v>
      </x:c>
      <x:c r="H122" s="19" t="str">
        <x:v>NOT_ANNOTATED_IN_SOURCE</x:v>
      </x:c>
      <x:c r="I122" s="31" t="str">
        <x:v>E06-3,E07-1</x:v>
      </x:c>
      <x:c r="J122" s="19" t="str">
        <x:v>NOT_ANNOTATED_IN_SOURCE</x:v>
      </x:c>
      <x:c r="K122" s="19" t="str">
        <x:v>CONFIDENCE=Strong;CARRY_FORWARD=Yes</x:v>
      </x:c>
      <x:c r="L122" s="19" t="str">
        <x:v>Strong</x:v>
      </x:c>
      <x:c r="M122" s="19" t="str">
        <x:v>Yes</x:v>
      </x:c>
      <x:c r="N122" s="31" t="str">
        <x:v>RECONSTRUCTED_FROM_REPORT</x:v>
      </x:c>
      <x:c r="O122" s="31" t="str">
        <x:v>RETAIN</x:v>
      </x:c>
      <x:c r="P122" s="19" t="str">
        <x:v>Fear of Temperature_ Historical Lexical Discovery and Anchor Validation.pdf</x:v>
      </x:c>
      <x:c r="Q122" s="31" t="str">
        <x:v>RECONSTRUCTED_FROM_REPORT</x:v>
      </x:c>
      <x:c r="R122" s="43" t="str">
        <x:v>Original candidate ID and row fields reconstructed from the compact narrative PDF table; this is not the missing original structured record.</x:v>
      </x:c>
    </x:row>
    <x:row r="123" ht="30" customHeight="1">
      <x:c r="A123" s="40" t="str">
        <x:v>FT-SEED-R1-0607-D-06</x:v>
      </x:c>
      <x:c r="B123" s="19" t="str">
        <x:v>INITIAL_180</x:v>
      </x:c>
      <x:c r="C123" s="31" t="str">
        <x:v>0607-D-06</x:v>
      </x:c>
      <x:c r="D123" s="31" t="str">
        <x:v>21</x:v>
      </x:c>
      <x:c r="E123" s="19" t="str">
        <x:v>FT-A0607</x:v>
      </x:c>
      <x:c r="F123" s="31" t="str">
        <x:v>planetary emergency</x:v>
      </x:c>
      <x:c r="G123" s="19" t="str">
        <x:v>D</x:v>
      </x:c>
      <x:c r="H123" s="19" t="str">
        <x:v>NOT_ANNOTATED_IN_SOURCE</x:v>
      </x:c>
      <x:c r="I123" s="31" t="str">
        <x:v>E07-3</x:v>
      </x:c>
      <x:c r="J123" s="19" t="str">
        <x:v>NOT_ANNOTATED_IN_SOURCE</x:v>
      </x:c>
      <x:c r="K123" s="19" t="str">
        <x:v>CONFIDENCE=Moderate;CARRY_FORWARD=Yes</x:v>
      </x:c>
      <x:c r="L123" s="19" t="str">
        <x:v>Moderate</x:v>
      </x:c>
      <x:c r="M123" s="19" t="str">
        <x:v>Yes</x:v>
      </x:c>
      <x:c r="N123" s="31" t="str">
        <x:v>RECONSTRUCTED_FROM_REPORT</x:v>
      </x:c>
      <x:c r="O123" s="31" t="str">
        <x:v>RETAIN</x:v>
      </x:c>
      <x:c r="P123" s="19" t="str">
        <x:v>Fear of Temperature_ Historical Lexical Discovery and Anchor Validation.pdf</x:v>
      </x:c>
      <x:c r="Q123" s="31" t="str">
        <x:v>RECONSTRUCTED_FROM_REPORT</x:v>
      </x:c>
      <x:c r="R123" s="43" t="str">
        <x:v>Original candidate ID and row fields reconstructed from the compact narrative PDF table; this is not the missing original structured record.</x:v>
      </x:c>
    </x:row>
    <x:row r="124" ht="30" customHeight="1">
      <x:c r="A124" s="40" t="str">
        <x:v>FT-SEED-R1-0607-D-07</x:v>
      </x:c>
      <x:c r="B124" s="19" t="str">
        <x:v>INITIAL_180</x:v>
      </x:c>
      <x:c r="C124" s="31" t="str">
        <x:v>0607-D-07</x:v>
      </x:c>
      <x:c r="D124" s="31" t="str">
        <x:v>21</x:v>
      </x:c>
      <x:c r="E124" s="19" t="str">
        <x:v>FT-A0607</x:v>
      </x:c>
      <x:c r="F124" s="31" t="str">
        <x:v>threat</x:v>
      </x:c>
      <x:c r="G124" s="19" t="str">
        <x:v>D</x:v>
      </x:c>
      <x:c r="H124" s="19" t="str">
        <x:v>NOT_ANNOTATED_IN_SOURCE</x:v>
      </x:c>
      <x:c r="I124" s="31" t="str">
        <x:v>E07-1</x:v>
      </x:c>
      <x:c r="J124" s="19" t="str">
        <x:v>NOT_ANNOTATED_IN_SOURCE</x:v>
      </x:c>
      <x:c r="K124" s="19" t="str">
        <x:v>CONFIDENCE=Strong;CARRY_FORWARD=Yes</x:v>
      </x:c>
      <x:c r="L124" s="19" t="str">
        <x:v>Strong</x:v>
      </x:c>
      <x:c r="M124" s="19" t="str">
        <x:v>Yes</x:v>
      </x:c>
      <x:c r="N124" s="31" t="str">
        <x:v>RECONSTRUCTED_FROM_REPORT</x:v>
      </x:c>
      <x:c r="O124" s="31" t="str">
        <x:v>RETAIN</x:v>
      </x:c>
      <x:c r="P124" s="19" t="str">
        <x:v>Fear of Temperature_ Historical Lexical Discovery and Anchor Validation.pdf</x:v>
      </x:c>
      <x:c r="Q124" s="31" t="str">
        <x:v>RECONSTRUCTED_FROM_REPORT</x:v>
      </x:c>
      <x:c r="R124" s="43" t="str">
        <x:v>Original candidate ID and row fields reconstructed from the compact narrative PDF table; this is not the missing original structured record.</x:v>
      </x:c>
    </x:row>
    <x:row r="125" ht="30" customHeight="1">
      <x:c r="A125" s="40" t="str">
        <x:v>FT-SEED-R1-2015-A-01</x:v>
      </x:c>
      <x:c r="B125" s="19" t="str">
        <x:v>INITIAL_180</x:v>
      </x:c>
      <x:c r="C125" s="31" t="str">
        <x:v>2015-A-01</x:v>
      </x:c>
      <x:c r="D125" s="31" t="str">
        <x:v>22</x:v>
      </x:c>
      <x:c r="E125" s="19" t="str">
        <x:v>FT-A2015</x:v>
      </x:c>
      <x:c r="F125" s="31" t="str">
        <x:v>global average temperature</x:v>
      </x:c>
      <x:c r="G125" s="19" t="str">
        <x:v>A</x:v>
      </x:c>
      <x:c r="H125" s="19" t="str">
        <x:v>NOT_ANNOTATED_IN_SOURCE</x:v>
      </x:c>
      <x:c r="I125" s="31" t="str">
        <x:v>E15-1,2</x:v>
      </x:c>
      <x:c r="J125" s="19" t="str">
        <x:v>NOT_ANNOTATED_IN_SOURCE</x:v>
      </x:c>
      <x:c r="K125" s="19" t="str">
        <x:v>CONFIDENCE=NOT_EXPOSED;CARRY_FORWARD=Yes</x:v>
      </x:c>
      <x:c r="L125" s="19" t="str">
        <x:v>NOT_EXPOSED_IN_SOURCE</x:v>
      </x:c>
      <x:c r="M125" s="19" t="str">
        <x:v>Yes</x:v>
      </x:c>
      <x:c r="N125" s="31" t="str">
        <x:v>RECONSTRUCTED_FROM_REPORT</x:v>
      </x:c>
      <x:c r="O125" s="31" t="str">
        <x:v>RETAIN</x:v>
      </x:c>
      <x:c r="P125" s="19" t="str">
        <x:v>Fear of Temperature_ Historical Lexical Discovery and Anchor Validation.pdf</x:v>
      </x:c>
      <x:c r="Q125" s="31" t="str">
        <x:v>RECONSTRUCTED_FROM_REPORT</x:v>
      </x:c>
      <x:c r="R125" s="43" t="str">
        <x:v>Original candidate ID and row fields reconstructed from the compact narrative PDF table; this is not the missing original structured record.</x:v>
      </x:c>
    </x:row>
    <x:row r="126" ht="30" customHeight="1">
      <x:c r="A126" s="40" t="str">
        <x:v>FT-SEED-R1-2015-A-02</x:v>
      </x:c>
      <x:c r="B126" s="19" t="str">
        <x:v>INITIAL_180</x:v>
      </x:c>
      <x:c r="C126" s="31" t="str">
        <x:v>2015-A-02</x:v>
      </x:c>
      <x:c r="D126" s="31" t="str">
        <x:v>22</x:v>
      </x:c>
      <x:c r="E126" s="19" t="str">
        <x:v>FT-A2015</x:v>
      </x:c>
      <x:c r="F126" s="31" t="str">
        <x:v>temperature increase</x:v>
      </x:c>
      <x:c r="G126" s="19" t="str">
        <x:v>A</x:v>
      </x:c>
      <x:c r="H126" s="19" t="str">
        <x:v>NOT_ANNOTATED_IN_SOURCE</x:v>
      </x:c>
      <x:c r="I126" s="31" t="str">
        <x:v>E15-1,2</x:v>
      </x:c>
      <x:c r="J126" s="19" t="str">
        <x:v>NOT_ANNOTATED_IN_SOURCE</x:v>
      </x:c>
      <x:c r="K126" s="19" t="str">
        <x:v>CONFIDENCE=NOT_EXPOSED;CARRY_FORWARD=Yes</x:v>
      </x:c>
      <x:c r="L126" s="19" t="str">
        <x:v>NOT_EXPOSED_IN_SOURCE</x:v>
      </x:c>
      <x:c r="M126" s="19" t="str">
        <x:v>Yes</x:v>
      </x:c>
      <x:c r="N126" s="31" t="str">
        <x:v>RECONSTRUCTED_FROM_REPORT</x:v>
      </x:c>
      <x:c r="O126" s="31" t="str">
        <x:v>RETAIN</x:v>
      </x:c>
      <x:c r="P126" s="19" t="str">
        <x:v>Fear of Temperature_ Historical Lexical Discovery and Anchor Validation.pdf</x:v>
      </x:c>
      <x:c r="Q126" s="31" t="str">
        <x:v>RECONSTRUCTED_FROM_REPORT</x:v>
      </x:c>
      <x:c r="R126" s="43" t="str">
        <x:v>Original candidate ID and row fields reconstructed from the compact narrative PDF table; this is not the missing original structured record.</x:v>
      </x:c>
    </x:row>
    <x:row r="127" ht="30" customHeight="1">
      <x:c r="A127" s="40" t="str">
        <x:v>FT-SEED-R1-2015-A-03</x:v>
      </x:c>
      <x:c r="B127" s="19" t="str">
        <x:v>INITIAL_180</x:v>
      </x:c>
      <x:c r="C127" s="31" t="str">
        <x:v>2015-A-03</x:v>
      </x:c>
      <x:c r="D127" s="31" t="str">
        <x:v>22</x:v>
      </x:c>
      <x:c r="E127" s="19" t="str">
        <x:v>FT-A2015</x:v>
      </x:c>
      <x:c r="F127" s="31" t="str">
        <x:v>global temperature rise</x:v>
      </x:c>
      <x:c r="G127" s="19" t="str">
        <x:v>A</x:v>
      </x:c>
      <x:c r="H127" s="19" t="str">
        <x:v>NOT_ANNOTATED_IN_SOURCE</x:v>
      </x:c>
      <x:c r="I127" s="31" t="str">
        <x:v>E15-2</x:v>
      </x:c>
      <x:c r="J127" s="19" t="str">
        <x:v>NOT_ANNOTATED_IN_SOURCE</x:v>
      </x:c>
      <x:c r="K127" s="19" t="str">
        <x:v>CONFIDENCE=NOT_EXPOSED;CARRY_FORWARD=Yes</x:v>
      </x:c>
      <x:c r="L127" s="19" t="str">
        <x:v>NOT_EXPOSED_IN_SOURCE</x:v>
      </x:c>
      <x:c r="M127" s="19" t="str">
        <x:v>Yes</x:v>
      </x:c>
      <x:c r="N127" s="31" t="str">
        <x:v>RECONSTRUCTED_FROM_REPORT</x:v>
      </x:c>
      <x:c r="O127" s="31" t="str">
        <x:v>RETAIN</x:v>
      </x:c>
      <x:c r="P127" s="19" t="str">
        <x:v>Fear of Temperature_ Historical Lexical Discovery and Anchor Validation.pdf</x:v>
      </x:c>
      <x:c r="Q127" s="31" t="str">
        <x:v>RECONSTRUCTED_FROM_REPORT</x:v>
      </x:c>
      <x:c r="R127" s="43" t="str">
        <x:v>Original candidate ID and row fields reconstructed from the compact narrative PDF table; this is not the missing original structured record.</x:v>
      </x:c>
    </x:row>
    <x:row r="128" ht="30" customHeight="1">
      <x:c r="A128" s="40" t="str">
        <x:v>FT-SEED-R1-2015-A-04</x:v>
      </x:c>
      <x:c r="B128" s="19" t="str">
        <x:v>INITIAL_180</x:v>
      </x:c>
      <x:c r="C128" s="31" t="str">
        <x:v>2015-A-04</x:v>
      </x:c>
      <x:c r="D128" s="31" t="str">
        <x:v>22</x:v>
      </x:c>
      <x:c r="E128" s="19" t="str">
        <x:v>FT-A2015</x:v>
      </x:c>
      <x:c r="F128" s="31" t="str">
        <x:v>2°C</x:v>
      </x:c>
      <x:c r="G128" s="19" t="str">
        <x:v>A</x:v>
      </x:c>
      <x:c r="H128" s="19" t="str">
        <x:v>NOT_ANNOTATED_IN_SOURCE</x:v>
      </x:c>
      <x:c r="I128" s="31" t="str">
        <x:v>E15-1,2</x:v>
      </x:c>
      <x:c r="J128" s="19" t="str">
        <x:v>NOT_ANNOTATED_IN_SOURCE</x:v>
      </x:c>
      <x:c r="K128" s="19" t="str">
        <x:v>CONFIDENCE=NOT_EXPOSED;CARRY_FORWARD=Yes</x:v>
      </x:c>
      <x:c r="L128" s="19" t="str">
        <x:v>NOT_EXPOSED_IN_SOURCE</x:v>
      </x:c>
      <x:c r="M128" s="19" t="str">
        <x:v>Yes</x:v>
      </x:c>
      <x:c r="N128" s="31" t="str">
        <x:v>RECONSTRUCTED_FROM_REPORT</x:v>
      </x:c>
      <x:c r="O128" s="31" t="str">
        <x:v>RETAIN</x:v>
      </x:c>
      <x:c r="P128" s="19" t="str">
        <x:v>Fear of Temperature_ Historical Lexical Discovery and Anchor Validation.pdf</x:v>
      </x:c>
      <x:c r="Q128" s="31" t="str">
        <x:v>RECONSTRUCTED_FROM_REPORT</x:v>
      </x:c>
      <x:c r="R128" s="43" t="str">
        <x:v>Original candidate ID and row fields reconstructed from the compact narrative PDF table; this is not the missing original structured record.</x:v>
      </x:c>
    </x:row>
    <x:row r="129" ht="30" customHeight="1">
      <x:c r="A129" s="40" t="str">
        <x:v>FT-SEED-R1-2015-A-05</x:v>
      </x:c>
      <x:c r="B129" s="19" t="str">
        <x:v>INITIAL_180</x:v>
      </x:c>
      <x:c r="C129" s="31" t="str">
        <x:v>2015-A-05</x:v>
      </x:c>
      <x:c r="D129" s="31" t="str">
        <x:v>22</x:v>
      </x:c>
      <x:c r="E129" s="19" t="str">
        <x:v>FT-A2015</x:v>
      </x:c>
      <x:c r="F129" s="31" t="str">
        <x:v>1.5°C</x:v>
      </x:c>
      <x:c r="G129" s="19" t="str">
        <x:v>A</x:v>
      </x:c>
      <x:c r="H129" s="19" t="str">
        <x:v>NOT_ANNOTATED_IN_SOURCE</x:v>
      </x:c>
      <x:c r="I129" s="31" t="str">
        <x:v>E15-1,2</x:v>
      </x:c>
      <x:c r="J129" s="19" t="str">
        <x:v>NOT_ANNOTATED_IN_SOURCE</x:v>
      </x:c>
      <x:c r="K129" s="19" t="str">
        <x:v>CONFIDENCE=NOT_EXPOSED;CARRY_FORWARD=Yes</x:v>
      </x:c>
      <x:c r="L129" s="19" t="str">
        <x:v>NOT_EXPOSED_IN_SOURCE</x:v>
      </x:c>
      <x:c r="M129" s="19" t="str">
        <x:v>Yes</x:v>
      </x:c>
      <x:c r="N129" s="31" t="str">
        <x:v>RECONSTRUCTED_FROM_REPORT</x:v>
      </x:c>
      <x:c r="O129" s="31" t="str">
        <x:v>RETAIN</x:v>
      </x:c>
      <x:c r="P129" s="19" t="str">
        <x:v>Fear of Temperature_ Historical Lexical Discovery and Anchor Validation.pdf</x:v>
      </x:c>
      <x:c r="Q129" s="31" t="str">
        <x:v>RECONSTRUCTED_FROM_REPORT</x:v>
      </x:c>
      <x:c r="R129" s="43" t="str">
        <x:v>Original candidate ID and row fields reconstructed from the compact narrative PDF table; this is not the missing original structured record.</x:v>
      </x:c>
    </x:row>
    <x:row r="130" ht="30" customHeight="1">
      <x:c r="A130" s="40" t="str">
        <x:v>FT-SEED-R1-2015-A-06</x:v>
      </x:c>
      <x:c r="B130" s="19" t="str">
        <x:v>INITIAL_180</x:v>
      </x:c>
      <x:c r="C130" s="31" t="str">
        <x:v>2015-A-06</x:v>
      </x:c>
      <x:c r="D130" s="31" t="str">
        <x:v>22</x:v>
      </x:c>
      <x:c r="E130" s="19" t="str">
        <x:v>FT-A2015</x:v>
      </x:c>
      <x:c r="F130" s="31" t="str">
        <x:v>global warming</x:v>
      </x:c>
      <x:c r="G130" s="19" t="str">
        <x:v>A</x:v>
      </x:c>
      <x:c r="H130" s="19" t="str">
        <x:v>NOT_ANNOTATED_IN_SOURCE</x:v>
      </x:c>
      <x:c r="I130" s="31" t="str">
        <x:v>E15-1</x:v>
      </x:c>
      <x:c r="J130" s="19" t="str">
        <x:v>NOT_ANNOTATED_IN_SOURCE</x:v>
      </x:c>
      <x:c r="K130" s="19" t="str">
        <x:v>CONFIDENCE=NOT_EXPOSED;CARRY_FORWARD=Yes</x:v>
      </x:c>
      <x:c r="L130" s="19" t="str">
        <x:v>NOT_EXPOSED_IN_SOURCE</x:v>
      </x:c>
      <x:c r="M130" s="19" t="str">
        <x:v>Yes</x:v>
      </x:c>
      <x:c r="N130" s="31" t="str">
        <x:v>RECONSTRUCTED_FROM_REPORT</x:v>
      </x:c>
      <x:c r="O130" s="31" t="str">
        <x:v>RETAIN</x:v>
      </x:c>
      <x:c r="P130" s="19" t="str">
        <x:v>Fear of Temperature_ Historical Lexical Discovery and Anchor Validation.pdf</x:v>
      </x:c>
      <x:c r="Q130" s="31" t="str">
        <x:v>RECONSTRUCTED_FROM_REPORT</x:v>
      </x:c>
      <x:c r="R130" s="43" t="str">
        <x:v>Original candidate ID and row fields reconstructed from the compact narrative PDF table; this is not the missing original structured record.</x:v>
      </x:c>
    </x:row>
    <x:row r="131" ht="30" customHeight="1">
      <x:c r="A131" s="40" t="str">
        <x:v>FT-SEED-R1-2015-A-07</x:v>
      </x:c>
      <x:c r="B131" s="19" t="str">
        <x:v>INITIAL_180</x:v>
      </x:c>
      <x:c r="C131" s="31" t="str">
        <x:v>2015-A-07</x:v>
      </x:c>
      <x:c r="D131" s="31" t="str">
        <x:v>22</x:v>
      </x:c>
      <x:c r="E131" s="19" t="str">
        <x:v>FT-A2015</x:v>
      </x:c>
      <x:c r="F131" s="31" t="str">
        <x:v>extreme heat</x:v>
      </x:c>
      <x:c r="G131" s="19" t="str">
        <x:v>A</x:v>
      </x:c>
      <x:c r="H131" s="19" t="str">
        <x:v>NOT_ANNOTATED_IN_SOURCE</x:v>
      </x:c>
      <x:c r="I131" s="31" t="str">
        <x:v>E15-3,4</x:v>
      </x:c>
      <x:c r="J131" s="19" t="str">
        <x:v>NOT_ANNOTATED_IN_SOURCE</x:v>
      </x:c>
      <x:c r="K131" s="19" t="str">
        <x:v>CONFIDENCE=NOT_EXPOSED;CARRY_FORWARD=Yes</x:v>
      </x:c>
      <x:c r="L131" s="19" t="str">
        <x:v>NOT_EXPOSED_IN_SOURCE</x:v>
      </x:c>
      <x:c r="M131" s="19" t="str">
        <x:v>Yes</x:v>
      </x:c>
      <x:c r="N131" s="31" t="str">
        <x:v>RECONSTRUCTED_FROM_REPORT</x:v>
      </x:c>
      <x:c r="O131" s="31" t="str">
        <x:v>RETAIN</x:v>
      </x:c>
      <x:c r="P131" s="19" t="str">
        <x:v>Fear of Temperature_ Historical Lexical Discovery and Anchor Validation.pdf</x:v>
      </x:c>
      <x:c r="Q131" s="31" t="str">
        <x:v>RECONSTRUCTED_FROM_REPORT</x:v>
      </x:c>
      <x:c r="R131" s="43" t="str">
        <x:v>Original candidate ID and row fields reconstructed from the compact narrative PDF table; this is not the missing original structured record.</x:v>
      </x:c>
    </x:row>
    <x:row r="132" ht="30" customHeight="1">
      <x:c r="A132" s="40" t="str">
        <x:v>FT-SEED-R1-2015-A-08</x:v>
      </x:c>
      <x:c r="B132" s="19" t="str">
        <x:v>INITIAL_180</x:v>
      </x:c>
      <x:c r="C132" s="31" t="str">
        <x:v>2015-A-08</x:v>
      </x:c>
      <x:c r="D132" s="31" t="str">
        <x:v>22</x:v>
      </x:c>
      <x:c r="E132" s="19" t="str">
        <x:v>FT-A2015</x:v>
      </x:c>
      <x:c r="F132" s="31" t="str">
        <x:v>heat waves</x:v>
      </x:c>
      <x:c r="G132" s="19" t="str">
        <x:v>A</x:v>
      </x:c>
      <x:c r="H132" s="19" t="str">
        <x:v>NOT_ANNOTATED_IN_SOURCE</x:v>
      </x:c>
      <x:c r="I132" s="31" t="str">
        <x:v>E15-3,4</x:v>
      </x:c>
      <x:c r="J132" s="19" t="str">
        <x:v>NOT_ANNOTATED_IN_SOURCE</x:v>
      </x:c>
      <x:c r="K132" s="19" t="str">
        <x:v>CONFIDENCE=NOT_EXPOSED;CARRY_FORWARD=Yes</x:v>
      </x:c>
      <x:c r="L132" s="19" t="str">
        <x:v>NOT_EXPOSED_IN_SOURCE</x:v>
      </x:c>
      <x:c r="M132" s="19" t="str">
        <x:v>Yes</x:v>
      </x:c>
      <x:c r="N132" s="31" t="str">
        <x:v>RECONSTRUCTED_FROM_REPORT</x:v>
      </x:c>
      <x:c r="O132" s="31" t="str">
        <x:v>RETAIN</x:v>
      </x:c>
      <x:c r="P132" s="19" t="str">
        <x:v>Fear of Temperature_ Historical Lexical Discovery and Anchor Validation.pdf</x:v>
      </x:c>
      <x:c r="Q132" s="31" t="str">
        <x:v>RECONSTRUCTED_FROM_REPORT</x:v>
      </x:c>
      <x:c r="R132" s="43" t="str">
        <x:v>Original candidate ID and row fields reconstructed from the compact narrative PDF table; this is not the missing original structured record.</x:v>
      </x:c>
    </x:row>
    <x:row r="133" ht="30" customHeight="1">
      <x:c r="A133" s="40" t="str">
        <x:v>FT-SEED-R1-2015-B-01</x:v>
      </x:c>
      <x:c r="B133" s="19" t="str">
        <x:v>INITIAL_180</x:v>
      </x:c>
      <x:c r="C133" s="31" t="str">
        <x:v>2015-B-01</x:v>
      </x:c>
      <x:c r="D133" s="31" t="str">
        <x:v>22</x:v>
      </x:c>
      <x:c r="E133" s="19" t="str">
        <x:v>FT-A2015</x:v>
      </x:c>
      <x:c r="F133" s="31" t="str">
        <x:v>climate change</x:v>
      </x:c>
      <x:c r="G133" s="19" t="str">
        <x:v>B</x:v>
      </x:c>
      <x:c r="H133" s="19" t="str">
        <x:v>NOT_ANNOTATED_IN_SOURCE</x:v>
      </x:c>
      <x:c r="I133" s="31" t="str">
        <x:v>E15-1,2</x:v>
      </x:c>
      <x:c r="J133" s="19" t="str">
        <x:v>NOT_ANNOTATED_IN_SOURCE</x:v>
      </x:c>
      <x:c r="K133" s="19" t="str">
        <x:v>CONFIDENCE=NOT_EXPOSED;CARRY_FORWARD=Yes</x:v>
      </x:c>
      <x:c r="L133" s="19" t="str">
        <x:v>NOT_EXPOSED_IN_SOURCE</x:v>
      </x:c>
      <x:c r="M133" s="19" t="str">
        <x:v>Yes</x:v>
      </x:c>
      <x:c r="N133" s="31" t="str">
        <x:v>RECONSTRUCTED_FROM_REPORT</x:v>
      </x:c>
      <x:c r="O133" s="31" t="str">
        <x:v>RETAIN</x:v>
      </x:c>
      <x:c r="P133" s="19" t="str">
        <x:v>Fear of Temperature_ Historical Lexical Discovery and Anchor Validation.pdf</x:v>
      </x:c>
      <x:c r="Q133" s="31" t="str">
        <x:v>RECONSTRUCTED_FROM_REPORT</x:v>
      </x:c>
      <x:c r="R133" s="43" t="str">
        <x:v>Original candidate ID and row fields reconstructed from the compact narrative PDF table; this is not the missing original structured record.</x:v>
      </x:c>
    </x:row>
    <x:row r="134" ht="30" customHeight="1">
      <x:c r="A134" s="40" t="str">
        <x:v>FT-SEED-R1-2015-B-02</x:v>
      </x:c>
      <x:c r="B134" s="19" t="str">
        <x:v>INITIAL_180</x:v>
      </x:c>
      <x:c r="C134" s="31" t="str">
        <x:v>2015-B-02</x:v>
      </x:c>
      <x:c r="D134" s="31" t="str">
        <x:v>23</x:v>
      </x:c>
      <x:c r="E134" s="19" t="str">
        <x:v>FT-A2015</x:v>
      </x:c>
      <x:c r="F134" s="31" t="str">
        <x:v>greenhouse gas emissions</x:v>
      </x:c>
      <x:c r="G134" s="19" t="str">
        <x:v>B</x:v>
      </x:c>
      <x:c r="H134" s="19" t="str">
        <x:v>NOT_ANNOTATED_IN_SOURCE</x:v>
      </x:c>
      <x:c r="I134" s="31" t="str">
        <x:v>E15-1,2</x:v>
      </x:c>
      <x:c r="J134" s="19" t="str">
        <x:v>NOT_ANNOTATED_IN_SOURCE</x:v>
      </x:c>
      <x:c r="K134" s="19" t="str">
        <x:v>CONFIDENCE=NOT_EXPOSED;CARRY_FORWARD=Yes</x:v>
      </x:c>
      <x:c r="L134" s="19" t="str">
        <x:v>NOT_EXPOSED_IN_SOURCE</x:v>
      </x:c>
      <x:c r="M134" s="19" t="str">
        <x:v>Yes</x:v>
      </x:c>
      <x:c r="N134" s="31" t="str">
        <x:v>RECONSTRUCTED_FROM_REPORT</x:v>
      </x:c>
      <x:c r="O134" s="31" t="str">
        <x:v>RETAIN</x:v>
      </x:c>
      <x:c r="P134" s="19" t="str">
        <x:v>Fear of Temperature_ Historical Lexical Discovery and Anchor Validation.pdf</x:v>
      </x:c>
      <x:c r="Q134" s="31" t="str">
        <x:v>RECONSTRUCTED_FROM_REPORT</x:v>
      </x:c>
      <x:c r="R134" s="43" t="str">
        <x:v>Original candidate ID and row fields reconstructed from the compact narrative PDF table; this is not the missing original structured record.</x:v>
      </x:c>
    </x:row>
    <x:row r="135" ht="30" customHeight="1">
      <x:c r="A135" s="40" t="str">
        <x:v>FT-SEED-R1-2015-B-03</x:v>
      </x:c>
      <x:c r="B135" s="19" t="str">
        <x:v>INITIAL_180</x:v>
      </x:c>
      <x:c r="C135" s="31" t="str">
        <x:v>2015-B-03</x:v>
      </x:c>
      <x:c r="D135" s="31" t="str">
        <x:v>23</x:v>
      </x:c>
      <x:c r="E135" s="19" t="str">
        <x:v>FT-A2015</x:v>
      </x:c>
      <x:c r="F135" s="31" t="str">
        <x:v>pre-industrial levels</x:v>
      </x:c>
      <x:c r="G135" s="19" t="str">
        <x:v>B</x:v>
      </x:c>
      <x:c r="H135" s="19" t="str">
        <x:v>NOT_ANNOTATED_IN_SOURCE</x:v>
      </x:c>
      <x:c r="I135" s="31" t="str">
        <x:v>E15-1,2</x:v>
      </x:c>
      <x:c r="J135" s="19" t="str">
        <x:v>NOT_ANNOTATED_IN_SOURCE</x:v>
      </x:c>
      <x:c r="K135" s="19" t="str">
        <x:v>CONFIDENCE=NOT_EXPOSED;CARRY_FORWARD=Yes</x:v>
      </x:c>
      <x:c r="L135" s="19" t="str">
        <x:v>NOT_EXPOSED_IN_SOURCE</x:v>
      </x:c>
      <x:c r="M135" s="19" t="str">
        <x:v>Yes</x:v>
      </x:c>
      <x:c r="N135" s="31" t="str">
        <x:v>RECONSTRUCTED_FROM_REPORT</x:v>
      </x:c>
      <x:c r="O135" s="31" t="str">
        <x:v>RETAIN</x:v>
      </x:c>
      <x:c r="P135" s="19" t="str">
        <x:v>Fear of Temperature_ Historical Lexical Discovery and Anchor Validation.pdf</x:v>
      </x:c>
      <x:c r="Q135" s="31" t="str">
        <x:v>RECONSTRUCTED_FROM_REPORT</x:v>
      </x:c>
      <x:c r="R135" s="43" t="str">
        <x:v>Original candidate ID and row fields reconstructed from the compact narrative PDF table; this is not the missing original structured record.</x:v>
      </x:c>
    </x:row>
    <x:row r="136" ht="30" customHeight="1">
      <x:c r="A136" s="40" t="str">
        <x:v>FT-SEED-R1-2015-B-04</x:v>
      </x:c>
      <x:c r="B136" s="19" t="str">
        <x:v>INITIAL_180</x:v>
      </x:c>
      <x:c r="C136" s="31" t="str">
        <x:v>2015-B-04</x:v>
      </x:c>
      <x:c r="D136" s="31" t="str">
        <x:v>23</x:v>
      </x:c>
      <x:c r="E136" s="19" t="str">
        <x:v>FT-A2015</x:v>
      </x:c>
      <x:c r="F136" s="31" t="str">
        <x:v>climate system</x:v>
      </x:c>
      <x:c r="G136" s="19" t="str">
        <x:v>B</x:v>
      </x:c>
      <x:c r="H136" s="19" t="str">
        <x:v>NOT_ANNOTATED_IN_SOURCE</x:v>
      </x:c>
      <x:c r="I136" s="31" t="str">
        <x:v>E15-1,4</x:v>
      </x:c>
      <x:c r="J136" s="19" t="str">
        <x:v>NOT_ANNOTATED_IN_SOURCE</x:v>
      </x:c>
      <x:c r="K136" s="19" t="str">
        <x:v>CONFIDENCE=NOT_EXPOSED;CARRY_FORWARD=Yes</x:v>
      </x:c>
      <x:c r="L136" s="19" t="str">
        <x:v>NOT_EXPOSED_IN_SOURCE</x:v>
      </x:c>
      <x:c r="M136" s="19" t="str">
        <x:v>Yes</x:v>
      </x:c>
      <x:c r="N136" s="31" t="str">
        <x:v>RECONSTRUCTED_FROM_REPORT</x:v>
      </x:c>
      <x:c r="O136" s="31" t="str">
        <x:v>RETAIN</x:v>
      </x:c>
      <x:c r="P136" s="19" t="str">
        <x:v>Fear of Temperature_ Historical Lexical Discovery and Anchor Validation.pdf</x:v>
      </x:c>
      <x:c r="Q136" s="31" t="str">
        <x:v>RECONSTRUCTED_FROM_REPORT</x:v>
      </x:c>
      <x:c r="R136" s="43" t="str">
        <x:v>Original candidate ID and row fields reconstructed from the compact narrative PDF table; this is not the missing original structured record.</x:v>
      </x:c>
    </x:row>
    <x:row r="137" ht="30" customHeight="1">
      <x:c r="A137" s="40" t="str">
        <x:v>FT-SEED-R1-2015-B-05</x:v>
      </x:c>
      <x:c r="B137" s="19" t="str">
        <x:v>INITIAL_180</x:v>
      </x:c>
      <x:c r="C137" s="31" t="str">
        <x:v>2015-B-05</x:v>
      </x:c>
      <x:c r="D137" s="31" t="str">
        <x:v>23</x:v>
      </x:c>
      <x:c r="E137" s="19" t="str">
        <x:v>FT-A2015</x:v>
      </x:c>
      <x:c r="F137" s="31" t="str">
        <x:v>anthropogenic emissions</x:v>
      </x:c>
      <x:c r="G137" s="19" t="str">
        <x:v>B</x:v>
      </x:c>
      <x:c r="H137" s="19" t="str">
        <x:v>NOT_ANNOTATED_IN_SOURCE</x:v>
      </x:c>
      <x:c r="I137" s="31" t="str">
        <x:v>E15-2</x:v>
      </x:c>
      <x:c r="J137" s="19" t="str">
        <x:v>NOT_ANNOTATED_IN_SOURCE</x:v>
      </x:c>
      <x:c r="K137" s="19" t="str">
        <x:v>CONFIDENCE=NOT_EXPOSED;CARRY_FORWARD=Yes</x:v>
      </x:c>
      <x:c r="L137" s="19" t="str">
        <x:v>NOT_EXPOSED_IN_SOURCE</x:v>
      </x:c>
      <x:c r="M137" s="19" t="str">
        <x:v>Yes</x:v>
      </x:c>
      <x:c r="N137" s="31" t="str">
        <x:v>RECONSTRUCTED_FROM_REPORT</x:v>
      </x:c>
      <x:c r="O137" s="31" t="str">
        <x:v>RETAIN</x:v>
      </x:c>
      <x:c r="P137" s="19" t="str">
        <x:v>Fear of Temperature_ Historical Lexical Discovery and Anchor Validation.pdf</x:v>
      </x:c>
      <x:c r="Q137" s="31" t="str">
        <x:v>RECONSTRUCTED_FROM_REPORT</x:v>
      </x:c>
      <x:c r="R137" s="43" t="str">
        <x:v>Original candidate ID and row fields reconstructed from the compact narrative PDF table; this is not the missing original structured record.</x:v>
      </x:c>
    </x:row>
    <x:row r="138" ht="30" customHeight="1">
      <x:c r="A138" s="40" t="str">
        <x:v>FT-SEED-R1-2015-B-06</x:v>
      </x:c>
      <x:c r="B138" s="19" t="str">
        <x:v>INITIAL_180</x:v>
      </x:c>
      <x:c r="C138" s="31" t="str">
        <x:v>2015-B-06</x:v>
      </x:c>
      <x:c r="D138" s="31" t="str">
        <x:v>23</x:v>
      </x:c>
      <x:c r="E138" s="19" t="str">
        <x:v>FT-A2015</x:v>
      </x:c>
      <x:c r="F138" s="31" t="str">
        <x:v>global response</x:v>
      </x:c>
      <x:c r="G138" s="19" t="str">
        <x:v>B</x:v>
      </x:c>
      <x:c r="H138" s="19" t="str">
        <x:v>NOT_ANNOTATED_IN_SOURCE</x:v>
      </x:c>
      <x:c r="I138" s="31" t="str">
        <x:v>E15-2</x:v>
      </x:c>
      <x:c r="J138" s="19" t="str">
        <x:v>NOT_ANNOTATED_IN_SOURCE</x:v>
      </x:c>
      <x:c r="K138" s="19" t="str">
        <x:v>CONFIDENCE=NOT_EXPOSED;CARRY_FORWARD=Yes</x:v>
      </x:c>
      <x:c r="L138" s="19" t="str">
        <x:v>NOT_EXPOSED_IN_SOURCE</x:v>
      </x:c>
      <x:c r="M138" s="19" t="str">
        <x:v>Yes</x:v>
      </x:c>
      <x:c r="N138" s="31" t="str">
        <x:v>RECONSTRUCTED_FROM_REPORT</x:v>
      </x:c>
      <x:c r="O138" s="31" t="str">
        <x:v>RETAIN</x:v>
      </x:c>
      <x:c r="P138" s="19" t="str">
        <x:v>Fear of Temperature_ Historical Lexical Discovery and Anchor Validation.pdf</x:v>
      </x:c>
      <x:c r="Q138" s="31" t="str">
        <x:v>RECONSTRUCTED_FROM_REPORT</x:v>
      </x:c>
      <x:c r="R138" s="43" t="str">
        <x:v>Original candidate ID and row fields reconstructed from the compact narrative PDF table; this is not the missing original structured record.</x:v>
      </x:c>
    </x:row>
    <x:row r="139" ht="30" customHeight="1">
      <x:c r="A139" s="40" t="str">
        <x:v>FT-SEED-R1-2015-B-07</x:v>
      </x:c>
      <x:c r="B139" s="19" t="str">
        <x:v>INITIAL_180</x:v>
      </x:c>
      <x:c r="C139" s="31" t="str">
        <x:v>2015-B-07</x:v>
      </x:c>
      <x:c r="D139" s="31" t="str">
        <x:v>23</x:v>
      </x:c>
      <x:c r="E139" s="19" t="str">
        <x:v>FT-A2015</x:v>
      </x:c>
      <x:c r="F139" s="31" t="str">
        <x:v>low GHG emissions</x:v>
      </x:c>
      <x:c r="G139" s="19" t="str">
        <x:v>B</x:v>
      </x:c>
      <x:c r="H139" s="19" t="str">
        <x:v>NOT_ANNOTATED_IN_SOURCE</x:v>
      </x:c>
      <x:c r="I139" s="31" t="str">
        <x:v>E15-2</x:v>
      </x:c>
      <x:c r="J139" s="19" t="str">
        <x:v>NOT_ANNOTATED_IN_SOURCE</x:v>
      </x:c>
      <x:c r="K139" s="19" t="str">
        <x:v>CONFIDENCE=NOT_EXPOSED;CARRY_FORWARD=Yes</x:v>
      </x:c>
      <x:c r="L139" s="19" t="str">
        <x:v>NOT_EXPOSED_IN_SOURCE</x:v>
      </x:c>
      <x:c r="M139" s="19" t="str">
        <x:v>Yes</x:v>
      </x:c>
      <x:c r="N139" s="31" t="str">
        <x:v>RECONSTRUCTED_FROM_REPORT</x:v>
      </x:c>
      <x:c r="O139" s="31" t="str">
        <x:v>RETAIN</x:v>
      </x:c>
      <x:c r="P139" s="19" t="str">
        <x:v>Fear of Temperature_ Historical Lexical Discovery and Anchor Validation.pdf</x:v>
      </x:c>
      <x:c r="Q139" s="31" t="str">
        <x:v>RECONSTRUCTED_FROM_REPORT</x:v>
      </x:c>
      <x:c r="R139" s="43" t="str">
        <x:v>Original candidate ID and row fields reconstructed from the compact narrative PDF table; this is not the missing original structured record.</x:v>
      </x:c>
    </x:row>
    <x:row r="140" ht="30" customHeight="1">
      <x:c r="A140" s="40" t="str">
        <x:v>FT-SEED-R1-2015-B-08</x:v>
      </x:c>
      <x:c r="B140" s="19" t="str">
        <x:v>INITIAL_180</x:v>
      </x:c>
      <x:c r="C140" s="31" t="str">
        <x:v>2015-B-08</x:v>
      </x:c>
      <x:c r="D140" s="31" t="str">
        <x:v>23</x:v>
      </x:c>
      <x:c r="E140" s="19" t="str">
        <x:v>FT-A2015</x:v>
      </x:c>
      <x:c r="F140" s="31" t="str">
        <x:v>changing climate</x:v>
      </x:c>
      <x:c r="G140" s="19" t="str">
        <x:v>B</x:v>
      </x:c>
      <x:c r="H140" s="19" t="str">
        <x:v>NOT_ANNOTATED_IN_SOURCE</x:v>
      </x:c>
      <x:c r="I140" s="31" t="str">
        <x:v>E15-1</x:v>
      </x:c>
      <x:c r="J140" s="19" t="str">
        <x:v>NOT_ANNOTATED_IN_SOURCE</x:v>
      </x:c>
      <x:c r="K140" s="19" t="str">
        <x:v>CONFIDENCE=NOT_EXPOSED;CARRY_FORWARD=Yes</x:v>
      </x:c>
      <x:c r="L140" s="19" t="str">
        <x:v>NOT_EXPOSED_IN_SOURCE</x:v>
      </x:c>
      <x:c r="M140" s="19" t="str">
        <x:v>Yes</x:v>
      </x:c>
      <x:c r="N140" s="31" t="str">
        <x:v>RECONSTRUCTED_FROM_REPORT</x:v>
      </x:c>
      <x:c r="O140" s="31" t="str">
        <x:v>RETAIN</x:v>
      </x:c>
      <x:c r="P140" s="19" t="str">
        <x:v>Fear of Temperature_ Historical Lexical Discovery and Anchor Validation.pdf</x:v>
      </x:c>
      <x:c r="Q140" s="31" t="str">
        <x:v>RECONSTRUCTED_FROM_REPORT</x:v>
      </x:c>
      <x:c r="R140" s="43" t="str">
        <x:v>Original candidate ID and row fields reconstructed from the compact narrative PDF table; this is not the missing original structured record.</x:v>
      </x:c>
    </x:row>
    <x:row r="141" ht="30" customHeight="1">
      <x:c r="A141" s="40" t="str">
        <x:v>FT-SEED-R1-2015-C-01</x:v>
      </x:c>
      <x:c r="B141" s="19" t="str">
        <x:v>INITIAL_180</x:v>
      </x:c>
      <x:c r="C141" s="31" t="str">
        <x:v>2015-C-01</x:v>
      </x:c>
      <x:c r="D141" s="31" t="str">
        <x:v>23</x:v>
      </x:c>
      <x:c r="E141" s="19" t="str">
        <x:v>FT-A2015</x:v>
      </x:c>
      <x:c r="F141" s="31" t="str">
        <x:v>concern</x:v>
      </x:c>
      <x:c r="G141" s="19" t="str">
        <x:v>C</x:v>
      </x:c>
      <x:c r="H141" s="19" t="str">
        <x:v>NOT_ANNOTATED_IN_SOURCE</x:v>
      </x:c>
      <x:c r="I141" s="31" t="str">
        <x:v>E15-1,2</x:v>
      </x:c>
      <x:c r="J141" s="19" t="str">
        <x:v>NOT_ANNOTATED_IN_SOURCE</x:v>
      </x:c>
      <x:c r="K141" s="19" t="str">
        <x:v>CONFIDENCE=NOT_EXPOSED;CARRY_FORWARD=Conditional</x:v>
      </x:c>
      <x:c r="L141" s="19" t="str">
        <x:v>NOT_EXPOSED_IN_SOURCE</x:v>
      </x:c>
      <x:c r="M141" s="19" t="str">
        <x:v>Conditional</x:v>
      </x:c>
      <x:c r="N141" s="31" t="str">
        <x:v>RECONSTRUCTED_FROM_REPORT</x:v>
      </x:c>
      <x:c r="O141" s="31" t="str">
        <x:v>UNRESOLVED</x:v>
      </x:c>
      <x:c r="P141" s="19" t="str">
        <x:v>Fear of Temperature_ Historical Lexical Discovery and Anchor Validation.pdf</x:v>
      </x:c>
      <x:c r="Q141" s="31" t="str">
        <x:v>RECONSTRUCTED_FROM_REPORT</x:v>
      </x:c>
      <x:c r="R141" s="43" t="str">
        <x:v>Original candidate ID and row fields reconstructed from the compact narrative PDF table; this is not the missing original structured record.</x:v>
      </x:c>
    </x:row>
    <x:row r="142" ht="30" customHeight="1">
      <x:c r="A142" s="40" t="str">
        <x:v>FT-SEED-R1-2015-C-02</x:v>
      </x:c>
      <x:c r="B142" s="19" t="str">
        <x:v>INITIAL_180</x:v>
      </x:c>
      <x:c r="C142" s="31" t="str">
        <x:v>2015-C-02</x:v>
      </x:c>
      <x:c r="D142" s="31" t="str">
        <x:v>23</x:v>
      </x:c>
      <x:c r="E142" s="19" t="str">
        <x:v>FT-A2015</x:v>
      </x:c>
      <x:c r="F142" s="31" t="str">
        <x:v>common concern of humankind</x:v>
      </x:c>
      <x:c r="G142" s="19" t="str">
        <x:v>C</x:v>
      </x:c>
      <x:c r="H142" s="19" t="str">
        <x:v>NOT_ANNOTATED_IN_SOURCE</x:v>
      </x:c>
      <x:c r="I142" s="31" t="str">
        <x:v>E15-1</x:v>
      </x:c>
      <x:c r="J142" s="19" t="str">
        <x:v>E1</x:v>
      </x:c>
      <x:c r="K142" s="19" t="str">
        <x:v>CONFIDENCE=NOT_EXPOSED;CARRY_FORWARD=Conditional</x:v>
      </x:c>
      <x:c r="L142" s="19" t="str">
        <x:v>NOT_EXPOSED_IN_SOURCE</x:v>
      </x:c>
      <x:c r="M142" s="19" t="str">
        <x:v>Conditional</x:v>
      </x:c>
      <x:c r="N142" s="31" t="str">
        <x:v>RECONSTRUCTED_FROM_REPORT</x:v>
      </x:c>
      <x:c r="O142" s="31" t="str">
        <x:v>UNRESOLVED</x:v>
      </x:c>
      <x:c r="P142" s="19" t="str">
        <x:v>Fear of Temperature_ Historical Lexical Discovery and Anchor Validation.pdf</x:v>
      </x:c>
      <x:c r="Q142" s="31" t="str">
        <x:v>RECONSTRUCTED_FROM_REPORT</x:v>
      </x:c>
      <x:c r="R142" s="43" t="str">
        <x:v>Original candidate ID and row fields reconstructed from the compact narrative PDF table; this is not the missing original structured record.</x:v>
      </x:c>
    </x:row>
    <x:row r="143" ht="30" customHeight="1">
      <x:c r="A143" s="40" t="str">
        <x:v>FT-SEED-R1-2015-C-03</x:v>
      </x:c>
      <x:c r="B143" s="19" t="str">
        <x:v>INITIAL_180</x:v>
      </x:c>
      <x:c r="C143" s="31" t="str">
        <x:v>2015-C-03</x:v>
      </x:c>
      <x:c r="D143" s="31" t="str">
        <x:v>24</x:v>
      </x:c>
      <x:c r="E143" s="19" t="str">
        <x:v>FT-A2015</x:v>
      </x:c>
      <x:c r="F143" s="31" t="str">
        <x:v>urgency</x:v>
      </x:c>
      <x:c r="G143" s="19" t="str">
        <x:v>C</x:v>
      </x:c>
      <x:c r="H143" s="19" t="str">
        <x:v>NOT_ANNOTATED_IN_SOURCE</x:v>
      </x:c>
      <x:c r="I143" s="31" t="str">
        <x:v>E15-1,2</x:v>
      </x:c>
      <x:c r="J143" s="19" t="str">
        <x:v>NOT_ANNOTATED_IN_SOURCE</x:v>
      </x:c>
      <x:c r="K143" s="19" t="str">
        <x:v>CONFIDENCE=NOT_EXPOSED;CARRY_FORWARD=No</x:v>
      </x:c>
      <x:c r="L143" s="19" t="str">
        <x:v>NOT_EXPOSED_IN_SOURCE</x:v>
      </x:c>
      <x:c r="M143" s="19" t="str">
        <x:v>No</x:v>
      </x:c>
      <x:c r="N143" s="31" t="str">
        <x:v>RECONSTRUCTED_FROM_REPORT</x:v>
      </x:c>
      <x:c r="O143" s="31" t="str">
        <x:v>EXCLUDE</x:v>
      </x:c>
      <x:c r="P143" s="19" t="str">
        <x:v>Fear of Temperature_ Historical Lexical Discovery and Anchor Validation.pdf</x:v>
      </x:c>
      <x:c r="Q143" s="31" t="str">
        <x:v>RECONSTRUCTED_FROM_REPORT</x:v>
      </x:c>
      <x:c r="R143" s="43" t="str">
        <x:v>Original candidate ID and row fields reconstructed from the compact narrative PDF table; this is not the missing original structured record.</x:v>
      </x:c>
    </x:row>
    <x:row r="144" ht="30" customHeight="1">
      <x:c r="A144" s="40" t="str">
        <x:v>FT-SEED-R1-2015-C-04</x:v>
      </x:c>
      <x:c r="B144" s="19" t="str">
        <x:v>INITIAL_180</x:v>
      </x:c>
      <x:c r="C144" s="31" t="str">
        <x:v>2015-C-04</x:v>
      </x:c>
      <x:c r="D144" s="31" t="str">
        <x:v>24</x:v>
      </x:c>
      <x:c r="E144" s="19" t="str">
        <x:v>FT-A2015</x:v>
      </x:c>
      <x:c r="F144" s="31" t="str">
        <x:v>public awareness</x:v>
      </x:c>
      <x:c r="G144" s="19" t="str">
        <x:v>C</x:v>
      </x:c>
      <x:c r="H144" s="19" t="str">
        <x:v>NOT_ANNOTATED_IN_SOURCE</x:v>
      </x:c>
      <x:c r="I144" s="31" t="str">
        <x:v>E15-2</x:v>
      </x:c>
      <x:c r="J144" s="19" t="str">
        <x:v>NOT_ANNOTATED_IN_SOURCE</x:v>
      </x:c>
      <x:c r="K144" s="19" t="str">
        <x:v>CONFIDENCE=NOT_EXPOSED;CARRY_FORWARD=No</x:v>
      </x:c>
      <x:c r="L144" s="19" t="str">
        <x:v>NOT_EXPOSED_IN_SOURCE</x:v>
      </x:c>
      <x:c r="M144" s="19" t="str">
        <x:v>No</x:v>
      </x:c>
      <x:c r="N144" s="31" t="str">
        <x:v>RECONSTRUCTED_FROM_REPORT</x:v>
      </x:c>
      <x:c r="O144" s="31" t="str">
        <x:v>EXCLUDE</x:v>
      </x:c>
      <x:c r="P144" s="19" t="str">
        <x:v>Fear of Temperature_ Historical Lexical Discovery and Anchor Validation.pdf</x:v>
      </x:c>
      <x:c r="Q144" s="31" t="str">
        <x:v>RECONSTRUCTED_FROM_REPORT</x:v>
      </x:c>
      <x:c r="R144" s="43" t="str">
        <x:v>Original candidate ID and row fields reconstructed from the compact narrative PDF table; this is not the missing original structured record.</x:v>
      </x:c>
    </x:row>
    <x:row r="145" ht="30" customHeight="1">
      <x:c r="A145" s="40" t="str">
        <x:v>FT-SEED-R1-2015-C-05</x:v>
      </x:c>
      <x:c r="B145" s="19" t="str">
        <x:v>INITIAL_180</x:v>
      </x:c>
      <x:c r="C145" s="31" t="str">
        <x:v>2015-C-05</x:v>
      </x:c>
      <x:c r="D145" s="31" t="str">
        <x:v>24</x:v>
      </x:c>
      <x:c r="E145" s="19" t="str">
        <x:v>FT-A2015</x:v>
      </x:c>
      <x:c r="F145" s="31" t="str">
        <x:v>fear</x:v>
      </x:c>
      <x:c r="G145" s="19" t="str">
        <x:v>C</x:v>
      </x:c>
      <x:c r="H145" s="19" t="str">
        <x:v>NOT_ANNOTATED_IN_SOURCE</x:v>
      </x:c>
      <x:c r="I145" s="31" t="str">
        <x:v>E15-1–4</x:v>
      </x:c>
      <x:c r="J145" s="19" t="str">
        <x:v>NOT_ANNOTATED_IN_SOURCE</x:v>
      </x:c>
      <x:c r="K145" s="19" t="str">
        <x:v>CONFIDENCE=NOT_EXPOSED;CARRY_FORWARD=No</x:v>
      </x:c>
      <x:c r="L145" s="19" t="str">
        <x:v>NOT_EXPOSED_IN_SOURCE</x:v>
      </x:c>
      <x:c r="M145" s="19" t="str">
        <x:v>No</x:v>
      </x:c>
      <x:c r="N145" s="31" t="str">
        <x:v>RECONSTRUCTED_FROM_REPORT</x:v>
      </x:c>
      <x:c r="O145" s="31" t="str">
        <x:v>EXCLUDE</x:v>
      </x:c>
      <x:c r="P145" s="19" t="str">
        <x:v>Fear of Temperature_ Historical Lexical Discovery and Anchor Validation.pdf</x:v>
      </x:c>
      <x:c r="Q145" s="31" t="str">
        <x:v>RECONSTRUCTED_FROM_REPORT</x:v>
      </x:c>
      <x:c r="R145" s="43" t="str">
        <x:v>Original candidate ID and row fields reconstructed from the compact narrative PDF table; this is not the missing original structured record.</x:v>
      </x:c>
    </x:row>
    <x:row r="146" ht="30" customHeight="1">
      <x:c r="A146" s="40" t="str">
        <x:v>FT-SEED-R1-2015-C-06</x:v>
      </x:c>
      <x:c r="B146" s="19" t="str">
        <x:v>INITIAL_180</x:v>
      </x:c>
      <x:c r="C146" s="31" t="str">
        <x:v>2015-C-06</x:v>
      </x:c>
      <x:c r="D146" s="31" t="str">
        <x:v>24</x:v>
      </x:c>
      <x:c r="E146" s="19" t="str">
        <x:v>FT-A2015</x:v>
      </x:c>
      <x:c r="F146" s="31" t="str">
        <x:v>anxiety</x:v>
      </x:c>
      <x:c r="G146" s="19" t="str">
        <x:v>C</x:v>
      </x:c>
      <x:c r="H146" s="19" t="str">
        <x:v>NOT_ANNOTATED_IN_SOURCE</x:v>
      </x:c>
      <x:c r="I146" s="31" t="str">
        <x:v>E15-1–4</x:v>
      </x:c>
      <x:c r="J146" s="19" t="str">
        <x:v>NOT_ANNOTATED_IN_SOURCE</x:v>
      </x:c>
      <x:c r="K146" s="19" t="str">
        <x:v>CONFIDENCE=NOT_EXPOSED;CARRY_FORWARD=No</x:v>
      </x:c>
      <x:c r="L146" s="19" t="str">
        <x:v>NOT_EXPOSED_IN_SOURCE</x:v>
      </x:c>
      <x:c r="M146" s="19" t="str">
        <x:v>No</x:v>
      </x:c>
      <x:c r="N146" s="31" t="str">
        <x:v>RECONSTRUCTED_FROM_REPORT</x:v>
      </x:c>
      <x:c r="O146" s="31" t="str">
        <x:v>EXCLUDE</x:v>
      </x:c>
      <x:c r="P146" s="19" t="str">
        <x:v>Fear of Temperature_ Historical Lexical Discovery and Anchor Validation.pdf</x:v>
      </x:c>
      <x:c r="Q146" s="31" t="str">
        <x:v>RECONSTRUCTED_FROM_REPORT</x:v>
      </x:c>
      <x:c r="R146" s="43" t="str">
        <x:v>Original candidate ID and row fields reconstructed from the compact narrative PDF table; this is not the missing original structured record.</x:v>
      </x:c>
    </x:row>
    <x:row r="147" ht="30" customHeight="1">
      <x:c r="A147" s="40" t="str">
        <x:v>FT-SEED-R1-2015-C-07</x:v>
      </x:c>
      <x:c r="B147" s="19" t="str">
        <x:v>INITIAL_180</x:v>
      </x:c>
      <x:c r="C147" s="31" t="str">
        <x:v>2015-C-07</x:v>
      </x:c>
      <x:c r="D147" s="31" t="str">
        <x:v>24</x:v>
      </x:c>
      <x:c r="E147" s="19" t="str">
        <x:v>FT-A2015</x:v>
      </x:c>
      <x:c r="F147" s="31" t="str">
        <x:v>worry</x:v>
      </x:c>
      <x:c r="G147" s="19" t="str">
        <x:v>C</x:v>
      </x:c>
      <x:c r="H147" s="19" t="str">
        <x:v>NOT_ANNOTATED_IN_SOURCE</x:v>
      </x:c>
      <x:c r="I147" s="31" t="str">
        <x:v>E15-1–4</x:v>
      </x:c>
      <x:c r="J147" s="19" t="str">
        <x:v>NOT_ANNOTATED_IN_SOURCE</x:v>
      </x:c>
      <x:c r="K147" s="19" t="str">
        <x:v>CONFIDENCE=NOT_EXPOSED;CARRY_FORWARD=No</x:v>
      </x:c>
      <x:c r="L147" s="19" t="str">
        <x:v>NOT_EXPOSED_IN_SOURCE</x:v>
      </x:c>
      <x:c r="M147" s="19" t="str">
        <x:v>No</x:v>
      </x:c>
      <x:c r="N147" s="31" t="str">
        <x:v>RECONSTRUCTED_FROM_REPORT</x:v>
      </x:c>
      <x:c r="O147" s="31" t="str">
        <x:v>EXCLUDE</x:v>
      </x:c>
      <x:c r="P147" s="19" t="str">
        <x:v>Fear of Temperature_ Historical Lexical Discovery and Anchor Validation.pdf</x:v>
      </x:c>
      <x:c r="Q147" s="31" t="str">
        <x:v>RECONSTRUCTED_FROM_REPORT</x:v>
      </x:c>
      <x:c r="R147" s="43" t="str">
        <x:v>Original candidate ID and row fields reconstructed from the compact narrative PDF table; this is not the missing original structured record.</x:v>
      </x:c>
    </x:row>
    <x:row r="148" ht="30" customHeight="1">
      <x:c r="A148" s="40" t="str">
        <x:v>FT-SEED-R1-2015-D-01</x:v>
      </x:c>
      <x:c r="B148" s="19" t="str">
        <x:v>INITIAL_180</x:v>
      </x:c>
      <x:c r="C148" s="31" t="str">
        <x:v>2015-D-01</x:v>
      </x:c>
      <x:c r="D148" s="31" t="str">
        <x:v>24</x:v>
      </x:c>
      <x:c r="E148" s="19" t="str">
        <x:v>FT-A2015</x:v>
      </x:c>
      <x:c r="F148" s="31" t="str">
        <x:v>threat of climate change</x:v>
      </x:c>
      <x:c r="G148" s="19" t="str">
        <x:v>D</x:v>
      </x:c>
      <x:c r="H148" s="19" t="str">
        <x:v>NOT_ANNOTATED_IN_SOURCE</x:v>
      </x:c>
      <x:c r="I148" s="31" t="str">
        <x:v>E15-2</x:v>
      </x:c>
      <x:c r="J148" s="19" t="str">
        <x:v>NOT_ANNOTATED_IN_SOURCE</x:v>
      </x:c>
      <x:c r="K148" s="19" t="str">
        <x:v>CONFIDENCE=NOT_EXPOSED;CARRY_FORWARD=Yes</x:v>
      </x:c>
      <x:c r="L148" s="19" t="str">
        <x:v>NOT_EXPOSED_IN_SOURCE</x:v>
      </x:c>
      <x:c r="M148" s="19" t="str">
        <x:v>Yes</x:v>
      </x:c>
      <x:c r="N148" s="31" t="str">
        <x:v>RECONSTRUCTED_FROM_REPORT</x:v>
      </x:c>
      <x:c r="O148" s="31" t="str">
        <x:v>RETAIN</x:v>
      </x:c>
      <x:c r="P148" s="19" t="str">
        <x:v>Fear of Temperature_ Historical Lexical Discovery and Anchor Validation.pdf</x:v>
      </x:c>
      <x:c r="Q148" s="31" t="str">
        <x:v>RECONSTRUCTED_FROM_REPORT</x:v>
      </x:c>
      <x:c r="R148" s="43" t="str">
        <x:v>Original candidate ID and row fields reconstructed from the compact narrative PDF table; this is not the missing original structured record.</x:v>
      </x:c>
    </x:row>
    <x:row r="149" ht="30" customHeight="1">
      <x:c r="A149" s="40" t="str">
        <x:v>FT-SEED-R1-2015-D-02</x:v>
      </x:c>
      <x:c r="B149" s="19" t="str">
        <x:v>INITIAL_180</x:v>
      </x:c>
      <x:c r="C149" s="31" t="str">
        <x:v>2015-D-02</x:v>
      </x:c>
      <x:c r="D149" s="31" t="str">
        <x:v>24</x:v>
      </x:c>
      <x:c r="E149" s="19" t="str">
        <x:v>FT-A2015</x:v>
      </x:c>
      <x:c r="F149" s="31" t="str">
        <x:v>risk</x:v>
      </x:c>
      <x:c r="G149" s="19" t="str">
        <x:v>D</x:v>
      </x:c>
      <x:c r="H149" s="19" t="str">
        <x:v>NOT_ANNOTATED_IN_SOURCE</x:v>
      </x:c>
      <x:c r="I149" s="31" t="str">
        <x:v>E15-1,2,4</x:v>
      </x:c>
      <x:c r="J149" s="19" t="str">
        <x:v>NOT_ANNOTATED_IN_SOURCE</x:v>
      </x:c>
      <x:c r="K149" s="19" t="str">
        <x:v>CONFIDENCE=NOT_EXPOSED;CARRY_FORWARD=Yes</x:v>
      </x:c>
      <x:c r="L149" s="19" t="str">
        <x:v>NOT_EXPOSED_IN_SOURCE</x:v>
      </x:c>
      <x:c r="M149" s="19" t="str">
        <x:v>Yes</x:v>
      </x:c>
      <x:c r="N149" s="31" t="str">
        <x:v>RECONSTRUCTED_FROM_REPORT</x:v>
      </x:c>
      <x:c r="O149" s="31" t="str">
        <x:v>RETAIN</x:v>
      </x:c>
      <x:c r="P149" s="19" t="str">
        <x:v>Fear of Temperature_ Historical Lexical Discovery and Anchor Validation.pdf</x:v>
      </x:c>
      <x:c r="Q149" s="31" t="str">
        <x:v>RECONSTRUCTED_FROM_REPORT</x:v>
      </x:c>
      <x:c r="R149" s="43" t="str">
        <x:v>Original candidate ID and row fields reconstructed from the compact narrative PDF table; this is not the missing original structured record.</x:v>
      </x:c>
    </x:row>
    <x:row r="150" ht="30" customHeight="1">
      <x:c r="A150" s="40" t="str">
        <x:v>FT-SEED-R1-2015-D-03</x:v>
      </x:c>
      <x:c r="B150" s="19" t="str">
        <x:v>INITIAL_180</x:v>
      </x:c>
      <x:c r="C150" s="31" t="str">
        <x:v>2015-D-03</x:v>
      </x:c>
      <x:c r="D150" s="31" t="str">
        <x:v>24</x:v>
      </x:c>
      <x:c r="E150" s="19" t="str">
        <x:v>FT-A2015</x:v>
      </x:c>
      <x:c r="F150" s="31" t="str">
        <x:v>adverse effects</x:v>
      </x:c>
      <x:c r="G150" s="19" t="str">
        <x:v>D</x:v>
      </x:c>
      <x:c r="H150" s="19" t="str">
        <x:v>NOT_ANNOTATED_IN_SOURCE</x:v>
      </x:c>
      <x:c r="I150" s="31" t="str">
        <x:v>E15-1,2</x:v>
      </x:c>
      <x:c r="J150" s="19" t="str">
        <x:v>NOT_ANNOTATED_IN_SOURCE</x:v>
      </x:c>
      <x:c r="K150" s="19" t="str">
        <x:v>CONFIDENCE=NOT_EXPOSED;CARRY_FORWARD=Yes</x:v>
      </x:c>
      <x:c r="L150" s="19" t="str">
        <x:v>NOT_EXPOSED_IN_SOURCE</x:v>
      </x:c>
      <x:c r="M150" s="19" t="str">
        <x:v>Yes</x:v>
      </x:c>
      <x:c r="N150" s="31" t="str">
        <x:v>RECONSTRUCTED_FROM_REPORT</x:v>
      </x:c>
      <x:c r="O150" s="31" t="str">
        <x:v>RETAIN</x:v>
      </x:c>
      <x:c r="P150" s="19" t="str">
        <x:v>Fear of Temperature_ Historical Lexical Discovery and Anchor Validation.pdf</x:v>
      </x:c>
      <x:c r="Q150" s="31" t="str">
        <x:v>RECONSTRUCTED_FROM_REPORT</x:v>
      </x:c>
      <x:c r="R150" s="43" t="str">
        <x:v>Original candidate ID and row fields reconstructed from the compact narrative PDF table; this is not the missing original structured record.</x:v>
      </x:c>
    </x:row>
    <x:row r="151" ht="30" customHeight="1">
      <x:c r="A151" s="40" t="str">
        <x:v>FT-SEED-R1-2015-D-04</x:v>
      </x:c>
      <x:c r="B151" s="19" t="str">
        <x:v>INITIAL_180</x:v>
      </x:c>
      <x:c r="C151" s="31" t="str">
        <x:v>2015-D-04</x:v>
      </x:c>
      <x:c r="D151" s="31" t="str">
        <x:v>25</x:v>
      </x:c>
      <x:c r="E151" s="19" t="str">
        <x:v>FT-A2015</x:v>
      </x:c>
      <x:c r="F151" s="31" t="str">
        <x:v>loss and damage</x:v>
      </x:c>
      <x:c r="G151" s="19" t="str">
        <x:v>D</x:v>
      </x:c>
      <x:c r="H151" s="19" t="str">
        <x:v>NOT_ANNOTATED_IN_SOURCE</x:v>
      </x:c>
      <x:c r="I151" s="31" t="str">
        <x:v>E15-2</x:v>
      </x:c>
      <x:c r="J151" s="19" t="str">
        <x:v>NOT_ANNOTATED_IN_SOURCE</x:v>
      </x:c>
      <x:c r="K151" s="19" t="str">
        <x:v>CONFIDENCE=NOT_EXPOSED;CARRY_FORWARD=Yes</x:v>
      </x:c>
      <x:c r="L151" s="19" t="str">
        <x:v>NOT_EXPOSED_IN_SOURCE</x:v>
      </x:c>
      <x:c r="M151" s="19" t="str">
        <x:v>Yes</x:v>
      </x:c>
      <x:c r="N151" s="31" t="str">
        <x:v>RECONSTRUCTED_FROM_REPORT</x:v>
      </x:c>
      <x:c r="O151" s="31" t="str">
        <x:v>RETAIN</x:v>
      </x:c>
      <x:c r="P151" s="19" t="str">
        <x:v>Fear of Temperature_ Historical Lexical Discovery and Anchor Validation.pdf</x:v>
      </x:c>
      <x:c r="Q151" s="31" t="str">
        <x:v>RECONSTRUCTED_FROM_REPORT</x:v>
      </x:c>
      <x:c r="R151" s="43" t="str">
        <x:v>Original candidate ID and row fields reconstructed from the compact narrative PDF table; this is not the missing original structured record.</x:v>
      </x:c>
    </x:row>
    <x:row r="152" ht="30" customHeight="1">
      <x:c r="A152" s="40" t="str">
        <x:v>FT-SEED-R1-2015-D-05</x:v>
      </x:c>
      <x:c r="B152" s="19" t="str">
        <x:v>INITIAL_180</x:v>
      </x:c>
      <x:c r="C152" s="31" t="str">
        <x:v>2015-D-05</x:v>
      </x:c>
      <x:c r="D152" s="31" t="str">
        <x:v>25</x:v>
      </x:c>
      <x:c r="E152" s="19" t="str">
        <x:v>FT-A2015</x:v>
      </x:c>
      <x:c r="F152" s="31" t="str">
        <x:v>vulnerability</x:v>
      </x:c>
      <x:c r="G152" s="19" t="str">
        <x:v>D</x:v>
      </x:c>
      <x:c r="H152" s="19" t="str">
        <x:v>NOT_ANNOTATED_IN_SOURCE</x:v>
      </x:c>
      <x:c r="I152" s="31" t="str">
        <x:v>E15-1,2</x:v>
      </x:c>
      <x:c r="J152" s="19" t="str">
        <x:v>NOT_ANNOTATED_IN_SOURCE</x:v>
      </x:c>
      <x:c r="K152" s="19" t="str">
        <x:v>CONFIDENCE=NOT_EXPOSED;CARRY_FORWARD=Conditional</x:v>
      </x:c>
      <x:c r="L152" s="19" t="str">
        <x:v>NOT_EXPOSED_IN_SOURCE</x:v>
      </x:c>
      <x:c r="M152" s="19" t="str">
        <x:v>Conditional</x:v>
      </x:c>
      <x:c r="N152" s="31" t="str">
        <x:v>RECONSTRUCTED_FROM_REPORT</x:v>
      </x:c>
      <x:c r="O152" s="31" t="str">
        <x:v>UNRESOLVED</x:v>
      </x:c>
      <x:c r="P152" s="19" t="str">
        <x:v>Fear of Temperature_ Historical Lexical Discovery and Anchor Validation.pdf</x:v>
      </x:c>
      <x:c r="Q152" s="31" t="str">
        <x:v>RECONSTRUCTED_FROM_REPORT</x:v>
      </x:c>
      <x:c r="R152" s="43" t="str">
        <x:v>Original candidate ID and row fields reconstructed from the compact narrative PDF table; this is not the missing original structured record.</x:v>
      </x:c>
    </x:row>
    <x:row r="153" ht="30" customHeight="1">
      <x:c r="A153" s="40" t="str">
        <x:v>FT-SEED-R1-2015-D-06</x:v>
      </x:c>
      <x:c r="B153" s="19" t="str">
        <x:v>INITIAL_180</x:v>
      </x:c>
      <x:c r="C153" s="31" t="str">
        <x:v>2015-D-06</x:v>
      </x:c>
      <x:c r="D153" s="31" t="str">
        <x:v>25</x:v>
      </x:c>
      <x:c r="E153" s="19" t="str">
        <x:v>FT-A2015</x:v>
      </x:c>
      <x:c r="F153" s="31" t="str">
        <x:v>danger</x:v>
      </x:c>
      <x:c r="G153" s="19" t="str">
        <x:v>D</x:v>
      </x:c>
      <x:c r="H153" s="19" t="str">
        <x:v>NOT_ANNOTATED_IN_SOURCE</x:v>
      </x:c>
      <x:c r="I153" s="31" t="str">
        <x:v>E15-3</x:v>
      </x:c>
      <x:c r="J153" s="19" t="str">
        <x:v>NOT_ANNOTATED_IN_SOURCE</x:v>
      </x:c>
      <x:c r="K153" s="19" t="str">
        <x:v>CONFIDENCE=NOT_EXPOSED;CARRY_FORWARD=Yes</x:v>
      </x:c>
      <x:c r="L153" s="19" t="str">
        <x:v>NOT_EXPOSED_IN_SOURCE</x:v>
      </x:c>
      <x:c r="M153" s="19" t="str">
        <x:v>Yes</x:v>
      </x:c>
      <x:c r="N153" s="31" t="str">
        <x:v>RECONSTRUCTED_FROM_REPORT</x:v>
      </x:c>
      <x:c r="O153" s="31" t="str">
        <x:v>RETAIN</x:v>
      </x:c>
      <x:c r="P153" s="19" t="str">
        <x:v>Fear of Temperature_ Historical Lexical Discovery and Anchor Validation.pdf</x:v>
      </x:c>
      <x:c r="Q153" s="31" t="str">
        <x:v>RECONSTRUCTED_FROM_REPORT</x:v>
      </x:c>
      <x:c r="R153" s="43" t="str">
        <x:v>Original candidate ID and row fields reconstructed from the compact narrative PDF table; this is not the missing original structured record.</x:v>
      </x:c>
    </x:row>
    <x:row r="154" ht="30" customHeight="1">
      <x:c r="A154" s="40" t="str">
        <x:v>FT-SEED-R1-2015-D-07</x:v>
      </x:c>
      <x:c r="B154" s="19" t="str">
        <x:v>INITIAL_180</x:v>
      </x:c>
      <x:c r="C154" s="31" t="str">
        <x:v>2015-D-07</x:v>
      </x:c>
      <x:c r="D154" s="31" t="str">
        <x:v>25</x:v>
      </x:c>
      <x:c r="E154" s="19" t="str">
        <x:v>FT-A2015</x:v>
      </x:c>
      <x:c r="F154" s="31" t="str">
        <x:v>present threat</x:v>
      </x:c>
      <x:c r="G154" s="19" t="str">
        <x:v>D</x:v>
      </x:c>
      <x:c r="H154" s="19" t="str">
        <x:v>NOT_ANNOTATED_IN_SOURCE</x:v>
      </x:c>
      <x:c r="I154" s="31" t="str">
        <x:v>E15-3</x:v>
      </x:c>
      <x:c r="J154" s="19" t="str">
        <x:v>NOT_ANNOTATED_IN_SOURCE</x:v>
      </x:c>
      <x:c r="K154" s="19" t="str">
        <x:v>CONFIDENCE=NOT_EXPOSED;CARRY_FORWARD=Yes</x:v>
      </x:c>
      <x:c r="L154" s="19" t="str">
        <x:v>NOT_EXPOSED_IN_SOURCE</x:v>
      </x:c>
      <x:c r="M154" s="19" t="str">
        <x:v>Yes</x:v>
      </x:c>
      <x:c r="N154" s="31" t="str">
        <x:v>RECONSTRUCTED_FROM_REPORT</x:v>
      </x:c>
      <x:c r="O154" s="31" t="str">
        <x:v>RETAIN</x:v>
      </x:c>
      <x:c r="P154" s="19" t="str">
        <x:v>Fear of Temperature_ Historical Lexical Discovery and Anchor Validation.pdf</x:v>
      </x:c>
      <x:c r="Q154" s="31" t="str">
        <x:v>RECONSTRUCTED_FROM_REPORT</x:v>
      </x:c>
      <x:c r="R154" s="43" t="str">
        <x:v>Original candidate ID and row fields reconstructed from the compact narrative PDF table; this is not the missing original structured record.</x:v>
      </x:c>
    </x:row>
    <x:row r="155" ht="30" customHeight="1">
      <x:c r="A155" s="40" t="str">
        <x:v>FT-SEED-R1-2022-A-01</x:v>
      </x:c>
      <x:c r="B155" s="19" t="str">
        <x:v>INITIAL_180</x:v>
      </x:c>
      <x:c r="C155" s="31" t="str">
        <x:v>2022-A-01</x:v>
      </x:c>
      <x:c r="D155" s="31" t="str">
        <x:v>26</x:v>
      </x:c>
      <x:c r="E155" s="19" t="str">
        <x:v>FT-A2022</x:v>
      </x:c>
      <x:c r="F155" s="31" t="str">
        <x:v>global temperature</x:v>
      </x:c>
      <x:c r="G155" s="19" t="str">
        <x:v>A</x:v>
      </x:c>
      <x:c r="H155" s="19" t="str">
        <x:v>NOT_ANNOTATED_IN_SOURCE</x:v>
      </x:c>
      <x:c r="I155" s="31" t="str">
        <x:v>E22-1,2</x:v>
      </x:c>
      <x:c r="J155" s="19" t="str">
        <x:v>NOT_ANNOTATED_IN_SOURCE</x:v>
      </x:c>
      <x:c r="K155" s="19" t="str">
        <x:v>CONFIDENCE=Strong;CARRY_FORWARD=Yes</x:v>
      </x:c>
      <x:c r="L155" s="19" t="str">
        <x:v>Strong</x:v>
      </x:c>
      <x:c r="M155" s="19" t="str">
        <x:v>Yes</x:v>
      </x:c>
      <x:c r="N155" s="31" t="str">
        <x:v>RECONSTRUCTED_FROM_REPORT</x:v>
      </x:c>
      <x:c r="O155" s="31" t="str">
        <x:v>RETAIN</x:v>
      </x:c>
      <x:c r="P155" s="19" t="str">
        <x:v>Fear of Temperature_ Historical Lexical Discovery and Anchor Validation.pdf</x:v>
      </x:c>
      <x:c r="Q155" s="31" t="str">
        <x:v>RECONSTRUCTED_FROM_REPORT</x:v>
      </x:c>
      <x:c r="R155" s="43" t="str">
        <x:v>Original candidate ID and row fields reconstructed from the compact narrative PDF table; this is not the missing original structured record.</x:v>
      </x:c>
    </x:row>
    <x:row r="156" ht="30" customHeight="1">
      <x:c r="A156" s="40" t="str">
        <x:v>FT-SEED-R1-2022-A-02</x:v>
      </x:c>
      <x:c r="B156" s="19" t="str">
        <x:v>INITIAL_180</x:v>
      </x:c>
      <x:c r="C156" s="31" t="str">
        <x:v>2022-A-02</x:v>
      </x:c>
      <x:c r="D156" s="31" t="str">
        <x:v>26</x:v>
      </x:c>
      <x:c r="E156" s="19" t="str">
        <x:v>FT-A2022</x:v>
      </x:c>
      <x:c r="F156" s="31" t="str">
        <x:v>global mean temperature</x:v>
      </x:c>
      <x:c r="G156" s="19" t="str">
        <x:v>A</x:v>
      </x:c>
      <x:c r="H156" s="19" t="str">
        <x:v>NOT_ANNOTATED_IN_SOURCE</x:v>
      </x:c>
      <x:c r="I156" s="31" t="str">
        <x:v>E22-2</x:v>
      </x:c>
      <x:c r="J156" s="19" t="str">
        <x:v>NOT_ANNOTATED_IN_SOURCE</x:v>
      </x:c>
      <x:c r="K156" s="19" t="str">
        <x:v>CONFIDENCE=Strong;CARRY_FORWARD=Yes</x:v>
      </x:c>
      <x:c r="L156" s="19" t="str">
        <x:v>Strong</x:v>
      </x:c>
      <x:c r="M156" s="19" t="str">
        <x:v>Yes</x:v>
      </x:c>
      <x:c r="N156" s="31" t="str">
        <x:v>RECONSTRUCTED_FROM_REPORT</x:v>
      </x:c>
      <x:c r="O156" s="31" t="str">
        <x:v>RETAIN</x:v>
      </x:c>
      <x:c r="P156" s="19" t="str">
        <x:v>Fear of Temperature_ Historical Lexical Discovery and Anchor Validation.pdf</x:v>
      </x:c>
      <x:c r="Q156" s="31" t="str">
        <x:v>RECONSTRUCTED_FROM_REPORT</x:v>
      </x:c>
      <x:c r="R156" s="43" t="str">
        <x:v>Original candidate ID and row fields reconstructed from the compact narrative PDF table; this is not the missing original structured record.</x:v>
      </x:c>
    </x:row>
    <x:row r="157" ht="30" customHeight="1">
      <x:c r="A157" s="40" t="str">
        <x:v>FT-SEED-R1-2022-A-03</x:v>
      </x:c>
      <x:c r="B157" s="19" t="str">
        <x:v>INITIAL_180</x:v>
      </x:c>
      <x:c r="C157" s="31" t="str">
        <x:v>2022-A-03</x:v>
      </x:c>
      <x:c r="D157" s="31" t="str">
        <x:v>26</x:v>
      </x:c>
      <x:c r="E157" s="19" t="str">
        <x:v>FT-A2022</x:v>
      </x:c>
      <x:c r="F157" s="31" t="str">
        <x:v>rising temperatures</x:v>
      </x:c>
      <x:c r="G157" s="19" t="str">
        <x:v>A</x:v>
      </x:c>
      <x:c r="H157" s="19" t="str">
        <x:v>NOT_ANNOTATED_IN_SOURCE</x:v>
      </x:c>
      <x:c r="I157" s="31" t="str">
        <x:v>E22-1–3</x:v>
      </x:c>
      <x:c r="J157" s="19" t="str">
        <x:v>NOT_ANNOTATED_IN_SOURCE</x:v>
      </x:c>
      <x:c r="K157" s="19" t="str">
        <x:v>CONFIDENCE=Moderate;CARRY_FORWARD=Yes</x:v>
      </x:c>
      <x:c r="L157" s="19" t="str">
        <x:v>Moderate</x:v>
      </x:c>
      <x:c r="M157" s="19" t="str">
        <x:v>Yes</x:v>
      </x:c>
      <x:c r="N157" s="31" t="str">
        <x:v>RECONSTRUCTED_FROM_REPORT</x:v>
      </x:c>
      <x:c r="O157" s="31" t="str">
        <x:v>RETAIN</x:v>
      </x:c>
      <x:c r="P157" s="19" t="str">
        <x:v>Fear of Temperature_ Historical Lexical Discovery and Anchor Validation.pdf</x:v>
      </x:c>
      <x:c r="Q157" s="31" t="str">
        <x:v>RECONSTRUCTED_FROM_REPORT</x:v>
      </x:c>
      <x:c r="R157" s="43" t="str">
        <x:v>Original candidate ID and row fields reconstructed from the compact narrative PDF table; this is not the missing original structured record.</x:v>
      </x:c>
    </x:row>
    <x:row r="158" ht="30" customHeight="1">
      <x:c r="A158" s="40" t="str">
        <x:v>FT-SEED-R1-2022-A-04</x:v>
      </x:c>
      <x:c r="B158" s="19" t="str">
        <x:v>INITIAL_180</x:v>
      </x:c>
      <x:c r="C158" s="31" t="str">
        <x:v>2022-A-04</x:v>
      </x:c>
      <x:c r="D158" s="31" t="str">
        <x:v>26</x:v>
      </x:c>
      <x:c r="E158" s="19" t="str">
        <x:v>FT-A2022</x:v>
      </x:c>
      <x:c r="F158" s="31" t="str">
        <x:v>warming</x:v>
      </x:c>
      <x:c r="G158" s="19" t="str">
        <x:v>A</x:v>
      </x:c>
      <x:c r="H158" s="19" t="str">
        <x:v>NOT_ANNOTATED_IN_SOURCE</x:v>
      </x:c>
      <x:c r="I158" s="31" t="str">
        <x:v>E22-2,3</x:v>
      </x:c>
      <x:c r="J158" s="19" t="str">
        <x:v>NOT_ANNOTATED_IN_SOURCE</x:v>
      </x:c>
      <x:c r="K158" s="19" t="str">
        <x:v>CONFIDENCE=Strong;CARRY_FORWARD=Yes</x:v>
      </x:c>
      <x:c r="L158" s="19" t="str">
        <x:v>Strong</x:v>
      </x:c>
      <x:c r="M158" s="19" t="str">
        <x:v>Yes</x:v>
      </x:c>
      <x:c r="N158" s="31" t="str">
        <x:v>RECONSTRUCTED_FROM_REPORT</x:v>
      </x:c>
      <x:c r="O158" s="31" t="str">
        <x:v>RETAIN</x:v>
      </x:c>
      <x:c r="P158" s="19" t="str">
        <x:v>Fear of Temperature_ Historical Lexical Discovery and Anchor Validation.pdf</x:v>
      </x:c>
      <x:c r="Q158" s="31" t="str">
        <x:v>RECONSTRUCTED_FROM_REPORT</x:v>
      </x:c>
      <x:c r="R158" s="43" t="str">
        <x:v>Original candidate ID and row fields reconstructed from the compact narrative PDF table; this is not the missing original structured record.</x:v>
      </x:c>
    </x:row>
    <x:row r="159" ht="30" customHeight="1">
      <x:c r="A159" s="40" t="str">
        <x:v>FT-SEED-R1-2022-A-05</x:v>
      </x:c>
      <x:c r="B159" s="19" t="str">
        <x:v>INITIAL_180</x:v>
      </x:c>
      <x:c r="C159" s="31" t="str">
        <x:v>2022-A-05</x:v>
      </x:c>
      <x:c r="D159" s="31" t="str">
        <x:v>26</x:v>
      </x:c>
      <x:c r="E159" s="19" t="str">
        <x:v>FT-A2022</x:v>
      </x:c>
      <x:c r="F159" s="31" t="str">
        <x:v>global warming</x:v>
      </x:c>
      <x:c r="G159" s="19" t="str">
        <x:v>A</x:v>
      </x:c>
      <x:c r="H159" s="19" t="str">
        <x:v>NOT_ANNOTATED_IN_SOURCE</x:v>
      </x:c>
      <x:c r="I159" s="31" t="str">
        <x:v>E22-2,3</x:v>
      </x:c>
      <x:c r="J159" s="19" t="str">
        <x:v>NOT_ANNOTATED_IN_SOURCE</x:v>
      </x:c>
      <x:c r="K159" s="19" t="str">
        <x:v>CONFIDENCE=Strong;CARRY_FORWARD=Yes</x:v>
      </x:c>
      <x:c r="L159" s="19" t="str">
        <x:v>Strong</x:v>
      </x:c>
      <x:c r="M159" s="19" t="str">
        <x:v>Yes</x:v>
      </x:c>
      <x:c r="N159" s="31" t="str">
        <x:v>RECONSTRUCTED_FROM_REPORT</x:v>
      </x:c>
      <x:c r="O159" s="31" t="str">
        <x:v>RETAIN</x:v>
      </x:c>
      <x:c r="P159" s="19" t="str">
        <x:v>Fear of Temperature_ Historical Lexical Discovery and Anchor Validation.pdf</x:v>
      </x:c>
      <x:c r="Q159" s="31" t="str">
        <x:v>RECONSTRUCTED_FROM_REPORT</x:v>
      </x:c>
      <x:c r="R159" s="43" t="str">
        <x:v>Original candidate ID and row fields reconstructed from the compact narrative PDF table; this is not the missing original structured record.</x:v>
      </x:c>
    </x:row>
    <x:row r="160" ht="30" customHeight="1">
      <x:c r="A160" s="40" t="str">
        <x:v>FT-SEED-R1-2022-A-06</x:v>
      </x:c>
      <x:c r="B160" s="19" t="str">
        <x:v>INITIAL_180</x:v>
      </x:c>
      <x:c r="C160" s="31" t="str">
        <x:v>2022-A-06</x:v>
      </x:c>
      <x:c r="D160" s="31" t="str">
        <x:v>26</x:v>
      </x:c>
      <x:c r="E160" s="19" t="str">
        <x:v>FT-A2022</x:v>
      </x:c>
      <x:c r="F160" s="31" t="str">
        <x:v>extreme heat</x:v>
      </x:c>
      <x:c r="G160" s="19" t="str">
        <x:v>A</x:v>
      </x:c>
      <x:c r="H160" s="19" t="str">
        <x:v>NOT_ANNOTATED_IN_SOURCE</x:v>
      </x:c>
      <x:c r="I160" s="31" t="str">
        <x:v>E22-1–3</x:v>
      </x:c>
      <x:c r="J160" s="19" t="str">
        <x:v>NOT_ANNOTATED_IN_SOURCE</x:v>
      </x:c>
      <x:c r="K160" s="19" t="str">
        <x:v>CONFIDENCE=Strong;CARRY_FORWARD=Yes</x:v>
      </x:c>
      <x:c r="L160" s="19" t="str">
        <x:v>Strong</x:v>
      </x:c>
      <x:c r="M160" s="19" t="str">
        <x:v>Yes</x:v>
      </x:c>
      <x:c r="N160" s="31" t="str">
        <x:v>RECONSTRUCTED_FROM_REPORT</x:v>
      </x:c>
      <x:c r="O160" s="31" t="str">
        <x:v>RETAIN</x:v>
      </x:c>
      <x:c r="P160" s="19" t="str">
        <x:v>Fear of Temperature_ Historical Lexical Discovery and Anchor Validation.pdf</x:v>
      </x:c>
      <x:c r="Q160" s="31" t="str">
        <x:v>RECONSTRUCTED_FROM_REPORT</x:v>
      </x:c>
      <x:c r="R160" s="43" t="str">
        <x:v>Original candidate ID and row fields reconstructed from the compact narrative PDF table; this is not the missing original structured record.</x:v>
      </x:c>
    </x:row>
    <x:row r="161" ht="30" customHeight="1">
      <x:c r="A161" s="40" t="str">
        <x:v>FT-SEED-R1-2022-A-07</x:v>
      </x:c>
      <x:c r="B161" s="19" t="str">
        <x:v>INITIAL_180</x:v>
      </x:c>
      <x:c r="C161" s="31" t="str">
        <x:v>2022-A-07</x:v>
      </x:c>
      <x:c r="D161" s="31" t="str">
        <x:v>26</x:v>
      </x:c>
      <x:c r="E161" s="19" t="str">
        <x:v>FT-A2022</x:v>
      </x:c>
      <x:c r="F161" s="31" t="str">
        <x:v>extreme heatwaves</x:v>
      </x:c>
      <x:c r="G161" s="19" t="str">
        <x:v>A</x:v>
      </x:c>
      <x:c r="H161" s="19" t="str">
        <x:v>NOT_ANNOTATED_IN_SOURCE</x:v>
      </x:c>
      <x:c r="I161" s="31" t="str">
        <x:v>E22-1</x:v>
      </x:c>
      <x:c r="J161" s="19" t="str">
        <x:v>NOT_ANNOTATED_IN_SOURCE</x:v>
      </x:c>
      <x:c r="K161" s="19" t="str">
        <x:v>CONFIDENCE=Strong;CARRY_FORWARD=Yes</x:v>
      </x:c>
      <x:c r="L161" s="19" t="str">
        <x:v>Strong</x:v>
      </x:c>
      <x:c r="M161" s="19" t="str">
        <x:v>Yes</x:v>
      </x:c>
      <x:c r="N161" s="31" t="str">
        <x:v>RECONSTRUCTED_FROM_REPORT</x:v>
      </x:c>
      <x:c r="O161" s="31" t="str">
        <x:v>RETAIN</x:v>
      </x:c>
      <x:c r="P161" s="19" t="str">
        <x:v>Fear of Temperature_ Historical Lexical Discovery and Anchor Validation.pdf</x:v>
      </x:c>
      <x:c r="Q161" s="31" t="str">
        <x:v>RECONSTRUCTED_FROM_REPORT</x:v>
      </x:c>
      <x:c r="R161" s="43" t="str">
        <x:v>Original candidate ID and row fields reconstructed from the compact narrative PDF table; this is not the missing original structured record.</x:v>
      </x:c>
    </x:row>
    <x:row r="162" ht="30" customHeight="1">
      <x:c r="A162" s="40" t="str">
        <x:v>FT-SEED-R1-2022-A-08</x:v>
      </x:c>
      <x:c r="B162" s="19" t="str">
        <x:v>INITIAL_180</x:v>
      </x:c>
      <x:c r="C162" s="31" t="str">
        <x:v>2022-A-08</x:v>
      </x:c>
      <x:c r="D162" s="31" t="str">
        <x:v>27</x:v>
      </x:c>
      <x:c r="E162" s="19" t="str">
        <x:v>FT-A2022</x:v>
      </x:c>
      <x:c r="F162" s="31" t="str">
        <x:v>ocean heat</x:v>
      </x:c>
      <x:c r="G162" s="19" t="str">
        <x:v>A</x:v>
      </x:c>
      <x:c r="H162" s="19" t="str">
        <x:v>NOT_ANNOTATED_IN_SOURCE</x:v>
      </x:c>
      <x:c r="I162" s="31" t="str">
        <x:v>E22-2</x:v>
      </x:c>
      <x:c r="J162" s="19" t="str">
        <x:v>NOT_ANNOTATED_IN_SOURCE</x:v>
      </x:c>
      <x:c r="K162" s="19" t="str">
        <x:v>CONFIDENCE=Strong;CARRY_FORWARD=Yes</x:v>
      </x:c>
      <x:c r="L162" s="19" t="str">
        <x:v>Strong</x:v>
      </x:c>
      <x:c r="M162" s="19" t="str">
        <x:v>Yes</x:v>
      </x:c>
      <x:c r="N162" s="31" t="str">
        <x:v>RECONSTRUCTED_FROM_REPORT</x:v>
      </x:c>
      <x:c r="O162" s="31" t="str">
        <x:v>RETAIN</x:v>
      </x:c>
      <x:c r="P162" s="19" t="str">
        <x:v>Fear of Temperature_ Historical Lexical Discovery and Anchor Validation.pdf</x:v>
      </x:c>
      <x:c r="Q162" s="31" t="str">
        <x:v>RECONSTRUCTED_FROM_REPORT</x:v>
      </x:c>
      <x:c r="R162" s="43" t="str">
        <x:v>Original candidate ID and row fields reconstructed from the compact narrative PDF table; this is not the missing original structured record.</x:v>
      </x:c>
    </x:row>
    <x:row r="163" ht="30" customHeight="1">
      <x:c r="A163" s="40" t="str">
        <x:v>FT-SEED-R1-2022-B-01</x:v>
      </x:c>
      <x:c r="B163" s="19" t="str">
        <x:v>INITIAL_180</x:v>
      </x:c>
      <x:c r="C163" s="31" t="str">
        <x:v>2022-B-01</x:v>
      </x:c>
      <x:c r="D163" s="31" t="str">
        <x:v>27</x:v>
      </x:c>
      <x:c r="E163" s="19" t="str">
        <x:v>FT-A2022</x:v>
      </x:c>
      <x:c r="F163" s="31" t="str">
        <x:v>climate change</x:v>
      </x:c>
      <x:c r="G163" s="19" t="str">
        <x:v>B</x:v>
      </x:c>
      <x:c r="H163" s="19" t="str">
        <x:v>NOT_ANNOTATED_IN_SOURCE</x:v>
      </x:c>
      <x:c r="I163" s="31" t="str">
        <x:v>E22-1–3</x:v>
      </x:c>
      <x:c r="J163" s="19" t="str">
        <x:v>NOT_ANNOTATED_IN_SOURCE</x:v>
      </x:c>
      <x:c r="K163" s="19" t="str">
        <x:v>CONFIDENCE=Strong;CARRY_FORWARD=Yes</x:v>
      </x:c>
      <x:c r="L163" s="19" t="str">
        <x:v>Strong</x:v>
      </x:c>
      <x:c r="M163" s="19" t="str">
        <x:v>Yes</x:v>
      </x:c>
      <x:c r="N163" s="31" t="str">
        <x:v>RECONSTRUCTED_FROM_REPORT</x:v>
      </x:c>
      <x:c r="O163" s="31" t="str">
        <x:v>RETAIN</x:v>
      </x:c>
      <x:c r="P163" s="19" t="str">
        <x:v>Fear of Temperature_ Historical Lexical Discovery and Anchor Validation.pdf</x:v>
      </x:c>
      <x:c r="Q163" s="31" t="str">
        <x:v>RECONSTRUCTED_FROM_REPORT</x:v>
      </x:c>
      <x:c r="R163" s="43" t="str">
        <x:v>Original candidate ID and row fields reconstructed from the compact narrative PDF table; this is not the missing original structured record.</x:v>
      </x:c>
    </x:row>
    <x:row r="164" ht="30" customHeight="1">
      <x:c r="A164" s="40" t="str">
        <x:v>FT-SEED-R1-2022-B-02</x:v>
      </x:c>
      <x:c r="B164" s="19" t="str">
        <x:v>INITIAL_180</x:v>
      </x:c>
      <x:c r="C164" s="31" t="str">
        <x:v>2022-B-02</x:v>
      </x:c>
      <x:c r="D164" s="31" t="str">
        <x:v>27</x:v>
      </x:c>
      <x:c r="E164" s="19" t="str">
        <x:v>FT-A2022</x:v>
      </x:c>
      <x:c r="F164" s="31" t="str">
        <x:v>human- induced climate change</x:v>
      </x:c>
      <x:c r="G164" s="19" t="str">
        <x:v>B</x:v>
      </x:c>
      <x:c r="H164" s="19" t="str">
        <x:v>NOT_ANNOTATED_IN_SOURCE</x:v>
      </x:c>
      <x:c r="I164" s="31" t="str">
        <x:v>E22-3</x:v>
      </x:c>
      <x:c r="J164" s="19" t="str">
        <x:v>NOT_ANNOTATED_IN_SOURCE</x:v>
      </x:c>
      <x:c r="K164" s="19" t="str">
        <x:v>CONFIDENCE=Strong;CARRY_FORWARD=Yes</x:v>
      </x:c>
      <x:c r="L164" s="19" t="str">
        <x:v>Strong</x:v>
      </x:c>
      <x:c r="M164" s="19" t="str">
        <x:v>Yes</x:v>
      </x:c>
      <x:c r="N164" s="31" t="str">
        <x:v>RECONSTRUCTED_FROM_REPORT</x:v>
      </x:c>
      <x:c r="O164" s="31" t="str">
        <x:v>RETAIN</x:v>
      </x:c>
      <x:c r="P164" s="19" t="str">
        <x:v>Fear of Temperature_ Historical Lexical Discovery and Anchor Validation.pdf</x:v>
      </x:c>
      <x:c r="Q164" s="31" t="str">
        <x:v>RECONSTRUCTED_FROM_REPORT</x:v>
      </x:c>
      <x:c r="R164" s="43" t="str">
        <x:v>Original candidate ID and row fields reconstructed from the compact narrative PDF table; this is not the missing original structured record.</x:v>
      </x:c>
    </x:row>
    <x:row r="165" ht="30" customHeight="1">
      <x:c r="A165" s="40" t="str">
        <x:v>FT-SEED-R1-2022-B-03</x:v>
      </x:c>
      <x:c r="B165" s="19" t="str">
        <x:v>INITIAL_180</x:v>
      </x:c>
      <x:c r="C165" s="31" t="str">
        <x:v>2022-B-03</x:v>
      </x:c>
      <x:c r="D165" s="31" t="str">
        <x:v>27</x:v>
      </x:c>
      <x:c r="E165" s="19" t="str">
        <x:v>FT-A2022</x:v>
      </x:c>
      <x:c r="F165" s="31" t="str">
        <x:v>climate system</x:v>
      </x:c>
      <x:c r="G165" s="19" t="str">
        <x:v>B</x:v>
      </x:c>
      <x:c r="H165" s="19" t="str">
        <x:v>NOT_ANNOTATED_IN_SOURCE</x:v>
      </x:c>
      <x:c r="I165" s="31" t="str">
        <x:v>E22-3</x:v>
      </x:c>
      <x:c r="J165" s="19" t="str">
        <x:v>NOT_ANNOTATED_IN_SOURCE</x:v>
      </x:c>
      <x:c r="K165" s="19" t="str">
        <x:v>CONFIDENCE=Strong;CARRY_FORWARD=Yes</x:v>
      </x:c>
      <x:c r="L165" s="19" t="str">
        <x:v>Strong</x:v>
      </x:c>
      <x:c r="M165" s="19" t="str">
        <x:v>Yes</x:v>
      </x:c>
      <x:c r="N165" s="31" t="str">
        <x:v>RECONSTRUCTED_FROM_REPORT</x:v>
      </x:c>
      <x:c r="O165" s="31" t="str">
        <x:v>RETAIN</x:v>
      </x:c>
      <x:c r="P165" s="19" t="str">
        <x:v>Fear of Temperature_ Historical Lexical Discovery and Anchor Validation.pdf</x:v>
      </x:c>
      <x:c r="Q165" s="31" t="str">
        <x:v>RECONSTRUCTED_FROM_REPORT</x:v>
      </x:c>
      <x:c r="R165" s="43" t="str">
        <x:v>Original candidate ID and row fields reconstructed from the compact narrative PDF table; this is not the missing original structured record.</x:v>
      </x:c>
    </x:row>
    <x:row r="166" ht="30" customHeight="1">
      <x:c r="A166" s="40" t="str">
        <x:v>FT-SEED-R1-2022-B-04</x:v>
      </x:c>
      <x:c r="B166" s="19" t="str">
        <x:v>INITIAL_180</x:v>
      </x:c>
      <x:c r="C166" s="31" t="str">
        <x:v>2022-B-04</x:v>
      </x:c>
      <x:c r="D166" s="31" t="str">
        <x:v>27</x:v>
      </x:c>
      <x:c r="E166" s="19" t="str">
        <x:v>FT-A2022</x:v>
      </x:c>
      <x:c r="F166" s="31" t="str">
        <x:v>greenhouse gases</x:v>
      </x:c>
      <x:c r="G166" s="19" t="str">
        <x:v>B</x:v>
      </x:c>
      <x:c r="H166" s="19" t="str">
        <x:v>NOT_ANNOTATED_IN_SOURCE</x:v>
      </x:c>
      <x:c r="I166" s="31" t="str">
        <x:v>E22-1,2</x:v>
      </x:c>
      <x:c r="J166" s="19" t="str">
        <x:v>NOT_ANNOTATED_IN_SOURCE</x:v>
      </x:c>
      <x:c r="K166" s="19" t="str">
        <x:v>CONFIDENCE=Strong;CARRY_FORWARD=Yes</x:v>
      </x:c>
      <x:c r="L166" s="19" t="str">
        <x:v>Strong</x:v>
      </x:c>
      <x:c r="M166" s="19" t="str">
        <x:v>Yes</x:v>
      </x:c>
      <x:c r="N166" s="31" t="str">
        <x:v>RECONSTRUCTED_FROM_REPORT</x:v>
      </x:c>
      <x:c r="O166" s="31" t="str">
        <x:v>RETAIN</x:v>
      </x:c>
      <x:c r="P166" s="19" t="str">
        <x:v>Fear of Temperature_ Historical Lexical Discovery and Anchor Validation.pdf</x:v>
      </x:c>
      <x:c r="Q166" s="31" t="str">
        <x:v>RECONSTRUCTED_FROM_REPORT</x:v>
      </x:c>
      <x:c r="R166" s="43" t="str">
        <x:v>Original candidate ID and row fields reconstructed from the compact narrative PDF table; this is not the missing original structured record.</x:v>
      </x:c>
    </x:row>
    <x:row r="167" ht="30" customHeight="1">
      <x:c r="A167" s="40" t="str">
        <x:v>FT-SEED-R1-2022-B-05</x:v>
      </x:c>
      <x:c r="B167" s="19" t="str">
        <x:v>INITIAL_180</x:v>
      </x:c>
      <x:c r="C167" s="31" t="str">
        <x:v>2022-B-05</x:v>
      </x:c>
      <x:c r="D167" s="31" t="str">
        <x:v>27</x:v>
      </x:c>
      <x:c r="E167" s="19" t="str">
        <x:v>FT-A2022</x:v>
      </x:c>
      <x:c r="F167" s="31" t="str">
        <x:v>heat- trapping greenhouse gases</x:v>
      </x:c>
      <x:c r="G167" s="19" t="str">
        <x:v>B</x:v>
      </x:c>
      <x:c r="H167" s="19" t="str">
        <x:v>NOT_ANNOTATED_IN_SOURCE</x:v>
      </x:c>
      <x:c r="I167" s="31" t="str">
        <x:v>E22-2</x:v>
      </x:c>
      <x:c r="J167" s="19" t="str">
        <x:v>NOT_ANNOTATED_IN_SOURCE</x:v>
      </x:c>
      <x:c r="K167" s="19" t="str">
        <x:v>CONFIDENCE=Strong;CARRY_FORWARD=Yes</x:v>
      </x:c>
      <x:c r="L167" s="19" t="str">
        <x:v>Strong</x:v>
      </x:c>
      <x:c r="M167" s="19" t="str">
        <x:v>Yes</x:v>
      </x:c>
      <x:c r="N167" s="31" t="str">
        <x:v>RECONSTRUCTED_FROM_REPORT</x:v>
      </x:c>
      <x:c r="O167" s="31" t="str">
        <x:v>RETAIN</x:v>
      </x:c>
      <x:c r="P167" s="19" t="str">
        <x:v>Fear of Temperature_ Historical Lexical Discovery and Anchor Validation.pdf</x:v>
      </x:c>
      <x:c r="Q167" s="31" t="str">
        <x:v>RECONSTRUCTED_FROM_REPORT</x:v>
      </x:c>
      <x:c r="R167" s="43" t="str">
        <x:v>Original candidate ID and row fields reconstructed from the compact narrative PDF table; this is not the missing original structured record.</x:v>
      </x:c>
    </x:row>
    <x:row r="168" ht="30" customHeight="1">
      <x:c r="A168" s="40" t="str">
        <x:v>FT-SEED-R1-2022-B-06</x:v>
      </x:c>
      <x:c r="B168" s="19" t="str">
        <x:v>INITIAL_180</x:v>
      </x:c>
      <x:c r="C168" s="31" t="str">
        <x:v>2022-B-06</x:v>
      </x:c>
      <x:c r="D168" s="31" t="str">
        <x:v>27</x:v>
      </x:c>
      <x:c r="E168" s="19" t="str">
        <x:v>FT-A2022</x:v>
      </x:c>
      <x:c r="F168" s="31" t="str">
        <x:v>climate- related</x:v>
      </x:c>
      <x:c r="G168" s="19" t="str">
        <x:v>B</x:v>
      </x:c>
      <x:c r="H168" s="19" t="str">
        <x:v>NOT_ANNOTATED_IN_SOURCE</x:v>
      </x:c>
      <x:c r="I168" s="31" t="str">
        <x:v>E22-2,3</x:v>
      </x:c>
      <x:c r="J168" s="19" t="str">
        <x:v>NOT_ANNOTATED_IN_SOURCE</x:v>
      </x:c>
      <x:c r="K168" s="19" t="str">
        <x:v>CONFIDENCE=Moderate;CARRY_FORWARD=Conditional</x:v>
      </x:c>
      <x:c r="L168" s="19" t="str">
        <x:v>Moderate</x:v>
      </x:c>
      <x:c r="M168" s="19" t="str">
        <x:v>Conditional</x:v>
      </x:c>
      <x:c r="N168" s="31" t="str">
        <x:v>RECONSTRUCTED_FROM_REPORT</x:v>
      </x:c>
      <x:c r="O168" s="31" t="str">
        <x:v>UNRESOLVED</x:v>
      </x:c>
      <x:c r="P168" s="19" t="str">
        <x:v>Fear of Temperature_ Historical Lexical Discovery and Anchor Validation.pdf</x:v>
      </x:c>
      <x:c r="Q168" s="31" t="str">
        <x:v>RECONSTRUCTED_FROM_REPORT</x:v>
      </x:c>
      <x:c r="R168" s="43" t="str">
        <x:v>Original candidate ID and row fields reconstructed from the compact narrative PDF table; this is not the missing original structured record.</x:v>
      </x:c>
    </x:row>
    <x:row r="169" ht="30" customHeight="1">
      <x:c r="A169" s="40" t="str">
        <x:v>FT-SEED-R1-2022-B-07</x:v>
      </x:c>
      <x:c r="B169" s="19" t="str">
        <x:v>INITIAL_180</x:v>
      </x:c>
      <x:c r="C169" s="31" t="str">
        <x:v>2022-B-07</x:v>
      </x:c>
      <x:c r="D169" s="31" t="str">
        <x:v>27</x:v>
      </x:c>
      <x:c r="E169" s="19" t="str">
        <x:v>FT-A2022</x:v>
      </x:c>
      <x:c r="F169" s="31" t="str">
        <x:v>global climate</x:v>
      </x:c>
      <x:c r="G169" s="19" t="str">
        <x:v>B</x:v>
      </x:c>
      <x:c r="H169" s="19" t="str">
        <x:v>NOT_ANNOTATED_IN_SOURCE</x:v>
      </x:c>
      <x:c r="I169" s="31" t="str">
        <x:v>E22-1,2</x:v>
      </x:c>
      <x:c r="J169" s="19" t="str">
        <x:v>NOT_ANNOTATED_IN_SOURCE</x:v>
      </x:c>
      <x:c r="K169" s="19" t="str">
        <x:v>CONFIDENCE=Strong;CARRY_FORWARD=Yes</x:v>
      </x:c>
      <x:c r="L169" s="19" t="str">
        <x:v>Strong</x:v>
      </x:c>
      <x:c r="M169" s="19" t="str">
        <x:v>Yes</x:v>
      </x:c>
      <x:c r="N169" s="31" t="str">
        <x:v>RECONSTRUCTED_FROM_REPORT</x:v>
      </x:c>
      <x:c r="O169" s="31" t="str">
        <x:v>RETAIN</x:v>
      </x:c>
      <x:c r="P169" s="19" t="str">
        <x:v>Fear of Temperature_ Historical Lexical Discovery and Anchor Validation.pdf</x:v>
      </x:c>
      <x:c r="Q169" s="31" t="str">
        <x:v>RECONSTRUCTED_FROM_REPORT</x:v>
      </x:c>
      <x:c r="R169" s="43" t="str">
        <x:v>Original candidate ID and row fields reconstructed from the compact narrative PDF table; this is not the missing original structured record.</x:v>
      </x:c>
    </x:row>
    <x:row r="170" ht="30" customHeight="1">
      <x:c r="A170" s="40" t="str">
        <x:v>FT-SEED-R1-2022-B-08</x:v>
      </x:c>
      <x:c r="B170" s="19" t="str">
        <x:v>INITIAL_180</x:v>
      </x:c>
      <x:c r="C170" s="31" t="str">
        <x:v>2022-B-08</x:v>
      </x:c>
      <x:c r="D170" s="31" t="str">
        <x:v>27</x:v>
      </x:c>
      <x:c r="E170" s="19" t="str">
        <x:v>FT-A2022</x:v>
      </x:c>
      <x:c r="F170" s="31" t="str">
        <x:v>changing climate</x:v>
      </x:c>
      <x:c r="G170" s="19" t="str">
        <x:v>B</x:v>
      </x:c>
      <x:c r="H170" s="19" t="str">
        <x:v>NOT_ANNOTATED_IN_SOURCE</x:v>
      </x:c>
      <x:c r="I170" s="31" t="str">
        <x:v>E22-1–3</x:v>
      </x:c>
      <x:c r="J170" s="19" t="str">
        <x:v>NOT_ANNOTATED_IN_SOURCE</x:v>
      </x:c>
      <x:c r="K170" s="19" t="str">
        <x:v>CONFIDENCE=Strong;CARRY_FORWARD=Yes</x:v>
      </x:c>
      <x:c r="L170" s="19" t="str">
        <x:v>Strong</x:v>
      </x:c>
      <x:c r="M170" s="19" t="str">
        <x:v>Yes</x:v>
      </x:c>
      <x:c r="N170" s="31" t="str">
        <x:v>RECONSTRUCTED_FROM_REPORT</x:v>
      </x:c>
      <x:c r="O170" s="31" t="str">
        <x:v>RETAIN</x:v>
      </x:c>
      <x:c r="P170" s="19" t="str">
        <x:v>Fear of Temperature_ Historical Lexical Discovery and Anchor Validation.pdf</x:v>
      </x:c>
      <x:c r="Q170" s="31" t="str">
        <x:v>RECONSTRUCTED_FROM_REPORT</x:v>
      </x:c>
      <x:c r="R170" s="43" t="str">
        <x:v>Original candidate ID and row fields reconstructed from the compact narrative PDF table; this is not the missing original structured record.</x:v>
      </x:c>
    </x:row>
    <x:row r="171" ht="30" customHeight="1">
      <x:c r="A171" s="40" t="str">
        <x:v>FT-SEED-R1-2022-C-01</x:v>
      </x:c>
      <x:c r="B171" s="19" t="str">
        <x:v>INITIAL_180</x:v>
      </x:c>
      <x:c r="C171" s="31" t="str">
        <x:v>2022-C-01</x:v>
      </x:c>
      <x:c r="D171" s="31" t="str">
        <x:v>27</x:v>
      </x:c>
      <x:c r="E171" s="19" t="str">
        <x:v>FT-A2022</x:v>
      </x:c>
      <x:c r="F171" s="31" t="str">
        <x:v>climate anxiety</x:v>
      </x:c>
      <x:c r="G171" s="19" t="str">
        <x:v>C</x:v>
      </x:c>
      <x:c r="H171" s="19" t="str">
        <x:v>NOT_ANNOTATED_IN_SOURCE</x:v>
      </x:c>
      <x:c r="I171" s="31" t="str">
        <x:v>E22-4</x:v>
      </x:c>
      <x:c r="J171" s="19" t="str">
        <x:v>E4</x:v>
      </x:c>
      <x:c r="K171" s="19" t="str">
        <x:v>CONFIDENCE=Strong;CARRY_FORWARD=Yes</x:v>
      </x:c>
      <x:c r="L171" s="19" t="str">
        <x:v>Strong</x:v>
      </x:c>
      <x:c r="M171" s="19" t="str">
        <x:v>Yes</x:v>
      </x:c>
      <x:c r="N171" s="31" t="str">
        <x:v>RECONSTRUCTED_FROM_REPORT</x:v>
      </x:c>
      <x:c r="O171" s="31" t="str">
        <x:v>RETAIN</x:v>
      </x:c>
      <x:c r="P171" s="19" t="str">
        <x:v>Fear of Temperature_ Historical Lexical Discovery and Anchor Validation.pdf</x:v>
      </x:c>
      <x:c r="Q171" s="31" t="str">
        <x:v>RECONSTRUCTED_FROM_REPORT</x:v>
      </x:c>
      <x:c r="R171" s="43" t="str">
        <x:v>Original candidate ID and row fields reconstructed from the compact narrative PDF table; this is not the missing original structured record.</x:v>
      </x:c>
    </x:row>
    <x:row r="172" ht="30" customHeight="1">
      <x:c r="A172" s="40" t="str">
        <x:v>FT-SEED-R1-2022-C-02</x:v>
      </x:c>
      <x:c r="B172" s="19" t="str">
        <x:v>INITIAL_180</x:v>
      </x:c>
      <x:c r="C172" s="31" t="str">
        <x:v>2022-C-02</x:v>
      </x:c>
      <x:c r="D172" s="31" t="str">
        <x:v>27</x:v>
      </x:c>
      <x:c r="E172" s="19" t="str">
        <x:v>FT-A2022</x:v>
      </x:c>
      <x:c r="F172" s="31" t="str">
        <x:v>eco-anxiety</x:v>
      </x:c>
      <x:c r="G172" s="19" t="str">
        <x:v>C</x:v>
      </x:c>
      <x:c r="H172" s="19" t="str">
        <x:v>NOT_ANNOTATED_IN_SOURCE</x:v>
      </x:c>
      <x:c r="I172" s="31" t="str">
        <x:v>E22-5</x:v>
      </x:c>
      <x:c r="J172" s="19" t="str">
        <x:v>NOT_ANNOTATED_IN_SOURCE</x:v>
      </x:c>
      <x:c r="K172" s="19" t="str">
        <x:v>CONFIDENCE=Strong;CARRY_FORWARD=Yes</x:v>
      </x:c>
      <x:c r="L172" s="19" t="str">
        <x:v>Strong</x:v>
      </x:c>
      <x:c r="M172" s="19" t="str">
        <x:v>Yes</x:v>
      </x:c>
      <x:c r="N172" s="31" t="str">
        <x:v>RECONSTRUCTED_FROM_REPORT</x:v>
      </x:c>
      <x:c r="O172" s="31" t="str">
        <x:v>RETAIN</x:v>
      </x:c>
      <x:c r="P172" s="19" t="str">
        <x:v>Fear of Temperature_ Historical Lexical Discovery and Anchor Validation.pdf</x:v>
      </x:c>
      <x:c r="Q172" s="31" t="str">
        <x:v>RECONSTRUCTED_FROM_REPORT</x:v>
      </x:c>
      <x:c r="R172" s="43" t="str">
        <x:v>Original candidate ID and row fields reconstructed from the compact narrative PDF table; this is not the missing original structured record.</x:v>
      </x:c>
    </x:row>
    <x:row r="173" ht="30" customHeight="1">
      <x:c r="A173" s="40" t="str">
        <x:v>FT-SEED-R1-2022-C-03</x:v>
      </x:c>
      <x:c r="B173" s="19" t="str">
        <x:v>INITIAL_180</x:v>
      </x:c>
      <x:c r="C173" s="31" t="str">
        <x:v>2022-C-03</x:v>
      </x:c>
      <x:c r="D173" s="31" t="str">
        <x:v>28</x:v>
      </x:c>
      <x:c r="E173" s="19" t="str">
        <x:v>FT-A2022</x:v>
      </x:c>
      <x:c r="F173" s="31" t="str">
        <x:v>worried about climate change</x:v>
      </x:c>
      <x:c r="G173" s="19" t="str">
        <x:v>C</x:v>
      </x:c>
      <x:c r="H173" s="19" t="str">
        <x:v>NOT_ANNOTATED_IN_SOURCE</x:v>
      </x:c>
      <x:c r="I173" s="31" t="str">
        <x:v>E22-4</x:v>
      </x:c>
      <x:c r="J173" s="19" t="str">
        <x:v>NOT_ANNOTATED_IN_SOURCE</x:v>
      </x:c>
      <x:c r="K173" s="19" t="str">
        <x:v>CONFIDENCE=Strong;CARRY_FORWARD=Yes</x:v>
      </x:c>
      <x:c r="L173" s="19" t="str">
        <x:v>Strong</x:v>
      </x:c>
      <x:c r="M173" s="19" t="str">
        <x:v>Yes</x:v>
      </x:c>
      <x:c r="N173" s="31" t="str">
        <x:v>RECONSTRUCTED_FROM_REPORT</x:v>
      </x:c>
      <x:c r="O173" s="31" t="str">
        <x:v>RETAIN</x:v>
      </x:c>
      <x:c r="P173" s="19" t="str">
        <x:v>Fear of Temperature_ Historical Lexical Discovery and Anchor Validation.pdf</x:v>
      </x:c>
      <x:c r="Q173" s="31" t="str">
        <x:v>RECONSTRUCTED_FROM_REPORT</x:v>
      </x:c>
      <x:c r="R173" s="43" t="str">
        <x:v>Original candidate ID and row fields reconstructed from the compact narrative PDF table; this is not the missing original structured record.</x:v>
      </x:c>
    </x:row>
    <x:row r="174" ht="30" customHeight="1">
      <x:c r="A174" s="40" t="str">
        <x:v>FT-SEED-R1-2022-C-04</x:v>
      </x:c>
      <x:c r="B174" s="19" t="str">
        <x:v>INITIAL_180</x:v>
      </x:c>
      <x:c r="C174" s="31" t="str">
        <x:v>2022-C-04</x:v>
      </x:c>
      <x:c r="D174" s="31" t="str">
        <x:v>28</x:v>
      </x:c>
      <x:c r="E174" s="19" t="str">
        <x:v>FT-A2022</x:v>
      </x:c>
      <x:c r="F174" s="31" t="str">
        <x:v>worry</x:v>
      </x:c>
      <x:c r="G174" s="19" t="str">
        <x:v>C</x:v>
      </x:c>
      <x:c r="H174" s="19" t="str">
        <x:v>NOT_ANNOTATED_IN_SOURCE</x:v>
      </x:c>
      <x:c r="I174" s="31" t="str">
        <x:v>E22-4,5</x:v>
      </x:c>
      <x:c r="J174" s="19" t="str">
        <x:v>NOT_ANNOTATED_IN_SOURCE</x:v>
      </x:c>
      <x:c r="K174" s="19" t="str">
        <x:v>CONFIDENCE=Strong;CARRY_FORWARD=Yes</x:v>
      </x:c>
      <x:c r="L174" s="19" t="str">
        <x:v>Strong</x:v>
      </x:c>
      <x:c r="M174" s="19" t="str">
        <x:v>Yes</x:v>
      </x:c>
      <x:c r="N174" s="31" t="str">
        <x:v>RECONSTRUCTED_FROM_REPORT</x:v>
      </x:c>
      <x:c r="O174" s="31" t="str">
        <x:v>RETAIN</x:v>
      </x:c>
      <x:c r="P174" s="19" t="str">
        <x:v>Fear of Temperature_ Historical Lexical Discovery and Anchor Validation.pdf</x:v>
      </x:c>
      <x:c r="Q174" s="31" t="str">
        <x:v>RECONSTRUCTED_FROM_REPORT</x:v>
      </x:c>
      <x:c r="R174" s="43" t="str">
        <x:v>Original candidate ID and row fields reconstructed from the compact narrative PDF table; this is not the missing original structured record.</x:v>
      </x:c>
    </x:row>
    <x:row r="175" ht="30" customHeight="1">
      <x:c r="A175" s="40" t="str">
        <x:v>FT-SEED-R1-2022-C-05</x:v>
      </x:c>
      <x:c r="B175" s="19" t="str">
        <x:v>INITIAL_180</x:v>
      </x:c>
      <x:c r="C175" s="31" t="str">
        <x:v>2022-C-05</x:v>
      </x:c>
      <x:c r="D175" s="31" t="str">
        <x:v>28</x:v>
      </x:c>
      <x:c r="E175" s="19" t="str">
        <x:v>FT-A2022</x:v>
      </x:c>
      <x:c r="F175" s="31" t="str">
        <x:v>psychological distress</x:v>
      </x:c>
      <x:c r="G175" s="19" t="str">
        <x:v>C</x:v>
      </x:c>
      <x:c r="H175" s="19" t="str">
        <x:v>NOT_ANNOTATED_IN_SOURCE</x:v>
      </x:c>
      <x:c r="I175" s="31" t="str">
        <x:v>E22-5</x:v>
      </x:c>
      <x:c r="J175" s="19" t="str">
        <x:v>NOT_ANNOTATED_IN_SOURCE</x:v>
      </x:c>
      <x:c r="K175" s="19" t="str">
        <x:v>CONFIDENCE=Strong;CARRY_FORWARD=Yes</x:v>
      </x:c>
      <x:c r="L175" s="19" t="str">
        <x:v>Strong</x:v>
      </x:c>
      <x:c r="M175" s="19" t="str">
        <x:v>Yes</x:v>
      </x:c>
      <x:c r="N175" s="31" t="str">
        <x:v>RECONSTRUCTED_FROM_REPORT</x:v>
      </x:c>
      <x:c r="O175" s="31" t="str">
        <x:v>RETAIN</x:v>
      </x:c>
      <x:c r="P175" s="19" t="str">
        <x:v>Fear of Temperature_ Historical Lexical Discovery and Anchor Validation.pdf</x:v>
      </x:c>
      <x:c r="Q175" s="31" t="str">
        <x:v>RECONSTRUCTED_FROM_REPORT</x:v>
      </x:c>
      <x:c r="R175" s="43" t="str">
        <x:v>Original candidate ID and row fields reconstructed from the compact narrative PDF table; this is not the missing original structured record.</x:v>
      </x:c>
    </x:row>
    <x:row r="176" ht="30" customHeight="1">
      <x:c r="A176" s="40" t="str">
        <x:v>FT-SEED-R1-2022-C-06</x:v>
      </x:c>
      <x:c r="B176" s="19" t="str">
        <x:v>INITIAL_180</x:v>
      </x:c>
      <x:c r="C176" s="31" t="str">
        <x:v>2022-C-06</x:v>
      </x:c>
      <x:c r="D176" s="31" t="str">
        <x:v>28</x:v>
      </x:c>
      <x:c r="E176" s="19" t="str">
        <x:v>FT-A2022</x:v>
      </x:c>
      <x:c r="F176" s="31" t="str">
        <x:v>afraid</x:v>
      </x:c>
      <x:c r="G176" s="19" t="str">
        <x:v>C</x:v>
      </x:c>
      <x:c r="H176" s="19" t="str">
        <x:v>NOT_ANNOTATED_IN_SOURCE</x:v>
      </x:c>
      <x:c r="I176" s="31" t="str">
        <x:v>E22-4</x:v>
      </x:c>
      <x:c r="J176" s="19" t="str">
        <x:v>NOT_ANNOTATED_IN_SOURCE</x:v>
      </x:c>
      <x:c r="K176" s="19" t="str">
        <x:v>CONFIDENCE=Strong;CARRY_FORWARD=Yes</x:v>
      </x:c>
      <x:c r="L176" s="19" t="str">
        <x:v>Strong</x:v>
      </x:c>
      <x:c r="M176" s="19" t="str">
        <x:v>Yes</x:v>
      </x:c>
      <x:c r="N176" s="31" t="str">
        <x:v>RECONSTRUCTED_FROM_REPORT</x:v>
      </x:c>
      <x:c r="O176" s="31" t="str">
        <x:v>RETAIN</x:v>
      </x:c>
      <x:c r="P176" s="19" t="str">
        <x:v>Fear of Temperature_ Historical Lexical Discovery and Anchor Validation.pdf</x:v>
      </x:c>
      <x:c r="Q176" s="31" t="str">
        <x:v>RECONSTRUCTED_FROM_REPORT</x:v>
      </x:c>
      <x:c r="R176" s="43" t="str">
        <x:v>Original candidate ID and row fields reconstructed from the compact narrative PDF table; this is not the missing original structured record.</x:v>
      </x:c>
    </x:row>
    <x:row r="177" ht="30" customHeight="1">
      <x:c r="A177" s="40" t="str">
        <x:v>FT-SEED-R1-2022-C-07</x:v>
      </x:c>
      <x:c r="B177" s="19" t="str">
        <x:v>INITIAL_180</x:v>
      </x:c>
      <x:c r="C177" s="31" t="str">
        <x:v>2022-C-07</x:v>
      </x:c>
      <x:c r="D177" s="31" t="str">
        <x:v>28</x:v>
      </x:c>
      <x:c r="E177" s="19" t="str">
        <x:v>FT-A2022</x:v>
      </x:c>
      <x:c r="F177" s="31" t="str">
        <x:v>hopelessness</x:v>
      </x:c>
      <x:c r="G177" s="19" t="str">
        <x:v>C</x:v>
      </x:c>
      <x:c r="H177" s="19" t="str">
        <x:v>NOT_ANNOTATED_IN_SOURCE</x:v>
      </x:c>
      <x:c r="I177" s="31" t="str">
        <x:v>E22-5</x:v>
      </x:c>
      <x:c r="J177" s="19" t="str">
        <x:v>NOT_ANNOTATED_IN_SOURCE</x:v>
      </x:c>
      <x:c r="K177" s="19" t="str">
        <x:v>CONFIDENCE=Moderate;CARRY_FORWARD=Yes</x:v>
      </x:c>
      <x:c r="L177" s="19" t="str">
        <x:v>Moderate</x:v>
      </x:c>
      <x:c r="M177" s="19" t="str">
        <x:v>Yes</x:v>
      </x:c>
      <x:c r="N177" s="31" t="str">
        <x:v>RECONSTRUCTED_FROM_REPORT</x:v>
      </x:c>
      <x:c r="O177" s="31" t="str">
        <x:v>RETAIN</x:v>
      </x:c>
      <x:c r="P177" s="19" t="str">
        <x:v>Fear of Temperature_ Historical Lexical Discovery and Anchor Validation.pdf</x:v>
      </x:c>
      <x:c r="Q177" s="31" t="str">
        <x:v>RECONSTRUCTED_FROM_REPORT</x:v>
      </x:c>
      <x:c r="R177" s="43" t="str">
        <x:v>Original candidate ID and row fields reconstructed from the compact narrative PDF table; this is not the missing original structured record.</x:v>
      </x:c>
    </x:row>
    <x:row r="178" ht="30" customHeight="1">
      <x:c r="A178" s="40" t="str">
        <x:v>FT-SEED-R1-2022-D-01</x:v>
      </x:c>
      <x:c r="B178" s="19" t="str">
        <x:v>INITIAL_180</x:v>
      </x:c>
      <x:c r="C178" s="31" t="str">
        <x:v>2022-D-01</x:v>
      </x:c>
      <x:c r="D178" s="31" t="str">
        <x:v>28</x:v>
      </x:c>
      <x:c r="E178" s="19" t="str">
        <x:v>FT-A2022</x:v>
      </x:c>
      <x:c r="F178" s="31" t="str">
        <x:v>risk</x:v>
      </x:c>
      <x:c r="G178" s="19" t="str">
        <x:v>D</x:v>
      </x:c>
      <x:c r="H178" s="19" t="str">
        <x:v>NOT_ANNOTATED_IN_SOURCE</x:v>
      </x:c>
      <x:c r="I178" s="31" t="str">
        <x:v>E22-2,3</x:v>
      </x:c>
      <x:c r="J178" s="19" t="str">
        <x:v>NOT_ANNOTATED_IN_SOURCE</x:v>
      </x:c>
      <x:c r="K178" s="19" t="str">
        <x:v>CONFIDENCE=Strong;CARRY_FORWARD=Yes</x:v>
      </x:c>
      <x:c r="L178" s="19" t="str">
        <x:v>Strong</x:v>
      </x:c>
      <x:c r="M178" s="19" t="str">
        <x:v>Yes</x:v>
      </x:c>
      <x:c r="N178" s="31" t="str">
        <x:v>RECONSTRUCTED_FROM_REPORT</x:v>
      </x:c>
      <x:c r="O178" s="31" t="str">
        <x:v>RETAIN</x:v>
      </x:c>
      <x:c r="P178" s="19" t="str">
        <x:v>Fear of Temperature_ Historical Lexical Discovery and Anchor Validation.pdf</x:v>
      </x:c>
      <x:c r="Q178" s="31" t="str">
        <x:v>RECONSTRUCTED_FROM_REPORT</x:v>
      </x:c>
      <x:c r="R178" s="43" t="str">
        <x:v>Original candidate ID and row fields reconstructed from the compact narrative PDF table; this is not the missing original structured record.</x:v>
      </x:c>
    </x:row>
    <x:row r="179" ht="30" customHeight="1">
      <x:c r="A179" s="40" t="str">
        <x:v>FT-SEED-R1-2022-D-02</x:v>
      </x:c>
      <x:c r="B179" s="19" t="str">
        <x:v>INITIAL_180</x:v>
      </x:c>
      <x:c r="C179" s="31" t="str">
        <x:v>2022-D-02</x:v>
      </x:c>
      <x:c r="D179" s="31" t="str">
        <x:v>28</x:v>
      </x:c>
      <x:c r="E179" s="19" t="str">
        <x:v>FT-A2022</x:v>
      </x:c>
      <x:c r="F179" s="31" t="str">
        <x:v>climate- related risks</x:v>
      </x:c>
      <x:c r="G179" s="19" t="str">
        <x:v>D</x:v>
      </x:c>
      <x:c r="H179" s="19" t="str">
        <x:v>NOT_ANNOTATED_IN_SOURCE</x:v>
      </x:c>
      <x:c r="I179" s="31" t="str">
        <x:v>E22-2,3</x:v>
      </x:c>
      <x:c r="J179" s="19" t="str">
        <x:v>NOT_ANNOTATED_IN_SOURCE</x:v>
      </x:c>
      <x:c r="K179" s="19" t="str">
        <x:v>CONFIDENCE=Strong;CARRY_FORWARD=Yes</x:v>
      </x:c>
      <x:c r="L179" s="19" t="str">
        <x:v>Strong</x:v>
      </x:c>
      <x:c r="M179" s="19" t="str">
        <x:v>Yes</x:v>
      </x:c>
      <x:c r="N179" s="31" t="str">
        <x:v>RECONSTRUCTED_FROM_REPORT</x:v>
      </x:c>
      <x:c r="O179" s="31" t="str">
        <x:v>RETAIN</x:v>
      </x:c>
      <x:c r="P179" s="19" t="str">
        <x:v>Fear of Temperature_ Historical Lexical Discovery and Anchor Validation.pdf</x:v>
      </x:c>
      <x:c r="Q179" s="31" t="str">
        <x:v>RECONSTRUCTED_FROM_REPORT</x:v>
      </x:c>
      <x:c r="R179" s="43" t="str">
        <x:v>Original candidate ID and row fields reconstructed from the compact narrative PDF table; this is not the missing original structured record.</x:v>
      </x:c>
    </x:row>
    <x:row r="180" ht="30" customHeight="1">
      <x:c r="A180" s="40" t="str">
        <x:v>FT-SEED-R1-2022-D-03</x:v>
      </x:c>
      <x:c r="B180" s="19" t="str">
        <x:v>INITIAL_180</x:v>
      </x:c>
      <x:c r="C180" s="31" t="str">
        <x:v>2022-D-03</x:v>
      </x:c>
      <x:c r="D180" s="31" t="str">
        <x:v>28</x:v>
      </x:c>
      <x:c r="E180" s="19" t="str">
        <x:v>FT-A2022</x:v>
      </x:c>
      <x:c r="F180" s="31" t="str">
        <x:v>threat</x:v>
      </x:c>
      <x:c r="G180" s="19" t="str">
        <x:v>D</x:v>
      </x:c>
      <x:c r="H180" s="19" t="str">
        <x:v>NOT_ANNOTATED_IN_SOURCE</x:v>
      </x:c>
      <x:c r="I180" s="31" t="str">
        <x:v>E22-6</x:v>
      </x:c>
      <x:c r="J180" s="19" t="str">
        <x:v>NOT_ANNOTATED_IN_SOURCE</x:v>
      </x:c>
      <x:c r="K180" s="19" t="str">
        <x:v>CONFIDENCE=Strong;CARRY_FORWARD=Yes</x:v>
      </x:c>
      <x:c r="L180" s="19" t="str">
        <x:v>Strong</x:v>
      </x:c>
      <x:c r="M180" s="19" t="str">
        <x:v>Yes</x:v>
      </x:c>
      <x:c r="N180" s="31" t="str">
        <x:v>RECONSTRUCTED_FROM_REPORT</x:v>
      </x:c>
      <x:c r="O180" s="31" t="str">
        <x:v>RETAIN</x:v>
      </x:c>
      <x:c r="P180" s="19" t="str">
        <x:v>Fear of Temperature_ Historical Lexical Discovery and Anchor Validation.pdf</x:v>
      </x:c>
      <x:c r="Q180" s="31" t="str">
        <x:v>RECONSTRUCTED_FROM_REPORT</x:v>
      </x:c>
      <x:c r="R180" s="43" t="str">
        <x:v>Original candidate ID and row fields reconstructed from the compact narrative PDF table; this is not the missing original structured record.</x:v>
      </x:c>
    </x:row>
    <x:row r="181" ht="30" customHeight="1">
      <x:c r="A181" s="40" t="str">
        <x:v>FT-SEED-R1-2022-D-04</x:v>
      </x:c>
      <x:c r="B181" s="19" t="str">
        <x:v>INITIAL_180</x:v>
      </x:c>
      <x:c r="C181" s="31" t="str">
        <x:v>2022-D-04</x:v>
      </x:c>
      <x:c r="D181" s="31" t="str">
        <x:v>29</x:v>
      </x:c>
      <x:c r="E181" s="19" t="str">
        <x:v>FT-A2022</x:v>
      </x:c>
      <x:c r="F181" s="31" t="str">
        <x:v>climate crisis</x:v>
      </x:c>
      <x:c r="G181" s="19" t="str">
        <x:v>D</x:v>
      </x:c>
      <x:c r="H181" s="19" t="str">
        <x:v>NOT_ANNOTATED_IN_SOURCE</x:v>
      </x:c>
      <x:c r="I181" s="31" t="str">
        <x:v>E22-6</x:v>
      </x:c>
      <x:c r="J181" s="19" t="str">
        <x:v>NOT_ANNOTATED_IN_SOURCE</x:v>
      </x:c>
      <x:c r="K181" s="19" t="str">
        <x:v>CONFIDENCE=Strong;CARRY_FORWARD=Yes</x:v>
      </x:c>
      <x:c r="L181" s="19" t="str">
        <x:v>Strong</x:v>
      </x:c>
      <x:c r="M181" s="19" t="str">
        <x:v>Yes</x:v>
      </x:c>
      <x:c r="N181" s="31" t="str">
        <x:v>RECONSTRUCTED_FROM_REPORT</x:v>
      </x:c>
      <x:c r="O181" s="31" t="str">
        <x:v>RETAIN</x:v>
      </x:c>
      <x:c r="P181" s="19" t="str">
        <x:v>Fear of Temperature_ Historical Lexical Discovery and Anchor Validation.pdf</x:v>
      </x:c>
      <x:c r="Q181" s="31" t="str">
        <x:v>RECONSTRUCTED_FROM_REPORT</x:v>
      </x:c>
      <x:c r="R181" s="43" t="str">
        <x:v>Original candidate ID and row fields reconstructed from the compact narrative PDF table; this is not the missing original structured record.</x:v>
      </x:c>
    </x:row>
    <x:row r="182" ht="30" customHeight="1">
      <x:c r="A182" s="40" t="str">
        <x:v>FT-SEED-R1-2022-D-05</x:v>
      </x:c>
      <x:c r="B182" s="19" t="str">
        <x:v>INITIAL_180</x:v>
      </x:c>
      <x:c r="C182" s="31" t="str">
        <x:v>2022-D-05</x:v>
      </x:c>
      <x:c r="D182" s="31" t="str">
        <x:v>29</x:v>
      </x:c>
      <x:c r="E182" s="19" t="str">
        <x:v>FT-A2022</x:v>
      </x:c>
      <x:c r="F182" s="31" t="str">
        <x:v>climate emergency</x:v>
      </x:c>
      <x:c r="G182" s="19" t="str">
        <x:v>D</x:v>
      </x:c>
      <x:c r="H182" s="19" t="str">
        <x:v>NOT_ANNOTATED_IN_SOURCE</x:v>
      </x:c>
      <x:c r="I182" s="31" t="str">
        <x:v>E22-6</x:v>
      </x:c>
      <x:c r="J182" s="19" t="str">
        <x:v>NOT_ANNOTATED_IN_SOURCE</x:v>
      </x:c>
      <x:c r="K182" s="19" t="str">
        <x:v>CONFIDENCE=Strong;CARRY_FORWARD=Yes</x:v>
      </x:c>
      <x:c r="L182" s="19" t="str">
        <x:v>Strong</x:v>
      </x:c>
      <x:c r="M182" s="19" t="str">
        <x:v>Yes</x:v>
      </x:c>
      <x:c r="N182" s="31" t="str">
        <x:v>RECONSTRUCTED_FROM_REPORT</x:v>
      </x:c>
      <x:c r="O182" s="31" t="str">
        <x:v>RETAIN</x:v>
      </x:c>
      <x:c r="P182" s="19" t="str">
        <x:v>Fear of Temperature_ Historical Lexical Discovery and Anchor Validation.pdf</x:v>
      </x:c>
      <x:c r="Q182" s="31" t="str">
        <x:v>RECONSTRUCTED_FROM_REPORT</x:v>
      </x:c>
      <x:c r="R182" s="43" t="str">
        <x:v>Original candidate ID and row fields reconstructed from the compact narrative PDF table; this is not the missing original structured record.</x:v>
      </x:c>
    </x:row>
    <x:row r="183" ht="30" customHeight="1">
      <x:c r="A183" s="40" t="str">
        <x:v>FT-SEED-R1-2022-D-06</x:v>
      </x:c>
      <x:c r="B183" s="19" t="str">
        <x:v>INITIAL_180</x:v>
      </x:c>
      <x:c r="C183" s="31" t="str">
        <x:v>2022-D-06</x:v>
      </x:c>
      <x:c r="D183" s="31" t="str">
        <x:v>29</x:v>
      </x:c>
      <x:c r="E183" s="19" t="str">
        <x:v>FT-A2022</x:v>
      </x:c>
      <x:c r="F183" s="31" t="str">
        <x:v>climate catastrophe</x:v>
      </x:c>
      <x:c r="G183" s="19" t="str">
        <x:v>D</x:v>
      </x:c>
      <x:c r="H183" s="19" t="str">
        <x:v>NOT_ANNOTATED_IN_SOURCE</x:v>
      </x:c>
      <x:c r="I183" s="31" t="str">
        <x:v>E22-7</x:v>
      </x:c>
      <x:c r="J183" s="19" t="str">
        <x:v>NOT_ANNOTATED_IN_SOURCE</x:v>
      </x:c>
      <x:c r="K183" s="19" t="str">
        <x:v>CONFIDENCE=Moderate;CARRY_FORWARD=Conditional</x:v>
      </x:c>
      <x:c r="L183" s="19" t="str">
        <x:v>Moderate</x:v>
      </x:c>
      <x:c r="M183" s="19" t="str">
        <x:v>Conditional</x:v>
      </x:c>
      <x:c r="N183" s="31" t="str">
        <x:v>RECONSTRUCTED_FROM_REPORT</x:v>
      </x:c>
      <x:c r="O183" s="31" t="str">
        <x:v>UNRESOLVED</x:v>
      </x:c>
      <x:c r="P183" s="19" t="str">
        <x:v>Fear of Temperature_ Historical Lexical Discovery and Anchor Validation.pdf</x:v>
      </x:c>
      <x:c r="Q183" s="31" t="str">
        <x:v>RECONSTRUCTED_FROM_REPORT</x:v>
      </x:c>
      <x:c r="R183" s="43" t="str">
        <x:v>Original candidate ID and row fields reconstructed from the compact narrative PDF table; this is not the missing original structured record.</x:v>
      </x:c>
    </x:row>
    <x:row r="184" ht="30" customHeight="1">
      <x:c r="A184" s="40" t="str">
        <x:v>FT-SEED-R1-2022-D-07</x:v>
      </x:c>
      <x:c r="B184" s="19" t="str">
        <x:v>INITIAL_180</x:v>
      </x:c>
      <x:c r="C184" s="31" t="str">
        <x:v>2022-D-07</x:v>
      </x:c>
      <x:c r="D184" s="31" t="str">
        <x:v>29</x:v>
      </x:c>
      <x:c r="E184" s="19" t="str">
        <x:v>FT-A2022</x:v>
      </x:c>
      <x:c r="F184" s="31" t="str">
        <x:v>devastating</x:v>
      </x:c>
      <x:c r="G184" s="19" t="str">
        <x:v>D</x:v>
      </x:c>
      <x:c r="H184" s="19" t="str">
        <x:v>NOT_ANNOTATED_IN_SOURCE</x:v>
      </x:c>
      <x:c r="I184" s="31" t="str">
        <x:v>E22-1</x:v>
      </x:c>
      <x:c r="J184" s="19" t="str">
        <x:v>NOT_ANNOTATED_IN_SOURCE</x:v>
      </x:c>
      <x:c r="K184" s="19" t="str">
        <x:v>CONFIDENCE=Strong;CARRY_FORWARD=Conditional</x:v>
      </x:c>
      <x:c r="L184" s="19" t="str">
        <x:v>Strong</x:v>
      </x:c>
      <x:c r="M184" s="19" t="str">
        <x:v>Conditional</x:v>
      </x:c>
      <x:c r="N184" s="31" t="str">
        <x:v>RECONSTRUCTED_FROM_REPORT</x:v>
      </x:c>
      <x:c r="O184" s="31" t="str">
        <x:v>UNRESOLVED</x:v>
      </x:c>
      <x:c r="P184" s="19" t="str">
        <x:v>Fear of Temperature_ Historical Lexical Discovery and Anchor Validation.pdf</x:v>
      </x:c>
      <x:c r="Q184" s="31" t="str">
        <x:v>RECONSTRUCTED_FROM_REPORT</x:v>
      </x:c>
      <x:c r="R184" s="43" t="str">
        <x:v>Original candidate ID and row fields reconstructed from the compact narrative PDF table; this is not the missing original structured record.</x:v>
      </x:c>
    </x:row>
    <x:row r="185" ht="30" customHeight="1">
      <x:c r="A185" s="40" t="str">
        <x:v>FT-SEED-R1B-P-1842-01</x:v>
      </x:c>
      <x:c r="B185" s="19" t="str">
        <x:v>PRIORITY_180</x:v>
      </x:c>
      <x:c r="C185" s="31" t="str">
        <x:v>NOT_EXPOSED_IN_REPORT</x:v>
      </x:c>
      <x:c r="D185" s="31" t="str">
        <x:v>6</x:v>
      </x:c>
      <x:c r="E185" s="19" t="str">
        <x:v>FT-A1842</x:v>
      </x:c>
      <x:c r="F185" s="31" t="str">
        <x:v>temperature</x:v>
      </x:c>
      <x:c r="G185" s="19" t="str">
        <x:v>A</x:v>
      </x:c>
      <x:c r="H185" s="19" t="str">
        <x:v>V1</x:v>
      </x:c>
      <x:c r="I185" s="31" t="str">
        <x:v>S1842-RS-COLABA</x:v>
      </x:c>
      <x:c r="J185" s="19" t="str">
        <x:v>NOT_EXPOSED_IN_REPORT</x:v>
      </x:c>
      <x:c r="K185" s="19" t="str">
        <x:v>PRIORITY_RANK=1;ORIGINAL_ROW_CONFIDENCE_NOT_EXPOSED</x:v>
      </x:c>
      <x:c r="L185" s="19" t="str">
        <x:v>NOT_EXPOSED_IN_REPORT</x:v>
      </x:c>
      <x:c r="M185" s="19" t="str">
        <x:v>PRIORITY_RANK_01</x:v>
      </x:c>
      <x:c r="N185" s="31" t="str">
        <x:v>RECONSTRUCTED_FROM_REPORT</x:v>
      </x:c>
      <x:c r="O185" s="31" t="str">
        <x:v>UNRESOLVED</x:v>
      </x:c>
      <x:c r="P185" s="19" t="str">
        <x:v>Fear of Temperature_ Stratified Lexical Expansion, Voice Mapping, and Semantic-Relational Pre-Valida.pdf</x:v>
      </x:c>
      <x:c r="Q185" s="31" t="str">
        <x:v>RECONSTRUCTED_FROM_REPORT</x:v>
      </x:c>
      <x:c r="R185" s="43" t="str">
        <x:v>New surrogate project ID assigned from the compact report table; never an original later-stage structured candidate ID.</x:v>
      </x:c>
    </x:row>
    <x:row r="186" ht="30" customHeight="1">
      <x:c r="A186" s="40" t="str">
        <x:v>FT-SEED-R1B-P-1842-02</x:v>
      </x:c>
      <x:c r="B186" s="19" t="str">
        <x:v>PRIORITY_180</x:v>
      </x:c>
      <x:c r="C186" s="31" t="str">
        <x:v>NOT_EXPOSED_IN_REPORT</x:v>
      </x:c>
      <x:c r="D186" s="31" t="str">
        <x:v>6</x:v>
      </x:c>
      <x:c r="E186" s="19" t="str">
        <x:v>FT-A1842</x:v>
      </x:c>
      <x:c r="F186" s="31" t="str">
        <x:v>mean temperature</x:v>
      </x:c>
      <x:c r="G186" s="19" t="str">
        <x:v>A</x:v>
      </x:c>
      <x:c r="H186" s="19" t="str">
        <x:v>V1</x:v>
      </x:c>
      <x:c r="I186" s="31" t="str">
        <x:v>S1842-ROSS</x:v>
      </x:c>
      <x:c r="J186" s="19" t="str">
        <x:v>NOT_EXPOSED_IN_REPORT</x:v>
      </x:c>
      <x:c r="K186" s="19" t="str">
        <x:v>PRIORITY_RANK=2;ORIGINAL_ROW_CONFIDENCE_NOT_EXPOSED</x:v>
      </x:c>
      <x:c r="L186" s="19" t="str">
        <x:v>NOT_EXPOSED_IN_REPORT</x:v>
      </x:c>
      <x:c r="M186" s="19" t="str">
        <x:v>PRIORITY_RANK_02</x:v>
      </x:c>
      <x:c r="N186" s="31" t="str">
        <x:v>RECONSTRUCTED_FROM_REPORT</x:v>
      </x:c>
      <x:c r="O186" s="31" t="str">
        <x:v>UNRESOLVED</x:v>
      </x:c>
      <x:c r="P186" s="19" t="str">
        <x:v>Fear of Temperature_ Stratified Lexical Expansion, Voice Mapping, and Semantic-Relational Pre-Valida.pdf</x:v>
      </x:c>
      <x:c r="Q186" s="31" t="str">
        <x:v>RECONSTRUCTED_FROM_REPORT</x:v>
      </x:c>
      <x:c r="R186" s="43" t="str">
        <x:v>New surrogate project ID assigned from the compact report table; never an original later-stage structured candidate ID.</x:v>
      </x:c>
    </x:row>
    <x:row r="187" ht="30" customHeight="1">
      <x:c r="A187" s="40" t="str">
        <x:v>FT-SEED-R1B-P-1842-03</x:v>
      </x:c>
      <x:c r="B187" s="19" t="str">
        <x:v>PRIORITY_180</x:v>
      </x:c>
      <x:c r="C187" s="31" t="str">
        <x:v>NOT_EXPOSED_IN_REPORT</x:v>
      </x:c>
      <x:c r="D187" s="31" t="str">
        <x:v>6</x:v>
      </x:c>
      <x:c r="E187" s="19" t="str">
        <x:v>FT-A1842</x:v>
      </x:c>
      <x:c r="F187" s="31" t="str">
        <x:v>temperature of the air in shade</x:v>
      </x:c>
      <x:c r="G187" s="19" t="str">
        <x:v>A</x:v>
      </x:c>
      <x:c r="H187" s="19" t="str">
        <x:v>V1</x:v>
      </x:c>
      <x:c r="I187" s="31" t="str">
        <x:v>S1842-ROSS</x:v>
      </x:c>
      <x:c r="J187" s="19" t="str">
        <x:v>NOT_EXPOSED_IN_REPORT</x:v>
      </x:c>
      <x:c r="K187" s="19" t="str">
        <x:v>PRIORITY_RANK=3;ORIGINAL_ROW_CONFIDENCE_NOT_EXPOSED</x:v>
      </x:c>
      <x:c r="L187" s="19" t="str">
        <x:v>NOT_EXPOSED_IN_REPORT</x:v>
      </x:c>
      <x:c r="M187" s="19" t="str">
        <x:v>PRIORITY_RANK_03</x:v>
      </x:c>
      <x:c r="N187" s="31" t="str">
        <x:v>RECONSTRUCTED_FROM_REPORT</x:v>
      </x:c>
      <x:c r="O187" s="31" t="str">
        <x:v>UNRESOLVED</x:v>
      </x:c>
      <x:c r="P187" s="19" t="str">
        <x:v>Fear of Temperature_ Stratified Lexical Expansion, Voice Mapping, and Semantic-Relational Pre-Valida.pdf</x:v>
      </x:c>
      <x:c r="Q187" s="31" t="str">
        <x:v>RECONSTRUCTED_FROM_REPORT</x:v>
      </x:c>
      <x:c r="R187" s="43" t="str">
        <x:v>New surrogate project ID assigned from the compact report table; never an original later-stage structured candidate ID.</x:v>
      </x:c>
    </x:row>
    <x:row r="188" ht="30" customHeight="1">
      <x:c r="A188" s="40" t="str">
        <x:v>FT-SEED-R1B-P-1842-04</x:v>
      </x:c>
      <x:c r="B188" s="19" t="str">
        <x:v>PRIORITY_180</x:v>
      </x:c>
      <x:c r="C188" s="31" t="str">
        <x:v>NOT_EXPOSED_IN_REPORT</x:v>
      </x:c>
      <x:c r="D188" s="31" t="str">
        <x:v>6</x:v>
      </x:c>
      <x:c r="E188" s="19" t="str">
        <x:v>FT-A1842</x:v>
      </x:c>
      <x:c r="F188" s="31" t="str">
        <x:v>maximum temperature</x:v>
      </x:c>
      <x:c r="G188" s="19" t="str">
        <x:v>A</x:v>
      </x:c>
      <x:c r="H188" s="19" t="str">
        <x:v>V1</x:v>
      </x:c>
      <x:c r="I188" s="31" t="str">
        <x:v>S1842-ROSS</x:v>
      </x:c>
      <x:c r="J188" s="19" t="str">
        <x:v>NOT_EXPOSED_IN_REPORT</x:v>
      </x:c>
      <x:c r="K188" s="19" t="str">
        <x:v>PRIORITY_RANK=4;ORIGINAL_ROW_CONFIDENCE_NOT_EXPOSED</x:v>
      </x:c>
      <x:c r="L188" s="19" t="str">
        <x:v>NOT_EXPOSED_IN_REPORT</x:v>
      </x:c>
      <x:c r="M188" s="19" t="str">
        <x:v>PRIORITY_RANK_04</x:v>
      </x:c>
      <x:c r="N188" s="31" t="str">
        <x:v>RECONSTRUCTED_FROM_REPORT</x:v>
      </x:c>
      <x:c r="O188" s="31" t="str">
        <x:v>UNRESOLVED</x:v>
      </x:c>
      <x:c r="P188" s="19" t="str">
        <x:v>Fear of Temperature_ Stratified Lexical Expansion, Voice Mapping, and Semantic-Relational Pre-Valida.pdf</x:v>
      </x:c>
      <x:c r="Q188" s="31" t="str">
        <x:v>RECONSTRUCTED_FROM_REPORT</x:v>
      </x:c>
      <x:c r="R188" s="43" t="str">
        <x:v>New surrogate project ID assigned from the compact report table; never an original later-stage structured candidate ID.</x:v>
      </x:c>
    </x:row>
    <x:row r="189" ht="30" customHeight="1">
      <x:c r="A189" s="40" t="str">
        <x:v>FT-SEED-R1B-P-1842-05</x:v>
      </x:c>
      <x:c r="B189" s="19" t="str">
        <x:v>PRIORITY_180</x:v>
      </x:c>
      <x:c r="C189" s="31" t="str">
        <x:v>NOT_EXPOSED_IN_REPORT</x:v>
      </x:c>
      <x:c r="D189" s="31" t="str">
        <x:v>6</x:v>
      </x:c>
      <x:c r="E189" s="19" t="str">
        <x:v>FT-A1842</x:v>
      </x:c>
      <x:c r="F189" s="31" t="str">
        <x:v>minimum temperature</x:v>
      </x:c>
      <x:c r="G189" s="19" t="str">
        <x:v>A</x:v>
      </x:c>
      <x:c r="H189" s="19" t="str">
        <x:v>V1</x:v>
      </x:c>
      <x:c r="I189" s="31" t="str">
        <x:v>S1842-ROSS</x:v>
      </x:c>
      <x:c r="J189" s="19" t="str">
        <x:v>NOT_EXPOSED_IN_REPORT</x:v>
      </x:c>
      <x:c r="K189" s="19" t="str">
        <x:v>PRIORITY_RANK=5;ORIGINAL_ROW_CONFIDENCE_NOT_EXPOSED</x:v>
      </x:c>
      <x:c r="L189" s="19" t="str">
        <x:v>NOT_EXPOSED_IN_REPORT</x:v>
      </x:c>
      <x:c r="M189" s="19" t="str">
        <x:v>PRIORITY_RANK_05</x:v>
      </x:c>
      <x:c r="N189" s="31" t="str">
        <x:v>RECONSTRUCTED_FROM_REPORT</x:v>
      </x:c>
      <x:c r="O189" s="31" t="str">
        <x:v>UNRESOLVED</x:v>
      </x:c>
      <x:c r="P189" s="19" t="str">
        <x:v>Fear of Temperature_ Stratified Lexical Expansion, Voice Mapping, and Semantic-Relational Pre-Valida.pdf</x:v>
      </x:c>
      <x:c r="Q189" s="31" t="str">
        <x:v>RECONSTRUCTED_FROM_REPORT</x:v>
      </x:c>
      <x:c r="R189" s="43" t="str">
        <x:v>New surrogate project ID assigned from the compact report table; never an original later-stage structured candidate ID.</x:v>
      </x:c>
    </x:row>
    <x:row r="190" ht="30" customHeight="1">
      <x:c r="A190" s="40" t="str">
        <x:v>FT-SEED-R1B-P-1842-06</x:v>
      </x:c>
      <x:c r="B190" s="19" t="str">
        <x:v>PRIORITY_180</x:v>
      </x:c>
      <x:c r="C190" s="31" t="str">
        <x:v>NOT_EXPOSED_IN_REPORT</x:v>
      </x:c>
      <x:c r="D190" s="31" t="str">
        <x:v>6</x:v>
      </x:c>
      <x:c r="E190" s="19" t="str">
        <x:v>FT-A1842</x:v>
      </x:c>
      <x:c r="F190" s="31" t="str">
        <x:v>mean temperature of sea at surface</x:v>
      </x:c>
      <x:c r="G190" s="19" t="str">
        <x:v>A</x:v>
      </x:c>
      <x:c r="H190" s="19" t="str">
        <x:v>V1</x:v>
      </x:c>
      <x:c r="I190" s="31" t="str">
        <x:v>S1842-ROSS</x:v>
      </x:c>
      <x:c r="J190" s="19" t="str">
        <x:v>NOT_EXPOSED_IN_REPORT</x:v>
      </x:c>
      <x:c r="K190" s="19" t="str">
        <x:v>PRIORITY_RANK=6;ORIGINAL_ROW_CONFIDENCE_NOT_EXPOSED</x:v>
      </x:c>
      <x:c r="L190" s="19" t="str">
        <x:v>NOT_EXPOSED_IN_REPORT</x:v>
      </x:c>
      <x:c r="M190" s="19" t="str">
        <x:v>PRIORITY_RANK_06</x:v>
      </x:c>
      <x:c r="N190" s="31" t="str">
        <x:v>RECONSTRUCTED_FROM_REPORT</x:v>
      </x:c>
      <x:c r="O190" s="31" t="str">
        <x:v>UNRESOLVED</x:v>
      </x:c>
      <x:c r="P190" s="19" t="str">
        <x:v>Fear of Temperature_ Stratified Lexical Expansion, Voice Mapping, and Semantic-Relational Pre-Valida.pdf</x:v>
      </x:c>
      <x:c r="Q190" s="31" t="str">
        <x:v>RECONSTRUCTED_FROM_REPORT</x:v>
      </x:c>
      <x:c r="R190" s="43" t="str">
        <x:v>New surrogate project ID assigned from the compact report table; never an original later-stage structured candidate ID.</x:v>
      </x:c>
    </x:row>
    <x:row r="191" ht="30" customHeight="1">
      <x:c r="A191" s="40" t="str">
        <x:v>FT-SEED-R1B-P-1842-07</x:v>
      </x:c>
      <x:c r="B191" s="19" t="str">
        <x:v>PRIORITY_180</x:v>
      </x:c>
      <x:c r="C191" s="31" t="str">
        <x:v>NOT_EXPOSED_IN_REPORT</x:v>
      </x:c>
      <x:c r="D191" s="31" t="str">
        <x:v>6</x:v>
      </x:c>
      <x:c r="E191" s="19" t="str">
        <x:v>FT-A1842</x:v>
      </x:c>
      <x:c r="F191" s="31" t="str">
        <x:v>dew point</x:v>
      </x:c>
      <x:c r="G191" s="19" t="str">
        <x:v>A</x:v>
      </x:c>
      <x:c r="H191" s="19" t="str">
        <x:v>V1</x:v>
      </x:c>
      <x:c r="I191" s="31" t="str">
        <x:v>S1842-LEICHHARDT-N</x:v>
      </x:c>
      <x:c r="J191" s="19" t="str">
        <x:v>NOT_EXPOSED_IN_REPORT</x:v>
      </x:c>
      <x:c r="K191" s="19" t="str">
        <x:v>PRIORITY_RANK=7;ORIGINAL_ROW_CONFIDENCE_NOT_EXPOSED</x:v>
      </x:c>
      <x:c r="L191" s="19" t="str">
        <x:v>NOT_EXPOSED_IN_REPORT</x:v>
      </x:c>
      <x:c r="M191" s="19" t="str">
        <x:v>PRIORITY_RANK_07</x:v>
      </x:c>
      <x:c r="N191" s="31" t="str">
        <x:v>RECONSTRUCTED_FROM_REPORT</x:v>
      </x:c>
      <x:c r="O191" s="31" t="str">
        <x:v>UNRESOLVED</x:v>
      </x:c>
      <x:c r="P191" s="19" t="str">
        <x:v>Fear of Temperature_ Stratified Lexical Expansion, Voice Mapping, and Semantic-Relational Pre-Valida.pdf</x:v>
      </x:c>
      <x:c r="Q191" s="31" t="str">
        <x:v>RECONSTRUCTED_FROM_REPORT</x:v>
      </x:c>
      <x:c r="R191" s="43" t="str">
        <x:v>New surrogate project ID assigned from the compact report table; never an original later-stage structured candidate ID.</x:v>
      </x:c>
    </x:row>
    <x:row r="192" ht="30" customHeight="1">
      <x:c r="A192" s="40" t="str">
        <x:v>FT-SEED-R1B-P-1842-11</x:v>
      </x:c>
      <x:c r="B192" s="19" t="str">
        <x:v>PRIORITY_180</x:v>
      </x:c>
      <x:c r="C192" s="31" t="str">
        <x:v>NOT_EXPOSED_IN_REPORT</x:v>
      </x:c>
      <x:c r="D192" s="31" t="str">
        <x:v>6</x:v>
      </x:c>
      <x:c r="E192" s="19" t="str">
        <x:v>FT-A1842</x:v>
      </x:c>
      <x:c r="F192" s="31" t="str">
        <x:v>wet bulb thermometer</x:v>
      </x:c>
      <x:c r="G192" s="19" t="str">
        <x:v>A</x:v>
      </x:c>
      <x:c r="H192" s="19" t="str">
        <x:v>V1</x:v>
      </x:c>
      <x:c r="I192" s="31" t="str">
        <x:v>S1842-RS-COLABA</x:v>
      </x:c>
      <x:c r="J192" s="19" t="str">
        <x:v>NOT_EXPOSED_IN_REPORT</x:v>
      </x:c>
      <x:c r="K192" s="19" t="str">
        <x:v>PRIORITY_RANK=11;ORIGINAL_ROW_CONFIDENCE_NOT_EXPOSED</x:v>
      </x:c>
      <x:c r="L192" s="19" t="str">
        <x:v>NOT_EXPOSED_IN_REPORT</x:v>
      </x:c>
      <x:c r="M192" s="19" t="str">
        <x:v>PRIORITY_RANK_11</x:v>
      </x:c>
      <x:c r="N192" s="31" t="str">
        <x:v>RECONSTRUCTED_FROM_REPORT</x:v>
      </x:c>
      <x:c r="O192" s="31" t="str">
        <x:v>UNRESOLVED</x:v>
      </x:c>
      <x:c r="P192" s="19" t="str">
        <x:v>Fear of Temperature_ Stratified Lexical Expansion, Voice Mapping, and Semantic-Relational Pre-Valida.pdf</x:v>
      </x:c>
      <x:c r="Q192" s="31" t="str">
        <x:v>RECONSTRUCTED_FROM_REPORT</x:v>
      </x:c>
      <x:c r="R192" s="43" t="str">
        <x:v>New surrogate project ID assigned from the compact report table; never an original later-stage structured candidate ID.</x:v>
      </x:c>
    </x:row>
    <x:row r="193" ht="30" customHeight="1">
      <x:c r="A193" s="40" t="str">
        <x:v>FT-SEED-R1B-P-1842-12</x:v>
      </x:c>
      <x:c r="B193" s="19" t="str">
        <x:v>PRIORITY_180</x:v>
      </x:c>
      <x:c r="C193" s="31" t="str">
        <x:v>NOT_EXPOSED_IN_REPORT</x:v>
      </x:c>
      <x:c r="D193" s="31" t="str">
        <x:v>6</x:v>
      </x:c>
      <x:c r="E193" s="19" t="str">
        <x:v>FT-A1842</x:v>
      </x:c>
      <x:c r="F193" s="31" t="str">
        <x:v>meteorological observations</x:v>
      </x:c>
      <x:c r="G193" s="19" t="str">
        <x:v>B</x:v>
      </x:c>
      <x:c r="H193" s="19" t="str">
        <x:v>V1</x:v>
      </x:c>
      <x:c r="I193" s="31" t="str">
        <x:v>S1842-RS-COLABA</x:v>
      </x:c>
      <x:c r="J193" s="19" t="str">
        <x:v>NOT_EXPOSED_IN_REPORT</x:v>
      </x:c>
      <x:c r="K193" s="19" t="str">
        <x:v>PRIORITY_RANK=12;ORIGINAL_ROW_CONFIDENCE_NOT_EXPOSED</x:v>
      </x:c>
      <x:c r="L193" s="19" t="str">
        <x:v>NOT_EXPOSED_IN_REPORT</x:v>
      </x:c>
      <x:c r="M193" s="19" t="str">
        <x:v>PRIORITY_RANK_12</x:v>
      </x:c>
      <x:c r="N193" s="31" t="str">
        <x:v>RECONSTRUCTED_FROM_REPORT</x:v>
      </x:c>
      <x:c r="O193" s="31" t="str">
        <x:v>UNRESOLVED</x:v>
      </x:c>
      <x:c r="P193" s="19" t="str">
        <x:v>Fear of Temperature_ Stratified Lexical Expansion, Voice Mapping, and Semantic-Relational Pre-Valida.pdf</x:v>
      </x:c>
      <x:c r="Q193" s="31" t="str">
        <x:v>RECONSTRUCTED_FROM_REPORT</x:v>
      </x:c>
      <x:c r="R193" s="43" t="str">
        <x:v>New surrogate project ID assigned from the compact report table; never an original later-stage structured candidate ID.</x:v>
      </x:c>
    </x:row>
    <x:row r="194" ht="30" customHeight="1">
      <x:c r="A194" s="40" t="str">
        <x:v>FT-SEED-R1B-P-1842-13</x:v>
      </x:c>
      <x:c r="B194" s="19" t="str">
        <x:v>PRIORITY_180</x:v>
      </x:c>
      <x:c r="C194" s="31" t="str">
        <x:v>NOT_EXPOSED_IN_REPORT</x:v>
      </x:c>
      <x:c r="D194" s="31" t="str">
        <x:v>6</x:v>
      </x:c>
      <x:c r="E194" s="19" t="str">
        <x:v>FT-A1842</x:v>
      </x:c>
      <x:c r="F194" s="31" t="str">
        <x:v>meteorological journal</x:v>
      </x:c>
      <x:c r="G194" s="19" t="str">
        <x:v>B</x:v>
      </x:c>
      <x:c r="H194" s="19" t="str">
        <x:v>V1</x:v>
      </x:c>
      <x:c r="I194" s="31" t="str">
        <x:v>S1842-ROSS</x:v>
      </x:c>
      <x:c r="J194" s="19" t="str">
        <x:v>NOT_EXPOSED_IN_REPORT</x:v>
      </x:c>
      <x:c r="K194" s="19" t="str">
        <x:v>PRIORITY_RANK=13;ORIGINAL_ROW_CONFIDENCE_NOT_EXPOSED</x:v>
      </x:c>
      <x:c r="L194" s="19" t="str">
        <x:v>NOT_EXPOSED_IN_REPORT</x:v>
      </x:c>
      <x:c r="M194" s="19" t="str">
        <x:v>PRIORITY_RANK_13</x:v>
      </x:c>
      <x:c r="N194" s="31" t="str">
        <x:v>RECONSTRUCTED_FROM_REPORT</x:v>
      </x:c>
      <x:c r="O194" s="31" t="str">
        <x:v>UNRESOLVED</x:v>
      </x:c>
      <x:c r="P194" s="19" t="str">
        <x:v>Fear of Temperature_ Stratified Lexical Expansion, Voice Mapping, and Semantic-Relational Pre-Valida.pdf</x:v>
      </x:c>
      <x:c r="Q194" s="31" t="str">
        <x:v>RECONSTRUCTED_FROM_REPORT</x:v>
      </x:c>
      <x:c r="R194" s="43" t="str">
        <x:v>New surrogate project ID assigned from the compact report table; never an original later-stage structured candidate ID.</x:v>
      </x:c>
    </x:row>
    <x:row r="195" ht="30" customHeight="1">
      <x:c r="A195" s="40" t="str">
        <x:v>FT-SEED-R1B-P-1842-14</x:v>
      </x:c>
      <x:c r="B195" s="19" t="str">
        <x:v>PRIORITY_180</x:v>
      </x:c>
      <x:c r="C195" s="31" t="str">
        <x:v>NOT_EXPOSED_IN_REPORT</x:v>
      </x:c>
      <x:c r="D195" s="31" t="str">
        <x:v>6</x:v>
      </x:c>
      <x:c r="E195" s="19" t="str">
        <x:v>FT-A1842</x:v>
      </x:c>
      <x:c r="F195" s="31" t="str">
        <x:v>weather</x:v>
      </x:c>
      <x:c r="G195" s="19" t="str">
        <x:v>B</x:v>
      </x:c>
      <x:c r="H195" s="19" t="str">
        <x:v>V1</x:v>
      </x:c>
      <x:c r="I195" s="31" t="str">
        <x:v>S1842-LEICHHARDT-L</x:v>
      </x:c>
      <x:c r="J195" s="19" t="str">
        <x:v>NOT_EXPOSED_IN_REPORT</x:v>
      </x:c>
      <x:c r="K195" s="19" t="str">
        <x:v>PRIORITY_RANK=14;ORIGINAL_ROW_CONFIDENCE_NOT_EXPOSED</x:v>
      </x:c>
      <x:c r="L195" s="19" t="str">
        <x:v>NOT_EXPOSED_IN_REPORT</x:v>
      </x:c>
      <x:c r="M195" s="19" t="str">
        <x:v>PRIORITY_RANK_14</x:v>
      </x:c>
      <x:c r="N195" s="31" t="str">
        <x:v>RECONSTRUCTED_FROM_REPORT</x:v>
      </x:c>
      <x:c r="O195" s="31" t="str">
        <x:v>UNRESOLVED</x:v>
      </x:c>
      <x:c r="P195" s="19" t="str">
        <x:v>Fear of Temperature_ Stratified Lexical Expansion, Voice Mapping, and Semantic-Relational Pre-Valida.pdf</x:v>
      </x:c>
      <x:c r="Q195" s="31" t="str">
        <x:v>RECONSTRUCTED_FROM_REPORT</x:v>
      </x:c>
      <x:c r="R195" s="43" t="str">
        <x:v>New surrogate project ID assigned from the compact report table; never an original later-stage structured candidate ID.</x:v>
      </x:c>
    </x:row>
    <x:row r="196" ht="30" customHeight="1">
      <x:c r="A196" s="40" t="str">
        <x:v>FT-SEED-R1B-P-1842-15</x:v>
      </x:c>
      <x:c r="B196" s="19" t="str">
        <x:v>PRIORITY_180</x:v>
      </x:c>
      <x:c r="C196" s="31" t="str">
        <x:v>NOT_EXPOSED_IN_REPORT</x:v>
      </x:c>
      <x:c r="D196" s="31" t="str">
        <x:v>6</x:v>
      </x:c>
      <x:c r="E196" s="19" t="str">
        <x:v>FT-A1842</x:v>
      </x:c>
      <x:c r="F196" s="31" t="str">
        <x:v>climate</x:v>
      </x:c>
      <x:c r="G196" s="19" t="str">
        <x:v>B</x:v>
      </x:c>
      <x:c r="H196" s="19" t="str">
        <x:v>V1</x:v>
      </x:c>
      <x:c r="I196" s="31" t="str">
        <x:v>S1842-LEICHHARDT-L</x:v>
      </x:c>
      <x:c r="J196" s="19" t="str">
        <x:v>NOT_EXPOSED_IN_REPORT</x:v>
      </x:c>
      <x:c r="K196" s="19" t="str">
        <x:v>PRIORITY_RANK=15;ORIGINAL_ROW_CONFIDENCE_NOT_EXPOSED</x:v>
      </x:c>
      <x:c r="L196" s="19" t="str">
        <x:v>NOT_EXPOSED_IN_REPORT</x:v>
      </x:c>
      <x:c r="M196" s="19" t="str">
        <x:v>PRIORITY_RANK_15</x:v>
      </x:c>
      <x:c r="N196" s="31" t="str">
        <x:v>RECONSTRUCTED_FROM_REPORT</x:v>
      </x:c>
      <x:c r="O196" s="31" t="str">
        <x:v>UNRESOLVED</x:v>
      </x:c>
      <x:c r="P196" s="19" t="str">
        <x:v>Fear of Temperature_ Stratified Lexical Expansion, Voice Mapping, and Semantic-Relational Pre-Valida.pdf</x:v>
      </x:c>
      <x:c r="Q196" s="31" t="str">
        <x:v>RECONSTRUCTED_FROM_REPORT</x:v>
      </x:c>
      <x:c r="R196" s="43" t="str">
        <x:v>New surrogate project ID assigned from the compact report table; never an original later-stage structured candidate ID.</x:v>
      </x:c>
    </x:row>
    <x:row r="197" ht="30" customHeight="1">
      <x:c r="A197" s="40" t="str">
        <x:v>FT-SEED-R1B-P-1842-16</x:v>
      </x:c>
      <x:c r="B197" s="19" t="str">
        <x:v>PRIORITY_180</x:v>
      </x:c>
      <x:c r="C197" s="31" t="str">
        <x:v>NOT_EXPOSED_IN_REPORT</x:v>
      </x:c>
      <x:c r="D197" s="31" t="str">
        <x:v>6</x:v>
      </x:c>
      <x:c r="E197" s="19" t="str">
        <x:v>FT-A1842</x:v>
      </x:c>
      <x:c r="F197" s="31" t="str">
        <x:v>sun's heat</x:v>
      </x:c>
      <x:c r="G197" s="19" t="str">
        <x:v>A</x:v>
      </x:c>
      <x:c r="H197" s="19" t="str">
        <x:v>V1</x:v>
      </x:c>
      <x:c r="I197" s="31" t="str">
        <x:v>S1842-ROSS</x:v>
      </x:c>
      <x:c r="J197" s="19" t="str">
        <x:v>NOT_EXPOSED_IN_REPORT</x:v>
      </x:c>
      <x:c r="K197" s="19" t="str">
        <x:v>PRIORITY_RANK=16;ORIGINAL_ROW_CONFIDENCE_NOT_EXPOSED</x:v>
      </x:c>
      <x:c r="L197" s="19" t="str">
        <x:v>NOT_EXPOSED_IN_REPORT</x:v>
      </x:c>
      <x:c r="M197" s="19" t="str">
        <x:v>PRIORITY_RANK_16</x:v>
      </x:c>
      <x:c r="N197" s="31" t="str">
        <x:v>RECONSTRUCTED_FROM_REPORT</x:v>
      </x:c>
      <x:c r="O197" s="31" t="str">
        <x:v>UNRESOLVED</x:v>
      </x:c>
      <x:c r="P197" s="19" t="str">
        <x:v>Fear of Temperature_ Stratified Lexical Expansion, Voice Mapping, and Semantic-Relational Pre-Valida.pdf</x:v>
      </x:c>
      <x:c r="Q197" s="31" t="str">
        <x:v>RECONSTRUCTED_FROM_REPORT</x:v>
      </x:c>
      <x:c r="R197" s="43" t="str">
        <x:v>New surrogate project ID assigned from the compact report table; never an original later-stage structured candidate ID.</x:v>
      </x:c>
    </x:row>
    <x:row r="198" ht="30" customHeight="1">
      <x:c r="A198" s="40" t="str">
        <x:v>FT-SEED-R1B-P-1842-17</x:v>
      </x:c>
      <x:c r="B198" s="19" t="str">
        <x:v>PRIORITY_180</x:v>
      </x:c>
      <x:c r="C198" s="31" t="str">
        <x:v>NOT_EXPOSED_IN_REPORT</x:v>
      </x:c>
      <x:c r="D198" s="31" t="str">
        <x:v>6</x:v>
      </x:c>
      <x:c r="E198" s="19" t="str">
        <x:v>FT-A1842</x:v>
      </x:c>
      <x:c r="F198" s="31" t="str">
        <x:v>radiation of the heat</x:v>
      </x:c>
      <x:c r="G198" s="19" t="str">
        <x:v>B</x:v>
      </x:c>
      <x:c r="H198" s="19" t="str">
        <x:v>V1</x:v>
      </x:c>
      <x:c r="I198" s="31" t="str">
        <x:v>S1842-ROSS</x:v>
      </x:c>
      <x:c r="J198" s="19" t="str">
        <x:v>NOT_EXPOSED_IN_REPORT</x:v>
      </x:c>
      <x:c r="K198" s="19" t="str">
        <x:v>PRIORITY_RANK=17;ORIGINAL_ROW_CONFIDENCE_NOT_EXPOSED</x:v>
      </x:c>
      <x:c r="L198" s="19" t="str">
        <x:v>NOT_EXPOSED_IN_REPORT</x:v>
      </x:c>
      <x:c r="M198" s="19" t="str">
        <x:v>PRIORITY_RANK_17</x:v>
      </x:c>
      <x:c r="N198" s="31" t="str">
        <x:v>RECONSTRUCTED_FROM_REPORT</x:v>
      </x:c>
      <x:c r="O198" s="31" t="str">
        <x:v>UNRESOLVED</x:v>
      </x:c>
      <x:c r="P198" s="19" t="str">
        <x:v>Fear of Temperature_ Stratified Lexical Expansion, Voice Mapping, and Semantic-Relational Pre-Valida.pdf</x:v>
      </x:c>
      <x:c r="Q198" s="31" t="str">
        <x:v>RECONSTRUCTED_FROM_REPORT</x:v>
      </x:c>
      <x:c r="R198" s="43" t="str">
        <x:v>New surrogate project ID assigned from the compact report table; never an original later-stage structured candidate ID.</x:v>
      </x:c>
    </x:row>
    <x:row r="199" ht="30" customHeight="1">
      <x:c r="A199" s="40" t="str">
        <x:v>FT-SEED-R1B-P-1842-21</x:v>
      </x:c>
      <x:c r="B199" s="19" t="str">
        <x:v>PRIORITY_180</x:v>
      </x:c>
      <x:c r="C199" s="31" t="str">
        <x:v>NOT_EXPOSED_IN_REPORT</x:v>
      </x:c>
      <x:c r="D199" s="31" t="str">
        <x:v>6</x:v>
      </x:c>
      <x:c r="E199" s="19" t="str">
        <x:v>FT-A1842</x:v>
      </x:c>
      <x:c r="F199" s="31" t="str">
        <x:v>heat of the irons</x:v>
      </x:c>
      <x:c r="G199" s="19" t="str">
        <x:v>A</x:v>
      </x:c>
      <x:c r="H199" s="19" t="str">
        <x:v>V5</x:v>
      </x:c>
      <x:c r="I199" s="31" t="str">
        <x:v>S1842-CHADWICK</x:v>
      </x:c>
      <x:c r="J199" s="19" t="str">
        <x:v>NOT_EXPOSED_IN_REPORT</x:v>
      </x:c>
      <x:c r="K199" s="19" t="str">
        <x:v>PRIORITY_RANK=21;ORIGINAL_ROW_CONFIDENCE_NOT_EXPOSED</x:v>
      </x:c>
      <x:c r="L199" s="19" t="str">
        <x:v>NOT_EXPOSED_IN_REPORT</x:v>
      </x:c>
      <x:c r="M199" s="19" t="str">
        <x:v>PRIORITY_RANK_21</x:v>
      </x:c>
      <x:c r="N199" s="31" t="str">
        <x:v>RECONSTRUCTED_FROM_REPORT</x:v>
      </x:c>
      <x:c r="O199" s="31" t="str">
        <x:v>UNRESOLVED</x:v>
      </x:c>
      <x:c r="P199" s="19" t="str">
        <x:v>Fear of Temperature_ Stratified Lexical Expansion, Voice Mapping, and Semantic-Relational Pre-Valida.pdf</x:v>
      </x:c>
      <x:c r="Q199" s="31" t="str">
        <x:v>RECONSTRUCTED_FROM_REPORT</x:v>
      </x:c>
      <x:c r="R199" s="43" t="str">
        <x:v>New surrogate project ID assigned from the compact report table; never an original later-stage structured candidate ID.</x:v>
      </x:c>
    </x:row>
    <x:row r="200" ht="30" customHeight="1">
      <x:c r="A200" s="40" t="str">
        <x:v>FT-SEED-R1B-P-1842-22</x:v>
      </x:c>
      <x:c r="B200" s="19" t="str">
        <x:v>PRIORITY_180</x:v>
      </x:c>
      <x:c r="C200" s="31" t="str">
        <x:v>NOT_EXPOSED_IN_REPORT</x:v>
      </x:c>
      <x:c r="D200" s="31" t="str">
        <x:v>6</x:v>
      </x:c>
      <x:c r="E200" s="19" t="str">
        <x:v>FT-A1842</x:v>
      </x:c>
      <x:c r="F200" s="31" t="str">
        <x:v>most suffocating</x:v>
      </x:c>
      <x:c r="G200" s="19" t="str">
        <x:v>D</x:v>
      </x:c>
      <x:c r="H200" s="19" t="str">
        <x:v>V5</x:v>
      </x:c>
      <x:c r="I200" s="31" t="str">
        <x:v>S1842-CHADWICK</x:v>
      </x:c>
      <x:c r="J200" s="19" t="str">
        <x:v>NOT_EXPOSED_IN_REPORT</x:v>
      </x:c>
      <x:c r="K200" s="19" t="str">
        <x:v>PRIORITY_RANK=22;ORIGINAL_ROW_CONFIDENCE_NOT_EXPOSED</x:v>
      </x:c>
      <x:c r="L200" s="19" t="str">
        <x:v>NOT_EXPOSED_IN_REPORT</x:v>
      </x:c>
      <x:c r="M200" s="19" t="str">
        <x:v>PRIORITY_RANK_22</x:v>
      </x:c>
      <x:c r="N200" s="31" t="str">
        <x:v>RECONSTRUCTED_FROM_REPORT</x:v>
      </x:c>
      <x:c r="O200" s="31" t="str">
        <x:v>UNRESOLVED</x:v>
      </x:c>
      <x:c r="P200" s="19" t="str">
        <x:v>Fear of Temperature_ Stratified Lexical Expansion, Voice Mapping, and Semantic-Relational Pre-Valida.pdf</x:v>
      </x:c>
      <x:c r="Q200" s="31" t="str">
        <x:v>RECONSTRUCTED_FROM_REPORT</x:v>
      </x:c>
      <x:c r="R200" s="43" t="str">
        <x:v>New surrogate project ID assigned from the compact report table; never an original later-stage structured candidate ID.</x:v>
      </x:c>
    </x:row>
    <x:row r="201" ht="30" customHeight="1">
      <x:c r="A201" s="40" t="str">
        <x:v>FT-SEED-R1B-P-1842-23</x:v>
      </x:c>
      <x:c r="B201" s="19" t="str">
        <x:v>PRIORITY_180</x:v>
      </x:c>
      <x:c r="C201" s="31" t="str">
        <x:v>NOT_EXPOSED_IN_REPORT</x:v>
      </x:c>
      <x:c r="D201" s="31" t="str">
        <x:v>6</x:v>
      </x:c>
      <x:c r="E201" s="19" t="str">
        <x:v>FT-A1842</x:v>
      </x:c>
      <x:c r="F201" s="31" t="str">
        <x:v>faint away</x:v>
      </x:c>
      <x:c r="G201" s="19" t="str">
        <x:v>D</x:v>
      </x:c>
      <x:c r="H201" s="19" t="str">
        <x:v>V5</x:v>
      </x:c>
      <x:c r="I201" s="31" t="str">
        <x:v>S1842-CHADWICK</x:v>
      </x:c>
      <x:c r="J201" s="19" t="str">
        <x:v>NOT_EXPOSED_IN_REPORT</x:v>
      </x:c>
      <x:c r="K201" s="19" t="str">
        <x:v>PRIORITY_RANK=23;ORIGINAL_ROW_CONFIDENCE_NOT_EXPOSED</x:v>
      </x:c>
      <x:c r="L201" s="19" t="str">
        <x:v>NOT_EXPOSED_IN_REPORT</x:v>
      </x:c>
      <x:c r="M201" s="19" t="str">
        <x:v>PRIORITY_RANK_23</x:v>
      </x:c>
      <x:c r="N201" s="31" t="str">
        <x:v>RECONSTRUCTED_FROM_REPORT</x:v>
      </x:c>
      <x:c r="O201" s="31" t="str">
        <x:v>UNRESOLVED</x:v>
      </x:c>
      <x:c r="P201" s="19" t="str">
        <x:v>Fear of Temperature_ Stratified Lexical Expansion, Voice Mapping, and Semantic-Relational Pre-Valida.pdf</x:v>
      </x:c>
      <x:c r="Q201" s="31" t="str">
        <x:v>RECONSTRUCTED_FROM_REPORT</x:v>
      </x:c>
      <x:c r="R201" s="43" t="str">
        <x:v>New surrogate project ID assigned from the compact report table; never an original later-stage structured candidate ID.</x:v>
      </x:c>
    </x:row>
    <x:row r="202" ht="30" customHeight="1">
      <x:c r="A202" s="40" t="str">
        <x:v>FT-SEED-R1B-P-1842-24</x:v>
      </x:c>
      <x:c r="B202" s="19" t="str">
        <x:v>PRIORITY_180</x:v>
      </x:c>
      <x:c r="C202" s="31" t="str">
        <x:v>NOT_EXPOSED_IN_REPORT</x:v>
      </x:c>
      <x:c r="D202" s="31" t="str">
        <x:v>6</x:v>
      </x:c>
      <x:c r="E202" s="19" t="str">
        <x:v>FT-A1842</x:v>
      </x:c>
      <x:c r="F202" s="31" t="str">
        <x:v>perspiration</x:v>
      </x:c>
      <x:c r="G202" s="19" t="str">
        <x:v>D</x:v>
      </x:c>
      <x:c r="H202" s="19" t="str">
        <x:v>V5</x:v>
      </x:c>
      <x:c r="I202" s="31" t="str">
        <x:v>S1842-CHADWICK</x:v>
      </x:c>
      <x:c r="J202" s="19" t="str">
        <x:v>NOT_EXPOSED_IN_REPORT</x:v>
      </x:c>
      <x:c r="K202" s="19" t="str">
        <x:v>PRIORITY_RANK=24;ORIGINAL_ROW_CONFIDENCE_NOT_EXPOSED</x:v>
      </x:c>
      <x:c r="L202" s="19" t="str">
        <x:v>NOT_EXPOSED_IN_REPORT</x:v>
      </x:c>
      <x:c r="M202" s="19" t="str">
        <x:v>PRIORITY_RANK_24</x:v>
      </x:c>
      <x:c r="N202" s="31" t="str">
        <x:v>RECONSTRUCTED_FROM_REPORT</x:v>
      </x:c>
      <x:c r="O202" s="31" t="str">
        <x:v>UNRESOLVED</x:v>
      </x:c>
      <x:c r="P202" s="19" t="str">
        <x:v>Fear of Temperature_ Stratified Lexical Expansion, Voice Mapping, and Semantic-Relational Pre-Valida.pdf</x:v>
      </x:c>
      <x:c r="Q202" s="31" t="str">
        <x:v>RECONSTRUCTED_FROM_REPORT</x:v>
      </x:c>
      <x:c r="R202" s="43" t="str">
        <x:v>New surrogate project ID assigned from the compact report table; never an original later-stage structured candidate ID.</x:v>
      </x:c>
    </x:row>
    <x:row r="203" ht="30" customHeight="1">
      <x:c r="A203" s="40" t="str">
        <x:v>FT-SEED-R1B-P-1842-25</x:v>
      </x:c>
      <x:c r="B203" s="19" t="str">
        <x:v>PRIORITY_180</x:v>
      </x:c>
      <x:c r="C203" s="31" t="str">
        <x:v>NOT_EXPOSED_IN_REPORT</x:v>
      </x:c>
      <x:c r="D203" s="31" t="str">
        <x:v>6</x:v>
      </x:c>
      <x:c r="E203" s="19" t="str">
        <x:v>FT-A1842</x:v>
      </x:c>
      <x:c r="F203" s="31" t="str">
        <x:v>depressing effect</x:v>
      </x:c>
      <x:c r="G203" s="19" t="str">
        <x:v>C</x:v>
      </x:c>
      <x:c r="H203" s="19" t="str">
        <x:v>V5</x:v>
      </x:c>
      <x:c r="I203" s="31" t="str">
        <x:v>S1842-CHADWICK</x:v>
      </x:c>
      <x:c r="J203" s="19" t="str">
        <x:v>E3</x:v>
      </x:c>
      <x:c r="K203" s="19" t="str">
        <x:v>PRIORITY_RANK=25;ORIGINAL_ROW_CONFIDENCE_NOT_EXPOSED</x:v>
      </x:c>
      <x:c r="L203" s="19" t="str">
        <x:v>NOT_EXPOSED_IN_REPORT</x:v>
      </x:c>
      <x:c r="M203" s="19" t="str">
        <x:v>PRIORITY_RANK_25</x:v>
      </x:c>
      <x:c r="N203" s="31" t="str">
        <x:v>RECONSTRUCTED_FROM_REPORT</x:v>
      </x:c>
      <x:c r="O203" s="31" t="str">
        <x:v>UNRESOLVED</x:v>
      </x:c>
      <x:c r="P203" s="19" t="str">
        <x:v>Fear of Temperature_ Stratified Lexical Expansion, Voice Mapping, and Semantic-Relational Pre-Valida.pdf</x:v>
      </x:c>
      <x:c r="Q203" s="31" t="str">
        <x:v>RECONSTRUCTED_FROM_REPORT</x:v>
      </x:c>
      <x:c r="R203" s="43" t="str">
        <x:v>New surrogate project ID assigned from the compact report table; never an original later-stage structured candidate ID.</x:v>
      </x:c>
    </x:row>
    <x:row r="204" ht="30" customHeight="1">
      <x:c r="A204" s="40" t="str">
        <x:v>FT-SEED-R1B-P-1842-26</x:v>
      </x:c>
      <x:c r="B204" s="19" t="str">
        <x:v>PRIORITY_180</x:v>
      </x:c>
      <x:c r="C204" s="31" t="str">
        <x:v>NOT_EXPOSED_IN_REPORT</x:v>
      </x:c>
      <x:c r="D204" s="31" t="str">
        <x:v>6</x:v>
      </x:c>
      <x:c r="E204" s="19" t="str">
        <x:v>FT-A1842</x:v>
      </x:c>
      <x:c r="F204" s="31" t="str">
        <x:v>complain of the heat</x:v>
      </x:c>
      <x:c r="G204" s="19" t="str">
        <x:v>C</x:v>
      </x:c>
      <x:c r="H204" s="19" t="str">
        <x:v>V5</x:v>
      </x:c>
      <x:c r="I204" s="31" t="str">
        <x:v>S1842-CHADWICK</x:v>
      </x:c>
      <x:c r="J204" s="19" t="str">
        <x:v>NOT_EXPOSED_IN_REPORT</x:v>
      </x:c>
      <x:c r="K204" s="19" t="str">
        <x:v>PRIORITY_RANK=26;ORIGINAL_ROW_CONFIDENCE_NOT_EXPOSED</x:v>
      </x:c>
      <x:c r="L204" s="19" t="str">
        <x:v>NOT_EXPOSED_IN_REPORT</x:v>
      </x:c>
      <x:c r="M204" s="19" t="str">
        <x:v>PRIORITY_RANK_26</x:v>
      </x:c>
      <x:c r="N204" s="31" t="str">
        <x:v>RECONSTRUCTED_FROM_REPORT</x:v>
      </x:c>
      <x:c r="O204" s="31" t="str">
        <x:v>UNRESOLVED</x:v>
      </x:c>
      <x:c r="P204" s="19" t="str">
        <x:v>Fear of Temperature_ Stratified Lexical Expansion, Voice Mapping, and Semantic-Relational Pre-Valida.pdf</x:v>
      </x:c>
      <x:c r="Q204" s="31" t="str">
        <x:v>RECONSTRUCTED_FROM_REPORT</x:v>
      </x:c>
      <x:c r="R204" s="43" t="str">
        <x:v>New surrogate project ID assigned from the compact report table; never an original later-stage structured candidate ID.</x:v>
      </x:c>
    </x:row>
    <x:row r="205" ht="30" customHeight="1">
      <x:c r="A205" s="40" t="str">
        <x:v>FT-SEED-R1B-P-1842-27</x:v>
      </x:c>
      <x:c r="B205" s="19" t="str">
        <x:v>PRIORITY_180</x:v>
      </x:c>
      <x:c r="C205" s="31" t="str">
        <x:v>NOT_EXPOSED_IN_REPORT</x:v>
      </x:c>
      <x:c r="D205" s="31" t="str">
        <x:v>6</x:v>
      </x:c>
      <x:c r="E205" s="19" t="str">
        <x:v>FT-A1842</x:v>
      </x:c>
      <x:c r="F205" s="31" t="str">
        <x:v>premature heat of the weather</x:v>
      </x:c>
      <x:c r="G205" s="19" t="str">
        <x:v>A</x:v>
      </x:c>
      <x:c r="H205" s="19" t="str">
        <x:v>V5</x:v>
      </x:c>
      <x:c r="I205" s="31" t="str">
        <x:v>S1842-DICKENS</x:v>
      </x:c>
      <x:c r="J205" s="19" t="str">
        <x:v>NOT_EXPOSED_IN_REPORT</x:v>
      </x:c>
      <x:c r="K205" s="19" t="str">
        <x:v>PRIORITY_RANK=27;ORIGINAL_ROW_CONFIDENCE_NOT_EXPOSED</x:v>
      </x:c>
      <x:c r="L205" s="19" t="str">
        <x:v>NOT_EXPOSED_IN_REPORT</x:v>
      </x:c>
      <x:c r="M205" s="19" t="str">
        <x:v>PRIORITY_RANK_27</x:v>
      </x:c>
      <x:c r="N205" s="31" t="str">
        <x:v>RECONSTRUCTED_FROM_REPORT</x:v>
      </x:c>
      <x:c r="O205" s="31" t="str">
        <x:v>UNRESOLVED</x:v>
      </x:c>
      <x:c r="P205" s="19" t="str">
        <x:v>Fear of Temperature_ Stratified Lexical Expansion, Voice Mapping, and Semantic-Relational Pre-Valida.pdf</x:v>
      </x:c>
      <x:c r="Q205" s="31" t="str">
        <x:v>RECONSTRUCTED_FROM_REPORT</x:v>
      </x:c>
      <x:c r="R205" s="43" t="str">
        <x:v>New surrogate project ID assigned from the compact report table; never an original later-stage structured candidate ID.</x:v>
      </x:c>
    </x:row>
    <x:row r="206" ht="30" customHeight="1">
      <x:c r="A206" s="40" t="str">
        <x:v>FT-SEED-R1B-P-1842-08</x:v>
      </x:c>
      <x:c r="B206" s="19" t="str">
        <x:v>PRIORITY_180</x:v>
      </x:c>
      <x:c r="C206" s="31" t="str">
        <x:v>NOT_EXPOSED_IN_REPORT</x:v>
      </x:c>
      <x:c r="D206" s="31" t="str">
        <x:v>7</x:v>
      </x:c>
      <x:c r="E206" s="19" t="str">
        <x:v>FT-A1842</x:v>
      </x:c>
      <x:c r="F206" s="31" t="str">
        <x:v>standard thermometer</x:v>
      </x:c>
      <x:c r="G206" s="19" t="str">
        <x:v>A</x:v>
      </x:c>
      <x:c r="H206" s="19" t="str">
        <x:v>V1</x:v>
      </x:c>
      <x:c r="I206" s="31" t="str">
        <x:v>S1842-RS-COLABA</x:v>
      </x:c>
      <x:c r="J206" s="19" t="str">
        <x:v>NOT_EXPOSED_IN_REPORT</x:v>
      </x:c>
      <x:c r="K206" s="19" t="str">
        <x:v>PRIORITY_RANK=8;ORIGINAL_ROW_CONFIDENCE_NOT_EXPOSED</x:v>
      </x:c>
      <x:c r="L206" s="19" t="str">
        <x:v>NOT_EXPOSED_IN_REPORT</x:v>
      </x:c>
      <x:c r="M206" s="19" t="str">
        <x:v>PRIORITY_RANK_08</x:v>
      </x:c>
      <x:c r="N206" s="31" t="str">
        <x:v>RECONSTRUCTED_FROM_REPORT</x:v>
      </x:c>
      <x:c r="O206" s="31" t="str">
        <x:v>UNRESOLVED</x:v>
      </x:c>
      <x:c r="P206" s="19" t="str">
        <x:v>Fear of Temperature_ Stratified Lexical Expansion, Voice Mapping, and Semantic-Relational Pre-Valida.pdf</x:v>
      </x:c>
      <x:c r="Q206" s="31" t="str">
        <x:v>RECONSTRUCTED_FROM_REPORT</x:v>
      </x:c>
      <x:c r="R206" s="43" t="str">
        <x:v>New surrogate project ID assigned from the compact report table; never an original later-stage structured candidate ID.</x:v>
      </x:c>
    </x:row>
    <x:row r="207" ht="30" customHeight="1">
      <x:c r="A207" s="40" t="str">
        <x:v>FT-SEED-R1B-P-1842-09</x:v>
      </x:c>
      <x:c r="B207" s="19" t="str">
        <x:v>PRIORITY_180</x:v>
      </x:c>
      <x:c r="C207" s="31" t="str">
        <x:v>NOT_EXPOSED_IN_REPORT</x:v>
      </x:c>
      <x:c r="D207" s="31" t="str">
        <x:v>7</x:v>
      </x:c>
      <x:c r="E207" s="19" t="str">
        <x:v>FT-A1842</x:v>
      </x:c>
      <x:c r="F207" s="31" t="str">
        <x:v>attached thermometer</x:v>
      </x:c>
      <x:c r="G207" s="19" t="str">
        <x:v>A</x:v>
      </x:c>
      <x:c r="H207" s="19" t="str">
        <x:v>V1</x:v>
      </x:c>
      <x:c r="I207" s="31" t="str">
        <x:v>S1842-RS-COLABA</x:v>
      </x:c>
      <x:c r="J207" s="19" t="str">
        <x:v>NOT_EXPOSED_IN_REPORT</x:v>
      </x:c>
      <x:c r="K207" s="19" t="str">
        <x:v>PRIORITY_RANK=9;ORIGINAL_ROW_CONFIDENCE_NOT_EXPOSED</x:v>
      </x:c>
      <x:c r="L207" s="19" t="str">
        <x:v>NOT_EXPOSED_IN_REPORT</x:v>
      </x:c>
      <x:c r="M207" s="19" t="str">
        <x:v>PRIORITY_RANK_09</x:v>
      </x:c>
      <x:c r="N207" s="31" t="str">
        <x:v>RECONSTRUCTED_FROM_REPORT</x:v>
      </x:c>
      <x:c r="O207" s="31" t="str">
        <x:v>UNRESOLVED</x:v>
      </x:c>
      <x:c r="P207" s="19" t="str">
        <x:v>Fear of Temperature_ Stratified Lexical Expansion, Voice Mapping, and Semantic-Relational Pre-Valida.pdf</x:v>
      </x:c>
      <x:c r="Q207" s="31" t="str">
        <x:v>RECONSTRUCTED_FROM_REPORT</x:v>
      </x:c>
      <x:c r="R207" s="43" t="str">
        <x:v>New surrogate project ID assigned from the compact report table; never an original later-stage structured candidate ID.</x:v>
      </x:c>
    </x:row>
    <x:row r="208" ht="30" customHeight="1">
      <x:c r="A208" s="40" t="str">
        <x:v>FT-SEED-R1B-P-1842-10</x:v>
      </x:c>
      <x:c r="B208" s="19" t="str">
        <x:v>PRIORITY_180</x:v>
      </x:c>
      <x:c r="C208" s="31" t="str">
        <x:v>NOT_EXPOSED_IN_REPORT</x:v>
      </x:c>
      <x:c r="D208" s="31" t="str">
        <x:v>7</x:v>
      </x:c>
      <x:c r="E208" s="19" t="str">
        <x:v>FT-A1842</x:v>
      </x:c>
      <x:c r="F208" s="31" t="str">
        <x:v>dry bulb thermometer</x:v>
      </x:c>
      <x:c r="G208" s="19" t="str">
        <x:v>A</x:v>
      </x:c>
      <x:c r="H208" s="19" t="str">
        <x:v>V1</x:v>
      </x:c>
      <x:c r="I208" s="31" t="str">
        <x:v>S1842-RS-COLABA</x:v>
      </x:c>
      <x:c r="J208" s="19" t="str">
        <x:v>NOT_EXPOSED_IN_REPORT</x:v>
      </x:c>
      <x:c r="K208" s="19" t="str">
        <x:v>PRIORITY_RANK=10;ORIGINAL_ROW_CONFIDENCE_NOT_EXPOSED</x:v>
      </x:c>
      <x:c r="L208" s="19" t="str">
        <x:v>NOT_EXPOSED_IN_REPORT</x:v>
      </x:c>
      <x:c r="M208" s="19" t="str">
        <x:v>PRIORITY_RANK_10</x:v>
      </x:c>
      <x:c r="N208" s="31" t="str">
        <x:v>RECONSTRUCTED_FROM_REPORT</x:v>
      </x:c>
      <x:c r="O208" s="31" t="str">
        <x:v>UNRESOLVED</x:v>
      </x:c>
      <x:c r="P208" s="19" t="str">
        <x:v>Fear of Temperature_ Stratified Lexical Expansion, Voice Mapping, and Semantic-Relational Pre-Valida.pdf</x:v>
      </x:c>
      <x:c r="Q208" s="31" t="str">
        <x:v>RECONSTRUCTED_FROM_REPORT</x:v>
      </x:c>
      <x:c r="R208" s="43" t="str">
        <x:v>New surrogate project ID assigned from the compact report table; never an original later-stage structured candidate ID.</x:v>
      </x:c>
    </x:row>
    <x:row r="209" ht="30" customHeight="1">
      <x:c r="A209" s="40" t="str">
        <x:v>FT-SEED-R1B-P-1842-18</x:v>
      </x:c>
      <x:c r="B209" s="19" t="str">
        <x:v>PRIORITY_180</x:v>
      </x:c>
      <x:c r="C209" s="31" t="str">
        <x:v>NOT_EXPOSED_IN_REPORT</x:v>
      </x:c>
      <x:c r="D209" s="31" t="str">
        <x:v>7</x:v>
      </x:c>
      <x:c r="E209" s="19" t="str">
        <x:v>FT-A1842</x:v>
      </x:c>
      <x:c r="F209" s="31" t="str">
        <x:v>changes of temperature</x:v>
      </x:c>
      <x:c r="G209" s="19" t="str">
        <x:v>A</x:v>
      </x:c>
      <x:c r="H209" s="19" t="str">
        <x:v>V2</x:v>
      </x:c>
      <x:c r="I209" s="31" t="str">
        <x:v>S1842-CHADWICK</x:v>
      </x:c>
      <x:c r="J209" s="19" t="str">
        <x:v>NOT_EXPOSED_IN_REPORT</x:v>
      </x:c>
      <x:c r="K209" s="19" t="str">
        <x:v>PRIORITY_RANK=18;ORIGINAL_ROW_CONFIDENCE_NOT_EXPOSED</x:v>
      </x:c>
      <x:c r="L209" s="19" t="str">
        <x:v>NOT_EXPOSED_IN_REPORT</x:v>
      </x:c>
      <x:c r="M209" s="19" t="str">
        <x:v>PRIORITY_RANK_18</x:v>
      </x:c>
      <x:c r="N209" s="31" t="str">
        <x:v>RECONSTRUCTED_FROM_REPORT</x:v>
      </x:c>
      <x:c r="O209" s="31" t="str">
        <x:v>UNRESOLVED</x:v>
      </x:c>
      <x:c r="P209" s="19" t="str">
        <x:v>Fear of Temperature_ Stratified Lexical Expansion, Voice Mapping, and Semantic-Relational Pre-Valida.pdf</x:v>
      </x:c>
      <x:c r="Q209" s="31" t="str">
        <x:v>RECONSTRUCTED_FROM_REPORT</x:v>
      </x:c>
      <x:c r="R209" s="43" t="str">
        <x:v>New surrogate project ID assigned from the compact report table; never an original later-stage structured candidate ID.</x:v>
      </x:c>
    </x:row>
    <x:row r="210" ht="30" customHeight="1">
      <x:c r="A210" s="40" t="str">
        <x:v>FT-SEED-R1B-P-1842-19</x:v>
      </x:c>
      <x:c r="B210" s="19" t="str">
        <x:v>PRIORITY_180</x:v>
      </x:c>
      <x:c r="C210" s="31" t="str">
        <x:v>NOT_EXPOSED_IN_REPORT</x:v>
      </x:c>
      <x:c r="D210" s="31" t="str">
        <x:v>7</x:v>
      </x:c>
      <x:c r="E210" s="19" t="str">
        <x:v>FT-A1842</x:v>
      </x:c>
      <x:c r="F210" s="31" t="str">
        <x:v>excessive heat</x:v>
      </x:c>
      <x:c r="G210" s="19" t="str">
        <x:v>D</x:v>
      </x:c>
      <x:c r="H210" s="19" t="str">
        <x:v>V5</x:v>
      </x:c>
      <x:c r="I210" s="31" t="str">
        <x:v>S1842-CHADWICK</x:v>
      </x:c>
      <x:c r="J210" s="19" t="str">
        <x:v>NOT_EXPOSED_IN_REPORT</x:v>
      </x:c>
      <x:c r="K210" s="19" t="str">
        <x:v>PRIORITY_RANK=19;ORIGINAL_ROW_CONFIDENCE_NOT_EXPOSED</x:v>
      </x:c>
      <x:c r="L210" s="19" t="str">
        <x:v>NOT_EXPOSED_IN_REPORT</x:v>
      </x:c>
      <x:c r="M210" s="19" t="str">
        <x:v>PRIORITY_RANK_19</x:v>
      </x:c>
      <x:c r="N210" s="31" t="str">
        <x:v>RECONSTRUCTED_FROM_REPORT</x:v>
      </x:c>
      <x:c r="O210" s="31" t="str">
        <x:v>UNRESOLVED</x:v>
      </x:c>
      <x:c r="P210" s="19" t="str">
        <x:v>Fear of Temperature_ Stratified Lexical Expansion, Voice Mapping, and Semantic-Relational Pre-Valida.pdf</x:v>
      </x:c>
      <x:c r="Q210" s="31" t="str">
        <x:v>RECONSTRUCTED_FROM_REPORT</x:v>
      </x:c>
      <x:c r="R210" s="43" t="str">
        <x:v>New surrogate project ID assigned from the compact report table; never an original later-stage structured candidate ID.</x:v>
      </x:c>
    </x:row>
    <x:row r="211" ht="30" customHeight="1">
      <x:c r="A211" s="40" t="str">
        <x:v>FT-SEED-R1B-P-1842-20</x:v>
      </x:c>
      <x:c r="B211" s="19" t="str">
        <x:v>PRIORITY_180</x:v>
      </x:c>
      <x:c r="C211" s="31" t="str">
        <x:v>NOT_EXPOSED_IN_REPORT</x:v>
      </x:c>
      <x:c r="D211" s="31" t="str">
        <x:v>7</x:v>
      </x:c>
      <x:c r="E211" s="19" t="str">
        <x:v>FT-A1842</x:v>
      </x:c>
      <x:c r="F211" s="31" t="str">
        <x:v>heat of the men</x:v>
      </x:c>
      <x:c r="G211" s="19" t="str">
        <x:v>A</x:v>
      </x:c>
      <x:c r="H211" s="19" t="str">
        <x:v>V5</x:v>
      </x:c>
      <x:c r="I211" s="31" t="str">
        <x:v>S1842-CHADWICK</x:v>
      </x:c>
      <x:c r="J211" s="19" t="str">
        <x:v>NOT_EXPOSED_IN_REPORT</x:v>
      </x:c>
      <x:c r="K211" s="19" t="str">
        <x:v>PRIORITY_RANK=20;ORIGINAL_ROW_CONFIDENCE_NOT_EXPOSED</x:v>
      </x:c>
      <x:c r="L211" s="19" t="str">
        <x:v>NOT_EXPOSED_IN_REPORT</x:v>
      </x:c>
      <x:c r="M211" s="19" t="str">
        <x:v>PRIORITY_RANK_20</x:v>
      </x:c>
      <x:c r="N211" s="31" t="str">
        <x:v>RECONSTRUCTED_FROM_REPORT</x:v>
      </x:c>
      <x:c r="O211" s="31" t="str">
        <x:v>UNRESOLVED</x:v>
      </x:c>
      <x:c r="P211" s="19" t="str">
        <x:v>Fear of Temperature_ Stratified Lexical Expansion, Voice Mapping, and Semantic-Relational Pre-Valida.pdf</x:v>
      </x:c>
      <x:c r="Q211" s="31" t="str">
        <x:v>RECONSTRUCTED_FROM_REPORT</x:v>
      </x:c>
      <x:c r="R211" s="43" t="str">
        <x:v>New surrogate project ID assigned from the compact report table; never an original later-stage structured candidate ID.</x:v>
      </x:c>
    </x:row>
    <x:row r="212" ht="30" customHeight="1">
      <x:c r="A212" s="40" t="str">
        <x:v>FT-SEED-R1B-P-1842-28</x:v>
      </x:c>
      <x:c r="B212" s="19" t="str">
        <x:v>PRIORITY_180</x:v>
      </x:c>
      <x:c r="C212" s="31" t="str">
        <x:v>NOT_EXPOSED_IN_REPORT</x:v>
      </x:c>
      <x:c r="D212" s="31" t="str">
        <x:v>7</x:v>
      </x:c>
      <x:c r="E212" s="19" t="str">
        <x:v>FT-A1842</x:v>
      </x:c>
      <x:c r="F212" s="31" t="str">
        <x:v>suffered more from cold than from heat</x:v>
      </x:c>
      <x:c r="G212" s="19" t="str">
        <x:v>D</x:v>
      </x:c>
      <x:c r="H212" s="19" t="str">
        <x:v>V1</x:v>
      </x:c>
      <x:c r="I212" s="31" t="str">
        <x:v>S1842-LEICHHARDT-L</x:v>
      </x:c>
      <x:c r="J212" s="19" t="str">
        <x:v>NOT_EXPOSED_IN_REPORT</x:v>
      </x:c>
      <x:c r="K212" s="19" t="str">
        <x:v>PRIORITY_RANK=28;ORIGINAL_ROW_CONFIDENCE_NOT_EXPOSED</x:v>
      </x:c>
      <x:c r="L212" s="19" t="str">
        <x:v>NOT_EXPOSED_IN_REPORT</x:v>
      </x:c>
      <x:c r="M212" s="19" t="str">
        <x:v>PRIORITY_RANK_28</x:v>
      </x:c>
      <x:c r="N212" s="31" t="str">
        <x:v>RECONSTRUCTED_FROM_REPORT</x:v>
      </x:c>
      <x:c r="O212" s="31" t="str">
        <x:v>UNRESOLVED</x:v>
      </x:c>
      <x:c r="P212" s="19" t="str">
        <x:v>Fear of Temperature_ Stratified Lexical Expansion, Voice Mapping, and Semantic-Relational Pre-Valida.pdf</x:v>
      </x:c>
      <x:c r="Q212" s="31" t="str">
        <x:v>RECONSTRUCTED_FROM_REPORT</x:v>
      </x:c>
      <x:c r="R212" s="43" t="str">
        <x:v>New surrogate project ID assigned from the compact report table; never an original later-stage structured candidate ID.</x:v>
      </x:c>
    </x:row>
    <x:row r="213" ht="30" customHeight="1">
      <x:c r="A213" s="40" t="str">
        <x:v>FT-SEED-R1B-P-1842-29</x:v>
      </x:c>
      <x:c r="B213" s="19" t="str">
        <x:v>PRIORITY_180</x:v>
      </x:c>
      <x:c r="C213" s="31" t="str">
        <x:v>NOT_EXPOSED_IN_REPORT</x:v>
      </x:c>
      <x:c r="D213" s="31" t="str">
        <x:v>7</x:v>
      </x:c>
      <x:c r="E213" s="19" t="str">
        <x:v>FT-A1842</x:v>
      </x:c>
      <x:c r="F213" s="31" t="str">
        <x:v>sickness and mortality</x:v>
      </x:c>
      <x:c r="G213" s="19" t="str">
        <x:v>D</x:v>
      </x:c>
      <x:c r="H213" s="19" t="str">
        <x:v>V2</x:v>
      </x:c>
      <x:c r="I213" s="31" t="str">
        <x:v>S1842-CHADWICK</x:v>
      </x:c>
      <x:c r="J213" s="19" t="str">
        <x:v>NOT_EXPOSED_IN_REPORT</x:v>
      </x:c>
      <x:c r="K213" s="19" t="str">
        <x:v>PRIORITY_RANK=29;ORIGINAL_ROW_CONFIDENCE_NOT_EXPOSED</x:v>
      </x:c>
      <x:c r="L213" s="19" t="str">
        <x:v>NOT_EXPOSED_IN_REPORT</x:v>
      </x:c>
      <x:c r="M213" s="19" t="str">
        <x:v>PRIORITY_RANK_29</x:v>
      </x:c>
      <x:c r="N213" s="31" t="str">
        <x:v>RECONSTRUCTED_FROM_REPORT</x:v>
      </x:c>
      <x:c r="O213" s="31" t="str">
        <x:v>UNRESOLVED</x:v>
      </x:c>
      <x:c r="P213" s="19" t="str">
        <x:v>Fear of Temperature_ Stratified Lexical Expansion, Voice Mapping, and Semantic-Relational Pre-Valida.pdf</x:v>
      </x:c>
      <x:c r="Q213" s="31" t="str">
        <x:v>RECONSTRUCTED_FROM_REPORT</x:v>
      </x:c>
      <x:c r="R213" s="43" t="str">
        <x:v>New surrogate project ID assigned from the compact report table; never an original later-stage structured candidate ID.</x:v>
      </x:c>
    </x:row>
    <x:row r="214" ht="30" customHeight="1">
      <x:c r="A214" s="40" t="str">
        <x:v>FT-SEED-R1B-P-1842-30</x:v>
      </x:c>
      <x:c r="B214" s="19" t="str">
        <x:v>PRIORITY_180</x:v>
      </x:c>
      <x:c r="C214" s="31" t="str">
        <x:v>NOT_EXPOSED_IN_REPORT</x:v>
      </x:c>
      <x:c r="D214" s="31" t="str">
        <x:v>7</x:v>
      </x:c>
      <x:c r="E214" s="19" t="str">
        <x:v>FT-A1842</x:v>
      </x:c>
      <x:c r="F214" s="31" t="str">
        <x:v>alarm to the public</x:v>
      </x:c>
      <x:c r="G214" s="19" t="str">
        <x:v>C</x:v>
      </x:c>
      <x:c r="H214" s="19" t="str">
        <x:v>V3</x:v>
      </x:c>
      <x:c r="I214" s="31" t="str">
        <x:v>S1842-TIMES</x:v>
      </x:c>
      <x:c r="J214" s="19" t="str">
        <x:v>NOT_EXPOSED_IN_REPORT</x:v>
      </x:c>
      <x:c r="K214" s="19" t="str">
        <x:v>PRIORITY_RANK=30;ORIGINAL_ROW_CONFIDENCE_NOT_EXPOSED</x:v>
      </x:c>
      <x:c r="L214" s="19" t="str">
        <x:v>NOT_EXPOSED_IN_REPORT</x:v>
      </x:c>
      <x:c r="M214" s="19" t="str">
        <x:v>PRIORITY_RANK_30</x:v>
      </x:c>
      <x:c r="N214" s="31" t="str">
        <x:v>RECONSTRUCTED_FROM_REPORT</x:v>
      </x:c>
      <x:c r="O214" s="31" t="str">
        <x:v>UNRESOLVED</x:v>
      </x:c>
      <x:c r="P214" s="19" t="str">
        <x:v>Fear of Temperature_ Stratified Lexical Expansion, Voice Mapping, and Semantic-Relational Pre-Valida.pdf</x:v>
      </x:c>
      <x:c r="Q214" s="31" t="str">
        <x:v>RECONSTRUCTED_FROM_REPORT</x:v>
      </x:c>
      <x:c r="R214" s="43" t="str">
        <x:v>New surrogate project ID assigned from the compact report table; never an original later-stage structured candidate ID.</x:v>
      </x:c>
    </x:row>
    <x:row r="215" ht="30" customHeight="1">
      <x:c r="A215" s="40" t="str">
        <x:v>FT-SEED-R1B-P-1938-01</x:v>
      </x:c>
      <x:c r="B215" s="19" t="str">
        <x:v>PRIORITY_180</x:v>
      </x:c>
      <x:c r="C215" s="31" t="str">
        <x:v>NOT_EXPOSED_IN_REPORT</x:v>
      </x:c>
      <x:c r="D215" s="31" t="str">
        <x:v>7</x:v>
      </x:c>
      <x:c r="E215" s="19" t="str">
        <x:v>FT-A1938</x:v>
      </x:c>
      <x:c r="F215" s="31" t="str">
        <x:v>artificial production of carbon dioxide</x:v>
      </x:c>
      <x:c r="G215" s="19" t="str">
        <x:v>B</x:v>
      </x:c>
      <x:c r="H215" s="19" t="str">
        <x:v>V1</x:v>
      </x:c>
      <x:c r="I215" s="31" t="str">
        <x:v>S1938-CALLENDAR</x:v>
      </x:c>
      <x:c r="J215" s="19" t="str">
        <x:v>NOT_EXPOSED_IN_REPORT</x:v>
      </x:c>
      <x:c r="K215" s="19" t="str">
        <x:v>PRIORITY_RANK=1;ORIGINAL_ROW_CONFIDENCE_NOT_EXPOSED</x:v>
      </x:c>
      <x:c r="L215" s="19" t="str">
        <x:v>NOT_EXPOSED_IN_REPORT</x:v>
      </x:c>
      <x:c r="M215" s="19" t="str">
        <x:v>PRIORITY_RANK_01</x:v>
      </x:c>
      <x:c r="N215" s="31" t="str">
        <x:v>RECONSTRUCTED_FROM_REPORT</x:v>
      </x:c>
      <x:c r="O215" s="31" t="str">
        <x:v>UNRESOLVED</x:v>
      </x:c>
      <x:c r="P215" s="19" t="str">
        <x:v>Fear of Temperature_ Stratified Lexical Expansion, Voice Mapping, and Semantic-Relational Pre-Valida.pdf</x:v>
      </x:c>
      <x:c r="Q215" s="31" t="str">
        <x:v>RECONSTRUCTED_FROM_REPORT</x:v>
      </x:c>
      <x:c r="R215" s="43" t="str">
        <x:v>New surrogate project ID assigned from the compact report table; never an original later-stage structured candidate ID.</x:v>
      </x:c>
    </x:row>
    <x:row r="216" ht="30" customHeight="1">
      <x:c r="A216" s="40" t="str">
        <x:v>FT-SEED-R1B-P-1938-02</x:v>
      </x:c>
      <x:c r="B216" s="19" t="str">
        <x:v>PRIORITY_180</x:v>
      </x:c>
      <x:c r="C216" s="31" t="str">
        <x:v>NOT_EXPOSED_IN_REPORT</x:v>
      </x:c>
      <x:c r="D216" s="31" t="str">
        <x:v>7</x:v>
      </x:c>
      <x:c r="E216" s="19" t="str">
        <x:v>FT-A1938</x:v>
      </x:c>
      <x:c r="F216" s="31" t="str">
        <x:v>carbon dioxide</x:v>
      </x:c>
      <x:c r="G216" s="19" t="str">
        <x:v>B</x:v>
      </x:c>
      <x:c r="H216" s="19" t="str">
        <x:v>V1</x:v>
      </x:c>
      <x:c r="I216" s="31" t="str">
        <x:v>S1938-CALLENDAR</x:v>
      </x:c>
      <x:c r="J216" s="19" t="str">
        <x:v>NOT_EXPOSED_IN_REPORT</x:v>
      </x:c>
      <x:c r="K216" s="19" t="str">
        <x:v>PRIORITY_RANK=2;ORIGINAL_ROW_CONFIDENCE_NOT_EXPOSED</x:v>
      </x:c>
      <x:c r="L216" s="19" t="str">
        <x:v>NOT_EXPOSED_IN_REPORT</x:v>
      </x:c>
      <x:c r="M216" s="19" t="str">
        <x:v>PRIORITY_RANK_02</x:v>
      </x:c>
      <x:c r="N216" s="31" t="str">
        <x:v>RECONSTRUCTED_FROM_REPORT</x:v>
      </x:c>
      <x:c r="O216" s="31" t="str">
        <x:v>UNRESOLVED</x:v>
      </x:c>
      <x:c r="P216" s="19" t="str">
        <x:v>Fear of Temperature_ Stratified Lexical Expansion, Voice Mapping, and Semantic-Relational Pre-Valida.pdf</x:v>
      </x:c>
      <x:c r="Q216" s="31" t="str">
        <x:v>RECONSTRUCTED_FROM_REPORT</x:v>
      </x:c>
      <x:c r="R216" s="43" t="str">
        <x:v>New surrogate project ID assigned from the compact report table; never an original later-stage structured candidate ID.</x:v>
      </x:c>
    </x:row>
    <x:row r="217" ht="30" customHeight="1">
      <x:c r="A217" s="40" t="str">
        <x:v>FT-SEED-R1B-P-1938-11</x:v>
      </x:c>
      <x:c r="B217" s="19" t="str">
        <x:v>PRIORITY_180</x:v>
      </x:c>
      <x:c r="C217" s="31" t="str">
        <x:v>NOT_EXPOSED_IN_REPORT</x:v>
      </x:c>
      <x:c r="D217" s="31" t="str">
        <x:v>7</x:v>
      </x:c>
      <x:c r="E217" s="19" t="str">
        <x:v>FT-A1938</x:v>
      </x:c>
      <x:c r="F217" s="31" t="str">
        <x:v>temperature observations</x:v>
      </x:c>
      <x:c r="G217" s="19" t="str">
        <x:v>A</x:v>
      </x:c>
      <x:c r="H217" s="19" t="str">
        <x:v>V1</x:v>
      </x:c>
      <x:c r="I217" s="31" t="str">
        <x:v>S1938-CALLENDAR</x:v>
      </x:c>
      <x:c r="J217" s="19" t="str">
        <x:v>NOT_EXPOSED_IN_REPORT</x:v>
      </x:c>
      <x:c r="K217" s="19" t="str">
        <x:v>PRIORITY_RANK=11;ORIGINAL_ROW_CONFIDENCE_NOT_EXPOSED</x:v>
      </x:c>
      <x:c r="L217" s="19" t="str">
        <x:v>NOT_EXPOSED_IN_REPORT</x:v>
      </x:c>
      <x:c r="M217" s="19" t="str">
        <x:v>PRIORITY_RANK_11</x:v>
      </x:c>
      <x:c r="N217" s="31" t="str">
        <x:v>RECONSTRUCTED_FROM_REPORT</x:v>
      </x:c>
      <x:c r="O217" s="31" t="str">
        <x:v>UNRESOLVED</x:v>
      </x:c>
      <x:c r="P217" s="19" t="str">
        <x:v>Fear of Temperature_ Stratified Lexical Expansion, Voice Mapping, and Semantic-Relational Pre-Valida.pdf</x:v>
      </x:c>
      <x:c r="Q217" s="31" t="str">
        <x:v>RECONSTRUCTED_FROM_REPORT</x:v>
      </x:c>
      <x:c r="R217" s="43" t="str">
        <x:v>New surrogate project ID assigned from the compact report table; never an original later-stage structured candidate ID.</x:v>
      </x:c>
    </x:row>
    <x:row r="218" ht="30" customHeight="1">
      <x:c r="A218" s="40" t="str">
        <x:v>FT-SEED-R1B-P-1938-12</x:v>
      </x:c>
      <x:c r="B218" s="19" t="str">
        <x:v>PRIORITY_180</x:v>
      </x:c>
      <x:c r="C218" s="31" t="str">
        <x:v>NOT_EXPOSED_IN_REPORT</x:v>
      </x:c>
      <x:c r="D218" s="31" t="str">
        <x:v>7</x:v>
      </x:c>
      <x:c r="E218" s="19" t="str">
        <x:v>FT-A1938</x:v>
      </x:c>
      <x:c r="F218" s="31" t="str">
        <x:v>meteorological stations</x:v>
      </x:c>
      <x:c r="G218" s="19" t="str">
        <x:v>B</x:v>
      </x:c>
      <x:c r="H218" s="19" t="str">
        <x:v>V1</x:v>
      </x:c>
      <x:c r="I218" s="31" t="str">
        <x:v>S1938-CALLENDAR</x:v>
      </x:c>
      <x:c r="J218" s="19" t="str">
        <x:v>NOT_EXPOSED_IN_REPORT</x:v>
      </x:c>
      <x:c r="K218" s="19" t="str">
        <x:v>PRIORITY_RANK=12;ORIGINAL_ROW_CONFIDENCE_NOT_EXPOSED</x:v>
      </x:c>
      <x:c r="L218" s="19" t="str">
        <x:v>NOT_EXPOSED_IN_REPORT</x:v>
      </x:c>
      <x:c r="M218" s="19" t="str">
        <x:v>PRIORITY_RANK_12</x:v>
      </x:c>
      <x:c r="N218" s="31" t="str">
        <x:v>RECONSTRUCTED_FROM_REPORT</x:v>
      </x:c>
      <x:c r="O218" s="31" t="str">
        <x:v>UNRESOLVED</x:v>
      </x:c>
      <x:c r="P218" s="19" t="str">
        <x:v>Fear of Temperature_ Stratified Lexical Expansion, Voice Mapping, and Semantic-Relational Pre-Valida.pdf</x:v>
      </x:c>
      <x:c r="Q218" s="31" t="str">
        <x:v>RECONSTRUCTED_FROM_REPORT</x:v>
      </x:c>
      <x:c r="R218" s="43" t="str">
        <x:v>New surrogate project ID assigned from the compact report table; never an original later-stage structured candidate ID.</x:v>
      </x:c>
    </x:row>
    <x:row r="219" ht="30" customHeight="1">
      <x:c r="A219" s="40" t="str">
        <x:v>FT-SEED-R1B-P-1938-21</x:v>
      </x:c>
      <x:c r="B219" s="19" t="str">
        <x:v>PRIORITY_180</x:v>
      </x:c>
      <x:c r="C219" s="31" t="str">
        <x:v>NOT_EXPOSED_IN_REPORT</x:v>
      </x:c>
      <x:c r="D219" s="31" t="str">
        <x:v>7</x:v>
      </x:c>
      <x:c r="E219" s="19" t="str">
        <x:v>FT-A1938</x:v>
      </x:c>
      <x:c r="F219" s="31" t="str">
        <x:v>heat wave</x:v>
      </x:c>
      <x:c r="G219" s="19" t="str">
        <x:v>A</x:v>
      </x:c>
      <x:c r="H219" s="19" t="str">
        <x:v>V3</x:v>
      </x:c>
      <x:c r="I219" s="31" t="str">
        <x:v>S1938-COURIER</x:v>
      </x:c>
      <x:c r="J219" s="19" t="str">
        <x:v>NOT_EXPOSED_IN_REPORT</x:v>
      </x:c>
      <x:c r="K219" s="19" t="str">
        <x:v>PRIORITY_RANK=21;ORIGINAL_ROW_CONFIDENCE_NOT_EXPOSED</x:v>
      </x:c>
      <x:c r="L219" s="19" t="str">
        <x:v>NOT_EXPOSED_IN_REPORT</x:v>
      </x:c>
      <x:c r="M219" s="19" t="str">
        <x:v>PRIORITY_RANK_21</x:v>
      </x:c>
      <x:c r="N219" s="31" t="str">
        <x:v>RECONSTRUCTED_FROM_REPORT</x:v>
      </x:c>
      <x:c r="O219" s="31" t="str">
        <x:v>UNRESOLVED</x:v>
      </x:c>
      <x:c r="P219" s="19" t="str">
        <x:v>Fear of Temperature_ Stratified Lexical Expansion, Voice Mapping, and Semantic-Relational Pre-Valida.pdf</x:v>
      </x:c>
      <x:c r="Q219" s="31" t="str">
        <x:v>RECONSTRUCTED_FROM_REPORT</x:v>
      </x:c>
      <x:c r="R219" s="43" t="str">
        <x:v>New surrogate project ID assigned from the compact report table; never an original later-stage structured candidate ID.</x:v>
      </x:c>
    </x:row>
    <x:row r="220" ht="30" customHeight="1">
      <x:c r="A220" s="40" t="str">
        <x:v>FT-SEED-R1B-P-1938-22</x:v>
      </x:c>
      <x:c r="B220" s="19" t="str">
        <x:v>PRIORITY_180</x:v>
      </x:c>
      <x:c r="C220" s="31" t="str">
        <x:v>NOT_EXPOSED_IN_REPORT</x:v>
      </x:c>
      <x:c r="D220" s="31" t="str">
        <x:v>7</x:v>
      </x:c>
      <x:c r="E220" s="19" t="str">
        <x:v>FT-A1938</x:v>
      </x:c>
      <x:c r="F220" s="31" t="str">
        <x:v>40-degree temperatures</x:v>
      </x:c>
      <x:c r="G220" s="19" t="str">
        <x:v>A</x:v>
      </x:c>
      <x:c r="H220" s="19" t="str">
        <x:v>V3</x:v>
      </x:c>
      <x:c r="I220" s="31" t="str">
        <x:v>S1938-COURIER</x:v>
      </x:c>
      <x:c r="J220" s="19" t="str">
        <x:v>NOT_EXPOSED_IN_REPORT</x:v>
      </x:c>
      <x:c r="K220" s="19" t="str">
        <x:v>PRIORITY_RANK=22;ORIGINAL_ROW_CONFIDENCE_NOT_EXPOSED</x:v>
      </x:c>
      <x:c r="L220" s="19" t="str">
        <x:v>NOT_EXPOSED_IN_REPORT</x:v>
      </x:c>
      <x:c r="M220" s="19" t="str">
        <x:v>PRIORITY_RANK_22</x:v>
      </x:c>
      <x:c r="N220" s="31" t="str">
        <x:v>RECONSTRUCTED_FROM_REPORT</x:v>
      </x:c>
      <x:c r="O220" s="31" t="str">
        <x:v>UNRESOLVED</x:v>
      </x:c>
      <x:c r="P220" s="19" t="str">
        <x:v>Fear of Temperature_ Stratified Lexical Expansion, Voice Mapping, and Semantic-Relational Pre-Valida.pdf</x:v>
      </x:c>
      <x:c r="Q220" s="31" t="str">
        <x:v>RECONSTRUCTED_FROM_REPORT</x:v>
      </x:c>
      <x:c r="R220" s="43" t="str">
        <x:v>New surrogate project ID assigned from the compact report table; never an original later-stage structured candidate ID.</x:v>
      </x:c>
    </x:row>
    <x:row r="221" ht="30" customHeight="1">
      <x:c r="A221" s="40" t="str">
        <x:v>FT-SEED-R1B-P-1938-03</x:v>
      </x:c>
      <x:c r="B221" s="19" t="str">
        <x:v>PRIORITY_180</x:v>
      </x:c>
      <x:c r="C221" s="31" t="str">
        <x:v>NOT_EXPOSED_IN_REPORT</x:v>
      </x:c>
      <x:c r="D221" s="31" t="str">
        <x:v>8</x:v>
      </x:c>
      <x:c r="E221" s="19" t="str">
        <x:v>FT-A1938</x:v>
      </x:c>
      <x:c r="F221" s="31" t="str">
        <x:v>fuel combustion</x:v>
      </x:c>
      <x:c r="G221" s="19" t="str">
        <x:v>B</x:v>
      </x:c>
      <x:c r="H221" s="19" t="str">
        <x:v>V1</x:v>
      </x:c>
      <x:c r="I221" s="31" t="str">
        <x:v>S1938-CALLENDAR</x:v>
      </x:c>
      <x:c r="J221" s="19" t="str">
        <x:v>NOT_EXPOSED_IN_REPORT</x:v>
      </x:c>
      <x:c r="K221" s="19" t="str">
        <x:v>PRIORITY_RANK=3;ORIGINAL_ROW_CONFIDENCE_NOT_EXPOSED</x:v>
      </x:c>
      <x:c r="L221" s="19" t="str">
        <x:v>NOT_EXPOSED_IN_REPORT</x:v>
      </x:c>
      <x:c r="M221" s="19" t="str">
        <x:v>PRIORITY_RANK_03</x:v>
      </x:c>
      <x:c r="N221" s="31" t="str">
        <x:v>RECONSTRUCTED_FROM_REPORT</x:v>
      </x:c>
      <x:c r="O221" s="31" t="str">
        <x:v>UNRESOLVED</x:v>
      </x:c>
      <x:c r="P221" s="19" t="str">
        <x:v>Fear of Temperature_ Stratified Lexical Expansion, Voice Mapping, and Semantic-Relational Pre-Valida.pdf</x:v>
      </x:c>
      <x:c r="Q221" s="31" t="str">
        <x:v>RECONSTRUCTED_FROM_REPORT</x:v>
      </x:c>
      <x:c r="R221" s="43" t="str">
        <x:v>New surrogate project ID assigned from the compact report table; never an original later-stage structured candidate ID.</x:v>
      </x:c>
    </x:row>
    <x:row r="222" ht="30" customHeight="1">
      <x:c r="A222" s="40" t="str">
        <x:v>FT-SEED-R1B-P-1938-04</x:v>
      </x:c>
      <x:c r="B222" s="19" t="str">
        <x:v>PRIORITY_180</x:v>
      </x:c>
      <x:c r="C222" s="31" t="str">
        <x:v>NOT_EXPOSED_IN_REPORT</x:v>
      </x:c>
      <x:c r="D222" s="31" t="str">
        <x:v>8</x:v>
      </x:c>
      <x:c r="E222" s="19" t="str">
        <x:v>FT-A1938</x:v>
      </x:c>
      <x:c r="F222" s="31" t="str">
        <x:v>air</x:v>
      </x:c>
      <x:c r="G222" s="19" t="str">
        <x:v>B</x:v>
      </x:c>
      <x:c r="H222" s="19" t="str">
        <x:v>V1</x:v>
      </x:c>
      <x:c r="I222" s="31" t="str">
        <x:v>S1938-CALLENDAR</x:v>
      </x:c>
      <x:c r="J222" s="19" t="str">
        <x:v>NOT_EXPOSED_IN_REPORT</x:v>
      </x:c>
      <x:c r="K222" s="19" t="str">
        <x:v>PRIORITY_RANK=4;ORIGINAL_ROW_CONFIDENCE_NOT_EXPOSED</x:v>
      </x:c>
      <x:c r="L222" s="19" t="str">
        <x:v>NOT_EXPOSED_IN_REPORT</x:v>
      </x:c>
      <x:c r="M222" s="19" t="str">
        <x:v>PRIORITY_RANK_04</x:v>
      </x:c>
      <x:c r="N222" s="31" t="str">
        <x:v>RECONSTRUCTED_FROM_REPORT</x:v>
      </x:c>
      <x:c r="O222" s="31" t="str">
        <x:v>UNRESOLVED</x:v>
      </x:c>
      <x:c r="P222" s="19" t="str">
        <x:v>Fear of Temperature_ Stratified Lexical Expansion, Voice Mapping, and Semantic-Relational Pre-Valida.pdf</x:v>
      </x:c>
      <x:c r="Q222" s="31" t="str">
        <x:v>RECONSTRUCTED_FROM_REPORT</x:v>
      </x:c>
      <x:c r="R222" s="43" t="str">
        <x:v>New surrogate project ID assigned from the compact report table; never an original later-stage structured candidate ID.</x:v>
      </x:c>
    </x:row>
    <x:row r="223" ht="30" customHeight="1">
      <x:c r="A223" s="40" t="str">
        <x:v>FT-SEED-R1B-P-1938-05</x:v>
      </x:c>
      <x:c r="B223" s="19" t="str">
        <x:v>PRIORITY_180</x:v>
      </x:c>
      <x:c r="C223" s="31" t="str">
        <x:v>NOT_EXPOSED_IN_REPORT</x:v>
      </x:c>
      <x:c r="D223" s="31" t="str">
        <x:v>8</x:v>
      </x:c>
      <x:c r="E223" s="19" t="str">
        <x:v>FT-A1938</x:v>
      </x:c>
      <x:c r="F223" s="31" t="str">
        <x:v>atmosphere</x:v>
      </x:c>
      <x:c r="G223" s="19" t="str">
        <x:v>B</x:v>
      </x:c>
      <x:c r="H223" s="19" t="str">
        <x:v>V1</x:v>
      </x:c>
      <x:c r="I223" s="31" t="str">
        <x:v>S1938-CALLENDAR</x:v>
      </x:c>
      <x:c r="J223" s="19" t="str">
        <x:v>NOT_EXPOSED_IN_REPORT</x:v>
      </x:c>
      <x:c r="K223" s="19" t="str">
        <x:v>PRIORITY_RANK=5;ORIGINAL_ROW_CONFIDENCE_NOT_EXPOSED</x:v>
      </x:c>
      <x:c r="L223" s="19" t="str">
        <x:v>NOT_EXPOSED_IN_REPORT</x:v>
      </x:c>
      <x:c r="M223" s="19" t="str">
        <x:v>PRIORITY_RANK_05</x:v>
      </x:c>
      <x:c r="N223" s="31" t="str">
        <x:v>RECONSTRUCTED_FROM_REPORT</x:v>
      </x:c>
      <x:c r="O223" s="31" t="str">
        <x:v>UNRESOLVED</x:v>
      </x:c>
      <x:c r="P223" s="19" t="str">
        <x:v>Fear of Temperature_ Stratified Lexical Expansion, Voice Mapping, and Semantic-Relational Pre-Valida.pdf</x:v>
      </x:c>
      <x:c r="Q223" s="31" t="str">
        <x:v>RECONSTRUCTED_FROM_REPORT</x:v>
      </x:c>
      <x:c r="R223" s="43" t="str">
        <x:v>New surrogate project ID assigned from the compact report table; never an original later-stage structured candidate ID.</x:v>
      </x:c>
    </x:row>
    <x:row r="224" ht="30" customHeight="1">
      <x:c r="A224" s="40" t="str">
        <x:v>FT-SEED-R1B-P-1938-06</x:v>
      </x:c>
      <x:c r="B224" s="19" t="str">
        <x:v>PRIORITY_180</x:v>
      </x:c>
      <x:c r="C224" s="31" t="str">
        <x:v>NOT_EXPOSED_IN_REPORT</x:v>
      </x:c>
      <x:c r="D224" s="31" t="str">
        <x:v>8</x:v>
      </x:c>
      <x:c r="E224" s="19" t="str">
        <x:v>FT-A1938</x:v>
      </x:c>
      <x:c r="F224" s="31" t="str">
        <x:v>radiation absorption coefficients</x:v>
      </x:c>
      <x:c r="G224" s="19" t="str">
        <x:v>B</x:v>
      </x:c>
      <x:c r="H224" s="19" t="str">
        <x:v>V1</x:v>
      </x:c>
      <x:c r="I224" s="31" t="str">
        <x:v>S1938-CALLENDAR</x:v>
      </x:c>
      <x:c r="J224" s="19" t="str">
        <x:v>NOT_EXPOSED_IN_REPORT</x:v>
      </x:c>
      <x:c r="K224" s="19" t="str">
        <x:v>PRIORITY_RANK=6;ORIGINAL_ROW_CONFIDENCE_NOT_EXPOSED</x:v>
      </x:c>
      <x:c r="L224" s="19" t="str">
        <x:v>NOT_EXPOSED_IN_REPORT</x:v>
      </x:c>
      <x:c r="M224" s="19" t="str">
        <x:v>PRIORITY_RANK_06</x:v>
      </x:c>
      <x:c r="N224" s="31" t="str">
        <x:v>RECONSTRUCTED_FROM_REPORT</x:v>
      </x:c>
      <x:c r="O224" s="31" t="str">
        <x:v>UNRESOLVED</x:v>
      </x:c>
      <x:c r="P224" s="19" t="str">
        <x:v>Fear of Temperature_ Stratified Lexical Expansion, Voice Mapping, and Semantic-Relational Pre-Valida.pdf</x:v>
      </x:c>
      <x:c r="Q224" s="31" t="str">
        <x:v>RECONSTRUCTED_FROM_REPORT</x:v>
      </x:c>
      <x:c r="R224" s="43" t="str">
        <x:v>New surrogate project ID assigned from the compact report table; never an original later-stage structured candidate ID.</x:v>
      </x:c>
    </x:row>
    <x:row r="225" ht="30" customHeight="1">
      <x:c r="A225" s="40" t="str">
        <x:v>FT-SEED-R1B-P-1938-07</x:v>
      </x:c>
      <x:c r="B225" s="19" t="str">
        <x:v>PRIORITY_180</x:v>
      </x:c>
      <x:c r="C225" s="31" t="str">
        <x:v>NOT_EXPOSED_IN_REPORT</x:v>
      </x:c>
      <x:c r="D225" s="31" t="str">
        <x:v>8</x:v>
      </x:c>
      <x:c r="E225" s="19" t="str">
        <x:v>FT-A1938</x:v>
      </x:c>
      <x:c r="F225" s="31" t="str">
        <x:v>water vapour</x:v>
      </x:c>
      <x:c r="G225" s="19" t="str">
        <x:v>B</x:v>
      </x:c>
      <x:c r="H225" s="19" t="str">
        <x:v>V1</x:v>
      </x:c>
      <x:c r="I225" s="31" t="str">
        <x:v>S1938-CALLENDAR</x:v>
      </x:c>
      <x:c r="J225" s="19" t="str">
        <x:v>NOT_EXPOSED_IN_REPORT</x:v>
      </x:c>
      <x:c r="K225" s="19" t="str">
        <x:v>PRIORITY_RANK=7;ORIGINAL_ROW_CONFIDENCE_NOT_EXPOSED</x:v>
      </x:c>
      <x:c r="L225" s="19" t="str">
        <x:v>NOT_EXPOSED_IN_REPORT</x:v>
      </x:c>
      <x:c r="M225" s="19" t="str">
        <x:v>PRIORITY_RANK_07</x:v>
      </x:c>
      <x:c r="N225" s="31" t="str">
        <x:v>RECONSTRUCTED_FROM_REPORT</x:v>
      </x:c>
      <x:c r="O225" s="31" t="str">
        <x:v>UNRESOLVED</x:v>
      </x:c>
      <x:c r="P225" s="19" t="str">
        <x:v>Fear of Temperature_ Stratified Lexical Expansion, Voice Mapping, and Semantic-Relational Pre-Valida.pdf</x:v>
      </x:c>
      <x:c r="Q225" s="31" t="str">
        <x:v>RECONSTRUCTED_FROM_REPORT</x:v>
      </x:c>
      <x:c r="R225" s="43" t="str">
        <x:v>New surrogate project ID assigned from the compact report table; never an original later-stage structured candidate ID.</x:v>
      </x:c>
    </x:row>
    <x:row r="226" ht="30" customHeight="1">
      <x:c r="A226" s="40" t="str">
        <x:v>FT-SEED-R1B-P-1938-08</x:v>
      </x:c>
      <x:c r="B226" s="19" t="str">
        <x:v>PRIORITY_180</x:v>
      </x:c>
      <x:c r="C226" s="31" t="str">
        <x:v>NOT_EXPOSED_IN_REPORT</x:v>
      </x:c>
      <x:c r="D226" s="31" t="str">
        <x:v>8</x:v>
      </x:c>
      <x:c r="E226" s="19" t="str">
        <x:v>FT-A1938</x:v>
      </x:c>
      <x:c r="F226" s="31" t="str">
        <x:v>sky radiation</x:v>
      </x:c>
      <x:c r="G226" s="19" t="str">
        <x:v>B</x:v>
      </x:c>
      <x:c r="H226" s="19" t="str">
        <x:v>V1</x:v>
      </x:c>
      <x:c r="I226" s="31" t="str">
        <x:v>S1938-CALLENDAR</x:v>
      </x:c>
      <x:c r="J226" s="19" t="str">
        <x:v>NOT_EXPOSED_IN_REPORT</x:v>
      </x:c>
      <x:c r="K226" s="19" t="str">
        <x:v>PRIORITY_RANK=8;ORIGINAL_ROW_CONFIDENCE_NOT_EXPOSED</x:v>
      </x:c>
      <x:c r="L226" s="19" t="str">
        <x:v>NOT_EXPOSED_IN_REPORT</x:v>
      </x:c>
      <x:c r="M226" s="19" t="str">
        <x:v>PRIORITY_RANK_08</x:v>
      </x:c>
      <x:c r="N226" s="31" t="str">
        <x:v>RECONSTRUCTED_FROM_REPORT</x:v>
      </x:c>
      <x:c r="O226" s="31" t="str">
        <x:v>UNRESOLVED</x:v>
      </x:c>
      <x:c r="P226" s="19" t="str">
        <x:v>Fear of Temperature_ Stratified Lexical Expansion, Voice Mapping, and Semantic-Relational Pre-Valida.pdf</x:v>
      </x:c>
      <x:c r="Q226" s="31" t="str">
        <x:v>RECONSTRUCTED_FROM_REPORT</x:v>
      </x:c>
      <x:c r="R226" s="43" t="str">
        <x:v>New surrogate project ID assigned from the compact report table; never an original later-stage structured candidate ID.</x:v>
      </x:c>
    </x:row>
    <x:row r="227" ht="30" customHeight="1">
      <x:c r="A227" s="40" t="str">
        <x:v>FT-SEED-R1B-P-1938-09</x:v>
      </x:c>
      <x:c r="B227" s="19" t="str">
        <x:v>PRIORITY_180</x:v>
      </x:c>
      <x:c r="C227" s="31" t="str">
        <x:v>NOT_EXPOSED_IN_REPORT</x:v>
      </x:c>
      <x:c r="D227" s="31" t="str">
        <x:v>8</x:v>
      </x:c>
      <x:c r="E227" s="19" t="str">
        <x:v>FT-A1938</x:v>
      </x:c>
      <x:c r="F227" s="31" t="str">
        <x:v>increase in mean temperature</x:v>
      </x:c>
      <x:c r="G227" s="19" t="str">
        <x:v>A</x:v>
      </x:c>
      <x:c r="H227" s="19" t="str">
        <x:v>V1</x:v>
      </x:c>
      <x:c r="I227" s="31" t="str">
        <x:v>S1938-CALLENDAR</x:v>
      </x:c>
      <x:c r="J227" s="19" t="str">
        <x:v>NOT_EXPOSED_IN_REPORT</x:v>
      </x:c>
      <x:c r="K227" s="19" t="str">
        <x:v>PRIORITY_RANK=9;ORIGINAL_ROW_CONFIDENCE_NOT_EXPOSED</x:v>
      </x:c>
      <x:c r="L227" s="19" t="str">
        <x:v>NOT_EXPOSED_IN_REPORT</x:v>
      </x:c>
      <x:c r="M227" s="19" t="str">
        <x:v>PRIORITY_RANK_09</x:v>
      </x:c>
      <x:c r="N227" s="31" t="str">
        <x:v>RECONSTRUCTED_FROM_REPORT</x:v>
      </x:c>
      <x:c r="O227" s="31" t="str">
        <x:v>UNRESOLVED</x:v>
      </x:c>
      <x:c r="P227" s="19" t="str">
        <x:v>Fear of Temperature_ Stratified Lexical Expansion, Voice Mapping, and Semantic-Relational Pre-Valida.pdf</x:v>
      </x:c>
      <x:c r="Q227" s="31" t="str">
        <x:v>RECONSTRUCTED_FROM_REPORT</x:v>
      </x:c>
      <x:c r="R227" s="43" t="str">
        <x:v>New surrogate project ID assigned from the compact report table; never an original later-stage structured candidate ID.</x:v>
      </x:c>
    </x:row>
    <x:row r="228" ht="30" customHeight="1">
      <x:c r="A228" s="40" t="str">
        <x:v>FT-SEED-R1B-P-1938-10</x:v>
      </x:c>
      <x:c r="B228" s="19" t="str">
        <x:v>PRIORITY_180</x:v>
      </x:c>
      <x:c r="C228" s="31" t="str">
        <x:v>NOT_EXPOSED_IN_REPORT</x:v>
      </x:c>
      <x:c r="D228" s="31" t="str">
        <x:v>8</x:v>
      </x:c>
      <x:c r="E228" s="19" t="str">
        <x:v>FT-A1938</x:v>
      </x:c>
      <x:c r="F228" s="31" t="str">
        <x:v>mean temperature</x:v>
      </x:c>
      <x:c r="G228" s="19" t="str">
        <x:v>A</x:v>
      </x:c>
      <x:c r="H228" s="19" t="str">
        <x:v>V1</x:v>
      </x:c>
      <x:c r="I228" s="31" t="str">
        <x:v>S1938-CALLENDAR</x:v>
      </x:c>
      <x:c r="J228" s="19" t="str">
        <x:v>NOT_EXPOSED_IN_REPORT</x:v>
      </x:c>
      <x:c r="K228" s="19" t="str">
        <x:v>PRIORITY_RANK=10;ORIGINAL_ROW_CONFIDENCE_NOT_EXPOSED</x:v>
      </x:c>
      <x:c r="L228" s="19" t="str">
        <x:v>NOT_EXPOSED_IN_REPORT</x:v>
      </x:c>
      <x:c r="M228" s="19" t="str">
        <x:v>PRIORITY_RANK_10</x:v>
      </x:c>
      <x:c r="N228" s="31" t="str">
        <x:v>RECONSTRUCTED_FROM_REPORT</x:v>
      </x:c>
      <x:c r="O228" s="31" t="str">
        <x:v>UNRESOLVED</x:v>
      </x:c>
      <x:c r="P228" s="19" t="str">
        <x:v>Fear of Temperature_ Stratified Lexical Expansion, Voice Mapping, and Semantic-Relational Pre-Valida.pdf</x:v>
      </x:c>
      <x:c r="Q228" s="31" t="str">
        <x:v>RECONSTRUCTED_FROM_REPORT</x:v>
      </x:c>
      <x:c r="R228" s="43" t="str">
        <x:v>New surrogate project ID assigned from the compact report table; never an original later-stage structured candidate ID.</x:v>
      </x:c>
    </x:row>
    <x:row r="229" ht="30" customHeight="1">
      <x:c r="A229" s="40" t="str">
        <x:v>FT-SEED-R1B-P-1938-13</x:v>
      </x:c>
      <x:c r="B229" s="19" t="str">
        <x:v>PRIORITY_180</x:v>
      </x:c>
      <x:c r="C229" s="31" t="str">
        <x:v>NOT_EXPOSED_IN_REPORT</x:v>
      </x:c>
      <x:c r="D229" s="31" t="str">
        <x:v>8</x:v>
      </x:c>
      <x:c r="E229" s="19" t="str">
        <x:v>FT-A1938</x:v>
      </x:c>
      <x:c r="F229" s="31" t="str">
        <x:v>world temperatures</x:v>
      </x:c>
      <x:c r="G229" s="19" t="str">
        <x:v>A</x:v>
      </x:c>
      <x:c r="H229" s="19" t="str">
        <x:v>V1</x:v>
      </x:c>
      <x:c r="I229" s="31" t="str">
        <x:v>S1938-CALLENDAR</x:v>
      </x:c>
      <x:c r="J229" s="19" t="str">
        <x:v>NOT_EXPOSED_IN_REPORT</x:v>
      </x:c>
      <x:c r="K229" s="19" t="str">
        <x:v>PRIORITY_RANK=13;ORIGINAL_ROW_CONFIDENCE_NOT_EXPOSED</x:v>
      </x:c>
      <x:c r="L229" s="19" t="str">
        <x:v>NOT_EXPOSED_IN_REPORT</x:v>
      </x:c>
      <x:c r="M229" s="19" t="str">
        <x:v>PRIORITY_RANK_13</x:v>
      </x:c>
      <x:c r="N229" s="31" t="str">
        <x:v>RECONSTRUCTED_FROM_REPORT</x:v>
      </x:c>
      <x:c r="O229" s="31" t="str">
        <x:v>UNRESOLVED</x:v>
      </x:c>
      <x:c r="P229" s="19" t="str">
        <x:v>Fear of Temperature_ Stratified Lexical Expansion, Voice Mapping, and Semantic-Relational Pre-Valida.pdf</x:v>
      </x:c>
      <x:c r="Q229" s="31" t="str">
        <x:v>RECONSTRUCTED_FROM_REPORT</x:v>
      </x:c>
      <x:c r="R229" s="43" t="str">
        <x:v>New surrogate project ID assigned from the compact report table; never an original later-stage structured candidate ID.</x:v>
      </x:c>
    </x:row>
    <x:row r="230" ht="30" customHeight="1">
      <x:c r="A230" s="40" t="str">
        <x:v>FT-SEED-R1B-P-1938-14</x:v>
      </x:c>
      <x:c r="B230" s="19" t="str">
        <x:v>PRIORITY_180</x:v>
      </x:c>
      <x:c r="C230" s="31" t="str">
        <x:v>NOT_EXPOSED_IN_REPORT</x:v>
      </x:c>
      <x:c r="D230" s="31" t="str">
        <x:v>8</x:v>
      </x:c>
      <x:c r="E230" s="19" t="str">
        <x:v>FT-A1938</x:v>
      </x:c>
      <x:c r="F230" s="31" t="str">
        <x:v>actually increased</x:v>
      </x:c>
      <x:c r="G230" s="19" t="str">
        <x:v>A</x:v>
      </x:c>
      <x:c r="H230" s="19" t="str">
        <x:v>V1</x:v>
      </x:c>
      <x:c r="I230" s="31" t="str">
        <x:v>S1938-CALLENDAR</x:v>
      </x:c>
      <x:c r="J230" s="19" t="str">
        <x:v>NOT_EXPOSED_IN_REPORT</x:v>
      </x:c>
      <x:c r="K230" s="19" t="str">
        <x:v>PRIORITY_RANK=14;ORIGINAL_ROW_CONFIDENCE_NOT_EXPOSED</x:v>
      </x:c>
      <x:c r="L230" s="19" t="str">
        <x:v>NOT_EXPOSED_IN_REPORT</x:v>
      </x:c>
      <x:c r="M230" s="19" t="str">
        <x:v>PRIORITY_RANK_14</x:v>
      </x:c>
      <x:c r="N230" s="31" t="str">
        <x:v>RECONSTRUCTED_FROM_REPORT</x:v>
      </x:c>
      <x:c r="O230" s="31" t="str">
        <x:v>UNRESOLVED</x:v>
      </x:c>
      <x:c r="P230" s="19" t="str">
        <x:v>Fear of Temperature_ Stratified Lexical Expansion, Voice Mapping, and Semantic-Relational Pre-Valida.pdf</x:v>
      </x:c>
      <x:c r="Q230" s="31" t="str">
        <x:v>RECONSTRUCTED_FROM_REPORT</x:v>
      </x:c>
      <x:c r="R230" s="43" t="str">
        <x:v>New surrogate project ID assigned from the compact report table; never an original later-stage structured candidate ID.</x:v>
      </x:c>
    </x:row>
    <x:row r="231" ht="30" customHeight="1">
      <x:c r="A231" s="40" t="str">
        <x:v>FT-SEED-R1B-P-1938-15</x:v>
      </x:c>
      <x:c r="B231" s="19" t="str">
        <x:v>PRIORITY_180</x:v>
      </x:c>
      <x:c r="C231" s="31" t="str">
        <x:v>NOT_EXPOSED_IN_REPORT</x:v>
      </x:c>
      <x:c r="D231" s="31" t="str">
        <x:v>8</x:v>
      </x:c>
      <x:c r="E231" s="19" t="str">
        <x:v>FT-A1938</x:v>
      </x:c>
      <x:c r="F231" s="31" t="str">
        <x:v>average rate</x:v>
      </x:c>
      <x:c r="G231" s="19" t="str">
        <x:v>A</x:v>
      </x:c>
      <x:c r="H231" s="19" t="str">
        <x:v>V1</x:v>
      </x:c>
      <x:c r="I231" s="31" t="str">
        <x:v>S1938-CALLENDAR</x:v>
      </x:c>
      <x:c r="J231" s="19" t="str">
        <x:v>NOT_EXPOSED_IN_REPORT</x:v>
      </x:c>
      <x:c r="K231" s="19" t="str">
        <x:v>PRIORITY_RANK=15;ORIGINAL_ROW_CONFIDENCE_NOT_EXPOSED</x:v>
      </x:c>
      <x:c r="L231" s="19" t="str">
        <x:v>NOT_EXPOSED_IN_REPORT</x:v>
      </x:c>
      <x:c r="M231" s="19" t="str">
        <x:v>PRIORITY_RANK_15</x:v>
      </x:c>
      <x:c r="N231" s="31" t="str">
        <x:v>RECONSTRUCTED_FROM_REPORT</x:v>
      </x:c>
      <x:c r="O231" s="31" t="str">
        <x:v>UNRESOLVED</x:v>
      </x:c>
      <x:c r="P231" s="19" t="str">
        <x:v>Fear of Temperature_ Stratified Lexical Expansion, Voice Mapping, and Semantic-Relational Pre-Valida.pdf</x:v>
      </x:c>
      <x:c r="Q231" s="31" t="str">
        <x:v>RECONSTRUCTED_FROM_REPORT</x:v>
      </x:c>
      <x:c r="R231" s="43" t="str">
        <x:v>New surrogate project ID assigned from the compact report table; never an original later-stage structured candidate ID.</x:v>
      </x:c>
    </x:row>
    <x:row r="232" ht="30" customHeight="1">
      <x:c r="A232" s="40" t="str">
        <x:v>FT-SEED-R1B-P-1938-16</x:v>
      </x:c>
      <x:c r="B232" s="19" t="str">
        <x:v>PRIORITY_180</x:v>
      </x:c>
      <x:c r="C232" s="31" t="str">
        <x:v>NOT_EXPOSED_IN_REPORT</x:v>
      </x:c>
      <x:c r="D232" s="31" t="str">
        <x:v>8</x:v>
      </x:c>
      <x:c r="E232" s="19" t="str">
        <x:v>FT-A1938</x:v>
      </x:c>
      <x:c r="F232" s="31" t="str">
        <x:v>small increases in mean temperature</x:v>
      </x:c>
      <x:c r="G232" s="19" t="str">
        <x:v>A</x:v>
      </x:c>
      <x:c r="H232" s="19" t="str">
        <x:v>V1</x:v>
      </x:c>
      <x:c r="I232" s="31" t="str">
        <x:v>S1938-WIRED-CALLENDAR</x:v>
      </x:c>
      <x:c r="J232" s="19" t="str">
        <x:v>NOT_EXPOSED_IN_REPORT</x:v>
      </x:c>
      <x:c r="K232" s="19" t="str">
        <x:v>PRIORITY_RANK=16;ORIGINAL_ROW_CONFIDENCE_NOT_EXPOSED</x:v>
      </x:c>
      <x:c r="L232" s="19" t="str">
        <x:v>NOT_EXPOSED_IN_REPORT</x:v>
      </x:c>
      <x:c r="M232" s="19" t="str">
        <x:v>PRIORITY_RANK_16</x:v>
      </x:c>
      <x:c r="N232" s="31" t="str">
        <x:v>RECONSTRUCTED_FROM_REPORT</x:v>
      </x:c>
      <x:c r="O232" s="31" t="str">
        <x:v>UNRESOLVED</x:v>
      </x:c>
      <x:c r="P232" s="19" t="str">
        <x:v>Fear of Temperature_ Stratified Lexical Expansion, Voice Mapping, and Semantic-Relational Pre-Valida.pdf</x:v>
      </x:c>
      <x:c r="Q232" s="31" t="str">
        <x:v>RECONSTRUCTED_FROM_REPORT</x:v>
      </x:c>
      <x:c r="R232" s="43" t="str">
        <x:v>New surrogate project ID assigned from the compact report table; never an original later-stage structured candidate ID.</x:v>
      </x:c>
    </x:row>
    <x:row r="233" ht="30" customHeight="1">
      <x:c r="A233" s="40" t="str">
        <x:v>FT-SEED-R1B-P-1938-17</x:v>
      </x:c>
      <x:c r="B233" s="19" t="str">
        <x:v>PRIORITY_180</x:v>
      </x:c>
      <x:c r="C233" s="31" t="str">
        <x:v>NOT_EXPOSED_IN_REPORT</x:v>
      </x:c>
      <x:c r="D233" s="31" t="str">
        <x:v>8</x:v>
      </x:c>
      <x:c r="E233" s="19" t="str">
        <x:v>FT-A1938</x:v>
      </x:c>
      <x:c r="F233" s="31" t="str">
        <x:v>deadly glaciers</x:v>
      </x:c>
      <x:c r="G233" s="19" t="str">
        <x:v>D</x:v>
      </x:c>
      <x:c r="H233" s="19" t="str">
        <x:v>V1</x:v>
      </x:c>
      <x:c r="I233" s="31" t="str">
        <x:v>S1938-WIRED-CALLENDAR</x:v>
      </x:c>
      <x:c r="J233" s="19" t="str">
        <x:v>NOT_EXPOSED_IN_REPORT</x:v>
      </x:c>
      <x:c r="K233" s="19" t="str">
        <x:v>PRIORITY_RANK=17;ORIGINAL_ROW_CONFIDENCE_NOT_EXPOSED</x:v>
      </x:c>
      <x:c r="L233" s="19" t="str">
        <x:v>NOT_EXPOSED_IN_REPORT</x:v>
      </x:c>
      <x:c r="M233" s="19" t="str">
        <x:v>PRIORITY_RANK_17</x:v>
      </x:c>
      <x:c r="N233" s="31" t="str">
        <x:v>RECONSTRUCTED_FROM_REPORT</x:v>
      </x:c>
      <x:c r="O233" s="31" t="str">
        <x:v>UNRESOLVED</x:v>
      </x:c>
      <x:c r="P233" s="19" t="str">
        <x:v>Fear of Temperature_ Stratified Lexical Expansion, Voice Mapping, and Semantic-Relational Pre-Valida.pdf</x:v>
      </x:c>
      <x:c r="Q233" s="31" t="str">
        <x:v>RECONSTRUCTED_FROM_REPORT</x:v>
      </x:c>
      <x:c r="R233" s="43" t="str">
        <x:v>New surrogate project ID assigned from the compact report table; never an original later-stage structured candidate ID.</x:v>
      </x:c>
    </x:row>
    <x:row r="234" ht="30" customHeight="1">
      <x:c r="A234" s="40" t="str">
        <x:v>FT-SEED-R1B-P-1938-18</x:v>
      </x:c>
      <x:c r="B234" s="19" t="str">
        <x:v>PRIORITY_180</x:v>
      </x:c>
      <x:c r="C234" s="31" t="str">
        <x:v>NOT_EXPOSED_IN_REPORT</x:v>
      </x:c>
      <x:c r="D234" s="31" t="str">
        <x:v>8</x:v>
      </x:c>
      <x:c r="E234" s="19" t="str">
        <x:v>FT-A1938</x:v>
      </x:c>
      <x:c r="F234" s="31" t="str">
        <x:v>rather a coincidence</x:v>
      </x:c>
      <x:c r="G234" s="19" t="str">
        <x:v>C</x:v>
      </x:c>
      <x:c r="H234" s="19" t="str">
        <x:v>V1</x:v>
      </x:c>
      <x:c r="I234" s="31" t="str">
        <x:v>S1938-SHI-RECEPTION</x:v>
      </x:c>
      <x:c r="J234" s="19" t="str">
        <x:v>E2</x:v>
      </x:c>
      <x:c r="K234" s="19" t="str">
        <x:v>PRIORITY_RANK=18;ORIGINAL_ROW_CONFIDENCE_NOT_EXPOSED</x:v>
      </x:c>
      <x:c r="L234" s="19" t="str">
        <x:v>NOT_EXPOSED_IN_REPORT</x:v>
      </x:c>
      <x:c r="M234" s="19" t="str">
        <x:v>PRIORITY_RANK_18</x:v>
      </x:c>
      <x:c r="N234" s="31" t="str">
        <x:v>RECONSTRUCTED_FROM_REPORT</x:v>
      </x:c>
      <x:c r="O234" s="31" t="str">
        <x:v>UNRESOLVED</x:v>
      </x:c>
      <x:c r="P234" s="19" t="str">
        <x:v>Fear of Temperature_ Stratified Lexical Expansion, Voice Mapping, and Semantic-Relational Pre-Valida.pdf</x:v>
      </x:c>
      <x:c r="Q234" s="31" t="str">
        <x:v>RECONSTRUCTED_FROM_REPORT</x:v>
      </x:c>
      <x:c r="R234" s="43" t="str">
        <x:v>New surrogate project ID assigned from the compact report table; never an original later-stage structured candidate ID.</x:v>
      </x:c>
    </x:row>
    <x:row r="235" ht="30" customHeight="1">
      <x:c r="A235" s="40" t="str">
        <x:v>FT-SEED-R1B-P-1938-19</x:v>
      </x:c>
      <x:c r="B235" s="19" t="str">
        <x:v>PRIORITY_180</x:v>
      </x:c>
      <x:c r="C235" s="31" t="str">
        <x:v>NOT_EXPOSED_IN_REPORT</x:v>
      </x:c>
      <x:c r="D235" s="31" t="str">
        <x:v>8</x:v>
      </x:c>
      <x:c r="E235" s="19" t="str">
        <x:v>FT-A1938</x:v>
      </x:c>
      <x:c r="F235" s="31" t="str">
        <x:v>Hottest Day for Ten Years</x:v>
      </x:c>
      <x:c r="G235" s="19" t="str">
        <x:v>A</x:v>
      </x:c>
      <x:c r="H235" s="19" t="str">
        <x:v>V3</x:v>
      </x:c>
      <x:c r="I235" s="31" t="str">
        <x:v>S1938-COURIER</x:v>
      </x:c>
      <x:c r="J235" s="19" t="str">
        <x:v>NOT_EXPOSED_IN_REPORT</x:v>
      </x:c>
      <x:c r="K235" s="19" t="str">
        <x:v>PRIORITY_RANK=19;ORIGINAL_ROW_CONFIDENCE_NOT_EXPOSED</x:v>
      </x:c>
      <x:c r="L235" s="19" t="str">
        <x:v>NOT_EXPOSED_IN_REPORT</x:v>
      </x:c>
      <x:c r="M235" s="19" t="str">
        <x:v>PRIORITY_RANK_19</x:v>
      </x:c>
      <x:c r="N235" s="31" t="str">
        <x:v>RECONSTRUCTED_FROM_REPORT</x:v>
      </x:c>
      <x:c r="O235" s="31" t="str">
        <x:v>UNRESOLVED</x:v>
      </x:c>
      <x:c r="P235" s="19" t="str">
        <x:v>Fear of Temperature_ Stratified Lexical Expansion, Voice Mapping, and Semantic-Relational Pre-Valida.pdf</x:v>
      </x:c>
      <x:c r="Q235" s="31" t="str">
        <x:v>RECONSTRUCTED_FROM_REPORT</x:v>
      </x:c>
      <x:c r="R235" s="43" t="str">
        <x:v>New surrogate project ID assigned from the compact report table; never an original later-stage structured candidate ID.</x:v>
      </x:c>
    </x:row>
    <x:row r="236" ht="30" customHeight="1">
      <x:c r="A236" s="40" t="str">
        <x:v>FT-SEED-R1B-P-1938-20</x:v>
      </x:c>
      <x:c r="B236" s="19" t="str">
        <x:v>PRIORITY_180</x:v>
      </x:c>
      <x:c r="C236" s="31" t="str">
        <x:v>NOT_EXPOSED_IN_REPORT</x:v>
      </x:c>
      <x:c r="D236" s="31" t="str">
        <x:v>8</x:v>
      </x:c>
      <x:c r="E236" s="19" t="str">
        <x:v>FT-A1938</x:v>
      </x:c>
      <x:c r="F236" s="31" t="str">
        <x:v>Heat Wave Over Queensland</x:v>
      </x:c>
      <x:c r="G236" s="19" t="str">
        <x:v>A</x:v>
      </x:c>
      <x:c r="H236" s="19" t="str">
        <x:v>V3</x:v>
      </x:c>
      <x:c r="I236" s="31" t="str">
        <x:v>S1938-COURIER</x:v>
      </x:c>
      <x:c r="J236" s="19" t="str">
        <x:v>NOT_EXPOSED_IN_REPORT</x:v>
      </x:c>
      <x:c r="K236" s="19" t="str">
        <x:v>PRIORITY_RANK=20;ORIGINAL_ROW_CONFIDENCE_NOT_EXPOSED</x:v>
      </x:c>
      <x:c r="L236" s="19" t="str">
        <x:v>NOT_EXPOSED_IN_REPORT</x:v>
      </x:c>
      <x:c r="M236" s="19" t="str">
        <x:v>PRIORITY_RANK_20</x:v>
      </x:c>
      <x:c r="N236" s="31" t="str">
        <x:v>RECONSTRUCTED_FROM_REPORT</x:v>
      </x:c>
      <x:c r="O236" s="31" t="str">
        <x:v>UNRESOLVED</x:v>
      </x:c>
      <x:c r="P236" s="19" t="str">
        <x:v>Fear of Temperature_ Stratified Lexical Expansion, Voice Mapping, and Semantic-Relational Pre-Valida.pdf</x:v>
      </x:c>
      <x:c r="Q236" s="31" t="str">
        <x:v>RECONSTRUCTED_FROM_REPORT</x:v>
      </x:c>
      <x:c r="R236" s="43" t="str">
        <x:v>New surrogate project ID assigned from the compact report table; never an original later-stage structured candidate ID.</x:v>
      </x:c>
    </x:row>
    <x:row r="237" ht="30" customHeight="1">
      <x:c r="A237" s="40" t="str">
        <x:v>FT-SEED-R1B-P-1938-23</x:v>
      </x:c>
      <x:c r="B237" s="19" t="str">
        <x:v>PRIORITY_180</x:v>
      </x:c>
      <x:c r="C237" s="31" t="str">
        <x:v>NOT_EXPOSED_IN_REPORT</x:v>
      </x:c>
      <x:c r="D237" s="31" t="str">
        <x:v>8</x:v>
      </x:c>
      <x:c r="E237" s="19" t="str">
        <x:v>FT-A1938</x:v>
      </x:c>
      <x:c r="F237" s="31" t="str">
        <x:v>scorching westerly wind</x:v>
      </x:c>
      <x:c r="G237" s="19" t="str">
        <x:v>D</x:v>
      </x:c>
      <x:c r="H237" s="19" t="str">
        <x:v>V3</x:v>
      </x:c>
      <x:c r="I237" s="31" t="str">
        <x:v>S1938-COURIER</x:v>
      </x:c>
      <x:c r="J237" s="19" t="str">
        <x:v>NOT_EXPOSED_IN_REPORT</x:v>
      </x:c>
      <x:c r="K237" s="19" t="str">
        <x:v>PRIORITY_RANK=23;ORIGINAL_ROW_CONFIDENCE_NOT_EXPOSED</x:v>
      </x:c>
      <x:c r="L237" s="19" t="str">
        <x:v>NOT_EXPOSED_IN_REPORT</x:v>
      </x:c>
      <x:c r="M237" s="19" t="str">
        <x:v>PRIORITY_RANK_23</x:v>
      </x:c>
      <x:c r="N237" s="31" t="str">
        <x:v>RECONSTRUCTED_FROM_REPORT</x:v>
      </x:c>
      <x:c r="O237" s="31" t="str">
        <x:v>UNRESOLVED</x:v>
      </x:c>
      <x:c r="P237" s="19" t="str">
        <x:v>Fear of Temperature_ Stratified Lexical Expansion, Voice Mapping, and Semantic-Relational Pre-Valida.pdf</x:v>
      </x:c>
      <x:c r="Q237" s="31" t="str">
        <x:v>RECONSTRUCTED_FROM_REPORT</x:v>
      </x:c>
      <x:c r="R237" s="43" t="str">
        <x:v>New surrogate project ID assigned from the compact report table; never an original later-stage structured candidate ID.</x:v>
      </x:c>
    </x:row>
    <x:row r="238" ht="30" customHeight="1">
      <x:c r="A238" s="40" t="str">
        <x:v>FT-SEED-R1B-P-1938-24</x:v>
      </x:c>
      <x:c r="B238" s="19" t="str">
        <x:v>PRIORITY_180</x:v>
      </x:c>
      <x:c r="C238" s="31" t="str">
        <x:v>NOT_EXPOSED_IN_REPORT</x:v>
      </x:c>
      <x:c r="D238" s="31" t="str">
        <x:v>8</x:v>
      </x:c>
      <x:c r="E238" s="19" t="str">
        <x:v>FT-A1938</x:v>
      </x:c>
      <x:c r="F238" s="31" t="str">
        <x:v>pitiless sun</x:v>
      </x:c>
      <x:c r="G238" s="19" t="str">
        <x:v>D</x:v>
      </x:c>
      <x:c r="H238" s="19" t="str">
        <x:v>V3</x:v>
      </x:c>
      <x:c r="I238" s="31" t="str">
        <x:v>S1938-COURIER</x:v>
      </x:c>
      <x:c r="J238" s="19" t="str">
        <x:v>NOT_EXPOSED_IN_REPORT</x:v>
      </x:c>
      <x:c r="K238" s="19" t="str">
        <x:v>PRIORITY_RANK=24;ORIGINAL_ROW_CONFIDENCE_NOT_EXPOSED</x:v>
      </x:c>
      <x:c r="L238" s="19" t="str">
        <x:v>NOT_EXPOSED_IN_REPORT</x:v>
      </x:c>
      <x:c r="M238" s="19" t="str">
        <x:v>PRIORITY_RANK_24</x:v>
      </x:c>
      <x:c r="N238" s="31" t="str">
        <x:v>RECONSTRUCTED_FROM_REPORT</x:v>
      </x:c>
      <x:c r="O238" s="31" t="str">
        <x:v>UNRESOLVED</x:v>
      </x:c>
      <x:c r="P238" s="19" t="str">
        <x:v>Fear of Temperature_ Stratified Lexical Expansion, Voice Mapping, and Semantic-Relational Pre-Valida.pdf</x:v>
      </x:c>
      <x:c r="Q238" s="31" t="str">
        <x:v>RECONSTRUCTED_FROM_REPORT</x:v>
      </x:c>
      <x:c r="R238" s="43" t="str">
        <x:v>New surrogate project ID assigned from the compact report table; never an original later-stage structured candidate ID.</x:v>
      </x:c>
    </x:row>
    <x:row r="239" ht="30" customHeight="1">
      <x:c r="A239" s="40" t="str">
        <x:v>FT-SEED-R1B-P-1938-25</x:v>
      </x:c>
      <x:c r="B239" s="19" t="str">
        <x:v>PRIORITY_180</x:v>
      </x:c>
      <x:c r="C239" s="31" t="str">
        <x:v>NOT_EXPOSED_IN_REPORT</x:v>
      </x:c>
      <x:c r="D239" s="31" t="str">
        <x:v>8</x:v>
      </x:c>
      <x:c r="E239" s="19" t="str">
        <x:v>FT-A1938</x:v>
      </x:c>
      <x:c r="F239" s="31" t="str">
        <x:v>hottest spell for years</x:v>
      </x:c>
      <x:c r="G239" s="19" t="str">
        <x:v>A</x:v>
      </x:c>
      <x:c r="H239" s="19" t="str">
        <x:v>V3</x:v>
      </x:c>
      <x:c r="I239" s="31" t="str">
        <x:v>S1938-COURIER</x:v>
      </x:c>
      <x:c r="J239" s="19" t="str">
        <x:v>NOT_EXPOSED_IN_REPORT</x:v>
      </x:c>
      <x:c r="K239" s="19" t="str">
        <x:v>PRIORITY_RANK=25;ORIGINAL_ROW_CONFIDENCE_NOT_EXPOSED</x:v>
      </x:c>
      <x:c r="L239" s="19" t="str">
        <x:v>NOT_EXPOSED_IN_REPORT</x:v>
      </x:c>
      <x:c r="M239" s="19" t="str">
        <x:v>PRIORITY_RANK_25</x:v>
      </x:c>
      <x:c r="N239" s="31" t="str">
        <x:v>RECONSTRUCTED_FROM_REPORT</x:v>
      </x:c>
      <x:c r="O239" s="31" t="str">
        <x:v>UNRESOLVED</x:v>
      </x:c>
      <x:c r="P239" s="19" t="str">
        <x:v>Fear of Temperature_ Stratified Lexical Expansion, Voice Mapping, and Semantic-Relational Pre-Valida.pdf</x:v>
      </x:c>
      <x:c r="Q239" s="31" t="str">
        <x:v>RECONSTRUCTED_FROM_REPORT</x:v>
      </x:c>
      <x:c r="R239" s="43" t="str">
        <x:v>New surrogate project ID assigned from the compact report table; never an original later-stage structured candidate ID.</x:v>
      </x:c>
    </x:row>
    <x:row r="240" ht="30" customHeight="1">
      <x:c r="A240" s="40" t="str">
        <x:v>FT-SEED-R1B-P-1938-26</x:v>
      </x:c>
      <x:c r="B240" s="19" t="str">
        <x:v>PRIORITY_180</x:v>
      </x:c>
      <x:c r="C240" s="31" t="str">
        <x:v>NOT_EXPOSED_IN_REPORT</x:v>
      </x:c>
      <x:c r="D240" s="31" t="str">
        <x:v>8</x:v>
      </x:c>
      <x:c r="E240" s="19" t="str">
        <x:v>FT-A1938</x:v>
      </x:c>
      <x:c r="F240" s="31" t="str">
        <x:v>weather is just bearable</x:v>
      </x:c>
      <x:c r="G240" s="19" t="str">
        <x:v>C</x:v>
      </x:c>
      <x:c r="H240" s="19" t="str">
        <x:v>V3</x:v>
      </x:c>
      <x:c r="I240" s="31" t="str">
        <x:v>S1938-COURIER</x:v>
      </x:c>
      <x:c r="J240" s="19" t="str">
        <x:v>NOT_EXPOSED_IN_REPORT</x:v>
      </x:c>
      <x:c r="K240" s="19" t="str">
        <x:v>PRIORITY_RANK=26;ORIGINAL_ROW_CONFIDENCE_NOT_EXPOSED</x:v>
      </x:c>
      <x:c r="L240" s="19" t="str">
        <x:v>NOT_EXPOSED_IN_REPORT</x:v>
      </x:c>
      <x:c r="M240" s="19" t="str">
        <x:v>PRIORITY_RANK_26</x:v>
      </x:c>
      <x:c r="N240" s="31" t="str">
        <x:v>RECONSTRUCTED_FROM_REPORT</x:v>
      </x:c>
      <x:c r="O240" s="31" t="str">
        <x:v>UNRESOLVED</x:v>
      </x:c>
      <x:c r="P240" s="19" t="str">
        <x:v>Fear of Temperature_ Stratified Lexical Expansion, Voice Mapping, and Semantic-Relational Pre-Valida.pdf</x:v>
      </x:c>
      <x:c r="Q240" s="31" t="str">
        <x:v>RECONSTRUCTED_FROM_REPORT</x:v>
      </x:c>
      <x:c r="R240" s="43" t="str">
        <x:v>New surrogate project ID assigned from the compact report table; never an original later-stage structured candidate ID.</x:v>
      </x:c>
    </x:row>
    <x:row r="241" ht="30" customHeight="1">
      <x:c r="A241" s="40" t="str">
        <x:v>FT-SEED-R1B-P-1938-27</x:v>
      </x:c>
      <x:c r="B241" s="19" t="str">
        <x:v>PRIORITY_180</x:v>
      </x:c>
      <x:c r="C241" s="31" t="str">
        <x:v>NOT_EXPOSED_IN_REPORT</x:v>
      </x:c>
      <x:c r="D241" s="31" t="str">
        <x:v>8</x:v>
      </x:c>
      <x:c r="E241" s="19" t="str">
        <x:v>FT-A1938</x:v>
      </x:c>
      <x:c r="F241" s="31" t="str">
        <x:v>heat records</x:v>
      </x:c>
      <x:c r="G241" s="19" t="str">
        <x:v>A</x:v>
      </x:c>
      <x:c r="H241" s="19" t="str">
        <x:v>V3</x:v>
      </x:c>
      <x:c r="I241" s="31" t="str">
        <x:v>S1938-COURIER</x:v>
      </x:c>
      <x:c r="J241" s="19" t="str">
        <x:v>NOT_EXPOSED_IN_REPORT</x:v>
      </x:c>
      <x:c r="K241" s="19" t="str">
        <x:v>PRIORITY_RANK=27;ORIGINAL_ROW_CONFIDENCE_NOT_EXPOSED</x:v>
      </x:c>
      <x:c r="L241" s="19" t="str">
        <x:v>NOT_EXPOSED_IN_REPORT</x:v>
      </x:c>
      <x:c r="M241" s="19" t="str">
        <x:v>PRIORITY_RANK_27</x:v>
      </x:c>
      <x:c r="N241" s="31" t="str">
        <x:v>RECONSTRUCTED_FROM_REPORT</x:v>
      </x:c>
      <x:c r="O241" s="31" t="str">
        <x:v>UNRESOLVED</x:v>
      </x:c>
      <x:c r="P241" s="19" t="str">
        <x:v>Fear of Temperature_ Stratified Lexical Expansion, Voice Mapping, and Semantic-Relational Pre-Valida.pdf</x:v>
      </x:c>
      <x:c r="Q241" s="31" t="str">
        <x:v>RECONSTRUCTED_FROM_REPORT</x:v>
      </x:c>
      <x:c r="R241" s="43" t="str">
        <x:v>New surrogate project ID assigned from the compact report table; never an original later-stage structured candidate ID.</x:v>
      </x:c>
    </x:row>
    <x:row r="242" ht="30" customHeight="1">
      <x:c r="A242" s="40" t="str">
        <x:v>FT-SEED-R1B-P-1938-28</x:v>
      </x:c>
      <x:c r="B242" s="19" t="str">
        <x:v>PRIORITY_180</x:v>
      </x:c>
      <x:c r="C242" s="31" t="str">
        <x:v>NOT_EXPOSED_IN_REPORT</x:v>
      </x:c>
      <x:c r="D242" s="31" t="str">
        <x:v>8</x:v>
      </x:c>
      <x:c r="E242" s="19" t="str">
        <x:v>FT-A1938</x:v>
      </x:c>
      <x:c r="F242" s="31" t="str">
        <x:v>drought</x:v>
      </x:c>
      <x:c r="G242" s="19" t="str">
        <x:v>D</x:v>
      </x:c>
      <x:c r="H242" s="19" t="str">
        <x:v>V3</x:v>
      </x:c>
      <x:c r="I242" s="31" t="str">
        <x:v>S1938-COURIER</x:v>
      </x:c>
      <x:c r="J242" s="19" t="str">
        <x:v>NOT_EXPOSED_IN_REPORT</x:v>
      </x:c>
      <x:c r="K242" s="19" t="str">
        <x:v>PRIORITY_RANK=28;ORIGINAL_ROW_CONFIDENCE_NOT_EXPOSED</x:v>
      </x:c>
      <x:c r="L242" s="19" t="str">
        <x:v>NOT_EXPOSED_IN_REPORT</x:v>
      </x:c>
      <x:c r="M242" s="19" t="str">
        <x:v>PRIORITY_RANK_28</x:v>
      </x:c>
      <x:c r="N242" s="31" t="str">
        <x:v>RECONSTRUCTED_FROM_REPORT</x:v>
      </x:c>
      <x:c r="O242" s="31" t="str">
        <x:v>UNRESOLVED</x:v>
      </x:c>
      <x:c r="P242" s="19" t="str">
        <x:v>Fear of Temperature_ Stratified Lexical Expansion, Voice Mapping, and Semantic-Relational Pre-Valida.pdf</x:v>
      </x:c>
      <x:c r="Q242" s="31" t="str">
        <x:v>RECONSTRUCTED_FROM_REPORT</x:v>
      </x:c>
      <x:c r="R242" s="43" t="str">
        <x:v>New surrogate project ID assigned from the compact report table; never an original later-stage structured candidate ID.</x:v>
      </x:c>
    </x:row>
    <x:row r="243" ht="30" customHeight="1">
      <x:c r="A243" s="40" t="str">
        <x:v>FT-SEED-R1B-P-1938-29</x:v>
      </x:c>
      <x:c r="B243" s="19" t="str">
        <x:v>PRIORITY_180</x:v>
      </x:c>
      <x:c r="C243" s="31" t="str">
        <x:v>NOT_EXPOSED_IN_REPORT</x:v>
      </x:c>
      <x:c r="D243" s="31" t="str">
        <x:v>8</x:v>
      </x:c>
      <x:c r="E243" s="19" t="str">
        <x:v>FT-A1938</x:v>
      </x:c>
      <x:c r="F243" s="31" t="str">
        <x:v>grass fires</x:v>
      </x:c>
      <x:c r="G243" s="19" t="str">
        <x:v>D</x:v>
      </x:c>
      <x:c r="H243" s="19" t="str">
        <x:v>V3</x:v>
      </x:c>
      <x:c r="I243" s="31" t="str">
        <x:v>S1938-COURIER</x:v>
      </x:c>
      <x:c r="J243" s="19" t="str">
        <x:v>NOT_EXPOSED_IN_REPORT</x:v>
      </x:c>
      <x:c r="K243" s="19" t="str">
        <x:v>PRIORITY_RANK=29;ORIGINAL_ROW_CONFIDENCE_NOT_EXPOSED</x:v>
      </x:c>
      <x:c r="L243" s="19" t="str">
        <x:v>NOT_EXPOSED_IN_REPORT</x:v>
      </x:c>
      <x:c r="M243" s="19" t="str">
        <x:v>PRIORITY_RANK_29</x:v>
      </x:c>
      <x:c r="N243" s="31" t="str">
        <x:v>RECONSTRUCTED_FROM_REPORT</x:v>
      </x:c>
      <x:c r="O243" s="31" t="str">
        <x:v>UNRESOLVED</x:v>
      </x:c>
      <x:c r="P243" s="19" t="str">
        <x:v>Fear of Temperature_ Stratified Lexical Expansion, Voice Mapping, and Semantic-Relational Pre-Valida.pdf</x:v>
      </x:c>
      <x:c r="Q243" s="31" t="str">
        <x:v>RECONSTRUCTED_FROM_REPORT</x:v>
      </x:c>
      <x:c r="R243" s="43" t="str">
        <x:v>New surrogate project ID assigned from the compact report table; never an original later-stage structured candidate ID.</x:v>
      </x:c>
    </x:row>
    <x:row r="244" ht="30" customHeight="1">
      <x:c r="A244" s="40" t="str">
        <x:v>FT-SEED-R1B-P-1938-30</x:v>
      </x:c>
      <x:c r="B244" s="19" t="str">
        <x:v>PRIORITY_180</x:v>
      </x:c>
      <x:c r="C244" s="31" t="str">
        <x:v>NOT_EXPOSED_IN_REPORT</x:v>
      </x:c>
      <x:c r="D244" s="31" t="str">
        <x:v>8</x:v>
      </x:c>
      <x:c r="E244" s="19" t="str">
        <x:v>FT-A1938</x:v>
      </x:c>
      <x:c r="F244" s="31" t="str">
        <x:v>unbearable heat</x:v>
      </x:c>
      <x:c r="G244" s="19" t="str">
        <x:v>D</x:v>
      </x:c>
      <x:c r="H244" s="19" t="str">
        <x:v>V3</x:v>
      </x:c>
      <x:c r="I244" s="31" t="str">
        <x:v>S1938-TORCH</x:v>
      </x:c>
      <x:c r="J244" s="19" t="str">
        <x:v>NOT_EXPOSED_IN_REPORT</x:v>
      </x:c>
      <x:c r="K244" s="19" t="str">
        <x:v>PRIORITY_RANK=30;ORIGINAL_ROW_CONFIDENCE_NOT_EXPOSED</x:v>
      </x:c>
      <x:c r="L244" s="19" t="str">
        <x:v>NOT_EXPOSED_IN_REPORT</x:v>
      </x:c>
      <x:c r="M244" s="19" t="str">
        <x:v>PRIORITY_RANK_30</x:v>
      </x:c>
      <x:c r="N244" s="31" t="str">
        <x:v>RECONSTRUCTED_FROM_REPORT</x:v>
      </x:c>
      <x:c r="O244" s="31" t="str">
        <x:v>UNRESOLVED</x:v>
      </x:c>
      <x:c r="P244" s="19" t="str">
        <x:v>Fear of Temperature_ Stratified Lexical Expansion, Voice Mapping, and Semantic-Relational Pre-Valida.pdf</x:v>
      </x:c>
      <x:c r="Q244" s="31" t="str">
        <x:v>RECONSTRUCTED_FROM_REPORT</x:v>
      </x:c>
      <x:c r="R244" s="43" t="str">
        <x:v>New surrogate project ID assigned from the compact report table; never an original later-stage structured candidate ID.</x:v>
      </x:c>
    </x:row>
    <x:row r="245" ht="30" customHeight="1">
      <x:c r="A245" s="40" t="str">
        <x:v>FT-SEED-R1B-P-1988-01</x:v>
      </x:c>
      <x:c r="B245" s="19" t="str">
        <x:v>PRIORITY_180</x:v>
      </x:c>
      <x:c r="C245" s="31" t="str">
        <x:v>NOT_EXPOSED_IN_REPORT</x:v>
      </x:c>
      <x:c r="D245" s="31" t="str">
        <x:v>9</x:v>
      </x:c>
      <x:c r="E245" s="19" t="str">
        <x:v>FT-A1988</x:v>
      </x:c>
      <x:c r="F245" s="31" t="str">
        <x:v>greenhouse effect</x:v>
      </x:c>
      <x:c r="G245" s="19" t="str">
        <x:v>B</x:v>
      </x:c>
      <x:c r="H245" s="19" t="str">
        <x:v>V1</x:v>
      </x:c>
      <x:c r="I245" s="31" t="str">
        <x:v>S1988-HANSEN</x:v>
      </x:c>
      <x:c r="J245" s="19" t="str">
        <x:v>NOT_EXPOSED_IN_REPORT</x:v>
      </x:c>
      <x:c r="K245" s="19" t="str">
        <x:v>PRIORITY_RANK=1;ORIGINAL_ROW_CONFIDENCE_NOT_EXPOSED</x:v>
      </x:c>
      <x:c r="L245" s="19" t="str">
        <x:v>NOT_EXPOSED_IN_REPORT</x:v>
      </x:c>
      <x:c r="M245" s="19" t="str">
        <x:v>PRIORITY_RANK_01</x:v>
      </x:c>
      <x:c r="N245" s="31" t="str">
        <x:v>RECONSTRUCTED_FROM_REPORT</x:v>
      </x:c>
      <x:c r="O245" s="31" t="str">
        <x:v>UNRESOLVED</x:v>
      </x:c>
      <x:c r="P245" s="19" t="str">
        <x:v>Fear of Temperature_ Stratified Lexical Expansion, Voice Mapping, and Semantic-Relational Pre-Valida.pdf</x:v>
      </x:c>
      <x:c r="Q245" s="31" t="str">
        <x:v>RECONSTRUCTED_FROM_REPORT</x:v>
      </x:c>
      <x:c r="R245" s="43" t="str">
        <x:v>New surrogate project ID assigned from the compact report table; never an original later-stage structured candidate ID.</x:v>
      </x:c>
    </x:row>
    <x:row r="246" ht="30" customHeight="1">
      <x:c r="A246" s="40" t="str">
        <x:v>FT-SEED-R1B-P-1988-02</x:v>
      </x:c>
      <x:c r="B246" s="19" t="str">
        <x:v>PRIORITY_180</x:v>
      </x:c>
      <x:c r="C246" s="31" t="str">
        <x:v>NOT_EXPOSED_IN_REPORT</x:v>
      </x:c>
      <x:c r="D246" s="31" t="str">
        <x:v>9</x:v>
      </x:c>
      <x:c r="E246" s="19" t="str">
        <x:v>FT-A1988</x:v>
      </x:c>
      <x:c r="F246" s="31" t="str">
        <x:v>global warming</x:v>
      </x:c>
      <x:c r="G246" s="19" t="str">
        <x:v>A</x:v>
      </x:c>
      <x:c r="H246" s="19" t="str">
        <x:v>V1</x:v>
      </x:c>
      <x:c r="I246" s="31" t="str">
        <x:v>S1988-HANSEN</x:v>
      </x:c>
      <x:c r="J246" s="19" t="str">
        <x:v>NOT_EXPOSED_IN_REPORT</x:v>
      </x:c>
      <x:c r="K246" s="19" t="str">
        <x:v>PRIORITY_RANK=2;ORIGINAL_ROW_CONFIDENCE_NOT_EXPOSED</x:v>
      </x:c>
      <x:c r="L246" s="19" t="str">
        <x:v>NOT_EXPOSED_IN_REPORT</x:v>
      </x:c>
      <x:c r="M246" s="19" t="str">
        <x:v>PRIORITY_RANK_02</x:v>
      </x:c>
      <x:c r="N246" s="31" t="str">
        <x:v>RECONSTRUCTED_FROM_REPORT</x:v>
      </x:c>
      <x:c r="O246" s="31" t="str">
        <x:v>UNRESOLVED</x:v>
      </x:c>
      <x:c r="P246" s="19" t="str">
        <x:v>Fear of Temperature_ Stratified Lexical Expansion, Voice Mapping, and Semantic-Relational Pre-Valida.pdf</x:v>
      </x:c>
      <x:c r="Q246" s="31" t="str">
        <x:v>RECONSTRUCTED_FROM_REPORT</x:v>
      </x:c>
      <x:c r="R246" s="43" t="str">
        <x:v>New surrogate project ID assigned from the compact report table; never an original later-stage structured candidate ID.</x:v>
      </x:c>
    </x:row>
    <x:row r="247" ht="30" customHeight="1">
      <x:c r="A247" s="40" t="str">
        <x:v>FT-SEED-R1B-P-1988-03</x:v>
      </x:c>
      <x:c r="B247" s="19" t="str">
        <x:v>PRIORITY_180</x:v>
      </x:c>
      <x:c r="C247" s="31" t="str">
        <x:v>NOT_EXPOSED_IN_REPORT</x:v>
      </x:c>
      <x:c r="D247" s="31" t="str">
        <x:v>9</x:v>
      </x:c>
      <x:c r="E247" s="19" t="str">
        <x:v>FT-A1988</x:v>
      </x:c>
      <x:c r="F247" s="31" t="str">
        <x:v>earth is warmer</x:v>
      </x:c>
      <x:c r="G247" s="19" t="str">
        <x:v>A</x:v>
      </x:c>
      <x:c r="H247" s="19" t="str">
        <x:v>V1</x:v>
      </x:c>
      <x:c r="I247" s="31" t="str">
        <x:v>S1988-HANSEN</x:v>
      </x:c>
      <x:c r="J247" s="19" t="str">
        <x:v>NOT_EXPOSED_IN_REPORT</x:v>
      </x:c>
      <x:c r="K247" s="19" t="str">
        <x:v>PRIORITY_RANK=3;ORIGINAL_ROW_CONFIDENCE_NOT_EXPOSED</x:v>
      </x:c>
      <x:c r="L247" s="19" t="str">
        <x:v>NOT_EXPOSED_IN_REPORT</x:v>
      </x:c>
      <x:c r="M247" s="19" t="str">
        <x:v>PRIORITY_RANK_03</x:v>
      </x:c>
      <x:c r="N247" s="31" t="str">
        <x:v>RECONSTRUCTED_FROM_REPORT</x:v>
      </x:c>
      <x:c r="O247" s="31" t="str">
        <x:v>UNRESOLVED</x:v>
      </x:c>
      <x:c r="P247" s="19" t="str">
        <x:v>Fear of Temperature_ Stratified Lexical Expansion, Voice Mapping, and Semantic-Relational Pre-Valida.pdf</x:v>
      </x:c>
      <x:c r="Q247" s="31" t="str">
        <x:v>RECONSTRUCTED_FROM_REPORT</x:v>
      </x:c>
      <x:c r="R247" s="43" t="str">
        <x:v>New surrogate project ID assigned from the compact report table; never an original later-stage structured candidate ID.</x:v>
      </x:c>
    </x:row>
    <x:row r="248" ht="30" customHeight="1">
      <x:c r="A248" s="40" t="str">
        <x:v>FT-SEED-R1B-P-1988-04</x:v>
      </x:c>
      <x:c r="B248" s="19" t="str">
        <x:v>PRIORITY_180</x:v>
      </x:c>
      <x:c r="C248" s="31" t="str">
        <x:v>NOT_EXPOSED_IN_REPORT</x:v>
      </x:c>
      <x:c r="D248" s="31" t="str">
        <x:v>9</x:v>
      </x:c>
      <x:c r="E248" s="19" t="str">
        <x:v>FT-A1988</x:v>
      </x:c>
      <x:c r="F248" s="31" t="str">
        <x:v>instrumental measurements</x:v>
      </x:c>
      <x:c r="G248" s="19" t="str">
        <x:v>B</x:v>
      </x:c>
      <x:c r="H248" s="19" t="str">
        <x:v>V1</x:v>
      </x:c>
      <x:c r="I248" s="31" t="str">
        <x:v>S1988-HANSEN</x:v>
      </x:c>
      <x:c r="J248" s="19" t="str">
        <x:v>NOT_EXPOSED_IN_REPORT</x:v>
      </x:c>
      <x:c r="K248" s="19" t="str">
        <x:v>PRIORITY_RANK=4;ORIGINAL_ROW_CONFIDENCE_NOT_EXPOSED</x:v>
      </x:c>
      <x:c r="L248" s="19" t="str">
        <x:v>NOT_EXPOSED_IN_REPORT</x:v>
      </x:c>
      <x:c r="M248" s="19" t="str">
        <x:v>PRIORITY_RANK_04</x:v>
      </x:c>
      <x:c r="N248" s="31" t="str">
        <x:v>RECONSTRUCTED_FROM_REPORT</x:v>
      </x:c>
      <x:c r="O248" s="31" t="str">
        <x:v>UNRESOLVED</x:v>
      </x:c>
      <x:c r="P248" s="19" t="str">
        <x:v>Fear of Temperature_ Stratified Lexical Expansion, Voice Mapping, and Semantic-Relational Pre-Valida.pdf</x:v>
      </x:c>
      <x:c r="Q248" s="31" t="str">
        <x:v>RECONSTRUCTED_FROM_REPORT</x:v>
      </x:c>
      <x:c r="R248" s="43" t="str">
        <x:v>New surrogate project ID assigned from the compact report table; never an original later-stage structured candidate ID.</x:v>
      </x:c>
    </x:row>
    <x:row r="249" ht="30" customHeight="1">
      <x:c r="A249" s="40" t="str">
        <x:v>FT-SEED-R1B-P-1988-05</x:v>
      </x:c>
      <x:c r="B249" s="19" t="str">
        <x:v>PRIORITY_180</x:v>
      </x:c>
      <x:c r="C249" s="31" t="str">
        <x:v>NOT_EXPOSED_IN_REPORT</x:v>
      </x:c>
      <x:c r="D249" s="31" t="str">
        <x:v>9</x:v>
      </x:c>
      <x:c r="E249" s="19" t="str">
        <x:v>FT-A1988</x:v>
      </x:c>
      <x:c r="F249" s="31" t="str">
        <x:v>cause-and-effect relationship</x:v>
      </x:c>
      <x:c r="G249" s="19" t="str">
        <x:v>B</x:v>
      </x:c>
      <x:c r="H249" s="19" t="str">
        <x:v>V1</x:v>
      </x:c>
      <x:c r="I249" s="31" t="str">
        <x:v>S1988-HANSEN</x:v>
      </x:c>
      <x:c r="J249" s="19" t="str">
        <x:v>NOT_EXPOSED_IN_REPORT</x:v>
      </x:c>
      <x:c r="K249" s="19" t="str">
        <x:v>PRIORITY_RANK=5;ORIGINAL_ROW_CONFIDENCE_NOT_EXPOSED</x:v>
      </x:c>
      <x:c r="L249" s="19" t="str">
        <x:v>NOT_EXPOSED_IN_REPORT</x:v>
      </x:c>
      <x:c r="M249" s="19" t="str">
        <x:v>PRIORITY_RANK_05</x:v>
      </x:c>
      <x:c r="N249" s="31" t="str">
        <x:v>RECONSTRUCTED_FROM_REPORT</x:v>
      </x:c>
      <x:c r="O249" s="31" t="str">
        <x:v>UNRESOLVED</x:v>
      </x:c>
      <x:c r="P249" s="19" t="str">
        <x:v>Fear of Temperature_ Stratified Lexical Expansion, Voice Mapping, and Semantic-Relational Pre-Valida.pdf</x:v>
      </x:c>
      <x:c r="Q249" s="31" t="str">
        <x:v>RECONSTRUCTED_FROM_REPORT</x:v>
      </x:c>
      <x:c r="R249" s="43" t="str">
        <x:v>New surrogate project ID assigned from the compact report table; never an original later-stage structured candidate ID.</x:v>
      </x:c>
    </x:row>
    <x:row r="250" ht="30" customHeight="1">
      <x:c r="A250" s="40" t="str">
        <x:v>FT-SEED-R1B-P-1988-06</x:v>
      </x:c>
      <x:c r="B250" s="19" t="str">
        <x:v>PRIORITY_180</x:v>
      </x:c>
      <x:c r="C250" s="31" t="str">
        <x:v>NOT_EXPOSED_IN_REPORT</x:v>
      </x:c>
      <x:c r="D250" s="31" t="str">
        <x:v>9</x:v>
      </x:c>
      <x:c r="E250" s="19" t="str">
        <x:v>FT-A1988</x:v>
      </x:c>
      <x:c r="F250" s="31" t="str">
        <x:v>global temperature</x:v>
      </x:c>
      <x:c r="G250" s="19" t="str">
        <x:v>A</x:v>
      </x:c>
      <x:c r="H250" s="19" t="str">
        <x:v>V1</x:v>
      </x:c>
      <x:c r="I250" s="31" t="str">
        <x:v>S1988-HANSEN</x:v>
      </x:c>
      <x:c r="J250" s="19" t="str">
        <x:v>NOT_EXPOSED_IN_REPORT</x:v>
      </x:c>
      <x:c r="K250" s="19" t="str">
        <x:v>PRIORITY_RANK=6;ORIGINAL_ROW_CONFIDENCE_NOT_EXPOSED</x:v>
      </x:c>
      <x:c r="L250" s="19" t="str">
        <x:v>NOT_EXPOSED_IN_REPORT</x:v>
      </x:c>
      <x:c r="M250" s="19" t="str">
        <x:v>PRIORITY_RANK_06</x:v>
      </x:c>
      <x:c r="N250" s="31" t="str">
        <x:v>RECONSTRUCTED_FROM_REPORT</x:v>
      </x:c>
      <x:c r="O250" s="31" t="str">
        <x:v>UNRESOLVED</x:v>
      </x:c>
      <x:c r="P250" s="19" t="str">
        <x:v>Fear of Temperature_ Stratified Lexical Expansion, Voice Mapping, and Semantic-Relational Pre-Valida.pdf</x:v>
      </x:c>
      <x:c r="Q250" s="31" t="str">
        <x:v>RECONSTRUCTED_FROM_REPORT</x:v>
      </x:c>
      <x:c r="R250" s="43" t="str">
        <x:v>New surrogate project ID assigned from the compact report table; never an original later-stage structured candidate ID.</x:v>
      </x:c>
    </x:row>
    <x:row r="251" ht="30" customHeight="1">
      <x:c r="A251" s="40" t="str">
        <x:v>FT-SEED-R1B-P-1988-07</x:v>
      </x:c>
      <x:c r="B251" s="19" t="str">
        <x:v>PRIORITY_180</x:v>
      </x:c>
      <x:c r="C251" s="31" t="str">
        <x:v>NOT_EXPOSED_IN_REPORT</x:v>
      </x:c>
      <x:c r="D251" s="31" t="str">
        <x:v>9</x:v>
      </x:c>
      <x:c r="E251" s="19" t="str">
        <x:v>FT-A1988</x:v>
      </x:c>
      <x:c r="F251" s="31" t="str">
        <x:v>regional heat waves</x:v>
      </x:c>
      <x:c r="G251" s="19" t="str">
        <x:v>A</x:v>
      </x:c>
      <x:c r="H251" s="19" t="str">
        <x:v>V1</x:v>
      </x:c>
      <x:c r="I251" s="31" t="str">
        <x:v>S1988-HANSEN</x:v>
      </x:c>
      <x:c r="J251" s="19" t="str">
        <x:v>NOT_EXPOSED_IN_REPORT</x:v>
      </x:c>
      <x:c r="K251" s="19" t="str">
        <x:v>PRIORITY_RANK=7;ORIGINAL_ROW_CONFIDENCE_NOT_EXPOSED</x:v>
      </x:c>
      <x:c r="L251" s="19" t="str">
        <x:v>NOT_EXPOSED_IN_REPORT</x:v>
      </x:c>
      <x:c r="M251" s="19" t="str">
        <x:v>PRIORITY_RANK_07</x:v>
      </x:c>
      <x:c r="N251" s="31" t="str">
        <x:v>RECONSTRUCTED_FROM_REPORT</x:v>
      </x:c>
      <x:c r="O251" s="31" t="str">
        <x:v>UNRESOLVED</x:v>
      </x:c>
      <x:c r="P251" s="19" t="str">
        <x:v>Fear of Temperature_ Stratified Lexical Expansion, Voice Mapping, and Semantic-Relational Pre-Valida.pdf</x:v>
      </x:c>
      <x:c r="Q251" s="31" t="str">
        <x:v>RECONSTRUCTED_FROM_REPORT</x:v>
      </x:c>
      <x:c r="R251" s="43" t="str">
        <x:v>New surrogate project ID assigned from the compact report table; never an original later-stage structured candidate ID.</x:v>
      </x:c>
    </x:row>
    <x:row r="252" ht="30" customHeight="1">
      <x:c r="A252" s="40" t="str">
        <x:v>FT-SEED-R1B-P-1988-08</x:v>
      </x:c>
      <x:c r="B252" s="19" t="str">
        <x:v>PRIORITY_180</x:v>
      </x:c>
      <x:c r="C252" s="31" t="str">
        <x:v>NOT_EXPOSED_IN_REPORT</x:v>
      </x:c>
      <x:c r="D252" s="31" t="str">
        <x:v>9</x:v>
      </x:c>
      <x:c r="E252" s="19" t="str">
        <x:v>FT-A1988</x:v>
      </x:c>
      <x:c r="F252" s="31" t="str">
        <x:v>heat wave</x:v>
      </x:c>
      <x:c r="G252" s="19" t="str">
        <x:v>A</x:v>
      </x:c>
      <x:c r="H252" s="19" t="str">
        <x:v>V1</x:v>
      </x:c>
      <x:c r="I252" s="31" t="str">
        <x:v>S1988-HANSEN</x:v>
      </x:c>
      <x:c r="J252" s="19" t="str">
        <x:v>NOT_EXPOSED_IN_REPORT</x:v>
      </x:c>
      <x:c r="K252" s="19" t="str">
        <x:v>PRIORITY_RANK=8;ORIGINAL_ROW_CONFIDENCE_NOT_EXPOSED</x:v>
      </x:c>
      <x:c r="L252" s="19" t="str">
        <x:v>NOT_EXPOSED_IN_REPORT</x:v>
      </x:c>
      <x:c r="M252" s="19" t="str">
        <x:v>PRIORITY_RANK_08</x:v>
      </x:c>
      <x:c r="N252" s="31" t="str">
        <x:v>RECONSTRUCTED_FROM_REPORT</x:v>
      </x:c>
      <x:c r="O252" s="31" t="str">
        <x:v>UNRESOLVED</x:v>
      </x:c>
      <x:c r="P252" s="19" t="str">
        <x:v>Fear of Temperature_ Stratified Lexical Expansion, Voice Mapping, and Semantic-Relational Pre-Valida.pdf</x:v>
      </x:c>
      <x:c r="Q252" s="31" t="str">
        <x:v>RECONSTRUCTED_FROM_REPORT</x:v>
      </x:c>
      <x:c r="R252" s="43" t="str">
        <x:v>New surrogate project ID assigned from the compact report table; never an original later-stage structured candidate ID.</x:v>
      </x:c>
    </x:row>
    <x:row r="253" ht="30" customHeight="1">
      <x:c r="A253" s="40" t="str">
        <x:v>FT-SEED-R1B-P-1988-09</x:v>
      </x:c>
      <x:c r="B253" s="19" t="str">
        <x:v>PRIORITY_180</x:v>
      </x:c>
      <x:c r="C253" s="31" t="str">
        <x:v>NOT_EXPOSED_IN_REPORT</x:v>
      </x:c>
      <x:c r="D253" s="31" t="str">
        <x:v>9</x:v>
      </x:c>
      <x:c r="E253" s="19" t="str">
        <x:v>FT-A1988</x:v>
      </x:c>
      <x:c r="F253" s="31" t="str">
        <x:v>drought</x:v>
      </x:c>
      <x:c r="G253" s="19" t="str">
        <x:v>D</x:v>
      </x:c>
      <x:c r="H253" s="19" t="str">
        <x:v>V1</x:v>
      </x:c>
      <x:c r="I253" s="31" t="str">
        <x:v>S1988-HANSEN</x:v>
      </x:c>
      <x:c r="J253" s="19" t="str">
        <x:v>NOT_EXPOSED_IN_REPORT</x:v>
      </x:c>
      <x:c r="K253" s="19" t="str">
        <x:v>PRIORITY_RANK=9;ORIGINAL_ROW_CONFIDENCE_NOT_EXPOSED</x:v>
      </x:c>
      <x:c r="L253" s="19" t="str">
        <x:v>NOT_EXPOSED_IN_REPORT</x:v>
      </x:c>
      <x:c r="M253" s="19" t="str">
        <x:v>PRIORITY_RANK_09</x:v>
      </x:c>
      <x:c r="N253" s="31" t="str">
        <x:v>RECONSTRUCTED_FROM_REPORT</x:v>
      </x:c>
      <x:c r="O253" s="31" t="str">
        <x:v>UNRESOLVED</x:v>
      </x:c>
      <x:c r="P253" s="19" t="str">
        <x:v>Fear of Temperature_ Stratified Lexical Expansion, Voice Mapping, and Semantic-Relational Pre-Valida.pdf</x:v>
      </x:c>
      <x:c r="Q253" s="31" t="str">
        <x:v>RECONSTRUCTED_FROM_REPORT</x:v>
      </x:c>
      <x:c r="R253" s="43" t="str">
        <x:v>New surrogate project ID assigned from the compact report table; never an original later-stage structured candidate ID.</x:v>
      </x:c>
    </x:row>
    <x:row r="254" ht="30" customHeight="1">
      <x:c r="A254" s="40" t="str">
        <x:v>FT-SEED-R1B-P-1988-10</x:v>
      </x:c>
      <x:c r="B254" s="19" t="str">
        <x:v>PRIORITY_180</x:v>
      </x:c>
      <x:c r="C254" s="31" t="str">
        <x:v>NOT_EXPOSED_IN_REPORT</x:v>
      </x:c>
      <x:c r="D254" s="31" t="str">
        <x:v>9</x:v>
      </x:c>
      <x:c r="E254" s="19" t="str">
        <x:v>FT-A1988</x:v>
      </x:c>
      <x:c r="F254" s="31" t="str">
        <x:v>heat wave/drought occurrences</x:v>
      </x:c>
      <x:c r="G254" s="19" t="str">
        <x:v>D</x:v>
      </x:c>
      <x:c r="H254" s="19" t="str">
        <x:v>V1</x:v>
      </x:c>
      <x:c r="I254" s="31" t="str">
        <x:v>S1988-HANSEN</x:v>
      </x:c>
      <x:c r="J254" s="19" t="str">
        <x:v>NOT_EXPOSED_IN_REPORT</x:v>
      </x:c>
      <x:c r="K254" s="19" t="str">
        <x:v>PRIORITY_RANK=10;ORIGINAL_ROW_CONFIDENCE_NOT_EXPOSED</x:v>
      </x:c>
      <x:c r="L254" s="19" t="str">
        <x:v>NOT_EXPOSED_IN_REPORT</x:v>
      </x:c>
      <x:c r="M254" s="19" t="str">
        <x:v>PRIORITY_RANK_10</x:v>
      </x:c>
      <x:c r="N254" s="31" t="str">
        <x:v>RECONSTRUCTED_FROM_REPORT</x:v>
      </x:c>
      <x:c r="O254" s="31" t="str">
        <x:v>UNRESOLVED</x:v>
      </x:c>
      <x:c r="P254" s="19" t="str">
        <x:v>Fear of Temperature_ Stratified Lexical Expansion, Voice Mapping, and Semantic-Relational Pre-Valida.pdf</x:v>
      </x:c>
      <x:c r="Q254" s="31" t="str">
        <x:v>RECONSTRUCTED_FROM_REPORT</x:v>
      </x:c>
      <x:c r="R254" s="43" t="str">
        <x:v>New surrogate project ID assigned from the compact report table; never an original later-stage structured candidate ID.</x:v>
      </x:c>
    </x:row>
    <x:row r="255" ht="30" customHeight="1">
      <x:c r="A255" s="40" t="str">
        <x:v>FT-SEED-R1B-P-1988-11</x:v>
      </x:c>
      <x:c r="B255" s="19" t="str">
        <x:v>PRIORITY_180</x:v>
      </x:c>
      <x:c r="C255" s="31" t="str">
        <x:v>NOT_EXPOSED_IN_REPORT</x:v>
      </x:c>
      <x:c r="D255" s="31" t="str">
        <x:v>9</x:v>
      </x:c>
      <x:c r="E255" s="19" t="str">
        <x:v>FT-A1988</x:v>
      </x:c>
      <x:c r="F255" s="31" t="str">
        <x:v>extreme events</x:v>
      </x:c>
      <x:c r="G255" s="19" t="str">
        <x:v>D</x:v>
      </x:c>
      <x:c r="H255" s="19" t="str">
        <x:v>V1</x:v>
      </x:c>
      <x:c r="I255" s="31" t="str">
        <x:v>S1988-HANSEN</x:v>
      </x:c>
      <x:c r="J255" s="19" t="str">
        <x:v>NOT_EXPOSED_IN_REPORT</x:v>
      </x:c>
      <x:c r="K255" s="19" t="str">
        <x:v>PRIORITY_RANK=11;ORIGINAL_ROW_CONFIDENCE_NOT_EXPOSED</x:v>
      </x:c>
      <x:c r="L255" s="19" t="str">
        <x:v>NOT_EXPOSED_IN_REPORT</x:v>
      </x:c>
      <x:c r="M255" s="19" t="str">
        <x:v>PRIORITY_RANK_11</x:v>
      </x:c>
      <x:c r="N255" s="31" t="str">
        <x:v>RECONSTRUCTED_FROM_REPORT</x:v>
      </x:c>
      <x:c r="O255" s="31" t="str">
        <x:v>UNRESOLVED</x:v>
      </x:c>
      <x:c r="P255" s="19" t="str">
        <x:v>Fear of Temperature_ Stratified Lexical Expansion, Voice Mapping, and Semantic-Relational Pre-Valida.pdf</x:v>
      </x:c>
      <x:c r="Q255" s="31" t="str">
        <x:v>RECONSTRUCTED_FROM_REPORT</x:v>
      </x:c>
      <x:c r="R255" s="43" t="str">
        <x:v>New surrogate project ID assigned from the compact report table; never an original later-stage structured candidate ID.</x:v>
      </x:c>
    </x:row>
    <x:row r="256" ht="30" customHeight="1">
      <x:c r="A256" s="40" t="str">
        <x:v>FT-SEED-R1B-P-1988-12</x:v>
      </x:c>
      <x:c r="B256" s="19" t="str">
        <x:v>PRIORITY_180</x:v>
      </x:c>
      <x:c r="C256" s="31" t="str">
        <x:v>NOT_EXPOSED_IN_REPORT</x:v>
      </x:c>
      <x:c r="D256" s="31" t="str">
        <x:v>9</x:v>
      </x:c>
      <x:c r="E256" s="19" t="str">
        <x:v>FT-A1988</x:v>
      </x:c>
      <x:c r="F256" s="31" t="str">
        <x:v>global climate models</x:v>
      </x:c>
      <x:c r="G256" s="19" t="str">
        <x:v>B</x:v>
      </x:c>
      <x:c r="H256" s="19" t="str">
        <x:v>V1</x:v>
      </x:c>
      <x:c r="I256" s="31" t="str">
        <x:v>S1988-HANSEN</x:v>
      </x:c>
      <x:c r="J256" s="19" t="str">
        <x:v>NOT_EXPOSED_IN_REPORT</x:v>
      </x:c>
      <x:c r="K256" s="19" t="str">
        <x:v>PRIORITY_RANK=12;ORIGINAL_ROW_CONFIDENCE_NOT_EXPOSED</x:v>
      </x:c>
      <x:c r="L256" s="19" t="str">
        <x:v>NOT_EXPOSED_IN_REPORT</x:v>
      </x:c>
      <x:c r="M256" s="19" t="str">
        <x:v>PRIORITY_RANK_12</x:v>
      </x:c>
      <x:c r="N256" s="31" t="str">
        <x:v>RECONSTRUCTED_FROM_REPORT</x:v>
      </x:c>
      <x:c r="O256" s="31" t="str">
        <x:v>UNRESOLVED</x:v>
      </x:c>
      <x:c r="P256" s="19" t="str">
        <x:v>Fear of Temperature_ Stratified Lexical Expansion, Voice Mapping, and Semantic-Relational Pre-Valida.pdf</x:v>
      </x:c>
      <x:c r="Q256" s="31" t="str">
        <x:v>RECONSTRUCTED_FROM_REPORT</x:v>
      </x:c>
      <x:c r="R256" s="43" t="str">
        <x:v>New surrogate project ID assigned from the compact report table; never an original later-stage structured candidate ID.</x:v>
      </x:c>
    </x:row>
    <x:row r="257" ht="30" customHeight="1">
      <x:c r="A257" s="40" t="str">
        <x:v>FT-SEED-R1B-P-1988-13</x:v>
      </x:c>
      <x:c r="B257" s="19" t="str">
        <x:v>PRIORITY_180</x:v>
      </x:c>
      <x:c r="C257" s="31" t="str">
        <x:v>NOT_EXPOSED_IN_REPORT</x:v>
      </x:c>
      <x:c r="D257" s="31" t="str">
        <x:v>9</x:v>
      </x:c>
      <x:c r="E257" s="19" t="str">
        <x:v>FT-A1988</x:v>
      </x:c>
      <x:c r="F257" s="31" t="str">
        <x:v>global observations</x:v>
      </x:c>
      <x:c r="G257" s="19" t="str">
        <x:v>B</x:v>
      </x:c>
      <x:c r="H257" s="19" t="str">
        <x:v>V1</x:v>
      </x:c>
      <x:c r="I257" s="31" t="str">
        <x:v>S1988-HANSEN</x:v>
      </x:c>
      <x:c r="J257" s="19" t="str">
        <x:v>NOT_EXPOSED_IN_REPORT</x:v>
      </x:c>
      <x:c r="K257" s="19" t="str">
        <x:v>PRIORITY_RANK=13;ORIGINAL_ROW_CONFIDENCE_NOT_EXPOSED</x:v>
      </x:c>
      <x:c r="L257" s="19" t="str">
        <x:v>NOT_EXPOSED_IN_REPORT</x:v>
      </x:c>
      <x:c r="M257" s="19" t="str">
        <x:v>PRIORITY_RANK_13</x:v>
      </x:c>
      <x:c r="N257" s="31" t="str">
        <x:v>RECONSTRUCTED_FROM_REPORT</x:v>
      </x:c>
      <x:c r="O257" s="31" t="str">
        <x:v>UNRESOLVED</x:v>
      </x:c>
      <x:c r="P257" s="19" t="str">
        <x:v>Fear of Temperature_ Stratified Lexical Expansion, Voice Mapping, and Semantic-Relational Pre-Valida.pdf</x:v>
      </x:c>
      <x:c r="Q257" s="31" t="str">
        <x:v>RECONSTRUCTED_FROM_REPORT</x:v>
      </x:c>
      <x:c r="R257" s="43" t="str">
        <x:v>New surrogate project ID assigned from the compact report table; never an original later-stage structured candidate ID.</x:v>
      </x:c>
    </x:row>
    <x:row r="258" ht="30" customHeight="1">
      <x:c r="A258" s="40" t="str">
        <x:v>FT-SEED-R1B-P-1988-14</x:v>
      </x:c>
      <x:c r="B258" s="19" t="str">
        <x:v>PRIORITY_180</x:v>
      </x:c>
      <x:c r="C258" s="31" t="str">
        <x:v>NOT_EXPOSED_IN_REPORT</x:v>
      </x:c>
      <x:c r="D258" s="31" t="str">
        <x:v>9</x:v>
      </x:c>
      <x:c r="E258" s="19" t="str">
        <x:v>FT-A1988</x:v>
      </x:c>
      <x:c r="F258" s="31" t="str">
        <x:v>warm air</x:v>
      </x:c>
      <x:c r="G258" s="19" t="str">
        <x:v>A</x:v>
      </x:c>
      <x:c r="H258" s="19" t="str">
        <x:v>V1</x:v>
      </x:c>
      <x:c r="I258" s="31" t="str">
        <x:v>S1988-HANSEN</x:v>
      </x:c>
      <x:c r="J258" s="19" t="str">
        <x:v>NOT_EXPOSED_IN_REPORT</x:v>
      </x:c>
      <x:c r="K258" s="19" t="str">
        <x:v>PRIORITY_RANK=14;ORIGINAL_ROW_CONFIDENCE_NOT_EXPOSED</x:v>
      </x:c>
      <x:c r="L258" s="19" t="str">
        <x:v>NOT_EXPOSED_IN_REPORT</x:v>
      </x:c>
      <x:c r="M258" s="19" t="str">
        <x:v>PRIORITY_RANK_14</x:v>
      </x:c>
      <x:c r="N258" s="31" t="str">
        <x:v>RECONSTRUCTED_FROM_REPORT</x:v>
      </x:c>
      <x:c r="O258" s="31" t="str">
        <x:v>UNRESOLVED</x:v>
      </x:c>
      <x:c r="P258" s="19" t="str">
        <x:v>Fear of Temperature_ Stratified Lexical Expansion, Voice Mapping, and Semantic-Relational Pre-Valida.pdf</x:v>
      </x:c>
      <x:c r="Q258" s="31" t="str">
        <x:v>RECONSTRUCTED_FROM_REPORT</x:v>
      </x:c>
      <x:c r="R258" s="43" t="str">
        <x:v>New surrogate project ID assigned from the compact report table; never an original later-stage structured candidate ID.</x:v>
      </x:c>
    </x:row>
    <x:row r="259" ht="30" customHeight="1">
      <x:c r="A259" s="40" t="str">
        <x:v>FT-SEED-R1B-P-1988-15</x:v>
      </x:c>
      <x:c r="B259" s="19" t="str">
        <x:v>PRIORITY_180</x:v>
      </x:c>
      <x:c r="C259" s="31" t="str">
        <x:v>NOT_EXPOSED_IN_REPORT</x:v>
      </x:c>
      <x:c r="D259" s="31" t="str">
        <x:v>9</x:v>
      </x:c>
      <x:c r="E259" s="19" t="str">
        <x:v>FT-A1988</x:v>
      </x:c>
      <x:c r="F259" s="31" t="str">
        <x:v>changing atmosphere</x:v>
      </x:c>
      <x:c r="G259" s="19" t="str">
        <x:v>B</x:v>
      </x:c>
      <x:c r="H259" s="19" t="str">
        <x:v>V2</x:v>
      </x:c>
      <x:c r="I259" s="31" t="str">
        <x:v>S1988-TORONTO</x:v>
      </x:c>
      <x:c r="J259" s="19" t="str">
        <x:v>NOT_EXPOSED_IN_REPORT</x:v>
      </x:c>
      <x:c r="K259" s="19" t="str">
        <x:v>PRIORITY_RANK=15;ORIGINAL_ROW_CONFIDENCE_NOT_EXPOSED</x:v>
      </x:c>
      <x:c r="L259" s="19" t="str">
        <x:v>NOT_EXPOSED_IN_REPORT</x:v>
      </x:c>
      <x:c r="M259" s="19" t="str">
        <x:v>PRIORITY_RANK_15</x:v>
      </x:c>
      <x:c r="N259" s="31" t="str">
        <x:v>RECONSTRUCTED_FROM_REPORT</x:v>
      </x:c>
      <x:c r="O259" s="31" t="str">
        <x:v>UNRESOLVED</x:v>
      </x:c>
      <x:c r="P259" s="19" t="str">
        <x:v>Fear of Temperature_ Stratified Lexical Expansion, Voice Mapping, and Semantic-Relational Pre-Valida.pdf</x:v>
      </x:c>
      <x:c r="Q259" s="31" t="str">
        <x:v>RECONSTRUCTED_FROM_REPORT</x:v>
      </x:c>
      <x:c r="R259" s="43" t="str">
        <x:v>New surrogate project ID assigned from the compact report table; never an original later-stage structured candidate ID.</x:v>
      </x:c>
    </x:row>
    <x:row r="260" ht="30" customHeight="1">
      <x:c r="A260" s="40" t="str">
        <x:v>FT-SEED-R1B-P-1988-16</x:v>
      </x:c>
      <x:c r="B260" s="19" t="str">
        <x:v>PRIORITY_180</x:v>
      </x:c>
      <x:c r="C260" s="31" t="str">
        <x:v>NOT_EXPOSED_IN_REPORT</x:v>
      </x:c>
      <x:c r="D260" s="31" t="str">
        <x:v>9</x:v>
      </x:c>
      <x:c r="E260" s="19" t="str">
        <x:v>FT-A1988</x:v>
      </x:c>
      <x:c r="F260" s="31" t="str">
        <x:v>global security</x:v>
      </x:c>
      <x:c r="G260" s="19" t="str">
        <x:v>D</x:v>
      </x:c>
      <x:c r="H260" s="19" t="str">
        <x:v>V2</x:v>
      </x:c>
      <x:c r="I260" s="31" t="str">
        <x:v>S1988-TORONTO</x:v>
      </x:c>
      <x:c r="J260" s="19" t="str">
        <x:v>E1</x:v>
      </x:c>
      <x:c r="K260" s="19" t="str">
        <x:v>PRIORITY_RANK=16;ORIGINAL_ROW_CONFIDENCE_NOT_EXPOSED</x:v>
      </x:c>
      <x:c r="L260" s="19" t="str">
        <x:v>NOT_EXPOSED_IN_REPORT</x:v>
      </x:c>
      <x:c r="M260" s="19" t="str">
        <x:v>PRIORITY_RANK_16</x:v>
      </x:c>
      <x:c r="N260" s="31" t="str">
        <x:v>RECONSTRUCTED_FROM_REPORT</x:v>
      </x:c>
      <x:c r="O260" s="31" t="str">
        <x:v>UNRESOLVED</x:v>
      </x:c>
      <x:c r="P260" s="19" t="str">
        <x:v>Fear of Temperature_ Stratified Lexical Expansion, Voice Mapping, and Semantic-Relational Pre-Valida.pdf</x:v>
      </x:c>
      <x:c r="Q260" s="31" t="str">
        <x:v>RECONSTRUCTED_FROM_REPORT</x:v>
      </x:c>
      <x:c r="R260" s="43" t="str">
        <x:v>New surrogate project ID assigned from the compact report table; never an original later-stage structured candidate ID.</x:v>
      </x:c>
    </x:row>
    <x:row r="261" ht="30" customHeight="1">
      <x:c r="A261" s="40" t="str">
        <x:v>FT-SEED-R1B-P-1988-17</x:v>
      </x:c>
      <x:c r="B261" s="19" t="str">
        <x:v>PRIORITY_180</x:v>
      </x:c>
      <x:c r="C261" s="31" t="str">
        <x:v>NOT_EXPOSED_IN_REPORT</x:v>
      </x:c>
      <x:c r="D261" s="31" t="str">
        <x:v>9</x:v>
      </x:c>
      <x:c r="E261" s="19" t="str">
        <x:v>FT-A1988</x:v>
      </x:c>
      <x:c r="F261" s="31" t="str">
        <x:v>climate warming</x:v>
      </x:c>
      <x:c r="G261" s="19" t="str">
        <x:v>A</x:v>
      </x:c>
      <x:c r="H261" s="19" t="str">
        <x:v>V2</x:v>
      </x:c>
      <x:c r="I261" s="31" t="str">
        <x:v>S1988-TORONTO</x:v>
      </x:c>
      <x:c r="J261" s="19" t="str">
        <x:v>NOT_EXPOSED_IN_REPORT</x:v>
      </x:c>
      <x:c r="K261" s="19" t="str">
        <x:v>PRIORITY_RANK=17;ORIGINAL_ROW_CONFIDENCE_NOT_EXPOSED</x:v>
      </x:c>
      <x:c r="L261" s="19" t="str">
        <x:v>NOT_EXPOSED_IN_REPORT</x:v>
      </x:c>
      <x:c r="M261" s="19" t="str">
        <x:v>PRIORITY_RANK_17</x:v>
      </x:c>
      <x:c r="N261" s="31" t="str">
        <x:v>RECONSTRUCTED_FROM_REPORT</x:v>
      </x:c>
      <x:c r="O261" s="31" t="str">
        <x:v>UNRESOLVED</x:v>
      </x:c>
      <x:c r="P261" s="19" t="str">
        <x:v>Fear of Temperature_ Stratified Lexical Expansion, Voice Mapping, and Semantic-Relational Pre-Valida.pdf</x:v>
      </x:c>
      <x:c r="Q261" s="31" t="str">
        <x:v>RECONSTRUCTED_FROM_REPORT</x:v>
      </x:c>
      <x:c r="R261" s="43" t="str">
        <x:v>New surrogate project ID assigned from the compact report table; never an original later-stage structured candidate ID.</x:v>
      </x:c>
    </x:row>
    <x:row r="262" ht="30" customHeight="1">
      <x:c r="A262" s="40" t="str">
        <x:v>FT-SEED-R1B-P-1988-18</x:v>
      </x:c>
      <x:c r="B262" s="19" t="str">
        <x:v>PRIORITY_180</x:v>
      </x:c>
      <x:c r="C262" s="31" t="str">
        <x:v>NOT_EXPOSED_IN_REPORT</x:v>
      </x:c>
      <x:c r="D262" s="31" t="str">
        <x:v>9</x:v>
      </x:c>
      <x:c r="E262" s="19" t="str">
        <x:v>FT-A1988</x:v>
      </x:c>
      <x:c r="F262" s="31" t="str">
        <x:v>changed climatic extremes</x:v>
      </x:c>
      <x:c r="G262" s="19" t="str">
        <x:v>D</x:v>
      </x:c>
      <x:c r="H262" s="19" t="str">
        <x:v>V2</x:v>
      </x:c>
      <x:c r="I262" s="31" t="str">
        <x:v>S1988-TORONTO</x:v>
      </x:c>
      <x:c r="J262" s="19" t="str">
        <x:v>NOT_EXPOSED_IN_REPORT</x:v>
      </x:c>
      <x:c r="K262" s="19" t="str">
        <x:v>PRIORITY_RANK=18;ORIGINAL_ROW_CONFIDENCE_NOT_EXPOSED</x:v>
      </x:c>
      <x:c r="L262" s="19" t="str">
        <x:v>NOT_EXPOSED_IN_REPORT</x:v>
      </x:c>
      <x:c r="M262" s="19" t="str">
        <x:v>PRIORITY_RANK_18</x:v>
      </x:c>
      <x:c r="N262" s="31" t="str">
        <x:v>RECONSTRUCTED_FROM_REPORT</x:v>
      </x:c>
      <x:c r="O262" s="31" t="str">
        <x:v>UNRESOLVED</x:v>
      </x:c>
      <x:c r="P262" s="19" t="str">
        <x:v>Fear of Temperature_ Stratified Lexical Expansion, Voice Mapping, and Semantic-Relational Pre-Valida.pdf</x:v>
      </x:c>
      <x:c r="Q262" s="31" t="str">
        <x:v>RECONSTRUCTED_FROM_REPORT</x:v>
      </x:c>
      <x:c r="R262" s="43" t="str">
        <x:v>New surrogate project ID assigned from the compact report table; never an original later-stage structured candidate ID.</x:v>
      </x:c>
    </x:row>
    <x:row r="263" ht="30" customHeight="1">
      <x:c r="A263" s="40" t="str">
        <x:v>FT-SEED-R1B-P-1988-19</x:v>
      </x:c>
      <x:c r="B263" s="19" t="str">
        <x:v>PRIORITY_180</x:v>
      </x:c>
      <x:c r="C263" s="31" t="str">
        <x:v>NOT_EXPOSED_IN_REPORT</x:v>
      </x:c>
      <x:c r="D263" s="31" t="str">
        <x:v>9</x:v>
      </x:c>
      <x:c r="E263" s="19" t="str">
        <x:v>FT-A1988</x:v>
      </x:c>
      <x:c r="F263" s="31" t="str">
        <x:v>major threat</x:v>
      </x:c>
      <x:c r="G263" s="19" t="str">
        <x:v>D</x:v>
      </x:c>
      <x:c r="H263" s="19" t="str">
        <x:v>V2</x:v>
      </x:c>
      <x:c r="I263" s="31" t="str">
        <x:v>S1988-TORONTO</x:v>
      </x:c>
      <x:c r="J263" s="19" t="str">
        <x:v>NOT_EXPOSED_IN_REPORT</x:v>
      </x:c>
      <x:c r="K263" s="19" t="str">
        <x:v>PRIORITY_RANK=19;ORIGINAL_ROW_CONFIDENCE_NOT_EXPOSED</x:v>
      </x:c>
      <x:c r="L263" s="19" t="str">
        <x:v>NOT_EXPOSED_IN_REPORT</x:v>
      </x:c>
      <x:c r="M263" s="19" t="str">
        <x:v>PRIORITY_RANK_19</x:v>
      </x:c>
      <x:c r="N263" s="31" t="str">
        <x:v>RECONSTRUCTED_FROM_REPORT</x:v>
      </x:c>
      <x:c r="O263" s="31" t="str">
        <x:v>UNRESOLVED</x:v>
      </x:c>
      <x:c r="P263" s="19" t="str">
        <x:v>Fear of Temperature_ Stratified Lexical Expansion, Voice Mapping, and Semantic-Relational Pre-Valida.pdf</x:v>
      </x:c>
      <x:c r="Q263" s="31" t="str">
        <x:v>RECONSTRUCTED_FROM_REPORT</x:v>
      </x:c>
      <x:c r="R263" s="43" t="str">
        <x:v>New surrogate project ID assigned from the compact report table; never an original later-stage structured candidate ID.</x:v>
      </x:c>
    </x:row>
    <x:row r="264" ht="30" customHeight="1">
      <x:c r="A264" s="40" t="str">
        <x:v>FT-SEED-R1B-P-1988-20</x:v>
      </x:c>
      <x:c r="B264" s="19" t="str">
        <x:v>PRIORITY_180</x:v>
      </x:c>
      <x:c r="C264" s="31" t="str">
        <x:v>NOT_EXPOSED_IN_REPORT</x:v>
      </x:c>
      <x:c r="D264" s="31" t="str">
        <x:v>9</x:v>
      </x:c>
      <x:c r="E264" s="19" t="str">
        <x:v>FT-A1988</x:v>
      </x:c>
      <x:c r="F264" s="31" t="str">
        <x:v>harmful consequences</x:v>
      </x:c>
      <x:c r="G264" s="19" t="str">
        <x:v>D</x:v>
      </x:c>
      <x:c r="H264" s="19" t="str">
        <x:v>V2</x:v>
      </x:c>
      <x:c r="I264" s="31" t="str">
        <x:v>S1988-TORONTO</x:v>
      </x:c>
      <x:c r="J264" s="19" t="str">
        <x:v>NOT_EXPOSED_IN_REPORT</x:v>
      </x:c>
      <x:c r="K264" s="19" t="str">
        <x:v>PRIORITY_RANK=20;ORIGINAL_ROW_CONFIDENCE_NOT_EXPOSED</x:v>
      </x:c>
      <x:c r="L264" s="19" t="str">
        <x:v>NOT_EXPOSED_IN_REPORT</x:v>
      </x:c>
      <x:c r="M264" s="19" t="str">
        <x:v>PRIORITY_RANK_20</x:v>
      </x:c>
      <x:c r="N264" s="31" t="str">
        <x:v>RECONSTRUCTED_FROM_REPORT</x:v>
      </x:c>
      <x:c r="O264" s="31" t="str">
        <x:v>UNRESOLVED</x:v>
      </x:c>
      <x:c r="P264" s="19" t="str">
        <x:v>Fear of Temperature_ Stratified Lexical Expansion, Voice Mapping, and Semantic-Relational Pre-Valida.pdf</x:v>
      </x:c>
      <x:c r="Q264" s="31" t="str">
        <x:v>RECONSTRUCTED_FROM_REPORT</x:v>
      </x:c>
      <x:c r="R264" s="43" t="str">
        <x:v>New surrogate project ID assigned from the compact report table; never an original later-stage structured candidate ID.</x:v>
      </x:c>
    </x:row>
    <x:row r="265" ht="30" customHeight="1">
      <x:c r="A265" s="40" t="str">
        <x:v>FT-SEED-R1B-P-1988-21</x:v>
      </x:c>
      <x:c r="B265" s="19" t="str">
        <x:v>PRIORITY_180</x:v>
      </x:c>
      <x:c r="C265" s="31" t="str">
        <x:v>NOT_EXPOSED_IN_REPORT</x:v>
      </x:c>
      <x:c r="D265" s="31" t="str">
        <x:v>9</x:v>
      </x:c>
      <x:c r="E265" s="19" t="str">
        <x:v>FT-A1988</x:v>
      </x:c>
      <x:c r="F265" s="31" t="str">
        <x:v>grave threats</x:v>
      </x:c>
      <x:c r="G265" s="19" t="str">
        <x:v>D</x:v>
      </x:c>
      <x:c r="H265" s="19" t="str">
        <x:v>V2</x:v>
      </x:c>
      <x:c r="I265" s="31" t="str">
        <x:v>S1988-TORONTO</x:v>
      </x:c>
      <x:c r="J265" s="19" t="str">
        <x:v>NOT_EXPOSED_IN_REPORT</x:v>
      </x:c>
      <x:c r="K265" s="19" t="str">
        <x:v>PRIORITY_RANK=21;ORIGINAL_ROW_CONFIDENCE_NOT_EXPOSED</x:v>
      </x:c>
      <x:c r="L265" s="19" t="str">
        <x:v>NOT_EXPOSED_IN_REPORT</x:v>
      </x:c>
      <x:c r="M265" s="19" t="str">
        <x:v>PRIORITY_RANK_21</x:v>
      </x:c>
      <x:c r="N265" s="31" t="str">
        <x:v>RECONSTRUCTED_FROM_REPORT</x:v>
      </x:c>
      <x:c r="O265" s="31" t="str">
        <x:v>UNRESOLVED</x:v>
      </x:c>
      <x:c r="P265" s="19" t="str">
        <x:v>Fear of Temperature_ Stratified Lexical Expansion, Voice Mapping, and Semantic-Relational Pre-Valida.pdf</x:v>
      </x:c>
      <x:c r="Q265" s="31" t="str">
        <x:v>RECONSTRUCTED_FROM_REPORT</x:v>
      </x:c>
      <x:c r="R265" s="43" t="str">
        <x:v>New surrogate project ID assigned from the compact report table; never an original later-stage structured candidate ID.</x:v>
      </x:c>
    </x:row>
    <x:row r="266" ht="30" customHeight="1">
      <x:c r="A266" s="40" t="str">
        <x:v>FT-SEED-R1B-P-1988-22</x:v>
      </x:c>
      <x:c r="B266" s="19" t="str">
        <x:v>PRIORITY_180</x:v>
      </x:c>
      <x:c r="C266" s="31" t="str">
        <x:v>NOT_EXPOSED_IN_REPORT</x:v>
      </x:c>
      <x:c r="D266" s="31" t="str">
        <x:v>9</x:v>
      </x:c>
      <x:c r="E266" s="19" t="str">
        <x:v>FT-A1988</x:v>
      </x:c>
      <x:c r="F266" s="31" t="str">
        <x:v>severe economic and social dislocation</x:v>
      </x:c>
      <x:c r="G266" s="19" t="str">
        <x:v>D</x:v>
      </x:c>
      <x:c r="H266" s="19" t="str">
        <x:v>V2</x:v>
      </x:c>
      <x:c r="I266" s="31" t="str">
        <x:v>S1988-TORONTO</x:v>
      </x:c>
      <x:c r="J266" s="19" t="str">
        <x:v>NOT_EXPOSED_IN_REPORT</x:v>
      </x:c>
      <x:c r="K266" s="19" t="str">
        <x:v>PRIORITY_RANK=22;ORIGINAL_ROW_CONFIDENCE_NOT_EXPOSED</x:v>
      </x:c>
      <x:c r="L266" s="19" t="str">
        <x:v>NOT_EXPOSED_IN_REPORT</x:v>
      </x:c>
      <x:c r="M266" s="19" t="str">
        <x:v>PRIORITY_RANK_22</x:v>
      </x:c>
      <x:c r="N266" s="31" t="str">
        <x:v>RECONSTRUCTED_FROM_REPORT</x:v>
      </x:c>
      <x:c r="O266" s="31" t="str">
        <x:v>UNRESOLVED</x:v>
      </x:c>
      <x:c r="P266" s="19" t="str">
        <x:v>Fear of Temperature_ Stratified Lexical Expansion, Voice Mapping, and Semantic-Relational Pre-Valida.pdf</x:v>
      </x:c>
      <x:c r="Q266" s="31" t="str">
        <x:v>RECONSTRUCTED_FROM_REPORT</x:v>
      </x:c>
      <x:c r="R266" s="43" t="str">
        <x:v>New surrogate project ID assigned from the compact report table; never an original later-stage structured candidate ID.</x:v>
      </x:c>
    </x:row>
    <x:row r="267" ht="30" customHeight="1">
      <x:c r="A267" s="40" t="str">
        <x:v>FT-SEED-R1B-P-1988-23</x:v>
      </x:c>
      <x:c r="B267" s="19" t="str">
        <x:v>PRIORITY_180</x:v>
      </x:c>
      <x:c r="C267" s="31" t="str">
        <x:v>NOT_EXPOSED_IN_REPORT</x:v>
      </x:c>
      <x:c r="D267" s="31" t="str">
        <x:v>9</x:v>
      </x:c>
      <x:c r="E267" s="19" t="str">
        <x:v>FT-A1988</x:v>
      </x:c>
      <x:c r="F267" s="31" t="str">
        <x:v>risk of conflicts</x:v>
      </x:c>
      <x:c r="G267" s="19" t="str">
        <x:v>D</x:v>
      </x:c>
      <x:c r="H267" s="19" t="str">
        <x:v>V2</x:v>
      </x:c>
      <x:c r="I267" s="31" t="str">
        <x:v>S1988-TORONTO</x:v>
      </x:c>
      <x:c r="J267" s="19" t="str">
        <x:v>NOT_EXPOSED_IN_REPORT</x:v>
      </x:c>
      <x:c r="K267" s="19" t="str">
        <x:v>PRIORITY_RANK=23;ORIGINAL_ROW_CONFIDENCE_NOT_EXPOSED</x:v>
      </x:c>
      <x:c r="L267" s="19" t="str">
        <x:v>NOT_EXPOSED_IN_REPORT</x:v>
      </x:c>
      <x:c r="M267" s="19" t="str">
        <x:v>PRIORITY_RANK_23</x:v>
      </x:c>
      <x:c r="N267" s="31" t="str">
        <x:v>RECONSTRUCTED_FROM_REPORT</x:v>
      </x:c>
      <x:c r="O267" s="31" t="str">
        <x:v>UNRESOLVED</x:v>
      </x:c>
      <x:c r="P267" s="19" t="str">
        <x:v>Fear of Temperature_ Stratified Lexical Expansion, Voice Mapping, and Semantic-Relational Pre-Valida.pdf</x:v>
      </x:c>
      <x:c r="Q267" s="31" t="str">
        <x:v>RECONSTRUCTED_FROM_REPORT</x:v>
      </x:c>
      <x:c r="R267" s="43" t="str">
        <x:v>New surrogate project ID assigned from the compact report table; never an original later-stage structured candidate ID.</x:v>
      </x:c>
    </x:row>
    <x:row r="268" ht="30" customHeight="1">
      <x:c r="A268" s="40" t="str">
        <x:v>FT-SEED-R1B-P-1988-24</x:v>
      </x:c>
      <x:c r="B268" s="19" t="str">
        <x:v>PRIORITY_180</x:v>
      </x:c>
      <x:c r="C268" s="31" t="str">
        <x:v>NOT_EXPOSED_IN_REPORT</x:v>
      </x:c>
      <x:c r="D268" s="31" t="str">
        <x:v>9</x:v>
      </x:c>
      <x:c r="E268" s="19" t="str">
        <x:v>FT-A1988</x:v>
      </x:c>
      <x:c r="F268" s="31" t="str">
        <x:v>impending crisis</x:v>
      </x:c>
      <x:c r="G268" s="19" t="str">
        <x:v>D</x:v>
      </x:c>
      <x:c r="H268" s="19" t="str">
        <x:v>V2</x:v>
      </x:c>
      <x:c r="I268" s="31" t="str">
        <x:v>S1988-TORONTO</x:v>
      </x:c>
      <x:c r="J268" s="19" t="str">
        <x:v>NOT_EXPOSED_IN_REPORT</x:v>
      </x:c>
      <x:c r="K268" s="19" t="str">
        <x:v>PRIORITY_RANK=24;ORIGINAL_ROW_CONFIDENCE_NOT_EXPOSED</x:v>
      </x:c>
      <x:c r="L268" s="19" t="str">
        <x:v>NOT_EXPOSED_IN_REPORT</x:v>
      </x:c>
      <x:c r="M268" s="19" t="str">
        <x:v>PRIORITY_RANK_24</x:v>
      </x:c>
      <x:c r="N268" s="31" t="str">
        <x:v>RECONSTRUCTED_FROM_REPORT</x:v>
      </x:c>
      <x:c r="O268" s="31" t="str">
        <x:v>UNRESOLVED</x:v>
      </x:c>
      <x:c r="P268" s="19" t="str">
        <x:v>Fear of Temperature_ Stratified Lexical Expansion, Voice Mapping, and Semantic-Relational Pre-Valida.pdf</x:v>
      </x:c>
      <x:c r="Q268" s="31" t="str">
        <x:v>RECONSTRUCTED_FROM_REPORT</x:v>
      </x:c>
      <x:c r="R268" s="43" t="str">
        <x:v>New surrogate project ID assigned from the compact report table; never an original later-stage structured candidate ID.</x:v>
      </x:c>
    </x:row>
    <x:row r="269" ht="30" customHeight="1">
      <x:c r="A269" s="40" t="str">
        <x:v>FT-SEED-R1B-P-1988-25</x:v>
      </x:c>
      <x:c r="B269" s="19" t="str">
        <x:v>PRIORITY_180</x:v>
      </x:c>
      <x:c r="C269" s="31" t="str">
        <x:v>NOT_EXPOSED_IN_REPORT</x:v>
      </x:c>
      <x:c r="D269" s="31" t="str">
        <x:v>9</x:v>
      </x:c>
      <x:c r="E269" s="19" t="str">
        <x:v>FT-A1988</x:v>
      </x:c>
      <x:c r="F269" s="31" t="str">
        <x:v>degradation of the atmosphere</x:v>
      </x:c>
      <x:c r="G269" s="19" t="str">
        <x:v>D</x:v>
      </x:c>
      <x:c r="H269" s="19" t="str">
        <x:v>V2</x:v>
      </x:c>
      <x:c r="I269" s="31" t="str">
        <x:v>S1988-TORONTO</x:v>
      </x:c>
      <x:c r="J269" s="19" t="str">
        <x:v>NOT_EXPOSED_IN_REPORT</x:v>
      </x:c>
      <x:c r="K269" s="19" t="str">
        <x:v>PRIORITY_RANK=25;ORIGINAL_ROW_CONFIDENCE_NOT_EXPOSED</x:v>
      </x:c>
      <x:c r="L269" s="19" t="str">
        <x:v>NOT_EXPOSED_IN_REPORT</x:v>
      </x:c>
      <x:c r="M269" s="19" t="str">
        <x:v>PRIORITY_RANK_25</x:v>
      </x:c>
      <x:c r="N269" s="31" t="str">
        <x:v>RECONSTRUCTED_FROM_REPORT</x:v>
      </x:c>
      <x:c r="O269" s="31" t="str">
        <x:v>UNRESOLVED</x:v>
      </x:c>
      <x:c r="P269" s="19" t="str">
        <x:v>Fear of Temperature_ Stratified Lexical Expansion, Voice Mapping, and Semantic-Relational Pre-Valida.pdf</x:v>
      </x:c>
      <x:c r="Q269" s="31" t="str">
        <x:v>RECONSTRUCTED_FROM_REPORT</x:v>
      </x:c>
      <x:c r="R269" s="43" t="str">
        <x:v>New surrogate project ID assigned from the compact report table; never an original later-stage structured candidate ID.</x:v>
      </x:c>
    </x:row>
    <x:row r="270" ht="30" customHeight="1">
      <x:c r="A270" s="40" t="str">
        <x:v>FT-SEED-R1B-P-1988-26</x:v>
      </x:c>
      <x:c r="B270" s="19" t="str">
        <x:v>PRIORITY_180</x:v>
      </x:c>
      <x:c r="C270" s="31" t="str">
        <x:v>NOT_EXPOSED_IN_REPORT</x:v>
      </x:c>
      <x:c r="D270" s="31" t="str">
        <x:v>9</x:v>
      </x:c>
      <x:c r="E270" s="19" t="str">
        <x:v>FT-A1988</x:v>
      </x:c>
      <x:c r="F270" s="31" t="str">
        <x:v>atmospheric pollution</x:v>
      </x:c>
      <x:c r="G270" s="19" t="str">
        <x:v>D</x:v>
      </x:c>
      <x:c r="H270" s="19" t="str">
        <x:v>V2</x:v>
      </x:c>
      <x:c r="I270" s="31" t="str">
        <x:v>S1988-TORONTO</x:v>
      </x:c>
      <x:c r="J270" s="19" t="str">
        <x:v>NOT_EXPOSED_IN_REPORT</x:v>
      </x:c>
      <x:c r="K270" s="19" t="str">
        <x:v>PRIORITY_RANK=26;ORIGINAL_ROW_CONFIDENCE_NOT_EXPOSED</x:v>
      </x:c>
      <x:c r="L270" s="19" t="str">
        <x:v>NOT_EXPOSED_IN_REPORT</x:v>
      </x:c>
      <x:c r="M270" s="19" t="str">
        <x:v>PRIORITY_RANK_26</x:v>
      </x:c>
      <x:c r="N270" s="31" t="str">
        <x:v>RECONSTRUCTED_FROM_REPORT</x:v>
      </x:c>
      <x:c r="O270" s="31" t="str">
        <x:v>UNRESOLVED</x:v>
      </x:c>
      <x:c r="P270" s="19" t="str">
        <x:v>Fear of Temperature_ Stratified Lexical Expansion, Voice Mapping, and Semantic-Relational Pre-Valida.pdf</x:v>
      </x:c>
      <x:c r="Q270" s="31" t="str">
        <x:v>RECONSTRUCTED_FROM_REPORT</x:v>
      </x:c>
      <x:c r="R270" s="43" t="str">
        <x:v>New surrogate project ID assigned from the compact report table; never an original later-stage structured candidate ID.</x:v>
      </x:c>
    </x:row>
    <x:row r="271" ht="30" customHeight="1">
      <x:c r="A271" s="40" t="str">
        <x:v>FT-SEED-R1B-P-1988-27</x:v>
      </x:c>
      <x:c r="B271" s="19" t="str">
        <x:v>PRIORITY_180</x:v>
      </x:c>
      <x:c r="C271" s="31" t="str">
        <x:v>NOT_EXPOSED_IN_REPORT</x:v>
      </x:c>
      <x:c r="D271" s="31" t="str">
        <x:v>9</x:v>
      </x:c>
      <x:c r="E271" s="19" t="str">
        <x:v>FT-A1988</x:v>
      </x:c>
      <x:c r="F271" s="31" t="str">
        <x:v>greenhouse gases</x:v>
      </x:c>
      <x:c r="G271" s="19" t="str">
        <x:v>B</x:v>
      </x:c>
      <x:c r="H271" s="19" t="str">
        <x:v>V2</x:v>
      </x:c>
      <x:c r="I271" s="31" t="str">
        <x:v>S1988-TORONTO</x:v>
      </x:c>
      <x:c r="J271" s="19" t="str">
        <x:v>NOT_EXPOSED_IN_REPORT</x:v>
      </x:c>
      <x:c r="K271" s="19" t="str">
        <x:v>PRIORITY_RANK=27;ORIGINAL_ROW_CONFIDENCE_NOT_EXPOSED</x:v>
      </x:c>
      <x:c r="L271" s="19" t="str">
        <x:v>NOT_EXPOSED_IN_REPORT</x:v>
      </x:c>
      <x:c r="M271" s="19" t="str">
        <x:v>PRIORITY_RANK_27</x:v>
      </x:c>
      <x:c r="N271" s="31" t="str">
        <x:v>RECONSTRUCTED_FROM_REPORT</x:v>
      </x:c>
      <x:c r="O271" s="31" t="str">
        <x:v>UNRESOLVED</x:v>
      </x:c>
      <x:c r="P271" s="19" t="str">
        <x:v>Fear of Temperature_ Stratified Lexical Expansion, Voice Mapping, and Semantic-Relational Pre-Valida.pdf</x:v>
      </x:c>
      <x:c r="Q271" s="31" t="str">
        <x:v>RECONSTRUCTED_FROM_REPORT</x:v>
      </x:c>
      <x:c r="R271" s="43" t="str">
        <x:v>New surrogate project ID assigned from the compact report table; never an original later-stage structured candidate ID.</x:v>
      </x:c>
    </x:row>
    <x:row r="272" ht="30" customHeight="1">
      <x:c r="A272" s="40" t="str">
        <x:v>FT-SEED-R1B-P-1988-28</x:v>
      </x:c>
      <x:c r="B272" s="19" t="str">
        <x:v>PRIORITY_180</x:v>
      </x:c>
      <x:c r="C272" s="31" t="str">
        <x:v>NOT_EXPOSED_IN_REPORT</x:v>
      </x:c>
      <x:c r="D272" s="31" t="str">
        <x:v>9</x:v>
      </x:c>
      <x:c r="E272" s="19" t="str">
        <x:v>FT-A1988</x:v>
      </x:c>
      <x:c r="F272" s="31" t="str">
        <x:v>Global Warming Has Begun</x:v>
      </x:c>
      <x:c r="G272" s="19" t="str">
        <x:v>A</x:v>
      </x:c>
      <x:c r="H272" s="19" t="str">
        <x:v>V3</x:v>
      </x:c>
      <x:c r="I272" s="31" t="str">
        <x:v>S1988-NYT</x:v>
      </x:c>
      <x:c r="J272" s="19" t="str">
        <x:v>NOT_EXPOSED_IN_REPORT</x:v>
      </x:c>
      <x:c r="K272" s="19" t="str">
        <x:v>PRIORITY_RANK=28;ORIGINAL_ROW_CONFIDENCE_NOT_EXPOSED</x:v>
      </x:c>
      <x:c r="L272" s="19" t="str">
        <x:v>NOT_EXPOSED_IN_REPORT</x:v>
      </x:c>
      <x:c r="M272" s="19" t="str">
        <x:v>PRIORITY_RANK_28</x:v>
      </x:c>
      <x:c r="N272" s="31" t="str">
        <x:v>RECONSTRUCTED_FROM_REPORT</x:v>
      </x:c>
      <x:c r="O272" s="31" t="str">
        <x:v>UNRESOLVED</x:v>
      </x:c>
      <x:c r="P272" s="19" t="str">
        <x:v>Fear of Temperature_ Stratified Lexical Expansion, Voice Mapping, and Semantic-Relational Pre-Valida.pdf</x:v>
      </x:c>
      <x:c r="Q272" s="31" t="str">
        <x:v>RECONSTRUCTED_FROM_REPORT</x:v>
      </x:c>
      <x:c r="R272" s="43" t="str">
        <x:v>New surrogate project ID assigned from the compact report table; never an original later-stage structured candidate ID.</x:v>
      </x:c>
    </x:row>
    <x:row r="273" ht="30" customHeight="1">
      <x:c r="A273" s="40" t="str">
        <x:v>FT-SEED-R1B-P-1988-29</x:v>
      </x:c>
      <x:c r="B273" s="19" t="str">
        <x:v>PRIORITY_180</x:v>
      </x:c>
      <x:c r="C273" s="31" t="str">
        <x:v>NOT_EXPOSED_IN_REPORT</x:v>
      </x:c>
      <x:c r="D273" s="31" t="str">
        <x:v>9</x:v>
      </x:c>
      <x:c r="E273" s="19" t="str">
        <x:v>FT-A1988</x:v>
      </x:c>
      <x:c r="F273" s="31" t="str">
        <x:v>evidence is pretty strong</x:v>
      </x:c>
      <x:c r="G273" s="19" t="str">
        <x:v>C</x:v>
      </x:c>
      <x:c r="H273" s="19" t="str">
        <x:v>V3</x:v>
      </x:c>
      <x:c r="I273" s="31" t="str">
        <x:v>S1988-NYT</x:v>
      </x:c>
      <x:c r="J273" s="19" t="str">
        <x:v>NOT_EXPOSED_IN_REPORT</x:v>
      </x:c>
      <x:c r="K273" s="19" t="str">
        <x:v>PRIORITY_RANK=29;ORIGINAL_ROW_CONFIDENCE_NOT_EXPOSED</x:v>
      </x:c>
      <x:c r="L273" s="19" t="str">
        <x:v>NOT_EXPOSED_IN_REPORT</x:v>
      </x:c>
      <x:c r="M273" s="19" t="str">
        <x:v>PRIORITY_RANK_29</x:v>
      </x:c>
      <x:c r="N273" s="31" t="str">
        <x:v>RECONSTRUCTED_FROM_REPORT</x:v>
      </x:c>
      <x:c r="O273" s="31" t="str">
        <x:v>UNRESOLVED</x:v>
      </x:c>
      <x:c r="P273" s="19" t="str">
        <x:v>Fear of Temperature_ Stratified Lexical Expansion, Voice Mapping, and Semantic-Relational Pre-Valida.pdf</x:v>
      </x:c>
      <x:c r="Q273" s="31" t="str">
        <x:v>RECONSTRUCTED_FROM_REPORT</x:v>
      </x:c>
      <x:c r="R273" s="43" t="str">
        <x:v>New surrogate project ID assigned from the compact report table; never an original later-stage structured candidate ID.</x:v>
      </x:c>
    </x:row>
    <x:row r="274" ht="30" customHeight="1">
      <x:c r="A274" s="40" t="str">
        <x:v>FT-SEED-R1B-P-1988-30</x:v>
      </x:c>
      <x:c r="B274" s="19" t="str">
        <x:v>PRIORITY_180</x:v>
      </x:c>
      <x:c r="C274" s="31" t="str">
        <x:v>NOT_EXPOSED_IN_REPORT</x:v>
      </x:c>
      <x:c r="D274" s="31" t="str">
        <x:v>9</x:v>
      </x:c>
      <x:c r="E274" s="19" t="str">
        <x:v>FT-A1988</x:v>
      </x:c>
      <x:c r="F274" s="31" t="str">
        <x:v>too much carbon dioxide is dangerous</x:v>
      </x:c>
      <x:c r="G274" s="19" t="str">
        <x:v>D</x:v>
      </x:c>
      <x:c r="H274" s="19" t="str">
        <x:v>V3</x:v>
      </x:c>
      <x:c r="I274" s="31" t="str">
        <x:v>S1988-EVENINGSTANDARD</x:v>
      </x:c>
      <x:c r="J274" s="19" t="str">
        <x:v>NOT_EXPOSED_IN_REPORT</x:v>
      </x:c>
      <x:c r="K274" s="19" t="str">
        <x:v>PRIORITY_RANK=30;ORIGINAL_ROW_CONFIDENCE_NOT_EXPOSED</x:v>
      </x:c>
      <x:c r="L274" s="19" t="str">
        <x:v>NOT_EXPOSED_IN_REPORT</x:v>
      </x:c>
      <x:c r="M274" s="19" t="str">
        <x:v>PRIORITY_RANK_30</x:v>
      </x:c>
      <x:c r="N274" s="31" t="str">
        <x:v>RECONSTRUCTED_FROM_REPORT</x:v>
      </x:c>
      <x:c r="O274" s="31" t="str">
        <x:v>UNRESOLVED</x:v>
      </x:c>
      <x:c r="P274" s="19" t="str">
        <x:v>Fear of Temperature_ Stratified Lexical Expansion, Voice Mapping, and Semantic-Relational Pre-Valida.pdf</x:v>
      </x:c>
      <x:c r="Q274" s="31" t="str">
        <x:v>RECONSTRUCTED_FROM_REPORT</x:v>
      </x:c>
      <x:c r="R274" s="43" t="str">
        <x:v>New surrogate project ID assigned from the compact report table; never an original later-stage structured candidate ID.</x:v>
      </x:c>
    </x:row>
    <x:row r="275" ht="30" customHeight="1">
      <x:c r="A275" s="40" t="str">
        <x:v>FT-SEED-R1B-P-0607-01</x:v>
      </x:c>
      <x:c r="B275" s="19" t="str">
        <x:v>PRIORITY_180</x:v>
      </x:c>
      <x:c r="C275" s="31" t="str">
        <x:v>NOT_EXPOSED_IN_REPORT</x:v>
      </x:c>
      <x:c r="D275" s="31" t="str">
        <x:v>10</x:v>
      </x:c>
      <x:c r="E275" s="19" t="str">
        <x:v>FT-A0607</x:v>
      </x:c>
      <x:c r="F275" s="31" t="str">
        <x:v>warming of the climate system</x:v>
      </x:c>
      <x:c r="G275" s="19" t="str">
        <x:v>A</x:v>
      </x:c>
      <x:c r="H275" s="19" t="str">
        <x:v>V1</x:v>
      </x:c>
      <x:c r="I275" s="31" t="str">
        <x:v>S0607-IPCC</x:v>
      </x:c>
      <x:c r="J275" s="19" t="str">
        <x:v>NOT_EXPOSED_IN_REPORT</x:v>
      </x:c>
      <x:c r="K275" s="19" t="str">
        <x:v>PRIORITY_RANK=1;ORIGINAL_ROW_CONFIDENCE_NOT_EXPOSED</x:v>
      </x:c>
      <x:c r="L275" s="19" t="str">
        <x:v>NOT_EXPOSED_IN_REPORT</x:v>
      </x:c>
      <x:c r="M275" s="19" t="str">
        <x:v>PRIORITY_RANK_01</x:v>
      </x:c>
      <x:c r="N275" s="31" t="str">
        <x:v>RECONSTRUCTED_FROM_REPORT</x:v>
      </x:c>
      <x:c r="O275" s="31" t="str">
        <x:v>UNRESOLVED</x:v>
      </x:c>
      <x:c r="P275" s="19" t="str">
        <x:v>Fear of Temperature_ Stratified Lexical Expansion, Voice Mapping, and Semantic-Relational Pre-Valida.pdf</x:v>
      </x:c>
      <x:c r="Q275" s="31" t="str">
        <x:v>RECONSTRUCTED_FROM_REPORT</x:v>
      </x:c>
      <x:c r="R275" s="43" t="str">
        <x:v>New surrogate project ID assigned from the compact report table; never an original later-stage structured candidate ID.</x:v>
      </x:c>
    </x:row>
    <x:row r="276" ht="30" customHeight="1">
      <x:c r="A276" s="40" t="str">
        <x:v>FT-SEED-R1B-P-0607-02</x:v>
      </x:c>
      <x:c r="B276" s="19" t="str">
        <x:v>PRIORITY_180</x:v>
      </x:c>
      <x:c r="C276" s="31" t="str">
        <x:v>NOT_EXPOSED_IN_REPORT</x:v>
      </x:c>
      <x:c r="D276" s="31" t="str">
        <x:v>10</x:v>
      </x:c>
      <x:c r="E276" s="19" t="str">
        <x:v>FT-A0607</x:v>
      </x:c>
      <x:c r="F276" s="31" t="str">
        <x:v>unequivocal</x:v>
      </x:c>
      <x:c r="G276" s="19" t="str">
        <x:v>B</x:v>
      </x:c>
      <x:c r="H276" s="19" t="str">
        <x:v>V1</x:v>
      </x:c>
      <x:c r="I276" s="31" t="str">
        <x:v>S0607-IPCC</x:v>
      </x:c>
      <x:c r="J276" s="19" t="str">
        <x:v>NOT_EXPOSED_IN_REPORT</x:v>
      </x:c>
      <x:c r="K276" s="19" t="str">
        <x:v>PRIORITY_RANK=2;ORIGINAL_ROW_CONFIDENCE_NOT_EXPOSED</x:v>
      </x:c>
      <x:c r="L276" s="19" t="str">
        <x:v>NOT_EXPOSED_IN_REPORT</x:v>
      </x:c>
      <x:c r="M276" s="19" t="str">
        <x:v>PRIORITY_RANK_02</x:v>
      </x:c>
      <x:c r="N276" s="31" t="str">
        <x:v>RECONSTRUCTED_FROM_REPORT</x:v>
      </x:c>
      <x:c r="O276" s="31" t="str">
        <x:v>UNRESOLVED</x:v>
      </x:c>
      <x:c r="P276" s="19" t="str">
        <x:v>Fear of Temperature_ Stratified Lexical Expansion, Voice Mapping, and Semantic-Relational Pre-Valida.pdf</x:v>
      </x:c>
      <x:c r="Q276" s="31" t="str">
        <x:v>RECONSTRUCTED_FROM_REPORT</x:v>
      </x:c>
      <x:c r="R276" s="43" t="str">
        <x:v>New surrogate project ID assigned from the compact report table; never an original later-stage structured candidate ID.</x:v>
      </x:c>
    </x:row>
    <x:row r="277" ht="30" customHeight="1">
      <x:c r="A277" s="40" t="str">
        <x:v>FT-SEED-R1B-P-0607-03</x:v>
      </x:c>
      <x:c r="B277" s="19" t="str">
        <x:v>PRIORITY_180</x:v>
      </x:c>
      <x:c r="C277" s="31" t="str">
        <x:v>NOT_EXPOSED_IN_REPORT</x:v>
      </x:c>
      <x:c r="D277" s="31" t="str">
        <x:v>10</x:v>
      </x:c>
      <x:c r="E277" s="19" t="str">
        <x:v>FT-A0607</x:v>
      </x:c>
      <x:c r="F277" s="31" t="str">
        <x:v>global average air and ocean temperatures</x:v>
      </x:c>
      <x:c r="G277" s="19" t="str">
        <x:v>A</x:v>
      </x:c>
      <x:c r="H277" s="19" t="str">
        <x:v>V1</x:v>
      </x:c>
      <x:c r="I277" s="31" t="str">
        <x:v>S0607-IPCC</x:v>
      </x:c>
      <x:c r="J277" s="19" t="str">
        <x:v>NOT_EXPOSED_IN_REPORT</x:v>
      </x:c>
      <x:c r="K277" s="19" t="str">
        <x:v>PRIORITY_RANK=3;ORIGINAL_ROW_CONFIDENCE_NOT_EXPOSED</x:v>
      </x:c>
      <x:c r="L277" s="19" t="str">
        <x:v>NOT_EXPOSED_IN_REPORT</x:v>
      </x:c>
      <x:c r="M277" s="19" t="str">
        <x:v>PRIORITY_RANK_03</x:v>
      </x:c>
      <x:c r="N277" s="31" t="str">
        <x:v>RECONSTRUCTED_FROM_REPORT</x:v>
      </x:c>
      <x:c r="O277" s="31" t="str">
        <x:v>UNRESOLVED</x:v>
      </x:c>
      <x:c r="P277" s="19" t="str">
        <x:v>Fear of Temperature_ Stratified Lexical Expansion, Voice Mapping, and Semantic-Relational Pre-Valida.pdf</x:v>
      </x:c>
      <x:c r="Q277" s="31" t="str">
        <x:v>RECONSTRUCTED_FROM_REPORT</x:v>
      </x:c>
      <x:c r="R277" s="43" t="str">
        <x:v>New surrogate project ID assigned from the compact report table; never an original later-stage structured candidate ID.</x:v>
      </x:c>
    </x:row>
    <x:row r="278" ht="30" customHeight="1">
      <x:c r="A278" s="40" t="str">
        <x:v>FT-SEED-R1B-P-0607-04</x:v>
      </x:c>
      <x:c r="B278" s="19" t="str">
        <x:v>PRIORITY_180</x:v>
      </x:c>
      <x:c r="C278" s="31" t="str">
        <x:v>NOT_EXPOSED_IN_REPORT</x:v>
      </x:c>
      <x:c r="D278" s="31" t="str">
        <x:v>10</x:v>
      </x:c>
      <x:c r="E278" s="19" t="str">
        <x:v>FT-A0607</x:v>
      </x:c>
      <x:c r="F278" s="31" t="str">
        <x:v>global surface temperature</x:v>
      </x:c>
      <x:c r="G278" s="19" t="str">
        <x:v>A</x:v>
      </x:c>
      <x:c r="H278" s="19" t="str">
        <x:v>V1</x:v>
      </x:c>
      <x:c r="I278" s="31" t="str">
        <x:v>S0607-IPCC</x:v>
      </x:c>
      <x:c r="J278" s="19" t="str">
        <x:v>NOT_EXPOSED_IN_REPORT</x:v>
      </x:c>
      <x:c r="K278" s="19" t="str">
        <x:v>PRIORITY_RANK=4;ORIGINAL_ROW_CONFIDENCE_NOT_EXPOSED</x:v>
      </x:c>
      <x:c r="L278" s="19" t="str">
        <x:v>NOT_EXPOSED_IN_REPORT</x:v>
      </x:c>
      <x:c r="M278" s="19" t="str">
        <x:v>PRIORITY_RANK_04</x:v>
      </x:c>
      <x:c r="N278" s="31" t="str">
        <x:v>RECONSTRUCTED_FROM_REPORT</x:v>
      </x:c>
      <x:c r="O278" s="31" t="str">
        <x:v>UNRESOLVED</x:v>
      </x:c>
      <x:c r="P278" s="19" t="str">
        <x:v>Fear of Temperature_ Stratified Lexical Expansion, Voice Mapping, and Semantic-Relational Pre-Valida.pdf</x:v>
      </x:c>
      <x:c r="Q278" s="31" t="str">
        <x:v>RECONSTRUCTED_FROM_REPORT</x:v>
      </x:c>
      <x:c r="R278" s="43" t="str">
        <x:v>New surrogate project ID assigned from the compact report table; never an original later-stage structured candidate ID.</x:v>
      </x:c>
    </x:row>
    <x:row r="279" ht="30" customHeight="1">
      <x:c r="A279" s="40" t="str">
        <x:v>FT-SEED-R1B-P-0607-05</x:v>
      </x:c>
      <x:c r="B279" s="19" t="str">
        <x:v>PRIORITY_180</x:v>
      </x:c>
      <x:c r="C279" s="31" t="str">
        <x:v>NOT_EXPOSED_IN_REPORT</x:v>
      </x:c>
      <x:c r="D279" s="31" t="str">
        <x:v>10</x:v>
      </x:c>
      <x:c r="E279" s="19" t="str">
        <x:v>FT-A0607</x:v>
      </x:c>
      <x:c r="F279" s="31" t="str">
        <x:v>temperature increase</x:v>
      </x:c>
      <x:c r="G279" s="19" t="str">
        <x:v>A</x:v>
      </x:c>
      <x:c r="H279" s="19" t="str">
        <x:v>V1</x:v>
      </x:c>
      <x:c r="I279" s="31" t="str">
        <x:v>S0607-IPCC</x:v>
      </x:c>
      <x:c r="J279" s="19" t="str">
        <x:v>NOT_EXPOSED_IN_REPORT</x:v>
      </x:c>
      <x:c r="K279" s="19" t="str">
        <x:v>PRIORITY_RANK=5;ORIGINAL_ROW_CONFIDENCE_NOT_EXPOSED</x:v>
      </x:c>
      <x:c r="L279" s="19" t="str">
        <x:v>NOT_EXPOSED_IN_REPORT</x:v>
      </x:c>
      <x:c r="M279" s="19" t="str">
        <x:v>PRIORITY_RANK_05</x:v>
      </x:c>
      <x:c r="N279" s="31" t="str">
        <x:v>RECONSTRUCTED_FROM_REPORT</x:v>
      </x:c>
      <x:c r="O279" s="31" t="str">
        <x:v>UNRESOLVED</x:v>
      </x:c>
      <x:c r="P279" s="19" t="str">
        <x:v>Fear of Temperature_ Stratified Lexical Expansion, Voice Mapping, and Semantic-Relational Pre-Valida.pdf</x:v>
      </x:c>
      <x:c r="Q279" s="31" t="str">
        <x:v>RECONSTRUCTED_FROM_REPORT</x:v>
      </x:c>
      <x:c r="R279" s="43" t="str">
        <x:v>New surrogate project ID assigned from the compact report table; never an original later-stage structured candidate ID.</x:v>
      </x:c>
    </x:row>
    <x:row r="280" ht="30" customHeight="1">
      <x:c r="A280" s="40" t="str">
        <x:v>FT-SEED-R1B-P-0607-06</x:v>
      </x:c>
      <x:c r="B280" s="19" t="str">
        <x:v>PRIORITY_180</x:v>
      </x:c>
      <x:c r="C280" s="31" t="str">
        <x:v>NOT_EXPOSED_IN_REPORT</x:v>
      </x:c>
      <x:c r="D280" s="31" t="str">
        <x:v>10</x:v>
      </x:c>
      <x:c r="E280" s="19" t="str">
        <x:v>FT-A0607</x:v>
      </x:c>
      <x:c r="F280" s="31" t="str">
        <x:v>rising global average sea level</x:v>
      </x:c>
      <x:c r="G280" s="19" t="str">
        <x:v>D</x:v>
      </x:c>
      <x:c r="H280" s="19" t="str">
        <x:v>V1</x:v>
      </x:c>
      <x:c r="I280" s="31" t="str">
        <x:v>S0607-IPCC</x:v>
      </x:c>
      <x:c r="J280" s="19" t="str">
        <x:v>NOT_EXPOSED_IN_REPORT</x:v>
      </x:c>
      <x:c r="K280" s="19" t="str">
        <x:v>PRIORITY_RANK=6;ORIGINAL_ROW_CONFIDENCE_NOT_EXPOSED</x:v>
      </x:c>
      <x:c r="L280" s="19" t="str">
        <x:v>NOT_EXPOSED_IN_REPORT</x:v>
      </x:c>
      <x:c r="M280" s="19" t="str">
        <x:v>PRIORITY_RANK_06</x:v>
      </x:c>
      <x:c r="N280" s="31" t="str">
        <x:v>RECONSTRUCTED_FROM_REPORT</x:v>
      </x:c>
      <x:c r="O280" s="31" t="str">
        <x:v>UNRESOLVED</x:v>
      </x:c>
      <x:c r="P280" s="19" t="str">
        <x:v>Fear of Temperature_ Stratified Lexical Expansion, Voice Mapping, and Semantic-Relational Pre-Valida.pdf</x:v>
      </x:c>
      <x:c r="Q280" s="31" t="str">
        <x:v>RECONSTRUCTED_FROM_REPORT</x:v>
      </x:c>
      <x:c r="R280" s="43" t="str">
        <x:v>New surrogate project ID assigned from the compact report table; never an original later-stage structured candidate ID.</x:v>
      </x:c>
    </x:row>
    <x:row r="281" ht="30" customHeight="1">
      <x:c r="A281" s="40" t="str">
        <x:v>FT-SEED-R1B-P-0607-07</x:v>
      </x:c>
      <x:c r="B281" s="19" t="str">
        <x:v>PRIORITY_180</x:v>
      </x:c>
      <x:c r="C281" s="31" t="str">
        <x:v>NOT_EXPOSED_IN_REPORT</x:v>
      </x:c>
      <x:c r="D281" s="31" t="str">
        <x:v>10</x:v>
      </x:c>
      <x:c r="E281" s="19" t="str">
        <x:v>FT-A0607</x:v>
      </x:c>
      <x:c r="F281" s="31" t="str">
        <x:v>widespread melting of snow and ice</x:v>
      </x:c>
      <x:c r="G281" s="19" t="str">
        <x:v>D</x:v>
      </x:c>
      <x:c r="H281" s="19" t="str">
        <x:v>V1</x:v>
      </x:c>
      <x:c r="I281" s="31" t="str">
        <x:v>S0607-IPCC</x:v>
      </x:c>
      <x:c r="J281" s="19" t="str">
        <x:v>NOT_EXPOSED_IN_REPORT</x:v>
      </x:c>
      <x:c r="K281" s="19" t="str">
        <x:v>PRIORITY_RANK=7;ORIGINAL_ROW_CONFIDENCE_NOT_EXPOSED</x:v>
      </x:c>
      <x:c r="L281" s="19" t="str">
        <x:v>NOT_EXPOSED_IN_REPORT</x:v>
      </x:c>
      <x:c r="M281" s="19" t="str">
        <x:v>PRIORITY_RANK_07</x:v>
      </x:c>
      <x:c r="N281" s="31" t="str">
        <x:v>RECONSTRUCTED_FROM_REPORT</x:v>
      </x:c>
      <x:c r="O281" s="31" t="str">
        <x:v>UNRESOLVED</x:v>
      </x:c>
      <x:c r="P281" s="19" t="str">
        <x:v>Fear of Temperature_ Stratified Lexical Expansion, Voice Mapping, and Semantic-Relational Pre-Valida.pdf</x:v>
      </x:c>
      <x:c r="Q281" s="31" t="str">
        <x:v>RECONSTRUCTED_FROM_REPORT</x:v>
      </x:c>
      <x:c r="R281" s="43" t="str">
        <x:v>New surrogate project ID assigned from the compact report table; never an original later-stage structured candidate ID.</x:v>
      </x:c>
    </x:row>
    <x:row r="282" ht="30" customHeight="1">
      <x:c r="A282" s="40" t="str">
        <x:v>FT-SEED-R1B-P-0607-08</x:v>
      </x:c>
      <x:c r="B282" s="19" t="str">
        <x:v>PRIORITY_180</x:v>
      </x:c>
      <x:c r="C282" s="31" t="str">
        <x:v>NOT_EXPOSED_IN_REPORT</x:v>
      </x:c>
      <x:c r="D282" s="31" t="str">
        <x:v>10</x:v>
      </x:c>
      <x:c r="E282" s="19" t="str">
        <x:v>FT-A0607</x:v>
      </x:c>
      <x:c r="F282" s="31" t="str">
        <x:v>anthropogenic CO₂</x:v>
      </x:c>
      <x:c r="G282" s="19" t="str">
        <x:v>B</x:v>
      </x:c>
      <x:c r="H282" s="19" t="str">
        <x:v>V1</x:v>
      </x:c>
      <x:c r="I282" s="31" t="str">
        <x:v>S0607-IPCC</x:v>
      </x:c>
      <x:c r="J282" s="19" t="str">
        <x:v>NOT_EXPOSED_IN_REPORT</x:v>
      </x:c>
      <x:c r="K282" s="19" t="str">
        <x:v>PRIORITY_RANK=8;ORIGINAL_ROW_CONFIDENCE_NOT_EXPOSED</x:v>
      </x:c>
      <x:c r="L282" s="19" t="str">
        <x:v>NOT_EXPOSED_IN_REPORT</x:v>
      </x:c>
      <x:c r="M282" s="19" t="str">
        <x:v>PRIORITY_RANK_08</x:v>
      </x:c>
      <x:c r="N282" s="31" t="str">
        <x:v>RECONSTRUCTED_FROM_REPORT</x:v>
      </x:c>
      <x:c r="O282" s="31" t="str">
        <x:v>UNRESOLVED</x:v>
      </x:c>
      <x:c r="P282" s="19" t="str">
        <x:v>Fear of Temperature_ Stratified Lexical Expansion, Voice Mapping, and Semantic-Relational Pre-Valida.pdf</x:v>
      </x:c>
      <x:c r="Q282" s="31" t="str">
        <x:v>RECONSTRUCTED_FROM_REPORT</x:v>
      </x:c>
      <x:c r="R282" s="43" t="str">
        <x:v>New surrogate project ID assigned from the compact report table; never an original later-stage structured candidate ID.</x:v>
      </x:c>
    </x:row>
    <x:row r="283" ht="30" customHeight="1">
      <x:c r="A283" s="40" t="str">
        <x:v>FT-SEED-R1B-P-0607-09</x:v>
      </x:c>
      <x:c r="B283" s="19" t="str">
        <x:v>PRIORITY_180</x:v>
      </x:c>
      <x:c r="C283" s="31" t="str">
        <x:v>NOT_EXPOSED_IN_REPORT</x:v>
      </x:c>
      <x:c r="D283" s="31" t="str">
        <x:v>10</x:v>
      </x:c>
      <x:c r="E283" s="19" t="str">
        <x:v>FT-A0607</x:v>
      </x:c>
      <x:c r="F283" s="31" t="str">
        <x:v>anthropogenic GHG emissions</x:v>
      </x:c>
      <x:c r="G283" s="19" t="str">
        <x:v>B</x:v>
      </x:c>
      <x:c r="H283" s="19" t="str">
        <x:v>V1</x:v>
      </x:c>
      <x:c r="I283" s="31" t="str">
        <x:v>S0607-IPCC</x:v>
      </x:c>
      <x:c r="J283" s="19" t="str">
        <x:v>NOT_EXPOSED_IN_REPORT</x:v>
      </x:c>
      <x:c r="K283" s="19" t="str">
        <x:v>PRIORITY_RANK=9;ORIGINAL_ROW_CONFIDENCE_NOT_EXPOSED</x:v>
      </x:c>
      <x:c r="L283" s="19" t="str">
        <x:v>NOT_EXPOSED_IN_REPORT</x:v>
      </x:c>
      <x:c r="M283" s="19" t="str">
        <x:v>PRIORITY_RANK_09</x:v>
      </x:c>
      <x:c r="N283" s="31" t="str">
        <x:v>RECONSTRUCTED_FROM_REPORT</x:v>
      </x:c>
      <x:c r="O283" s="31" t="str">
        <x:v>UNRESOLVED</x:v>
      </x:c>
      <x:c r="P283" s="19" t="str">
        <x:v>Fear of Temperature_ Stratified Lexical Expansion, Voice Mapping, and Semantic-Relational Pre-Valida.pdf</x:v>
      </x:c>
      <x:c r="Q283" s="31" t="str">
        <x:v>RECONSTRUCTED_FROM_REPORT</x:v>
      </x:c>
      <x:c r="R283" s="43" t="str">
        <x:v>New surrogate project ID assigned from the compact report table; never an original later-stage structured candidate ID.</x:v>
      </x:c>
    </x:row>
    <x:row r="284" ht="30" customHeight="1">
      <x:c r="A284" s="40" t="str">
        <x:v>FT-SEED-R1B-P-0607-10</x:v>
      </x:c>
      <x:c r="B284" s="19" t="str">
        <x:v>PRIORITY_180</x:v>
      </x:c>
      <x:c r="C284" s="31" t="str">
        <x:v>NOT_EXPOSED_IN_REPORT</x:v>
      </x:c>
      <x:c r="D284" s="31" t="str">
        <x:v>10</x:v>
      </x:c>
      <x:c r="E284" s="19" t="str">
        <x:v>FT-A0607</x:v>
      </x:c>
      <x:c r="F284" s="31" t="str">
        <x:v>climate change</x:v>
      </x:c>
      <x:c r="G284" s="19" t="str">
        <x:v>B</x:v>
      </x:c>
      <x:c r="H284" s="19" t="str">
        <x:v>V2</x:v>
      </x:c>
      <x:c r="I284" s="31" t="str">
        <x:v>S0607-STERN</x:v>
      </x:c>
      <x:c r="J284" s="19" t="str">
        <x:v>NOT_EXPOSED_IN_REPORT</x:v>
      </x:c>
      <x:c r="K284" s="19" t="str">
        <x:v>PRIORITY_RANK=10;ORIGINAL_ROW_CONFIDENCE_NOT_EXPOSED</x:v>
      </x:c>
      <x:c r="L284" s="19" t="str">
        <x:v>NOT_EXPOSED_IN_REPORT</x:v>
      </x:c>
      <x:c r="M284" s="19" t="str">
        <x:v>PRIORITY_RANK_10</x:v>
      </x:c>
      <x:c r="N284" s="31" t="str">
        <x:v>RECONSTRUCTED_FROM_REPORT</x:v>
      </x:c>
      <x:c r="O284" s="31" t="str">
        <x:v>UNRESOLVED</x:v>
      </x:c>
      <x:c r="P284" s="19" t="str">
        <x:v>Fear of Temperature_ Stratified Lexical Expansion, Voice Mapping, and Semantic-Relational Pre-Valida.pdf</x:v>
      </x:c>
      <x:c r="Q284" s="31" t="str">
        <x:v>RECONSTRUCTED_FROM_REPORT</x:v>
      </x:c>
      <x:c r="R284" s="43" t="str">
        <x:v>New surrogate project ID assigned from the compact report table; never an original later-stage structured candidate ID.</x:v>
      </x:c>
    </x:row>
    <x:row r="285" ht="30" customHeight="1">
      <x:c r="A285" s="40" t="str">
        <x:v>FT-SEED-R1B-P-0607-11</x:v>
      </x:c>
      <x:c r="B285" s="19" t="str">
        <x:v>PRIORITY_180</x:v>
      </x:c>
      <x:c r="C285" s="31" t="str">
        <x:v>NOT_EXPOSED_IN_REPORT</x:v>
      </x:c>
      <x:c r="D285" s="31" t="str">
        <x:v>10</x:v>
      </x:c>
      <x:c r="E285" s="19" t="str">
        <x:v>FT-A0607</x:v>
      </x:c>
      <x:c r="F285" s="31" t="str">
        <x:v>global warming</x:v>
      </x:c>
      <x:c r="G285" s="19" t="str">
        <x:v>A</x:v>
      </x:c>
      <x:c r="H285" s="19" t="str">
        <x:v>V3</x:v>
      </x:c>
      <x:c r="I285" s="31" t="str">
        <x:v>S0607-TIME</x:v>
      </x:c>
      <x:c r="J285" s="19" t="str">
        <x:v>NOT_EXPOSED_IN_REPORT</x:v>
      </x:c>
      <x:c r="K285" s="19" t="str">
        <x:v>PRIORITY_RANK=11;ORIGINAL_ROW_CONFIDENCE_NOT_EXPOSED</x:v>
      </x:c>
      <x:c r="L285" s="19" t="str">
        <x:v>NOT_EXPOSED_IN_REPORT</x:v>
      </x:c>
      <x:c r="M285" s="19" t="str">
        <x:v>PRIORITY_RANK_11</x:v>
      </x:c>
      <x:c r="N285" s="31" t="str">
        <x:v>RECONSTRUCTED_FROM_REPORT</x:v>
      </x:c>
      <x:c r="O285" s="31" t="str">
        <x:v>UNRESOLVED</x:v>
      </x:c>
      <x:c r="P285" s="19" t="str">
        <x:v>Fear of Temperature_ Stratified Lexical Expansion, Voice Mapping, and Semantic-Relational Pre-Valida.pdf</x:v>
      </x:c>
      <x:c r="Q285" s="31" t="str">
        <x:v>RECONSTRUCTED_FROM_REPORT</x:v>
      </x:c>
      <x:c r="R285" s="43" t="str">
        <x:v>New surrogate project ID assigned from the compact report table; never an original later-stage structured candidate ID.</x:v>
      </x:c>
    </x:row>
    <x:row r="286" ht="30" customHeight="1">
      <x:c r="A286" s="40" t="str">
        <x:v>FT-SEED-R1B-P-0607-12</x:v>
      </x:c>
      <x:c r="B286" s="19" t="str">
        <x:v>PRIORITY_180</x:v>
      </x:c>
      <x:c r="C286" s="31" t="str">
        <x:v>NOT_EXPOSED_IN_REPORT</x:v>
      </x:c>
      <x:c r="D286" s="31" t="str">
        <x:v>10</x:v>
      </x:c>
      <x:c r="E286" s="19" t="str">
        <x:v>FT-A0607</x:v>
      </x:c>
      <x:c r="F286" s="31" t="str">
        <x:v>serious global threat</x:v>
      </x:c>
      <x:c r="G286" s="19" t="str">
        <x:v>D</x:v>
      </x:c>
      <x:c r="H286" s="19" t="str">
        <x:v>V2</x:v>
      </x:c>
      <x:c r="I286" s="31" t="str">
        <x:v>S0607-STERN</x:v>
      </x:c>
      <x:c r="J286" s="19" t="str">
        <x:v>NOT_EXPOSED_IN_REPORT</x:v>
      </x:c>
      <x:c r="K286" s="19" t="str">
        <x:v>PRIORITY_RANK=12;ORIGINAL_ROW_CONFIDENCE_NOT_EXPOSED</x:v>
      </x:c>
      <x:c r="L286" s="19" t="str">
        <x:v>NOT_EXPOSED_IN_REPORT</x:v>
      </x:c>
      <x:c r="M286" s="19" t="str">
        <x:v>PRIORITY_RANK_12</x:v>
      </x:c>
      <x:c r="N286" s="31" t="str">
        <x:v>RECONSTRUCTED_FROM_REPORT</x:v>
      </x:c>
      <x:c r="O286" s="31" t="str">
        <x:v>UNRESOLVED</x:v>
      </x:c>
      <x:c r="P286" s="19" t="str">
        <x:v>Fear of Temperature_ Stratified Lexical Expansion, Voice Mapping, and Semantic-Relational Pre-Valida.pdf</x:v>
      </x:c>
      <x:c r="Q286" s="31" t="str">
        <x:v>RECONSTRUCTED_FROM_REPORT</x:v>
      </x:c>
      <x:c r="R286" s="43" t="str">
        <x:v>New surrogate project ID assigned from the compact report table; never an original later-stage structured candidate ID.</x:v>
      </x:c>
    </x:row>
    <x:row r="287" ht="30" customHeight="1">
      <x:c r="A287" s="40" t="str">
        <x:v>FT-SEED-R1B-P-0607-13</x:v>
      </x:c>
      <x:c r="B287" s="19" t="str">
        <x:v>PRIORITY_180</x:v>
      </x:c>
      <x:c r="C287" s="31" t="str">
        <x:v>NOT_EXPOSED_IN_REPORT</x:v>
      </x:c>
      <x:c r="D287" s="31" t="str">
        <x:v>10</x:v>
      </x:c>
      <x:c r="E287" s="19" t="str">
        <x:v>FT-A0607</x:v>
      </x:c>
      <x:c r="F287" s="31" t="str">
        <x:v>urgent global response</x:v>
      </x:c>
      <x:c r="G287" s="19" t="str">
        <x:v>D</x:v>
      </x:c>
      <x:c r="H287" s="19" t="str">
        <x:v>V2</x:v>
      </x:c>
      <x:c r="I287" s="31" t="str">
        <x:v>S0607-STERN</x:v>
      </x:c>
      <x:c r="J287" s="19" t="str">
        <x:v>NOT_EXPOSED_IN_REPORT</x:v>
      </x:c>
      <x:c r="K287" s="19" t="str">
        <x:v>PRIORITY_RANK=13;ORIGINAL_ROW_CONFIDENCE_NOT_EXPOSED</x:v>
      </x:c>
      <x:c r="L287" s="19" t="str">
        <x:v>NOT_EXPOSED_IN_REPORT</x:v>
      </x:c>
      <x:c r="M287" s="19" t="str">
        <x:v>PRIORITY_RANK_13</x:v>
      </x:c>
      <x:c r="N287" s="31" t="str">
        <x:v>RECONSTRUCTED_FROM_REPORT</x:v>
      </x:c>
      <x:c r="O287" s="31" t="str">
        <x:v>UNRESOLVED</x:v>
      </x:c>
      <x:c r="P287" s="19" t="str">
        <x:v>Fear of Temperature_ Stratified Lexical Expansion, Voice Mapping, and Semantic-Relational Pre-Valida.pdf</x:v>
      </x:c>
      <x:c r="Q287" s="31" t="str">
        <x:v>RECONSTRUCTED_FROM_REPORT</x:v>
      </x:c>
      <x:c r="R287" s="43" t="str">
        <x:v>New surrogate project ID assigned from the compact report table; never an original later-stage structured candidate ID.</x:v>
      </x:c>
    </x:row>
    <x:row r="288" ht="30" customHeight="1">
      <x:c r="A288" s="40" t="str">
        <x:v>FT-SEED-R1B-P-0607-14</x:v>
      </x:c>
      <x:c r="B288" s="19" t="str">
        <x:v>PRIORITY_180</x:v>
      </x:c>
      <x:c r="C288" s="31" t="str">
        <x:v>NOT_EXPOSED_IN_REPORT</x:v>
      </x:c>
      <x:c r="D288" s="31" t="str">
        <x:v>10</x:v>
      </x:c>
      <x:c r="E288" s="19" t="str">
        <x:v>FT-A0607</x:v>
      </x:c>
      <x:c r="F288" s="31" t="str">
        <x:v>costs and risks of climate change</x:v>
      </x:c>
      <x:c r="G288" s="19" t="str">
        <x:v>D</x:v>
      </x:c>
      <x:c r="H288" s="19" t="str">
        <x:v>V2</x:v>
      </x:c>
      <x:c r="I288" s="31" t="str">
        <x:v>S0607-STERN</x:v>
      </x:c>
      <x:c r="J288" s="19" t="str">
        <x:v>NOT_EXPOSED_IN_REPORT</x:v>
      </x:c>
      <x:c r="K288" s="19" t="str">
        <x:v>PRIORITY_RANK=14;ORIGINAL_ROW_CONFIDENCE_NOT_EXPOSED</x:v>
      </x:c>
      <x:c r="L288" s="19" t="str">
        <x:v>NOT_EXPOSED_IN_REPORT</x:v>
      </x:c>
      <x:c r="M288" s="19" t="str">
        <x:v>PRIORITY_RANK_14</x:v>
      </x:c>
      <x:c r="N288" s="31" t="str">
        <x:v>RECONSTRUCTED_FROM_REPORT</x:v>
      </x:c>
      <x:c r="O288" s="31" t="str">
        <x:v>UNRESOLVED</x:v>
      </x:c>
      <x:c r="P288" s="19" t="str">
        <x:v>Fear of Temperature_ Stratified Lexical Expansion, Voice Mapping, and Semantic-Relational Pre-Valida.pdf</x:v>
      </x:c>
      <x:c r="Q288" s="31" t="str">
        <x:v>RECONSTRUCTED_FROM_REPORT</x:v>
      </x:c>
      <x:c r="R288" s="43" t="str">
        <x:v>New surrogate project ID assigned from the compact report table; never an original later-stage structured candidate ID.</x:v>
      </x:c>
    </x:row>
    <x:row r="289" ht="30" customHeight="1">
      <x:c r="A289" s="40" t="str">
        <x:v>FT-SEED-R1B-P-0607-15</x:v>
      </x:c>
      <x:c r="B289" s="19" t="str">
        <x:v>PRIORITY_180</x:v>
      </x:c>
      <x:c r="C289" s="31" t="str">
        <x:v>NOT_EXPOSED_IN_REPORT</x:v>
      </x:c>
      <x:c r="D289" s="31" t="str">
        <x:v>10</x:v>
      </x:c>
      <x:c r="E289" s="19" t="str">
        <x:v>FT-A0607</x:v>
      </x:c>
      <x:c r="F289" s="31" t="str">
        <x:v>impacts of climate change</x:v>
      </x:c>
      <x:c r="G289" s="19" t="str">
        <x:v>D</x:v>
      </x:c>
      <x:c r="H289" s="19" t="str">
        <x:v>V2</x:v>
      </x:c>
      <x:c r="I289" s="31" t="str">
        <x:v>S0607-STERN</x:v>
      </x:c>
      <x:c r="J289" s="19" t="str">
        <x:v>NOT_EXPOSED_IN_REPORT</x:v>
      </x:c>
      <x:c r="K289" s="19" t="str">
        <x:v>PRIORITY_RANK=15;ORIGINAL_ROW_CONFIDENCE_NOT_EXPOSED</x:v>
      </x:c>
      <x:c r="L289" s="19" t="str">
        <x:v>NOT_EXPOSED_IN_REPORT</x:v>
      </x:c>
      <x:c r="M289" s="19" t="str">
        <x:v>PRIORITY_RANK_15</x:v>
      </x:c>
      <x:c r="N289" s="31" t="str">
        <x:v>RECONSTRUCTED_FROM_REPORT</x:v>
      </x:c>
      <x:c r="O289" s="31" t="str">
        <x:v>UNRESOLVED</x:v>
      </x:c>
      <x:c r="P289" s="19" t="str">
        <x:v>Fear of Temperature_ Stratified Lexical Expansion, Voice Mapping, and Semantic-Relational Pre-Valida.pdf</x:v>
      </x:c>
      <x:c r="Q289" s="31" t="str">
        <x:v>RECONSTRUCTED_FROM_REPORT</x:v>
      </x:c>
      <x:c r="R289" s="43" t="str">
        <x:v>New surrogate project ID assigned from the compact report table; never an original later-stage structured candidate ID.</x:v>
      </x:c>
    </x:row>
    <x:row r="290" ht="30" customHeight="1">
      <x:c r="A290" s="40" t="str">
        <x:v>FT-SEED-R1B-P-0607-16</x:v>
      </x:c>
      <x:c r="B290" s="19" t="str">
        <x:v>PRIORITY_180</x:v>
      </x:c>
      <x:c r="C290" s="31" t="str">
        <x:v>NOT_EXPOSED_IN_REPORT</x:v>
      </x:c>
      <x:c r="D290" s="31" t="str">
        <x:v>10</x:v>
      </x:c>
      <x:c r="E290" s="19" t="str">
        <x:v>FT-A0607</x:v>
      </x:c>
      <x:c r="F290" s="31" t="str">
        <x:v>damage</x:v>
      </x:c>
      <x:c r="G290" s="19" t="str">
        <x:v>D</x:v>
      </x:c>
      <x:c r="H290" s="19" t="str">
        <x:v>V2</x:v>
      </x:c>
      <x:c r="I290" s="31" t="str">
        <x:v>S0607-STERN</x:v>
      </x:c>
      <x:c r="J290" s="19" t="str">
        <x:v>NOT_EXPOSED_IN_REPORT</x:v>
      </x:c>
      <x:c r="K290" s="19" t="str">
        <x:v>PRIORITY_RANK=16;ORIGINAL_ROW_CONFIDENCE_NOT_EXPOSED</x:v>
      </x:c>
      <x:c r="L290" s="19" t="str">
        <x:v>NOT_EXPOSED_IN_REPORT</x:v>
      </x:c>
      <x:c r="M290" s="19" t="str">
        <x:v>PRIORITY_RANK_16</x:v>
      </x:c>
      <x:c r="N290" s="31" t="str">
        <x:v>RECONSTRUCTED_FROM_REPORT</x:v>
      </x:c>
      <x:c r="O290" s="31" t="str">
        <x:v>UNRESOLVED</x:v>
      </x:c>
      <x:c r="P290" s="19" t="str">
        <x:v>Fear of Temperature_ Stratified Lexical Expansion, Voice Mapping, and Semantic-Relational Pre-Valida.pdf</x:v>
      </x:c>
      <x:c r="Q290" s="31" t="str">
        <x:v>RECONSTRUCTED_FROM_REPORT</x:v>
      </x:c>
      <x:c r="R290" s="43" t="str">
        <x:v>New surrogate project ID assigned from the compact report table; never an original later-stage structured candidate ID.</x:v>
      </x:c>
    </x:row>
    <x:row r="291" ht="30" customHeight="1">
      <x:c r="A291" s="40" t="str">
        <x:v>FT-SEED-R1B-P-0607-17</x:v>
      </x:c>
      <x:c r="B291" s="19" t="str">
        <x:v>PRIORITY_180</x:v>
      </x:c>
      <x:c r="C291" s="31" t="str">
        <x:v>NOT_EXPOSED_IN_REPORT</x:v>
      </x:c>
      <x:c r="D291" s="31" t="str">
        <x:v>10</x:v>
      </x:c>
      <x:c r="E291" s="19" t="str">
        <x:v>FT-A0607</x:v>
      </x:c>
      <x:c r="F291" s="31" t="str">
        <x:v>hunger</x:v>
      </x:c>
      <x:c r="G291" s="19" t="str">
        <x:v>D</x:v>
      </x:c>
      <x:c r="H291" s="19" t="str">
        <x:v>V2</x:v>
      </x:c>
      <x:c r="I291" s="31" t="str">
        <x:v>S0607-STERN</x:v>
      </x:c>
      <x:c r="J291" s="19" t="str">
        <x:v>NOT_EXPOSED_IN_REPORT</x:v>
      </x:c>
      <x:c r="K291" s="19" t="str">
        <x:v>PRIORITY_RANK=17;ORIGINAL_ROW_CONFIDENCE_NOT_EXPOSED</x:v>
      </x:c>
      <x:c r="L291" s="19" t="str">
        <x:v>NOT_EXPOSED_IN_REPORT</x:v>
      </x:c>
      <x:c r="M291" s="19" t="str">
        <x:v>PRIORITY_RANK_17</x:v>
      </x:c>
      <x:c r="N291" s="31" t="str">
        <x:v>RECONSTRUCTED_FROM_REPORT</x:v>
      </x:c>
      <x:c r="O291" s="31" t="str">
        <x:v>UNRESOLVED</x:v>
      </x:c>
      <x:c r="P291" s="19" t="str">
        <x:v>Fear of Temperature_ Stratified Lexical Expansion, Voice Mapping, and Semantic-Relational Pre-Valida.pdf</x:v>
      </x:c>
      <x:c r="Q291" s="31" t="str">
        <x:v>RECONSTRUCTED_FROM_REPORT</x:v>
      </x:c>
      <x:c r="R291" s="43" t="str">
        <x:v>New surrogate project ID assigned from the compact report table; never an original later-stage structured candidate ID.</x:v>
      </x:c>
    </x:row>
    <x:row r="292" ht="30" customHeight="1">
      <x:c r="A292" s="40" t="str">
        <x:v>FT-SEED-R1B-P-0607-18</x:v>
      </x:c>
      <x:c r="B292" s="19" t="str">
        <x:v>PRIORITY_180</x:v>
      </x:c>
      <x:c r="C292" s="31" t="str">
        <x:v>NOT_EXPOSED_IN_REPORT</x:v>
      </x:c>
      <x:c r="D292" s="31" t="str">
        <x:v>10</x:v>
      </x:c>
      <x:c r="E292" s="19" t="str">
        <x:v>FT-A0607</x:v>
      </x:c>
      <x:c r="F292" s="31" t="str">
        <x:v>water shortages</x:v>
      </x:c>
      <x:c r="G292" s="19" t="str">
        <x:v>D</x:v>
      </x:c>
      <x:c r="H292" s="19" t="str">
        <x:v>V2</x:v>
      </x:c>
      <x:c r="I292" s="31" t="str">
        <x:v>S0607-STERN</x:v>
      </x:c>
      <x:c r="J292" s="19" t="str">
        <x:v>NOT_EXPOSED_IN_REPORT</x:v>
      </x:c>
      <x:c r="K292" s="19" t="str">
        <x:v>PRIORITY_RANK=18;ORIGINAL_ROW_CONFIDENCE_NOT_EXPOSED</x:v>
      </x:c>
      <x:c r="L292" s="19" t="str">
        <x:v>NOT_EXPOSED_IN_REPORT</x:v>
      </x:c>
      <x:c r="M292" s="19" t="str">
        <x:v>PRIORITY_RANK_18</x:v>
      </x:c>
      <x:c r="N292" s="31" t="str">
        <x:v>RECONSTRUCTED_FROM_REPORT</x:v>
      </x:c>
      <x:c r="O292" s="31" t="str">
        <x:v>UNRESOLVED</x:v>
      </x:c>
      <x:c r="P292" s="19" t="str">
        <x:v>Fear of Temperature_ Stratified Lexical Expansion, Voice Mapping, and Semantic-Relational Pre-Valida.pdf</x:v>
      </x:c>
      <x:c r="Q292" s="31" t="str">
        <x:v>RECONSTRUCTED_FROM_REPORT</x:v>
      </x:c>
      <x:c r="R292" s="43" t="str">
        <x:v>New surrogate project ID assigned from the compact report table; never an original later-stage structured candidate ID.</x:v>
      </x:c>
    </x:row>
    <x:row r="293" ht="30" customHeight="1">
      <x:c r="A293" s="40" t="str">
        <x:v>FT-SEED-R1B-P-0607-19</x:v>
      </x:c>
      <x:c r="B293" s="19" t="str">
        <x:v>PRIORITY_180</x:v>
      </x:c>
      <x:c r="C293" s="31" t="str">
        <x:v>NOT_EXPOSED_IN_REPORT</x:v>
      </x:c>
      <x:c r="D293" s="31" t="str">
        <x:v>10</x:v>
      </x:c>
      <x:c r="E293" s="19" t="str">
        <x:v>FT-A0607</x:v>
      </x:c>
      <x:c r="F293" s="31" t="str">
        <x:v>coastal flooding</x:v>
      </x:c>
      <x:c r="G293" s="19" t="str">
        <x:v>D</x:v>
      </x:c>
      <x:c r="H293" s="19" t="str">
        <x:v>V2</x:v>
      </x:c>
      <x:c r="I293" s="31" t="str">
        <x:v>S0607-STERN</x:v>
      </x:c>
      <x:c r="J293" s="19" t="str">
        <x:v>NOT_EXPOSED_IN_REPORT</x:v>
      </x:c>
      <x:c r="K293" s="19" t="str">
        <x:v>PRIORITY_RANK=19;ORIGINAL_ROW_CONFIDENCE_NOT_EXPOSED</x:v>
      </x:c>
      <x:c r="L293" s="19" t="str">
        <x:v>NOT_EXPOSED_IN_REPORT</x:v>
      </x:c>
      <x:c r="M293" s="19" t="str">
        <x:v>PRIORITY_RANK_19</x:v>
      </x:c>
      <x:c r="N293" s="31" t="str">
        <x:v>RECONSTRUCTED_FROM_REPORT</x:v>
      </x:c>
      <x:c r="O293" s="31" t="str">
        <x:v>UNRESOLVED</x:v>
      </x:c>
      <x:c r="P293" s="19" t="str">
        <x:v>Fear of Temperature_ Stratified Lexical Expansion, Voice Mapping, and Semantic-Relational Pre-Valida.pdf</x:v>
      </x:c>
      <x:c r="Q293" s="31" t="str">
        <x:v>RECONSTRUCTED_FROM_REPORT</x:v>
      </x:c>
      <x:c r="R293" s="43" t="str">
        <x:v>New surrogate project ID assigned from the compact report table; never an original later-stage structured candidate ID.</x:v>
      </x:c>
    </x:row>
    <x:row r="294" ht="30" customHeight="1">
      <x:c r="A294" s="40" t="str">
        <x:v>FT-SEED-R1B-P-0607-20</x:v>
      </x:c>
      <x:c r="B294" s="19" t="str">
        <x:v>PRIORITY_180</x:v>
      </x:c>
      <x:c r="C294" s="31" t="str">
        <x:v>NOT_EXPOSED_IN_REPORT</x:v>
      </x:c>
      <x:c r="D294" s="31" t="str">
        <x:v>10</x:v>
      </x:c>
      <x:c r="E294" s="19" t="str">
        <x:v>FT-A0607</x:v>
      </x:c>
      <x:c r="F294" s="31" t="str">
        <x:v>worst impacts</x:v>
      </x:c>
      <x:c r="G294" s="19" t="str">
        <x:v>D</x:v>
      </x:c>
      <x:c r="H294" s="19" t="str">
        <x:v>V2</x:v>
      </x:c>
      <x:c r="I294" s="31" t="str">
        <x:v>S0607-STERN</x:v>
      </x:c>
      <x:c r="J294" s="19" t="str">
        <x:v>NOT_EXPOSED_IN_REPORT</x:v>
      </x:c>
      <x:c r="K294" s="19" t="str">
        <x:v>PRIORITY_RANK=20;ORIGINAL_ROW_CONFIDENCE_NOT_EXPOSED</x:v>
      </x:c>
      <x:c r="L294" s="19" t="str">
        <x:v>NOT_EXPOSED_IN_REPORT</x:v>
      </x:c>
      <x:c r="M294" s="19" t="str">
        <x:v>PRIORITY_RANK_20</x:v>
      </x:c>
      <x:c r="N294" s="31" t="str">
        <x:v>RECONSTRUCTED_FROM_REPORT</x:v>
      </x:c>
      <x:c r="O294" s="31" t="str">
        <x:v>UNRESOLVED</x:v>
      </x:c>
      <x:c r="P294" s="19" t="str">
        <x:v>Fear of Temperature_ Stratified Lexical Expansion, Voice Mapping, and Semantic-Relational Pre-Valida.pdf</x:v>
      </x:c>
      <x:c r="Q294" s="31" t="str">
        <x:v>RECONSTRUCTED_FROM_REPORT</x:v>
      </x:c>
      <x:c r="R294" s="43" t="str">
        <x:v>New surrogate project ID assigned from the compact report table; never an original later-stage structured candidate ID.</x:v>
      </x:c>
    </x:row>
    <x:row r="295" ht="30" customHeight="1">
      <x:c r="A295" s="40" t="str">
        <x:v>FT-SEED-R1B-P-0607-21</x:v>
      </x:c>
      <x:c r="B295" s="19" t="str">
        <x:v>PRIORITY_180</x:v>
      </x:c>
      <x:c r="C295" s="31" t="str">
        <x:v>NOT_EXPOSED_IN_REPORT</x:v>
      </x:c>
      <x:c r="D295" s="31" t="str">
        <x:v>10</x:v>
      </x:c>
      <x:c r="E295" s="19" t="str">
        <x:v>FT-A0607</x:v>
      </x:c>
      <x:c r="F295" s="31" t="str">
        <x:v>Be Worried. Be Very Worried.</x:v>
      </x:c>
      <x:c r="G295" s="19" t="str">
        <x:v>C</x:v>
      </x:c>
      <x:c r="H295" s="19" t="str">
        <x:v>V3</x:v>
      </x:c>
      <x:c r="I295" s="31" t="str">
        <x:v>S0607-TIME</x:v>
      </x:c>
      <x:c r="J295" s="19" t="str">
        <x:v>E1</x:v>
      </x:c>
      <x:c r="K295" s="19" t="str">
        <x:v>PRIORITY_RANK=21;ORIGINAL_ROW_CONFIDENCE_NOT_EXPOSED</x:v>
      </x:c>
      <x:c r="L295" s="19" t="str">
        <x:v>NOT_EXPOSED_IN_REPORT</x:v>
      </x:c>
      <x:c r="M295" s="19" t="str">
        <x:v>PRIORITY_RANK_21</x:v>
      </x:c>
      <x:c r="N295" s="31" t="str">
        <x:v>RECONSTRUCTED_FROM_REPORT</x:v>
      </x:c>
      <x:c r="O295" s="31" t="str">
        <x:v>UNRESOLVED</x:v>
      </x:c>
      <x:c r="P295" s="19" t="str">
        <x:v>Fear of Temperature_ Stratified Lexical Expansion, Voice Mapping, and Semantic-Relational Pre-Valida.pdf</x:v>
      </x:c>
      <x:c r="Q295" s="31" t="str">
        <x:v>RECONSTRUCTED_FROM_REPORT</x:v>
      </x:c>
      <x:c r="R295" s="43" t="str">
        <x:v>New surrogate project ID assigned from the compact report table; never an original later-stage structured candidate ID.</x:v>
      </x:c>
    </x:row>
    <x:row r="296" ht="30" customHeight="1">
      <x:c r="A296" s="40" t="str">
        <x:v>FT-SEED-R1B-P-0607-22</x:v>
      </x:c>
      <x:c r="B296" s="19" t="str">
        <x:v>PRIORITY_180</x:v>
      </x:c>
      <x:c r="C296" s="31" t="str">
        <x:v>NOT_EXPOSED_IN_REPORT</x:v>
      </x:c>
      <x:c r="D296" s="31" t="str">
        <x:v>10</x:v>
      </x:c>
      <x:c r="E296" s="19" t="str">
        <x:v>FT-A0607</x:v>
      </x:c>
      <x:c r="F296" s="31" t="str">
        <x:v>personally worry</x:v>
      </x:c>
      <x:c r="G296" s="19" t="str">
        <x:v>C</x:v>
      </x:c>
      <x:c r="H296" s="19" t="str">
        <x:v>V5</x:v>
      </x:c>
      <x:c r="I296" s="31" t="str">
        <x:v>S0607-GALLUP</x:v>
      </x:c>
      <x:c r="J296" s="19" t="str">
        <x:v>E3</x:v>
      </x:c>
      <x:c r="K296" s="19" t="str">
        <x:v>PRIORITY_RANK=22;ORIGINAL_ROW_CONFIDENCE_NOT_EXPOSED</x:v>
      </x:c>
      <x:c r="L296" s="19" t="str">
        <x:v>NOT_EXPOSED_IN_REPORT</x:v>
      </x:c>
      <x:c r="M296" s="19" t="str">
        <x:v>PRIORITY_RANK_22</x:v>
      </x:c>
      <x:c r="N296" s="31" t="str">
        <x:v>RECONSTRUCTED_FROM_REPORT</x:v>
      </x:c>
      <x:c r="O296" s="31" t="str">
        <x:v>UNRESOLVED</x:v>
      </x:c>
      <x:c r="P296" s="19" t="str">
        <x:v>Fear of Temperature_ Stratified Lexical Expansion, Voice Mapping, and Semantic-Relational Pre-Valida.pdf</x:v>
      </x:c>
      <x:c r="Q296" s="31" t="str">
        <x:v>RECONSTRUCTED_FROM_REPORT</x:v>
      </x:c>
      <x:c r="R296" s="43" t="str">
        <x:v>New surrogate project ID assigned from the compact report table; never an original later-stage structured candidate ID.</x:v>
      </x:c>
    </x:row>
    <x:row r="297" ht="30" customHeight="1">
      <x:c r="A297" s="40" t="str">
        <x:v>FT-SEED-R1B-P-0607-23</x:v>
      </x:c>
      <x:c r="B297" s="19" t="str">
        <x:v>PRIORITY_180</x:v>
      </x:c>
      <x:c r="C297" s="31" t="str">
        <x:v>NOT_EXPOSED_IN_REPORT</x:v>
      </x:c>
      <x:c r="D297" s="31" t="str">
        <x:v>10</x:v>
      </x:c>
      <x:c r="E297" s="19" t="str">
        <x:v>FT-A0607</x:v>
      </x:c>
      <x:c r="F297" s="31" t="str">
        <x:v>worry a great deal</x:v>
      </x:c>
      <x:c r="G297" s="19" t="str">
        <x:v>C</x:v>
      </x:c>
      <x:c r="H297" s="19" t="str">
        <x:v>V5</x:v>
      </x:c>
      <x:c r="I297" s="31" t="str">
        <x:v>S0607-GALLUP</x:v>
      </x:c>
      <x:c r="J297" s="19" t="str">
        <x:v>NOT_EXPOSED_IN_REPORT</x:v>
      </x:c>
      <x:c r="K297" s="19" t="str">
        <x:v>PRIORITY_RANK=23;ORIGINAL_ROW_CONFIDENCE_NOT_EXPOSED</x:v>
      </x:c>
      <x:c r="L297" s="19" t="str">
        <x:v>NOT_EXPOSED_IN_REPORT</x:v>
      </x:c>
      <x:c r="M297" s="19" t="str">
        <x:v>PRIORITY_RANK_23</x:v>
      </x:c>
      <x:c r="N297" s="31" t="str">
        <x:v>RECONSTRUCTED_FROM_REPORT</x:v>
      </x:c>
      <x:c r="O297" s="31" t="str">
        <x:v>UNRESOLVED</x:v>
      </x:c>
      <x:c r="P297" s="19" t="str">
        <x:v>Fear of Temperature_ Stratified Lexical Expansion, Voice Mapping, and Semantic-Relational Pre-Valida.pdf</x:v>
      </x:c>
      <x:c r="Q297" s="31" t="str">
        <x:v>RECONSTRUCTED_FROM_REPORT</x:v>
      </x:c>
      <x:c r="R297" s="43" t="str">
        <x:v>New surrogate project ID assigned from the compact report table; never an original later-stage structured candidate ID.</x:v>
      </x:c>
    </x:row>
    <x:row r="298" ht="30" customHeight="1">
      <x:c r="A298" s="40" t="str">
        <x:v>FT-SEED-R1B-P-0607-24</x:v>
      </x:c>
      <x:c r="B298" s="19" t="str">
        <x:v>PRIORITY_180</x:v>
      </x:c>
      <x:c r="C298" s="31" t="str">
        <x:v>NOT_EXPOSED_IN_REPORT</x:v>
      </x:c>
      <x:c r="D298" s="31" t="str">
        <x:v>10</x:v>
      </x:c>
      <x:c r="E298" s="19" t="str">
        <x:v>FT-A0607</x:v>
      </x:c>
      <x:c r="F298" s="31" t="str">
        <x:v>serious problem</x:v>
      </x:c>
      <x:c r="G298" s="19" t="str">
        <x:v>D</x:v>
      </x:c>
      <x:c r="H298" s="19" t="str">
        <x:v>V5</x:v>
      </x:c>
      <x:c r="I298" s="31" t="str">
        <x:v>S0607-YALE-MAR</x:v>
      </x:c>
      <x:c r="J298" s="19" t="str">
        <x:v>NOT_EXPOSED_IN_REPORT</x:v>
      </x:c>
      <x:c r="K298" s="19" t="str">
        <x:v>PRIORITY_RANK=24;ORIGINAL_ROW_CONFIDENCE_NOT_EXPOSED</x:v>
      </x:c>
      <x:c r="L298" s="19" t="str">
        <x:v>NOT_EXPOSED_IN_REPORT</x:v>
      </x:c>
      <x:c r="M298" s="19" t="str">
        <x:v>PRIORITY_RANK_24</x:v>
      </x:c>
      <x:c r="N298" s="31" t="str">
        <x:v>RECONSTRUCTED_FROM_REPORT</x:v>
      </x:c>
      <x:c r="O298" s="31" t="str">
        <x:v>UNRESOLVED</x:v>
      </x:c>
      <x:c r="P298" s="19" t="str">
        <x:v>Fear of Temperature_ Stratified Lexical Expansion, Voice Mapping, and Semantic-Relational Pre-Valida.pdf</x:v>
      </x:c>
      <x:c r="Q298" s="31" t="str">
        <x:v>RECONSTRUCTED_FROM_REPORT</x:v>
      </x:c>
      <x:c r="R298" s="43" t="str">
        <x:v>New surrogate project ID assigned from the compact report table; never an original later-stage structured candidate ID.</x:v>
      </x:c>
    </x:row>
    <x:row r="299" ht="30" customHeight="1">
      <x:c r="A299" s="40" t="str">
        <x:v>FT-SEED-R1B-P-0607-25</x:v>
      </x:c>
      <x:c r="B299" s="19" t="str">
        <x:v>PRIORITY_180</x:v>
      </x:c>
      <x:c r="C299" s="31" t="str">
        <x:v>NOT_EXPOSED_IN_REPORT</x:v>
      </x:c>
      <x:c r="D299" s="31" t="str">
        <x:v>10</x:v>
      </x:c>
      <x:c r="E299" s="19" t="str">
        <x:v>FT-A0607</x:v>
      </x:c>
      <x:c r="F299" s="31" t="str">
        <x:v>danger</x:v>
      </x:c>
      <x:c r="G299" s="19" t="str">
        <x:v>D</x:v>
      </x:c>
      <x:c r="H299" s="19" t="str">
        <x:v>V5</x:v>
      </x:c>
      <x:c r="I299" s="31" t="str">
        <x:v>S0607-YALE-MAR</x:v>
      </x:c>
      <x:c r="J299" s="19" t="str">
        <x:v>NOT_EXPOSED_IN_REPORT</x:v>
      </x:c>
      <x:c r="K299" s="19" t="str">
        <x:v>PRIORITY_RANK=25;ORIGINAL_ROW_CONFIDENCE_NOT_EXPOSED</x:v>
      </x:c>
      <x:c r="L299" s="19" t="str">
        <x:v>NOT_EXPOSED_IN_REPORT</x:v>
      </x:c>
      <x:c r="M299" s="19" t="str">
        <x:v>PRIORITY_RANK_25</x:v>
      </x:c>
      <x:c r="N299" s="31" t="str">
        <x:v>RECONSTRUCTED_FROM_REPORT</x:v>
      </x:c>
      <x:c r="O299" s="31" t="str">
        <x:v>UNRESOLVED</x:v>
      </x:c>
      <x:c r="P299" s="19" t="str">
        <x:v>Fear of Temperature_ Stratified Lexical Expansion, Voice Mapping, and Semantic-Relational Pre-Valida.pdf</x:v>
      </x:c>
      <x:c r="Q299" s="31" t="str">
        <x:v>RECONSTRUCTED_FROM_REPORT</x:v>
      </x:c>
      <x:c r="R299" s="43" t="str">
        <x:v>New surrogate project ID assigned from the compact report table; never an original later-stage structured candidate ID.</x:v>
      </x:c>
    </x:row>
    <x:row r="300" ht="30" customHeight="1">
      <x:c r="A300" s="40" t="str">
        <x:v>FT-SEED-R1B-P-0607-26</x:v>
      </x:c>
      <x:c r="B300" s="19" t="str">
        <x:v>PRIORITY_180</x:v>
      </x:c>
      <x:c r="C300" s="31" t="str">
        <x:v>NOT_EXPOSED_IN_REPORT</x:v>
      </x:c>
      <x:c r="D300" s="31" t="str">
        <x:v>10</x:v>
      </x:c>
      <x:c r="E300" s="19" t="str">
        <x:v>FT-A0607</x:v>
      </x:c>
      <x:c r="F300" s="31" t="str">
        <x:v>urgent threat</x:v>
      </x:c>
      <x:c r="G300" s="19" t="str">
        <x:v>D</x:v>
      </x:c>
      <x:c r="H300" s="19" t="str">
        <x:v>V5</x:v>
      </x:c>
      <x:c r="I300" s="31" t="str">
        <x:v>S0607-YALE-JUL</x:v>
      </x:c>
      <x:c r="J300" s="19" t="str">
        <x:v>NOT_EXPOSED_IN_REPORT</x:v>
      </x:c>
      <x:c r="K300" s="19" t="str">
        <x:v>PRIORITY_RANK=26;ORIGINAL_ROW_CONFIDENCE_NOT_EXPOSED</x:v>
      </x:c>
      <x:c r="L300" s="19" t="str">
        <x:v>NOT_EXPOSED_IN_REPORT</x:v>
      </x:c>
      <x:c r="M300" s="19" t="str">
        <x:v>PRIORITY_RANK_26</x:v>
      </x:c>
      <x:c r="N300" s="31" t="str">
        <x:v>RECONSTRUCTED_FROM_REPORT</x:v>
      </x:c>
      <x:c r="O300" s="31" t="str">
        <x:v>UNRESOLVED</x:v>
      </x:c>
      <x:c r="P300" s="19" t="str">
        <x:v>Fear of Temperature_ Stratified Lexical Expansion, Voice Mapping, and Semantic-Relational Pre-Valida.pdf</x:v>
      </x:c>
      <x:c r="Q300" s="31" t="str">
        <x:v>RECONSTRUCTED_FROM_REPORT</x:v>
      </x:c>
      <x:c r="R300" s="43" t="str">
        <x:v>New surrogate project ID assigned from the compact report table; never an original later-stage structured candidate ID.</x:v>
      </x:c>
    </x:row>
    <x:row r="301" ht="30" customHeight="1">
      <x:c r="A301" s="40" t="str">
        <x:v>FT-SEED-R1B-P-0607-27</x:v>
      </x:c>
      <x:c r="B301" s="19" t="str">
        <x:v>PRIORITY_180</x:v>
      </x:c>
      <x:c r="C301" s="31" t="str">
        <x:v>NOT_EXPOSED_IN_REPORT</x:v>
      </x:c>
      <x:c r="D301" s="31" t="str">
        <x:v>10</x:v>
      </x:c>
      <x:c r="E301" s="19" t="str">
        <x:v>FT-A0607</x:v>
      </x:c>
      <x:c r="F301" s="31" t="str">
        <x:v>dangerous impacts</x:v>
      </x:c>
      <x:c r="G301" s="19" t="str">
        <x:v>D</x:v>
      </x:c>
      <x:c r="H301" s="19" t="str">
        <x:v>V5</x:v>
      </x:c>
      <x:c r="I301" s="31" t="str">
        <x:v>S0607-YALE-JUL</x:v>
      </x:c>
      <x:c r="J301" s="19" t="str">
        <x:v>NOT_EXPOSED_IN_REPORT</x:v>
      </x:c>
      <x:c r="K301" s="19" t="str">
        <x:v>PRIORITY_RANK=27;ORIGINAL_ROW_CONFIDENCE_NOT_EXPOSED</x:v>
      </x:c>
      <x:c r="L301" s="19" t="str">
        <x:v>NOT_EXPOSED_IN_REPORT</x:v>
      </x:c>
      <x:c r="M301" s="19" t="str">
        <x:v>PRIORITY_RANK_27</x:v>
      </x:c>
      <x:c r="N301" s="31" t="str">
        <x:v>RECONSTRUCTED_FROM_REPORT</x:v>
      </x:c>
      <x:c r="O301" s="31" t="str">
        <x:v>UNRESOLVED</x:v>
      </x:c>
      <x:c r="P301" s="19" t="str">
        <x:v>Fear of Temperature_ Stratified Lexical Expansion, Voice Mapping, and Semantic-Relational Pre-Valida.pdf</x:v>
      </x:c>
      <x:c r="Q301" s="31" t="str">
        <x:v>RECONSTRUCTED_FROM_REPORT</x:v>
      </x:c>
      <x:c r="R301" s="43" t="str">
        <x:v>New surrogate project ID assigned from the compact report table; never an original later-stage structured candidate ID.</x:v>
      </x:c>
    </x:row>
    <x:row r="302" ht="30" customHeight="1">
      <x:c r="A302" s="40" t="str">
        <x:v>FT-SEED-R1B-P-0607-28</x:v>
      </x:c>
      <x:c r="B302" s="19" t="str">
        <x:v>PRIORITY_180</x:v>
      </x:c>
      <x:c r="C302" s="31" t="str">
        <x:v>NOT_EXPOSED_IN_REPORT</x:v>
      </x:c>
      <x:c r="D302" s="31" t="str">
        <x:v>10</x:v>
      </x:c>
      <x:c r="E302" s="19" t="str">
        <x:v>FT-A0607</x:v>
      </x:c>
      <x:c r="F302" s="31" t="str">
        <x:v>drastic action</x:v>
      </x:c>
      <x:c r="G302" s="19" t="str">
        <x:v>D</x:v>
      </x:c>
      <x:c r="H302" s="19" t="str">
        <x:v>V5</x:v>
      </x:c>
      <x:c r="I302" s="31" t="str">
        <x:v>S0607-YALE-JUL</x:v>
      </x:c>
      <x:c r="J302" s="19" t="str">
        <x:v>NOT_EXPOSED_IN_REPORT</x:v>
      </x:c>
      <x:c r="K302" s="19" t="str">
        <x:v>PRIORITY_RANK=28;ORIGINAL_ROW_CONFIDENCE_NOT_EXPOSED</x:v>
      </x:c>
      <x:c r="L302" s="19" t="str">
        <x:v>NOT_EXPOSED_IN_REPORT</x:v>
      </x:c>
      <x:c r="M302" s="19" t="str">
        <x:v>PRIORITY_RANK_28</x:v>
      </x:c>
      <x:c r="N302" s="31" t="str">
        <x:v>RECONSTRUCTED_FROM_REPORT</x:v>
      </x:c>
      <x:c r="O302" s="31" t="str">
        <x:v>UNRESOLVED</x:v>
      </x:c>
      <x:c r="P302" s="19" t="str">
        <x:v>Fear of Temperature_ Stratified Lexical Expansion, Voice Mapping, and Semantic-Relational Pre-Valida.pdf</x:v>
      </x:c>
      <x:c r="Q302" s="31" t="str">
        <x:v>RECONSTRUCTED_FROM_REPORT</x:v>
      </x:c>
      <x:c r="R302" s="43" t="str">
        <x:v>New surrogate project ID assigned from the compact report table; never an original later-stage structured candidate ID.</x:v>
      </x:c>
    </x:row>
    <x:row r="303" ht="30" customHeight="1">
      <x:c r="A303" s="40" t="str">
        <x:v>FT-SEED-R1B-P-0607-29</x:v>
      </x:c>
      <x:c r="B303" s="19" t="str">
        <x:v>PRIORITY_180</x:v>
      </x:c>
      <x:c r="C303" s="31" t="str">
        <x:v>NOT_EXPOSED_IN_REPORT</x:v>
      </x:c>
      <x:c r="D303" s="31" t="str">
        <x:v>10</x:v>
      </x:c>
      <x:c r="E303" s="19" t="str">
        <x:v>FT-A0607</x:v>
      </x:c>
      <x:c r="F303" s="31" t="str">
        <x:v>dangerous climate change</x:v>
      </x:c>
      <x:c r="G303" s="19" t="str">
        <x:v>D</x:v>
      </x:c>
      <x:c r="H303" s="19" t="str">
        <x:v>V4</x:v>
      </x:c>
      <x:c r="I303" s="31" t="str">
        <x:v>S0607-CCNI</x:v>
      </x:c>
      <x:c r="J303" s="19" t="str">
        <x:v>NOT_EXPOSED_IN_REPORT</x:v>
      </x:c>
      <x:c r="K303" s="19" t="str">
        <x:v>PRIORITY_RANK=29;ORIGINAL_ROW_CONFIDENCE_NOT_EXPOSED</x:v>
      </x:c>
      <x:c r="L303" s="19" t="str">
        <x:v>NOT_EXPOSED_IN_REPORT</x:v>
      </x:c>
      <x:c r="M303" s="19" t="str">
        <x:v>PRIORITY_RANK_29</x:v>
      </x:c>
      <x:c r="N303" s="31" t="str">
        <x:v>RECONSTRUCTED_FROM_REPORT</x:v>
      </x:c>
      <x:c r="O303" s="31" t="str">
        <x:v>UNRESOLVED</x:v>
      </x:c>
      <x:c r="P303" s="19" t="str">
        <x:v>Fear of Temperature_ Stratified Lexical Expansion, Voice Mapping, and Semantic-Relational Pre-Valida.pdf</x:v>
      </x:c>
      <x:c r="Q303" s="31" t="str">
        <x:v>RECONSTRUCTED_FROM_REPORT</x:v>
      </x:c>
      <x:c r="R303" s="43" t="str">
        <x:v>New surrogate project ID assigned from the compact report table; never an original later-stage structured candidate ID.</x:v>
      </x:c>
    </x:row>
    <x:row r="304" ht="30" customHeight="1">
      <x:c r="A304" s="40" t="str">
        <x:v>FT-SEED-R1B-P-0607-30</x:v>
      </x:c>
      <x:c r="B304" s="19" t="str">
        <x:v>PRIORITY_180</x:v>
      </x:c>
      <x:c r="C304" s="31" t="str">
        <x:v>NOT_EXPOSED_IN_REPORT</x:v>
      </x:c>
      <x:c r="D304" s="31" t="str">
        <x:v>10</x:v>
      </x:c>
      <x:c r="E304" s="19" t="str">
        <x:v>FT-A0607</x:v>
      </x:c>
      <x:c r="F304" s="31" t="str">
        <x:v>threatens serious negative effects</x:v>
      </x:c>
      <x:c r="G304" s="19" t="str">
        <x:v>D</x:v>
      </x:c>
      <x:c r="H304" s="19" t="str">
        <x:v>V4</x:v>
      </x:c>
      <x:c r="I304" s="31" t="str">
        <x:v>S0607-CCNI</x:v>
      </x:c>
      <x:c r="J304" s="19" t="str">
        <x:v>NOT_EXPOSED_IN_REPORT</x:v>
      </x:c>
      <x:c r="K304" s="19" t="str">
        <x:v>PRIORITY_RANK=30;ORIGINAL_ROW_CONFIDENCE_NOT_EXPOSED</x:v>
      </x:c>
      <x:c r="L304" s="19" t="str">
        <x:v>NOT_EXPOSED_IN_REPORT</x:v>
      </x:c>
      <x:c r="M304" s="19" t="str">
        <x:v>PRIORITY_RANK_30</x:v>
      </x:c>
      <x:c r="N304" s="31" t="str">
        <x:v>RECONSTRUCTED_FROM_REPORT</x:v>
      </x:c>
      <x:c r="O304" s="31" t="str">
        <x:v>UNRESOLVED</x:v>
      </x:c>
      <x:c r="P304" s="19" t="str">
        <x:v>Fear of Temperature_ Stratified Lexical Expansion, Voice Mapping, and Semantic-Relational Pre-Valida.pdf</x:v>
      </x:c>
      <x:c r="Q304" s="31" t="str">
        <x:v>RECONSTRUCTED_FROM_REPORT</x:v>
      </x:c>
      <x:c r="R304" s="43" t="str">
        <x:v>New surrogate project ID assigned from the compact report table; never an original later-stage structured candidate ID.</x:v>
      </x:c>
    </x:row>
    <x:row r="305" ht="30" customHeight="1">
      <x:c r="A305" s="40" t="str">
        <x:v>FT-SEED-R1B-P-2015-01</x:v>
      </x:c>
      <x:c r="B305" s="19" t="str">
        <x:v>PRIORITY_180</x:v>
      </x:c>
      <x:c r="C305" s="31" t="str">
        <x:v>NOT_EXPOSED_IN_REPORT</x:v>
      </x:c>
      <x:c r="D305" s="31" t="str">
        <x:v>11</x:v>
      </x:c>
      <x:c r="E305" s="19" t="str">
        <x:v>FT-A2015</x:v>
      </x:c>
      <x:c r="F305" s="31" t="str">
        <x:v>climate change</x:v>
      </x:c>
      <x:c r="G305" s="19" t="str">
        <x:v>B</x:v>
      </x:c>
      <x:c r="H305" s="19" t="str">
        <x:v>V2</x:v>
      </x:c>
      <x:c r="I305" s="31" t="str">
        <x:v>S2015-PARIS</x:v>
      </x:c>
      <x:c r="J305" s="19" t="str">
        <x:v>NOT_EXPOSED_IN_REPORT</x:v>
      </x:c>
      <x:c r="K305" s="19" t="str">
        <x:v>PRIORITY_RANK=1;ORIGINAL_ROW_CONFIDENCE_NOT_EXPOSED</x:v>
      </x:c>
      <x:c r="L305" s="19" t="str">
        <x:v>NOT_EXPOSED_IN_REPORT</x:v>
      </x:c>
      <x:c r="M305" s="19" t="str">
        <x:v>PRIORITY_RANK_01</x:v>
      </x:c>
      <x:c r="N305" s="31" t="str">
        <x:v>RECONSTRUCTED_FROM_REPORT</x:v>
      </x:c>
      <x:c r="O305" s="31" t="str">
        <x:v>UNRESOLVED</x:v>
      </x:c>
      <x:c r="P305" s="19" t="str">
        <x:v>Fear of Temperature_ Stratified Lexical Expansion, Voice Mapping, and Semantic-Relational Pre-Valida.pdf</x:v>
      </x:c>
      <x:c r="Q305" s="31" t="str">
        <x:v>RECONSTRUCTED_FROM_REPORT</x:v>
      </x:c>
      <x:c r="R305" s="43" t="str">
        <x:v>New surrogate project ID assigned from the compact report table; never an original later-stage structured candidate ID.</x:v>
      </x:c>
    </x:row>
    <x:row r="306" ht="30" customHeight="1">
      <x:c r="A306" s="40" t="str">
        <x:v>FT-SEED-R1B-P-2015-02</x:v>
      </x:c>
      <x:c r="B306" s="19" t="str">
        <x:v>PRIORITY_180</x:v>
      </x:c>
      <x:c r="C306" s="31" t="str">
        <x:v>NOT_EXPOSED_IN_REPORT</x:v>
      </x:c>
      <x:c r="D306" s="31" t="str">
        <x:v>11</x:v>
      </x:c>
      <x:c r="E306" s="19" t="str">
        <x:v>FT-A2015</x:v>
      </x:c>
      <x:c r="F306" s="31" t="str">
        <x:v>threat of climate change</x:v>
      </x:c>
      <x:c r="G306" s="19" t="str">
        <x:v>D</x:v>
      </x:c>
      <x:c r="H306" s="19" t="str">
        <x:v>V2</x:v>
      </x:c>
      <x:c r="I306" s="31" t="str">
        <x:v>S2015-PARIS</x:v>
      </x:c>
      <x:c r="J306" s="19" t="str">
        <x:v>NOT_EXPOSED_IN_REPORT</x:v>
      </x:c>
      <x:c r="K306" s="19" t="str">
        <x:v>PRIORITY_RANK=2;ORIGINAL_ROW_CONFIDENCE_NOT_EXPOSED</x:v>
      </x:c>
      <x:c r="L306" s="19" t="str">
        <x:v>NOT_EXPOSED_IN_REPORT</x:v>
      </x:c>
      <x:c r="M306" s="19" t="str">
        <x:v>PRIORITY_RANK_02</x:v>
      </x:c>
      <x:c r="N306" s="31" t="str">
        <x:v>RECONSTRUCTED_FROM_REPORT</x:v>
      </x:c>
      <x:c r="O306" s="31" t="str">
        <x:v>UNRESOLVED</x:v>
      </x:c>
      <x:c r="P306" s="19" t="str">
        <x:v>Fear of Temperature_ Stratified Lexical Expansion, Voice Mapping, and Semantic-Relational Pre-Valida.pdf</x:v>
      </x:c>
      <x:c r="Q306" s="31" t="str">
        <x:v>RECONSTRUCTED_FROM_REPORT</x:v>
      </x:c>
      <x:c r="R306" s="43" t="str">
        <x:v>New surrogate project ID assigned from the compact report table; never an original later-stage structured candidate ID.</x:v>
      </x:c>
    </x:row>
    <x:row r="307" ht="30" customHeight="1">
      <x:c r="A307" s="40" t="str">
        <x:v>FT-SEED-R1B-P-2015-03</x:v>
      </x:c>
      <x:c r="B307" s="19" t="str">
        <x:v>PRIORITY_180</x:v>
      </x:c>
      <x:c r="C307" s="31" t="str">
        <x:v>NOT_EXPOSED_IN_REPORT</x:v>
      </x:c>
      <x:c r="D307" s="31" t="str">
        <x:v>11</x:v>
      </x:c>
      <x:c r="E307" s="19" t="str">
        <x:v>FT-A2015</x:v>
      </x:c>
      <x:c r="F307" s="31" t="str">
        <x:v>global average temperature</x:v>
      </x:c>
      <x:c r="G307" s="19" t="str">
        <x:v>A</x:v>
      </x:c>
      <x:c r="H307" s="19" t="str">
        <x:v>V2</x:v>
      </x:c>
      <x:c r="I307" s="31" t="str">
        <x:v>S2015-PARIS</x:v>
      </x:c>
      <x:c r="J307" s="19" t="str">
        <x:v>NOT_EXPOSED_IN_REPORT</x:v>
      </x:c>
      <x:c r="K307" s="19" t="str">
        <x:v>PRIORITY_RANK=3;ORIGINAL_ROW_CONFIDENCE_NOT_EXPOSED</x:v>
      </x:c>
      <x:c r="L307" s="19" t="str">
        <x:v>NOT_EXPOSED_IN_REPORT</x:v>
      </x:c>
      <x:c r="M307" s="19" t="str">
        <x:v>PRIORITY_RANK_03</x:v>
      </x:c>
      <x:c r="N307" s="31" t="str">
        <x:v>RECONSTRUCTED_FROM_REPORT</x:v>
      </x:c>
      <x:c r="O307" s="31" t="str">
        <x:v>UNRESOLVED</x:v>
      </x:c>
      <x:c r="P307" s="19" t="str">
        <x:v>Fear of Temperature_ Stratified Lexical Expansion, Voice Mapping, and Semantic-Relational Pre-Valida.pdf</x:v>
      </x:c>
      <x:c r="Q307" s="31" t="str">
        <x:v>RECONSTRUCTED_FROM_REPORT</x:v>
      </x:c>
      <x:c r="R307" s="43" t="str">
        <x:v>New surrogate project ID assigned from the compact report table; never an original later-stage structured candidate ID.</x:v>
      </x:c>
    </x:row>
    <x:row r="308" ht="30" customHeight="1">
      <x:c r="A308" s="40" t="str">
        <x:v>FT-SEED-R1B-P-2015-04</x:v>
      </x:c>
      <x:c r="B308" s="19" t="str">
        <x:v>PRIORITY_180</x:v>
      </x:c>
      <x:c r="C308" s="31" t="str">
        <x:v>NOT_EXPOSED_IN_REPORT</x:v>
      </x:c>
      <x:c r="D308" s="31" t="str">
        <x:v>11</x:v>
      </x:c>
      <x:c r="E308" s="19" t="str">
        <x:v>FT-A2015</x:v>
      </x:c>
      <x:c r="F308" s="31" t="str">
        <x:v>well below 2°C above pre-industrial levels</x:v>
      </x:c>
      <x:c r="G308" s="19" t="str">
        <x:v>A</x:v>
      </x:c>
      <x:c r="H308" s="19" t="str">
        <x:v>V2</x:v>
      </x:c>
      <x:c r="I308" s="31" t="str">
        <x:v>S2015-PARIS</x:v>
      </x:c>
      <x:c r="J308" s="19" t="str">
        <x:v>NOT_EXPOSED_IN_REPORT</x:v>
      </x:c>
      <x:c r="K308" s="19" t="str">
        <x:v>PRIORITY_RANK=4;ORIGINAL_ROW_CONFIDENCE_NOT_EXPOSED</x:v>
      </x:c>
      <x:c r="L308" s="19" t="str">
        <x:v>NOT_EXPOSED_IN_REPORT</x:v>
      </x:c>
      <x:c r="M308" s="19" t="str">
        <x:v>PRIORITY_RANK_04</x:v>
      </x:c>
      <x:c r="N308" s="31" t="str">
        <x:v>RECONSTRUCTED_FROM_REPORT</x:v>
      </x:c>
      <x:c r="O308" s="31" t="str">
        <x:v>UNRESOLVED</x:v>
      </x:c>
      <x:c r="P308" s="19" t="str">
        <x:v>Fear of Temperature_ Stratified Lexical Expansion, Voice Mapping, and Semantic-Relational Pre-Valida.pdf</x:v>
      </x:c>
      <x:c r="Q308" s="31" t="str">
        <x:v>RECONSTRUCTED_FROM_REPORT</x:v>
      </x:c>
      <x:c r="R308" s="43" t="str">
        <x:v>New surrogate project ID assigned from the compact report table; never an original later-stage structured candidate ID.</x:v>
      </x:c>
    </x:row>
    <x:row r="309" ht="30" customHeight="1">
      <x:c r="A309" s="40" t="str">
        <x:v>FT-SEED-R1B-P-2015-05</x:v>
      </x:c>
      <x:c r="B309" s="19" t="str">
        <x:v>PRIORITY_180</x:v>
      </x:c>
      <x:c r="C309" s="31" t="str">
        <x:v>NOT_EXPOSED_IN_REPORT</x:v>
      </x:c>
      <x:c r="D309" s="31" t="str">
        <x:v>11</x:v>
      </x:c>
      <x:c r="E309" s="19" t="str">
        <x:v>FT-A2015</x:v>
      </x:c>
      <x:c r="F309" s="31" t="str">
        <x:v>1.5°C above pre-industrial levels</x:v>
      </x:c>
      <x:c r="G309" s="19" t="str">
        <x:v>A</x:v>
      </x:c>
      <x:c r="H309" s="19" t="str">
        <x:v>V2</x:v>
      </x:c>
      <x:c r="I309" s="31" t="str">
        <x:v>S2015-PARIS</x:v>
      </x:c>
      <x:c r="J309" s="19" t="str">
        <x:v>NOT_EXPOSED_IN_REPORT</x:v>
      </x:c>
      <x:c r="K309" s="19" t="str">
        <x:v>PRIORITY_RANK=5;ORIGINAL_ROW_CONFIDENCE_NOT_EXPOSED</x:v>
      </x:c>
      <x:c r="L309" s="19" t="str">
        <x:v>NOT_EXPOSED_IN_REPORT</x:v>
      </x:c>
      <x:c r="M309" s="19" t="str">
        <x:v>PRIORITY_RANK_05</x:v>
      </x:c>
      <x:c r="N309" s="31" t="str">
        <x:v>RECONSTRUCTED_FROM_REPORT</x:v>
      </x:c>
      <x:c r="O309" s="31" t="str">
        <x:v>UNRESOLVED</x:v>
      </x:c>
      <x:c r="P309" s="19" t="str">
        <x:v>Fear of Temperature_ Stratified Lexical Expansion, Voice Mapping, and Semantic-Relational Pre-Valida.pdf</x:v>
      </x:c>
      <x:c r="Q309" s="31" t="str">
        <x:v>RECONSTRUCTED_FROM_REPORT</x:v>
      </x:c>
      <x:c r="R309" s="43" t="str">
        <x:v>New surrogate project ID assigned from the compact report table; never an original later-stage structured candidate ID.</x:v>
      </x:c>
    </x:row>
    <x:row r="310" ht="30" customHeight="1">
      <x:c r="A310" s="40" t="str">
        <x:v>FT-SEED-R1B-P-2015-06</x:v>
      </x:c>
      <x:c r="B310" s="19" t="str">
        <x:v>PRIORITY_180</x:v>
      </x:c>
      <x:c r="C310" s="31" t="str">
        <x:v>NOT_EXPOSED_IN_REPORT</x:v>
      </x:c>
      <x:c r="D310" s="31" t="str">
        <x:v>11</x:v>
      </x:c>
      <x:c r="E310" s="19" t="str">
        <x:v>FT-A2015</x:v>
      </x:c>
      <x:c r="F310" s="31" t="str">
        <x:v>pre-industrial levels</x:v>
      </x:c>
      <x:c r="G310" s="19" t="str">
        <x:v>B</x:v>
      </x:c>
      <x:c r="H310" s="19" t="str">
        <x:v>V2</x:v>
      </x:c>
      <x:c r="I310" s="31" t="str">
        <x:v>S2015-PARIS</x:v>
      </x:c>
      <x:c r="J310" s="19" t="str">
        <x:v>NOT_EXPOSED_IN_REPORT</x:v>
      </x:c>
      <x:c r="K310" s="19" t="str">
        <x:v>PRIORITY_RANK=6;ORIGINAL_ROW_CONFIDENCE_NOT_EXPOSED</x:v>
      </x:c>
      <x:c r="L310" s="19" t="str">
        <x:v>NOT_EXPOSED_IN_REPORT</x:v>
      </x:c>
      <x:c r="M310" s="19" t="str">
        <x:v>PRIORITY_RANK_06</x:v>
      </x:c>
      <x:c r="N310" s="31" t="str">
        <x:v>RECONSTRUCTED_FROM_REPORT</x:v>
      </x:c>
      <x:c r="O310" s="31" t="str">
        <x:v>UNRESOLVED</x:v>
      </x:c>
      <x:c r="P310" s="19" t="str">
        <x:v>Fear of Temperature_ Stratified Lexical Expansion, Voice Mapping, and Semantic-Relational Pre-Valida.pdf</x:v>
      </x:c>
      <x:c r="Q310" s="31" t="str">
        <x:v>RECONSTRUCTED_FROM_REPORT</x:v>
      </x:c>
      <x:c r="R310" s="43" t="str">
        <x:v>New surrogate project ID assigned from the compact report table; never an original later-stage structured candidate ID.</x:v>
      </x:c>
    </x:row>
    <x:row r="311" ht="30" customHeight="1">
      <x:c r="A311" s="40" t="str">
        <x:v>FT-SEED-R1B-P-2015-07</x:v>
      </x:c>
      <x:c r="B311" s="19" t="str">
        <x:v>PRIORITY_180</x:v>
      </x:c>
      <x:c r="C311" s="31" t="str">
        <x:v>NOT_EXPOSED_IN_REPORT</x:v>
      </x:c>
      <x:c r="D311" s="31" t="str">
        <x:v>11</x:v>
      </x:c>
      <x:c r="E311" s="19" t="str">
        <x:v>FT-A2015</x:v>
      </x:c>
      <x:c r="F311" s="31" t="str">
        <x:v>risks and impacts</x:v>
      </x:c>
      <x:c r="G311" s="19" t="str">
        <x:v>D</x:v>
      </x:c>
      <x:c r="H311" s="19" t="str">
        <x:v>V2</x:v>
      </x:c>
      <x:c r="I311" s="31" t="str">
        <x:v>S2015-PARIS</x:v>
      </x:c>
      <x:c r="J311" s="19" t="str">
        <x:v>NOT_EXPOSED_IN_REPORT</x:v>
      </x:c>
      <x:c r="K311" s="19" t="str">
        <x:v>PRIORITY_RANK=7;ORIGINAL_ROW_CONFIDENCE_NOT_EXPOSED</x:v>
      </x:c>
      <x:c r="L311" s="19" t="str">
        <x:v>NOT_EXPOSED_IN_REPORT</x:v>
      </x:c>
      <x:c r="M311" s="19" t="str">
        <x:v>PRIORITY_RANK_07</x:v>
      </x:c>
      <x:c r="N311" s="31" t="str">
        <x:v>RECONSTRUCTED_FROM_REPORT</x:v>
      </x:c>
      <x:c r="O311" s="31" t="str">
        <x:v>UNRESOLVED</x:v>
      </x:c>
      <x:c r="P311" s="19" t="str">
        <x:v>Fear of Temperature_ Stratified Lexical Expansion, Voice Mapping, and Semantic-Relational Pre-Valida.pdf</x:v>
      </x:c>
      <x:c r="Q311" s="31" t="str">
        <x:v>RECONSTRUCTED_FROM_REPORT</x:v>
      </x:c>
      <x:c r="R311" s="43" t="str">
        <x:v>New surrogate project ID assigned from the compact report table; never an original later-stage structured candidate ID.</x:v>
      </x:c>
    </x:row>
    <x:row r="312" ht="30" customHeight="1">
      <x:c r="A312" s="40" t="str">
        <x:v>FT-SEED-R1B-P-2015-08</x:v>
      </x:c>
      <x:c r="B312" s="19" t="str">
        <x:v>PRIORITY_180</x:v>
      </x:c>
      <x:c r="C312" s="31" t="str">
        <x:v>NOT_EXPOSED_IN_REPORT</x:v>
      </x:c>
      <x:c r="D312" s="31" t="str">
        <x:v>11</x:v>
      </x:c>
      <x:c r="E312" s="19" t="str">
        <x:v>FT-A2015</x:v>
      </x:c>
      <x:c r="F312" s="31" t="str">
        <x:v>adverse impacts</x:v>
      </x:c>
      <x:c r="G312" s="19" t="str">
        <x:v>D</x:v>
      </x:c>
      <x:c r="H312" s="19" t="str">
        <x:v>V2</x:v>
      </x:c>
      <x:c r="I312" s="31" t="str">
        <x:v>S2015-PARIS</x:v>
      </x:c>
      <x:c r="J312" s="19" t="str">
        <x:v>NOT_EXPOSED_IN_REPORT</x:v>
      </x:c>
      <x:c r="K312" s="19" t="str">
        <x:v>PRIORITY_RANK=8;ORIGINAL_ROW_CONFIDENCE_NOT_EXPOSED</x:v>
      </x:c>
      <x:c r="L312" s="19" t="str">
        <x:v>NOT_EXPOSED_IN_REPORT</x:v>
      </x:c>
      <x:c r="M312" s="19" t="str">
        <x:v>PRIORITY_RANK_08</x:v>
      </x:c>
      <x:c r="N312" s="31" t="str">
        <x:v>RECONSTRUCTED_FROM_REPORT</x:v>
      </x:c>
      <x:c r="O312" s="31" t="str">
        <x:v>UNRESOLVED</x:v>
      </x:c>
      <x:c r="P312" s="19" t="str">
        <x:v>Fear of Temperature_ Stratified Lexical Expansion, Voice Mapping, and Semantic-Relational Pre-Valida.pdf</x:v>
      </x:c>
      <x:c r="Q312" s="31" t="str">
        <x:v>RECONSTRUCTED_FROM_REPORT</x:v>
      </x:c>
      <x:c r="R312" s="43" t="str">
        <x:v>New surrogate project ID assigned from the compact report table; never an original later-stage structured candidate ID.</x:v>
      </x:c>
    </x:row>
    <x:row r="313" ht="30" customHeight="1">
      <x:c r="A313" s="40" t="str">
        <x:v>FT-SEED-R1B-P-2015-09</x:v>
      </x:c>
      <x:c r="B313" s="19" t="str">
        <x:v>PRIORITY_180</x:v>
      </x:c>
      <x:c r="C313" s="31" t="str">
        <x:v>NOT_EXPOSED_IN_REPORT</x:v>
      </x:c>
      <x:c r="D313" s="31" t="str">
        <x:v>11</x:v>
      </x:c>
      <x:c r="E313" s="19" t="str">
        <x:v>FT-A2015</x:v>
      </x:c>
      <x:c r="F313" s="31" t="str">
        <x:v>adverse effects of climate change</x:v>
      </x:c>
      <x:c r="G313" s="19" t="str">
        <x:v>D</x:v>
      </x:c>
      <x:c r="H313" s="19" t="str">
        <x:v>V2</x:v>
      </x:c>
      <x:c r="I313" s="31" t="str">
        <x:v>S2015-PARIS</x:v>
      </x:c>
      <x:c r="J313" s="19" t="str">
        <x:v>NOT_EXPOSED_IN_REPORT</x:v>
      </x:c>
      <x:c r="K313" s="19" t="str">
        <x:v>PRIORITY_RANK=9;ORIGINAL_ROW_CONFIDENCE_NOT_EXPOSED</x:v>
      </x:c>
      <x:c r="L313" s="19" t="str">
        <x:v>NOT_EXPOSED_IN_REPORT</x:v>
      </x:c>
      <x:c r="M313" s="19" t="str">
        <x:v>PRIORITY_RANK_09</x:v>
      </x:c>
      <x:c r="N313" s="31" t="str">
        <x:v>RECONSTRUCTED_FROM_REPORT</x:v>
      </x:c>
      <x:c r="O313" s="31" t="str">
        <x:v>UNRESOLVED</x:v>
      </x:c>
      <x:c r="P313" s="19" t="str">
        <x:v>Fear of Temperature_ Stratified Lexical Expansion, Voice Mapping, and Semantic-Relational Pre-Valida.pdf</x:v>
      </x:c>
      <x:c r="Q313" s="31" t="str">
        <x:v>RECONSTRUCTED_FROM_REPORT</x:v>
      </x:c>
      <x:c r="R313" s="43" t="str">
        <x:v>New surrogate project ID assigned from the compact report table; never an original later-stage structured candidate ID.</x:v>
      </x:c>
    </x:row>
    <x:row r="314" ht="30" customHeight="1">
      <x:c r="A314" s="40" t="str">
        <x:v>FT-SEED-R1B-P-2015-10</x:v>
      </x:c>
      <x:c r="B314" s="19" t="str">
        <x:v>PRIORITY_180</x:v>
      </x:c>
      <x:c r="C314" s="31" t="str">
        <x:v>NOT_EXPOSED_IN_REPORT</x:v>
      </x:c>
      <x:c r="D314" s="31" t="str">
        <x:v>11</x:v>
      </x:c>
      <x:c r="E314" s="19" t="str">
        <x:v>FT-A2015</x:v>
      </x:c>
      <x:c r="F314" s="31" t="str">
        <x:v>greenhouse gas emissions</x:v>
      </x:c>
      <x:c r="G314" s="19" t="str">
        <x:v>B</x:v>
      </x:c>
      <x:c r="H314" s="19" t="str">
        <x:v>V2</x:v>
      </x:c>
      <x:c r="I314" s="31" t="str">
        <x:v>S2015-PARIS</x:v>
      </x:c>
      <x:c r="J314" s="19" t="str">
        <x:v>NOT_EXPOSED_IN_REPORT</x:v>
      </x:c>
      <x:c r="K314" s="19" t="str">
        <x:v>PRIORITY_RANK=10;ORIGINAL_ROW_CONFIDENCE_NOT_EXPOSED</x:v>
      </x:c>
      <x:c r="L314" s="19" t="str">
        <x:v>NOT_EXPOSED_IN_REPORT</x:v>
      </x:c>
      <x:c r="M314" s="19" t="str">
        <x:v>PRIORITY_RANK_10</x:v>
      </x:c>
      <x:c r="N314" s="31" t="str">
        <x:v>RECONSTRUCTED_FROM_REPORT</x:v>
      </x:c>
      <x:c r="O314" s="31" t="str">
        <x:v>UNRESOLVED</x:v>
      </x:c>
      <x:c r="P314" s="19" t="str">
        <x:v>Fear of Temperature_ Stratified Lexical Expansion, Voice Mapping, and Semantic-Relational Pre-Valida.pdf</x:v>
      </x:c>
      <x:c r="Q314" s="31" t="str">
        <x:v>RECONSTRUCTED_FROM_REPORT</x:v>
      </x:c>
      <x:c r="R314" s="43" t="str">
        <x:v>New surrogate project ID assigned from the compact report table; never an original later-stage structured candidate ID.</x:v>
      </x:c>
    </x:row>
    <x:row r="315" ht="30" customHeight="1">
      <x:c r="A315" s="40" t="str">
        <x:v>FT-SEED-R1B-P-2015-11</x:v>
      </x:c>
      <x:c r="B315" s="19" t="str">
        <x:v>PRIORITY_180</x:v>
      </x:c>
      <x:c r="C315" s="31" t="str">
        <x:v>NOT_EXPOSED_IN_REPORT</x:v>
      </x:c>
      <x:c r="D315" s="31" t="str">
        <x:v>11</x:v>
      </x:c>
      <x:c r="E315" s="19" t="str">
        <x:v>FT-A2015</x:v>
      </x:c>
      <x:c r="F315" s="31" t="str">
        <x:v>climate resilience</x:v>
      </x:c>
      <x:c r="G315" s="19" t="str">
        <x:v>D</x:v>
      </x:c>
      <x:c r="H315" s="19" t="str">
        <x:v>V2</x:v>
      </x:c>
      <x:c r="I315" s="31" t="str">
        <x:v>S2015-PARIS</x:v>
      </x:c>
      <x:c r="J315" s="19" t="str">
        <x:v>NOT_EXPOSED_IN_REPORT</x:v>
      </x:c>
      <x:c r="K315" s="19" t="str">
        <x:v>PRIORITY_RANK=11;ORIGINAL_ROW_CONFIDENCE_NOT_EXPOSED</x:v>
      </x:c>
      <x:c r="L315" s="19" t="str">
        <x:v>NOT_EXPOSED_IN_REPORT</x:v>
      </x:c>
      <x:c r="M315" s="19" t="str">
        <x:v>PRIORITY_RANK_11</x:v>
      </x:c>
      <x:c r="N315" s="31" t="str">
        <x:v>RECONSTRUCTED_FROM_REPORT</x:v>
      </x:c>
      <x:c r="O315" s="31" t="str">
        <x:v>UNRESOLVED</x:v>
      </x:c>
      <x:c r="P315" s="19" t="str">
        <x:v>Fear of Temperature_ Stratified Lexical Expansion, Voice Mapping, and Semantic-Relational Pre-Valida.pdf</x:v>
      </x:c>
      <x:c r="Q315" s="31" t="str">
        <x:v>RECONSTRUCTED_FROM_REPORT</x:v>
      </x:c>
      <x:c r="R315" s="43" t="str">
        <x:v>New surrogate project ID assigned from the compact report table; never an original later-stage structured candidate ID.</x:v>
      </x:c>
    </x:row>
    <x:row r="316" ht="30" customHeight="1">
      <x:c r="A316" s="40" t="str">
        <x:v>FT-SEED-R1B-P-2015-12</x:v>
      </x:c>
      <x:c r="B316" s="19" t="str">
        <x:v>PRIORITY_180</x:v>
      </x:c>
      <x:c r="C316" s="31" t="str">
        <x:v>NOT_EXPOSED_IN_REPORT</x:v>
      </x:c>
      <x:c r="D316" s="31" t="str">
        <x:v>11</x:v>
      </x:c>
      <x:c r="E316" s="19" t="str">
        <x:v>FT-A2015</x:v>
      </x:c>
      <x:c r="F316" s="31" t="str">
        <x:v>vulnerability</x:v>
      </x:c>
      <x:c r="G316" s="19" t="str">
        <x:v>D</x:v>
      </x:c>
      <x:c r="H316" s="19" t="str">
        <x:v>V2</x:v>
      </x:c>
      <x:c r="I316" s="31" t="str">
        <x:v>S2015-PARIS</x:v>
      </x:c>
      <x:c r="J316" s="19" t="str">
        <x:v>NOT_EXPOSED_IN_REPORT</x:v>
      </x:c>
      <x:c r="K316" s="19" t="str">
        <x:v>PRIORITY_RANK=12;ORIGINAL_ROW_CONFIDENCE_NOT_EXPOSED</x:v>
      </x:c>
      <x:c r="L316" s="19" t="str">
        <x:v>NOT_EXPOSED_IN_REPORT</x:v>
      </x:c>
      <x:c r="M316" s="19" t="str">
        <x:v>PRIORITY_RANK_12</x:v>
      </x:c>
      <x:c r="N316" s="31" t="str">
        <x:v>RECONSTRUCTED_FROM_REPORT</x:v>
      </x:c>
      <x:c r="O316" s="31" t="str">
        <x:v>UNRESOLVED</x:v>
      </x:c>
      <x:c r="P316" s="19" t="str">
        <x:v>Fear of Temperature_ Stratified Lexical Expansion, Voice Mapping, and Semantic-Relational Pre-Valida.pdf</x:v>
      </x:c>
      <x:c r="Q316" s="31" t="str">
        <x:v>RECONSTRUCTED_FROM_REPORT</x:v>
      </x:c>
      <x:c r="R316" s="43" t="str">
        <x:v>New surrogate project ID assigned from the compact report table; never an original later-stage structured candidate ID.</x:v>
      </x:c>
    </x:row>
    <x:row r="317" ht="30" customHeight="1">
      <x:c r="A317" s="40" t="str">
        <x:v>FT-SEED-R1B-P-2015-13</x:v>
      </x:c>
      <x:c r="B317" s="19" t="str">
        <x:v>PRIORITY_180</x:v>
      </x:c>
      <x:c r="C317" s="31" t="str">
        <x:v>NOT_EXPOSED_IN_REPORT</x:v>
      </x:c>
      <x:c r="D317" s="31" t="str">
        <x:v>11</x:v>
      </x:c>
      <x:c r="E317" s="19" t="str">
        <x:v>FT-A2015</x:v>
      </x:c>
      <x:c r="F317" s="31" t="str">
        <x:v>vulnerable groups</x:v>
      </x:c>
      <x:c r="G317" s="19" t="str">
        <x:v>D</x:v>
      </x:c>
      <x:c r="H317" s="19" t="str">
        <x:v>V2</x:v>
      </x:c>
      <x:c r="I317" s="31" t="str">
        <x:v>S2015-PARIS</x:v>
      </x:c>
      <x:c r="J317" s="19" t="str">
        <x:v>NOT_EXPOSED_IN_REPORT</x:v>
      </x:c>
      <x:c r="K317" s="19" t="str">
        <x:v>PRIORITY_RANK=13;ORIGINAL_ROW_CONFIDENCE_NOT_EXPOSED</x:v>
      </x:c>
      <x:c r="L317" s="19" t="str">
        <x:v>NOT_EXPOSED_IN_REPORT</x:v>
      </x:c>
      <x:c r="M317" s="19" t="str">
        <x:v>PRIORITY_RANK_13</x:v>
      </x:c>
      <x:c r="N317" s="31" t="str">
        <x:v>RECONSTRUCTED_FROM_REPORT</x:v>
      </x:c>
      <x:c r="O317" s="31" t="str">
        <x:v>UNRESOLVED</x:v>
      </x:c>
      <x:c r="P317" s="19" t="str">
        <x:v>Fear of Temperature_ Stratified Lexical Expansion, Voice Mapping, and Semantic-Relational Pre-Valida.pdf</x:v>
      </x:c>
      <x:c r="Q317" s="31" t="str">
        <x:v>RECONSTRUCTED_FROM_REPORT</x:v>
      </x:c>
      <x:c r="R317" s="43" t="str">
        <x:v>New surrogate project ID assigned from the compact report table; never an original later-stage structured candidate ID.</x:v>
      </x:c>
    </x:row>
    <x:row r="318" ht="30" customHeight="1">
      <x:c r="A318" s="40" t="str">
        <x:v>FT-SEED-R1B-P-2015-14</x:v>
      </x:c>
      <x:c r="B318" s="19" t="str">
        <x:v>PRIORITY_180</x:v>
      </x:c>
      <x:c r="C318" s="31" t="str">
        <x:v>NOT_EXPOSED_IN_REPORT</x:v>
      </x:c>
      <x:c r="D318" s="31" t="str">
        <x:v>11</x:v>
      </x:c>
      <x:c r="E318" s="19" t="str">
        <x:v>FT-A2015</x:v>
      </x:c>
      <x:c r="F318" s="31" t="str">
        <x:v>loss and damage</x:v>
      </x:c>
      <x:c r="G318" s="19" t="str">
        <x:v>D</x:v>
      </x:c>
      <x:c r="H318" s="19" t="str">
        <x:v>V2</x:v>
      </x:c>
      <x:c r="I318" s="31" t="str">
        <x:v>S2015-PARIS</x:v>
      </x:c>
      <x:c r="J318" s="19" t="str">
        <x:v>NOT_EXPOSED_IN_REPORT</x:v>
      </x:c>
      <x:c r="K318" s="19" t="str">
        <x:v>PRIORITY_RANK=14;ORIGINAL_ROW_CONFIDENCE_NOT_EXPOSED</x:v>
      </x:c>
      <x:c r="L318" s="19" t="str">
        <x:v>NOT_EXPOSED_IN_REPORT</x:v>
      </x:c>
      <x:c r="M318" s="19" t="str">
        <x:v>PRIORITY_RANK_14</x:v>
      </x:c>
      <x:c r="N318" s="31" t="str">
        <x:v>RECONSTRUCTED_FROM_REPORT</x:v>
      </x:c>
      <x:c r="O318" s="31" t="str">
        <x:v>UNRESOLVED</x:v>
      </x:c>
      <x:c r="P318" s="19" t="str">
        <x:v>Fear of Temperature_ Stratified Lexical Expansion, Voice Mapping, and Semantic-Relational Pre-Valida.pdf</x:v>
      </x:c>
      <x:c r="Q318" s="31" t="str">
        <x:v>RECONSTRUCTED_FROM_REPORT</x:v>
      </x:c>
      <x:c r="R318" s="43" t="str">
        <x:v>New surrogate project ID assigned from the compact report table; never an original later-stage structured candidate ID.</x:v>
      </x:c>
    </x:row>
    <x:row r="319" ht="30" customHeight="1">
      <x:c r="A319" s="40" t="str">
        <x:v>FT-SEED-R1B-P-2015-15</x:v>
      </x:c>
      <x:c r="B319" s="19" t="str">
        <x:v>PRIORITY_180</x:v>
      </x:c>
      <x:c r="C319" s="31" t="str">
        <x:v>NOT_EXPOSED_IN_REPORT</x:v>
      </x:c>
      <x:c r="D319" s="31" t="str">
        <x:v>11</x:v>
      </x:c>
      <x:c r="E319" s="19" t="str">
        <x:v>FT-A2015</x:v>
      </x:c>
      <x:c r="F319" s="31" t="str">
        <x:v>extreme weather events</x:v>
      </x:c>
      <x:c r="G319" s="19" t="str">
        <x:v>D</x:v>
      </x:c>
      <x:c r="H319" s="19" t="str">
        <x:v>V2</x:v>
      </x:c>
      <x:c r="I319" s="31" t="str">
        <x:v>S2015-PARIS</x:v>
      </x:c>
      <x:c r="J319" s="19" t="str">
        <x:v>NOT_EXPOSED_IN_REPORT</x:v>
      </x:c>
      <x:c r="K319" s="19" t="str">
        <x:v>PRIORITY_RANK=15;ORIGINAL_ROW_CONFIDENCE_NOT_EXPOSED</x:v>
      </x:c>
      <x:c r="L319" s="19" t="str">
        <x:v>NOT_EXPOSED_IN_REPORT</x:v>
      </x:c>
      <x:c r="M319" s="19" t="str">
        <x:v>PRIORITY_RANK_15</x:v>
      </x:c>
      <x:c r="N319" s="31" t="str">
        <x:v>RECONSTRUCTED_FROM_REPORT</x:v>
      </x:c>
      <x:c r="O319" s="31" t="str">
        <x:v>UNRESOLVED</x:v>
      </x:c>
      <x:c r="P319" s="19" t="str">
        <x:v>Fear of Temperature_ Stratified Lexical Expansion, Voice Mapping, and Semantic-Relational Pre-Valida.pdf</x:v>
      </x:c>
      <x:c r="Q319" s="31" t="str">
        <x:v>RECONSTRUCTED_FROM_REPORT</x:v>
      </x:c>
      <x:c r="R319" s="43" t="str">
        <x:v>New surrogate project ID assigned from the compact report table; never an original later-stage structured candidate ID.</x:v>
      </x:c>
    </x:row>
    <x:row r="320" ht="30" customHeight="1">
      <x:c r="A320" s="40" t="str">
        <x:v>FT-SEED-R1B-P-2015-16</x:v>
      </x:c>
      <x:c r="B320" s="19" t="str">
        <x:v>PRIORITY_180</x:v>
      </x:c>
      <x:c r="C320" s="31" t="str">
        <x:v>NOT_EXPOSED_IN_REPORT</x:v>
      </x:c>
      <x:c r="D320" s="31" t="str">
        <x:v>11</x:v>
      </x:c>
      <x:c r="E320" s="19" t="str">
        <x:v>FT-A2015</x:v>
      </x:c>
      <x:c r="F320" s="31" t="str">
        <x:v>slow onset events</x:v>
      </x:c>
      <x:c r="G320" s="19" t="str">
        <x:v>D</x:v>
      </x:c>
      <x:c r="H320" s="19" t="str">
        <x:v>V2</x:v>
      </x:c>
      <x:c r="I320" s="31" t="str">
        <x:v>S2015-PARIS</x:v>
      </x:c>
      <x:c r="J320" s="19" t="str">
        <x:v>NOT_EXPOSED_IN_REPORT</x:v>
      </x:c>
      <x:c r="K320" s="19" t="str">
        <x:v>PRIORITY_RANK=16;ORIGINAL_ROW_CONFIDENCE_NOT_EXPOSED</x:v>
      </x:c>
      <x:c r="L320" s="19" t="str">
        <x:v>NOT_EXPOSED_IN_REPORT</x:v>
      </x:c>
      <x:c r="M320" s="19" t="str">
        <x:v>PRIORITY_RANK_16</x:v>
      </x:c>
      <x:c r="N320" s="31" t="str">
        <x:v>RECONSTRUCTED_FROM_REPORT</x:v>
      </x:c>
      <x:c r="O320" s="31" t="str">
        <x:v>UNRESOLVED</x:v>
      </x:c>
      <x:c r="P320" s="19" t="str">
        <x:v>Fear of Temperature_ Stratified Lexical Expansion, Voice Mapping, and Semantic-Relational Pre-Valida.pdf</x:v>
      </x:c>
      <x:c r="Q320" s="31" t="str">
        <x:v>RECONSTRUCTED_FROM_REPORT</x:v>
      </x:c>
      <x:c r="R320" s="43" t="str">
        <x:v>New surrogate project ID assigned from the compact report table; never an original later-stage structured candidate ID.</x:v>
      </x:c>
    </x:row>
    <x:row r="321" ht="30" customHeight="1">
      <x:c r="A321" s="40" t="str">
        <x:v>FT-SEED-R1B-P-2015-17</x:v>
      </x:c>
      <x:c r="B321" s="19" t="str">
        <x:v>PRIORITY_180</x:v>
      </x:c>
      <x:c r="C321" s="31" t="str">
        <x:v>NOT_EXPOSED_IN_REPORT</x:v>
      </x:c>
      <x:c r="D321" s="31" t="str">
        <x:v>11</x:v>
      </x:c>
      <x:c r="E321" s="19" t="str">
        <x:v>FT-A2015</x:v>
      </x:c>
      <x:c r="F321" s="31" t="str">
        <x:v>risk of loss and damage</x:v>
      </x:c>
      <x:c r="G321" s="19" t="str">
        <x:v>D</x:v>
      </x:c>
      <x:c r="H321" s="19" t="str">
        <x:v>V2</x:v>
      </x:c>
      <x:c r="I321" s="31" t="str">
        <x:v>S2015-PARIS</x:v>
      </x:c>
      <x:c r="J321" s="19" t="str">
        <x:v>NOT_EXPOSED_IN_REPORT</x:v>
      </x:c>
      <x:c r="K321" s="19" t="str">
        <x:v>PRIORITY_RANK=17;ORIGINAL_ROW_CONFIDENCE_NOT_EXPOSED</x:v>
      </x:c>
      <x:c r="L321" s="19" t="str">
        <x:v>NOT_EXPOSED_IN_REPORT</x:v>
      </x:c>
      <x:c r="M321" s="19" t="str">
        <x:v>PRIORITY_RANK_17</x:v>
      </x:c>
      <x:c r="N321" s="31" t="str">
        <x:v>RECONSTRUCTED_FROM_REPORT</x:v>
      </x:c>
      <x:c r="O321" s="31" t="str">
        <x:v>UNRESOLVED</x:v>
      </x:c>
      <x:c r="P321" s="19" t="str">
        <x:v>Fear of Temperature_ Stratified Lexical Expansion, Voice Mapping, and Semantic-Relational Pre-Valida.pdf</x:v>
      </x:c>
      <x:c r="Q321" s="31" t="str">
        <x:v>RECONSTRUCTED_FROM_REPORT</x:v>
      </x:c>
      <x:c r="R321" s="43" t="str">
        <x:v>New surrogate project ID assigned from the compact report table; never an original later-stage structured candidate ID.</x:v>
      </x:c>
    </x:row>
    <x:row r="322" ht="30" customHeight="1">
      <x:c r="A322" s="40" t="str">
        <x:v>FT-SEED-R1B-P-2015-18</x:v>
      </x:c>
      <x:c r="B322" s="19" t="str">
        <x:v>PRIORITY_180</x:v>
      </x:c>
      <x:c r="C322" s="31" t="str">
        <x:v>NOT_EXPOSED_IN_REPORT</x:v>
      </x:c>
      <x:c r="D322" s="31" t="str">
        <x:v>11</x:v>
      </x:c>
      <x:c r="E322" s="19" t="str">
        <x:v>FT-A2015</x:v>
      </x:c>
      <x:c r="F322" s="31" t="str">
        <x:v>early warning systems</x:v>
      </x:c>
      <x:c r="G322" s="19" t="str">
        <x:v>D</x:v>
      </x:c>
      <x:c r="H322" s="19" t="str">
        <x:v>V2</x:v>
      </x:c>
      <x:c r="I322" s="31" t="str">
        <x:v>S2015-PARIS</x:v>
      </x:c>
      <x:c r="J322" s="19" t="str">
        <x:v>NOT_EXPOSED_IN_REPORT</x:v>
      </x:c>
      <x:c r="K322" s="19" t="str">
        <x:v>PRIORITY_RANK=18;ORIGINAL_ROW_CONFIDENCE_NOT_EXPOSED</x:v>
      </x:c>
      <x:c r="L322" s="19" t="str">
        <x:v>NOT_EXPOSED_IN_REPORT</x:v>
      </x:c>
      <x:c r="M322" s="19" t="str">
        <x:v>PRIORITY_RANK_18</x:v>
      </x:c>
      <x:c r="N322" s="31" t="str">
        <x:v>RECONSTRUCTED_FROM_REPORT</x:v>
      </x:c>
      <x:c r="O322" s="31" t="str">
        <x:v>UNRESOLVED</x:v>
      </x:c>
      <x:c r="P322" s="19" t="str">
        <x:v>Fear of Temperature_ Stratified Lexical Expansion, Voice Mapping, and Semantic-Relational Pre-Valida.pdf</x:v>
      </x:c>
      <x:c r="Q322" s="31" t="str">
        <x:v>RECONSTRUCTED_FROM_REPORT</x:v>
      </x:c>
      <x:c r="R322" s="43" t="str">
        <x:v>New surrogate project ID assigned from the compact report table; never an original later-stage structured candidate ID.</x:v>
      </x:c>
    </x:row>
    <x:row r="323" ht="30" customHeight="1">
      <x:c r="A323" s="40" t="str">
        <x:v>FT-SEED-R1B-P-2015-19</x:v>
      </x:c>
      <x:c r="B323" s="19" t="str">
        <x:v>PRIORITY_180</x:v>
      </x:c>
      <x:c r="C323" s="31" t="str">
        <x:v>NOT_EXPOSED_IN_REPORT</x:v>
      </x:c>
      <x:c r="D323" s="31" t="str">
        <x:v>11</x:v>
      </x:c>
      <x:c r="E323" s="19" t="str">
        <x:v>FT-A2015</x:v>
      </x:c>
      <x:c r="F323" s="31" t="str">
        <x:v>emergency preparedness</x:v>
      </x:c>
      <x:c r="G323" s="19" t="str">
        <x:v>D</x:v>
      </x:c>
      <x:c r="H323" s="19" t="str">
        <x:v>V2</x:v>
      </x:c>
      <x:c r="I323" s="31" t="str">
        <x:v>S2015-PARIS</x:v>
      </x:c>
      <x:c r="J323" s="19" t="str">
        <x:v>NOT_EXPOSED_IN_REPORT</x:v>
      </x:c>
      <x:c r="K323" s="19" t="str">
        <x:v>PRIORITY_RANK=19;ORIGINAL_ROW_CONFIDENCE_NOT_EXPOSED</x:v>
      </x:c>
      <x:c r="L323" s="19" t="str">
        <x:v>NOT_EXPOSED_IN_REPORT</x:v>
      </x:c>
      <x:c r="M323" s="19" t="str">
        <x:v>PRIORITY_RANK_19</x:v>
      </x:c>
      <x:c r="N323" s="31" t="str">
        <x:v>RECONSTRUCTED_FROM_REPORT</x:v>
      </x:c>
      <x:c r="O323" s="31" t="str">
        <x:v>UNRESOLVED</x:v>
      </x:c>
      <x:c r="P323" s="19" t="str">
        <x:v>Fear of Temperature_ Stratified Lexical Expansion, Voice Mapping, and Semantic-Relational Pre-Valida.pdf</x:v>
      </x:c>
      <x:c r="Q323" s="31" t="str">
        <x:v>RECONSTRUCTED_FROM_REPORT</x:v>
      </x:c>
      <x:c r="R323" s="43" t="str">
        <x:v>New surrogate project ID assigned from the compact report table; never an original later-stage structured candidate ID.</x:v>
      </x:c>
    </x:row>
    <x:row r="324" ht="30" customHeight="1">
      <x:c r="A324" s="40" t="str">
        <x:v>FT-SEED-R1B-P-2015-20</x:v>
      </x:c>
      <x:c r="B324" s="19" t="str">
        <x:v>PRIORITY_180</x:v>
      </x:c>
      <x:c r="C324" s="31" t="str">
        <x:v>NOT_EXPOSED_IN_REPORT</x:v>
      </x:c>
      <x:c r="D324" s="31" t="str">
        <x:v>11</x:v>
      </x:c>
      <x:c r="E324" s="19" t="str">
        <x:v>FT-A2015</x:v>
      </x:c>
      <x:c r="F324" s="31" t="str">
        <x:v>irreversible and permanent loss and damage</x:v>
      </x:c>
      <x:c r="G324" s="19" t="str">
        <x:v>D</x:v>
      </x:c>
      <x:c r="H324" s="19" t="str">
        <x:v>V2</x:v>
      </x:c>
      <x:c r="I324" s="31" t="str">
        <x:v>S2015-PARIS</x:v>
      </x:c>
      <x:c r="J324" s="19" t="str">
        <x:v>NOT_EXPOSED_IN_REPORT</x:v>
      </x:c>
      <x:c r="K324" s="19" t="str">
        <x:v>PRIORITY_RANK=20;ORIGINAL_ROW_CONFIDENCE_NOT_EXPOSED</x:v>
      </x:c>
      <x:c r="L324" s="19" t="str">
        <x:v>NOT_EXPOSED_IN_REPORT</x:v>
      </x:c>
      <x:c r="M324" s="19" t="str">
        <x:v>PRIORITY_RANK_20</x:v>
      </x:c>
      <x:c r="N324" s="31" t="str">
        <x:v>RECONSTRUCTED_FROM_REPORT</x:v>
      </x:c>
      <x:c r="O324" s="31" t="str">
        <x:v>UNRESOLVED</x:v>
      </x:c>
      <x:c r="P324" s="19" t="str">
        <x:v>Fear of Temperature_ Stratified Lexical Expansion, Voice Mapping, and Semantic-Relational Pre-Valida.pdf</x:v>
      </x:c>
      <x:c r="Q324" s="31" t="str">
        <x:v>RECONSTRUCTED_FROM_REPORT</x:v>
      </x:c>
      <x:c r="R324" s="43" t="str">
        <x:v>New surrogate project ID assigned from the compact report table; never an original later-stage structured candidate ID.</x:v>
      </x:c>
    </x:row>
    <x:row r="325" ht="30" customHeight="1">
      <x:c r="A325" s="40" t="str">
        <x:v>FT-SEED-R1B-P-2015-21</x:v>
      </x:c>
      <x:c r="B325" s="19" t="str">
        <x:v>PRIORITY_180</x:v>
      </x:c>
      <x:c r="C325" s="31" t="str">
        <x:v>NOT_EXPOSED_IN_REPORT</x:v>
      </x:c>
      <x:c r="D325" s="31" t="str">
        <x:v>11</x:v>
      </x:c>
      <x:c r="E325" s="19" t="str">
        <x:v>FT-A2015</x:v>
      </x:c>
      <x:c r="F325" s="31" t="str">
        <x:v>comprehensive risk assessment and management</x:v>
      </x:c>
      <x:c r="G325" s="19" t="str">
        <x:v>D</x:v>
      </x:c>
      <x:c r="H325" s="19" t="str">
        <x:v>V2</x:v>
      </x:c>
      <x:c r="I325" s="31" t="str">
        <x:v>S2015-PARIS</x:v>
      </x:c>
      <x:c r="J325" s="19" t="str">
        <x:v>NOT_EXPOSED_IN_REPORT</x:v>
      </x:c>
      <x:c r="K325" s="19" t="str">
        <x:v>PRIORITY_RANK=21;ORIGINAL_ROW_CONFIDENCE_NOT_EXPOSED</x:v>
      </x:c>
      <x:c r="L325" s="19" t="str">
        <x:v>NOT_EXPOSED_IN_REPORT</x:v>
      </x:c>
      <x:c r="M325" s="19" t="str">
        <x:v>PRIORITY_RANK_21</x:v>
      </x:c>
      <x:c r="N325" s="31" t="str">
        <x:v>RECONSTRUCTED_FROM_REPORT</x:v>
      </x:c>
      <x:c r="O325" s="31" t="str">
        <x:v>UNRESOLVED</x:v>
      </x:c>
      <x:c r="P325" s="19" t="str">
        <x:v>Fear of Temperature_ Stratified Lexical Expansion, Voice Mapping, and Semantic-Relational Pre-Valida.pdf</x:v>
      </x:c>
      <x:c r="Q325" s="31" t="str">
        <x:v>RECONSTRUCTED_FROM_REPORT</x:v>
      </x:c>
      <x:c r="R325" s="43" t="str">
        <x:v>New surrogate project ID assigned from the compact report table; never an original later-stage structured candidate ID.</x:v>
      </x:c>
    </x:row>
    <x:row r="326" ht="30" customHeight="1">
      <x:c r="A326" s="40" t="str">
        <x:v>FT-SEED-R1B-P-2015-22</x:v>
      </x:c>
      <x:c r="B326" s="19" t="str">
        <x:v>PRIORITY_180</x:v>
      </x:c>
      <x:c r="C326" s="31" t="str">
        <x:v>NOT_EXPOSED_IN_REPORT</x:v>
      </x:c>
      <x:c r="D326" s="31" t="str">
        <x:v>11</x:v>
      </x:c>
      <x:c r="E326" s="19" t="str">
        <x:v>FT-A2015</x:v>
      </x:c>
      <x:c r="F326" s="31" t="str">
        <x:v>non-economic losses</x:v>
      </x:c>
      <x:c r="G326" s="19" t="str">
        <x:v>D</x:v>
      </x:c>
      <x:c r="H326" s="19" t="str">
        <x:v>V2</x:v>
      </x:c>
      <x:c r="I326" s="31" t="str">
        <x:v>S2015-PARIS</x:v>
      </x:c>
      <x:c r="J326" s="19" t="str">
        <x:v>NOT_EXPOSED_IN_REPORT</x:v>
      </x:c>
      <x:c r="K326" s="19" t="str">
        <x:v>PRIORITY_RANK=22;ORIGINAL_ROW_CONFIDENCE_NOT_EXPOSED</x:v>
      </x:c>
      <x:c r="L326" s="19" t="str">
        <x:v>NOT_EXPOSED_IN_REPORT</x:v>
      </x:c>
      <x:c r="M326" s="19" t="str">
        <x:v>PRIORITY_RANK_22</x:v>
      </x:c>
      <x:c r="N326" s="31" t="str">
        <x:v>RECONSTRUCTED_FROM_REPORT</x:v>
      </x:c>
      <x:c r="O326" s="31" t="str">
        <x:v>UNRESOLVED</x:v>
      </x:c>
      <x:c r="P326" s="19" t="str">
        <x:v>Fear of Temperature_ Stratified Lexical Expansion, Voice Mapping, and Semantic-Relational Pre-Valida.pdf</x:v>
      </x:c>
      <x:c r="Q326" s="31" t="str">
        <x:v>RECONSTRUCTED_FROM_REPORT</x:v>
      </x:c>
      <x:c r="R326" s="43" t="str">
        <x:v>New surrogate project ID assigned from the compact report table; never an original later-stage structured candidate ID.</x:v>
      </x:c>
    </x:row>
    <x:row r="327" ht="30" customHeight="1">
      <x:c r="A327" s="40" t="str">
        <x:v>FT-SEED-R1B-P-2015-23</x:v>
      </x:c>
      <x:c r="B327" s="19" t="str">
        <x:v>PRIORITY_180</x:v>
      </x:c>
      <x:c r="C327" s="31" t="str">
        <x:v>NOT_EXPOSED_IN_REPORT</x:v>
      </x:c>
      <x:c r="D327" s="31" t="str">
        <x:v>11</x:v>
      </x:c>
      <x:c r="E327" s="19" t="str">
        <x:v>FT-A2015</x:v>
      </x:c>
      <x:c r="F327" s="31" t="str">
        <x:v>common concern of humankind</x:v>
      </x:c>
      <x:c r="G327" s="19" t="str">
        <x:v>C</x:v>
      </x:c>
      <x:c r="H327" s="19" t="str">
        <x:v>V2</x:v>
      </x:c>
      <x:c r="I327" s="31" t="str">
        <x:v>S2015-PARIS</x:v>
      </x:c>
      <x:c r="J327" s="19" t="str">
        <x:v>E1</x:v>
      </x:c>
      <x:c r="K327" s="19" t="str">
        <x:v>PRIORITY_RANK=23;ORIGINAL_ROW_CONFIDENCE_NOT_EXPOSED</x:v>
      </x:c>
      <x:c r="L327" s="19" t="str">
        <x:v>NOT_EXPOSED_IN_REPORT</x:v>
      </x:c>
      <x:c r="M327" s="19" t="str">
        <x:v>PRIORITY_RANK_23</x:v>
      </x:c>
      <x:c r="N327" s="31" t="str">
        <x:v>RECONSTRUCTED_FROM_REPORT</x:v>
      </x:c>
      <x:c r="O327" s="31" t="str">
        <x:v>UNRESOLVED</x:v>
      </x:c>
      <x:c r="P327" s="19" t="str">
        <x:v>Fear of Temperature_ Stratified Lexical Expansion, Voice Mapping, and Semantic-Relational Pre-Valida.pdf</x:v>
      </x:c>
      <x:c r="Q327" s="31" t="str">
        <x:v>RECONSTRUCTED_FROM_REPORT</x:v>
      </x:c>
      <x:c r="R327" s="43" t="str">
        <x:v>New surrogate project ID assigned from the compact report table; never an original later-stage structured candidate ID.</x:v>
      </x:c>
    </x:row>
    <x:row r="328" ht="30" customHeight="1">
      <x:c r="A328" s="40" t="str">
        <x:v>FT-SEED-R1B-P-2015-24</x:v>
      </x:c>
      <x:c r="B328" s="19" t="str">
        <x:v>PRIORITY_180</x:v>
      </x:c>
      <x:c r="C328" s="31" t="str">
        <x:v>NOT_EXPOSED_IN_REPORT</x:v>
      </x:c>
      <x:c r="D328" s="31" t="str">
        <x:v>11</x:v>
      </x:c>
      <x:c r="E328" s="19" t="str">
        <x:v>FT-A2015</x:v>
      </x:c>
      <x:c r="F328" s="31" t="str">
        <x:v>climate justice</x:v>
      </x:c>
      <x:c r="G328" s="19" t="str">
        <x:v>D</x:v>
      </x:c>
      <x:c r="H328" s="19" t="str">
        <x:v>V2</x:v>
      </x:c>
      <x:c r="I328" s="31" t="str">
        <x:v>S2015-PARIS</x:v>
      </x:c>
      <x:c r="J328" s="19" t="str">
        <x:v>NOT_EXPOSED_IN_REPORT</x:v>
      </x:c>
      <x:c r="K328" s="19" t="str">
        <x:v>PRIORITY_RANK=24;ORIGINAL_ROW_CONFIDENCE_NOT_EXPOSED</x:v>
      </x:c>
      <x:c r="L328" s="19" t="str">
        <x:v>NOT_EXPOSED_IN_REPORT</x:v>
      </x:c>
      <x:c r="M328" s="19" t="str">
        <x:v>PRIORITY_RANK_24</x:v>
      </x:c>
      <x:c r="N328" s="31" t="str">
        <x:v>RECONSTRUCTED_FROM_REPORT</x:v>
      </x:c>
      <x:c r="O328" s="31" t="str">
        <x:v>UNRESOLVED</x:v>
      </x:c>
      <x:c r="P328" s="19" t="str">
        <x:v>Fear of Temperature_ Stratified Lexical Expansion, Voice Mapping, and Semantic-Relational Pre-Valida.pdf</x:v>
      </x:c>
      <x:c r="Q328" s="31" t="str">
        <x:v>RECONSTRUCTED_FROM_REPORT</x:v>
      </x:c>
      <x:c r="R328" s="43" t="str">
        <x:v>New surrogate project ID assigned from the compact report table; never an original later-stage structured candidate ID.</x:v>
      </x:c>
    </x:row>
    <x:row r="329" ht="30" customHeight="1">
      <x:c r="A329" s="40" t="str">
        <x:v>FT-SEED-R1B-P-2015-25</x:v>
      </x:c>
      <x:c r="B329" s="19" t="str">
        <x:v>PRIORITY_180</x:v>
      </x:c>
      <x:c r="C329" s="31" t="str">
        <x:v>NOT_EXPOSED_IN_REPORT</x:v>
      </x:c>
      <x:c r="D329" s="31" t="str">
        <x:v>11</x:v>
      </x:c>
      <x:c r="E329" s="19" t="str">
        <x:v>FT-A2015</x:v>
      </x:c>
      <x:c r="F329" s="31" t="str">
        <x:v>very worried</x:v>
      </x:c>
      <x:c r="G329" s="19" t="str">
        <x:v>C</x:v>
      </x:c>
      <x:c r="H329" s="19" t="str">
        <x:v>V5</x:v>
      </x:c>
      <x:c r="I329" s="31" t="str">
        <x:v>S2015-YALE</x:v>
      </x:c>
      <x:c r="J329" s="19" t="str">
        <x:v>NOT_EXPOSED_IN_REPORT</x:v>
      </x:c>
      <x:c r="K329" s="19" t="str">
        <x:v>PRIORITY_RANK=25;ORIGINAL_ROW_CONFIDENCE_NOT_EXPOSED</x:v>
      </x:c>
      <x:c r="L329" s="19" t="str">
        <x:v>NOT_EXPOSED_IN_REPORT</x:v>
      </x:c>
      <x:c r="M329" s="19" t="str">
        <x:v>PRIORITY_RANK_25</x:v>
      </x:c>
      <x:c r="N329" s="31" t="str">
        <x:v>RECONSTRUCTED_FROM_REPORT</x:v>
      </x:c>
      <x:c r="O329" s="31" t="str">
        <x:v>UNRESOLVED</x:v>
      </x:c>
      <x:c r="P329" s="19" t="str">
        <x:v>Fear of Temperature_ Stratified Lexical Expansion, Voice Mapping, and Semantic-Relational Pre-Valida.pdf</x:v>
      </x:c>
      <x:c r="Q329" s="31" t="str">
        <x:v>RECONSTRUCTED_FROM_REPORT</x:v>
      </x:c>
      <x:c r="R329" s="43" t="str">
        <x:v>New surrogate project ID assigned from the compact report table; never an original later-stage structured candidate ID.</x:v>
      </x:c>
    </x:row>
    <x:row r="330" ht="30" customHeight="1">
      <x:c r="A330" s="40" t="str">
        <x:v>FT-SEED-R1B-P-2015-26</x:v>
      </x:c>
      <x:c r="B330" s="19" t="str">
        <x:v>PRIORITY_180</x:v>
      </x:c>
      <x:c r="C330" s="31" t="str">
        <x:v>NOT_EXPOSED_IN_REPORT</x:v>
      </x:c>
      <x:c r="D330" s="31" t="str">
        <x:v>11</x:v>
      </x:c>
      <x:c r="E330" s="19" t="str">
        <x:v>FT-A2015</x:v>
      </x:c>
      <x:c r="F330" s="31" t="str">
        <x:v>somewhat worried</x:v>
      </x:c>
      <x:c r="G330" s="19" t="str">
        <x:v>C</x:v>
      </x:c>
      <x:c r="H330" s="19" t="str">
        <x:v>V5</x:v>
      </x:c>
      <x:c r="I330" s="31" t="str">
        <x:v>S2015-YALE</x:v>
      </x:c>
      <x:c r="J330" s="19" t="str">
        <x:v>NOT_EXPOSED_IN_REPORT</x:v>
      </x:c>
      <x:c r="K330" s="19" t="str">
        <x:v>PRIORITY_RANK=26;ORIGINAL_ROW_CONFIDENCE_NOT_EXPOSED</x:v>
      </x:c>
      <x:c r="L330" s="19" t="str">
        <x:v>NOT_EXPOSED_IN_REPORT</x:v>
      </x:c>
      <x:c r="M330" s="19" t="str">
        <x:v>PRIORITY_RANK_26</x:v>
      </x:c>
      <x:c r="N330" s="31" t="str">
        <x:v>RECONSTRUCTED_FROM_REPORT</x:v>
      </x:c>
      <x:c r="O330" s="31" t="str">
        <x:v>UNRESOLVED</x:v>
      </x:c>
      <x:c r="P330" s="19" t="str">
        <x:v>Fear of Temperature_ Stratified Lexical Expansion, Voice Mapping, and Semantic-Relational Pre-Valida.pdf</x:v>
      </x:c>
      <x:c r="Q330" s="31" t="str">
        <x:v>RECONSTRUCTED_FROM_REPORT</x:v>
      </x:c>
      <x:c r="R330" s="43" t="str">
        <x:v>New surrogate project ID assigned from the compact report table; never an original later-stage structured candidate ID.</x:v>
      </x:c>
    </x:row>
    <x:row r="331" ht="30" customHeight="1">
      <x:c r="A331" s="40" t="str">
        <x:v>FT-SEED-R1B-P-2015-27</x:v>
      </x:c>
      <x:c r="B331" s="19" t="str">
        <x:v>PRIORITY_180</x:v>
      </x:c>
      <x:c r="C331" s="31" t="str">
        <x:v>NOT_EXPOSED_IN_REPORT</x:v>
      </x:c>
      <x:c r="D331" s="31" t="str">
        <x:v>11</x:v>
      </x:c>
      <x:c r="E331" s="19" t="str">
        <x:v>FT-A2015</x:v>
      </x:c>
      <x:c r="F331" s="31" t="str">
        <x:v>very serious problem</x:v>
      </x:c>
      <x:c r="G331" s="19" t="str">
        <x:v>D</x:v>
      </x:c>
      <x:c r="H331" s="19" t="str">
        <x:v>V5</x:v>
      </x:c>
      <x:c r="I331" s="31" t="str">
        <x:v>S2015-PEW</x:v>
      </x:c>
      <x:c r="J331" s="19" t="str">
        <x:v>NOT_EXPOSED_IN_REPORT</x:v>
      </x:c>
      <x:c r="K331" s="19" t="str">
        <x:v>PRIORITY_RANK=27;ORIGINAL_ROW_CONFIDENCE_NOT_EXPOSED</x:v>
      </x:c>
      <x:c r="L331" s="19" t="str">
        <x:v>NOT_EXPOSED_IN_REPORT</x:v>
      </x:c>
      <x:c r="M331" s="19" t="str">
        <x:v>PRIORITY_RANK_27</x:v>
      </x:c>
      <x:c r="N331" s="31" t="str">
        <x:v>RECONSTRUCTED_FROM_REPORT</x:v>
      </x:c>
      <x:c r="O331" s="31" t="str">
        <x:v>UNRESOLVED</x:v>
      </x:c>
      <x:c r="P331" s="19" t="str">
        <x:v>Fear of Temperature_ Stratified Lexical Expansion, Voice Mapping, and Semantic-Relational Pre-Valida.pdf</x:v>
      </x:c>
      <x:c r="Q331" s="31" t="str">
        <x:v>RECONSTRUCTED_FROM_REPORT</x:v>
      </x:c>
      <x:c r="R331" s="43" t="str">
        <x:v>New surrogate project ID assigned from the compact report table; never an original later-stage structured candidate ID.</x:v>
      </x:c>
    </x:row>
    <x:row r="332" ht="30" customHeight="1">
      <x:c r="A332" s="40" t="str">
        <x:v>FT-SEED-R1B-P-2015-28</x:v>
      </x:c>
      <x:c r="B332" s="19" t="str">
        <x:v>PRIORITY_180</x:v>
      </x:c>
      <x:c r="C332" s="31" t="str">
        <x:v>NOT_EXPOSED_IN_REPORT</x:v>
      </x:c>
      <x:c r="D332" s="31" t="str">
        <x:v>11</x:v>
      </x:c>
      <x:c r="E332" s="19" t="str">
        <x:v>FT-A2015</x:v>
      </x:c>
      <x:c r="F332" s="31" t="str">
        <x:v>harm them personally</x:v>
      </x:c>
      <x:c r="G332" s="19" t="str">
        <x:v>D</x:v>
      </x:c>
      <x:c r="H332" s="19" t="str">
        <x:v>V5</x:v>
      </x:c>
      <x:c r="I332" s="31" t="str">
        <x:v>S2015-PEW</x:v>
      </x:c>
      <x:c r="J332" s="19" t="str">
        <x:v>NOT_EXPOSED_IN_REPORT</x:v>
      </x:c>
      <x:c r="K332" s="19" t="str">
        <x:v>PRIORITY_RANK=28;ORIGINAL_ROW_CONFIDENCE_NOT_EXPOSED</x:v>
      </x:c>
      <x:c r="L332" s="19" t="str">
        <x:v>NOT_EXPOSED_IN_REPORT</x:v>
      </x:c>
      <x:c r="M332" s="19" t="str">
        <x:v>PRIORITY_RANK_28</x:v>
      </x:c>
      <x:c r="N332" s="31" t="str">
        <x:v>RECONSTRUCTED_FROM_REPORT</x:v>
      </x:c>
      <x:c r="O332" s="31" t="str">
        <x:v>UNRESOLVED</x:v>
      </x:c>
      <x:c r="P332" s="19" t="str">
        <x:v>Fear of Temperature_ Stratified Lexical Expansion, Voice Mapping, and Semantic-Relational Pre-Valida.pdf</x:v>
      </x:c>
      <x:c r="Q332" s="31" t="str">
        <x:v>RECONSTRUCTED_FROM_REPORT</x:v>
      </x:c>
      <x:c r="R332" s="43" t="str">
        <x:v>New surrogate project ID assigned from the compact report table; never an original later-stage structured candidate ID.</x:v>
      </x:c>
    </x:row>
    <x:row r="333" ht="30" customHeight="1">
      <x:c r="A333" s="40" t="str">
        <x:v>FT-SEED-R1B-P-2015-29</x:v>
      </x:c>
      <x:c r="B333" s="19" t="str">
        <x:v>PRIORITY_180</x:v>
      </x:c>
      <x:c r="C333" s="31" t="str">
        <x:v>NOT_EXPOSED_IN_REPORT</x:v>
      </x:c>
      <x:c r="D333" s="31" t="str">
        <x:v>11</x:v>
      </x:c>
      <x:c r="E333" s="19" t="str">
        <x:v>FT-A2015</x:v>
      </x:c>
      <x:c r="F333" s="31" t="str">
        <x:v>drought or water shortages</x:v>
      </x:c>
      <x:c r="G333" s="19" t="str">
        <x:v>D</x:v>
      </x:c>
      <x:c r="H333" s="19" t="str">
        <x:v>V5</x:v>
      </x:c>
      <x:c r="I333" s="31" t="str">
        <x:v>S2015-PEW</x:v>
      </x:c>
      <x:c r="J333" s="19" t="str">
        <x:v>NOT_EXPOSED_IN_REPORT</x:v>
      </x:c>
      <x:c r="K333" s="19" t="str">
        <x:v>PRIORITY_RANK=29;ORIGINAL_ROW_CONFIDENCE_NOT_EXPOSED</x:v>
      </x:c>
      <x:c r="L333" s="19" t="str">
        <x:v>NOT_EXPOSED_IN_REPORT</x:v>
      </x:c>
      <x:c r="M333" s="19" t="str">
        <x:v>PRIORITY_RANK_29</x:v>
      </x:c>
      <x:c r="N333" s="31" t="str">
        <x:v>RECONSTRUCTED_FROM_REPORT</x:v>
      </x:c>
      <x:c r="O333" s="31" t="str">
        <x:v>UNRESOLVED</x:v>
      </x:c>
      <x:c r="P333" s="19" t="str">
        <x:v>Fear of Temperature_ Stratified Lexical Expansion, Voice Mapping, and Semantic-Relational Pre-Valida.pdf</x:v>
      </x:c>
      <x:c r="Q333" s="31" t="str">
        <x:v>RECONSTRUCTED_FROM_REPORT</x:v>
      </x:c>
      <x:c r="R333" s="43" t="str">
        <x:v>New surrogate project ID assigned from the compact report table; never an original later-stage structured candidate ID.</x:v>
      </x:c>
    </x:row>
    <x:row r="334" ht="30" customHeight="1">
      <x:c r="A334" s="40" t="str">
        <x:v>FT-SEED-R1B-P-2015-30</x:v>
      </x:c>
      <x:c r="B334" s="19" t="str">
        <x:v>PRIORITY_180</x:v>
      </x:c>
      <x:c r="C334" s="31" t="str">
        <x:v>NOT_EXPOSED_IN_REPORT</x:v>
      </x:c>
      <x:c r="D334" s="31" t="str">
        <x:v>11</x:v>
      </x:c>
      <x:c r="E334" s="19" t="str">
        <x:v>FT-A2015</x:v>
      </x:c>
      <x:c r="F334" s="31" t="str">
        <x:v>We are nature defending itself</x:v>
      </x:c>
      <x:c r="G334" s="19" t="str">
        <x:v>C</x:v>
      </x:c>
      <x:c r="H334" s="19" t="str">
        <x:v>V4</x:v>
      </x:c>
      <x:c r="I334" s="31" t="str">
        <x:v>S2015-COPPROTEST</x:v>
      </x:c>
      <x:c r="J334" s="19" t="str">
        <x:v>NOT_EXPOSED_IN_REPORT</x:v>
      </x:c>
      <x:c r="K334" s="19" t="str">
        <x:v>PRIORITY_RANK=30;ORIGINAL_ROW_CONFIDENCE_NOT_EXPOSED</x:v>
      </x:c>
      <x:c r="L334" s="19" t="str">
        <x:v>NOT_EXPOSED_IN_REPORT</x:v>
      </x:c>
      <x:c r="M334" s="19" t="str">
        <x:v>PRIORITY_RANK_30</x:v>
      </x:c>
      <x:c r="N334" s="31" t="str">
        <x:v>RECONSTRUCTED_FROM_REPORT</x:v>
      </x:c>
      <x:c r="O334" s="31" t="str">
        <x:v>UNRESOLVED</x:v>
      </x:c>
      <x:c r="P334" s="19" t="str">
        <x:v>Fear of Temperature_ Stratified Lexical Expansion, Voice Mapping, and Semantic-Relational Pre-Valida.pdf</x:v>
      </x:c>
      <x:c r="Q334" s="31" t="str">
        <x:v>RECONSTRUCTED_FROM_REPORT</x:v>
      </x:c>
      <x:c r="R334" s="43" t="str">
        <x:v>New surrogate project ID assigned from the compact report table; never an original later-stage structured candidate ID.</x:v>
      </x:c>
    </x:row>
    <x:row r="335" ht="30" customHeight="1">
      <x:c r="A335" s="40" t="str">
        <x:v>FT-SEED-R1B-P-2022-01</x:v>
      </x:c>
      <x:c r="B335" s="19" t="str">
        <x:v>PRIORITY_180</x:v>
      </x:c>
      <x:c r="C335" s="31" t="str">
        <x:v>NOT_EXPOSED_IN_REPORT</x:v>
      </x:c>
      <x:c r="D335" s="31" t="str">
        <x:v>12</x:v>
      </x:c>
      <x:c r="E335" s="19" t="str">
        <x:v>FT-A2022</x:v>
      </x:c>
      <x:c r="F335" s="31" t="str">
        <x:v>climate change</x:v>
      </x:c>
      <x:c r="G335" s="19" t="str">
        <x:v>B</x:v>
      </x:c>
      <x:c r="H335" s="19" t="str">
        <x:v>V5</x:v>
      </x:c>
      <x:c r="I335" s="31" t="str">
        <x:v>S2022-YALE-INT</x:v>
      </x:c>
      <x:c r="J335" s="19" t="str">
        <x:v>NOT_EXPOSED_IN_REPORT</x:v>
      </x:c>
      <x:c r="K335" s="19" t="str">
        <x:v>PRIORITY_RANK=1;ORIGINAL_ROW_CONFIDENCE_NOT_EXPOSED</x:v>
      </x:c>
      <x:c r="L335" s="19" t="str">
        <x:v>NOT_EXPOSED_IN_REPORT</x:v>
      </x:c>
      <x:c r="M335" s="19" t="str">
        <x:v>PRIORITY_RANK_01</x:v>
      </x:c>
      <x:c r="N335" s="31" t="str">
        <x:v>RECONSTRUCTED_FROM_REPORT</x:v>
      </x:c>
      <x:c r="O335" s="31" t="str">
        <x:v>UNRESOLVED</x:v>
      </x:c>
      <x:c r="P335" s="19" t="str">
        <x:v>Fear of Temperature_ Stratified Lexical Expansion, Voice Mapping, and Semantic-Relational Pre-Valida.pdf</x:v>
      </x:c>
      <x:c r="Q335" s="31" t="str">
        <x:v>RECONSTRUCTED_FROM_REPORT</x:v>
      </x:c>
      <x:c r="R335" s="43" t="str">
        <x:v>New surrogate project ID assigned from the compact report table; never an original later-stage structured candidate ID.</x:v>
      </x:c>
    </x:row>
    <x:row r="336" ht="30" customHeight="1">
      <x:c r="A336" s="40" t="str">
        <x:v>FT-SEED-R1B-P-2022-02</x:v>
      </x:c>
      <x:c r="B336" s="19" t="str">
        <x:v>PRIORITY_180</x:v>
      </x:c>
      <x:c r="C336" s="31" t="str">
        <x:v>NOT_EXPOSED_IN_REPORT</x:v>
      </x:c>
      <x:c r="D336" s="31" t="str">
        <x:v>12</x:v>
      </x:c>
      <x:c r="E336" s="19" t="str">
        <x:v>FT-A2022</x:v>
      </x:c>
      <x:c r="F336" s="31" t="str">
        <x:v>global warming</x:v>
      </x:c>
      <x:c r="G336" s="19" t="str">
        <x:v>A</x:v>
      </x:c>
      <x:c r="H336" s="19" t="str">
        <x:v>V5</x:v>
      </x:c>
      <x:c r="I336" s="31" t="str">
        <x:v>S2022-YALE-US</x:v>
      </x:c>
      <x:c r="J336" s="19" t="str">
        <x:v>NOT_EXPOSED_IN_REPORT</x:v>
      </x:c>
      <x:c r="K336" s="19" t="str">
        <x:v>PRIORITY_RANK=2;ORIGINAL_ROW_CONFIDENCE_NOT_EXPOSED</x:v>
      </x:c>
      <x:c r="L336" s="19" t="str">
        <x:v>NOT_EXPOSED_IN_REPORT</x:v>
      </x:c>
      <x:c r="M336" s="19" t="str">
        <x:v>PRIORITY_RANK_02</x:v>
      </x:c>
      <x:c r="N336" s="31" t="str">
        <x:v>RECONSTRUCTED_FROM_REPORT</x:v>
      </x:c>
      <x:c r="O336" s="31" t="str">
        <x:v>UNRESOLVED</x:v>
      </x:c>
      <x:c r="P336" s="19" t="str">
        <x:v>Fear of Temperature_ Stratified Lexical Expansion, Voice Mapping, and Semantic-Relational Pre-Valida.pdf</x:v>
      </x:c>
      <x:c r="Q336" s="31" t="str">
        <x:v>RECONSTRUCTED_FROM_REPORT</x:v>
      </x:c>
      <x:c r="R336" s="43" t="str">
        <x:v>New surrogate project ID assigned from the compact report table; never an original later-stage structured candidate ID.</x:v>
      </x:c>
    </x:row>
    <x:row r="337" ht="30" customHeight="1">
      <x:c r="A337" s="40" t="str">
        <x:v>FT-SEED-R1B-P-2022-03</x:v>
      </x:c>
      <x:c r="B337" s="19" t="str">
        <x:v>PRIORITY_180</x:v>
      </x:c>
      <x:c r="C337" s="31" t="str">
        <x:v>NOT_EXPOSED_IN_REPORT</x:v>
      </x:c>
      <x:c r="D337" s="31" t="str">
        <x:v>12</x:v>
      </x:c>
      <x:c r="E337" s="19" t="str">
        <x:v>FT-A2022</x:v>
      </x:c>
      <x:c r="F337" s="31" t="str">
        <x:v>very worried</x:v>
      </x:c>
      <x:c r="G337" s="19" t="str">
        <x:v>C</x:v>
      </x:c>
      <x:c r="H337" s="19" t="str">
        <x:v>V5</x:v>
      </x:c>
      <x:c r="I337" s="31" t="str">
        <x:v>S2022-YALE-INT</x:v>
      </x:c>
      <x:c r="J337" s="19" t="str">
        <x:v>E3</x:v>
      </x:c>
      <x:c r="K337" s="19" t="str">
        <x:v>PRIORITY_RANK=3;ORIGINAL_ROW_CONFIDENCE_NOT_EXPOSED</x:v>
      </x:c>
      <x:c r="L337" s="19" t="str">
        <x:v>NOT_EXPOSED_IN_REPORT</x:v>
      </x:c>
      <x:c r="M337" s="19" t="str">
        <x:v>PRIORITY_RANK_03</x:v>
      </x:c>
      <x:c r="N337" s="31" t="str">
        <x:v>RECONSTRUCTED_FROM_REPORT</x:v>
      </x:c>
      <x:c r="O337" s="31" t="str">
        <x:v>UNRESOLVED</x:v>
      </x:c>
      <x:c r="P337" s="19" t="str">
        <x:v>Fear of Temperature_ Stratified Lexical Expansion, Voice Mapping, and Semantic-Relational Pre-Valida.pdf</x:v>
      </x:c>
      <x:c r="Q337" s="31" t="str">
        <x:v>RECONSTRUCTED_FROM_REPORT</x:v>
      </x:c>
      <x:c r="R337" s="43" t="str">
        <x:v>New surrogate project ID assigned from the compact report table; never an original later-stage structured candidate ID.</x:v>
      </x:c>
    </x:row>
    <x:row r="338" ht="30" customHeight="1">
      <x:c r="A338" s="40" t="str">
        <x:v>FT-SEED-R1B-P-2022-04</x:v>
      </x:c>
      <x:c r="B338" s="19" t="str">
        <x:v>PRIORITY_180</x:v>
      </x:c>
      <x:c r="C338" s="31" t="str">
        <x:v>NOT_EXPOSED_IN_REPORT</x:v>
      </x:c>
      <x:c r="D338" s="31" t="str">
        <x:v>12</x:v>
      </x:c>
      <x:c r="E338" s="19" t="str">
        <x:v>FT-A2022</x:v>
      </x:c>
      <x:c r="F338" s="31" t="str">
        <x:v>somewhat worried</x:v>
      </x:c>
      <x:c r="G338" s="19" t="str">
        <x:v>C</x:v>
      </x:c>
      <x:c r="H338" s="19" t="str">
        <x:v>V5</x:v>
      </x:c>
      <x:c r="I338" s="31" t="str">
        <x:v>S2022-YALE-INT</x:v>
      </x:c>
      <x:c r="J338" s="19" t="str">
        <x:v>NOT_EXPOSED_IN_REPORT</x:v>
      </x:c>
      <x:c r="K338" s="19" t="str">
        <x:v>PRIORITY_RANK=4;ORIGINAL_ROW_CONFIDENCE_NOT_EXPOSED</x:v>
      </x:c>
      <x:c r="L338" s="19" t="str">
        <x:v>NOT_EXPOSED_IN_REPORT</x:v>
      </x:c>
      <x:c r="M338" s="19" t="str">
        <x:v>PRIORITY_RANK_04</x:v>
      </x:c>
      <x:c r="N338" s="31" t="str">
        <x:v>RECONSTRUCTED_FROM_REPORT</x:v>
      </x:c>
      <x:c r="O338" s="31" t="str">
        <x:v>UNRESOLVED</x:v>
      </x:c>
      <x:c r="P338" s="19" t="str">
        <x:v>Fear of Temperature_ Stratified Lexical Expansion, Voice Mapping, and Semantic-Relational Pre-Valida.pdf</x:v>
      </x:c>
      <x:c r="Q338" s="31" t="str">
        <x:v>RECONSTRUCTED_FROM_REPORT</x:v>
      </x:c>
      <x:c r="R338" s="43" t="str">
        <x:v>New surrogate project ID assigned from the compact report table; never an original later-stage structured candidate ID.</x:v>
      </x:c>
    </x:row>
    <x:row r="339" ht="30" customHeight="1">
      <x:c r="A339" s="40" t="str">
        <x:v>FT-SEED-R1B-P-2022-05</x:v>
      </x:c>
      <x:c r="B339" s="19" t="str">
        <x:v>PRIORITY_180</x:v>
      </x:c>
      <x:c r="C339" s="31" t="str">
        <x:v>NOT_EXPOSED_IN_REPORT</x:v>
      </x:c>
      <x:c r="D339" s="31" t="str">
        <x:v>12</x:v>
      </x:c>
      <x:c r="E339" s="19" t="str">
        <x:v>FT-A2022</x:v>
      </x:c>
      <x:c r="F339" s="31" t="str">
        <x:v>afraid</x:v>
      </x:c>
      <x:c r="G339" s="19" t="str">
        <x:v>C</x:v>
      </x:c>
      <x:c r="H339" s="19" t="str">
        <x:v>V5</x:v>
      </x:c>
      <x:c r="I339" s="31" t="str">
        <x:v>S2022-YALE-US</x:v>
      </x:c>
      <x:c r="J339" s="19" t="str">
        <x:v>NOT_EXPOSED_IN_REPORT</x:v>
      </x:c>
      <x:c r="K339" s="19" t="str">
        <x:v>PRIORITY_RANK=5;ORIGINAL_ROW_CONFIDENCE_NOT_EXPOSED</x:v>
      </x:c>
      <x:c r="L339" s="19" t="str">
        <x:v>NOT_EXPOSED_IN_REPORT</x:v>
      </x:c>
      <x:c r="M339" s="19" t="str">
        <x:v>PRIORITY_RANK_05</x:v>
      </x:c>
      <x:c r="N339" s="31" t="str">
        <x:v>RECONSTRUCTED_FROM_REPORT</x:v>
      </x:c>
      <x:c r="O339" s="31" t="str">
        <x:v>UNRESOLVED</x:v>
      </x:c>
      <x:c r="P339" s="19" t="str">
        <x:v>Fear of Temperature_ Stratified Lexical Expansion, Voice Mapping, and Semantic-Relational Pre-Valida.pdf</x:v>
      </x:c>
      <x:c r="Q339" s="31" t="str">
        <x:v>RECONSTRUCTED_FROM_REPORT</x:v>
      </x:c>
      <x:c r="R339" s="43" t="str">
        <x:v>New surrogate project ID assigned from the compact report table; never an original later-stage structured candidate ID.</x:v>
      </x:c>
    </x:row>
    <x:row r="340" ht="30" customHeight="1">
      <x:c r="A340" s="40" t="str">
        <x:v>FT-SEED-R1B-P-2022-06</x:v>
      </x:c>
      <x:c r="B340" s="19" t="str">
        <x:v>PRIORITY_180</x:v>
      </x:c>
      <x:c r="C340" s="31" t="str">
        <x:v>NOT_EXPOSED_IN_REPORT</x:v>
      </x:c>
      <x:c r="D340" s="31" t="str">
        <x:v>12</x:v>
      </x:c>
      <x:c r="E340" s="19" t="str">
        <x:v>FT-A2022</x:v>
      </x:c>
      <x:c r="F340" s="31" t="str">
        <x:v>anxious</x:v>
      </x:c>
      <x:c r="G340" s="19" t="str">
        <x:v>C</x:v>
      </x:c>
      <x:c r="H340" s="19" t="str">
        <x:v>V5</x:v>
      </x:c>
      <x:c r="I340" s="31" t="str">
        <x:v>S2022-YALE-US</x:v>
      </x:c>
      <x:c r="J340" s="19" t="str">
        <x:v>NOT_EXPOSED_IN_REPORT</x:v>
      </x:c>
      <x:c r="K340" s="19" t="str">
        <x:v>PRIORITY_RANK=6;ORIGINAL_ROW_CONFIDENCE_NOT_EXPOSED</x:v>
      </x:c>
      <x:c r="L340" s="19" t="str">
        <x:v>NOT_EXPOSED_IN_REPORT</x:v>
      </x:c>
      <x:c r="M340" s="19" t="str">
        <x:v>PRIORITY_RANK_06</x:v>
      </x:c>
      <x:c r="N340" s="31" t="str">
        <x:v>RECONSTRUCTED_FROM_REPORT</x:v>
      </x:c>
      <x:c r="O340" s="31" t="str">
        <x:v>UNRESOLVED</x:v>
      </x:c>
      <x:c r="P340" s="19" t="str">
        <x:v>Fear of Temperature_ Stratified Lexical Expansion, Voice Mapping, and Semantic-Relational Pre-Valida.pdf</x:v>
      </x:c>
      <x:c r="Q340" s="31" t="str">
        <x:v>RECONSTRUCTED_FROM_REPORT</x:v>
      </x:c>
      <x:c r="R340" s="43" t="str">
        <x:v>New surrogate project ID assigned from the compact report table; never an original later-stage structured candidate ID.</x:v>
      </x:c>
    </x:row>
    <x:row r="341" ht="30" customHeight="1">
      <x:c r="A341" s="40" t="str">
        <x:v>FT-SEED-R1B-P-2022-07</x:v>
      </x:c>
      <x:c r="B341" s="19" t="str">
        <x:v>PRIORITY_180</x:v>
      </x:c>
      <x:c r="C341" s="31" t="str">
        <x:v>NOT_EXPOSED_IN_REPORT</x:v>
      </x:c>
      <x:c r="D341" s="31" t="str">
        <x:v>12</x:v>
      </x:c>
      <x:c r="E341" s="19" t="str">
        <x:v>FT-A2022</x:v>
      </x:c>
      <x:c r="F341" s="31" t="str">
        <x:v>hopeless</x:v>
      </x:c>
      <x:c r="G341" s="19" t="str">
        <x:v>C</x:v>
      </x:c>
      <x:c r="H341" s="19" t="str">
        <x:v>V5</x:v>
      </x:c>
      <x:c r="I341" s="31" t="str">
        <x:v>S2022-YALE-US</x:v>
      </x:c>
      <x:c r="J341" s="19" t="str">
        <x:v>NOT_EXPOSED_IN_REPORT</x:v>
      </x:c>
      <x:c r="K341" s="19" t="str">
        <x:v>PRIORITY_RANK=7;ORIGINAL_ROW_CONFIDENCE_NOT_EXPOSED</x:v>
      </x:c>
      <x:c r="L341" s="19" t="str">
        <x:v>NOT_EXPOSED_IN_REPORT</x:v>
      </x:c>
      <x:c r="M341" s="19" t="str">
        <x:v>PRIORITY_RANK_07</x:v>
      </x:c>
      <x:c r="N341" s="31" t="str">
        <x:v>RECONSTRUCTED_FROM_REPORT</x:v>
      </x:c>
      <x:c r="O341" s="31" t="str">
        <x:v>UNRESOLVED</x:v>
      </x:c>
      <x:c r="P341" s="19" t="str">
        <x:v>Fear of Temperature_ Stratified Lexical Expansion, Voice Mapping, and Semantic-Relational Pre-Valida.pdf</x:v>
      </x:c>
      <x:c r="Q341" s="31" t="str">
        <x:v>RECONSTRUCTED_FROM_REPORT</x:v>
      </x:c>
      <x:c r="R341" s="43" t="str">
        <x:v>New surrogate project ID assigned from the compact report table; never an original later-stage structured candidate ID.</x:v>
      </x:c>
    </x:row>
    <x:row r="342" ht="30" customHeight="1">
      <x:c r="A342" s="40" t="str">
        <x:v>FT-SEED-R1B-P-2022-08</x:v>
      </x:c>
      <x:c r="B342" s="19" t="str">
        <x:v>PRIORITY_180</x:v>
      </x:c>
      <x:c r="C342" s="31" t="str">
        <x:v>NOT_EXPOSED_IN_REPORT</x:v>
      </x:c>
      <x:c r="D342" s="31" t="str">
        <x:v>12</x:v>
      </x:c>
      <x:c r="E342" s="19" t="str">
        <x:v>FT-A2022</x:v>
      </x:c>
      <x:c r="F342" s="31" t="str">
        <x:v>sad</x:v>
      </x:c>
      <x:c r="G342" s="19" t="str">
        <x:v>C</x:v>
      </x:c>
      <x:c r="H342" s="19" t="str">
        <x:v>V5</x:v>
      </x:c>
      <x:c r="I342" s="31" t="str">
        <x:v>S2022-YALE-US</x:v>
      </x:c>
      <x:c r="J342" s="19" t="str">
        <x:v>NOT_EXPOSED_IN_REPORT</x:v>
      </x:c>
      <x:c r="K342" s="19" t="str">
        <x:v>PRIORITY_RANK=8;ORIGINAL_ROW_CONFIDENCE_NOT_EXPOSED</x:v>
      </x:c>
      <x:c r="L342" s="19" t="str">
        <x:v>NOT_EXPOSED_IN_REPORT</x:v>
      </x:c>
      <x:c r="M342" s="19" t="str">
        <x:v>PRIORITY_RANK_08</x:v>
      </x:c>
      <x:c r="N342" s="31" t="str">
        <x:v>RECONSTRUCTED_FROM_REPORT</x:v>
      </x:c>
      <x:c r="O342" s="31" t="str">
        <x:v>UNRESOLVED</x:v>
      </x:c>
      <x:c r="P342" s="19" t="str">
        <x:v>Fear of Temperature_ Stratified Lexical Expansion, Voice Mapping, and Semantic-Relational Pre-Valida.pdf</x:v>
      </x:c>
      <x:c r="Q342" s="31" t="str">
        <x:v>RECONSTRUCTED_FROM_REPORT</x:v>
      </x:c>
      <x:c r="R342" s="43" t="str">
        <x:v>New surrogate project ID assigned from the compact report table; never an original later-stage structured candidate ID.</x:v>
      </x:c>
    </x:row>
    <x:row r="343" ht="30" customHeight="1">
      <x:c r="A343" s="40" t="str">
        <x:v>FT-SEED-R1B-P-2022-11</x:v>
      </x:c>
      <x:c r="B343" s="19" t="str">
        <x:v>PRIORITY_180</x:v>
      </x:c>
      <x:c r="C343" s="31" t="str">
        <x:v>NOT_EXPOSED_IN_REPORT</x:v>
      </x:c>
      <x:c r="D343" s="31" t="str">
        <x:v>12</x:v>
      </x:c>
      <x:c r="E343" s="19" t="str">
        <x:v>FT-A2022</x:v>
      </x:c>
      <x:c r="F343" s="31" t="str">
        <x:v>hopeful</x:v>
      </x:c>
      <x:c r="G343" s="19" t="str">
        <x:v>C</x:v>
      </x:c>
      <x:c r="H343" s="19" t="str">
        <x:v>V5</x:v>
      </x:c>
      <x:c r="I343" s="31" t="str">
        <x:v>S2022-YALE-US</x:v>
      </x:c>
      <x:c r="J343" s="19" t="str">
        <x:v>NOT_EXPOSED_IN_REPORT</x:v>
      </x:c>
      <x:c r="K343" s="19" t="str">
        <x:v>PRIORITY_RANK=11;ORIGINAL_ROW_CONFIDENCE_NOT_EXPOSED</x:v>
      </x:c>
      <x:c r="L343" s="19" t="str">
        <x:v>NOT_EXPOSED_IN_REPORT</x:v>
      </x:c>
      <x:c r="M343" s="19" t="str">
        <x:v>PRIORITY_RANK_11</x:v>
      </x:c>
      <x:c r="N343" s="31" t="str">
        <x:v>RECONSTRUCTED_FROM_REPORT</x:v>
      </x:c>
      <x:c r="O343" s="31" t="str">
        <x:v>UNRESOLVED</x:v>
      </x:c>
      <x:c r="P343" s="19" t="str">
        <x:v>Fear of Temperature_ Stratified Lexical Expansion, Voice Mapping, and Semantic-Relational Pre-Valida.pdf</x:v>
      </x:c>
      <x:c r="Q343" s="31" t="str">
        <x:v>RECONSTRUCTED_FROM_REPORT</x:v>
      </x:c>
      <x:c r="R343" s="43" t="str">
        <x:v>New surrogate project ID assigned from the compact report table; never an original later-stage structured candidate ID.</x:v>
      </x:c>
    </x:row>
    <x:row r="344" ht="30" customHeight="1">
      <x:c r="A344" s="40" t="str">
        <x:v>FT-SEED-R1B-P-2022-12</x:v>
      </x:c>
      <x:c r="B344" s="19" t="str">
        <x:v>PRIORITY_180</x:v>
      </x:c>
      <x:c r="C344" s="31" t="str">
        <x:v>NOT_EXPOSED_IN_REPORT</x:v>
      </x:c>
      <x:c r="D344" s="31" t="str">
        <x:v>12</x:v>
      </x:c>
      <x:c r="E344" s="19" t="str">
        <x:v>FT-A2022</x:v>
      </x:c>
      <x:c r="F344" s="31" t="str">
        <x:v>disgusted</x:v>
      </x:c>
      <x:c r="G344" s="19" t="str">
        <x:v>C</x:v>
      </x:c>
      <x:c r="H344" s="19" t="str">
        <x:v>V5</x:v>
      </x:c>
      <x:c r="I344" s="31" t="str">
        <x:v>S2022-YALE-US</x:v>
      </x:c>
      <x:c r="J344" s="19" t="str">
        <x:v>NOT_EXPOSED_IN_REPORT</x:v>
      </x:c>
      <x:c r="K344" s="19" t="str">
        <x:v>PRIORITY_RANK=12;ORIGINAL_ROW_CONFIDENCE_NOT_EXPOSED</x:v>
      </x:c>
      <x:c r="L344" s="19" t="str">
        <x:v>NOT_EXPOSED_IN_REPORT</x:v>
      </x:c>
      <x:c r="M344" s="19" t="str">
        <x:v>PRIORITY_RANK_12</x:v>
      </x:c>
      <x:c r="N344" s="31" t="str">
        <x:v>RECONSTRUCTED_FROM_REPORT</x:v>
      </x:c>
      <x:c r="O344" s="31" t="str">
        <x:v>UNRESOLVED</x:v>
      </x:c>
      <x:c r="P344" s="19" t="str">
        <x:v>Fear of Temperature_ Stratified Lexical Expansion, Voice Mapping, and Semantic-Relational Pre-Valida.pdf</x:v>
      </x:c>
      <x:c r="Q344" s="31" t="str">
        <x:v>RECONSTRUCTED_FROM_REPORT</x:v>
      </x:c>
      <x:c r="R344" s="43" t="str">
        <x:v>New surrogate project ID assigned from the compact report table; never an original later-stage structured candidate ID.</x:v>
      </x:c>
    </x:row>
    <x:row r="345" ht="30" customHeight="1">
      <x:c r="A345" s="40" t="str">
        <x:v>FT-SEED-R1B-P-2022-13</x:v>
      </x:c>
      <x:c r="B345" s="19" t="str">
        <x:v>PRIORITY_180</x:v>
      </x:c>
      <x:c r="C345" s="31" t="str">
        <x:v>NOT_EXPOSED_IN_REPORT</x:v>
      </x:c>
      <x:c r="D345" s="31" t="str">
        <x:v>12</x:v>
      </x:c>
      <x:c r="E345" s="19" t="str">
        <x:v>FT-A2022</x:v>
      </x:c>
      <x:c r="F345" s="31" t="str">
        <x:v>outraged</x:v>
      </x:c>
      <x:c r="G345" s="19" t="str">
        <x:v>C</x:v>
      </x:c>
      <x:c r="H345" s="19" t="str">
        <x:v>V5</x:v>
      </x:c>
      <x:c r="I345" s="31" t="str">
        <x:v>S2022-YALE-US</x:v>
      </x:c>
      <x:c r="J345" s="19" t="str">
        <x:v>NOT_EXPOSED_IN_REPORT</x:v>
      </x:c>
      <x:c r="K345" s="19" t="str">
        <x:v>PRIORITY_RANK=13;ORIGINAL_ROW_CONFIDENCE_NOT_EXPOSED</x:v>
      </x:c>
      <x:c r="L345" s="19" t="str">
        <x:v>NOT_EXPOSED_IN_REPORT</x:v>
      </x:c>
      <x:c r="M345" s="19" t="str">
        <x:v>PRIORITY_RANK_13</x:v>
      </x:c>
      <x:c r="N345" s="31" t="str">
        <x:v>RECONSTRUCTED_FROM_REPORT</x:v>
      </x:c>
      <x:c r="O345" s="31" t="str">
        <x:v>UNRESOLVED</x:v>
      </x:c>
      <x:c r="P345" s="19" t="str">
        <x:v>Fear of Temperature_ Stratified Lexical Expansion, Voice Mapping, and Semantic-Relational Pre-Valida.pdf</x:v>
      </x:c>
      <x:c r="Q345" s="31" t="str">
        <x:v>RECONSTRUCTED_FROM_REPORT</x:v>
      </x:c>
      <x:c r="R345" s="43" t="str">
        <x:v>New surrogate project ID assigned from the compact report table; never an original later-stage structured candidate ID.</x:v>
      </x:c>
    </x:row>
    <x:row r="346" ht="30" customHeight="1">
      <x:c r="A346" s="40" t="str">
        <x:v>FT-SEED-R1B-P-2022-14</x:v>
      </x:c>
      <x:c r="B346" s="19" t="str">
        <x:v>PRIORITY_180</x:v>
      </x:c>
      <x:c r="C346" s="31" t="str">
        <x:v>NOT_EXPOSED_IN_REPORT</x:v>
      </x:c>
      <x:c r="D346" s="31" t="str">
        <x:v>12</x:v>
      </x:c>
      <x:c r="E346" s="19" t="str">
        <x:v>FT-A2022</x:v>
      </x:c>
      <x:c r="F346" s="31" t="str">
        <x:v>depressed</x:v>
      </x:c>
      <x:c r="G346" s="19" t="str">
        <x:v>C</x:v>
      </x:c>
      <x:c r="H346" s="19" t="str">
        <x:v>V5</x:v>
      </x:c>
      <x:c r="I346" s="31" t="str">
        <x:v>S2022-YALE-US</x:v>
      </x:c>
      <x:c r="J346" s="19" t="str">
        <x:v>NOT_EXPOSED_IN_REPORT</x:v>
      </x:c>
      <x:c r="K346" s="19" t="str">
        <x:v>PRIORITY_RANK=14;ORIGINAL_ROW_CONFIDENCE_NOT_EXPOSED</x:v>
      </x:c>
      <x:c r="L346" s="19" t="str">
        <x:v>NOT_EXPOSED_IN_REPORT</x:v>
      </x:c>
      <x:c r="M346" s="19" t="str">
        <x:v>PRIORITY_RANK_14</x:v>
      </x:c>
      <x:c r="N346" s="31" t="str">
        <x:v>RECONSTRUCTED_FROM_REPORT</x:v>
      </x:c>
      <x:c r="O346" s="31" t="str">
        <x:v>UNRESOLVED</x:v>
      </x:c>
      <x:c r="P346" s="19" t="str">
        <x:v>Fear of Temperature_ Stratified Lexical Expansion, Voice Mapping, and Semantic-Relational Pre-Valida.pdf</x:v>
      </x:c>
      <x:c r="Q346" s="31" t="str">
        <x:v>RECONSTRUCTED_FROM_REPORT</x:v>
      </x:c>
      <x:c r="R346" s="43" t="str">
        <x:v>New surrogate project ID assigned from the compact report table; never an original later-stage structured candidate ID.</x:v>
      </x:c>
    </x:row>
    <x:row r="347" ht="30" customHeight="1">
      <x:c r="A347" s="40" t="str">
        <x:v>FT-SEED-R1B-P-2022-15</x:v>
      </x:c>
      <x:c r="B347" s="19" t="str">
        <x:v>PRIORITY_180</x:v>
      </x:c>
      <x:c r="C347" s="31" t="str">
        <x:v>NOT_EXPOSED_IN_REPORT</x:v>
      </x:c>
      <x:c r="D347" s="31" t="str">
        <x:v>12</x:v>
      </x:c>
      <x:c r="E347" s="19" t="str">
        <x:v>FT-A2022</x:v>
      </x:c>
      <x:c r="F347" s="31" t="str">
        <x:v>symptoms of anxiety</x:v>
      </x:c>
      <x:c r="G347" s="19" t="str">
        <x:v>C</x:v>
      </x:c>
      <x:c r="H347" s="19" t="str">
        <x:v>V5</x:v>
      </x:c>
      <x:c r="I347" s="31" t="str">
        <x:v>S2022-YALE-US</x:v>
      </x:c>
      <x:c r="J347" s="19" t="str">
        <x:v>NOT_EXPOSED_IN_REPORT</x:v>
      </x:c>
      <x:c r="K347" s="19" t="str">
        <x:v>PRIORITY_RANK=15;ORIGINAL_ROW_CONFIDENCE_NOT_EXPOSED</x:v>
      </x:c>
      <x:c r="L347" s="19" t="str">
        <x:v>NOT_EXPOSED_IN_REPORT</x:v>
      </x:c>
      <x:c r="M347" s="19" t="str">
        <x:v>PRIORITY_RANK_15</x:v>
      </x:c>
      <x:c r="N347" s="31" t="str">
        <x:v>RECONSTRUCTED_FROM_REPORT</x:v>
      </x:c>
      <x:c r="O347" s="31" t="str">
        <x:v>UNRESOLVED</x:v>
      </x:c>
      <x:c r="P347" s="19" t="str">
        <x:v>Fear of Temperature_ Stratified Lexical Expansion, Voice Mapping, and Semantic-Relational Pre-Valida.pdf</x:v>
      </x:c>
      <x:c r="Q347" s="31" t="str">
        <x:v>RECONSTRUCTED_FROM_REPORT</x:v>
      </x:c>
      <x:c r="R347" s="43" t="str">
        <x:v>New surrogate project ID assigned from the compact report table; never an original later-stage structured candidate ID.</x:v>
      </x:c>
    </x:row>
    <x:row r="348" ht="30" customHeight="1">
      <x:c r="A348" s="40" t="str">
        <x:v>FT-SEED-R1B-P-2022-16</x:v>
      </x:c>
      <x:c r="B348" s="19" t="str">
        <x:v>PRIORITY_180</x:v>
      </x:c>
      <x:c r="C348" s="31" t="str">
        <x:v>NOT_EXPOSED_IN_REPORT</x:v>
      </x:c>
      <x:c r="D348" s="31" t="str">
        <x:v>12</x:v>
      </x:c>
      <x:c r="E348" s="19" t="str">
        <x:v>FT-A2022</x:v>
      </x:c>
      <x:c r="F348" s="31" t="str">
        <x:v>climate anxiety</x:v>
      </x:c>
      <x:c r="G348" s="19" t="str">
        <x:v>C</x:v>
      </x:c>
      <x:c r="H348" s="19" t="str">
        <x:v>V1</x:v>
      </x:c>
      <x:c r="I348" s="31" t="str">
        <x:v>S2022-NATURE</x:v>
      </x:c>
      <x:c r="J348" s="19" t="str">
        <x:v>E4</x:v>
      </x:c>
      <x:c r="K348" s="19" t="str">
        <x:v>PRIORITY_RANK=16;ORIGINAL_ROW_CONFIDENCE_NOT_EXPOSED</x:v>
      </x:c>
      <x:c r="L348" s="19" t="str">
        <x:v>NOT_EXPOSED_IN_REPORT</x:v>
      </x:c>
      <x:c r="M348" s="19" t="str">
        <x:v>PRIORITY_RANK_16</x:v>
      </x:c>
      <x:c r="N348" s="31" t="str">
        <x:v>RECONSTRUCTED_FROM_REPORT</x:v>
      </x:c>
      <x:c r="O348" s="31" t="str">
        <x:v>UNRESOLVED</x:v>
      </x:c>
      <x:c r="P348" s="19" t="str">
        <x:v>Fear of Temperature_ Stratified Lexical Expansion, Voice Mapping, and Semantic-Relational Pre-Valida.pdf</x:v>
      </x:c>
      <x:c r="Q348" s="31" t="str">
        <x:v>RECONSTRUCTED_FROM_REPORT</x:v>
      </x:c>
      <x:c r="R348" s="43" t="str">
        <x:v>New surrogate project ID assigned from the compact report table; never an original later-stage structured candidate ID.</x:v>
      </x:c>
    </x:row>
    <x:row r="349" ht="30" customHeight="1">
      <x:c r="A349" s="40" t="str">
        <x:v>FT-SEED-R1B-P-2022-17</x:v>
      </x:c>
      <x:c r="B349" s="19" t="str">
        <x:v>PRIORITY_180</x:v>
      </x:c>
      <x:c r="C349" s="31" t="str">
        <x:v>NOT_EXPOSED_IN_REPORT</x:v>
      </x:c>
      <x:c r="D349" s="31" t="str">
        <x:v>12</x:v>
      </x:c>
      <x:c r="E349" s="19" t="str">
        <x:v>FT-A2022</x:v>
      </x:c>
      <x:c r="F349" s="31" t="str">
        <x:v>eco-anxiety</x:v>
      </x:c>
      <x:c r="G349" s="19" t="str">
        <x:v>C</x:v>
      </x:c>
      <x:c r="H349" s="19" t="str">
        <x:v>V1</x:v>
      </x:c>
      <x:c r="I349" s="31" t="str">
        <x:v>S2022-REHLING</x:v>
      </x:c>
      <x:c r="J349" s="19" t="str">
        <x:v>NOT_EXPOSED_IN_REPORT</x:v>
      </x:c>
      <x:c r="K349" s="19" t="str">
        <x:v>PRIORITY_RANK=17;ORIGINAL_ROW_CONFIDENCE_NOT_EXPOSED</x:v>
      </x:c>
      <x:c r="L349" s="19" t="str">
        <x:v>NOT_EXPOSED_IN_REPORT</x:v>
      </x:c>
      <x:c r="M349" s="19" t="str">
        <x:v>PRIORITY_RANK_17</x:v>
      </x:c>
      <x:c r="N349" s="31" t="str">
        <x:v>RECONSTRUCTED_FROM_REPORT</x:v>
      </x:c>
      <x:c r="O349" s="31" t="str">
        <x:v>UNRESOLVED</x:v>
      </x:c>
      <x:c r="P349" s="19" t="str">
        <x:v>Fear of Temperature_ Stratified Lexical Expansion, Voice Mapping, and Semantic-Relational Pre-Valida.pdf</x:v>
      </x:c>
      <x:c r="Q349" s="31" t="str">
        <x:v>RECONSTRUCTED_FROM_REPORT</x:v>
      </x:c>
      <x:c r="R349" s="43" t="str">
        <x:v>New surrogate project ID assigned from the compact report table; never an original later-stage structured candidate ID.</x:v>
      </x:c>
    </x:row>
    <x:row r="350" ht="30" customHeight="1">
      <x:c r="A350" s="40" t="str">
        <x:v>FT-SEED-R1B-P-2022-18</x:v>
      </x:c>
      <x:c r="B350" s="19" t="str">
        <x:v>PRIORITY_180</x:v>
      </x:c>
      <x:c r="C350" s="31" t="str">
        <x:v>NOT_EXPOSED_IN_REPORT</x:v>
      </x:c>
      <x:c r="D350" s="31" t="str">
        <x:v>12</x:v>
      </x:c>
      <x:c r="E350" s="19" t="str">
        <x:v>FT-A2022</x:v>
      </x:c>
      <x:c r="F350" s="31" t="str">
        <x:v>psychological distress</x:v>
      </x:c>
      <x:c r="G350" s="19" t="str">
        <x:v>C</x:v>
      </x:c>
      <x:c r="H350" s="19" t="str">
        <x:v>V1</x:v>
      </x:c>
      <x:c r="I350" s="31" t="str">
        <x:v>S2022-ANU</x:v>
      </x:c>
      <x:c r="J350" s="19" t="str">
        <x:v>NOT_EXPOSED_IN_REPORT</x:v>
      </x:c>
      <x:c r="K350" s="19" t="str">
        <x:v>PRIORITY_RANK=18;ORIGINAL_ROW_CONFIDENCE_NOT_EXPOSED</x:v>
      </x:c>
      <x:c r="L350" s="19" t="str">
        <x:v>NOT_EXPOSED_IN_REPORT</x:v>
      </x:c>
      <x:c r="M350" s="19" t="str">
        <x:v>PRIORITY_RANK_18</x:v>
      </x:c>
      <x:c r="N350" s="31" t="str">
        <x:v>RECONSTRUCTED_FROM_REPORT</x:v>
      </x:c>
      <x:c r="O350" s="31" t="str">
        <x:v>UNRESOLVED</x:v>
      </x:c>
      <x:c r="P350" s="19" t="str">
        <x:v>Fear of Temperature_ Stratified Lexical Expansion, Voice Mapping, and Semantic-Relational Pre-Valida.pdf</x:v>
      </x:c>
      <x:c r="Q350" s="31" t="str">
        <x:v>RECONSTRUCTED_FROM_REPORT</x:v>
      </x:c>
      <x:c r="R350" s="43" t="str">
        <x:v>New surrogate project ID assigned from the compact report table; never an original later-stage structured candidate ID.</x:v>
      </x:c>
    </x:row>
    <x:row r="351" ht="30" customHeight="1">
      <x:c r="A351" s="40" t="str">
        <x:v>FT-SEED-R1B-P-2022-21</x:v>
      </x:c>
      <x:c r="B351" s="19" t="str">
        <x:v>PRIORITY_180</x:v>
      </x:c>
      <x:c r="C351" s="31" t="str">
        <x:v>NOT_EXPOSED_IN_REPORT</x:v>
      </x:c>
      <x:c r="D351" s="31" t="str">
        <x:v>12</x:v>
      </x:c>
      <x:c r="E351" s="19" t="str">
        <x:v>FT-A2022</x:v>
      </x:c>
      <x:c r="F351" s="31" t="str">
        <x:v>guilt</x:v>
      </x:c>
      <x:c r="G351" s="19" t="str">
        <x:v>C</x:v>
      </x:c>
      <x:c r="H351" s="19" t="str">
        <x:v>V1</x:v>
      </x:c>
      <x:c r="I351" s="31" t="str">
        <x:v>S2022-REHLING</x:v>
      </x:c>
      <x:c r="J351" s="19" t="str">
        <x:v>NOT_EXPOSED_IN_REPORT</x:v>
      </x:c>
      <x:c r="K351" s="19" t="str">
        <x:v>PRIORITY_RANK=21;ORIGINAL_ROW_CONFIDENCE_NOT_EXPOSED</x:v>
      </x:c>
      <x:c r="L351" s="19" t="str">
        <x:v>NOT_EXPOSED_IN_REPORT</x:v>
      </x:c>
      <x:c r="M351" s="19" t="str">
        <x:v>PRIORITY_RANK_21</x:v>
      </x:c>
      <x:c r="N351" s="31" t="str">
        <x:v>RECONSTRUCTED_FROM_REPORT</x:v>
      </x:c>
      <x:c r="O351" s="31" t="str">
        <x:v>UNRESOLVED</x:v>
      </x:c>
      <x:c r="P351" s="19" t="str">
        <x:v>Fear of Temperature_ Stratified Lexical Expansion, Voice Mapping, and Semantic-Relational Pre-Valida.pdf</x:v>
      </x:c>
      <x:c r="Q351" s="31" t="str">
        <x:v>RECONSTRUCTED_FROM_REPORT</x:v>
      </x:c>
      <x:c r="R351" s="43" t="str">
        <x:v>New surrogate project ID assigned from the compact report table; never an original later-stage structured candidate ID.</x:v>
      </x:c>
    </x:row>
    <x:row r="352" ht="30" customHeight="1">
      <x:c r="A352" s="40" t="str">
        <x:v>FT-SEED-R1B-P-2022-22</x:v>
      </x:c>
      <x:c r="B352" s="19" t="str">
        <x:v>PRIORITY_180</x:v>
      </x:c>
      <x:c r="C352" s="31" t="str">
        <x:v>NOT_EXPOSED_IN_REPORT</x:v>
      </x:c>
      <x:c r="D352" s="31" t="str">
        <x:v>12</x:v>
      </x:c>
      <x:c r="E352" s="19" t="str">
        <x:v>FT-A2022</x:v>
      </x:c>
      <x:c r="F352" s="31" t="str">
        <x:v>heatwaves</x:v>
      </x:c>
      <x:c r="G352" s="19" t="str">
        <x:v>A</x:v>
      </x:c>
      <x:c r="H352" s="19" t="str">
        <x:v>V1</x:v>
      </x:c>
      <x:c r="I352" s="31" t="str">
        <x:v>S2022-IPCC</x:v>
      </x:c>
      <x:c r="J352" s="19" t="str">
        <x:v>NOT_EXPOSED_IN_REPORT</x:v>
      </x:c>
      <x:c r="K352" s="19" t="str">
        <x:v>PRIORITY_RANK=22;ORIGINAL_ROW_CONFIDENCE_NOT_EXPOSED</x:v>
      </x:c>
      <x:c r="L352" s="19" t="str">
        <x:v>NOT_EXPOSED_IN_REPORT</x:v>
      </x:c>
      <x:c r="M352" s="19" t="str">
        <x:v>PRIORITY_RANK_22</x:v>
      </x:c>
      <x:c r="N352" s="31" t="str">
        <x:v>RECONSTRUCTED_FROM_REPORT</x:v>
      </x:c>
      <x:c r="O352" s="31" t="str">
        <x:v>UNRESOLVED</x:v>
      </x:c>
      <x:c r="P352" s="19" t="str">
        <x:v>Fear of Temperature_ Stratified Lexical Expansion, Voice Mapping, and Semantic-Relational Pre-Valida.pdf</x:v>
      </x:c>
      <x:c r="Q352" s="31" t="str">
        <x:v>RECONSTRUCTED_FROM_REPORT</x:v>
      </x:c>
      <x:c r="R352" s="43" t="str">
        <x:v>New surrogate project ID assigned from the compact report table; never an original later-stage structured candidate ID.</x:v>
      </x:c>
    </x:row>
    <x:row r="353" ht="30" customHeight="1">
      <x:c r="A353" s="40" t="str">
        <x:v>FT-SEED-R1B-P-2022-23</x:v>
      </x:c>
      <x:c r="B353" s="19" t="str">
        <x:v>PRIORITY_180</x:v>
      </x:c>
      <x:c r="C353" s="31" t="str">
        <x:v>NOT_EXPOSED_IN_REPORT</x:v>
      </x:c>
      <x:c r="D353" s="31" t="str">
        <x:v>12</x:v>
      </x:c>
      <x:c r="E353" s="19" t="str">
        <x:v>FT-A2022</x:v>
      </x:c>
      <x:c r="F353" s="31" t="str">
        <x:v>heat-related mortality</x:v>
      </x:c>
      <x:c r="G353" s="19" t="str">
        <x:v>D</x:v>
      </x:c>
      <x:c r="H353" s="19" t="str">
        <x:v>V1</x:v>
      </x:c>
      <x:c r="I353" s="31" t="str">
        <x:v>S2022-IPCC</x:v>
      </x:c>
      <x:c r="J353" s="19" t="str">
        <x:v>NOT_EXPOSED_IN_REPORT</x:v>
      </x:c>
      <x:c r="K353" s="19" t="str">
        <x:v>PRIORITY_RANK=23;ORIGINAL_ROW_CONFIDENCE_NOT_EXPOSED</x:v>
      </x:c>
      <x:c r="L353" s="19" t="str">
        <x:v>NOT_EXPOSED_IN_REPORT</x:v>
      </x:c>
      <x:c r="M353" s="19" t="str">
        <x:v>PRIORITY_RANK_23</x:v>
      </x:c>
      <x:c r="N353" s="31" t="str">
        <x:v>RECONSTRUCTED_FROM_REPORT</x:v>
      </x:c>
      <x:c r="O353" s="31" t="str">
        <x:v>UNRESOLVED</x:v>
      </x:c>
      <x:c r="P353" s="19" t="str">
        <x:v>Fear of Temperature_ Stratified Lexical Expansion, Voice Mapping, and Semantic-Relational Pre-Valida.pdf</x:v>
      </x:c>
      <x:c r="Q353" s="31" t="str">
        <x:v>RECONSTRUCTED_FROM_REPORT</x:v>
      </x:c>
      <x:c r="R353" s="43" t="str">
        <x:v>New surrogate project ID assigned from the compact report table; never an original later-stage structured candidate ID.</x:v>
      </x:c>
    </x:row>
    <x:row r="354" ht="30" customHeight="1">
      <x:c r="A354" s="40" t="str">
        <x:v>FT-SEED-R1B-P-2022-24</x:v>
      </x:c>
      <x:c r="B354" s="19" t="str">
        <x:v>PRIORITY_180</x:v>
      </x:c>
      <x:c r="C354" s="31" t="str">
        <x:v>NOT_EXPOSED_IN_REPORT</x:v>
      </x:c>
      <x:c r="D354" s="31" t="str">
        <x:v>12</x:v>
      </x:c>
      <x:c r="E354" s="19" t="str">
        <x:v>FT-A2022</x:v>
      </x:c>
      <x:c r="F354" s="31" t="str">
        <x:v>mental health challenges</x:v>
      </x:c>
      <x:c r="G354" s="19" t="str">
        <x:v>D</x:v>
      </x:c>
      <x:c r="H354" s="19" t="str">
        <x:v>V1</x:v>
      </x:c>
      <x:c r="I354" s="31" t="str">
        <x:v>S2022-IPCC</x:v>
      </x:c>
      <x:c r="J354" s="19" t="str">
        <x:v>NOT_EXPOSED_IN_REPORT</x:v>
      </x:c>
      <x:c r="K354" s="19" t="str">
        <x:v>PRIORITY_RANK=24;ORIGINAL_ROW_CONFIDENCE_NOT_EXPOSED</x:v>
      </x:c>
      <x:c r="L354" s="19" t="str">
        <x:v>NOT_EXPOSED_IN_REPORT</x:v>
      </x:c>
      <x:c r="M354" s="19" t="str">
        <x:v>PRIORITY_RANK_24</x:v>
      </x:c>
      <x:c r="N354" s="31" t="str">
        <x:v>RECONSTRUCTED_FROM_REPORT</x:v>
      </x:c>
      <x:c r="O354" s="31" t="str">
        <x:v>UNRESOLVED</x:v>
      </x:c>
      <x:c r="P354" s="19" t="str">
        <x:v>Fear of Temperature_ Stratified Lexical Expansion, Voice Mapping, and Semantic-Relational Pre-Valida.pdf</x:v>
      </x:c>
      <x:c r="Q354" s="31" t="str">
        <x:v>RECONSTRUCTED_FROM_REPORT</x:v>
      </x:c>
      <x:c r="R354" s="43" t="str">
        <x:v>New surrogate project ID assigned from the compact report table; never an original later-stage structured candidate ID.</x:v>
      </x:c>
    </x:row>
    <x:row r="355" ht="30" customHeight="1">
      <x:c r="A355" s="40" t="str">
        <x:v>FT-SEED-R1B-P-2022-25</x:v>
      </x:c>
      <x:c r="B355" s="19" t="str">
        <x:v>PRIORITY_180</x:v>
      </x:c>
      <x:c r="C355" s="31" t="str">
        <x:v>NOT_EXPOSED_IN_REPORT</x:v>
      </x:c>
      <x:c r="D355" s="31" t="str">
        <x:v>12</x:v>
      </x:c>
      <x:c r="E355" s="19" t="str">
        <x:v>FT-A2022</x:v>
      </x:c>
      <x:c r="F355" s="31" t="str">
        <x:v>anxiety and stress</x:v>
      </x:c>
      <x:c r="G355" s="19" t="str">
        <x:v>C</x:v>
      </x:c>
      <x:c r="H355" s="19" t="str">
        <x:v>V1</x:v>
      </x:c>
      <x:c r="I355" s="31" t="str">
        <x:v>S2022-IPCC</x:v>
      </x:c>
      <x:c r="J355" s="19" t="str">
        <x:v>NOT_EXPOSED_IN_REPORT</x:v>
      </x:c>
      <x:c r="K355" s="19" t="str">
        <x:v>PRIORITY_RANK=25;ORIGINAL_ROW_CONFIDENCE_NOT_EXPOSED</x:v>
      </x:c>
      <x:c r="L355" s="19" t="str">
        <x:v>NOT_EXPOSED_IN_REPORT</x:v>
      </x:c>
      <x:c r="M355" s="19" t="str">
        <x:v>PRIORITY_RANK_25</x:v>
      </x:c>
      <x:c r="N355" s="31" t="str">
        <x:v>RECONSTRUCTED_FROM_REPORT</x:v>
      </x:c>
      <x:c r="O355" s="31" t="str">
        <x:v>UNRESOLVED</x:v>
      </x:c>
      <x:c r="P355" s="19" t="str">
        <x:v>Fear of Temperature_ Stratified Lexical Expansion, Voice Mapping, and Semantic-Relational Pre-Valida.pdf</x:v>
      </x:c>
      <x:c r="Q355" s="31" t="str">
        <x:v>RECONSTRUCTED_FROM_REPORT</x:v>
      </x:c>
      <x:c r="R355" s="43" t="str">
        <x:v>New surrogate project ID assigned from the compact report table; never an original later-stage structured candidate ID.</x:v>
      </x:c>
    </x:row>
    <x:row r="356" ht="30" customHeight="1">
      <x:c r="A356" s="40" t="str">
        <x:v>FT-SEED-R1B-P-2022-26</x:v>
      </x:c>
      <x:c r="B356" s="19" t="str">
        <x:v>PRIORITY_180</x:v>
      </x:c>
      <x:c r="C356" s="31" t="str">
        <x:v>NOT_EXPOSED_IN_REPORT</x:v>
      </x:c>
      <x:c r="D356" s="31" t="str">
        <x:v>12</x:v>
      </x:c>
      <x:c r="E356" s="19" t="str">
        <x:v>FT-A2022</x:v>
      </x:c>
      <x:c r="F356" s="31" t="str">
        <x:v>ill health</x:v>
      </x:c>
      <x:c r="G356" s="19" t="str">
        <x:v>D</x:v>
      </x:c>
      <x:c r="H356" s="19" t="str">
        <x:v>V1</x:v>
      </x:c>
      <x:c r="I356" s="31" t="str">
        <x:v>S2022-IPCC</x:v>
      </x:c>
      <x:c r="J356" s="19" t="str">
        <x:v>NOT_EXPOSED_IN_REPORT</x:v>
      </x:c>
      <x:c r="K356" s="19" t="str">
        <x:v>PRIORITY_RANK=26;ORIGINAL_ROW_CONFIDENCE_NOT_EXPOSED</x:v>
      </x:c>
      <x:c r="L356" s="19" t="str">
        <x:v>NOT_EXPOSED_IN_REPORT</x:v>
      </x:c>
      <x:c r="M356" s="19" t="str">
        <x:v>PRIORITY_RANK_26</x:v>
      </x:c>
      <x:c r="N356" s="31" t="str">
        <x:v>RECONSTRUCTED_FROM_REPORT</x:v>
      </x:c>
      <x:c r="O356" s="31" t="str">
        <x:v>UNRESOLVED</x:v>
      </x:c>
      <x:c r="P356" s="19" t="str">
        <x:v>Fear of Temperature_ Stratified Lexical Expansion, Voice Mapping, and Semantic-Relational Pre-Valida.pdf</x:v>
      </x:c>
      <x:c r="Q356" s="31" t="str">
        <x:v>RECONSTRUCTED_FROM_REPORT</x:v>
      </x:c>
      <x:c r="R356" s="43" t="str">
        <x:v>New surrogate project ID assigned from the compact report table; never an original later-stage structured candidate ID.</x:v>
      </x:c>
    </x:row>
    <x:row r="357" ht="30" customHeight="1">
      <x:c r="A357" s="40" t="str">
        <x:v>FT-SEED-R1B-P-2022-27</x:v>
      </x:c>
      <x:c r="B357" s="19" t="str">
        <x:v>PRIORITY_180</x:v>
      </x:c>
      <x:c r="C357" s="31" t="str">
        <x:v>NOT_EXPOSED_IN_REPORT</x:v>
      </x:c>
      <x:c r="D357" s="31" t="str">
        <x:v>12</x:v>
      </x:c>
      <x:c r="E357" s="19" t="str">
        <x:v>FT-A2022</x:v>
      </x:c>
      <x:c r="F357" s="31" t="str">
        <x:v>premature deaths</x:v>
      </x:c>
      <x:c r="G357" s="19" t="str">
        <x:v>D</x:v>
      </x:c>
      <x:c r="H357" s="19" t="str">
        <x:v>V1</x:v>
      </x:c>
      <x:c r="I357" s="31" t="str">
        <x:v>S2022-IPCC</x:v>
      </x:c>
      <x:c r="J357" s="19" t="str">
        <x:v>NOT_EXPOSED_IN_REPORT</x:v>
      </x:c>
      <x:c r="K357" s="19" t="str">
        <x:v>PRIORITY_RANK=27;ORIGINAL_ROW_CONFIDENCE_NOT_EXPOSED</x:v>
      </x:c>
      <x:c r="L357" s="19" t="str">
        <x:v>NOT_EXPOSED_IN_REPORT</x:v>
      </x:c>
      <x:c r="M357" s="19" t="str">
        <x:v>PRIORITY_RANK_27</x:v>
      </x:c>
      <x:c r="N357" s="31" t="str">
        <x:v>RECONSTRUCTED_FROM_REPORT</x:v>
      </x:c>
      <x:c r="O357" s="31" t="str">
        <x:v>UNRESOLVED</x:v>
      </x:c>
      <x:c r="P357" s="19" t="str">
        <x:v>Fear of Temperature_ Stratified Lexical Expansion, Voice Mapping, and Semantic-Relational Pre-Valida.pdf</x:v>
      </x:c>
      <x:c r="Q357" s="31" t="str">
        <x:v>RECONSTRUCTED_FROM_REPORT</x:v>
      </x:c>
      <x:c r="R357" s="43" t="str">
        <x:v>New surrogate project ID assigned from the compact report table; never an original later-stage structured candidate ID.</x:v>
      </x:c>
    </x:row>
    <x:row r="358" ht="30" customHeight="1">
      <x:c r="A358" s="40" t="str">
        <x:v>FT-SEED-R1B-P-2022-28</x:v>
      </x:c>
      <x:c r="B358" s="19" t="str">
        <x:v>PRIORITY_180</x:v>
      </x:c>
      <x:c r="C358" s="31" t="str">
        <x:v>NOT_EXPOSED_IN_REPORT</x:v>
      </x:c>
      <x:c r="D358" s="31" t="str">
        <x:v>12</x:v>
      </x:c>
      <x:c r="E358" s="19" t="str">
        <x:v>FT-A2022</x:v>
      </x:c>
      <x:c r="F358" s="31" t="str">
        <x:v>very serious threat</x:v>
      </x:c>
      <x:c r="G358" s="19" t="str">
        <x:v>D</x:v>
      </x:c>
      <x:c r="H358" s="19" t="str">
        <x:v>V5</x:v>
      </x:c>
      <x:c r="I358" s="31" t="str">
        <x:v>S2022-YALE-INT</x:v>
      </x:c>
      <x:c r="J358" s="19" t="str">
        <x:v>NOT_EXPOSED_IN_REPORT</x:v>
      </x:c>
      <x:c r="K358" s="19" t="str">
        <x:v>PRIORITY_RANK=28;ORIGINAL_ROW_CONFIDENCE_NOT_EXPOSED</x:v>
      </x:c>
      <x:c r="L358" s="19" t="str">
        <x:v>NOT_EXPOSED_IN_REPORT</x:v>
      </x:c>
      <x:c r="M358" s="19" t="str">
        <x:v>PRIORITY_RANK_28</x:v>
      </x:c>
      <x:c r="N358" s="31" t="str">
        <x:v>RECONSTRUCTED_FROM_REPORT</x:v>
      </x:c>
      <x:c r="O358" s="31" t="str">
        <x:v>UNRESOLVED</x:v>
      </x:c>
      <x:c r="P358" s="19" t="str">
        <x:v>Fear of Temperature_ Stratified Lexical Expansion, Voice Mapping, and Semantic-Relational Pre-Valida.pdf</x:v>
      </x:c>
      <x:c r="Q358" s="31" t="str">
        <x:v>RECONSTRUCTED_FROM_REPORT</x:v>
      </x:c>
      <x:c r="R358" s="43" t="str">
        <x:v>New surrogate project ID assigned from the compact report table; never an original later-stage structured candidate ID.</x:v>
      </x:c>
    </x:row>
    <x:row r="359" ht="30" customHeight="1">
      <x:c r="A359" s="40" t="str">
        <x:v>FT-SEED-R1B-P-2022-09</x:v>
      </x:c>
      <x:c r="B359" s="19" t="str">
        <x:v>PRIORITY_180</x:v>
      </x:c>
      <x:c r="C359" s="31" t="str">
        <x:v>NOT_EXPOSED_IN_REPORT</x:v>
      </x:c>
      <x:c r="D359" s="31" t="str">
        <x:v>13</x:v>
      </x:c>
      <x:c r="E359" s="19" t="str">
        <x:v>FT-A2022</x:v>
      </x:c>
      <x:c r="F359" s="31" t="str">
        <x:v>angry</x:v>
      </x:c>
      <x:c r="G359" s="19" t="str">
        <x:v>C</x:v>
      </x:c>
      <x:c r="H359" s="19" t="str">
        <x:v>V5</x:v>
      </x:c>
      <x:c r="I359" s="31" t="str">
        <x:v>S2022-YALE-US</x:v>
      </x:c>
      <x:c r="J359" s="19" t="str">
        <x:v>NOT_EXPOSED_IN_REPORT</x:v>
      </x:c>
      <x:c r="K359" s="19" t="str">
        <x:v>PRIORITY_RANK=9;ORIGINAL_ROW_CONFIDENCE_NOT_EXPOSED</x:v>
      </x:c>
      <x:c r="L359" s="19" t="str">
        <x:v>NOT_EXPOSED_IN_REPORT</x:v>
      </x:c>
      <x:c r="M359" s="19" t="str">
        <x:v>PRIORITY_RANK_09</x:v>
      </x:c>
      <x:c r="N359" s="31" t="str">
        <x:v>RECONSTRUCTED_FROM_REPORT</x:v>
      </x:c>
      <x:c r="O359" s="31" t="str">
        <x:v>UNRESOLVED</x:v>
      </x:c>
      <x:c r="P359" s="19" t="str">
        <x:v>Fear of Temperature_ Stratified Lexical Expansion, Voice Mapping, and Semantic-Relational Pre-Valida.pdf</x:v>
      </x:c>
      <x:c r="Q359" s="31" t="str">
        <x:v>RECONSTRUCTED_FROM_REPORT</x:v>
      </x:c>
      <x:c r="R359" s="43" t="str">
        <x:v>New surrogate project ID assigned from the compact report table; never an original later-stage structured candidate ID.</x:v>
      </x:c>
    </x:row>
    <x:row r="360" ht="30" customHeight="1">
      <x:c r="A360" s="40" t="str">
        <x:v>FT-SEED-R1B-P-2022-10</x:v>
      </x:c>
      <x:c r="B360" s="19" t="str">
        <x:v>PRIORITY_180</x:v>
      </x:c>
      <x:c r="C360" s="31" t="str">
        <x:v>NOT_EXPOSED_IN_REPORT</x:v>
      </x:c>
      <x:c r="D360" s="31" t="str">
        <x:v>13</x:v>
      </x:c>
      <x:c r="E360" s="19" t="str">
        <x:v>FT-A2022</x:v>
      </x:c>
      <x:c r="F360" s="31" t="str">
        <x:v>frustrated</x:v>
      </x:c>
      <x:c r="G360" s="19" t="str">
        <x:v>C</x:v>
      </x:c>
      <x:c r="H360" s="19" t="str">
        <x:v>V5</x:v>
      </x:c>
      <x:c r="I360" s="31" t="str">
        <x:v>S2022-YALE-US</x:v>
      </x:c>
      <x:c r="J360" s="19" t="str">
        <x:v>NOT_EXPOSED_IN_REPORT</x:v>
      </x:c>
      <x:c r="K360" s="19" t="str">
        <x:v>PRIORITY_RANK=10;ORIGINAL_ROW_CONFIDENCE_NOT_EXPOSED</x:v>
      </x:c>
      <x:c r="L360" s="19" t="str">
        <x:v>NOT_EXPOSED_IN_REPORT</x:v>
      </x:c>
      <x:c r="M360" s="19" t="str">
        <x:v>PRIORITY_RANK_10</x:v>
      </x:c>
      <x:c r="N360" s="31" t="str">
        <x:v>RECONSTRUCTED_FROM_REPORT</x:v>
      </x:c>
      <x:c r="O360" s="31" t="str">
        <x:v>UNRESOLVED</x:v>
      </x:c>
      <x:c r="P360" s="19" t="str">
        <x:v>Fear of Temperature_ Stratified Lexical Expansion, Voice Mapping, and Semantic-Relational Pre-Valida.pdf</x:v>
      </x:c>
      <x:c r="Q360" s="31" t="str">
        <x:v>RECONSTRUCTED_FROM_REPORT</x:v>
      </x:c>
      <x:c r="R360" s="43" t="str">
        <x:v>New surrogate project ID assigned from the compact report table; never an original later-stage structured candidate ID.</x:v>
      </x:c>
    </x:row>
    <x:row r="361" ht="30" customHeight="1">
      <x:c r="A361" s="40" t="str">
        <x:v>FT-SEED-R1B-P-2022-19</x:v>
      </x:c>
      <x:c r="B361" s="19" t="str">
        <x:v>PRIORITY_180</x:v>
      </x:c>
      <x:c r="C361" s="31" t="str">
        <x:v>NOT_EXPOSED_IN_REPORT</x:v>
      </x:c>
      <x:c r="D361" s="31" t="str">
        <x:v>13</x:v>
      </x:c>
      <x:c r="E361" s="19" t="str">
        <x:v>FT-A2022</x:v>
      </x:c>
      <x:c r="F361" s="31" t="str">
        <x:v>distress</x:v>
      </x:c>
      <x:c r="G361" s="19" t="str">
        <x:v>C</x:v>
      </x:c>
      <x:c r="H361" s="19" t="str">
        <x:v>V1</x:v>
      </x:c>
      <x:c r="I361" s="31" t="str">
        <x:v>S2022-REHLING</x:v>
      </x:c>
      <x:c r="J361" s="19" t="str">
        <x:v>NOT_EXPOSED_IN_REPORT</x:v>
      </x:c>
      <x:c r="K361" s="19" t="str">
        <x:v>PRIORITY_RANK=19;ORIGINAL_ROW_CONFIDENCE_NOT_EXPOSED</x:v>
      </x:c>
      <x:c r="L361" s="19" t="str">
        <x:v>NOT_EXPOSED_IN_REPORT</x:v>
      </x:c>
      <x:c r="M361" s="19" t="str">
        <x:v>PRIORITY_RANK_19</x:v>
      </x:c>
      <x:c r="N361" s="31" t="str">
        <x:v>RECONSTRUCTED_FROM_REPORT</x:v>
      </x:c>
      <x:c r="O361" s="31" t="str">
        <x:v>UNRESOLVED</x:v>
      </x:c>
      <x:c r="P361" s="19" t="str">
        <x:v>Fear of Temperature_ Stratified Lexical Expansion, Voice Mapping, and Semantic-Relational Pre-Valida.pdf</x:v>
      </x:c>
      <x:c r="Q361" s="31" t="str">
        <x:v>RECONSTRUCTED_FROM_REPORT</x:v>
      </x:c>
      <x:c r="R361" s="43" t="str">
        <x:v>New surrogate project ID assigned from the compact report table; never an original later-stage structured candidate ID.</x:v>
      </x:c>
    </x:row>
    <x:row r="362" ht="30" customHeight="1">
      <x:c r="A362" s="40" t="str">
        <x:v>FT-SEED-R1B-P-2022-20</x:v>
      </x:c>
      <x:c r="B362" s="19" t="str">
        <x:v>PRIORITY_180</x:v>
      </x:c>
      <x:c r="C362" s="31" t="str">
        <x:v>NOT_EXPOSED_IN_REPORT</x:v>
      </x:c>
      <x:c r="D362" s="31" t="str">
        <x:v>13</x:v>
      </x:c>
      <x:c r="E362" s="19" t="str">
        <x:v>FT-A2022</x:v>
      </x:c>
      <x:c r="F362" s="31" t="str">
        <x:v>powerlessness</x:v>
      </x:c>
      <x:c r="G362" s="19" t="str">
        <x:v>C</x:v>
      </x:c>
      <x:c r="H362" s="19" t="str">
        <x:v>V1</x:v>
      </x:c>
      <x:c r="I362" s="31" t="str">
        <x:v>S2022-REHLING</x:v>
      </x:c>
      <x:c r="J362" s="19" t="str">
        <x:v>NOT_EXPOSED_IN_REPORT</x:v>
      </x:c>
      <x:c r="K362" s="19" t="str">
        <x:v>PRIORITY_RANK=20;ORIGINAL_ROW_CONFIDENCE_NOT_EXPOSED</x:v>
      </x:c>
      <x:c r="L362" s="19" t="str">
        <x:v>NOT_EXPOSED_IN_REPORT</x:v>
      </x:c>
      <x:c r="M362" s="19" t="str">
        <x:v>PRIORITY_RANK_20</x:v>
      </x:c>
      <x:c r="N362" s="31" t="str">
        <x:v>RECONSTRUCTED_FROM_REPORT</x:v>
      </x:c>
      <x:c r="O362" s="31" t="str">
        <x:v>UNRESOLVED</x:v>
      </x:c>
      <x:c r="P362" s="19" t="str">
        <x:v>Fear of Temperature_ Stratified Lexical Expansion, Voice Mapping, and Semantic-Relational Pre-Valida.pdf</x:v>
      </x:c>
      <x:c r="Q362" s="31" t="str">
        <x:v>RECONSTRUCTED_FROM_REPORT</x:v>
      </x:c>
      <x:c r="R362" s="43" t="str">
        <x:v>New surrogate project ID assigned from the compact report table; never an original later-stage structured candidate ID.</x:v>
      </x:c>
    </x:row>
    <x:row r="363" ht="30" customHeight="1">
      <x:c r="A363" s="40" t="str">
        <x:v>FT-SEED-R1B-P-2022-29</x:v>
      </x:c>
      <x:c r="B363" s="19" t="str">
        <x:v>PRIORITY_180</x:v>
      </x:c>
      <x:c r="C363" s="31" t="str">
        <x:v>NOT_EXPOSED_IN_REPORT</x:v>
      </x:c>
      <x:c r="D363" s="31" t="str">
        <x:v>13</x:v>
      </x:c>
      <x:c r="E363" s="19" t="str">
        <x:v>FT-A2022</x:v>
      </x:c>
      <x:c r="F363" s="31" t="str">
        <x:v>harm future generations</x:v>
      </x:c>
      <x:c r="G363" s="19" t="str">
        <x:v>D</x:v>
      </x:c>
      <x:c r="H363" s="19" t="str">
        <x:v>V5</x:v>
      </x:c>
      <x:c r="I363" s="31" t="str">
        <x:v>S2022-YALE-INT</x:v>
      </x:c>
      <x:c r="J363" s="19" t="str">
        <x:v>NOT_EXPOSED_IN_REPORT</x:v>
      </x:c>
      <x:c r="K363" s="19" t="str">
        <x:v>PRIORITY_RANK=29;ORIGINAL_ROW_CONFIDENCE_NOT_EXPOSED</x:v>
      </x:c>
      <x:c r="L363" s="19" t="str">
        <x:v>NOT_EXPOSED_IN_REPORT</x:v>
      </x:c>
      <x:c r="M363" s="19" t="str">
        <x:v>PRIORITY_RANK_29</x:v>
      </x:c>
      <x:c r="N363" s="31" t="str">
        <x:v>RECONSTRUCTED_FROM_REPORT</x:v>
      </x:c>
      <x:c r="O363" s="31" t="str">
        <x:v>UNRESOLVED</x:v>
      </x:c>
      <x:c r="P363" s="19" t="str">
        <x:v>Fear of Temperature_ Stratified Lexical Expansion, Voice Mapping, and Semantic-Relational Pre-Valida.pdf</x:v>
      </x:c>
      <x:c r="Q363" s="31" t="str">
        <x:v>RECONSTRUCTED_FROM_REPORT</x:v>
      </x:c>
      <x:c r="R363" s="43" t="str">
        <x:v>New surrogate project ID assigned from the compact report table; never an original later-stage structured candidate ID.</x:v>
      </x:c>
    </x:row>
    <x:row r="364" ht="30" customHeight="1">
      <x:c r="A364" s="40" t="str">
        <x:v>FT-SEED-R1B-P-2022-30</x:v>
      </x:c>
      <x:c r="B364" s="19" t="str">
        <x:v>PRIORITY_180</x:v>
      </x:c>
      <x:c r="C364" s="31" t="str">
        <x:v>NOT_EXPOSED_IN_REPORT</x:v>
      </x:c>
      <x:c r="D364" s="31" t="str">
        <x:v>13</x:v>
      </x:c>
      <x:c r="E364" s="19" t="str">
        <x:v>FT-A2022</x:v>
      </x:c>
      <x:c r="F364" s="31" t="str">
        <x:v>climate crisis</x:v>
      </x:c>
      <x:c r="G364" s="19" t="str">
        <x:v>D</x:v>
      </x:c>
      <x:c r="H364" s="19" t="str">
        <x:v>V4</x:v>
      </x:c>
      <x:c r="I364" s="31" t="str">
        <x:v>S2022-XR</x:v>
      </x:c>
      <x:c r="J364" s="19" t="str">
        <x:v>NOT_EXPOSED_IN_REPORT</x:v>
      </x:c>
      <x:c r="K364" s="19" t="str">
        <x:v>PRIORITY_RANK=30;ORIGINAL_ROW_CONFIDENCE_NOT_EXPOSED</x:v>
      </x:c>
      <x:c r="L364" s="19" t="str">
        <x:v>NOT_EXPOSED_IN_REPORT</x:v>
      </x:c>
      <x:c r="M364" s="19" t="str">
        <x:v>PRIORITY_RANK_30</x:v>
      </x:c>
      <x:c r="N364" s="31" t="str">
        <x:v>RECONSTRUCTED_FROM_REPORT</x:v>
      </x:c>
      <x:c r="O364" s="31" t="str">
        <x:v>UNRESOLVED</x:v>
      </x:c>
      <x:c r="P364" s="19" t="str">
        <x:v>Fear of Temperature_ Stratified Lexical Expansion, Voice Mapping, and Semantic-Relational Pre-Valida.pdf</x:v>
      </x:c>
      <x:c r="Q364" s="31" t="str">
        <x:v>RECONSTRUCTED_FROM_REPORT</x:v>
      </x:c>
      <x:c r="R364" s="43" t="str">
        <x:v>New surrogate project ID assigned from the compact report table; never an original later-stage structured candidate ID.</x:v>
      </x:c>
    </x:row>
    <x:row r="365" ht="30" customHeight="1">
      <x:c r="A365" s="40" t="str">
        <x:v>FT-SEED-R1B-X-1842-01</x:v>
      </x:c>
      <x:c r="B365" s="19" t="str">
        <x:v>EXPANSION_36</x:v>
      </x:c>
      <x:c r="C365" s="31" t="str">
        <x:v>NOT_EXPOSED_IN_REPORT</x:v>
      </x:c>
      <x:c r="D365" s="31" t="str">
        <x:v>7</x:v>
      </x:c>
      <x:c r="E365" s="19" t="str">
        <x:v>FT-A1842</x:v>
      </x:c>
      <x:c r="F365" s="31" t="str">
        <x:v>the heat is remarkable</x:v>
      </x:c>
      <x:c r="G365" s="19" t="str">
        <x:v>A</x:v>
      </x:c>
      <x:c r="H365" s="19" t="str">
        <x:v>NOT_EXPOSED_IN_REPORT</x:v>
      </x:c>
      <x:c r="I365" s="31" t="str">
        <x:v>NOT_EXPOSED_IN_REPORT</x:v>
      </x:c>
      <x:c r="J365" s="19" t="str">
        <x:v>NOT_EXPOSED_IN_REPORT</x:v>
      </x:c>
      <x:c r="K365" s="19" t="str">
        <x:v>EXPANSION_ORDER=1;ORIGINAL_ROW_METADATA_NOT_EXPOSED</x:v>
      </x:c>
      <x:c r="L365" s="19" t="str">
        <x:v>NOT_EXPOSED_IN_REPORT</x:v>
      </x:c>
      <x:c r="M365" s="19" t="str">
        <x:v>EXPANSION_ORDER_01</x:v>
      </x:c>
      <x:c r="N365" s="31" t="str">
        <x:v>RECONSTRUCTED_FROM_REPORT</x:v>
      </x:c>
      <x:c r="O365" s="31" t="str">
        <x:v>UNRESOLVED</x:v>
      </x:c>
      <x:c r="P365" s="19" t="str">
        <x:v>Fear of Temperature_ Stratified Lexical Expansion, Voice Mapping, and Semantic-Relational Pre-Valida.pdf</x:v>
      </x:c>
      <x:c r="Q365" s="31" t="str">
        <x:v>RECONSTRUCTED_FROM_REPORT</x:v>
      </x:c>
      <x:c r="R365" s="43" t="str">
        <x:v>New surrogate project ID assigned from the report's narrative Expansion list; original structured row identity and per-row voice/source metadata were unavailable.</x:v>
      </x:c>
    </x:row>
    <x:row r="366" ht="30" customHeight="1">
      <x:c r="A366" s="40" t="str">
        <x:v>FT-SEED-R1B-X-1842-02</x:v>
      </x:c>
      <x:c r="B366" s="19" t="str">
        <x:v>EXPANSION_36</x:v>
      </x:c>
      <x:c r="C366" s="31" t="str">
        <x:v>NOT_EXPOSED_IN_REPORT</x:v>
      </x:c>
      <x:c r="D366" s="31" t="str">
        <x:v>7</x:v>
      </x:c>
      <x:c r="E366" s="19" t="str">
        <x:v>FT-A1842</x:v>
      </x:c>
      <x:c r="F366" s="31" t="str">
        <x:v>92° in the shade</x:v>
      </x:c>
      <x:c r="G366" s="19" t="str">
        <x:v>A</x:v>
      </x:c>
      <x:c r="H366" s="19" t="str">
        <x:v>NOT_EXPOSED_IN_REPORT</x:v>
      </x:c>
      <x:c r="I366" s="31" t="str">
        <x:v>NOT_EXPOSED_IN_REPORT</x:v>
      </x:c>
      <x:c r="J366" s="19" t="str">
        <x:v>NOT_EXPOSED_IN_REPORT</x:v>
      </x:c>
      <x:c r="K366" s="19" t="str">
        <x:v>EXPANSION_ORDER=2;ORIGINAL_ROW_METADATA_NOT_EXPOSED</x:v>
      </x:c>
      <x:c r="L366" s="19" t="str">
        <x:v>NOT_EXPOSED_IN_REPORT</x:v>
      </x:c>
      <x:c r="M366" s="19" t="str">
        <x:v>EXPANSION_ORDER_02</x:v>
      </x:c>
      <x:c r="N366" s="31" t="str">
        <x:v>RECONSTRUCTED_FROM_REPORT</x:v>
      </x:c>
      <x:c r="O366" s="31" t="str">
        <x:v>UNRESOLVED</x:v>
      </x:c>
      <x:c r="P366" s="19" t="str">
        <x:v>Fear of Temperature_ Stratified Lexical Expansion, Voice Mapping, and Semantic-Relational Pre-Valida.pdf</x:v>
      </x:c>
      <x:c r="Q366" s="31" t="str">
        <x:v>RECONSTRUCTED_FROM_REPORT</x:v>
      </x:c>
      <x:c r="R366" s="43" t="str">
        <x:v>New surrogate project ID assigned from the report's narrative Expansion list; original structured row identity and per-row voice/source metadata were unavailable.</x:v>
      </x:c>
    </x:row>
    <x:row r="367" ht="30" customHeight="1">
      <x:c r="A367" s="40" t="str">
        <x:v>FT-SEED-R1B-X-1842-03</x:v>
      </x:c>
      <x:c r="B367" s="19" t="str">
        <x:v>EXPANSION_36</x:v>
      </x:c>
      <x:c r="C367" s="31" t="str">
        <x:v>NOT_EXPOSED_IN_REPORT</x:v>
      </x:c>
      <x:c r="D367" s="31" t="str">
        <x:v>7</x:v>
      </x:c>
      <x:c r="E367" s="19" t="str">
        <x:v>FT-A1842</x:v>
      </x:c>
      <x:c r="F367" s="31" t="str">
        <x:v>80 yesterday in the shade</x:v>
      </x:c>
      <x:c r="G367" s="19" t="str">
        <x:v>A</x:v>
      </x:c>
      <x:c r="H367" s="19" t="str">
        <x:v>NOT_EXPOSED_IN_REPORT</x:v>
      </x:c>
      <x:c r="I367" s="31" t="str">
        <x:v>NOT_EXPOSED_IN_REPORT</x:v>
      </x:c>
      <x:c r="J367" s="19" t="str">
        <x:v>NOT_EXPOSED_IN_REPORT</x:v>
      </x:c>
      <x:c r="K367" s="19" t="str">
        <x:v>EXPANSION_ORDER=3;ORIGINAL_ROW_METADATA_NOT_EXPOSED</x:v>
      </x:c>
      <x:c r="L367" s="19" t="str">
        <x:v>NOT_EXPOSED_IN_REPORT</x:v>
      </x:c>
      <x:c r="M367" s="19" t="str">
        <x:v>EXPANSION_ORDER_03</x:v>
      </x:c>
      <x:c r="N367" s="31" t="str">
        <x:v>RECONSTRUCTED_FROM_REPORT</x:v>
      </x:c>
      <x:c r="O367" s="31" t="str">
        <x:v>UNRESOLVED</x:v>
      </x:c>
      <x:c r="P367" s="19" t="str">
        <x:v>Fear of Temperature_ Stratified Lexical Expansion, Voice Mapping, and Semantic-Relational Pre-Valida.pdf</x:v>
      </x:c>
      <x:c r="Q367" s="31" t="str">
        <x:v>RECONSTRUCTED_FROM_REPORT</x:v>
      </x:c>
      <x:c r="R367" s="43" t="str">
        <x:v>New surrogate project ID assigned from the report's narrative Expansion list; original structured row identity and per-row voice/source metadata were unavailable.</x:v>
      </x:c>
    </x:row>
    <x:row r="368" ht="30" customHeight="1">
      <x:c r="A368" s="40" t="str">
        <x:v>FT-SEED-R1B-X-1842-04</x:v>
      </x:c>
      <x:c r="B368" s="19" t="str">
        <x:v>EXPANSION_36</x:v>
      </x:c>
      <x:c r="C368" s="31" t="str">
        <x:v>NOT_EXPOSED_IN_REPORT</x:v>
      </x:c>
      <x:c r="D368" s="31" t="str">
        <x:v>7</x:v>
      </x:c>
      <x:c r="E368" s="19" t="str">
        <x:v>FT-A1842</x:v>
      </x:c>
      <x:c r="F368" s="31" t="str">
        <x:v>very depressing effect on the energies</x:v>
      </x:c>
      <x:c r="G368" s="19" t="str">
        <x:v>C</x:v>
      </x:c>
      <x:c r="H368" s="19" t="str">
        <x:v>NOT_EXPOSED_IN_REPORT</x:v>
      </x:c>
      <x:c r="I368" s="31" t="str">
        <x:v>NOT_EXPOSED_IN_REPORT</x:v>
      </x:c>
      <x:c r="J368" s="19" t="str">
        <x:v>NOT_EXPOSED_IN_REPORT</x:v>
      </x:c>
      <x:c r="K368" s="19" t="str">
        <x:v>EXPANSION_ORDER=4;ORIGINAL_ROW_METADATA_NOT_EXPOSED</x:v>
      </x:c>
      <x:c r="L368" s="19" t="str">
        <x:v>NOT_EXPOSED_IN_REPORT</x:v>
      </x:c>
      <x:c r="M368" s="19" t="str">
        <x:v>EXPANSION_ORDER_04</x:v>
      </x:c>
      <x:c r="N368" s="31" t="str">
        <x:v>RECONSTRUCTED_FROM_REPORT</x:v>
      </x:c>
      <x:c r="O368" s="31" t="str">
        <x:v>UNRESOLVED</x:v>
      </x:c>
      <x:c r="P368" s="19" t="str">
        <x:v>Fear of Temperature_ Stratified Lexical Expansion, Voice Mapping, and Semantic-Relational Pre-Valida.pdf</x:v>
      </x:c>
      <x:c r="Q368" s="31" t="str">
        <x:v>RECONSTRUCTED_FROM_REPORT</x:v>
      </x:c>
      <x:c r="R368" s="43" t="str">
        <x:v>New surrogate project ID assigned from the report's narrative Expansion list; original structured row identity and per-row voice/source metadata were unavailable.</x:v>
      </x:c>
    </x:row>
    <x:row r="369" ht="30" customHeight="1">
      <x:c r="A369" s="40" t="str">
        <x:v>FT-SEED-R1B-X-1842-05</x:v>
      </x:c>
      <x:c r="B369" s="19" t="str">
        <x:v>EXPANSION_36</x:v>
      </x:c>
      <x:c r="C369" s="31" t="str">
        <x:v>NOT_EXPOSED_IN_REPORT</x:v>
      </x:c>
      <x:c r="D369" s="31" t="str">
        <x:v>7</x:v>
      </x:c>
      <x:c r="E369" s="19" t="str">
        <x:v>FT-A1842</x:v>
      </x:c>
      <x:c r="F369" s="31" t="str">
        <x:v>fatal</x:v>
      </x:c>
      <x:c r="G369" s="19" t="str">
        <x:v>D</x:v>
      </x:c>
      <x:c r="H369" s="19" t="str">
        <x:v>NOT_EXPOSED_IN_REPORT</x:v>
      </x:c>
      <x:c r="I369" s="31" t="str">
        <x:v>NOT_EXPOSED_IN_REPORT</x:v>
      </x:c>
      <x:c r="J369" s="19" t="str">
        <x:v>NOT_EXPOSED_IN_REPORT</x:v>
      </x:c>
      <x:c r="K369" s="19" t="str">
        <x:v>EXPANSION_ORDER=5;ORIGINAL_ROW_METADATA_NOT_EXPOSED</x:v>
      </x:c>
      <x:c r="L369" s="19" t="str">
        <x:v>NOT_EXPOSED_IN_REPORT</x:v>
      </x:c>
      <x:c r="M369" s="19" t="str">
        <x:v>EXPANSION_ORDER_05</x:v>
      </x:c>
      <x:c r="N369" s="31" t="str">
        <x:v>RECONSTRUCTED_FROM_REPORT</x:v>
      </x:c>
      <x:c r="O369" s="31" t="str">
        <x:v>UNRESOLVED</x:v>
      </x:c>
      <x:c r="P369" s="19" t="str">
        <x:v>Fear of Temperature_ Stratified Lexical Expansion, Voice Mapping, and Semantic-Relational Pre-Valida.pdf</x:v>
      </x:c>
      <x:c r="Q369" s="31" t="str">
        <x:v>RECONSTRUCTED_FROM_REPORT</x:v>
      </x:c>
      <x:c r="R369" s="43" t="str">
        <x:v>New surrogate project ID assigned from the report's narrative Expansion list; original structured row identity and per-row voice/source metadata were unavailable.</x:v>
      </x:c>
    </x:row>
    <x:row r="370" ht="30" customHeight="1">
      <x:c r="A370" s="40" t="str">
        <x:v>FT-SEED-R1B-X-1842-06</x:v>
      </x:c>
      <x:c r="B370" s="19" t="str">
        <x:v>EXPANSION_36</x:v>
      </x:c>
      <x:c r="C370" s="31" t="str">
        <x:v>NOT_EXPOSED_IN_REPORT</x:v>
      </x:c>
      <x:c r="D370" s="31" t="str">
        <x:v>7</x:v>
      </x:c>
      <x:c r="E370" s="19" t="str">
        <x:v>FT-A1842</x:v>
      </x:c>
      <x:c r="F370" s="31" t="str">
        <x:v>mortality</x:v>
      </x:c>
      <x:c r="G370" s="19" t="str">
        <x:v>D</x:v>
      </x:c>
      <x:c r="H370" s="19" t="str">
        <x:v>NOT_EXPOSED_IN_REPORT</x:v>
      </x:c>
      <x:c r="I370" s="31" t="str">
        <x:v>NOT_EXPOSED_IN_REPORT</x:v>
      </x:c>
      <x:c r="J370" s="19" t="str">
        <x:v>NOT_EXPOSED_IN_REPORT</x:v>
      </x:c>
      <x:c r="K370" s="19" t="str">
        <x:v>EXPANSION_ORDER=6;ORIGINAL_ROW_METADATA_NOT_EXPOSED</x:v>
      </x:c>
      <x:c r="L370" s="19" t="str">
        <x:v>NOT_EXPOSED_IN_REPORT</x:v>
      </x:c>
      <x:c r="M370" s="19" t="str">
        <x:v>EXPANSION_ORDER_06</x:v>
      </x:c>
      <x:c r="N370" s="31" t="str">
        <x:v>RECONSTRUCTED_FROM_REPORT</x:v>
      </x:c>
      <x:c r="O370" s="31" t="str">
        <x:v>UNRESOLVED</x:v>
      </x:c>
      <x:c r="P370" s="19" t="str">
        <x:v>Fear of Temperature_ Stratified Lexical Expansion, Voice Mapping, and Semantic-Relational Pre-Valida.pdf</x:v>
      </x:c>
      <x:c r="Q370" s="31" t="str">
        <x:v>RECONSTRUCTED_FROM_REPORT</x:v>
      </x:c>
      <x:c r="R370" s="43" t="str">
        <x:v>New surrogate project ID assigned from the report's narrative Expansion list; original structured row identity and per-row voice/source metadata were unavailable.</x:v>
      </x:c>
    </x:row>
    <x:row r="371" ht="30" customHeight="1">
      <x:c r="A371" s="40" t="str">
        <x:v>FT-SEED-R1B-X-1938-01</x:v>
      </x:c>
      <x:c r="B371" s="19" t="str">
        <x:v>EXPANSION_36</x:v>
      </x:c>
      <x:c r="C371" s="31" t="str">
        <x:v>NOT_EXPOSED_IN_REPORT</x:v>
      </x:c>
      <x:c r="D371" s="31" t="str">
        <x:v>8</x:v>
      </x:c>
      <x:c r="E371" s="19" t="str">
        <x:v>FT-A1938</x:v>
      </x:c>
      <x:c r="F371" s="31" t="str">
        <x:v>blinding sun</x:v>
      </x:c>
      <x:c r="G371" s="19" t="str">
        <x:v>D</x:v>
      </x:c>
      <x:c r="H371" s="19" t="str">
        <x:v>NOT_EXPOSED_IN_REPORT</x:v>
      </x:c>
      <x:c r="I371" s="31" t="str">
        <x:v>NOT_EXPOSED_IN_REPORT</x:v>
      </x:c>
      <x:c r="J371" s="19" t="str">
        <x:v>NOT_EXPOSED_IN_REPORT</x:v>
      </x:c>
      <x:c r="K371" s="19" t="str">
        <x:v>EXPANSION_ORDER=1;ORIGINAL_ROW_METADATA_NOT_EXPOSED</x:v>
      </x:c>
      <x:c r="L371" s="19" t="str">
        <x:v>NOT_EXPOSED_IN_REPORT</x:v>
      </x:c>
      <x:c r="M371" s="19" t="str">
        <x:v>EXPANSION_ORDER_01</x:v>
      </x:c>
      <x:c r="N371" s="31" t="str">
        <x:v>RECONSTRUCTED_FROM_REPORT</x:v>
      </x:c>
      <x:c r="O371" s="31" t="str">
        <x:v>UNRESOLVED</x:v>
      </x:c>
      <x:c r="P371" s="19" t="str">
        <x:v>Fear of Temperature_ Stratified Lexical Expansion, Voice Mapping, and Semantic-Relational Pre-Valida.pdf</x:v>
      </x:c>
      <x:c r="Q371" s="31" t="str">
        <x:v>RECONSTRUCTED_FROM_REPORT</x:v>
      </x:c>
      <x:c r="R371" s="43" t="str">
        <x:v>New surrogate project ID assigned from the report's narrative Expansion list; original structured row identity and per-row voice/source metadata were unavailable.</x:v>
      </x:c>
    </x:row>
    <x:row r="372" ht="30" customHeight="1">
      <x:c r="A372" s="40" t="str">
        <x:v>FT-SEED-R1B-X-1938-02</x:v>
      </x:c>
      <x:c r="B372" s="19" t="str">
        <x:v>EXPANSION_36</x:v>
      </x:c>
      <x:c r="C372" s="31" t="str">
        <x:v>NOT_EXPOSED_IN_REPORT</x:v>
      </x:c>
      <x:c r="D372" s="31" t="str">
        <x:v>8</x:v>
      </x:c>
      <x:c r="E372" s="19" t="str">
        <x:v>FT-A1938</x:v>
      </x:c>
      <x:c r="F372" s="31" t="str">
        <x:v>choking death from thirst and starvation</x:v>
      </x:c>
      <x:c r="G372" s="19" t="str">
        <x:v>D</x:v>
      </x:c>
      <x:c r="H372" s="19" t="str">
        <x:v>NOT_EXPOSED_IN_REPORT</x:v>
      </x:c>
      <x:c r="I372" s="31" t="str">
        <x:v>NOT_EXPOSED_IN_REPORT</x:v>
      </x:c>
      <x:c r="J372" s="19" t="str">
        <x:v>NOT_EXPOSED_IN_REPORT</x:v>
      </x:c>
      <x:c r="K372" s="19" t="str">
        <x:v>EXPANSION_ORDER=2;ORIGINAL_ROW_METADATA_NOT_EXPOSED</x:v>
      </x:c>
      <x:c r="L372" s="19" t="str">
        <x:v>NOT_EXPOSED_IN_REPORT</x:v>
      </x:c>
      <x:c r="M372" s="19" t="str">
        <x:v>EXPANSION_ORDER_02</x:v>
      </x:c>
      <x:c r="N372" s="31" t="str">
        <x:v>RECONSTRUCTED_FROM_REPORT</x:v>
      </x:c>
      <x:c r="O372" s="31" t="str">
        <x:v>UNRESOLVED</x:v>
      </x:c>
      <x:c r="P372" s="19" t="str">
        <x:v>Fear of Temperature_ Stratified Lexical Expansion, Voice Mapping, and Semantic-Relational Pre-Valida.pdf</x:v>
      </x:c>
      <x:c r="Q372" s="31" t="str">
        <x:v>RECONSTRUCTED_FROM_REPORT</x:v>
      </x:c>
      <x:c r="R372" s="43" t="str">
        <x:v>New surrogate project ID assigned from the report's narrative Expansion list; original structured row identity and per-row voice/source metadata were unavailable.</x:v>
      </x:c>
    </x:row>
    <x:row r="373" ht="30" customHeight="1">
      <x:c r="A373" s="40" t="str">
        <x:v>FT-SEED-R1B-X-1938-03</x:v>
      </x:c>
      <x:c r="B373" s="19" t="str">
        <x:v>EXPANSION_36</x:v>
      </x:c>
      <x:c r="C373" s="31" t="str">
        <x:v>NOT_EXPOSED_IN_REPORT</x:v>
      </x:c>
      <x:c r="D373" s="31" t="str">
        <x:v>8</x:v>
      </x:c>
      <x:c r="E373" s="19" t="str">
        <x:v>FT-A1938</x:v>
      </x:c>
      <x:c r="F373" s="31" t="str">
        <x:v>birds dropped dead</x:v>
      </x:c>
      <x:c r="G373" s="19" t="str">
        <x:v>D</x:v>
      </x:c>
      <x:c r="H373" s="19" t="str">
        <x:v>NOT_EXPOSED_IN_REPORT</x:v>
      </x:c>
      <x:c r="I373" s="31" t="str">
        <x:v>NOT_EXPOSED_IN_REPORT</x:v>
      </x:c>
      <x:c r="J373" s="19" t="str">
        <x:v>NOT_EXPOSED_IN_REPORT</x:v>
      </x:c>
      <x:c r="K373" s="19" t="str">
        <x:v>EXPANSION_ORDER=3;ORIGINAL_ROW_METADATA_NOT_EXPOSED</x:v>
      </x:c>
      <x:c r="L373" s="19" t="str">
        <x:v>NOT_EXPOSED_IN_REPORT</x:v>
      </x:c>
      <x:c r="M373" s="19" t="str">
        <x:v>EXPANSION_ORDER_03</x:v>
      </x:c>
      <x:c r="N373" s="31" t="str">
        <x:v>RECONSTRUCTED_FROM_REPORT</x:v>
      </x:c>
      <x:c r="O373" s="31" t="str">
        <x:v>UNRESOLVED</x:v>
      </x:c>
      <x:c r="P373" s="19" t="str">
        <x:v>Fear of Temperature_ Stratified Lexical Expansion, Voice Mapping, and Semantic-Relational Pre-Valida.pdf</x:v>
      </x:c>
      <x:c r="Q373" s="31" t="str">
        <x:v>RECONSTRUCTED_FROM_REPORT</x:v>
      </x:c>
      <x:c r="R373" s="43" t="str">
        <x:v>New surrogate project ID assigned from the report's narrative Expansion list; original structured row identity and per-row voice/source metadata were unavailable.</x:v>
      </x:c>
    </x:row>
    <x:row r="374" ht="30" customHeight="1">
      <x:c r="A374" s="40" t="str">
        <x:v>FT-SEED-R1B-X-1938-04</x:v>
      </x:c>
      <x:c r="B374" s="19" t="str">
        <x:v>EXPANSION_36</x:v>
      </x:c>
      <x:c r="C374" s="31" t="str">
        <x:v>NOT_EXPOSED_IN_REPORT</x:v>
      </x:c>
      <x:c r="D374" s="31" t="str">
        <x:v>8</x:v>
      </x:c>
      <x:c r="E374" s="19" t="str">
        <x:v>FT-A1938</x:v>
      </x:c>
      <x:c r="F374" s="31" t="str">
        <x:v>thermometers burst</x:v>
      </x:c>
      <x:c r="G374" s="19" t="str">
        <x:v>A</x:v>
      </x:c>
      <x:c r="H374" s="19" t="str">
        <x:v>NOT_EXPOSED_IN_REPORT</x:v>
      </x:c>
      <x:c r="I374" s="31" t="str">
        <x:v>NOT_EXPOSED_IN_REPORT</x:v>
      </x:c>
      <x:c r="J374" s="19" t="str">
        <x:v>NOT_EXPOSED_IN_REPORT</x:v>
      </x:c>
      <x:c r="K374" s="19" t="str">
        <x:v>EXPANSION_ORDER=4;ORIGINAL_ROW_METADATA_NOT_EXPOSED</x:v>
      </x:c>
      <x:c r="L374" s="19" t="str">
        <x:v>NOT_EXPOSED_IN_REPORT</x:v>
      </x:c>
      <x:c r="M374" s="19" t="str">
        <x:v>EXPANSION_ORDER_04</x:v>
      </x:c>
      <x:c r="N374" s="31" t="str">
        <x:v>RECONSTRUCTED_FROM_REPORT</x:v>
      </x:c>
      <x:c r="O374" s="31" t="str">
        <x:v>UNRESOLVED</x:v>
      </x:c>
      <x:c r="P374" s="19" t="str">
        <x:v>Fear of Temperature_ Stratified Lexical Expansion, Voice Mapping, and Semantic-Relational Pre-Valida.pdf</x:v>
      </x:c>
      <x:c r="Q374" s="31" t="str">
        <x:v>RECONSTRUCTED_FROM_REPORT</x:v>
      </x:c>
      <x:c r="R374" s="43" t="str">
        <x:v>New surrogate project ID assigned from the report's narrative Expansion list; original structured row identity and per-row voice/source metadata were unavailable.</x:v>
      </x:c>
    </x:row>
    <x:row r="375" ht="30" customHeight="1">
      <x:c r="A375" s="40" t="str">
        <x:v>FT-SEED-R1B-X-1938-05</x:v>
      </x:c>
      <x:c r="B375" s="19" t="str">
        <x:v>EXPANSION_36</x:v>
      </x:c>
      <x:c r="C375" s="31" t="str">
        <x:v>NOT_EXPOSED_IN_REPORT</x:v>
      </x:c>
      <x:c r="D375" s="31" t="str">
        <x:v>8</x:v>
      </x:c>
      <x:c r="E375" s="19" t="str">
        <x:v>FT-A1938</x:v>
      </x:c>
      <x:c r="F375" s="31" t="str">
        <x:v>heat-related illness</x:v>
      </x:c>
      <x:c r="G375" s="19" t="str">
        <x:v>D</x:v>
      </x:c>
      <x:c r="H375" s="19" t="str">
        <x:v>NOT_EXPOSED_IN_REPORT</x:v>
      </x:c>
      <x:c r="I375" s="31" t="str">
        <x:v>NOT_EXPOSED_IN_REPORT</x:v>
      </x:c>
      <x:c r="J375" s="19" t="str">
        <x:v>NOT_EXPOSED_IN_REPORT</x:v>
      </x:c>
      <x:c r="K375" s="19" t="str">
        <x:v>EXPANSION_ORDER=5;ORIGINAL_ROW_METADATA_NOT_EXPOSED</x:v>
      </x:c>
      <x:c r="L375" s="19" t="str">
        <x:v>NOT_EXPOSED_IN_REPORT</x:v>
      </x:c>
      <x:c r="M375" s="19" t="str">
        <x:v>EXPANSION_ORDER_05</x:v>
      </x:c>
      <x:c r="N375" s="31" t="str">
        <x:v>RECONSTRUCTED_FROM_REPORT</x:v>
      </x:c>
      <x:c r="O375" s="31" t="str">
        <x:v>UNRESOLVED</x:v>
      </x:c>
      <x:c r="P375" s="19" t="str">
        <x:v>Fear of Temperature_ Stratified Lexical Expansion, Voice Mapping, and Semantic-Relational Pre-Valida.pdf</x:v>
      </x:c>
      <x:c r="Q375" s="31" t="str">
        <x:v>RECONSTRUCTED_FROM_REPORT</x:v>
      </x:c>
      <x:c r="R375" s="43" t="str">
        <x:v>New surrogate project ID assigned from the report's narrative Expansion list; original structured row identity and per-row voice/source metadata were unavailable.</x:v>
      </x:c>
    </x:row>
    <x:row r="376" ht="30" customHeight="1">
      <x:c r="A376" s="40" t="str">
        <x:v>FT-SEED-R1B-X-1938-06</x:v>
      </x:c>
      <x:c r="B376" s="19" t="str">
        <x:v>EXPANSION_36</x:v>
      </x:c>
      <x:c r="C376" s="31" t="str">
        <x:v>NOT_EXPOSED_IN_REPORT</x:v>
      </x:c>
      <x:c r="D376" s="31" t="str">
        <x:v>8</x:v>
      </x:c>
      <x:c r="E376" s="19" t="str">
        <x:v>FT-A1938</x:v>
      </x:c>
      <x:c r="F376" s="31" t="str">
        <x:v>warming trend</x:v>
      </x:c>
      <x:c r="G376" s="19" t="str">
        <x:v>A</x:v>
      </x:c>
      <x:c r="H376" s="19" t="str">
        <x:v>NOT_EXPOSED_IN_REPORT</x:v>
      </x:c>
      <x:c r="I376" s="31" t="str">
        <x:v>NOT_EXPOSED_IN_REPORT</x:v>
      </x:c>
      <x:c r="J376" s="19" t="str">
        <x:v>NOT_EXPOSED_IN_REPORT</x:v>
      </x:c>
      <x:c r="K376" s="19" t="str">
        <x:v>EXPANSION_ORDER=6;ORIGINAL_ROW_METADATA_NOT_EXPOSED</x:v>
      </x:c>
      <x:c r="L376" s="19" t="str">
        <x:v>NOT_EXPOSED_IN_REPORT</x:v>
      </x:c>
      <x:c r="M376" s="19" t="str">
        <x:v>EXPANSION_ORDER_06</x:v>
      </x:c>
      <x:c r="N376" s="31" t="str">
        <x:v>RECONSTRUCTED_FROM_REPORT</x:v>
      </x:c>
      <x:c r="O376" s="31" t="str">
        <x:v>UNRESOLVED</x:v>
      </x:c>
      <x:c r="P376" s="19" t="str">
        <x:v>Fear of Temperature_ Stratified Lexical Expansion, Voice Mapping, and Semantic-Relational Pre-Valida.pdf</x:v>
      </x:c>
      <x:c r="Q376" s="31" t="str">
        <x:v>RECONSTRUCTED_FROM_REPORT</x:v>
      </x:c>
      <x:c r="R376" s="43" t="str">
        <x:v>New surrogate project ID assigned from the report's narrative Expansion list; original structured row identity and per-row voice/source metadata were unavailable.</x:v>
      </x:c>
    </x:row>
    <x:row r="377" ht="30" customHeight="1">
      <x:c r="A377" s="40" t="str">
        <x:v>FT-SEED-R1B-X-1988-01</x:v>
      </x:c>
      <x:c r="B377" s="19" t="str">
        <x:v>EXPANSION_36</x:v>
      </x:c>
      <x:c r="C377" s="31" t="str">
        <x:v>NOT_EXPOSED_IN_REPORT</x:v>
      </x:c>
      <x:c r="D377" s="31" t="str">
        <x:v>9</x:v>
      </x:c>
      <x:c r="E377" s="19" t="str">
        <x:v>FT-A1988</x:v>
      </x:c>
      <x:c r="F377" s="31" t="str">
        <x:v>enemy is invisible but deadly</x:v>
      </x:c>
      <x:c r="G377" s="19" t="str">
        <x:v>D</x:v>
      </x:c>
      <x:c r="H377" s="19" t="str">
        <x:v>NOT_EXPOSED_IN_REPORT</x:v>
      </x:c>
      <x:c r="I377" s="31" t="str">
        <x:v>NOT_EXPOSED_IN_REPORT</x:v>
      </x:c>
      <x:c r="J377" s="19" t="str">
        <x:v>NOT_EXPOSED_IN_REPORT</x:v>
      </x:c>
      <x:c r="K377" s="19" t="str">
        <x:v>EXPANSION_ORDER=1;ORIGINAL_ROW_METADATA_NOT_EXPOSED</x:v>
      </x:c>
      <x:c r="L377" s="19" t="str">
        <x:v>NOT_EXPOSED_IN_REPORT</x:v>
      </x:c>
      <x:c r="M377" s="19" t="str">
        <x:v>EXPANSION_ORDER_01</x:v>
      </x:c>
      <x:c r="N377" s="31" t="str">
        <x:v>RECONSTRUCTED_FROM_REPORT</x:v>
      </x:c>
      <x:c r="O377" s="31" t="str">
        <x:v>UNRESOLVED</x:v>
      </x:c>
      <x:c r="P377" s="19" t="str">
        <x:v>Fear of Temperature_ Stratified Lexical Expansion, Voice Mapping, and Semantic-Relational Pre-Valida.pdf</x:v>
      </x:c>
      <x:c r="Q377" s="31" t="str">
        <x:v>RECONSTRUCTED_FROM_REPORT</x:v>
      </x:c>
      <x:c r="R377" s="43" t="str">
        <x:v>New surrogate project ID assigned from the report's narrative Expansion list; original structured row identity and per-row voice/source metadata were unavailable.</x:v>
      </x:c>
    </x:row>
    <x:row r="378" ht="30" customHeight="1">
      <x:c r="A378" s="40" t="str">
        <x:v>FT-SEED-R1B-X-1988-02</x:v>
      </x:c>
      <x:c r="B378" s="19" t="str">
        <x:v>EXPANSION_36</x:v>
      </x:c>
      <x:c r="C378" s="31" t="str">
        <x:v>NOT_EXPOSED_IN_REPORT</x:v>
      </x:c>
      <x:c r="D378" s="31" t="str">
        <x:v>9</x:v>
      </x:c>
      <x:c r="E378" s="19" t="str">
        <x:v>FT-A1988</x:v>
      </x:c>
      <x:c r="F378" s="31" t="str">
        <x:v>traps heat from the sun</x:v>
      </x:c>
      <x:c r="G378" s="19" t="str">
        <x:v>B</x:v>
      </x:c>
      <x:c r="H378" s="19" t="str">
        <x:v>NOT_EXPOSED_IN_REPORT</x:v>
      </x:c>
      <x:c r="I378" s="31" t="str">
        <x:v>NOT_EXPOSED_IN_REPORT</x:v>
      </x:c>
      <x:c r="J378" s="19" t="str">
        <x:v>NOT_EXPOSED_IN_REPORT</x:v>
      </x:c>
      <x:c r="K378" s="19" t="str">
        <x:v>EXPANSION_ORDER=2;ORIGINAL_ROW_METADATA_NOT_EXPOSED</x:v>
      </x:c>
      <x:c r="L378" s="19" t="str">
        <x:v>NOT_EXPOSED_IN_REPORT</x:v>
      </x:c>
      <x:c r="M378" s="19" t="str">
        <x:v>EXPANSION_ORDER_02</x:v>
      </x:c>
      <x:c r="N378" s="31" t="str">
        <x:v>RECONSTRUCTED_FROM_REPORT</x:v>
      </x:c>
      <x:c r="O378" s="31" t="str">
        <x:v>UNRESOLVED</x:v>
      </x:c>
      <x:c r="P378" s="19" t="str">
        <x:v>Fear of Temperature_ Stratified Lexical Expansion, Voice Mapping, and Semantic-Relational Pre-Valida.pdf</x:v>
      </x:c>
      <x:c r="Q378" s="31" t="str">
        <x:v>RECONSTRUCTED_FROM_REPORT</x:v>
      </x:c>
      <x:c r="R378" s="43" t="str">
        <x:v>New surrogate project ID assigned from the report's narrative Expansion list; original structured row identity and per-row voice/source metadata were unavailable.</x:v>
      </x:c>
    </x:row>
    <x:row r="379" ht="30" customHeight="1">
      <x:c r="A379" s="40" t="str">
        <x:v>FT-SEED-R1B-X-1988-03</x:v>
      </x:c>
      <x:c r="B379" s="19" t="str">
        <x:v>EXPANSION_36</x:v>
      </x:c>
      <x:c r="C379" s="31" t="str">
        <x:v>NOT_EXPOSED_IN_REPORT</x:v>
      </x:c>
      <x:c r="D379" s="31" t="str">
        <x:v>9</x:v>
      </x:c>
      <x:c r="E379" s="19" t="str">
        <x:v>FT-A1988</x:v>
      </x:c>
      <x:c r="F379" s="31" t="str">
        <x:v>global nuclear war</x:v>
      </x:c>
      <x:c r="G379" s="19" t="str">
        <x:v>D</x:v>
      </x:c>
      <x:c r="H379" s="19" t="str">
        <x:v>NOT_EXPOSED_IN_REPORT</x:v>
      </x:c>
      <x:c r="I379" s="31" t="str">
        <x:v>NOT_EXPOSED_IN_REPORT</x:v>
      </x:c>
      <x:c r="J379" s="19" t="str">
        <x:v>NOT_EXPOSED_IN_REPORT</x:v>
      </x:c>
      <x:c r="K379" s="19" t="str">
        <x:v>EXPANSION_ORDER=3;ORIGINAL_ROW_METADATA_NOT_EXPOSED</x:v>
      </x:c>
      <x:c r="L379" s="19" t="str">
        <x:v>NOT_EXPOSED_IN_REPORT</x:v>
      </x:c>
      <x:c r="M379" s="19" t="str">
        <x:v>EXPANSION_ORDER_03</x:v>
      </x:c>
      <x:c r="N379" s="31" t="str">
        <x:v>RECONSTRUCTED_FROM_REPORT</x:v>
      </x:c>
      <x:c r="O379" s="31" t="str">
        <x:v>UNRESOLVED</x:v>
      </x:c>
      <x:c r="P379" s="19" t="str">
        <x:v>Fear of Temperature_ Stratified Lexical Expansion, Voice Mapping, and Semantic-Relational Pre-Valida.pdf</x:v>
      </x:c>
      <x:c r="Q379" s="31" t="str">
        <x:v>RECONSTRUCTED_FROM_REPORT</x:v>
      </x:c>
      <x:c r="R379" s="43" t="str">
        <x:v>New surrogate project ID assigned from the report's narrative Expansion list; original structured row identity and per-row voice/source metadata were unavailable.</x:v>
      </x:c>
    </x:row>
    <x:row r="380" ht="30" customHeight="1">
      <x:c r="A380" s="40" t="str">
        <x:v>FT-SEED-R1B-X-1988-04</x:v>
      </x:c>
      <x:c r="B380" s="19" t="str">
        <x:v>EXPANSION_36</x:v>
      </x:c>
      <x:c r="C380" s="31" t="str">
        <x:v>NOT_EXPOSED_IN_REPORT</x:v>
      </x:c>
      <x:c r="D380" s="31" t="str">
        <x:v>9</x:v>
      </x:c>
      <x:c r="E380" s="19" t="str">
        <x:v>FT-A1988</x:v>
      </x:c>
      <x:c r="F380" s="31" t="str">
        <x:v>high degree of confidence</x:v>
      </x:c>
      <x:c r="G380" s="19" t="str">
        <x:v>C</x:v>
      </x:c>
      <x:c r="H380" s="19" t="str">
        <x:v>NOT_EXPOSED_IN_REPORT</x:v>
      </x:c>
      <x:c r="I380" s="31" t="str">
        <x:v>NOT_EXPOSED_IN_REPORT</x:v>
      </x:c>
      <x:c r="J380" s="19" t="str">
        <x:v>NOT_EXPOSED_IN_REPORT</x:v>
      </x:c>
      <x:c r="K380" s="19" t="str">
        <x:v>EXPANSION_ORDER=4;ORIGINAL_ROW_METADATA_NOT_EXPOSED</x:v>
      </x:c>
      <x:c r="L380" s="19" t="str">
        <x:v>NOT_EXPOSED_IN_REPORT</x:v>
      </x:c>
      <x:c r="M380" s="19" t="str">
        <x:v>EXPANSION_ORDER_04</x:v>
      </x:c>
      <x:c r="N380" s="31" t="str">
        <x:v>RECONSTRUCTED_FROM_REPORT</x:v>
      </x:c>
      <x:c r="O380" s="31" t="str">
        <x:v>UNRESOLVED</x:v>
      </x:c>
      <x:c r="P380" s="19" t="str">
        <x:v>Fear of Temperature_ Stratified Lexical Expansion, Voice Mapping, and Semantic-Relational Pre-Valida.pdf</x:v>
      </x:c>
      <x:c r="Q380" s="31" t="str">
        <x:v>RECONSTRUCTED_FROM_REPORT</x:v>
      </x:c>
      <x:c r="R380" s="43" t="str">
        <x:v>New surrogate project ID assigned from the report's narrative Expansion list; original structured row identity and per-row voice/source metadata were unavailable.</x:v>
      </x:c>
    </x:row>
    <x:row r="381" ht="30" customHeight="1">
      <x:c r="A381" s="40" t="str">
        <x:v>FT-SEED-R1B-X-1988-05</x:v>
      </x:c>
      <x:c r="B381" s="19" t="str">
        <x:v>EXPANSION_36</x:v>
      </x:c>
      <x:c r="C381" s="31" t="str">
        <x:v>NOT_EXPOSED_IN_REPORT</x:v>
      </x:c>
      <x:c r="D381" s="31" t="str">
        <x:v>9</x:v>
      </x:c>
      <x:c r="E381" s="19" t="str">
        <x:v>FT-A1988</x:v>
      </x:c>
      <x:c r="F381" s="31" t="str">
        <x:v>probability of occurrence</x:v>
      </x:c>
      <x:c r="G381" s="19" t="str">
        <x:v>D</x:v>
      </x:c>
      <x:c r="H381" s="19" t="str">
        <x:v>NOT_EXPOSED_IN_REPORT</x:v>
      </x:c>
      <x:c r="I381" s="31" t="str">
        <x:v>NOT_EXPOSED_IN_REPORT</x:v>
      </x:c>
      <x:c r="J381" s="19" t="str">
        <x:v>NOT_EXPOSED_IN_REPORT</x:v>
      </x:c>
      <x:c r="K381" s="19" t="str">
        <x:v>EXPANSION_ORDER=5;ORIGINAL_ROW_METADATA_NOT_EXPOSED</x:v>
      </x:c>
      <x:c r="L381" s="19" t="str">
        <x:v>NOT_EXPOSED_IN_REPORT</x:v>
      </x:c>
      <x:c r="M381" s="19" t="str">
        <x:v>EXPANSION_ORDER_05</x:v>
      </x:c>
      <x:c r="N381" s="31" t="str">
        <x:v>RECONSTRUCTED_FROM_REPORT</x:v>
      </x:c>
      <x:c r="O381" s="31" t="str">
        <x:v>UNRESOLVED</x:v>
      </x:c>
      <x:c r="P381" s="19" t="str">
        <x:v>Fear of Temperature_ Stratified Lexical Expansion, Voice Mapping, and Semantic-Relational Pre-Valida.pdf</x:v>
      </x:c>
      <x:c r="Q381" s="31" t="str">
        <x:v>RECONSTRUCTED_FROM_REPORT</x:v>
      </x:c>
      <x:c r="R381" s="43" t="str">
        <x:v>New surrogate project ID assigned from the report's narrative Expansion list; original structured row identity and per-row voice/source metadata were unavailable.</x:v>
      </x:c>
    </x:row>
    <x:row r="382" ht="30" customHeight="1">
      <x:c r="A382" s="40" t="str">
        <x:v>FT-SEED-R1B-X-1988-06</x:v>
      </x:c>
      <x:c r="B382" s="19" t="str">
        <x:v>EXPANSION_36</x:v>
      </x:c>
      <x:c r="C382" s="31" t="str">
        <x:v>NOT_EXPOSED_IN_REPORT</x:v>
      </x:c>
      <x:c r="D382" s="31" t="str">
        <x:v>9</x:v>
      </x:c>
      <x:c r="E382" s="19" t="str">
        <x:v>FT-A1988</x:v>
      </x:c>
      <x:c r="F382" s="31" t="str">
        <x:v>more frequent</x:v>
      </x:c>
      <x:c r="G382" s="19" t="str">
        <x:v>A</x:v>
      </x:c>
      <x:c r="H382" s="19" t="str">
        <x:v>NOT_EXPOSED_IN_REPORT</x:v>
      </x:c>
      <x:c r="I382" s="31" t="str">
        <x:v>NOT_EXPOSED_IN_REPORT</x:v>
      </x:c>
      <x:c r="J382" s="19" t="str">
        <x:v>NOT_EXPOSED_IN_REPORT</x:v>
      </x:c>
      <x:c r="K382" s="19" t="str">
        <x:v>EXPANSION_ORDER=6;ORIGINAL_ROW_METADATA_NOT_EXPOSED</x:v>
      </x:c>
      <x:c r="L382" s="19" t="str">
        <x:v>NOT_EXPOSED_IN_REPORT</x:v>
      </x:c>
      <x:c r="M382" s="19" t="str">
        <x:v>EXPANSION_ORDER_06</x:v>
      </x:c>
      <x:c r="N382" s="31" t="str">
        <x:v>RECONSTRUCTED_FROM_REPORT</x:v>
      </x:c>
      <x:c r="O382" s="31" t="str">
        <x:v>UNRESOLVED</x:v>
      </x:c>
      <x:c r="P382" s="19" t="str">
        <x:v>Fear of Temperature_ Stratified Lexical Expansion, Voice Mapping, and Semantic-Relational Pre-Valida.pdf</x:v>
      </x:c>
      <x:c r="Q382" s="31" t="str">
        <x:v>RECONSTRUCTED_FROM_REPORT</x:v>
      </x:c>
      <x:c r="R382" s="43" t="str">
        <x:v>New surrogate project ID assigned from the report's narrative Expansion list; original structured row identity and per-row voice/source metadata were unavailable.</x:v>
      </x:c>
    </x:row>
    <x:row r="383" ht="30" customHeight="1">
      <x:c r="A383" s="40" t="str">
        <x:v>FT-SEED-R1B-X-0607-01</x:v>
      </x:c>
      <x:c r="B383" s="19" t="str">
        <x:v>EXPANSION_36</x:v>
      </x:c>
      <x:c r="C383" s="31" t="str">
        <x:v>NOT_EXPOSED_IN_REPORT</x:v>
      </x:c>
      <x:c r="D383" s="31" t="str">
        <x:v>10</x:v>
      </x:c>
      <x:c r="E383" s="19" t="str">
        <x:v>FT-A0607</x:v>
      </x:c>
      <x:c r="F383" s="31" t="str">
        <x:v>effects already begun</x:v>
      </x:c>
      <x:c r="G383" s="19" t="str">
        <x:v>D</x:v>
      </x:c>
      <x:c r="H383" s="19" t="str">
        <x:v>NOT_EXPOSED_IN_REPORT</x:v>
      </x:c>
      <x:c r="I383" s="31" t="str">
        <x:v>NOT_EXPOSED_IN_REPORT</x:v>
      </x:c>
      <x:c r="J383" s="19" t="str">
        <x:v>NOT_EXPOSED_IN_REPORT</x:v>
      </x:c>
      <x:c r="K383" s="19" t="str">
        <x:v>EXPANSION_ORDER=1;ORIGINAL_ROW_METADATA_NOT_EXPOSED</x:v>
      </x:c>
      <x:c r="L383" s="19" t="str">
        <x:v>NOT_EXPOSED_IN_REPORT</x:v>
      </x:c>
      <x:c r="M383" s="19" t="str">
        <x:v>EXPANSION_ORDER_01</x:v>
      </x:c>
      <x:c r="N383" s="31" t="str">
        <x:v>RECONSTRUCTED_FROM_REPORT</x:v>
      </x:c>
      <x:c r="O383" s="31" t="str">
        <x:v>UNRESOLVED</x:v>
      </x:c>
      <x:c r="P383" s="19" t="str">
        <x:v>Fear of Temperature_ Stratified Lexical Expansion, Voice Mapping, and Semantic-Relational Pre-Valida.pdf</x:v>
      </x:c>
      <x:c r="Q383" s="31" t="str">
        <x:v>RECONSTRUCTED_FROM_REPORT</x:v>
      </x:c>
      <x:c r="R383" s="43" t="str">
        <x:v>New surrogate project ID assigned from the report's narrative Expansion list; original structured row identity and per-row voice/source metadata were unavailable.</x:v>
      </x:c>
    </x:row>
    <x:row r="384" ht="30" customHeight="1">
      <x:c r="A384" s="40" t="str">
        <x:v>FT-SEED-R1B-X-0607-02</x:v>
      </x:c>
      <x:c r="B384" s="19" t="str">
        <x:v>EXPANSION_36</x:v>
      </x:c>
      <x:c r="C384" s="31" t="str">
        <x:v>NOT_EXPOSED_IN_REPORT</x:v>
      </x:c>
      <x:c r="D384" s="31" t="str">
        <x:v>10</x:v>
      </x:c>
      <x:c r="E384" s="19" t="str">
        <x:v>FT-A0607</x:v>
      </x:c>
      <x:c r="F384" s="31" t="str">
        <x:v>human activities</x:v>
      </x:c>
      <x:c r="G384" s="19" t="str">
        <x:v>B</x:v>
      </x:c>
      <x:c r="H384" s="19" t="str">
        <x:v>NOT_EXPOSED_IN_REPORT</x:v>
      </x:c>
      <x:c r="I384" s="31" t="str">
        <x:v>NOT_EXPOSED_IN_REPORT</x:v>
      </x:c>
      <x:c r="J384" s="19" t="str">
        <x:v>NOT_EXPOSED_IN_REPORT</x:v>
      </x:c>
      <x:c r="K384" s="19" t="str">
        <x:v>EXPANSION_ORDER=2;ORIGINAL_ROW_METADATA_NOT_EXPOSED</x:v>
      </x:c>
      <x:c r="L384" s="19" t="str">
        <x:v>NOT_EXPOSED_IN_REPORT</x:v>
      </x:c>
      <x:c r="M384" s="19" t="str">
        <x:v>EXPANSION_ORDER_02</x:v>
      </x:c>
      <x:c r="N384" s="31" t="str">
        <x:v>RECONSTRUCTED_FROM_REPORT</x:v>
      </x:c>
      <x:c r="O384" s="31" t="str">
        <x:v>UNRESOLVED</x:v>
      </x:c>
      <x:c r="P384" s="19" t="str">
        <x:v>Fear of Temperature_ Stratified Lexical Expansion, Voice Mapping, and Semantic-Relational Pre-Valida.pdf</x:v>
      </x:c>
      <x:c r="Q384" s="31" t="str">
        <x:v>RECONSTRUCTED_FROM_REPORT</x:v>
      </x:c>
      <x:c r="R384" s="43" t="str">
        <x:v>New surrogate project ID assigned from the report's narrative Expansion list; original structured row identity and per-row voice/source metadata were unavailable.</x:v>
      </x:c>
    </x:row>
    <x:row r="385" ht="30" customHeight="1">
      <x:c r="A385" s="40" t="str">
        <x:v>FT-SEED-R1B-X-0607-03</x:v>
      </x:c>
      <x:c r="B385" s="19" t="str">
        <x:v>EXPANSION_36</x:v>
      </x:c>
      <x:c r="C385" s="31" t="str">
        <x:v>NOT_EXPOSED_IN_REPORT</x:v>
      </x:c>
      <x:c r="D385" s="31" t="str">
        <x:v>10</x:v>
      </x:c>
      <x:c r="E385" s="19" t="str">
        <x:v>FT-A0607</x:v>
      </x:c>
      <x:c r="F385" s="31" t="str">
        <x:v>media underestimates problem</x:v>
      </x:c>
      <x:c r="G385" s="19" t="str">
        <x:v>C</x:v>
      </x:c>
      <x:c r="H385" s="19" t="str">
        <x:v>NOT_EXPOSED_IN_REPORT</x:v>
      </x:c>
      <x:c r="I385" s="31" t="str">
        <x:v>NOT_EXPOSED_IN_REPORT</x:v>
      </x:c>
      <x:c r="J385" s="19" t="str">
        <x:v>NOT_EXPOSED_IN_REPORT</x:v>
      </x:c>
      <x:c r="K385" s="19" t="str">
        <x:v>EXPANSION_ORDER=3;ORIGINAL_ROW_METADATA_NOT_EXPOSED</x:v>
      </x:c>
      <x:c r="L385" s="19" t="str">
        <x:v>NOT_EXPOSED_IN_REPORT</x:v>
      </x:c>
      <x:c r="M385" s="19" t="str">
        <x:v>EXPANSION_ORDER_03</x:v>
      </x:c>
      <x:c r="N385" s="31" t="str">
        <x:v>RECONSTRUCTED_FROM_REPORT</x:v>
      </x:c>
      <x:c r="O385" s="31" t="str">
        <x:v>UNRESOLVED</x:v>
      </x:c>
      <x:c r="P385" s="19" t="str">
        <x:v>Fear of Temperature_ Stratified Lexical Expansion, Voice Mapping, and Semantic-Relational Pre-Valida.pdf</x:v>
      </x:c>
      <x:c r="Q385" s="31" t="str">
        <x:v>RECONSTRUCTED_FROM_REPORT</x:v>
      </x:c>
      <x:c r="R385" s="43" t="str">
        <x:v>New surrogate project ID assigned from the report's narrative Expansion list; original structured row identity and per-row voice/source metadata were unavailable.</x:v>
      </x:c>
    </x:row>
    <x:row r="386" ht="30" customHeight="1">
      <x:c r="A386" s="40" t="str">
        <x:v>FT-SEED-R1B-X-0607-04</x:v>
      </x:c>
      <x:c r="B386" s="19" t="str">
        <x:v>EXPANSION_36</x:v>
      </x:c>
      <x:c r="C386" s="31" t="str">
        <x:v>NOT_EXPOSED_IN_REPORT</x:v>
      </x:c>
      <x:c r="D386" s="31" t="str">
        <x:v>10</x:v>
      </x:c>
      <x:c r="E386" s="19" t="str">
        <x:v>FT-A0607</x:v>
      </x:c>
      <x:c r="F386" s="31" t="str">
        <x:v>very serious concern</x:v>
      </x:c>
      <x:c r="G386" s="19" t="str">
        <x:v>C</x:v>
      </x:c>
      <x:c r="H386" s="19" t="str">
        <x:v>NOT_EXPOSED_IN_REPORT</x:v>
      </x:c>
      <x:c r="I386" s="31" t="str">
        <x:v>NOT_EXPOSED_IN_REPORT</x:v>
      </x:c>
      <x:c r="J386" s="19" t="str">
        <x:v>NOT_EXPOSED_IN_REPORT</x:v>
      </x:c>
      <x:c r="K386" s="19" t="str">
        <x:v>EXPANSION_ORDER=4;ORIGINAL_ROW_METADATA_NOT_EXPOSED</x:v>
      </x:c>
      <x:c r="L386" s="19" t="str">
        <x:v>NOT_EXPOSED_IN_REPORT</x:v>
      </x:c>
      <x:c r="M386" s="19" t="str">
        <x:v>EXPANSION_ORDER_04</x:v>
      </x:c>
      <x:c r="N386" s="31" t="str">
        <x:v>RECONSTRUCTED_FROM_REPORT</x:v>
      </x:c>
      <x:c r="O386" s="31" t="str">
        <x:v>UNRESOLVED</x:v>
      </x:c>
      <x:c r="P386" s="19" t="str">
        <x:v>Fear of Temperature_ Stratified Lexical Expansion, Voice Mapping, and Semantic-Relational Pre-Valida.pdf</x:v>
      </x:c>
      <x:c r="Q386" s="31" t="str">
        <x:v>RECONSTRUCTED_FROM_REPORT</x:v>
      </x:c>
      <x:c r="R386" s="43" t="str">
        <x:v>New surrogate project ID assigned from the report's narrative Expansion list; original structured row identity and per-row voice/source metadata were unavailable.</x:v>
      </x:c>
    </x:row>
    <x:row r="387" ht="30" customHeight="1">
      <x:c r="A387" s="40" t="str">
        <x:v>FT-SEED-R1B-X-0607-05</x:v>
      </x:c>
      <x:c r="B387" s="19" t="str">
        <x:v>EXPANSION_36</x:v>
      </x:c>
      <x:c r="C387" s="31" t="str">
        <x:v>NOT_EXPOSED_IN_REPORT</x:v>
      </x:c>
      <x:c r="D387" s="31" t="str">
        <x:v>10</x:v>
      </x:c>
      <x:c r="E387" s="19" t="str">
        <x:v>FT-A0607</x:v>
      </x:c>
      <x:c r="F387" s="31" t="str">
        <x:v>religious duty</x:v>
      </x:c>
      <x:c r="G387" s="19" t="str">
        <x:v>C</x:v>
      </x:c>
      <x:c r="H387" s="19" t="str">
        <x:v>NOT_EXPOSED_IN_REPORT</x:v>
      </x:c>
      <x:c r="I387" s="31" t="str">
        <x:v>NOT_EXPOSED_IN_REPORT</x:v>
      </x:c>
      <x:c r="J387" s="19" t="str">
        <x:v>NOT_EXPOSED_IN_REPORT</x:v>
      </x:c>
      <x:c r="K387" s="19" t="str">
        <x:v>EXPANSION_ORDER=5;ORIGINAL_ROW_METADATA_NOT_EXPOSED</x:v>
      </x:c>
      <x:c r="L387" s="19" t="str">
        <x:v>NOT_EXPOSED_IN_REPORT</x:v>
      </x:c>
      <x:c r="M387" s="19" t="str">
        <x:v>EXPANSION_ORDER_05</x:v>
      </x:c>
      <x:c r="N387" s="31" t="str">
        <x:v>RECONSTRUCTED_FROM_REPORT</x:v>
      </x:c>
      <x:c r="O387" s="31" t="str">
        <x:v>UNRESOLVED</x:v>
      </x:c>
      <x:c r="P387" s="19" t="str">
        <x:v>Fear of Temperature_ Stratified Lexical Expansion, Voice Mapping, and Semantic-Relational Pre-Valida.pdf</x:v>
      </x:c>
      <x:c r="Q387" s="31" t="str">
        <x:v>RECONSTRUCTED_FROM_REPORT</x:v>
      </x:c>
      <x:c r="R387" s="43" t="str">
        <x:v>New surrogate project ID assigned from the report's narrative Expansion list; original structured row identity and per-row voice/source metadata were unavailable.</x:v>
      </x:c>
    </x:row>
    <x:row r="388" ht="30" customHeight="1">
      <x:c r="A388" s="40" t="str">
        <x:v>FT-SEED-R1B-X-0607-06</x:v>
      </x:c>
      <x:c r="B388" s="19" t="str">
        <x:v>EXPANSION_36</x:v>
      </x:c>
      <x:c r="C388" s="31" t="str">
        <x:v>NOT_EXPOSED_IN_REPORT</x:v>
      </x:c>
      <x:c r="D388" s="31" t="str">
        <x:v>10</x:v>
      </x:c>
      <x:c r="E388" s="19" t="str">
        <x:v>FT-A0607</x:v>
      </x:c>
      <x:c r="F388" s="31" t="str">
        <x:v>serious challenge of global climate change</x:v>
      </x:c>
      <x:c r="G388" s="19" t="str">
        <x:v>D</x:v>
      </x:c>
      <x:c r="H388" s="19" t="str">
        <x:v>NOT_EXPOSED_IN_REPORT</x:v>
      </x:c>
      <x:c r="I388" s="31" t="str">
        <x:v>NOT_EXPOSED_IN_REPORT</x:v>
      </x:c>
      <x:c r="J388" s="19" t="str">
        <x:v>NOT_EXPOSED_IN_REPORT</x:v>
      </x:c>
      <x:c r="K388" s="19" t="str">
        <x:v>EXPANSION_ORDER=6;ORIGINAL_ROW_METADATA_NOT_EXPOSED</x:v>
      </x:c>
      <x:c r="L388" s="19" t="str">
        <x:v>NOT_EXPOSED_IN_REPORT</x:v>
      </x:c>
      <x:c r="M388" s="19" t="str">
        <x:v>EXPANSION_ORDER_06</x:v>
      </x:c>
      <x:c r="N388" s="31" t="str">
        <x:v>RECONSTRUCTED_FROM_REPORT</x:v>
      </x:c>
      <x:c r="O388" s="31" t="str">
        <x:v>UNRESOLVED</x:v>
      </x:c>
      <x:c r="P388" s="19" t="str">
        <x:v>Fear of Temperature_ Stratified Lexical Expansion, Voice Mapping, and Semantic-Relational Pre-Valida.pdf</x:v>
      </x:c>
      <x:c r="Q388" s="31" t="str">
        <x:v>RECONSTRUCTED_FROM_REPORT</x:v>
      </x:c>
      <x:c r="R388" s="43" t="str">
        <x:v>New surrogate project ID assigned from the report's narrative Expansion list; original structured row identity and per-row voice/source metadata were unavailable.</x:v>
      </x:c>
    </x:row>
    <x:row r="389" ht="30" customHeight="1">
      <x:c r="A389" s="40" t="str">
        <x:v>FT-SEED-R1B-X-2015-01</x:v>
      </x:c>
      <x:c r="B389" s="19" t="str">
        <x:v>EXPANSION_36</x:v>
      </x:c>
      <x:c r="C389" s="31" t="str">
        <x:v>NOT_EXPOSED_IN_REPORT</x:v>
      </x:c>
      <x:c r="D389" s="31" t="str">
        <x:v>12</x:v>
      </x:c>
      <x:c r="E389" s="19" t="str">
        <x:v>FT-A2015</x:v>
      </x:c>
      <x:c r="F389" s="31" t="str">
        <x:v>severe weather</x:v>
      </x:c>
      <x:c r="G389" s="19" t="str">
        <x:v>D</x:v>
      </x:c>
      <x:c r="H389" s="19" t="str">
        <x:v>NOT_EXPOSED_IN_REPORT</x:v>
      </x:c>
      <x:c r="I389" s="31" t="str">
        <x:v>NOT_EXPOSED_IN_REPORT</x:v>
      </x:c>
      <x:c r="J389" s="19" t="str">
        <x:v>NOT_EXPOSED_IN_REPORT</x:v>
      </x:c>
      <x:c r="K389" s="19" t="str">
        <x:v>EXPANSION_ORDER=1;ORIGINAL_ROW_METADATA_NOT_EXPOSED</x:v>
      </x:c>
      <x:c r="L389" s="19" t="str">
        <x:v>NOT_EXPOSED_IN_REPORT</x:v>
      </x:c>
      <x:c r="M389" s="19" t="str">
        <x:v>EXPANSION_ORDER_01</x:v>
      </x:c>
      <x:c r="N389" s="31" t="str">
        <x:v>RECONSTRUCTED_FROM_REPORT</x:v>
      </x:c>
      <x:c r="O389" s="31" t="str">
        <x:v>UNRESOLVED</x:v>
      </x:c>
      <x:c r="P389" s="19" t="str">
        <x:v>Fear of Temperature_ Stratified Lexical Expansion, Voice Mapping, and Semantic-Relational Pre-Valida.pdf</x:v>
      </x:c>
      <x:c r="Q389" s="31" t="str">
        <x:v>RECONSTRUCTED_FROM_REPORT</x:v>
      </x:c>
      <x:c r="R389" s="43" t="str">
        <x:v>New surrogate project ID assigned from the report's narrative Expansion list; original structured row identity and per-row voice/source metadata were unavailable.</x:v>
      </x:c>
    </x:row>
    <x:row r="390" ht="30" customHeight="1">
      <x:c r="A390" s="40" t="str">
        <x:v>FT-SEED-R1B-X-2015-02</x:v>
      </x:c>
      <x:c r="B390" s="19" t="str">
        <x:v>EXPANSION_36</x:v>
      </x:c>
      <x:c r="C390" s="31" t="str">
        <x:v>NOT_EXPOSED_IN_REPORT</x:v>
      </x:c>
      <x:c r="D390" s="31" t="str">
        <x:v>12</x:v>
      </x:c>
      <x:c r="E390" s="19" t="str">
        <x:v>FT-A2015</x:v>
      </x:c>
      <x:c r="F390" s="31" t="str">
        <x:v>long periods of unusually hot weather</x:v>
      </x:c>
      <x:c r="G390" s="19" t="str">
        <x:v>A</x:v>
      </x:c>
      <x:c r="H390" s="19" t="str">
        <x:v>NOT_EXPOSED_IN_REPORT</x:v>
      </x:c>
      <x:c r="I390" s="31" t="str">
        <x:v>NOT_EXPOSED_IN_REPORT</x:v>
      </x:c>
      <x:c r="J390" s="19" t="str">
        <x:v>NOT_EXPOSED_IN_REPORT</x:v>
      </x:c>
      <x:c r="K390" s="19" t="str">
        <x:v>EXPANSION_ORDER=2;ORIGINAL_ROW_METADATA_NOT_EXPOSED</x:v>
      </x:c>
      <x:c r="L390" s="19" t="str">
        <x:v>NOT_EXPOSED_IN_REPORT</x:v>
      </x:c>
      <x:c r="M390" s="19" t="str">
        <x:v>EXPANSION_ORDER_02</x:v>
      </x:c>
      <x:c r="N390" s="31" t="str">
        <x:v>RECONSTRUCTED_FROM_REPORT</x:v>
      </x:c>
      <x:c r="O390" s="31" t="str">
        <x:v>UNRESOLVED</x:v>
      </x:c>
      <x:c r="P390" s="19" t="str">
        <x:v>Fear of Temperature_ Stratified Lexical Expansion, Voice Mapping, and Semantic-Relational Pre-Valida.pdf</x:v>
      </x:c>
      <x:c r="Q390" s="31" t="str">
        <x:v>RECONSTRUCTED_FROM_REPORT</x:v>
      </x:c>
      <x:c r="R390" s="43" t="str">
        <x:v>New surrogate project ID assigned from the report's narrative Expansion list; original structured row identity and per-row voice/source metadata were unavailable.</x:v>
      </x:c>
    </x:row>
    <x:row r="391" ht="30" customHeight="1">
      <x:c r="A391" s="40" t="str">
        <x:v>FT-SEED-R1B-X-2015-03</x:v>
      </x:c>
      <x:c r="B391" s="19" t="str">
        <x:v>EXPANSION_36</x:v>
      </x:c>
      <x:c r="C391" s="31" t="str">
        <x:v>NOT_EXPOSED_IN_REPORT</x:v>
      </x:c>
      <x:c r="D391" s="31" t="str">
        <x:v>12</x:v>
      </x:c>
      <x:c r="E391" s="19" t="str">
        <x:v>FT-A2015</x:v>
      </x:c>
      <x:c r="F391" s="31" t="str">
        <x:v>red line</x:v>
      </x:c>
      <x:c r="G391" s="19" t="str">
        <x:v>D</x:v>
      </x:c>
      <x:c r="H391" s="19" t="str">
        <x:v>NOT_EXPOSED_IN_REPORT</x:v>
      </x:c>
      <x:c r="I391" s="31" t="str">
        <x:v>NOT_EXPOSED_IN_REPORT</x:v>
      </x:c>
      <x:c r="J391" s="19" t="str">
        <x:v>NOT_EXPOSED_IN_REPORT</x:v>
      </x:c>
      <x:c r="K391" s="19" t="str">
        <x:v>EXPANSION_ORDER=3;ORIGINAL_ROW_METADATA_NOT_EXPOSED</x:v>
      </x:c>
      <x:c r="L391" s="19" t="str">
        <x:v>NOT_EXPOSED_IN_REPORT</x:v>
      </x:c>
      <x:c r="M391" s="19" t="str">
        <x:v>EXPANSION_ORDER_03</x:v>
      </x:c>
      <x:c r="N391" s="31" t="str">
        <x:v>RECONSTRUCTED_FROM_REPORT</x:v>
      </x:c>
      <x:c r="O391" s="31" t="str">
        <x:v>UNRESOLVED</x:v>
      </x:c>
      <x:c r="P391" s="19" t="str">
        <x:v>Fear of Temperature_ Stratified Lexical Expansion, Voice Mapping, and Semantic-Relational Pre-Valida.pdf</x:v>
      </x:c>
      <x:c r="Q391" s="31" t="str">
        <x:v>RECONSTRUCTED_FROM_REPORT</x:v>
      </x:c>
      <x:c r="R391" s="43" t="str">
        <x:v>New surrogate project ID assigned from the report's narrative Expansion list; original structured row identity and per-row voice/source metadata were unavailable.</x:v>
      </x:c>
    </x:row>
    <x:row r="392" ht="30" customHeight="1">
      <x:c r="A392" s="40" t="str">
        <x:v>FT-SEED-R1B-X-2015-04</x:v>
      </x:c>
      <x:c r="B392" s="19" t="str">
        <x:v>EXPANSION_36</x:v>
      </x:c>
      <x:c r="C392" s="31" t="str">
        <x:v>NOT_EXPOSED_IN_REPORT</x:v>
      </x:c>
      <x:c r="D392" s="31" t="str">
        <x:v>12</x:v>
      </x:c>
      <x:c r="E392" s="19" t="str">
        <x:v>FT-A2015</x:v>
      </x:c>
      <x:c r="F392" s="31" t="str">
        <x:v>at risk from climate change</x:v>
      </x:c>
      <x:c r="G392" s="19" t="str">
        <x:v>D</x:v>
      </x:c>
      <x:c r="H392" s="19" t="str">
        <x:v>NOT_EXPOSED_IN_REPORT</x:v>
      </x:c>
      <x:c r="I392" s="31" t="str">
        <x:v>NOT_EXPOSED_IN_REPORT</x:v>
      </x:c>
      <x:c r="J392" s="19" t="str">
        <x:v>NOT_EXPOSED_IN_REPORT</x:v>
      </x:c>
      <x:c r="K392" s="19" t="str">
        <x:v>EXPANSION_ORDER=4;ORIGINAL_ROW_METADATA_NOT_EXPOSED</x:v>
      </x:c>
      <x:c r="L392" s="19" t="str">
        <x:v>NOT_EXPOSED_IN_REPORT</x:v>
      </x:c>
      <x:c r="M392" s="19" t="str">
        <x:v>EXPANSION_ORDER_04</x:v>
      </x:c>
      <x:c r="N392" s="31" t="str">
        <x:v>RECONSTRUCTED_FROM_REPORT</x:v>
      </x:c>
      <x:c r="O392" s="31" t="str">
        <x:v>UNRESOLVED</x:v>
      </x:c>
      <x:c r="P392" s="19" t="str">
        <x:v>Fear of Temperature_ Stratified Lexical Expansion, Voice Mapping, and Semantic-Relational Pre-Valida.pdf</x:v>
      </x:c>
      <x:c r="Q392" s="31" t="str">
        <x:v>RECONSTRUCTED_FROM_REPORT</x:v>
      </x:c>
      <x:c r="R392" s="43" t="str">
        <x:v>New surrogate project ID assigned from the report's narrative Expansion list; original structured row identity and per-row voice/source metadata were unavailable.</x:v>
      </x:c>
    </x:row>
    <x:row r="393" ht="30" customHeight="1">
      <x:c r="A393" s="40" t="str">
        <x:v>FT-SEED-R1B-X-2015-05</x:v>
      </x:c>
      <x:c r="B393" s="19" t="str">
        <x:v>EXPANSION_36</x:v>
      </x:c>
      <x:c r="C393" s="31" t="str">
        <x:v>NOT_EXPOSED_IN_REPORT</x:v>
      </x:c>
      <x:c r="D393" s="31" t="str">
        <x:v>12</x:v>
      </x:c>
      <x:c r="E393" s="19" t="str">
        <x:v>FT-A2015</x:v>
      </x:c>
      <x:c r="F393" s="31" t="str">
        <x:v>for the planet</x:v>
      </x:c>
      <x:c r="G393" s="19" t="str">
        <x:v>D</x:v>
      </x:c>
      <x:c r="H393" s="19" t="str">
        <x:v>NOT_EXPOSED_IN_REPORT</x:v>
      </x:c>
      <x:c r="I393" s="31" t="str">
        <x:v>NOT_EXPOSED_IN_REPORT</x:v>
      </x:c>
      <x:c r="J393" s="19" t="str">
        <x:v>NOT_EXPOSED_IN_REPORT</x:v>
      </x:c>
      <x:c r="K393" s="19" t="str">
        <x:v>EXPANSION_ORDER=5;ORIGINAL_ROW_METADATA_NOT_EXPOSED</x:v>
      </x:c>
      <x:c r="L393" s="19" t="str">
        <x:v>NOT_EXPOSED_IN_REPORT</x:v>
      </x:c>
      <x:c r="M393" s="19" t="str">
        <x:v>EXPANSION_ORDER_05</x:v>
      </x:c>
      <x:c r="N393" s="31" t="str">
        <x:v>RECONSTRUCTED_FROM_REPORT</x:v>
      </x:c>
      <x:c r="O393" s="31" t="str">
        <x:v>UNRESOLVED</x:v>
      </x:c>
      <x:c r="P393" s="19" t="str">
        <x:v>Fear of Temperature_ Stratified Lexical Expansion, Voice Mapping, and Semantic-Relational Pre-Valida.pdf</x:v>
      </x:c>
      <x:c r="Q393" s="31" t="str">
        <x:v>RECONSTRUCTED_FROM_REPORT</x:v>
      </x:c>
      <x:c r="R393" s="43" t="str">
        <x:v>New surrogate project ID assigned from the report's narrative Expansion list; original structured row identity and per-row voice/source metadata were unavailable.</x:v>
      </x:c>
    </x:row>
    <x:row r="394" ht="30" customHeight="1">
      <x:c r="A394" s="40" t="str">
        <x:v>FT-SEED-R1B-X-2015-06</x:v>
      </x:c>
      <x:c r="B394" s="19" t="str">
        <x:v>EXPANSION_36</x:v>
      </x:c>
      <x:c r="C394" s="31" t="str">
        <x:v>NOT_EXPOSED_IN_REPORT</x:v>
      </x:c>
      <x:c r="D394" s="31" t="str">
        <x:v>12</x:v>
      </x:c>
      <x:c r="E394" s="19" t="str">
        <x:v>FT-A2015</x:v>
      </x:c>
      <x:c r="F394" s="31" t="str">
        <x:v>future generations</x:v>
      </x:c>
      <x:c r="G394" s="19" t="str">
        <x:v>D</x:v>
      </x:c>
      <x:c r="H394" s="19" t="str">
        <x:v>NOT_EXPOSED_IN_REPORT</x:v>
      </x:c>
      <x:c r="I394" s="31" t="str">
        <x:v>NOT_EXPOSED_IN_REPORT</x:v>
      </x:c>
      <x:c r="J394" s="19" t="str">
        <x:v>NOT_EXPOSED_IN_REPORT</x:v>
      </x:c>
      <x:c r="K394" s="19" t="str">
        <x:v>EXPANSION_ORDER=6;ORIGINAL_ROW_METADATA_NOT_EXPOSED</x:v>
      </x:c>
      <x:c r="L394" s="19" t="str">
        <x:v>NOT_EXPOSED_IN_REPORT</x:v>
      </x:c>
      <x:c r="M394" s="19" t="str">
        <x:v>EXPANSION_ORDER_06</x:v>
      </x:c>
      <x:c r="N394" s="31" t="str">
        <x:v>RECONSTRUCTED_FROM_REPORT</x:v>
      </x:c>
      <x:c r="O394" s="31" t="str">
        <x:v>UNRESOLVED</x:v>
      </x:c>
      <x:c r="P394" s="19" t="str">
        <x:v>Fear of Temperature_ Stratified Lexical Expansion, Voice Mapping, and Semantic-Relational Pre-Valida.pdf</x:v>
      </x:c>
      <x:c r="Q394" s="31" t="str">
        <x:v>RECONSTRUCTED_FROM_REPORT</x:v>
      </x:c>
      <x:c r="R394" s="43" t="str">
        <x:v>New surrogate project ID assigned from the report's narrative Expansion list; original structured row identity and per-row voice/source metadata were unavailable.</x:v>
      </x:c>
    </x:row>
    <x:row r="395" ht="30" customHeight="1">
      <x:c r="A395" s="40" t="str">
        <x:v>FT-SEED-R1B-X-2022-01</x:v>
      </x:c>
      <x:c r="B395" s="19" t="str">
        <x:v>EXPANSION_36</x:v>
      </x:c>
      <x:c r="C395" s="31" t="str">
        <x:v>NOT_EXPOSED_IN_REPORT</x:v>
      </x:c>
      <x:c r="D395" s="31" t="str">
        <x:v>13</x:v>
      </x:c>
      <x:c r="E395" s="19" t="str">
        <x:v>FT-A2022</x:v>
      </x:c>
      <x:c r="F395" s="31" t="str">
        <x:v>climate worry</x:v>
      </x:c>
      <x:c r="G395" s="19" t="str">
        <x:v>C</x:v>
      </x:c>
      <x:c r="H395" s="19" t="str">
        <x:v>NOT_EXPOSED_IN_REPORT</x:v>
      </x:c>
      <x:c r="I395" s="31" t="str">
        <x:v>NOT_EXPOSED_IN_REPORT</x:v>
      </x:c>
      <x:c r="J395" s="19" t="str">
        <x:v>NOT_EXPOSED_IN_REPORT</x:v>
      </x:c>
      <x:c r="K395" s="19" t="str">
        <x:v>EXPANSION_ORDER=1;ORIGINAL_ROW_METADATA_NOT_EXPOSED</x:v>
      </x:c>
      <x:c r="L395" s="19" t="str">
        <x:v>NOT_EXPOSED_IN_REPORT</x:v>
      </x:c>
      <x:c r="M395" s="19" t="str">
        <x:v>EXPANSION_ORDER_01</x:v>
      </x:c>
      <x:c r="N395" s="31" t="str">
        <x:v>RECONSTRUCTED_FROM_REPORT</x:v>
      </x:c>
      <x:c r="O395" s="31" t="str">
        <x:v>UNRESOLVED</x:v>
      </x:c>
      <x:c r="P395" s="19" t="str">
        <x:v>Fear of Temperature_ Stratified Lexical Expansion, Voice Mapping, and Semantic-Relational Pre-Valida.pdf</x:v>
      </x:c>
      <x:c r="Q395" s="31" t="str">
        <x:v>RECONSTRUCTED_FROM_REPORT</x:v>
      </x:c>
      <x:c r="R395" s="43" t="str">
        <x:v>New surrogate project ID assigned from the report's narrative Expansion list; original structured row identity and per-row voice/source metadata were unavailable.</x:v>
      </x:c>
    </x:row>
    <x:row r="396" ht="30" customHeight="1">
      <x:c r="A396" s="40" t="str">
        <x:v>FT-SEED-R1B-X-2022-02</x:v>
      </x:c>
      <x:c r="B396" s="19" t="str">
        <x:v>EXPANSION_36</x:v>
      </x:c>
      <x:c r="C396" s="31" t="str">
        <x:v>NOT_EXPOSED_IN_REPORT</x:v>
      </x:c>
      <x:c r="D396" s="31" t="str">
        <x:v>13</x:v>
      </x:c>
      <x:c r="E396" s="19" t="str">
        <x:v>FT-A2022</x:v>
      </x:c>
      <x:c r="F396" s="31" t="str">
        <x:v>chronic uncertainty</x:v>
      </x:c>
      <x:c r="G396" s="19" t="str">
        <x:v>C</x:v>
      </x:c>
      <x:c r="H396" s="19" t="str">
        <x:v>NOT_EXPOSED_IN_REPORT</x:v>
      </x:c>
      <x:c r="I396" s="31" t="str">
        <x:v>NOT_EXPOSED_IN_REPORT</x:v>
      </x:c>
      <x:c r="J396" s="19" t="str">
        <x:v>NOT_EXPOSED_IN_REPORT</x:v>
      </x:c>
      <x:c r="K396" s="19" t="str">
        <x:v>EXPANSION_ORDER=2;ORIGINAL_ROW_METADATA_NOT_EXPOSED</x:v>
      </x:c>
      <x:c r="L396" s="19" t="str">
        <x:v>NOT_EXPOSED_IN_REPORT</x:v>
      </x:c>
      <x:c r="M396" s="19" t="str">
        <x:v>EXPANSION_ORDER_02</x:v>
      </x:c>
      <x:c r="N396" s="31" t="str">
        <x:v>RECONSTRUCTED_FROM_REPORT</x:v>
      </x:c>
      <x:c r="O396" s="31" t="str">
        <x:v>UNRESOLVED</x:v>
      </x:c>
      <x:c r="P396" s="19" t="str">
        <x:v>Fear of Temperature_ Stratified Lexical Expansion, Voice Mapping, and Semantic-Relational Pre-Valida.pdf</x:v>
      </x:c>
      <x:c r="Q396" s="31" t="str">
        <x:v>RECONSTRUCTED_FROM_REPORT</x:v>
      </x:c>
      <x:c r="R396" s="43" t="str">
        <x:v>New surrogate project ID assigned from the report's narrative Expansion list; original structured row identity and per-row voice/source metadata were unavailable.</x:v>
      </x:c>
    </x:row>
    <x:row r="397" ht="30" customHeight="1">
      <x:c r="A397" s="40" t="str">
        <x:v>FT-SEED-R1B-X-2022-03</x:v>
      </x:c>
      <x:c r="B397" s="19" t="str">
        <x:v>EXPANSION_36</x:v>
      </x:c>
      <x:c r="C397" s="31" t="str">
        <x:v>NOT_EXPOSED_IN_REPORT</x:v>
      </x:c>
      <x:c r="D397" s="31" t="str">
        <x:v>13</x:v>
      </x:c>
      <x:c r="E397" s="19" t="str">
        <x:v>FT-A2022</x:v>
      </x:c>
      <x:c r="F397" s="31" t="str">
        <x:v>isolation</x:v>
      </x:c>
      <x:c r="G397" s="19" t="str">
        <x:v>C</x:v>
      </x:c>
      <x:c r="H397" s="19" t="str">
        <x:v>NOT_EXPOSED_IN_REPORT</x:v>
      </x:c>
      <x:c r="I397" s="31" t="str">
        <x:v>NOT_EXPOSED_IN_REPORT</x:v>
      </x:c>
      <x:c r="J397" s="19" t="str">
        <x:v>NOT_EXPOSED_IN_REPORT</x:v>
      </x:c>
      <x:c r="K397" s="19" t="str">
        <x:v>EXPANSION_ORDER=3;ORIGINAL_ROW_METADATA_NOT_EXPOSED</x:v>
      </x:c>
      <x:c r="L397" s="19" t="str">
        <x:v>NOT_EXPOSED_IN_REPORT</x:v>
      </x:c>
      <x:c r="M397" s="19" t="str">
        <x:v>EXPANSION_ORDER_03</x:v>
      </x:c>
      <x:c r="N397" s="31" t="str">
        <x:v>RECONSTRUCTED_FROM_REPORT</x:v>
      </x:c>
      <x:c r="O397" s="31" t="str">
        <x:v>UNRESOLVED</x:v>
      </x:c>
      <x:c r="P397" s="19" t="str">
        <x:v>Fear of Temperature_ Stratified Lexical Expansion, Voice Mapping, and Semantic-Relational Pre-Valida.pdf</x:v>
      </x:c>
      <x:c r="Q397" s="31" t="str">
        <x:v>RECONSTRUCTED_FROM_REPORT</x:v>
      </x:c>
      <x:c r="R397" s="43" t="str">
        <x:v>New surrogate project ID assigned from the report's narrative Expansion list; original structured row identity and per-row voice/source metadata were unavailable.</x:v>
      </x:c>
    </x:row>
    <x:row r="398" ht="30" customHeight="1">
      <x:c r="A398" s="40" t="str">
        <x:v>FT-SEED-R1B-X-2022-04</x:v>
      </x:c>
      <x:c r="B398" s="19" t="str">
        <x:v>EXPANSION_36</x:v>
      </x:c>
      <x:c r="C398" s="31" t="str">
        <x:v>NOT_EXPOSED_IN_REPORT</x:v>
      </x:c>
      <x:c r="D398" s="31" t="str">
        <x:v>13</x:v>
      </x:c>
      <x:c r="E398" s="19" t="str">
        <x:v>FT-A2022</x:v>
      </x:c>
      <x:c r="F398" s="31" t="str">
        <x:v>climate emergency</x:v>
      </x:c>
      <x:c r="G398" s="19" t="str">
        <x:v>D</x:v>
      </x:c>
      <x:c r="H398" s="19" t="str">
        <x:v>NOT_EXPOSED_IN_REPORT</x:v>
      </x:c>
      <x:c r="I398" s="31" t="str">
        <x:v>NOT_EXPOSED_IN_REPORT</x:v>
      </x:c>
      <x:c r="J398" s="19" t="str">
        <x:v>NOT_EXPOSED_IN_REPORT</x:v>
      </x:c>
      <x:c r="K398" s="19" t="str">
        <x:v>EXPANSION_ORDER=4;ORIGINAL_ROW_METADATA_NOT_EXPOSED</x:v>
      </x:c>
      <x:c r="L398" s="19" t="str">
        <x:v>NOT_EXPOSED_IN_REPORT</x:v>
      </x:c>
      <x:c r="M398" s="19" t="str">
        <x:v>EXPANSION_ORDER_04</x:v>
      </x:c>
      <x:c r="N398" s="31" t="str">
        <x:v>RECONSTRUCTED_FROM_REPORT</x:v>
      </x:c>
      <x:c r="O398" s="31" t="str">
        <x:v>UNRESOLVED</x:v>
      </x:c>
      <x:c r="P398" s="19" t="str">
        <x:v>Fear of Temperature_ Stratified Lexical Expansion, Voice Mapping, and Semantic-Relational Pre-Valida.pdf</x:v>
      </x:c>
      <x:c r="Q398" s="31" t="str">
        <x:v>RECONSTRUCTED_FROM_REPORT</x:v>
      </x:c>
      <x:c r="R398" s="43" t="str">
        <x:v>New surrogate project ID assigned from the report's narrative Expansion list; original structured row identity and per-row voice/source metadata were unavailable.</x:v>
      </x:c>
    </x:row>
    <x:row r="399" ht="30" customHeight="1">
      <x:c r="A399" s="40" t="str">
        <x:v>FT-SEED-R1B-X-2022-05</x:v>
      </x:c>
      <x:c r="B399" s="19" t="str">
        <x:v>EXPANSION_36</x:v>
      </x:c>
      <x:c r="C399" s="31" t="str">
        <x:v>NOT_EXPOSED_IN_REPORT</x:v>
      </x:c>
      <x:c r="D399" s="31" t="str">
        <x:v>13</x:v>
      </x:c>
      <x:c r="E399" s="19" t="str">
        <x:v>FT-A2022</x:v>
      </x:c>
      <x:c r="F399" s="31" t="str">
        <x:v>chronic fear of environmental doom</x:v>
      </x:c>
      <x:c r="G399" s="19" t="str">
        <x:v>C</x:v>
      </x:c>
      <x:c r="H399" s="19" t="str">
        <x:v>NOT_EXPOSED_IN_REPORT</x:v>
      </x:c>
      <x:c r="I399" s="31" t="str">
        <x:v>NOT_EXPOSED_IN_REPORT</x:v>
      </x:c>
      <x:c r="J399" s="19" t="str">
        <x:v>NOT_EXPOSED_IN_REPORT</x:v>
      </x:c>
      <x:c r="K399" s="19" t="str">
        <x:v>EXPANSION_ORDER=5;ORIGINAL_ROW_METADATA_NOT_EXPOSED</x:v>
      </x:c>
      <x:c r="L399" s="19" t="str">
        <x:v>NOT_EXPOSED_IN_REPORT</x:v>
      </x:c>
      <x:c r="M399" s="19" t="str">
        <x:v>EXPANSION_ORDER_05</x:v>
      </x:c>
      <x:c r="N399" s="31" t="str">
        <x:v>RECONSTRUCTED_FROM_REPORT</x:v>
      </x:c>
      <x:c r="O399" s="31" t="str">
        <x:v>UNRESOLVED</x:v>
      </x:c>
      <x:c r="P399" s="19" t="str">
        <x:v>Fear of Temperature_ Stratified Lexical Expansion, Voice Mapping, and Semantic-Relational Pre-Valida.pdf</x:v>
      </x:c>
      <x:c r="Q399" s="31" t="str">
        <x:v>RECONSTRUCTED_FROM_REPORT</x:v>
      </x:c>
      <x:c r="R399" s="43" t="str">
        <x:v>New surrogate project ID assigned from the report's narrative Expansion list; original structured row identity and per-row voice/source metadata were unavailable.</x:v>
      </x:c>
    </x:row>
    <x:row r="400" ht="30" customHeight="1">
      <x:c r="A400" s="41" t="str">
        <x:v>FT-SEED-R1B-X-2022-06</x:v>
      </x:c>
      <x:c r="B400" s="22" t="str">
        <x:v>EXPANSION_36</x:v>
      </x:c>
      <x:c r="C400" s="32" t="str">
        <x:v>NOT_EXPOSED_IN_REPORT</x:v>
      </x:c>
      <x:c r="D400" s="32" t="str">
        <x:v>13</x:v>
      </x:c>
      <x:c r="E400" s="22" t="str">
        <x:v>FT-A2022</x:v>
      </x:c>
      <x:c r="F400" s="32" t="str">
        <x:v>fear of a degraded Earth</x:v>
      </x:c>
      <x:c r="G400" s="22" t="str">
        <x:v>C</x:v>
      </x:c>
      <x:c r="H400" s="22" t="str">
        <x:v>NOT_EXPOSED_IN_REPORT</x:v>
      </x:c>
      <x:c r="I400" s="32" t="str">
        <x:v>NOT_EXPOSED_IN_REPORT</x:v>
      </x:c>
      <x:c r="J400" s="22" t="str">
        <x:v>NOT_EXPOSED_IN_REPORT</x:v>
      </x:c>
      <x:c r="K400" s="22" t="str">
        <x:v>EXPANSION_ORDER=6;ORIGINAL_ROW_METADATA_NOT_EXPOSED</x:v>
      </x:c>
      <x:c r="L400" s="22" t="str">
        <x:v>NOT_EXPOSED_IN_REPORT</x:v>
      </x:c>
      <x:c r="M400" s="22" t="str">
        <x:v>EXPANSION_ORDER_06</x:v>
      </x:c>
      <x:c r="N400" s="32" t="str">
        <x:v>RECONSTRUCTED_FROM_REPORT</x:v>
      </x:c>
      <x:c r="O400" s="32" t="str">
        <x:v>UNRESOLVED</x:v>
      </x:c>
      <x:c r="P400" s="22" t="str">
        <x:v>Fear of Temperature_ Stratified Lexical Expansion, Voice Mapping, and Semantic-Relational Pre-Valida.pdf</x:v>
      </x:c>
      <x:c r="Q400" s="32" t="str">
        <x:v>RECONSTRUCTED_FROM_REPORT</x:v>
      </x:c>
      <x:c r="R400" s="44" t="str">
        <x:v>New surrogate project ID assigned from the report's narrative Expansion list; original structured row identity and per-row voice/source metadata were unavailable.</x:v>
      </x:c>
    </x:row>
  </x:sheetData>
  <x:mergeCells>
    <x:mergeCell ref="A1:R1"/>
    <x:mergeCell ref="A2:R2"/>
  </x:mergeCells>
  <x:conditionalFormatting sqref="N5:N400">
    <x:cfRule type="containsText" dxfId="120" priority="1" operator="containsText" text="COMPLETE"/>
    <x:cfRule type="containsText" dxfId="121" priority="2" operator="containsText" text="TRACEABLE"/>
    <x:cfRule type="containsText" dxfId="122" priority="3" operator="containsText" text="ZERO"/>
    <x:cfRule type="containsText" dxfId="123" priority="4" operator="containsText" text="UNRESOLVED"/>
    <x:cfRule type="containsText" dxfId="124" priority="5" operator="containsText" text="NOT_"/>
    <x:cfRule type="containsText" dxfId="125" priority="6" operator="containsText" text="PARTIAL"/>
  </x:conditionalFormatting>
  <x:conditionalFormatting sqref="O5:O400">
    <x:cfRule type="containsText" dxfId="126" priority="7" operator="containsText" text="COMPLETE"/>
    <x:cfRule type="containsText" dxfId="127" priority="8" operator="containsText" text="TRACEABLE"/>
    <x:cfRule type="containsText" dxfId="128" priority="9" operator="containsText" text="ZERO"/>
    <x:cfRule type="containsText" dxfId="129" priority="10" operator="containsText" text="UNRESOLVED"/>
    <x:cfRule type="containsText" dxfId="130" priority="11" operator="containsText" text="NOT_"/>
    <x:cfRule type="containsText" dxfId="131" priority="12" operator="containsText" text="PARTIAL"/>
  </x:conditionalFormatting>
  <x:conditionalFormatting sqref="Q5:Q400">
    <x:cfRule type="containsText" dxfId="132" priority="13" operator="containsText" text="COMPLETE"/>
    <x:cfRule type="containsText" dxfId="133" priority="14" operator="containsText" text="TRACEABLE"/>
    <x:cfRule type="containsText" dxfId="134" priority="15" operator="containsText" text="ZERO"/>
    <x:cfRule type="containsText" dxfId="135" priority="16" operator="containsText" text="UNRESOLVED"/>
    <x:cfRule type="containsText" dxfId="136" priority="17" operator="containsText" text="NOT_"/>
    <x:cfRule type="containsText" dxfId="137" priority="18" operator="containsText" text="PARTIAL"/>
  </x:conditionalFormatting>
  <x:pageMargins left="0.7" right="0.7" top="0.75" bottom="0.75" header="0.3" footer="0.3"/>
  <x:tableParts count="1">
    <x:tablePart xmlns:r="http://schemas.openxmlformats.org/officeDocument/2006/relationships" r:id="R4953b5f07a034a5b"/>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4" hidden="0" customWidth="1"/>
    <x:col min="4" max="4" width="24"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40" hidden="0" customWidth="1"/>
  </x:cols>
  <x:sheetData>
    <x:row r="1" ht="38" customHeight="1">
      <x:c r="A1" s="3" t="str">
        <x:v>Keyword Frequency Master Table</x:v>
      </x:c>
      <x:c r="B1" s="3" t="str">
        <x:v>Keyword Frequency Master Table</x:v>
      </x:c>
      <x:c r="C1" s="3" t="str">
        <x:v>Keyword Frequency Master Table</x:v>
      </x:c>
      <x:c r="D1" s="3" t="str">
        <x:v>Keyword Frequency Master Table</x:v>
      </x:c>
      <x:c r="E1" s="3" t="str">
        <x:v>Keyword Frequency Master Table</x:v>
      </x:c>
      <x:c r="F1" s="3" t="str">
        <x:v>Keyword Frequency Master Table</x:v>
      </x:c>
      <x:c r="G1" s="3" t="str">
        <x:v>Keyword Frequency Master Table</x:v>
      </x:c>
      <x:c r="H1" s="3" t="str">
        <x:v>Keyword Frequency Master Table</x:v>
      </x:c>
      <x:c r="I1" s="3" t="str">
        <x:v>Keyword Frequency Master Table</x:v>
      </x:c>
      <x:c r="J1" s="3" t="str">
        <x:v>Keyword Frequency Master Table</x:v>
      </x:c>
      <x:c r="K1" s="3" t="str">
        <x:v>Keyword Frequency Master Table</x:v>
      </x:c>
      <x:c r="L1" s="3" t="str">
        <x:v>Keyword Frequency Master Table</x:v>
      </x:c>
      <x:c r="M1" s="3" t="str">
        <x:v>Keyword Frequency Master Table</x:v>
      </x:c>
      <x:c r="N1" s="3" t="str">
        <x:v>Keyword Frequency Master Table</x:v>
      </x:c>
      <x:c r="O1" s="3" t="str">
        <x:v>Keyword Frequency Master Table</x:v>
      </x:c>
      <x:c r="P1" s="3" t="str">
        <x:v>Keyword Frequency Master Table</x:v>
      </x:c>
      <x:c r="Q1" s="3" t="str">
        <x:v>Keyword Frequency Master Table</x:v>
      </x:c>
      <x:c r="R1" s="3" t="str">
        <x:v>Keyword Frequency Master Table</x:v>
      </x:c>
      <x:c r="S1" s="3" t="str">
        <x:v>Keyword Frequency Master Table</x:v>
      </x:c>
      <x:c r="T1" s="3" t="str">
        <x:v>Keyword Frequency Master Table</x:v>
      </x:c>
      <x:c r="U1" s="3" t="str">
        <x:v>Keyword Frequency Master Table</x:v>
      </x:c>
      <x:c r="V1" s="3" t="str">
        <x:v>Keyword Frequency Master Table</x:v>
      </x:c>
      <x:c r="W1" s="3" t="str">
        <x:v>Keyword Frequency Master Table</x:v>
      </x:c>
      <x:c r="X1" s="3" t="str">
        <x:v>Keyword Frequency Master Table</x:v>
      </x:c>
      <x:c r="Y1" s="3" t="str">
        <x:v>Keyword Frequency Master Table</x:v>
      </x:c>
      <x:c r="Z1" s="3" t="str">
        <x:v>Keyword Frequency Master Table</x:v>
      </x:c>
      <x:c r="AA1" s="3" t="str">
        <x:v>Keyword Frequency Master Table</x:v>
      </x:c>
      <x:c r="AB1" s="3" t="str">
        <x:v>Keyword Frequency Master Table</x:v>
      </x:c>
      <x:c r="AC1" s="3" t="str">
        <x:v>Keyword Frequency Master Table</x:v>
      </x:c>
    </x:row>
    <x:row r="2" ht="32" customHeight="1">
      <x:c r="A2" s="7" t="str">
        <x:v>Annual normalized Google Books values and descriptive statistics; family members are never summed into a composite index.</x:v>
      </x:c>
      <x:c r="B2" s="7" t="str">
        <x:v>Annual normalized Google Books values and descriptive statistics; family members are never summed into a composite index.</x:v>
      </x:c>
      <x:c r="C2" s="7" t="str">
        <x:v>Annual normalized Google Books values and descriptive statistics; family members are never summed into a composite index.</x:v>
      </x:c>
      <x:c r="D2" s="7" t="str">
        <x:v>Annual normalized Google Books values and descriptive statistics; family members are never summed into a composite index.</x:v>
      </x:c>
      <x:c r="E2" s="7" t="str">
        <x:v>Annual normalized Google Books values and descriptive statistics; family members are never summed into a composite index.</x:v>
      </x:c>
      <x:c r="F2" s="7" t="str">
        <x:v>Annual normalized Google Books values and descriptive statistics; family members are never summed into a composite index.</x:v>
      </x:c>
      <x:c r="G2" s="7" t="str">
        <x:v>Annual normalized Google Books values and descriptive statistics; family members are never summed into a composite index.</x:v>
      </x:c>
      <x:c r="H2" s="7" t="str">
        <x:v>Annual normalized Google Books values and descriptive statistics; family members are never summed into a composite index.</x:v>
      </x:c>
      <x:c r="I2" s="7" t="str">
        <x:v>Annual normalized Google Books values and descriptive statistics; family members are never summed into a composite index.</x:v>
      </x:c>
      <x:c r="J2" s="7" t="str">
        <x:v>Annual normalized Google Books values and descriptive statistics; family members are never summed into a composite index.</x:v>
      </x:c>
      <x:c r="K2" s="7" t="str">
        <x:v>Annual normalized Google Books values and descriptive statistics; family members are never summed into a composite index.</x:v>
      </x:c>
      <x:c r="L2" s="7" t="str">
        <x:v>Annual normalized Google Books values and descriptive statistics; family members are never summed into a composite index.</x:v>
      </x:c>
      <x:c r="M2" s="7" t="str">
        <x:v>Annual normalized Google Books values and descriptive statistics; family members are never summed into a composite index.</x:v>
      </x:c>
      <x:c r="N2" s="7" t="str">
        <x:v>Annual normalized Google Books values and descriptive statistics; family members are never summed into a composite index.</x:v>
      </x:c>
      <x:c r="O2" s="7" t="str">
        <x:v>Annual normalized Google Books values and descriptive statistics; family members are never summed into a composite index.</x:v>
      </x:c>
      <x:c r="P2" s="7" t="str">
        <x:v>Annual normalized Google Books values and descriptive statistics; family members are never summed into a composite index.</x:v>
      </x:c>
      <x:c r="Q2" s="7" t="str">
        <x:v>Annual normalized Google Books values and descriptive statistics; family members are never summed into a composite index.</x:v>
      </x:c>
      <x:c r="R2" s="7" t="str">
        <x:v>Annual normalized Google Books values and descriptive statistics; family members are never summed into a composite index.</x:v>
      </x:c>
      <x:c r="S2" s="7" t="str">
        <x:v>Annual normalized Google Books values and descriptive statistics; family members are never summed into a composite index.</x:v>
      </x:c>
      <x:c r="T2" s="7" t="str">
        <x:v>Annual normalized Google Books values and descriptive statistics; family members are never summed into a composite index.</x:v>
      </x:c>
      <x:c r="U2" s="7" t="str">
        <x:v>Annual normalized Google Books values and descriptive statistics; family members are never summed into a composite index.</x:v>
      </x:c>
      <x:c r="V2" s="7" t="str">
        <x:v>Annual normalized Google Books values and descriptive statistics; family members are never summed into a composite index.</x:v>
      </x:c>
      <x:c r="W2" s="7" t="str">
        <x:v>Annual normalized Google Books values and descriptive statistics; family members are never summed into a composite index.</x:v>
      </x:c>
      <x:c r="X2" s="7" t="str">
        <x:v>Annual normalized Google Books values and descriptive statistics; family members are never summed into a composite index.</x:v>
      </x:c>
      <x:c r="Y2" s="7" t="str">
        <x:v>Annual normalized Google Books values and descriptive statistics; family members are never summed into a composite index.</x:v>
      </x:c>
      <x:c r="Z2" s="7" t="str">
        <x:v>Annual normalized Google Books values and descriptive statistics; family members are never summed into a composite index.</x:v>
      </x:c>
      <x:c r="AA2" s="7" t="str">
        <x:v>Annual normalized Google Books values and descriptive statistics; family members are never summed into a composite index.</x:v>
      </x:c>
      <x:c r="AB2" s="7" t="str">
        <x:v>Annual normalized Google Books values and descriptive statistics; family members are never summed into a composite index.</x:v>
      </x:c>
      <x:c r="AC2" s="7" t="str">
        <x:v>Annual normalized Google Books values and descriptive statistics; family members are never summed into a composite index.</x:v>
      </x:c>
    </x:row>
    <x:row r="4" ht="42" customHeight="1">
      <x:c r="A4" s="14" t="str">
        <x:v>query_id</x:v>
      </x:c>
      <x:c r="B4" s="14" t="str">
        <x:v>surface_form</x:v>
      </x:c>
      <x:c r="C4" s="14" t="str">
        <x:v>canonical_concept</x:v>
      </x:c>
      <x:c r="D4" s="14" t="str">
        <x:v>lexical_family</x:v>
      </x:c>
      <x:c r="E4" s="14" t="str">
        <x:v>primary_layer</x:v>
      </x:c>
      <x:c r="F4" s="14" t="str">
        <x:v>query_classification</x:v>
      </x:c>
      <x:c r="G4" s="14" t="str">
        <x:v>ambiguity_class</x:v>
      </x:c>
      <x:c r="H4" s="14" t="str">
        <x:v>corpus</x:v>
      </x:c>
      <x:c r="I4" s="14" t="str">
        <x:v>corpus_version</x:v>
      </x:c>
      <x:c r="J4" s="14" t="str">
        <x:v>year_start</x:v>
      </x:c>
      <x:c r="K4" s="14" t="str">
        <x:v>year_end</x:v>
      </x:c>
      <x:c r="L4" s="14" t="str">
        <x:v>first_nonzero_year</x:v>
      </x:c>
      <x:c r="M4" s="14" t="str">
        <x:v>nonzero_year_count</x:v>
      </x:c>
      <x:c r="N4" s="14" t="str">
        <x:v>peak_year</x:v>
      </x:c>
      <x:c r="O4" s="14" t="str">
        <x:v>peak_frequency</x:v>
      </x:c>
      <x:c r="P4" s="14" t="str">
        <x:v>latest_year_value</x:v>
      </x:c>
      <x:c r="Q4" s="14" t="str">
        <x:v>1842_value</x:v>
      </x:c>
      <x:c r="R4" s="14" t="str">
        <x:v>1938_value</x:v>
      </x:c>
      <x:c r="S4" s="14" t="str">
        <x:v>1988_value</x:v>
      </x:c>
      <x:c r="T4" s="14" t="str">
        <x:v>2006_value</x:v>
      </x:c>
      <x:c r="U4" s="14" t="str">
        <x:v>2007_value</x:v>
      </x:c>
      <x:c r="V4" s="14" t="str">
        <x:v>2006_07_mean</x:v>
      </x:c>
      <x:c r="W4" s="14" t="str">
        <x:v>2015_value</x:v>
      </x:c>
      <x:c r="X4" s="14" t="str">
        <x:v>2022_value</x:v>
      </x:c>
      <x:c r="Y4" s="14" t="str">
        <x:v>2022_or_latest_value</x:v>
      </x:c>
      <x:c r="Z4" s="14" t="str">
        <x:v>latest_supported_year</x:v>
      </x:c>
      <x:c r="AA4" s="14" t="str">
        <x:v>zero_sparse_flag</x:v>
      </x:c>
      <x:c r="AB4" s="14" t="str">
        <x:v>trajectory_availability</x:v>
      </x:c>
      <x:c r="AC4" s="14" t="str">
        <x:v>interpretation_note</x:v>
      </x:c>
    </x:row>
    <x:row r="5" ht="24" customHeight="1">
      <x:c r="A5" s="39" t="str">
        <x:v>FT-Q-V01-001</x:v>
      </x:c>
      <x:c r="B5" s="30" t="str">
        <x:v>temperature</x:v>
      </x:c>
      <x:c r="C5" s="30" t="str">
        <x:v>local / instrumental temperature</x:v>
      </x:c>
      <x:c r="D5" s="30" t="str">
        <x:v>temperature_threshold</x:v>
      </x:c>
      <x:c r="E5" s="16" t="str">
        <x:v>A</x:v>
      </x:c>
      <x:c r="F5" s="16" t="str">
        <x:v>BACKGROUND_AMBIGUOUS</x:v>
      </x:c>
      <x:c r="G5" s="16" t="str">
        <x:v>BACKGROUND_AMBIGUOUS</x:v>
      </x:c>
      <x:c r="H5" s="16" t="str">
        <x:v>eng</x:v>
      </x:c>
      <x:c r="I5" s="16" t="str">
        <x:v>current English corpus (July 2024 dataset; public shorthand eng; mutable current corpus)</x:v>
      </x:c>
      <x:c r="J5" s="16" t="str">
        <x:v>1842</x:v>
      </x:c>
      <x:c r="K5" s="16" t="str">
        <x:v>2022</x:v>
      </x:c>
      <x:c r="L5" s="24" t="n">
        <x:v>1842</x:v>
      </x:c>
      <x:c r="M5" s="24" t="n">
        <x:v>181</x:v>
      </x:c>
      <x:c r="N5" s="24" t="n">
        <x:v>1962</x:v>
      </x:c>
      <x:c r="O5" s="45" t="n">
        <x:v>0.0001827782312213422</x:v>
      </x:c>
      <x:c r="P5" s="16" t="str">
        <x:v>9.003187850510977e-05</x:v>
      </x:c>
      <x:c r="Q5" s="16" t="str">
        <x:v>3.817854639009965e-05</x:v>
      </x:c>
      <x:c r="R5" s="16" t="str">
        <x:v>0.0001075987250857835</x:v>
      </x:c>
      <x:c r="S5" s="16" t="str">
        <x:v>0.0001381082131784381</x:v>
      </x:c>
      <x:c r="T5" s="16" t="str">
        <x:v>9.349962672342699e-05</x:v>
      </x:c>
      <x:c r="U5" s="16" t="str">
        <x:v>9.569523659125334e-05</x:v>
      </x:c>
      <x:c r="V5" s="45" t="n">
        <x:v>0.00009459743165734016</x:v>
      </x:c>
      <x:c r="W5" s="16" t="str">
        <x:v>7.593630839236587e-05</x:v>
      </x:c>
      <x:c r="X5" s="16" t="str">
        <x:v>9.003187850510977e-05</x:v>
      </x:c>
      <x:c r="Y5" s="16" t="str">
        <x:v>9.003187850510977e-05</x:v>
      </x:c>
      <x:c r="Z5" s="24" t="n">
        <x:v>2022</x:v>
      </x:c>
      <x:c r="AA5" s="16" t="str">
        <x:v>AVAILABLE</x:v>
      </x:c>
      <x:c r="AB5" s="16" t="str">
        <x:v>AVAILABLE</x:v>
      </x:c>
      <x:c r="AC5" s="42" t="str">
        <x:v>Generic corpus string frequency; not climate-specific semantic frequency.</x:v>
      </x:c>
    </x:row>
    <x:row r="6" ht="24" customHeight="1">
      <x:c r="A6" s="40" t="str">
        <x:v>FT-Q-V01-002</x:v>
      </x:c>
      <x:c r="B6" s="31" t="str">
        <x:v>mean temperature</x:v>
      </x:c>
      <x:c r="C6" s="31" t="str">
        <x:v>mean temperature</x:v>
      </x:c>
      <x:c r="D6" s="31" t="str">
        <x:v>temperature_threshold</x:v>
      </x:c>
      <x:c r="E6" s="19" t="str">
        <x:v>A</x:v>
      </x:c>
      <x:c r="F6" s="19" t="str">
        <x:v>EXECUTABLE_NGRAM</x:v>
      </x:c>
      <x:c r="G6" s="19" t="str">
        <x:v>CONTEXT_REQUIRED</x:v>
      </x:c>
      <x:c r="H6" s="19" t="str">
        <x:v>eng</x:v>
      </x:c>
      <x:c r="I6" s="19" t="str">
        <x:v>current English corpus (July 2024 dataset; public shorthand eng; mutable current corpus)</x:v>
      </x:c>
      <x:c r="J6" s="19" t="str">
        <x:v>1842</x:v>
      </x:c>
      <x:c r="K6" s="19" t="str">
        <x:v>2022</x:v>
      </x:c>
      <x:c r="L6" s="25" t="n">
        <x:v>1842</x:v>
      </x:c>
      <x:c r="M6" s="25" t="n">
        <x:v>181</x:v>
      </x:c>
      <x:c r="N6" s="25" t="n">
        <x:v>1858</x:v>
      </x:c>
      <x:c r="O6" s="46" t="n">
        <x:v>0.000003219442511692705</x:v>
      </x:c>
      <x:c r="P6" s="19" t="str">
        <x:v>3.990877988080399e-07</x:v>
      </x:c>
      <x:c r="Q6" s="19" t="str">
        <x:v>2.365172290907935e-06</x:v>
      </x:c>
      <x:c r="R6" s="19" t="str">
        <x:v>1.06460447896195e-06</x:v>
      </x:c>
      <x:c r="S6" s="19" t="str">
        <x:v>5.396020415979197e-07</x:v>
      </x:c>
      <x:c r="T6" s="19" t="str">
        <x:v>4.059007448348195e-07</x:v>
      </x:c>
      <x:c r="U6" s="19" t="str">
        <x:v>4.200255244168893e-07</x:v>
      </x:c>
      <x:c r="V6" s="46" t="n">
        <x:v>4.129631346258544e-7</x:v>
      </x:c>
      <x:c r="W6" s="19" t="str">
        <x:v>3.047325316460348e-07</x:v>
      </x:c>
      <x:c r="X6" s="19" t="str">
        <x:v>3.990877988080399e-07</x:v>
      </x:c>
      <x:c r="Y6" s="19" t="str">
        <x:v>3.990877988080399e-07</x:v>
      </x:c>
      <x:c r="Z6" s="25" t="n">
        <x:v>2022</x:v>
      </x:c>
      <x:c r="AA6" s="19" t="str">
        <x:v>AVAILABLE</x:v>
      </x:c>
      <x:c r="AB6" s="19" t="str">
        <x:v>AVAILABLE</x:v>
      </x:c>
      <x:c r="AC6" s="43" t="str">
        <x:v>Climate/temperature-linked lexical frequency; still not evidence of reception, voice, or affect without passage review.</x:v>
      </x:c>
    </x:row>
    <x:row r="7" ht="24" customHeight="1">
      <x:c r="A7" s="40" t="str">
        <x:v>FT-Q-V01-003</x:v>
      </x:c>
      <x:c r="B7" s="31" t="str">
        <x:v>temperature of the air in shade</x:v>
      </x:c>
      <x:c r="C7" s="31" t="str">
        <x:v>local / instrumental temperature</x:v>
      </x:c>
      <x:c r="D7" s="31" t="str">
        <x:v>temperature_threshold</x:v>
      </x:c>
      <x:c r="E7" s="19" t="str">
        <x:v>A</x:v>
      </x:c>
      <x:c r="F7" s="19" t="str">
        <x:v>EXECUTABLE_NGRAM</x:v>
      </x:c>
      <x:c r="G7" s="19" t="str">
        <x:v>CONTEXT_REQUIRED</x:v>
      </x:c>
      <x:c r="H7" s="19" t="str">
        <x:v>eng</x:v>
      </x:c>
      <x:c r="I7" s="19" t="str">
        <x:v>current English corpus (July 2024 dataset; public shorthand eng; mutable current corpus)</x:v>
      </x:c>
      <x:c r="J7" s="19" t="str">
        <x:v>1842</x:v>
      </x:c>
      <x:c r="K7" s="19" t="str">
        <x:v>2022</x:v>
      </x:c>
      <x:c r="L7" s="25" t="n">
        <x:v>1846</x:v>
      </x:c>
      <x:c r="M7" s="25" t="n">
        <x:v>79</x:v>
      </x:c>
      <x:c r="N7" s="25" t="n">
        <x:v>1858</x:v>
      </x:c>
      <x:c r="O7" s="46" t="n">
        <x:v>1.437969920914384e-8</x:v>
      </x:c>
      <x:c r="P7" s="19" t="str">
        <x:v>5.812207659605662e-11</x:v>
      </x:c>
      <x:c r="Q7" s="19" t="str">
        <x:v>0</x:v>
      </x:c>
      <x:c r="R7" s="19" t="str">
        <x:v>0</x:v>
      </x:c>
      <x:c r="S7" s="19" t="str">
        <x:v>0</x:v>
      </x:c>
      <x:c r="T7" s="19" t="str">
        <x:v>0</x:v>
      </x:c>
      <x:c r="U7" s="19" t="str">
        <x:v>0</x:v>
      </x:c>
      <x:c r="V7" s="46" t="n">
        <x:v>0</x:v>
      </x:c>
      <x:c r="W7" s="19" t="str">
        <x:v>6.163167892703214e-11</x:v>
      </x:c>
      <x:c r="X7" s="19" t="str">
        <x:v>5.812207659605662e-11</x:v>
      </x:c>
      <x:c r="Y7" s="19" t="str">
        <x:v>5.812207659605662e-11</x:v>
      </x:c>
      <x:c r="Z7" s="25" t="n">
        <x:v>2022</x:v>
      </x:c>
      <x:c r="AA7" s="19" t="str">
        <x:v>AVAILABLE</x:v>
      </x:c>
      <x:c r="AB7" s="19" t="str">
        <x:v>AVAILABLE</x:v>
      </x:c>
      <x:c r="AC7" s="43" t="str">
        <x:v>Climate/temperature-linked lexical frequency; still not evidence of reception, voice, or affect without passage review.</x:v>
      </x:c>
    </x:row>
    <x:row r="8" ht="24" customHeight="1">
      <x:c r="A8" s="40" t="str">
        <x:v>FT-Q-V01-004</x:v>
      </x:c>
      <x:c r="B8" s="31" t="str">
        <x:v>maximum temperature</x:v>
      </x:c>
      <x:c r="C8" s="31" t="str">
        <x:v>local / instrumental temperature</x:v>
      </x:c>
      <x:c r="D8" s="31" t="str">
        <x:v>temperature_threshold</x:v>
      </x:c>
      <x:c r="E8" s="19" t="str">
        <x:v>A</x:v>
      </x:c>
      <x:c r="F8" s="19" t="str">
        <x:v>EXECUTABLE_NGRAM</x:v>
      </x:c>
      <x:c r="G8" s="19" t="str">
        <x:v>CONTEXT_REQUIRED</x:v>
      </x:c>
      <x:c r="H8" s="19" t="str">
        <x:v>eng</x:v>
      </x:c>
      <x:c r="I8" s="19" t="str">
        <x:v>current English corpus (July 2024 dataset; public shorthand eng; mutable current corpus)</x:v>
      </x:c>
      <x:c r="J8" s="19" t="str">
        <x:v>1842</x:v>
      </x:c>
      <x:c r="K8" s="19" t="str">
        <x:v>2022</x:v>
      </x:c>
      <x:c r="L8" s="25" t="n">
        <x:v>1842</x:v>
      </x:c>
      <x:c r="M8" s="25" t="n">
        <x:v>181</x:v>
      </x:c>
      <x:c r="N8" s="25" t="n">
        <x:v>1958</x:v>
      </x:c>
      <x:c r="O8" s="46" t="n">
        <x:v>0.000001041604742735291</x:v>
      </x:c>
      <x:c r="P8" s="19" t="str">
        <x:v>4.573516876604788e-07</x:v>
      </x:c>
      <x:c r="Q8" s="19" t="str">
        <x:v>3.882829831547419e-07</x:v>
      </x:c>
      <x:c r="R8" s="19" t="str">
        <x:v>7.694687983172965e-07</x:v>
      </x:c>
      <x:c r="S8" s="19" t="str">
        <x:v>6.011975100389533e-07</x:v>
      </x:c>
      <x:c r="T8" s="19" t="str">
        <x:v>5.097794715247517e-07</x:v>
      </x:c>
      <x:c r="U8" s="19" t="str">
        <x:v>4.458864027237497e-07</x:v>
      </x:c>
      <x:c r="V8" s="46" t="n">
        <x:v>4.778329371242507e-7</x:v>
      </x:c>
      <x:c r="W8" s="19" t="str">
        <x:v>3.236936924611022e-07</x:v>
      </x:c>
      <x:c r="X8" s="19" t="str">
        <x:v>4.573516876604788e-07</x:v>
      </x:c>
      <x:c r="Y8" s="19" t="str">
        <x:v>4.573516876604788e-07</x:v>
      </x:c>
      <x:c r="Z8" s="25" t="n">
        <x:v>2022</x:v>
      </x:c>
      <x:c r="AA8" s="19" t="str">
        <x:v>AVAILABLE</x:v>
      </x:c>
      <x:c r="AB8" s="19" t="str">
        <x:v>AVAILABLE</x:v>
      </x:c>
      <x:c r="AC8" s="43" t="str">
        <x:v>Climate/temperature-linked lexical frequency; still not evidence of reception, voice, or affect without passage review.</x:v>
      </x:c>
    </x:row>
    <x:row r="9" ht="24" customHeight="1">
      <x:c r="A9" s="40" t="str">
        <x:v>FT-Q-V01-005</x:v>
      </x:c>
      <x:c r="B9" s="31" t="str">
        <x:v>minimum temperature</x:v>
      </x:c>
      <x:c r="C9" s="31" t="str">
        <x:v>local / instrumental temperature</x:v>
      </x:c>
      <x:c r="D9" s="31" t="str">
        <x:v>temperature_threshold</x:v>
      </x:c>
      <x:c r="E9" s="19" t="str">
        <x:v>A</x:v>
      </x:c>
      <x:c r="F9" s="19" t="str">
        <x:v>EXECUTABLE_NGRAM</x:v>
      </x:c>
      <x:c r="G9" s="19" t="str">
        <x:v>CONTEXT_REQUIRED</x:v>
      </x:c>
      <x:c r="H9" s="19" t="str">
        <x:v>eng</x:v>
      </x:c>
      <x:c r="I9" s="19" t="str">
        <x:v>current English corpus (July 2024 dataset; public shorthand eng; mutable current corpus)</x:v>
      </x:c>
      <x:c r="J9" s="19" t="str">
        <x:v>1842</x:v>
      </x:c>
      <x:c r="K9" s="19" t="str">
        <x:v>2022</x:v>
      </x:c>
      <x:c r="L9" s="25" t="n">
        <x:v>1842</x:v>
      </x:c>
      <x:c r="M9" s="25" t="n">
        <x:v>181</x:v>
      </x:c>
      <x:c r="N9" s="25" t="n">
        <x:v>1985</x:v>
      </x:c>
      <x:c r="O9" s="46" t="n">
        <x:v>5.244083450678394e-7</x:v>
      </x:c>
      <x:c r="P9" s="19" t="str">
        <x:v>2.218629117367588e-07</x:v>
      </x:c>
      <x:c r="Q9" s="19" t="str">
        <x:v>2.334857803210078e-07</x:v>
      </x:c>
      <x:c r="R9" s="19" t="str">
        <x:v>4.141922915756879e-07</x:v>
      </x:c>
      <x:c r="S9" s="19" t="str">
        <x:v>3.655257283935454e-07</x:v>
      </x:c>
      <x:c r="T9" s="19" t="str">
        <x:v>2.540885604349064e-07</x:v>
      </x:c>
      <x:c r="U9" s="19" t="str">
        <x:v>2.430921979997003e-07</x:v>
      </x:c>
      <x:c r="V9" s="46" t="n">
        <x:v>2.485903792173033e-7</x:v>
      </x:c>
      <x:c r="W9" s="19" t="str">
        <x:v>1.545846264848494e-07</x:v>
      </x:c>
      <x:c r="X9" s="19" t="str">
        <x:v>2.218629117367588e-07</x:v>
      </x:c>
      <x:c r="Y9" s="19" t="str">
        <x:v>2.218629117367588e-07</x:v>
      </x:c>
      <x:c r="Z9" s="25" t="n">
        <x:v>2022</x:v>
      </x:c>
      <x:c r="AA9" s="19" t="str">
        <x:v>AVAILABLE</x:v>
      </x:c>
      <x:c r="AB9" s="19" t="str">
        <x:v>AVAILABLE</x:v>
      </x:c>
      <x:c r="AC9" s="43" t="str">
        <x:v>Climate/temperature-linked lexical frequency; still not evidence of reception, voice, or affect without passage review.</x:v>
      </x:c>
    </x:row>
    <x:row r="10" ht="24" customHeight="1">
      <x:c r="A10" s="40" t="str">
        <x:v>FT-Q-V01-006</x:v>
      </x:c>
      <x:c r="B10" s="31" t="str">
        <x:v>mean temperature of sea at surface</x:v>
      </x:c>
      <x:c r="C10" s="31" t="str">
        <x:v>mean temperature</x:v>
      </x:c>
      <x:c r="D10" s="31" t="str">
        <x:v>temperature_threshold</x:v>
      </x:c>
      <x:c r="E10" s="19" t="str">
        <x:v>A</x:v>
      </x:c>
      <x:c r="F10" s="19" t="str">
        <x:v>EXECUTABLE_NGRAM</x:v>
      </x:c>
      <x:c r="G10" s="19" t="str">
        <x:v>CONTEXT_REQUIRED</x:v>
      </x:c>
      <x:c r="H10" s="19" t="str">
        <x:v>eng</x:v>
      </x:c>
      <x:c r="I10" s="19" t="str">
        <x:v>current English corpus (July 2024 dataset; public shorthand eng; mutable current corpus)</x:v>
      </x:c>
      <x:c r="J10" s="19" t="str">
        <x:v>1842</x:v>
      </x:c>
      <x:c r="K10" s="19" t="str">
        <x:v>2022</x:v>
      </x:c>
      <x:c r="L10" s="25" t="str"/>
      <x:c r="M10" s="25" t="n">
        <x:v>0</x:v>
      </x:c>
      <x:c r="N10" s="25" t="str"/>
      <x:c r="O10" s="46" t="str"/>
      <x:c r="P10" s="19" t="str"/>
      <x:c r="Q10" s="19" t="str"/>
      <x:c r="R10" s="19" t="str"/>
      <x:c r="S10" s="19" t="str"/>
      <x:c r="T10" s="19" t="str"/>
      <x:c r="U10" s="19" t="str"/>
      <x:c r="V10" s="46" t="str"/>
      <x:c r="W10" s="19" t="str"/>
      <x:c r="X10" s="19" t="str"/>
      <x:c r="Y10" s="19" t="str"/>
      <x:c r="Z10" s="25" t="n">
        <x:v>2022</x:v>
      </x:c>
      <x:c r="AA10" s="19" t="str">
        <x:v>NO_SERIES</x:v>
      </x:c>
      <x:c r="AB10" s="19" t="str">
        <x:v>NOT_AVAILABLE</x:v>
      </x:c>
      <x:c r="AC10" s="43" t="str">
        <x:v>Climate/temperature-linked lexical frequency; still not evidence of reception, voice, or affect without passage review.</x:v>
      </x:c>
    </x:row>
    <x:row r="11" ht="24" customHeight="1">
      <x:c r="A11" s="40" t="str">
        <x:v>FT-Q-V01-007</x:v>
      </x:c>
      <x:c r="B11" s="31" t="str">
        <x:v>dew point</x:v>
      </x:c>
      <x:c r="C11" s="31" t="str">
        <x:v>local / instrumental temperature</x:v>
      </x:c>
      <x:c r="D11" s="31" t="str">
        <x:v>temperature_threshold</x:v>
      </x:c>
      <x:c r="E11" s="19" t="str">
        <x:v>A</x:v>
      </x:c>
      <x:c r="F11" s="19" t="str">
        <x:v>EXECUTABLE_NGRAM</x:v>
      </x:c>
      <x:c r="G11" s="19" t="str">
        <x:v>CONTEXT_REQUIRED</x:v>
      </x:c>
      <x:c r="H11" s="19" t="str">
        <x:v>eng</x:v>
      </x:c>
      <x:c r="I11" s="19" t="str">
        <x:v>current English corpus (July 2024 dataset; public shorthand eng; mutable current corpus)</x:v>
      </x:c>
      <x:c r="J11" s="19" t="str">
        <x:v>1842</x:v>
      </x:c>
      <x:c r="K11" s="19" t="str">
        <x:v>2022</x:v>
      </x:c>
      <x:c r="L11" s="25" t="n">
        <x:v>1842</x:v>
      </x:c>
      <x:c r="M11" s="25" t="n">
        <x:v>181</x:v>
      </x:c>
      <x:c r="N11" s="25" t="n">
        <x:v>1844</x:v>
      </x:c>
      <x:c r="O11" s="46" t="n">
        <x:v>0.00000128604265636767</x:v>
      </x:c>
      <x:c r="P11" s="19" t="str">
        <x:v>2.297376025528486e-07</x:v>
      </x:c>
      <x:c r="Q11" s="19" t="str">
        <x:v>5.02445909766891e-07</x:v>
      </x:c>
      <x:c r="R11" s="19" t="str">
        <x:v>5.571938874737725e-07</x:v>
      </x:c>
      <x:c r="S11" s="19" t="str">
        <x:v>3.645386200609724e-07</x:v>
      </x:c>
      <x:c r="T11" s="19" t="str">
        <x:v>2.918584796063328e-07</x:v>
      </x:c>
      <x:c r="U11" s="19" t="str">
        <x:v>2.695827225132619e-07</x:v>
      </x:c>
      <x:c r="V11" s="46" t="n">
        <x:v>2.807206010597973e-7</x:v>
      </x:c>
      <x:c r="W11" s="19" t="str">
        <x:v>2.239375508326924e-07</x:v>
      </x:c>
      <x:c r="X11" s="19" t="str">
        <x:v>2.297376025528486e-07</x:v>
      </x:c>
      <x:c r="Y11" s="19" t="str">
        <x:v>2.297376025528486e-07</x:v>
      </x:c>
      <x:c r="Z11" s="25" t="n">
        <x:v>2022</x:v>
      </x:c>
      <x:c r="AA11" s="19" t="str">
        <x:v>AVAILABLE</x:v>
      </x:c>
      <x:c r="AB11" s="19" t="str">
        <x:v>AVAILABLE</x:v>
      </x:c>
      <x:c r="AC11" s="43" t="str">
        <x:v>Climate/temperature-linked lexical frequency; still not evidence of reception, voice, or affect without passage review.</x:v>
      </x:c>
    </x:row>
    <x:row r="12" ht="24" customHeight="1">
      <x:c r="A12" s="40" t="str">
        <x:v>FT-Q-V01-008</x:v>
      </x:c>
      <x:c r="B12" s="31" t="str">
        <x:v>standard thermometer</x:v>
      </x:c>
      <x:c r="C12" s="31" t="str">
        <x:v>local / instrumental temperature</x:v>
      </x:c>
      <x:c r="D12" s="31" t="str">
        <x:v>temperature_threshold</x:v>
      </x:c>
      <x:c r="E12" s="19" t="str">
        <x:v>A</x:v>
      </x:c>
      <x:c r="F12" s="19" t="str">
        <x:v>EXECUTABLE_NGRAM</x:v>
      </x:c>
      <x:c r="G12" s="19" t="str">
        <x:v>CONTEXT_REQUIRED</x:v>
      </x:c>
      <x:c r="H12" s="19" t="str">
        <x:v>eng</x:v>
      </x:c>
      <x:c r="I12" s="19" t="str">
        <x:v>current English corpus (July 2024 dataset; public shorthand eng; mutable current corpus)</x:v>
      </x:c>
      <x:c r="J12" s="19" t="str">
        <x:v>1842</x:v>
      </x:c>
      <x:c r="K12" s="19" t="str">
        <x:v>2022</x:v>
      </x:c>
      <x:c r="L12" s="25" t="n">
        <x:v>1842</x:v>
      </x:c>
      <x:c r="M12" s="25" t="n">
        <x:v>181</x:v>
      </x:c>
      <x:c r="N12" s="25" t="n">
        <x:v>1875</x:v>
      </x:c>
      <x:c r="O12" s="46" t="n">
        <x:v>2.04969970774016e-7</x:v>
      </x:c>
      <x:c r="P12" s="19" t="str">
        <x:v>2.610151789150805e-09</x:v>
      </x:c>
      <x:c r="Q12" s="19" t="str">
        <x:v>8.384848482201335e-09</x:v>
      </x:c>
      <x:c r="R12" s="19" t="str">
        <x:v>3.541628268433072e-08</x:v>
      </x:c>
      <x:c r="S12" s="19" t="str">
        <x:v>5.922642067751616e-09</x:v>
      </x:c>
      <x:c r="T12" s="19" t="str">
        <x:v>2.975811957961483e-09</x:v>
      </x:c>
      <x:c r="U12" s="19" t="str">
        <x:v>4.857346223158254e-09</x:v>
      </x:c>
      <x:c r="V12" s="46" t="n">
        <x:v>3.916579090559869e-9</x:v>
      </x:c>
      <x:c r="W12" s="19" t="str">
        <x:v>2.335115319856973e-09</x:v>
      </x:c>
      <x:c r="X12" s="19" t="str">
        <x:v>2.610151789150805e-09</x:v>
      </x:c>
      <x:c r="Y12" s="19" t="str">
        <x:v>2.610151789150805e-09</x:v>
      </x:c>
      <x:c r="Z12" s="25" t="n">
        <x:v>2022</x:v>
      </x:c>
      <x:c r="AA12" s="19" t="str">
        <x:v>AVAILABLE</x:v>
      </x:c>
      <x:c r="AB12" s="19" t="str">
        <x:v>AVAILABLE</x:v>
      </x:c>
      <x:c r="AC12" s="43" t="str">
        <x:v>Climate/temperature-linked lexical frequency; still not evidence of reception, voice, or affect without passage review.</x:v>
      </x:c>
    </x:row>
    <x:row r="13" ht="24" customHeight="1">
      <x:c r="A13" s="40" t="str">
        <x:v>FT-Q-V01-009</x:v>
      </x:c>
      <x:c r="B13" s="31" t="str">
        <x:v>attached thermometer</x:v>
      </x:c>
      <x:c r="C13" s="31" t="str">
        <x:v>local / instrumental temperature</x:v>
      </x:c>
      <x:c r="D13" s="31" t="str">
        <x:v>temperature_threshold</x:v>
      </x:c>
      <x:c r="E13" s="19" t="str">
        <x:v>A</x:v>
      </x:c>
      <x:c r="F13" s="19" t="str">
        <x:v>EXECUTABLE_NGRAM</x:v>
      </x:c>
      <x:c r="G13" s="19" t="str">
        <x:v>CONTEXT_REQUIRED</x:v>
      </x:c>
      <x:c r="H13" s="19" t="str">
        <x:v>eng</x:v>
      </x:c>
      <x:c r="I13" s="19" t="str">
        <x:v>current English corpus (July 2024 dataset; public shorthand eng; mutable current corpus)</x:v>
      </x:c>
      <x:c r="J13" s="19" t="str">
        <x:v>1842</x:v>
      </x:c>
      <x:c r="K13" s="19" t="str">
        <x:v>2022</x:v>
      </x:c>
      <x:c r="L13" s="25" t="n">
        <x:v>1842</x:v>
      </x:c>
      <x:c r="M13" s="25" t="n">
        <x:v>181</x:v>
      </x:c>
      <x:c r="N13" s="25" t="n">
        <x:v>1844</x:v>
      </x:c>
      <x:c r="O13" s="46" t="n">
        <x:v>2.328426112474524e-7</x:v>
      </x:c>
      <x:c r="P13" s="19" t="str">
        <x:v>3.406469412103874e-09</x:v>
      </x:c>
      <x:c r="Q13" s="19" t="str">
        <x:v>6.901375293466572e-08</x:v>
      </x:c>
      <x:c r="R13" s="19" t="str">
        <x:v>6.23682937239689e-09</x:v>
      </x:c>
      <x:c r="S13" s="19" t="str">
        <x:v>1.085817696172553e-09</x:v>
      </x:c>
      <x:c r="T13" s="19" t="str">
        <x:v>1.281888230980632e-09</x:v>
      </x:c>
      <x:c r="U13" s="19" t="str">
        <x:v>1.619115414658312e-09</x:v>
      </x:c>
      <x:c r="V13" s="46" t="n">
        <x:v>1.450501822819472e-9</x:v>
      </x:c>
      <x:c r="W13" s="19" t="str">
        <x:v>6.538322626370441e-10</x:v>
      </x:c>
      <x:c r="X13" s="19" t="str">
        <x:v>3.406469412103874e-09</x:v>
      </x:c>
      <x:c r="Y13" s="19" t="str">
        <x:v>3.406469412103874e-09</x:v>
      </x:c>
      <x:c r="Z13" s="25" t="n">
        <x:v>2022</x:v>
      </x:c>
      <x:c r="AA13" s="19" t="str">
        <x:v>AVAILABLE</x:v>
      </x:c>
      <x:c r="AB13" s="19" t="str">
        <x:v>AVAILABLE</x:v>
      </x:c>
      <x:c r="AC13" s="43" t="str">
        <x:v>Climate/temperature-linked lexical frequency; still not evidence of reception, voice, or affect without passage review.</x:v>
      </x:c>
    </x:row>
    <x:row r="14" ht="24" customHeight="1">
      <x:c r="A14" s="40" t="str">
        <x:v>FT-Q-V01-010</x:v>
      </x:c>
      <x:c r="B14" s="31" t="str">
        <x:v>dry bulb thermometer</x:v>
      </x:c>
      <x:c r="C14" s="31" t="str">
        <x:v>local / instrumental temperature</x:v>
      </x:c>
      <x:c r="D14" s="31" t="str">
        <x:v>temperature_threshold</x:v>
      </x:c>
      <x:c r="E14" s="19" t="str">
        <x:v>A</x:v>
      </x:c>
      <x:c r="F14" s="19" t="str">
        <x:v>EXECUTABLE_NGRAM</x:v>
      </x:c>
      <x:c r="G14" s="19" t="str">
        <x:v>CONTEXT_REQUIRED</x:v>
      </x:c>
      <x:c r="H14" s="19" t="str">
        <x:v>eng</x:v>
      </x:c>
      <x:c r="I14" s="19" t="str">
        <x:v>current English corpus (July 2024 dataset; public shorthand eng; mutable current corpus)</x:v>
      </x:c>
      <x:c r="J14" s="19" t="str">
        <x:v>1842</x:v>
      </x:c>
      <x:c r="K14" s="19" t="str">
        <x:v>2022</x:v>
      </x:c>
      <x:c r="L14" s="25" t="n">
        <x:v>1842</x:v>
      </x:c>
      <x:c r="M14" s="25" t="n">
        <x:v>181</x:v>
      </x:c>
      <x:c r="N14" s="25" t="n">
        <x:v>1869</x:v>
      </x:c>
      <x:c r="O14" s="46" t="n">
        <x:v>2.647877378469943e-7</x:v>
      </x:c>
      <x:c r="P14" s="19" t="str">
        <x:v>8.466447189159343e-09</x:v>
      </x:c>
      <x:c r="Q14" s="19" t="str">
        <x:v>8.854272692815357e-08</x:v>
      </x:c>
      <x:c r="R14" s="19" t="str">
        <x:v>2.359136080931634e-08</x:v>
      </x:c>
      <x:c r="S14" s="19" t="str">
        <x:v>5.081662771133644e-09</x:v>
      </x:c>
      <x:c r="T14" s="19" t="str">
        <x:v>4.013041593475819e-09</x:v>
      </x:c>
      <x:c r="U14" s="19" t="str">
        <x:v>4.081663229626997e-09</x:v>
      </x:c>
      <x:c r="V14" s="46" t="n">
        <x:v>4.047352411551408e-9</x:v>
      </x:c>
      <x:c r="W14" s="19" t="str">
        <x:v>3.149171701188891e-09</x:v>
      </x:c>
      <x:c r="X14" s="19" t="str">
        <x:v>8.466447189159343e-09</x:v>
      </x:c>
      <x:c r="Y14" s="19" t="str">
        <x:v>8.466447189159343e-09</x:v>
      </x:c>
      <x:c r="Z14" s="25" t="n">
        <x:v>2022</x:v>
      </x:c>
      <x:c r="AA14" s="19" t="str">
        <x:v>AVAILABLE</x:v>
      </x:c>
      <x:c r="AB14" s="19" t="str">
        <x:v>AVAILABLE</x:v>
      </x:c>
      <x:c r="AC14" s="43" t="str">
        <x:v>Climate/temperature-linked lexical frequency; still not evidence of reception, voice, or affect without passage review.</x:v>
      </x:c>
    </x:row>
    <x:row r="15" ht="24" customHeight="1">
      <x:c r="A15" s="40" t="str">
        <x:v>FT-Q-V01-011</x:v>
      </x:c>
      <x:c r="B15" s="31" t="str">
        <x:v>wet bulb thermometer</x:v>
      </x:c>
      <x:c r="C15" s="31" t="str">
        <x:v>local / instrumental temperature</x:v>
      </x:c>
      <x:c r="D15" s="31" t="str">
        <x:v>temperature_threshold</x:v>
      </x:c>
      <x:c r="E15" s="19" t="str">
        <x:v>A</x:v>
      </x:c>
      <x:c r="F15" s="19" t="str">
        <x:v>EXECUTABLE_NGRAM</x:v>
      </x:c>
      <x:c r="G15" s="19" t="str">
        <x:v>CONTEXT_REQUIRED</x:v>
      </x:c>
      <x:c r="H15" s="19" t="str">
        <x:v>eng</x:v>
      </x:c>
      <x:c r="I15" s="19" t="str">
        <x:v>current English corpus (July 2024 dataset; public shorthand eng; mutable current corpus)</x:v>
      </x:c>
      <x:c r="J15" s="19" t="str">
        <x:v>1842</x:v>
      </x:c>
      <x:c r="K15" s="19" t="str">
        <x:v>2022</x:v>
      </x:c>
      <x:c r="L15" s="25" t="n">
        <x:v>1842</x:v>
      </x:c>
      <x:c r="M15" s="25" t="n">
        <x:v>181</x:v>
      </x:c>
      <x:c r="N15" s="25" t="n">
        <x:v>1869</x:v>
      </x:c>
      <x:c r="O15" s="46" t="n">
        <x:v>1.703290762877785e-7</x:v>
      </x:c>
      <x:c r="P15" s="19" t="str">
        <x:v>7.142087012079745e-09</x:v>
      </x:c>
      <x:c r="Q15" s="19" t="str">
        <x:v>7.550155167734829e-09</x:v>
      </x:c>
      <x:c r="R15" s="19" t="str">
        <x:v>2.579159086302241e-08</x:v>
      </x:c>
      <x:c r="S15" s="19" t="str">
        <x:v>5.406024211618288e-09</x:v>
      </x:c>
      <x:c r="T15" s="19" t="str">
        <x:v>5.350721948849113e-09</x:v>
      </x:c>
      <x:c r="U15" s="19" t="str">
        <x:v>4.421801869103348e-09</x:v>
      </x:c>
      <x:c r="V15" s="46" t="n">
        <x:v>4.88626190897623e-9</x:v>
      </x:c>
      <x:c r="W15" s="19" t="str">
        <x:v>2.749276847846538e-09</x:v>
      </x:c>
      <x:c r="X15" s="19" t="str">
        <x:v>7.142087012079745e-09</x:v>
      </x:c>
      <x:c r="Y15" s="19" t="str">
        <x:v>7.142087012079745e-09</x:v>
      </x:c>
      <x:c r="Z15" s="25" t="n">
        <x:v>2022</x:v>
      </x:c>
      <x:c r="AA15" s="19" t="str">
        <x:v>AVAILABLE</x:v>
      </x:c>
      <x:c r="AB15" s="19" t="str">
        <x:v>AVAILABLE</x:v>
      </x:c>
      <x:c r="AC15" s="43" t="str">
        <x:v>Climate/temperature-linked lexical frequency; still not evidence of reception, voice, or affect without passage review.</x:v>
      </x:c>
    </x:row>
    <x:row r="16" ht="24" customHeight="1">
      <x:c r="A16" s="40" t="str">
        <x:v>FT-Q-V01-012</x:v>
      </x:c>
      <x:c r="B16" s="31" t="str">
        <x:v>meteorological observations</x:v>
      </x:c>
      <x:c r="C16" s="31" t="str">
        <x:v>historical climate / climatological condition</x:v>
      </x:c>
      <x:c r="D16" s="31" t="str">
        <x:v>climate</x:v>
      </x:c>
      <x:c r="E16" s="19" t="str">
        <x:v>B</x:v>
      </x:c>
      <x:c r="F16" s="19" t="str">
        <x:v>EXECUTABLE_NGRAM</x:v>
      </x:c>
      <x:c r="G16" s="19" t="str">
        <x:v>CONTEXT_REQUIRED</x:v>
      </x:c>
      <x:c r="H16" s="19" t="str">
        <x:v>eng</x:v>
      </x:c>
      <x:c r="I16" s="19" t="str">
        <x:v>current English corpus (July 2024 dataset; public shorthand eng; mutable current corpus)</x:v>
      </x:c>
      <x:c r="J16" s="19" t="str">
        <x:v>1842</x:v>
      </x:c>
      <x:c r="K16" s="19" t="str">
        <x:v>2022</x:v>
      </x:c>
      <x:c r="L16" s="25" t="n">
        <x:v>1842</x:v>
      </x:c>
      <x:c r="M16" s="25" t="n">
        <x:v>181</x:v>
      </x:c>
      <x:c r="N16" s="25" t="n">
        <x:v>1875</x:v>
      </x:c>
      <x:c r="O16" s="46" t="n">
        <x:v>0.000001790050660449571</x:v>
      </x:c>
      <x:c r="P16" s="19" t="str">
        <x:v>6.520955656008631e-08</x:v>
      </x:c>
      <x:c r="Q16" s="19" t="str">
        <x:v>9.468428674996865e-07</x:v>
      </x:c>
      <x:c r="R16" s="19" t="str">
        <x:v>1.848774440205148e-07</x:v>
      </x:c>
      <x:c r="S16" s="19" t="str">
        <x:v>1.338023542483968e-07</x:v>
      </x:c>
      <x:c r="T16" s="19" t="str">
        <x:v>5.699824457902625e-08</x:v>
      </x:c>
      <x:c r="U16" s="19" t="str">
        <x:v>5.293608024148355e-08</x:v>
      </x:c>
      <x:c r="V16" s="46" t="n">
        <x:v>5.49671624102549e-8</x:v>
      </x:c>
      <x:c r="W16" s="19" t="str">
        <x:v>3.44663013546187e-08</x:v>
      </x:c>
      <x:c r="X16" s="19" t="str">
        <x:v>6.520955656008631e-08</x:v>
      </x:c>
      <x:c r="Y16" s="19" t="str">
        <x:v>6.520955656008631e-08</x:v>
      </x:c>
      <x:c r="Z16" s="25" t="n">
        <x:v>2022</x:v>
      </x:c>
      <x:c r="AA16" s="19" t="str">
        <x:v>AVAILABLE</x:v>
      </x:c>
      <x:c r="AB16" s="19" t="str">
        <x:v>AVAILABLE</x:v>
      </x:c>
      <x:c r="AC16" s="43" t="str">
        <x:v>Climate/temperature-linked lexical frequency; still not evidence of reception, voice, or affect without passage review.</x:v>
      </x:c>
    </x:row>
    <x:row r="17" ht="24" customHeight="1">
      <x:c r="A17" s="40" t="str">
        <x:v>FT-Q-V01-013</x:v>
      </x:c>
      <x:c r="B17" s="31" t="str">
        <x:v>meteorological journal</x:v>
      </x:c>
      <x:c r="C17" s="31" t="str">
        <x:v>historical climate / climatological condition</x:v>
      </x:c>
      <x:c r="D17" s="31" t="str">
        <x:v>climate</x:v>
      </x:c>
      <x:c r="E17" s="19" t="str">
        <x:v>B</x:v>
      </x:c>
      <x:c r="F17" s="19" t="str">
        <x:v>EXECUTABLE_NGRAM</x:v>
      </x:c>
      <x:c r="G17" s="19" t="str">
        <x:v>CONTEXT_REQUIRED</x:v>
      </x:c>
      <x:c r="H17" s="19" t="str">
        <x:v>eng</x:v>
      </x:c>
      <x:c r="I17" s="19" t="str">
        <x:v>current English corpus (July 2024 dataset; public shorthand eng; mutable current corpus)</x:v>
      </x:c>
      <x:c r="J17" s="19" t="str">
        <x:v>1842</x:v>
      </x:c>
      <x:c r="K17" s="19" t="str">
        <x:v>2022</x:v>
      </x:c>
      <x:c r="L17" s="25" t="n">
        <x:v>1842</x:v>
      </x:c>
      <x:c r="M17" s="25" t="n">
        <x:v>181</x:v>
      </x:c>
      <x:c r="N17" s="25" t="n">
        <x:v>1842</x:v>
      </x:c>
      <x:c r="O17" s="46" t="n">
        <x:v>5.256654992402687e-7</x:v>
      </x:c>
      <x:c r="P17" s="19" t="str">
        <x:v>2.964070766608984e-09</x:v>
      </x:c>
      <x:c r="Q17" s="19" t="str">
        <x:v>5.256654992402687e-07</x:v>
      </x:c>
      <x:c r="R17" s="19" t="str">
        <x:v>4.900366015747615e-09</x:v>
      </x:c>
      <x:c r="S17" s="19" t="str">
        <x:v>2.023569350279031e-09</x:v>
      </x:c>
      <x:c r="T17" s="19" t="str">
        <x:v>2.472213010695778e-09</x:v>
      </x:c>
      <x:c r="U17" s="19" t="str">
        <x:v>3.598034273299966e-09</x:v>
      </x:c>
      <x:c r="V17" s="46" t="n">
        <x:v>3.035123641997872e-9</x:v>
      </x:c>
      <x:c r="W17" s="19" t="str">
        <x:v>3.782886774661431e-09</x:v>
      </x:c>
      <x:c r="X17" s="19" t="str">
        <x:v>2.964070766608984e-09</x:v>
      </x:c>
      <x:c r="Y17" s="19" t="str">
        <x:v>2.964070766608984e-09</x:v>
      </x:c>
      <x:c r="Z17" s="25" t="n">
        <x:v>2022</x:v>
      </x:c>
      <x:c r="AA17" s="19" t="str">
        <x:v>AVAILABLE</x:v>
      </x:c>
      <x:c r="AB17" s="19" t="str">
        <x:v>AVAILABLE</x:v>
      </x:c>
      <x:c r="AC17" s="43" t="str">
        <x:v>Climate/temperature-linked lexical frequency; still not evidence of reception, voice, or affect without passage review.</x:v>
      </x:c>
    </x:row>
    <x:row r="18" ht="24" customHeight="1">
      <x:c r="A18" s="40" t="str">
        <x:v>FT-Q-V01-014</x:v>
      </x:c>
      <x:c r="B18" s="31" t="str">
        <x:v>weather</x:v>
      </x:c>
      <x:c r="C18" s="31" t="str">
        <x:v>historical climate / climatological condition</x:v>
      </x:c>
      <x:c r="D18" s="31" t="str">
        <x:v>climate</x:v>
      </x:c>
      <x:c r="E18" s="19" t="str">
        <x:v>B</x:v>
      </x:c>
      <x:c r="F18" s="19" t="str">
        <x:v>BACKGROUND_AMBIGUOUS</x:v>
      </x:c>
      <x:c r="G18" s="19" t="str">
        <x:v>BACKGROUND_AMBIGUOUS</x:v>
      </x:c>
      <x:c r="H18" s="19" t="str">
        <x:v>eng</x:v>
      </x:c>
      <x:c r="I18" s="19" t="str">
        <x:v>current English corpus (July 2024 dataset; public shorthand eng; mutable current corpus)</x:v>
      </x:c>
      <x:c r="J18" s="19" t="str">
        <x:v>1842</x:v>
      </x:c>
      <x:c r="K18" s="19" t="str">
        <x:v>2022</x:v>
      </x:c>
      <x:c r="L18" s="25" t="n">
        <x:v>1842</x:v>
      </x:c>
      <x:c r="M18" s="25" t="n">
        <x:v>181</x:v>
      </x:c>
      <x:c r="N18" s="25" t="n">
        <x:v>1928</x:v>
      </x:c>
      <x:c r="O18" s="46" t="n">
        <x:v>0.00006017915046766659</x:v>
      </x:c>
      <x:c r="P18" s="19" t="str">
        <x:v>3.185808739692569e-05</x:v>
      </x:c>
      <x:c r="Q18" s="19" t="str">
        <x:v>4.329318915097247e-05</x:v>
      </x:c>
      <x:c r="R18" s="19" t="str">
        <x:v>5.426566421712353e-05</x:v>
      </x:c>
      <x:c r="S18" s="19" t="str">
        <x:v>2.997015501321476e-05</x:v>
      </x:c>
      <x:c r="T18" s="19" t="str">
        <x:v>2.847566345511032e-05</x:v>
      </x:c>
      <x:c r="U18" s="19" t="str">
        <x:v>2.852544831488668e-05</x:v>
      </x:c>
      <x:c r="V18" s="46" t="n">
        <x:v>0.0000285005558849985</x:v>
      </x:c>
      <x:c r="W18" s="19" t="str">
        <x:v>3.181802008718482e-05</x:v>
      </x:c>
      <x:c r="X18" s="19" t="str">
        <x:v>3.185808739692569e-05</x:v>
      </x:c>
      <x:c r="Y18" s="19" t="str">
        <x:v>3.185808739692569e-05</x:v>
      </x:c>
      <x:c r="Z18" s="25" t="n">
        <x:v>2022</x:v>
      </x:c>
      <x:c r="AA18" s="19" t="str">
        <x:v>AVAILABLE</x:v>
      </x:c>
      <x:c r="AB18" s="19" t="str">
        <x:v>AVAILABLE</x:v>
      </x:c>
      <x:c r="AC18" s="43" t="str">
        <x:v>Generic corpus string frequency; not climate-specific semantic frequency.</x:v>
      </x:c>
    </x:row>
    <x:row r="19" ht="24" customHeight="1">
      <x:c r="A19" s="40" t="str">
        <x:v>FT-Q-V01-015</x:v>
      </x:c>
      <x:c r="B19" s="31" t="str">
        <x:v>climate</x:v>
      </x:c>
      <x:c r="C19" s="31" t="str">
        <x:v>historical climate / climatological condition</x:v>
      </x:c>
      <x:c r="D19" s="31" t="str">
        <x:v>climate</x:v>
      </x:c>
      <x:c r="E19" s="19" t="str">
        <x:v>B</x:v>
      </x:c>
      <x:c r="F19" s="19" t="str">
        <x:v>BACKGROUND_AMBIGUOUS</x:v>
      </x:c>
      <x:c r="G19" s="19" t="str">
        <x:v>BACKGROUND_AMBIGUOUS</x:v>
      </x:c>
      <x:c r="H19" s="19" t="str">
        <x:v>eng</x:v>
      </x:c>
      <x:c r="I19" s="19" t="str">
        <x:v>current English corpus (July 2024 dataset; public shorthand eng; mutable current corpus)</x:v>
      </x:c>
      <x:c r="J19" s="19" t="str">
        <x:v>1842</x:v>
      </x:c>
      <x:c r="K19" s="19" t="str">
        <x:v>2022</x:v>
      </x:c>
      <x:c r="L19" s="25" t="n">
        <x:v>1842</x:v>
      </x:c>
      <x:c r="M19" s="25" t="n">
        <x:v>181</x:v>
      </x:c>
      <x:c r="N19" s="25" t="n">
        <x:v>2022</x:v>
      </x:c>
      <x:c r="O19" s="46" t="n">
        <x:v>0.00006484931783038578</x:v>
      </x:c>
      <x:c r="P19" s="19" t="str">
        <x:v>6.484931783038578e-05</x:v>
      </x:c>
      <x:c r="Q19" s="19" t="str">
        <x:v>3.055828983633546e-05</x:v>
      </x:c>
      <x:c r="R19" s="19" t="str">
        <x:v>1.196127764144239e-05</x:v>
      </x:c>
      <x:c r="S19" s="19" t="str">
        <x:v>2.184559476219039e-05</x:v>
      </x:c>
      <x:c r="T19" s="19" t="str">
        <x:v>3.083595194560557e-05</x:v>
      </x:c>
      <x:c r="U19" s="19" t="str">
        <x:v>3.638060761700784e-05</x:v>
      </x:c>
      <x:c r="V19" s="46" t="n">
        <x:v>0.0000336082797813067</x:v>
      </x:c>
      <x:c r="W19" s="19" t="str">
        <x:v>4.357352890455024e-05</x:v>
      </x:c>
      <x:c r="X19" s="19" t="str">
        <x:v>6.484931783038578e-05</x:v>
      </x:c>
      <x:c r="Y19" s="19" t="str">
        <x:v>6.484931783038578e-05</x:v>
      </x:c>
      <x:c r="Z19" s="25" t="n">
        <x:v>2022</x:v>
      </x:c>
      <x:c r="AA19" s="19" t="str">
        <x:v>AVAILABLE</x:v>
      </x:c>
      <x:c r="AB19" s="19" t="str">
        <x:v>AVAILABLE</x:v>
      </x:c>
      <x:c r="AC19" s="43" t="str">
        <x:v>Generic corpus string frequency; not climate-specific semantic frequency.</x:v>
      </x:c>
    </x:row>
    <x:row r="20" ht="24" customHeight="1">
      <x:c r="A20" s="40" t="str">
        <x:v>FT-Q-V01-016</x:v>
      </x:c>
      <x:c r="B20" s="31" t="str">
        <x:v>sun's heat</x:v>
      </x:c>
      <x:c r="C20" s="31" t="str">
        <x:v>physical heat source / state</x:v>
      </x:c>
      <x:c r="D20" s="31" t="str">
        <x:v>heat</x:v>
      </x:c>
      <x:c r="E20" s="19" t="str">
        <x:v>A</x:v>
      </x:c>
      <x:c r="F20" s="19" t="str">
        <x:v>EXECUTABLE_NGRAM</x:v>
      </x:c>
      <x:c r="G20" s="19" t="str">
        <x:v>CONTEXT_REQUIRED</x:v>
      </x:c>
      <x:c r="H20" s="19" t="str">
        <x:v>eng</x:v>
      </x:c>
      <x:c r="I20" s="19" t="str">
        <x:v>current English corpus (July 2024 dataset; public shorthand eng; mutable current corpus)</x:v>
      </x:c>
      <x:c r="J20" s="19" t="str">
        <x:v>1842</x:v>
      </x:c>
      <x:c r="K20" s="19" t="str">
        <x:v>2022</x:v>
      </x:c>
      <x:c r="L20" s="25" t="str"/>
      <x:c r="M20" s="25" t="n">
        <x:v>0</x:v>
      </x:c>
      <x:c r="N20" s="25" t="str"/>
      <x:c r="O20" s="46" t="str"/>
      <x:c r="P20" s="19" t="str"/>
      <x:c r="Q20" s="19" t="str"/>
      <x:c r="R20" s="19" t="str"/>
      <x:c r="S20" s="19" t="str"/>
      <x:c r="T20" s="19" t="str"/>
      <x:c r="U20" s="19" t="str"/>
      <x:c r="V20" s="46" t="str"/>
      <x:c r="W20" s="19" t="str"/>
      <x:c r="X20" s="19" t="str"/>
      <x:c r="Y20" s="19" t="str"/>
      <x:c r="Z20" s="25" t="n">
        <x:v>2022</x:v>
      </x:c>
      <x:c r="AA20" s="19" t="str">
        <x:v>NO_SERIES</x:v>
      </x:c>
      <x:c r="AB20" s="19" t="str">
        <x:v>NOT_AVAILABLE</x:v>
      </x:c>
      <x:c r="AC20" s="43" t="str">
        <x:v>Climate/temperature-linked lexical frequency; still not evidence of reception, voice, or affect without passage review.</x:v>
      </x:c>
    </x:row>
    <x:row r="21" ht="24" customHeight="1">
      <x:c r="A21" s="40" t="str">
        <x:v>FT-Q-V01-017</x:v>
      </x:c>
      <x:c r="B21" s="31" t="str">
        <x:v>radiation of the heat</x:v>
      </x:c>
      <x:c r="C21" s="31" t="str">
        <x:v>physical heat source / state</x:v>
      </x:c>
      <x:c r="D21" s="31" t="str">
        <x:v>heat</x:v>
      </x:c>
      <x:c r="E21" s="19" t="str">
        <x:v>B</x:v>
      </x:c>
      <x:c r="F21" s="19" t="str">
        <x:v>EXECUTABLE_NGRAM</x:v>
      </x:c>
      <x:c r="G21" s="19" t="str">
        <x:v>CONTEXT_REQUIRED</x:v>
      </x:c>
      <x:c r="H21" s="19" t="str">
        <x:v>eng</x:v>
      </x:c>
      <x:c r="I21" s="19" t="str">
        <x:v>current English corpus (July 2024 dataset; public shorthand eng; mutable current corpus)</x:v>
      </x:c>
      <x:c r="J21" s="19" t="str">
        <x:v>1842</x:v>
      </x:c>
      <x:c r="K21" s="19" t="str">
        <x:v>2022</x:v>
      </x:c>
      <x:c r="L21" s="25" t="n">
        <x:v>1842</x:v>
      </x:c>
      <x:c r="M21" s="25" t="n">
        <x:v>180</x:v>
      </x:c>
      <x:c r="N21" s="25" t="n">
        <x:v>1850</x:v>
      </x:c>
      <x:c r="O21" s="46" t="n">
        <x:v>2.759668937812876e-8</x:v>
      </x:c>
      <x:c r="P21" s="19" t="str">
        <x:v>5.081168263920688e-10</x:v>
      </x:c>
      <x:c r="Q21" s="19" t="str">
        <x:v>5.867545560533927e-09</x:v>
      </x:c>
      <x:c r="R21" s="19" t="str">
        <x:v>2.708925944672202e-09</x:v>
      </x:c>
      <x:c r="S21" s="19" t="str">
        <x:v>1.792699877434245e-10</x:v>
      </x:c>
      <x:c r="T21" s="19" t="str">
        <x:v>4.318347346377038e-10</x:v>
      </x:c>
      <x:c r="U21" s="19" t="str">
        <x:v>7.925886058579579e-10</x:v>
      </x:c>
      <x:c r="V21" s="46" t="n">
        <x:v>6.122116702478309e-10</x:v>
      </x:c>
      <x:c r="W21" s="19" t="str">
        <x:v>4.301466960399125e-10</x:v>
      </x:c>
      <x:c r="X21" s="19" t="str">
        <x:v>5.081168263920688e-10</x:v>
      </x:c>
      <x:c r="Y21" s="19" t="str">
        <x:v>5.081168263920688e-10</x:v>
      </x:c>
      <x:c r="Z21" s="25" t="n">
        <x:v>2022</x:v>
      </x:c>
      <x:c r="AA21" s="19" t="str">
        <x:v>AVAILABLE</x:v>
      </x:c>
      <x:c r="AB21" s="19" t="str">
        <x:v>AVAILABLE</x:v>
      </x:c>
      <x:c r="AC21" s="43" t="str">
        <x:v>Climate/temperature-linked lexical frequency; still not evidence of reception, voice, or affect without passage review.</x:v>
      </x:c>
    </x:row>
    <x:row r="22" ht="24" customHeight="1">
      <x:c r="A22" s="40" t="str">
        <x:v>FT-Q-V01-018</x:v>
      </x:c>
      <x:c r="B22" s="31" t="str">
        <x:v>changes of temperature</x:v>
      </x:c>
      <x:c r="C22" s="31" t="str">
        <x:v>local / instrumental temperature</x:v>
      </x:c>
      <x:c r="D22" s="31" t="str">
        <x:v>temperature_threshold</x:v>
      </x:c>
      <x:c r="E22" s="19" t="str">
        <x:v>A</x:v>
      </x:c>
      <x:c r="F22" s="19" t="str">
        <x:v>EXECUTABLE_NGRAM</x:v>
      </x:c>
      <x:c r="G22" s="19" t="str">
        <x:v>CONTEXT_REQUIRED</x:v>
      </x:c>
      <x:c r="H22" s="19" t="str">
        <x:v>eng</x:v>
      </x:c>
      <x:c r="I22" s="19" t="str">
        <x:v>current English corpus (July 2024 dataset; public shorthand eng; mutable current corpus)</x:v>
      </x:c>
      <x:c r="J22" s="19" t="str">
        <x:v>1842</x:v>
      </x:c>
      <x:c r="K22" s="19" t="str">
        <x:v>2022</x:v>
      </x:c>
      <x:c r="L22" s="25" t="n">
        <x:v>1842</x:v>
      </x:c>
      <x:c r="M22" s="25" t="n">
        <x:v>181</x:v>
      </x:c>
      <x:c r="N22" s="25" t="n">
        <x:v>1884</x:v>
      </x:c>
      <x:c r="O22" s="46" t="n">
        <x:v>9.022425947469159e-7</x:v>
      </x:c>
      <x:c r="P22" s="19" t="str">
        <x:v>6.394769389017618e-08</x:v>
      </x:c>
      <x:c r="Q22" s="19" t="str">
        <x:v>6.602953730450167e-07</x:v>
      </x:c>
      <x:c r="R22" s="19" t="str">
        <x:v>2.283350331311329e-07</x:v>
      </x:c>
      <x:c r="S22" s="19" t="str">
        <x:v>3.962615856278884e-08</x:v>
      </x:c>
      <x:c r="T22" s="19" t="str">
        <x:v>2.754631066997915e-08</x:v>
      </x:c>
      <x:c r="U22" s="19" t="str">
        <x:v>4.290605436219064e-08</x:v>
      </x:c>
      <x:c r="V22" s="46" t="n">
        <x:v>3.522618251608489e-8</x:v>
      </x:c>
      <x:c r="W22" s="19" t="str">
        <x:v>2.989213794199475e-08</x:v>
      </x:c>
      <x:c r="X22" s="19" t="str">
        <x:v>6.394769389017618e-08</x:v>
      </x:c>
      <x:c r="Y22" s="19" t="str">
        <x:v>6.394769389017618e-08</x:v>
      </x:c>
      <x:c r="Z22" s="25" t="n">
        <x:v>2022</x:v>
      </x:c>
      <x:c r="AA22" s="19" t="str">
        <x:v>AVAILABLE</x:v>
      </x:c>
      <x:c r="AB22" s="19" t="str">
        <x:v>AVAILABLE</x:v>
      </x:c>
      <x:c r="AC22" s="43" t="str">
        <x:v>Climate/temperature-linked lexical frequency; still not evidence of reception, voice, or affect without passage review.</x:v>
      </x:c>
    </x:row>
    <x:row r="23" ht="24" customHeight="1">
      <x:c r="A23" s="40" t="str">
        <x:v>FT-Q-V01-019</x:v>
      </x:c>
      <x:c r="B23" s="31" t="str">
        <x:v>excessive heat</x:v>
      </x:c>
      <x:c r="C23" s="31" t="str">
        <x:v>extreme-heat hazard</x:v>
      </x:c>
      <x:c r="D23" s="31" t="str">
        <x:v>heat</x:v>
      </x:c>
      <x:c r="E23" s="19" t="str">
        <x:v>D</x:v>
      </x:c>
      <x:c r="F23" s="19" t="str">
        <x:v>EXECUTABLE_NGRAM</x:v>
      </x:c>
      <x:c r="G23" s="19" t="str">
        <x:v>CONTEXT_REQUIRED</x:v>
      </x:c>
      <x:c r="H23" s="19" t="str">
        <x:v>eng</x:v>
      </x:c>
      <x:c r="I23" s="19" t="str">
        <x:v>current English corpus (July 2024 dataset; public shorthand eng; mutable current corpus)</x:v>
      </x:c>
      <x:c r="J23" s="19" t="str">
        <x:v>1842</x:v>
      </x:c>
      <x:c r="K23" s="19" t="str">
        <x:v>2022</x:v>
      </x:c>
      <x:c r="L23" s="25" t="n">
        <x:v>1842</x:v>
      </x:c>
      <x:c r="M23" s="25" t="n">
        <x:v>181</x:v>
      </x:c>
      <x:c r="N23" s="25" t="n">
        <x:v>1842</x:v>
      </x:c>
      <x:c r="O23" s="46" t="n">
        <x:v>4.727764535417123e-7</x:v>
      </x:c>
      <x:c r="P23" s="19" t="str">
        <x:v>1.668727563908234e-07</x:v>
      </x:c>
      <x:c r="Q23" s="19" t="str">
        <x:v>4.727764535417123e-07</x:v>
      </x:c>
      <x:c r="R23" s="19" t="str">
        <x:v>4.204291131626459e-07</x:v>
      </x:c>
      <x:c r="S23" s="19" t="str">
        <x:v>1.919429495761404e-07</x:v>
      </x:c>
      <x:c r="T23" s="19" t="str">
        <x:v>1.719103683017753e-07</x:v>
      </x:c>
      <x:c r="U23" s="19" t="str">
        <x:v>1.945187375618218e-07</x:v>
      </x:c>
      <x:c r="V23" s="46" t="n">
        <x:v>1.832145529317986e-7</x:v>
      </x:c>
      <x:c r="W23" s="19" t="str">
        <x:v>1.528099464187527e-07</x:v>
      </x:c>
      <x:c r="X23" s="19" t="str">
        <x:v>1.668727563908234e-07</x:v>
      </x:c>
      <x:c r="Y23" s="19" t="str">
        <x:v>1.668727563908234e-07</x:v>
      </x:c>
      <x:c r="Z23" s="25" t="n">
        <x:v>2022</x:v>
      </x:c>
      <x:c r="AA23" s="19" t="str">
        <x:v>AVAILABLE</x:v>
      </x:c>
      <x:c r="AB23" s="19" t="str">
        <x:v>AVAILABLE</x:v>
      </x:c>
      <x:c r="AC23" s="43" t="str">
        <x:v>Climate/temperature-linked lexical frequency; still not evidence of reception, voice, or affect without passage review.</x:v>
      </x:c>
    </x:row>
    <x:row r="24" ht="24" customHeight="1">
      <x:c r="A24" s="40" t="str">
        <x:v>FT-Q-V01-020</x:v>
      </x:c>
      <x:c r="B24" s="31" t="str">
        <x:v>heat of the men</x:v>
      </x:c>
      <x:c r="C24" s="31" t="str">
        <x:v>embodied heat exposure</x:v>
      </x:c>
      <x:c r="D24" s="31" t="str">
        <x:v>heat</x:v>
      </x:c>
      <x:c r="E24" s="19" t="str">
        <x:v>A</x:v>
      </x:c>
      <x:c r="F24" s="19" t="str">
        <x:v>EXECUTABLE_NGRAM</x:v>
      </x:c>
      <x:c r="G24" s="19" t="str">
        <x:v>CONTEXT_REQUIRED</x:v>
      </x:c>
      <x:c r="H24" s="19" t="str">
        <x:v>eng</x:v>
      </x:c>
      <x:c r="I24" s="19" t="str">
        <x:v>current English corpus (July 2024 dataset; public shorthand eng; mutable current corpus)</x:v>
      </x:c>
      <x:c r="J24" s="19" t="str">
        <x:v>1842</x:v>
      </x:c>
      <x:c r="K24" s="19" t="str">
        <x:v>2022</x:v>
      </x:c>
      <x:c r="L24" s="25" t="n">
        <x:v>1842</x:v>
      </x:c>
      <x:c r="M24" s="25" t="n">
        <x:v>88</x:v>
      </x:c>
      <x:c r="N24" s="25" t="n">
        <x:v>1864</x:v>
      </x:c>
      <x:c r="O24" s="46" t="n">
        <x:v>7.825550873974407e-9</x:v>
      </x:c>
      <x:c r="P24" s="19" t="str">
        <x:v>1.524350368153904e-10</x:v>
      </x:c>
      <x:c r="Q24" s="19" t="str">
        <x:v>7.334431950667408e-10</x:v>
      </x:c>
      <x:c r="R24" s="19" t="str">
        <x:v>0</x:v>
      </x:c>
      <x:c r="S24" s="19" t="str">
        <x:v>5.975666489410614e-11</x:v>
      </x:c>
      <x:c r="T24" s="19" t="str">
        <x:v>5.397934182971298e-11</x:v>
      </x:c>
      <x:c r="U24" s="19" t="str">
        <x:v>1.585177267227067e-10</x:v>
      </x:c>
      <x:c r="V24" s="46" t="n">
        <x:v>1.062485342762098e-10</x:v>
      </x:c>
      <x:c r="W24" s="19" t="str">
        <x:v>1.613050110149672e-10</x:v>
      </x:c>
      <x:c r="X24" s="19" t="str">
        <x:v>1.524350368153904e-10</x:v>
      </x:c>
      <x:c r="Y24" s="19" t="str">
        <x:v>1.524350368153904e-10</x:v>
      </x:c>
      <x:c r="Z24" s="25" t="n">
        <x:v>2022</x:v>
      </x:c>
      <x:c r="AA24" s="19" t="str">
        <x:v>AVAILABLE</x:v>
      </x:c>
      <x:c r="AB24" s="19" t="str">
        <x:v>AVAILABLE</x:v>
      </x:c>
      <x:c r="AC24" s="43" t="str">
        <x:v>Climate/temperature-linked lexical frequency; still not evidence of reception, voice, or affect without passage review.</x:v>
      </x:c>
    </x:row>
    <x:row r="25" ht="24" customHeight="1">
      <x:c r="A25" s="40" t="str">
        <x:v>FT-Q-V01-021</x:v>
      </x:c>
      <x:c r="B25" s="31" t="str">
        <x:v>artificial production of carbon dioxide</x:v>
      </x:c>
      <x:c r="C25" s="31" t="str">
        <x:v>anthropogenic carbon-dioxide production</x:v>
      </x:c>
      <x:c r="D25" s="31" t="str">
        <x:v>carbon_greenhouse</x:v>
      </x:c>
      <x:c r="E25" s="19" t="str">
        <x:v>B</x:v>
      </x:c>
      <x:c r="F25" s="19" t="str">
        <x:v>EXECUTABLE_NGRAM</x:v>
      </x:c>
      <x:c r="G25" s="19" t="str">
        <x:v>CONTEXT_REQUIRED</x:v>
      </x:c>
      <x:c r="H25" s="19" t="str">
        <x:v>eng</x:v>
      </x:c>
      <x:c r="I25" s="19" t="str">
        <x:v>current English corpus (July 2024 dataset; public shorthand eng; mutable current corpus)</x:v>
      </x:c>
      <x:c r="J25" s="19" t="str">
        <x:v>1842</x:v>
      </x:c>
      <x:c r="K25" s="19" t="str">
        <x:v>2022</x:v>
      </x:c>
      <x:c r="L25" s="25" t="n">
        <x:v>1902</x:v>
      </x:c>
      <x:c r="M25" s="25" t="n">
        <x:v>79</x:v>
      </x:c>
      <x:c r="N25" s="25" t="n">
        <x:v>1938</x:v>
      </x:c>
      <x:c r="O25" s="46" t="n">
        <x:v>4.288904842386643e-9</x:v>
      </x:c>
      <x:c r="P25" s="19" t="str">
        <x:v>1.794034754087903e-09</x:v>
      </x:c>
      <x:c r="Q25" s="19" t="str">
        <x:v>0</x:v>
      </x:c>
      <x:c r="R25" s="19" t="str">
        <x:v>4.288904842386643e-09</x:v>
      </x:c>
      <x:c r="S25" s="19" t="str">
        <x:v>3.258350533830168e-10</x:v>
      </x:c>
      <x:c r="T25" s="19" t="str">
        <x:v>5.240586020693883e-10</x:v>
      </x:c>
      <x:c r="U25" s="19" t="str">
        <x:v>9.678072787622227e-10</x:v>
      </x:c>
      <x:c r="V25" s="46" t="n">
        <x:v>7.459329404158055e-10</x:v>
      </x:c>
      <x:c r="W25" s="19" t="str">
        <x:v>1.151764794649068e-09</x:v>
      </x:c>
      <x:c r="X25" s="19" t="str">
        <x:v>1.794034754087903e-09</x:v>
      </x:c>
      <x:c r="Y25" s="19" t="str">
        <x:v>1.794034754087903e-09</x:v>
      </x:c>
      <x:c r="Z25" s="25" t="n">
        <x:v>2022</x:v>
      </x:c>
      <x:c r="AA25" s="19" t="str">
        <x:v>AVAILABLE</x:v>
      </x:c>
      <x:c r="AB25" s="19" t="str">
        <x:v>AVAILABLE</x:v>
      </x:c>
      <x:c r="AC25" s="43" t="str">
        <x:v>Climate/temperature-linked lexical frequency; still not evidence of reception, voice, or affect without passage review.</x:v>
      </x:c>
    </x:row>
    <x:row r="26" ht="24" customHeight="1">
      <x:c r="A26" s="40" t="str">
        <x:v>FT-Q-V01-022</x:v>
      </x:c>
      <x:c r="B26" s="31" t="str">
        <x:v>carbon dioxide</x:v>
      </x:c>
      <x:c r="C26" s="31" t="str">
        <x:v>atmospheric carbon dioxide</x:v>
      </x:c>
      <x:c r="D26" s="31" t="str">
        <x:v>carbon_greenhouse</x:v>
      </x:c>
      <x:c r="E26" s="19" t="str">
        <x:v>B</x:v>
      </x:c>
      <x:c r="F26" s="19" t="str">
        <x:v>EXECUTABLE_NGRAM</x:v>
      </x:c>
      <x:c r="G26" s="19" t="str">
        <x:v>CONTEXT_REQUIRED</x:v>
      </x:c>
      <x:c r="H26" s="19" t="str">
        <x:v>eng</x:v>
      </x:c>
      <x:c r="I26" s="19" t="str">
        <x:v>current English corpus (July 2024 dataset; public shorthand eng; mutable current corpus)</x:v>
      </x:c>
      <x:c r="J26" s="19" t="str">
        <x:v>1842</x:v>
      </x:c>
      <x:c r="K26" s="19" t="str">
        <x:v>2022</x:v>
      </x:c>
      <x:c r="L26" s="25" t="n">
        <x:v>1842</x:v>
      </x:c>
      <x:c r="M26" s="25" t="n">
        <x:v>177</x:v>
      </x:c>
      <x:c r="N26" s="25" t="n">
        <x:v>1965</x:v>
      </x:c>
      <x:c r="O26" s="46" t="n">
        <x:v>0.00001041381219862858</x:v>
      </x:c>
      <x:c r="P26" s="19" t="str">
        <x:v>7.577890368426488e-06</x:v>
      </x:c>
      <x:c r="Q26" s="19" t="str">
        <x:v>7.094871634638622e-09</x:v>
      </x:c>
      <x:c r="R26" s="19" t="str">
        <x:v>9.657730330014935e-06</x:v>
      </x:c>
      <x:c r="S26" s="19" t="str">
        <x:v>7.055988905570881e-06</x:v>
      </x:c>
      <x:c r="T26" s="19" t="str">
        <x:v>6.240827137342364e-06</x:v>
      </x:c>
      <x:c r="U26" s="19" t="str">
        <x:v>7.639031842188865e-06</x:v>
      </x:c>
      <x:c r="V26" s="46" t="n">
        <x:v>0.000006939929489765614</x:v>
      </x:c>
      <x:c r="W26" s="19" t="str">
        <x:v>7.018469256155763e-06</x:v>
      </x:c>
      <x:c r="X26" s="19" t="str">
        <x:v>7.577890368426488e-06</x:v>
      </x:c>
      <x:c r="Y26" s="19" t="str">
        <x:v>7.577890368426488e-06</x:v>
      </x:c>
      <x:c r="Z26" s="25" t="n">
        <x:v>2022</x:v>
      </x:c>
      <x:c r="AA26" s="19" t="str">
        <x:v>AVAILABLE</x:v>
      </x:c>
      <x:c r="AB26" s="19" t="str">
        <x:v>AVAILABLE</x:v>
      </x:c>
      <x:c r="AC26" s="43" t="str">
        <x:v>Climate/temperature-linked lexical frequency; still not evidence of reception, voice, or affect without passage review.</x:v>
      </x:c>
    </x:row>
    <x:row r="27" ht="24" customHeight="1">
      <x:c r="A27" s="40" t="str">
        <x:v>FT-Q-V01-023</x:v>
      </x:c>
      <x:c r="B27" s="31" t="str">
        <x:v>fuel combustion</x:v>
      </x:c>
      <x:c r="C27" s="31" t="str">
        <x:v>anthropogenic carbon-dioxide production</x:v>
      </x:c>
      <x:c r="D27" s="31" t="str">
        <x:v>carbon_greenhouse</x:v>
      </x:c>
      <x:c r="E27" s="19" t="str">
        <x:v>B</x:v>
      </x:c>
      <x:c r="F27" s="19" t="str">
        <x:v>EXECUTABLE_NGRAM</x:v>
      </x:c>
      <x:c r="G27" s="19" t="str">
        <x:v>CONTEXT_REQUIRED</x:v>
      </x:c>
      <x:c r="H27" s="19" t="str">
        <x:v>eng</x:v>
      </x:c>
      <x:c r="I27" s="19" t="str">
        <x:v>current English corpus (July 2024 dataset; public shorthand eng; mutable current corpus)</x:v>
      </x:c>
      <x:c r="J27" s="19" t="str">
        <x:v>1842</x:v>
      </x:c>
      <x:c r="K27" s="19" t="str">
        <x:v>2022</x:v>
      </x:c>
      <x:c r="L27" s="25" t="n">
        <x:v>1852</x:v>
      </x:c>
      <x:c r="M27" s="25" t="n">
        <x:v>163</x:v>
      </x:c>
      <x:c r="N27" s="25" t="n">
        <x:v>1978</x:v>
      </x:c>
      <x:c r="O27" s="46" t="n">
        <x:v>4.672991359144785e-7</x:v>
      </x:c>
      <x:c r="P27" s="19" t="str">
        <x:v>2.188545896730787e-07</x:v>
      </x:c>
      <x:c r="Q27" s="19" t="str">
        <x:v>0</x:v>
      </x:c>
      <x:c r="R27" s="19" t="str">
        <x:v>3.608451315528782e-08</x:v>
      </x:c>
      <x:c r="S27" s="19" t="str">
        <x:v>2.62274336634144e-07</x:v>
      </x:c>
      <x:c r="T27" s="19" t="str">
        <x:v>1.396342554360608e-07</x:v>
      </x:c>
      <x:c r="U27" s="19" t="str">
        <x:v>1.814758646689896e-07</x:v>
      </x:c>
      <x:c r="V27" s="46" t="n">
        <x:v>1.605550600525252e-7</x:v>
      </x:c>
      <x:c r="W27" s="19" t="str">
        <x:v>1.964765977136018e-07</x:v>
      </x:c>
      <x:c r="X27" s="19" t="str">
        <x:v>2.188545896730787e-07</x:v>
      </x:c>
      <x:c r="Y27" s="19" t="str">
        <x:v>2.188545896730787e-07</x:v>
      </x:c>
      <x:c r="Z27" s="25" t="n">
        <x:v>2022</x:v>
      </x:c>
      <x:c r="AA27" s="19" t="str">
        <x:v>AVAILABLE</x:v>
      </x:c>
      <x:c r="AB27" s="19" t="str">
        <x:v>AVAILABLE</x:v>
      </x:c>
      <x:c r="AC27" s="43" t="str">
        <x:v>Climate/temperature-linked lexical frequency; still not evidence of reception, voice, or affect without passage review.</x:v>
      </x:c>
    </x:row>
    <x:row r="28" ht="24" customHeight="1">
      <x:c r="A28" s="40" t="str">
        <x:v>FT-Q-V01-024</x:v>
      </x:c>
      <x:c r="B28" s="31" t="str">
        <x:v>air</x:v>
      </x:c>
      <x:c r="C28" s="31" t="str">
        <x:v>historical climate / climatological condition</x:v>
      </x:c>
      <x:c r="D28" s="31" t="str">
        <x:v>climate</x:v>
      </x:c>
      <x:c r="E28" s="19" t="str">
        <x:v>B</x:v>
      </x:c>
      <x:c r="F28" s="19" t="str">
        <x:v>BACKGROUND_AMBIGUOUS</x:v>
      </x:c>
      <x:c r="G28" s="19" t="str">
        <x:v>BACKGROUND_AMBIGUOUS</x:v>
      </x:c>
      <x:c r="H28" s="19" t="str">
        <x:v>eng</x:v>
      </x:c>
      <x:c r="I28" s="19" t="str">
        <x:v>current English corpus (July 2024 dataset; public shorthand eng; mutable current corpus)</x:v>
      </x:c>
      <x:c r="J28" s="19" t="str">
        <x:v>1842</x:v>
      </x:c>
      <x:c r="K28" s="19" t="str">
        <x:v>2022</x:v>
      </x:c>
      <x:c r="L28" s="25" t="n">
        <x:v>1842</x:v>
      </x:c>
      <x:c r="M28" s="25" t="n">
        <x:v>181</x:v>
      </x:c>
      <x:c r="N28" s="25" t="n">
        <x:v>1944</x:v>
      </x:c>
      <x:c r="O28" s="46" t="n">
        <x:v>0.0003521059437459062</x:v>
      </x:c>
      <x:c r="P28" s="19" t="str">
        <x:v>0.0001629262595982672</x:v>
      </x:c>
      <x:c r="Q28" s="19" t="str">
        <x:v>0.0001596951176452421</x:v>
      </x:c>
      <x:c r="R28" s="19" t="str">
        <x:v>0.0002449050748590531</x:v>
      </x:c>
      <x:c r="S28" s="19" t="str">
        <x:v>0.000195882758400559</x:v>
      </x:c>
      <x:c r="T28" s="19" t="str">
        <x:v>0.0001554248265307964</x:v>
      </x:c>
      <x:c r="U28" s="19" t="str">
        <x:v>0.0001617948143970288</x:v>
      </x:c>
      <x:c r="V28" s="46" t="n">
        <x:v>0.0001586098204639126</x:v>
      </x:c>
      <x:c r="W28" s="19" t="str">
        <x:v>0.0001673772195566331</x:v>
      </x:c>
      <x:c r="X28" s="19" t="str">
        <x:v>0.0001629262595982672</x:v>
      </x:c>
      <x:c r="Y28" s="19" t="str">
        <x:v>0.0001629262595982672</x:v>
      </x:c>
      <x:c r="Z28" s="25" t="n">
        <x:v>2022</x:v>
      </x:c>
      <x:c r="AA28" s="19" t="str">
        <x:v>AVAILABLE</x:v>
      </x:c>
      <x:c r="AB28" s="19" t="str">
        <x:v>AVAILABLE</x:v>
      </x:c>
      <x:c r="AC28" s="43" t="str">
        <x:v>Generic corpus string frequency; not climate-specific semantic frequency.</x:v>
      </x:c>
    </x:row>
    <x:row r="29" ht="24" customHeight="1">
      <x:c r="A29" s="40" t="str">
        <x:v>FT-Q-V01-025</x:v>
      </x:c>
      <x:c r="B29" s="31" t="str">
        <x:v>atmosphere</x:v>
      </x:c>
      <x:c r="C29" s="31" t="str">
        <x:v>historical climate / climatological condition</x:v>
      </x:c>
      <x:c r="D29" s="31" t="str">
        <x:v>climate</x:v>
      </x:c>
      <x:c r="E29" s="19" t="str">
        <x:v>B</x:v>
      </x:c>
      <x:c r="F29" s="19" t="str">
        <x:v>BACKGROUND_AMBIGUOUS</x:v>
      </x:c>
      <x:c r="G29" s="19" t="str">
        <x:v>BACKGROUND_AMBIGUOUS</x:v>
      </x:c>
      <x:c r="H29" s="19" t="str">
        <x:v>eng</x:v>
      </x:c>
      <x:c r="I29" s="19" t="str">
        <x:v>current English corpus (July 2024 dataset; public shorthand eng; mutable current corpus)</x:v>
      </x:c>
      <x:c r="J29" s="19" t="str">
        <x:v>1842</x:v>
      </x:c>
      <x:c r="K29" s="19" t="str">
        <x:v>2022</x:v>
      </x:c>
      <x:c r="L29" s="25" t="n">
        <x:v>1842</x:v>
      </x:c>
      <x:c r="M29" s="25" t="n">
        <x:v>181</x:v>
      </x:c>
      <x:c r="N29" s="25" t="n">
        <x:v>1965</x:v>
      </x:c>
      <x:c r="O29" s="46" t="n">
        <x:v>0.00003836178537423851</x:v>
      </x:c>
      <x:c r="P29" s="19" t="str">
        <x:v>2.270211442953474e-05</x:v>
      </x:c>
      <x:c r="Q29" s="19" t="str">
        <x:v>2.831485350895946e-05</x:v>
      </x:c>
      <x:c r="R29" s="19" t="str">
        <x:v>1.888270770677991e-05</x:v>
      </x:c>
      <x:c r="S29" s="19" t="str">
        <x:v>2.367981869610958e-05</x:v>
      </x:c>
      <x:c r="T29" s="19" t="str">
        <x:v>2.126778495892268e-05</x:v>
      </x:c>
      <x:c r="U29" s="19" t="str">
        <x:v>2.173044436442478e-05</x:v>
      </x:c>
      <x:c r="V29" s="46" t="n">
        <x:v>0.00002149911466167373</x:v>
      </x:c>
      <x:c r="W29" s="19" t="str">
        <x:v>2.122521947781064e-05</x:v>
      </x:c>
      <x:c r="X29" s="19" t="str">
        <x:v>2.270211442953474e-05</x:v>
      </x:c>
      <x:c r="Y29" s="19" t="str">
        <x:v>2.270211442953474e-05</x:v>
      </x:c>
      <x:c r="Z29" s="25" t="n">
        <x:v>2022</x:v>
      </x:c>
      <x:c r="AA29" s="19" t="str">
        <x:v>AVAILABLE</x:v>
      </x:c>
      <x:c r="AB29" s="19" t="str">
        <x:v>AVAILABLE</x:v>
      </x:c>
      <x:c r="AC29" s="43" t="str">
        <x:v>Generic corpus string frequency; not climate-specific semantic frequency.</x:v>
      </x:c>
    </x:row>
    <x:row r="30" ht="24" customHeight="1">
      <x:c r="A30" s="40" t="str">
        <x:v>FT-Q-V01-026</x:v>
      </x:c>
      <x:c r="B30" s="31" t="str">
        <x:v>radiation absorption coefficients</x:v>
      </x:c>
      <x:c r="C30" s="31" t="str">
        <x:v>historical climate / climatological condition</x:v>
      </x:c>
      <x:c r="D30" s="31" t="str">
        <x:v>climate</x:v>
      </x:c>
      <x:c r="E30" s="19" t="str">
        <x:v>B</x:v>
      </x:c>
      <x:c r="F30" s="19" t="str">
        <x:v>EXECUTABLE_NGRAM</x:v>
      </x:c>
      <x:c r="G30" s="19" t="str">
        <x:v>CONTEXT_REQUIRED</x:v>
      </x:c>
      <x:c r="H30" s="19" t="str">
        <x:v>eng</x:v>
      </x:c>
      <x:c r="I30" s="19" t="str">
        <x:v>current English corpus (July 2024 dataset; public shorthand eng; mutable current corpus)</x:v>
      </x:c>
      <x:c r="J30" s="19" t="str">
        <x:v>1842</x:v>
      </x:c>
      <x:c r="K30" s="19" t="str">
        <x:v>2022</x:v>
      </x:c>
      <x:c r="L30" s="25" t="n">
        <x:v>1929</x:v>
      </x:c>
      <x:c r="M30" s="25" t="n">
        <x:v>76</x:v>
      </x:c>
      <x:c r="N30" s="25" t="n">
        <x:v>1982</x:v>
      </x:c>
      <x:c r="O30" s="46" t="n">
        <x:v>6.327038087894366e-9</x:v>
      </x:c>
      <x:c r="P30" s="19" t="str">
        <x:v>4.729858865681891e-11</x:v>
      </x:c>
      <x:c r="Q30" s="19" t="str">
        <x:v>0</x:v>
      </x:c>
      <x:c r="R30" s="19" t="str">
        <x:v>1.222350221041779e-09</x:v>
      </x:c>
      <x:c r="S30" s="19" t="str">
        <x:v>3.784216828783826e-10</x:v>
      </x:c>
      <x:c r="T30" s="19" t="str">
        <x:v>9.908744658115864e-11</x:v>
      </x:c>
      <x:c r="U30" s="19" t="str">
        <x:v>3.887298122284832e-10</x:v>
      </x:c>
      <x:c r="V30" s="46" t="n">
        <x:v>2.439086294048209e-10</x:v>
      </x:c>
      <x:c r="W30" s="19" t="str">
        <x:v>9.997370292724739e-11</x:v>
      </x:c>
      <x:c r="X30" s="19" t="str">
        <x:v>4.729858865681891e-11</x:v>
      </x:c>
      <x:c r="Y30" s="19" t="str">
        <x:v>4.729858865681891e-11</x:v>
      </x:c>
      <x:c r="Z30" s="25" t="n">
        <x:v>2022</x:v>
      </x:c>
      <x:c r="AA30" s="19" t="str">
        <x:v>AVAILABLE</x:v>
      </x:c>
      <x:c r="AB30" s="19" t="str">
        <x:v>AVAILABLE</x:v>
      </x:c>
      <x:c r="AC30" s="43" t="str">
        <x:v>Climate/temperature-linked lexical frequency; still not evidence of reception, voice, or affect without passage review.</x:v>
      </x:c>
    </x:row>
    <x:row r="31" ht="24" customHeight="1">
      <x:c r="A31" s="40" t="str">
        <x:v>FT-Q-V01-027</x:v>
      </x:c>
      <x:c r="B31" s="31" t="str">
        <x:v>water vapour</x:v>
      </x:c>
      <x:c r="C31" s="31" t="str">
        <x:v>historical climate / climatological condition</x:v>
      </x:c>
      <x:c r="D31" s="31" t="str">
        <x:v>climate</x:v>
      </x:c>
      <x:c r="E31" s="19" t="str">
        <x:v>B</x:v>
      </x:c>
      <x:c r="F31" s="19" t="str">
        <x:v>EXECUTABLE_NGRAM</x:v>
      </x:c>
      <x:c r="G31" s="19" t="str">
        <x:v>CONTEXT_REQUIRED</x:v>
      </x:c>
      <x:c r="H31" s="19" t="str">
        <x:v>eng</x:v>
      </x:c>
      <x:c r="I31" s="19" t="str">
        <x:v>current English corpus (July 2024 dataset; public shorthand eng; mutable current corpus)</x:v>
      </x:c>
      <x:c r="J31" s="19" t="str">
        <x:v>1842</x:v>
      </x:c>
      <x:c r="K31" s="19" t="str">
        <x:v>2022</x:v>
      </x:c>
      <x:c r="L31" s="25" t="n">
        <x:v>1842</x:v>
      </x:c>
      <x:c r="M31" s="25" t="n">
        <x:v>181</x:v>
      </x:c>
      <x:c r="N31" s="25" t="n">
        <x:v>1960</x:v>
      </x:c>
      <x:c r="O31" s="46" t="n">
        <x:v>0.000001108909701168226</x:v>
      </x:c>
      <x:c r="P31" s="19" t="str">
        <x:v>5.510517200879583e-07</x:v>
      </x:c>
      <x:c r="Q31" s="19" t="str">
        <x:v>4.514918217068953e-09</x:v>
      </x:c>
      <x:c r="R31" s="19" t="str">
        <x:v>6.766959614878942e-07</x:v>
      </x:c>
      <x:c r="S31" s="19" t="str">
        <x:v>6.493189931566778e-07</x:v>
      </x:c>
      <x:c r="T31" s="19" t="str">
        <x:v>5.637561245712408e-07</x:v>
      </x:c>
      <x:c r="U31" s="19" t="str">
        <x:v>5.652062349884024e-07</x:v>
      </x:c>
      <x:c r="V31" s="46" t="n">
        <x:v>5.644811797798216e-7</x:v>
      </x:c>
      <x:c r="W31" s="19" t="str">
        <x:v>5.057859777633789e-07</x:v>
      </x:c>
      <x:c r="X31" s="19" t="str">
        <x:v>5.510517200879583e-07</x:v>
      </x:c>
      <x:c r="Y31" s="19" t="str">
        <x:v>5.510517200879583e-07</x:v>
      </x:c>
      <x:c r="Z31" s="25" t="n">
        <x:v>2022</x:v>
      </x:c>
      <x:c r="AA31" s="19" t="str">
        <x:v>AVAILABLE</x:v>
      </x:c>
      <x:c r="AB31" s="19" t="str">
        <x:v>AVAILABLE</x:v>
      </x:c>
      <x:c r="AC31" s="43" t="str">
        <x:v>Climate/temperature-linked lexical frequency; still not evidence of reception, voice, or affect without passage review.</x:v>
      </x:c>
    </x:row>
    <x:row r="32" ht="24" customHeight="1">
      <x:c r="A32" s="40" t="str">
        <x:v>FT-Q-V01-028</x:v>
      </x:c>
      <x:c r="B32" s="31" t="str">
        <x:v>sky radiation</x:v>
      </x:c>
      <x:c r="C32" s="31" t="str">
        <x:v>historical climate / climatological condition</x:v>
      </x:c>
      <x:c r="D32" s="31" t="str">
        <x:v>climate</x:v>
      </x:c>
      <x:c r="E32" s="19" t="str">
        <x:v>B</x:v>
      </x:c>
      <x:c r="F32" s="19" t="str">
        <x:v>EXECUTABLE_NGRAM</x:v>
      </x:c>
      <x:c r="G32" s="19" t="str">
        <x:v>CONTEXT_REQUIRED</x:v>
      </x:c>
      <x:c r="H32" s="19" t="str">
        <x:v>eng</x:v>
      </x:c>
      <x:c r="I32" s="19" t="str">
        <x:v>current English corpus (July 2024 dataset; public shorthand eng; mutable current corpus)</x:v>
      </x:c>
      <x:c r="J32" s="19" t="str">
        <x:v>1842</x:v>
      </x:c>
      <x:c r="K32" s="19" t="str">
        <x:v>2022</x:v>
      </x:c>
      <x:c r="L32" s="25" t="n">
        <x:v>1843</x:v>
      </x:c>
      <x:c r="M32" s="25" t="n">
        <x:v>162</x:v>
      </x:c>
      <x:c r="N32" s="25" t="n">
        <x:v>1964</x:v>
      </x:c>
      <x:c r="O32" s="46" t="n">
        <x:v>1.207640569766966e-7</x:v>
      </x:c>
      <x:c r="P32" s="19" t="str">
        <x:v>8.007414870059293e-09</x:v>
      </x:c>
      <x:c r="Q32" s="19" t="str">
        <x:v>0</x:v>
      </x:c>
      <x:c r="R32" s="19" t="str">
        <x:v>7.016433356543672e-08</x:v>
      </x:c>
      <x:c r="S32" s="19" t="str">
        <x:v>3.519036362309436e-08</x:v>
      </x:c>
      <x:c r="T32" s="19" t="str">
        <x:v>1.011776039339107e-08</x:v>
      </x:c>
      <x:c r="U32" s="19" t="str">
        <x:v>1.097400473965005e-08</x:v>
      </x:c>
      <x:c r="V32" s="46" t="n">
        <x:v>1.054588256652056e-8</x:v>
      </x:c>
      <x:c r="W32" s="19" t="str">
        <x:v>7.612475511065142e-09</x:v>
      </x:c>
      <x:c r="X32" s="19" t="str">
        <x:v>8.007414870059293e-09</x:v>
      </x:c>
      <x:c r="Y32" s="19" t="str">
        <x:v>8.007414870059293e-09</x:v>
      </x:c>
      <x:c r="Z32" s="25" t="n">
        <x:v>2022</x:v>
      </x:c>
      <x:c r="AA32" s="19" t="str">
        <x:v>AVAILABLE</x:v>
      </x:c>
      <x:c r="AB32" s="19" t="str">
        <x:v>AVAILABLE</x:v>
      </x:c>
      <x:c r="AC32" s="43" t="str">
        <x:v>Climate/temperature-linked lexical frequency; still not evidence of reception, voice, or affect without passage review.</x:v>
      </x:c>
    </x:row>
    <x:row r="33" ht="24" customHeight="1">
      <x:c r="A33" s="40" t="str">
        <x:v>FT-Q-V01-029</x:v>
      </x:c>
      <x:c r="B33" s="31" t="str">
        <x:v>increase in mean temperature</x:v>
      </x:c>
      <x:c r="C33" s="31" t="str">
        <x:v>mean temperature</x:v>
      </x:c>
      <x:c r="D33" s="31" t="str">
        <x:v>temperature_threshold</x:v>
      </x:c>
      <x:c r="E33" s="19" t="str">
        <x:v>A</x:v>
      </x:c>
      <x:c r="F33" s="19" t="str">
        <x:v>EXECUTABLE_NGRAM</x:v>
      </x:c>
      <x:c r="G33" s="19" t="str">
        <x:v>CONTEXT_REQUIRED</x:v>
      </x:c>
      <x:c r="H33" s="19" t="str">
        <x:v>eng</x:v>
      </x:c>
      <x:c r="I33" s="19" t="str">
        <x:v>current English corpus (July 2024 dataset; public shorthand eng; mutable current corpus)</x:v>
      </x:c>
      <x:c r="J33" s="19" t="str">
        <x:v>1842</x:v>
      </x:c>
      <x:c r="K33" s="19" t="str">
        <x:v>2022</x:v>
      </x:c>
      <x:c r="L33" s="25" t="n">
        <x:v>1868</x:v>
      </x:c>
      <x:c r="M33" s="25" t="n">
        <x:v>120</x:v>
      </x:c>
      <x:c r="N33" s="25" t="n">
        <x:v>1868</x:v>
      </x:c>
      <x:c r="O33" s="46" t="n">
        <x:v>4.050583868320246e-9</x:v>
      </x:c>
      <x:c r="P33" s="19" t="str">
        <x:v>3.455194436119413e-09</x:v>
      </x:c>
      <x:c r="Q33" s="19" t="str">
        <x:v>0</x:v>
      </x:c>
      <x:c r="R33" s="19" t="str">
        <x:v>2.30258700995023e-09</x:v>
      </x:c>
      <x:c r="S33" s="19" t="str">
        <x:v>1.254889969715123e-09</x:v>
      </x:c>
      <x:c r="T33" s="19" t="str">
        <x:v>1.511421543476388e-09</x:v>
      </x:c>
      <x:c r="U33" s="19" t="str">
        <x:v>2.430605078318493e-09</x:v>
      </x:c>
      <x:c r="V33" s="46" t="n">
        <x:v>1.97101331089744e-9</x:v>
      </x:c>
      <x:c r="W33" s="19" t="str">
        <x:v>1.774355107286851e-09</x:v>
      </x:c>
      <x:c r="X33" s="19" t="str">
        <x:v>3.455194436119413e-09</x:v>
      </x:c>
      <x:c r="Y33" s="19" t="str">
        <x:v>3.455194436119413e-09</x:v>
      </x:c>
      <x:c r="Z33" s="25" t="n">
        <x:v>2022</x:v>
      </x:c>
      <x:c r="AA33" s="19" t="str">
        <x:v>AVAILABLE</x:v>
      </x:c>
      <x:c r="AB33" s="19" t="str">
        <x:v>AVAILABLE</x:v>
      </x:c>
      <x:c r="AC33" s="43" t="str">
        <x:v>Climate/temperature-linked lexical frequency; still not evidence of reception, voice, or affect without passage review.</x:v>
      </x:c>
    </x:row>
    <x:row r="34" ht="24" customHeight="1">
      <x:c r="A34" s="40" t="str">
        <x:v>FT-Q-V01-030</x:v>
      </x:c>
      <x:c r="B34" s="31" t="str">
        <x:v>mean temperature</x:v>
      </x:c>
      <x:c r="C34" s="31" t="str">
        <x:v>mean temperature</x:v>
      </x:c>
      <x:c r="D34" s="31" t="str">
        <x:v>temperature_threshold</x:v>
      </x:c>
      <x:c r="E34" s="19" t="str">
        <x:v>A</x:v>
      </x:c>
      <x:c r="F34" s="19" t="str">
        <x:v>EXECUTABLE_NGRAM</x:v>
      </x:c>
      <x:c r="G34" s="19" t="str">
        <x:v>CONTEXT_REQUIRED</x:v>
      </x:c>
      <x:c r="H34" s="19" t="str">
        <x:v>eng</x:v>
      </x:c>
      <x:c r="I34" s="19" t="str">
        <x:v>current English corpus (July 2024 dataset; public shorthand eng; mutable current corpus)</x:v>
      </x:c>
      <x:c r="J34" s="19" t="str">
        <x:v>1842</x:v>
      </x:c>
      <x:c r="K34" s="19" t="str">
        <x:v>2022</x:v>
      </x:c>
      <x:c r="L34" s="25" t="n">
        <x:v>1842</x:v>
      </x:c>
      <x:c r="M34" s="25" t="n">
        <x:v>181</x:v>
      </x:c>
      <x:c r="N34" s="25" t="n">
        <x:v>1858</x:v>
      </x:c>
      <x:c r="O34" s="46" t="n">
        <x:v>0.000003219442511692705</x:v>
      </x:c>
      <x:c r="P34" s="19" t="str">
        <x:v>3.990877988080399e-07</x:v>
      </x:c>
      <x:c r="Q34" s="19" t="str">
        <x:v>2.365172290907935e-06</x:v>
      </x:c>
      <x:c r="R34" s="19" t="str">
        <x:v>1.06460447896195e-06</x:v>
      </x:c>
      <x:c r="S34" s="19" t="str">
        <x:v>5.396020415979197e-07</x:v>
      </x:c>
      <x:c r="T34" s="19" t="str">
        <x:v>4.059007448348195e-07</x:v>
      </x:c>
      <x:c r="U34" s="19" t="str">
        <x:v>4.200255244168893e-07</x:v>
      </x:c>
      <x:c r="V34" s="46" t="n">
        <x:v>4.129631346258544e-7</x:v>
      </x:c>
      <x:c r="W34" s="19" t="str">
        <x:v>3.047325316460348e-07</x:v>
      </x:c>
      <x:c r="X34" s="19" t="str">
        <x:v>3.990877988080399e-07</x:v>
      </x:c>
      <x:c r="Y34" s="19" t="str">
        <x:v>3.990877988080399e-07</x:v>
      </x:c>
      <x:c r="Z34" s="25" t="n">
        <x:v>2022</x:v>
      </x:c>
      <x:c r="AA34" s="19" t="str">
        <x:v>AVAILABLE</x:v>
      </x:c>
      <x:c r="AB34" s="19" t="str">
        <x:v>AVAILABLE</x:v>
      </x:c>
      <x:c r="AC34" s="43" t="str">
        <x:v>Climate/temperature-linked lexical frequency; still not evidence of reception, voice, or affect without passage review.</x:v>
      </x:c>
    </x:row>
    <x:row r="35" ht="24" customHeight="1">
      <x:c r="A35" s="40" t="str">
        <x:v>FT-Q-V01-031</x:v>
      </x:c>
      <x:c r="B35" s="31" t="str">
        <x:v>temperature observations</x:v>
      </x:c>
      <x:c r="C35" s="31" t="str">
        <x:v>local / instrumental temperature</x:v>
      </x:c>
      <x:c r="D35" s="31" t="str">
        <x:v>temperature_threshold</x:v>
      </x:c>
      <x:c r="E35" s="19" t="str">
        <x:v>A</x:v>
      </x:c>
      <x:c r="F35" s="19" t="str">
        <x:v>EXECUTABLE_NGRAM</x:v>
      </x:c>
      <x:c r="G35" s="19" t="str">
        <x:v>CONTEXT_REQUIRED</x:v>
      </x:c>
      <x:c r="H35" s="19" t="str">
        <x:v>eng</x:v>
      </x:c>
      <x:c r="I35" s="19" t="str">
        <x:v>current English corpus (July 2024 dataset; public shorthand eng; mutable current corpus)</x:v>
      </x:c>
      <x:c r="J35" s="19" t="str">
        <x:v>1842</x:v>
      </x:c>
      <x:c r="K35" s="19" t="str">
        <x:v>2022</x:v>
      </x:c>
      <x:c r="L35" s="25" t="n">
        <x:v>1843</x:v>
      </x:c>
      <x:c r="M35" s="25" t="n">
        <x:v>178</x:v>
      </x:c>
      <x:c r="N35" s="25" t="n">
        <x:v>1908</x:v>
      </x:c>
      <x:c r="O35" s="46" t="n">
        <x:v>1.812998174921532e-7</x:v>
      </x:c>
      <x:c r="P35" s="19" t="str">
        <x:v>1.079452616181698e-08</x:v>
      </x:c>
      <x:c r="Q35" s="19" t="str">
        <x:v>0</x:v>
      </x:c>
      <x:c r="R35" s="19" t="str">
        <x:v>3.630725631253995e-08</x:v>
      </x:c>
      <x:c r="S35" s="19" t="str">
        <x:v>4.333399722389331e-08</x:v>
      </x:c>
      <x:c r="T35" s="19" t="str">
        <x:v>1.327669915673901e-08</x:v>
      </x:c>
      <x:c r="U35" s="19" t="str">
        <x:v>1.196346471887821e-08</x:v>
      </x:c>
      <x:c r="V35" s="46" t="n">
        <x:v>1.262008193780861e-8</x:v>
      </x:c>
      <x:c r="W35" s="19" t="str">
        <x:v>8.032796372514639e-09</x:v>
      </x:c>
      <x:c r="X35" s="19" t="str">
        <x:v>1.079452616181698e-08</x:v>
      </x:c>
      <x:c r="Y35" s="19" t="str">
        <x:v>1.079452616181698e-08</x:v>
      </x:c>
      <x:c r="Z35" s="25" t="n">
        <x:v>2022</x:v>
      </x:c>
      <x:c r="AA35" s="19" t="str">
        <x:v>AVAILABLE</x:v>
      </x:c>
      <x:c r="AB35" s="19" t="str">
        <x:v>AVAILABLE</x:v>
      </x:c>
      <x:c r="AC35" s="43" t="str">
        <x:v>Climate/temperature-linked lexical frequency; still not evidence of reception, voice, or affect without passage review.</x:v>
      </x:c>
    </x:row>
    <x:row r="36" ht="24" customHeight="1">
      <x:c r="A36" s="40" t="str">
        <x:v>FT-Q-V01-032</x:v>
      </x:c>
      <x:c r="B36" s="31" t="str">
        <x:v>meteorological stations</x:v>
      </x:c>
      <x:c r="C36" s="31" t="str">
        <x:v>historical climate / climatological condition</x:v>
      </x:c>
      <x:c r="D36" s="31" t="str">
        <x:v>climate</x:v>
      </x:c>
      <x:c r="E36" s="19" t="str">
        <x:v>B</x:v>
      </x:c>
      <x:c r="F36" s="19" t="str">
        <x:v>EXECUTABLE_NGRAM</x:v>
      </x:c>
      <x:c r="G36" s="19" t="str">
        <x:v>CONTEXT_REQUIRED</x:v>
      </x:c>
      <x:c r="H36" s="19" t="str">
        <x:v>eng</x:v>
      </x:c>
      <x:c r="I36" s="19" t="str">
        <x:v>current English corpus (July 2024 dataset; public shorthand eng; mutable current corpus)</x:v>
      </x:c>
      <x:c r="J36" s="19" t="str">
        <x:v>1842</x:v>
      </x:c>
      <x:c r="K36" s="19" t="str">
        <x:v>2022</x:v>
      </x:c>
      <x:c r="L36" s="25" t="n">
        <x:v>1842</x:v>
      </x:c>
      <x:c r="M36" s="25" t="n">
        <x:v>180</x:v>
      </x:c>
      <x:c r="N36" s="25" t="n">
        <x:v>1965</x:v>
      </x:c>
      <x:c r="O36" s="46" t="n">
        <x:v>1.655199003414154e-7</x:v>
      </x:c>
      <x:c r="P36" s="19" t="str">
        <x:v>5.706942204919407e-08</x:v>
      </x:c>
      <x:c r="Q36" s="19" t="str">
        <x:v>6.449883405146295e-10</x:v>
      </x:c>
      <x:c r="R36" s="19" t="str">
        <x:v>9.076814153075041e-08</x:v>
      </x:c>
      <x:c r="S36" s="19" t="str">
        <x:v>9.47622730285147e-08</x:v>
      </x:c>
      <x:c r="T36" s="19" t="str">
        <x:v>6.752804135312651e-08</x:v>
      </x:c>
      <x:c r="U36" s="19" t="str">
        <x:v>5.707381896605246e-08</x:v>
      </x:c>
      <x:c r="V36" s="46" t="n">
        <x:v>6.230093015958948e-8</x:v>
      </x:c>
      <x:c r="W36" s="19" t="str">
        <x:v>4.119143208469733e-08</x:v>
      </x:c>
      <x:c r="X36" s="19" t="str">
        <x:v>5.706942204919407e-08</x:v>
      </x:c>
      <x:c r="Y36" s="19" t="str">
        <x:v>5.706942204919407e-08</x:v>
      </x:c>
      <x:c r="Z36" s="25" t="n">
        <x:v>2022</x:v>
      </x:c>
      <x:c r="AA36" s="19" t="str">
        <x:v>AVAILABLE</x:v>
      </x:c>
      <x:c r="AB36" s="19" t="str">
        <x:v>AVAILABLE</x:v>
      </x:c>
      <x:c r="AC36" s="43" t="str">
        <x:v>Climate/temperature-linked lexical frequency; still not evidence of reception, voice, or affect without passage review.</x:v>
      </x:c>
    </x:row>
    <x:row r="37" ht="24" customHeight="1">
      <x:c r="A37" s="40" t="str">
        <x:v>FT-Q-V01-033</x:v>
      </x:c>
      <x:c r="B37" s="31" t="str">
        <x:v>world temperatures</x:v>
      </x:c>
      <x:c r="C37" s="31" t="str">
        <x:v>global aggregate temperature</x:v>
      </x:c>
      <x:c r="D37" s="31" t="str">
        <x:v>temperature_threshold</x:v>
      </x:c>
      <x:c r="E37" s="19" t="str">
        <x:v>A</x:v>
      </x:c>
      <x:c r="F37" s="19" t="str">
        <x:v>EXECUTABLE_NGRAM</x:v>
      </x:c>
      <x:c r="G37" s="19" t="str">
        <x:v>CONTEXT_REQUIRED</x:v>
      </x:c>
      <x:c r="H37" s="19" t="str">
        <x:v>eng</x:v>
      </x:c>
      <x:c r="I37" s="19" t="str">
        <x:v>current English corpus (July 2024 dataset; public shorthand eng; mutable current corpus)</x:v>
      </x:c>
      <x:c r="J37" s="19" t="str">
        <x:v>1842</x:v>
      </x:c>
      <x:c r="K37" s="19" t="str">
        <x:v>2022</x:v>
      </x:c>
      <x:c r="L37" s="25" t="n">
        <x:v>1889</x:v>
      </x:c>
      <x:c r="M37" s="25" t="n">
        <x:v>112</x:v>
      </x:c>
      <x:c r="N37" s="25" t="n">
        <x:v>2007</x:v>
      </x:c>
      <x:c r="O37" s="46" t="n">
        <x:v>7.465921342958426e-9</x:v>
      </x:c>
      <x:c r="P37" s="19" t="str">
        <x:v>4.114307144975626e-09</x:v>
      </x:c>
      <x:c r="Q37" s="19" t="str">
        <x:v>0</x:v>
      </x:c>
      <x:c r="R37" s="19" t="str">
        <x:v>2.561554982016823e-09</x:v>
      </x:c>
      <x:c r="S37" s="19" t="str">
        <x:v>4.590047536501274e-09</x:v>
      </x:c>
      <x:c r="T37" s="19" t="str">
        <x:v>4.761299195188418e-09</x:v>
      </x:c>
      <x:c r="U37" s="19" t="str">
        <x:v>7.465921342958426e-09</x:v>
      </x:c>
      <x:c r="V37" s="46" t="n">
        <x:v>6.113610269073422e-9</x:v>
      </x:c>
      <x:c r="W37" s="19" t="str">
        <x:v>5.650978740501245e-09</x:v>
      </x:c>
      <x:c r="X37" s="19" t="str">
        <x:v>4.114307144975626e-09</x:v>
      </x:c>
      <x:c r="Y37" s="19" t="str">
        <x:v>4.114307144975626e-09</x:v>
      </x:c>
      <x:c r="Z37" s="25" t="n">
        <x:v>2022</x:v>
      </x:c>
      <x:c r="AA37" s="19" t="str">
        <x:v>AVAILABLE</x:v>
      </x:c>
      <x:c r="AB37" s="19" t="str">
        <x:v>AVAILABLE</x:v>
      </x:c>
      <x:c r="AC37" s="43" t="str">
        <x:v>Climate/temperature-linked lexical frequency; still not evidence of reception, voice, or affect without passage review.</x:v>
      </x:c>
    </x:row>
    <x:row r="38" ht="24" customHeight="1">
      <x:c r="A38" s="40" t="str">
        <x:v>FT-Q-V01-034</x:v>
      </x:c>
      <x:c r="B38" s="31" t="str">
        <x:v>actually increased</x:v>
      </x:c>
      <x:c r="C38" s="31" t="str">
        <x:v>temperature increase</x:v>
      </x:c>
      <x:c r="D38" s="31" t="str">
        <x:v>warming</x:v>
      </x:c>
      <x:c r="E38" s="19" t="str">
        <x:v>A</x:v>
      </x:c>
      <x:c r="F38" s="19" t="str">
        <x:v>EXECUTABLE_NGRAM</x:v>
      </x:c>
      <x:c r="G38" s="19" t="str">
        <x:v>CONTEXT_REQUIRED</x:v>
      </x:c>
      <x:c r="H38" s="19" t="str">
        <x:v>eng</x:v>
      </x:c>
      <x:c r="I38" s="19" t="str">
        <x:v>current English corpus (July 2024 dataset; public shorthand eng; mutable current corpus)</x:v>
      </x:c>
      <x:c r="J38" s="19" t="str">
        <x:v>1842</x:v>
      </x:c>
      <x:c r="K38" s="19" t="str">
        <x:v>2022</x:v>
      </x:c>
      <x:c r="L38" s="25" t="n">
        <x:v>1842</x:v>
      </x:c>
      <x:c r="M38" s="25" t="n">
        <x:v>181</x:v>
      </x:c>
      <x:c r="N38" s="25" t="n">
        <x:v>1933</x:v>
      </x:c>
      <x:c r="O38" s="46" t="n">
        <x:v>2.775292560763809e-7</x:v>
      </x:c>
      <x:c r="P38" s="19" t="str">
        <x:v>1.005129691700191e-07</x:v>
      </x:c>
      <x:c r="Q38" s="19" t="str">
        <x:v>5.611398634641773e-08</x:v>
      </x:c>
      <x:c r="R38" s="19" t="str">
        <x:v>1.804225649021385e-07</x:v>
      </x:c>
      <x:c r="S38" s="19" t="str">
        <x:v>2.214574481781972e-07</x:v>
      </x:c>
      <x:c r="T38" s="19" t="str">
        <x:v>2.003408214254487e-07</x:v>
      </x:c>
      <x:c r="U38" s="19" t="str">
        <x:v>2.006803638751609e-07</x:v>
      </x:c>
      <x:c r="V38" s="46" t="n">
        <x:v>2.005105926503048e-7</x:v>
      </x:c>
      <x:c r="W38" s="19" t="str">
        <x:v>1.679881892306667e-07</x:v>
      </x:c>
      <x:c r="X38" s="19" t="str">
        <x:v>1.005129691700191e-07</x:v>
      </x:c>
      <x:c r="Y38" s="19" t="str">
        <x:v>1.005129691700191e-07</x:v>
      </x:c>
      <x:c r="Z38" s="25" t="n">
        <x:v>2022</x:v>
      </x:c>
      <x:c r="AA38" s="19" t="str">
        <x:v>AVAILABLE</x:v>
      </x:c>
      <x:c r="AB38" s="19" t="str">
        <x:v>AVAILABLE</x:v>
      </x:c>
      <x:c r="AC38" s="43" t="str">
        <x:v>Climate/temperature-linked lexical frequency; still not evidence of reception, voice, or affect without passage review.</x:v>
      </x:c>
    </x:row>
    <x:row r="39" ht="24" customHeight="1">
      <x:c r="A39" s="40" t="str">
        <x:v>FT-Q-V01-035</x:v>
      </x:c>
      <x:c r="B39" s="31" t="str">
        <x:v>average rate</x:v>
      </x:c>
      <x:c r="C39" s="31" t="str">
        <x:v>local / instrumental temperature</x:v>
      </x:c>
      <x:c r="D39" s="31" t="str">
        <x:v>temperature_threshold</x:v>
      </x:c>
      <x:c r="E39" s="19" t="str">
        <x:v>A</x:v>
      </x:c>
      <x:c r="F39" s="19" t="str">
        <x:v>EXECUTABLE_NGRAM</x:v>
      </x:c>
      <x:c r="G39" s="19" t="str">
        <x:v>CONTEXT_REQUIRED</x:v>
      </x:c>
      <x:c r="H39" s="19" t="str">
        <x:v>eng</x:v>
      </x:c>
      <x:c r="I39" s="19" t="str">
        <x:v>current English corpus (July 2024 dataset; public shorthand eng; mutable current corpus)</x:v>
      </x:c>
      <x:c r="J39" s="19" t="str">
        <x:v>1842</x:v>
      </x:c>
      <x:c r="K39" s="19" t="str">
        <x:v>2022</x:v>
      </x:c>
      <x:c r="L39" s="25" t="n">
        <x:v>1842</x:v>
      </x:c>
      <x:c r="M39" s="25" t="n">
        <x:v>181</x:v>
      </x:c>
      <x:c r="N39" s="25" t="n">
        <x:v>1885</x:v>
      </x:c>
      <x:c r="O39" s="46" t="n">
        <x:v>0.000004938462941139754</x:v>
      </x:c>
      <x:c r="P39" s="19" t="str">
        <x:v>5.522904276411555e-07</x:v>
      </x:c>
      <x:c r="Q39" s="19" t="str">
        <x:v>1.024886465750274e-06</x:v>
      </x:c>
      <x:c r="R39" s="19" t="str">
        <x:v>2.678272757100641e-06</x:v>
      </x:c>
      <x:c r="S39" s="19" t="str">
        <x:v>1.477254987107546e-06</x:v>
      </x:c>
      <x:c r="T39" s="19" t="str">
        <x:v>1.087956885408026e-06</x:v>
      </x:c>
      <x:c r="U39" s="19" t="str">
        <x:v>1.109498924400931e-06</x:v>
      </x:c>
      <x:c r="V39" s="46" t="n">
        <x:v>0.000001098727904904478</x:v>
      </x:c>
      <x:c r="W39" s="19" t="str">
        <x:v>7.784807402877458e-07</x:v>
      </x:c>
      <x:c r="X39" s="19" t="str">
        <x:v>5.522904276411555e-07</x:v>
      </x:c>
      <x:c r="Y39" s="19" t="str">
        <x:v>5.522904276411555e-07</x:v>
      </x:c>
      <x:c r="Z39" s="25" t="n">
        <x:v>2022</x:v>
      </x:c>
      <x:c r="AA39" s="19" t="str">
        <x:v>AVAILABLE</x:v>
      </x:c>
      <x:c r="AB39" s="19" t="str">
        <x:v>AVAILABLE</x:v>
      </x:c>
      <x:c r="AC39" s="43" t="str">
        <x:v>Climate/temperature-linked lexical frequency; still not evidence of reception, voice, or affect without passage review.</x:v>
      </x:c>
    </x:row>
    <x:row r="40" ht="24" customHeight="1">
      <x:c r="A40" s="40" t="str">
        <x:v>FT-Q-V01-036</x:v>
      </x:c>
      <x:c r="B40" s="31" t="str">
        <x:v>small increases in mean temperature</x:v>
      </x:c>
      <x:c r="C40" s="31" t="str">
        <x:v>mean temperature</x:v>
      </x:c>
      <x:c r="D40" s="31" t="str">
        <x:v>temperature_threshold</x:v>
      </x:c>
      <x:c r="E40" s="19" t="str">
        <x:v>A</x:v>
      </x:c>
      <x:c r="F40" s="19" t="str">
        <x:v>EXECUTABLE_NGRAM</x:v>
      </x:c>
      <x:c r="G40" s="19" t="str">
        <x:v>CONTEXT_REQUIRED</x:v>
      </x:c>
      <x:c r="H40" s="19" t="str">
        <x:v>eng</x:v>
      </x:c>
      <x:c r="I40" s="19" t="str">
        <x:v>current English corpus (July 2024 dataset; public shorthand eng; mutable current corpus)</x:v>
      </x:c>
      <x:c r="J40" s="19" t="str">
        <x:v>1842</x:v>
      </x:c>
      <x:c r="K40" s="19" t="str">
        <x:v>2022</x:v>
      </x:c>
      <x:c r="L40" s="25" t="str"/>
      <x:c r="M40" s="25" t="n">
        <x:v>0</x:v>
      </x:c>
      <x:c r="N40" s="25" t="str"/>
      <x:c r="O40" s="46" t="str"/>
      <x:c r="P40" s="19" t="str"/>
      <x:c r="Q40" s="19" t="str"/>
      <x:c r="R40" s="19" t="str"/>
      <x:c r="S40" s="19" t="str"/>
      <x:c r="T40" s="19" t="str"/>
      <x:c r="U40" s="19" t="str"/>
      <x:c r="V40" s="46" t="str"/>
      <x:c r="W40" s="19" t="str"/>
      <x:c r="X40" s="19" t="str"/>
      <x:c r="Y40" s="19" t="str"/>
      <x:c r="Z40" s="25" t="n">
        <x:v>2022</x:v>
      </x:c>
      <x:c r="AA40" s="19" t="str">
        <x:v>NO_SERIES</x:v>
      </x:c>
      <x:c r="AB40" s="19" t="str">
        <x:v>NOT_AVAILABLE</x:v>
      </x:c>
      <x:c r="AC40" s="43" t="str">
        <x:v>Climate/temperature-linked lexical frequency; still not evidence of reception, voice, or affect without passage review.</x:v>
      </x:c>
    </x:row>
    <x:row r="41" ht="24" customHeight="1">
      <x:c r="A41" s="40" t="str">
        <x:v>FT-Q-V01-037</x:v>
      </x:c>
      <x:c r="B41" s="31" t="str">
        <x:v>deadly glaciers</x:v>
      </x:c>
      <x:c r="C41" s="31" t="str">
        <x:v>institutional climate threat</x:v>
      </x:c>
      <x:c r="D41" s="31" t="str">
        <x:v>danger_threat</x:v>
      </x:c>
      <x:c r="E41" s="19" t="str">
        <x:v>D</x:v>
      </x:c>
      <x:c r="F41" s="19" t="str">
        <x:v>EXECUTABLE_NGRAM</x:v>
      </x:c>
      <x:c r="G41" s="19" t="str">
        <x:v>CONTEXT_REQUIRED</x:v>
      </x:c>
      <x:c r="H41" s="19" t="str">
        <x:v>eng</x:v>
      </x:c>
      <x:c r="I41" s="19" t="str">
        <x:v>current English corpus (July 2024 dataset; public shorthand eng; mutable current corpus)</x:v>
      </x:c>
      <x:c r="J41" s="19" t="str">
        <x:v>1842</x:v>
      </x:c>
      <x:c r="K41" s="19" t="str">
        <x:v>2022</x:v>
      </x:c>
      <x:c r="L41" s="25" t="n">
        <x:v>1845</x:v>
      </x:c>
      <x:c r="M41" s="25" t="n">
        <x:v>92</x:v>
      </x:c>
      <x:c r="N41" s="25" t="n">
        <x:v>1845</x:v>
      </x:c>
      <x:c r="O41" s="46" t="n">
        <x:v>1.502518109930406e-9</x:v>
      </x:c>
      <x:c r="P41" s="19" t="str">
        <x:v>2.211993088696573e-10</x:v>
      </x:c>
      <x:c r="Q41" s="19" t="str">
        <x:v>0</x:v>
      </x:c>
      <x:c r="R41" s="19" t="str">
        <x:v>1.113719533263335e-10</x:v>
      </x:c>
      <x:c r="S41" s="19" t="str">
        <x:v>4.9355349668323e-11</x:v>
      </x:c>
      <x:c r="T41" s="19" t="str">
        <x:v>9.156344432659225e-11</x:v>
      </x:c>
      <x:c r="U41" s="19" t="str">
        <x:v>4.497542963055601e-11</x:v>
      </x:c>
      <x:c r="V41" s="46" t="n">
        <x:v>6.826943697857413e-11</x:v>
      </x:c>
      <x:c r="W41" s="19" t="str">
        <x:v>3.269161330532455e-10</x:v>
      </x:c>
      <x:c r="X41" s="19" t="str">
        <x:v>2.211993088696573e-10</x:v>
      </x:c>
      <x:c r="Y41" s="19" t="str">
        <x:v>2.211993088696573e-10</x:v>
      </x:c>
      <x:c r="Z41" s="25" t="n">
        <x:v>2022</x:v>
      </x:c>
      <x:c r="AA41" s="19" t="str">
        <x:v>AVAILABLE</x:v>
      </x:c>
      <x:c r="AB41" s="19" t="str">
        <x:v>AVAILABLE</x:v>
      </x:c>
      <x:c r="AC41" s="43" t="str">
        <x:v>Climate/temperature-linked lexical frequency; still not evidence of reception, voice, or affect without passage review.</x:v>
      </x:c>
    </x:row>
    <x:row r="42" ht="24" customHeight="1">
      <x:c r="A42" s="40" t="str">
        <x:v>FT-Q-V01-038</x:v>
      </x:c>
      <x:c r="B42" s="31" t="str">
        <x:v>rather a coincidence</x:v>
      </x:c>
      <x:c r="C42" s="31" t="str">
        <x:v>personal concern</x:v>
      </x:c>
      <x:c r="D42" s="31" t="str">
        <x:v>concern_alarm</x:v>
      </x:c>
      <x:c r="E42" s="19" t="str">
        <x:v>C</x:v>
      </x:c>
      <x:c r="F42" s="19" t="str">
        <x:v>EXECUTABLE_NGRAM</x:v>
      </x:c>
      <x:c r="G42" s="19" t="str">
        <x:v>CONTEXT_REQUIRED</x:v>
      </x:c>
      <x:c r="H42" s="19" t="str">
        <x:v>eng</x:v>
      </x:c>
      <x:c r="I42" s="19" t="str">
        <x:v>current English corpus (July 2024 dataset; public shorthand eng; mutable current corpus)</x:v>
      </x:c>
      <x:c r="J42" s="19" t="str">
        <x:v>1842</x:v>
      </x:c>
      <x:c r="K42" s="19" t="str">
        <x:v>2022</x:v>
      </x:c>
      <x:c r="L42" s="25" t="n">
        <x:v>1842</x:v>
      </x:c>
      <x:c r="M42" s="25" t="n">
        <x:v>175</x:v>
      </x:c>
      <x:c r="N42" s="25" t="n">
        <x:v>1934</x:v>
      </x:c>
      <x:c r="O42" s="46" t="n">
        <x:v>1.141847061347789e-8</x:v>
      </x:c>
      <x:c r="P42" s="19" t="str">
        <x:v>3.216303917641383e-09</x:v>
      </x:c>
      <x:c r="Q42" s="19" t="str">
        <x:v>1.372755464856823e-09</x:v>
      </x:c>
      <x:c r="R42" s="19" t="str">
        <x:v>4.644931106412287e-09</x:v>
      </x:c>
      <x:c r="S42" s="19" t="str">
        <x:v>7.027831511186022e-10</x:v>
      </x:c>
      <x:c r="T42" s="19" t="str">
        <x:v>9.413307355821132e-10</x:v>
      </x:c>
      <x:c r="U42" s="19" t="str">
        <x:v>8.746421087391099e-10</x:v>
      </x:c>
      <x:c r="V42" s="46" t="n">
        <x:v>9.079864221606115e-10</x:v>
      </x:c>
      <x:c r="W42" s="19" t="str">
        <x:v>2.049460878783549e-09</x:v>
      </x:c>
      <x:c r="X42" s="19" t="str">
        <x:v>3.216303917641383e-09</x:v>
      </x:c>
      <x:c r="Y42" s="19" t="str">
        <x:v>3.216303917641383e-09</x:v>
      </x:c>
      <x:c r="Z42" s="25" t="n">
        <x:v>2022</x:v>
      </x:c>
      <x:c r="AA42" s="19" t="str">
        <x:v>AVAILABLE</x:v>
      </x:c>
      <x:c r="AB42" s="19" t="str">
        <x:v>AVAILABLE</x:v>
      </x:c>
      <x:c r="AC42" s="43" t="str">
        <x:v>Climate/temperature-linked lexical frequency; still not evidence of reception, voice, or affect without passage review.</x:v>
      </x:c>
    </x:row>
    <x:row r="43" ht="24" customHeight="1">
      <x:c r="A43" s="40" t="str">
        <x:v>FT-Q-V01-039</x:v>
      </x:c>
      <x:c r="B43" s="31" t="str">
        <x:v>Hottest Day for Ten Years</x:v>
      </x:c>
      <x:c r="C43" s="31" t="str">
        <x:v>heatwave / weather event</x:v>
      </x:c>
      <x:c r="D43" s="31" t="str">
        <x:v>heat</x:v>
      </x:c>
      <x:c r="E43" s="19" t="str">
        <x:v>A</x:v>
      </x:c>
      <x:c r="F43" s="19" t="str">
        <x:v>EXECUTABLE_NGRAM</x:v>
      </x:c>
      <x:c r="G43" s="19" t="str">
        <x:v>CONTEXT_REQUIRED</x:v>
      </x:c>
      <x:c r="H43" s="19" t="str">
        <x:v>eng</x:v>
      </x:c>
      <x:c r="I43" s="19" t="str">
        <x:v>current English corpus (July 2024 dataset; public shorthand eng; mutable current corpus)</x:v>
      </x:c>
      <x:c r="J43" s="19" t="str">
        <x:v>1842</x:v>
      </x:c>
      <x:c r="K43" s="19" t="str">
        <x:v>2022</x:v>
      </x:c>
      <x:c r="L43" s="25" t="str"/>
      <x:c r="M43" s="25" t="n">
        <x:v>0</x:v>
      </x:c>
      <x:c r="N43" s="25" t="str"/>
      <x:c r="O43" s="46" t="str"/>
      <x:c r="P43" s="19" t="str"/>
      <x:c r="Q43" s="19" t="str"/>
      <x:c r="R43" s="19" t="str"/>
      <x:c r="S43" s="19" t="str"/>
      <x:c r="T43" s="19" t="str"/>
      <x:c r="U43" s="19" t="str"/>
      <x:c r="V43" s="46" t="str"/>
      <x:c r="W43" s="19" t="str"/>
      <x:c r="X43" s="19" t="str"/>
      <x:c r="Y43" s="19" t="str"/>
      <x:c r="Z43" s="25" t="n">
        <x:v>2022</x:v>
      </x:c>
      <x:c r="AA43" s="19" t="str">
        <x:v>NO_SERIES</x:v>
      </x:c>
      <x:c r="AB43" s="19" t="str">
        <x:v>NOT_AVAILABLE</x:v>
      </x:c>
      <x:c r="AC43" s="43" t="str">
        <x:v>Climate/temperature-linked lexical frequency; still not evidence of reception, voice, or affect without passage review.</x:v>
      </x:c>
    </x:row>
    <x:row r="44" ht="24" customHeight="1">
      <x:c r="A44" s="40" t="str">
        <x:v>FT-Q-V01-040</x:v>
      </x:c>
      <x:c r="B44" s="31" t="str">
        <x:v>Heat Wave Over Queensland</x:v>
      </x:c>
      <x:c r="C44" s="31" t="str">
        <x:v>heatwave / weather event</x:v>
      </x:c>
      <x:c r="D44" s="31" t="str">
        <x:v>heat</x:v>
      </x:c>
      <x:c r="E44" s="19" t="str">
        <x:v>A</x:v>
      </x:c>
      <x:c r="F44" s="19" t="str">
        <x:v>EXECUTABLE_NGRAM</x:v>
      </x:c>
      <x:c r="G44" s="19" t="str">
        <x:v>CONTEXT_REQUIRED</x:v>
      </x:c>
      <x:c r="H44" s="19" t="str">
        <x:v>eng</x:v>
      </x:c>
      <x:c r="I44" s="19" t="str">
        <x:v>current English corpus (July 2024 dataset; public shorthand eng; mutable current corpus)</x:v>
      </x:c>
      <x:c r="J44" s="19" t="str">
        <x:v>1842</x:v>
      </x:c>
      <x:c r="K44" s="19" t="str">
        <x:v>2022</x:v>
      </x:c>
      <x:c r="L44" s="25" t="str"/>
      <x:c r="M44" s="25" t="n">
        <x:v>0</x:v>
      </x:c>
      <x:c r="N44" s="25" t="str"/>
      <x:c r="O44" s="46" t="str"/>
      <x:c r="P44" s="19" t="str"/>
      <x:c r="Q44" s="19" t="str"/>
      <x:c r="R44" s="19" t="str"/>
      <x:c r="S44" s="19" t="str"/>
      <x:c r="T44" s="19" t="str"/>
      <x:c r="U44" s="19" t="str"/>
      <x:c r="V44" s="46" t="str"/>
      <x:c r="W44" s="19" t="str"/>
      <x:c r="X44" s="19" t="str"/>
      <x:c r="Y44" s="19" t="str"/>
      <x:c r="Z44" s="25" t="n">
        <x:v>2022</x:v>
      </x:c>
      <x:c r="AA44" s="19" t="str">
        <x:v>NO_SERIES</x:v>
      </x:c>
      <x:c r="AB44" s="19" t="str">
        <x:v>NOT_AVAILABLE</x:v>
      </x:c>
      <x:c r="AC44" s="43" t="str">
        <x:v>Climate/temperature-linked lexical frequency; still not evidence of reception, voice, or affect without passage review.</x:v>
      </x:c>
    </x:row>
    <x:row r="45" ht="24" customHeight="1">
      <x:c r="A45" s="40" t="str">
        <x:v>FT-Q-V01-041</x:v>
      </x:c>
      <x:c r="B45" s="31" t="str">
        <x:v>greenhouse effect</x:v>
      </x:c>
      <x:c r="C45" s="31" t="str">
        <x:v>greenhouse mechanism</x:v>
      </x:c>
      <x:c r="D45" s="31" t="str">
        <x:v>carbon_greenhouse</x:v>
      </x:c>
      <x:c r="E45" s="19" t="str">
        <x:v>B</x:v>
      </x:c>
      <x:c r="F45" s="19" t="str">
        <x:v>EXECUTABLE_NGRAM</x:v>
      </x:c>
      <x:c r="G45" s="19" t="str">
        <x:v>CLIMATE_SPECIFIC</x:v>
      </x:c>
      <x:c r="H45" s="19" t="str">
        <x:v>eng</x:v>
      </x:c>
      <x:c r="I45" s="19" t="str">
        <x:v>current English corpus (July 2024 dataset; public shorthand eng; mutable current corpus)</x:v>
      </x:c>
      <x:c r="J45" s="19" t="str">
        <x:v>1842</x:v>
      </x:c>
      <x:c r="K45" s="19" t="str">
        <x:v>2022</x:v>
      </x:c>
      <x:c r="L45" s="25" t="n">
        <x:v>1843</x:v>
      </x:c>
      <x:c r="M45" s="25" t="n">
        <x:v>133</x:v>
      </x:c>
      <x:c r="N45" s="25" t="n">
        <x:v>1990</x:v>
      </x:c>
      <x:c r="O45" s="46" t="n">
        <x:v>0.000001960720042576414</x:v>
      </x:c>
      <x:c r="P45" s="19" t="str">
        <x:v>4.531046594036248e-07</x:v>
      </x:c>
      <x:c r="Q45" s="19" t="str">
        <x:v>0</x:v>
      </x:c>
      <x:c r="R45" s="19" t="str">
        <x:v>9.689360203068986e-09</x:v>
      </x:c>
      <x:c r="S45" s="19" t="str">
        <x:v>1.086015104533045e-06</x:v>
      </x:c>
      <x:c r="T45" s="19" t="str">
        <x:v>4.812116740637862e-07</x:v>
      </x:c>
      <x:c r="U45" s="19" t="str">
        <x:v>5.082223493886595e-07</x:v>
      </x:c>
      <x:c r="V45" s="46" t="n">
        <x:v>4.947170117262228e-7</x:v>
      </x:c>
      <x:c r="W45" s="19" t="str">
        <x:v>4.161642502796548e-07</x:v>
      </x:c>
      <x:c r="X45" s="19" t="str">
        <x:v>4.531046594036248e-07</x:v>
      </x:c>
      <x:c r="Y45" s="19" t="str">
        <x:v>4.531046594036248e-07</x:v>
      </x:c>
      <x:c r="Z45" s="25" t="n">
        <x:v>2022</x:v>
      </x:c>
      <x:c r="AA45" s="19" t="str">
        <x:v>AVAILABLE</x:v>
      </x:c>
      <x:c r="AB45" s="19" t="str">
        <x:v>AVAILABLE</x:v>
      </x:c>
      <x:c r="AC45" s="43" t="str">
        <x:v>Climate/temperature-linked lexical frequency; still not evidence of reception, voice, or affect without passage review.</x:v>
      </x:c>
    </x:row>
    <x:row r="46" ht="24" customHeight="1">
      <x:c r="A46" s="40" t="str">
        <x:v>FT-Q-V01-042</x:v>
      </x:c>
      <x:c r="B46" s="31" t="str">
        <x:v>global warming</x:v>
      </x:c>
      <x:c r="C46" s="31" t="str">
        <x:v>global warming as issue label</x:v>
      </x:c>
      <x:c r="D46" s="31" t="str">
        <x:v>warming</x:v>
      </x:c>
      <x:c r="E46" s="19" t="str">
        <x:v>A</x:v>
      </x:c>
      <x:c r="F46" s="19" t="str">
        <x:v>EXECUTABLE_NGRAM</x:v>
      </x:c>
      <x:c r="G46" s="19" t="str">
        <x:v>CLIMATE_SPECIFIC</x:v>
      </x:c>
      <x:c r="H46" s="19" t="str">
        <x:v>eng</x:v>
      </x:c>
      <x:c r="I46" s="19" t="str">
        <x:v>current English corpus (July 2024 dataset; public shorthand eng; mutable current corpus)</x:v>
      </x:c>
      <x:c r="J46" s="19" t="str">
        <x:v>1842</x:v>
      </x:c>
      <x:c r="K46" s="19" t="str">
        <x:v>2022</x:v>
      </x:c>
      <x:c r="L46" s="25" t="n">
        <x:v>1843</x:v>
      </x:c>
      <x:c r="M46" s="25" t="n">
        <x:v>138</x:v>
      </x:c>
      <x:c r="N46" s="25" t="n">
        <x:v>2009</x:v>
      </x:c>
      <x:c r="O46" s="46" t="n">
        <x:v>0.000005445639571555194</x:v>
      </x:c>
      <x:c r="P46" s="19" t="str">
        <x:v>3.963670369644401e-06</x:v>
      </x:c>
      <x:c r="Q46" s="19" t="str">
        <x:v>0</x:v>
      </x:c>
      <x:c r="R46" s="19" t="str">
        <x:v>2.00469511824064e-09</x:v>
      </x:c>
      <x:c r="S46" s="19" t="str">
        <x:v>6.400895369296222e-07</x:v>
      </x:c>
      <x:c r="T46" s="19" t="str">
        <x:v>3.39393631278162e-06</x:v>
      </x:c>
      <x:c r="U46" s="19" t="str">
        <x:v>4.96164442403968e-06</x:v>
      </x:c>
      <x:c r="V46" s="46" t="n">
        <x:v>0.00000417779036841065</x:v>
      </x:c>
      <x:c r="W46" s="19" t="str">
        <x:v>3.293586607857474e-06</x:v>
      </x:c>
      <x:c r="X46" s="19" t="str">
        <x:v>3.963670369644401e-06</x:v>
      </x:c>
      <x:c r="Y46" s="19" t="str">
        <x:v>3.963670369644401e-06</x:v>
      </x:c>
      <x:c r="Z46" s="25" t="n">
        <x:v>2022</x:v>
      </x:c>
      <x:c r="AA46" s="19" t="str">
        <x:v>AVAILABLE</x:v>
      </x:c>
      <x:c r="AB46" s="19" t="str">
        <x:v>AVAILABLE</x:v>
      </x:c>
      <x:c r="AC46" s="43" t="str">
        <x:v>Climate/temperature-linked lexical frequency; still not evidence of reception, voice, or affect without passage review.</x:v>
      </x:c>
    </x:row>
    <x:row r="47" ht="24" customHeight="1">
      <x:c r="A47" s="40" t="str">
        <x:v>FT-Q-V01-043</x:v>
      </x:c>
      <x:c r="B47" s="31" t="str">
        <x:v>earth is warmer</x:v>
      </x:c>
      <x:c r="C47" s="31" t="str">
        <x:v>temperature increase</x:v>
      </x:c>
      <x:c r="D47" s="31" t="str">
        <x:v>warming</x:v>
      </x:c>
      <x:c r="E47" s="19" t="str">
        <x:v>A</x:v>
      </x:c>
      <x:c r="F47" s="19" t="str">
        <x:v>EXECUTABLE_NGRAM</x:v>
      </x:c>
      <x:c r="G47" s="19" t="str">
        <x:v>CONTEXT_REQUIRED</x:v>
      </x:c>
      <x:c r="H47" s="19" t="str">
        <x:v>eng</x:v>
      </x:c>
      <x:c r="I47" s="19" t="str">
        <x:v>current English corpus (July 2024 dataset; public shorthand eng; mutable current corpus)</x:v>
      </x:c>
      <x:c r="J47" s="19" t="str">
        <x:v>1842</x:v>
      </x:c>
      <x:c r="K47" s="19" t="str">
        <x:v>2022</x:v>
      </x:c>
      <x:c r="L47" s="25" t="n">
        <x:v>1844</x:v>
      </x:c>
      <x:c r="M47" s="25" t="n">
        <x:v>168</x:v>
      </x:c>
      <x:c r="N47" s="25" t="n">
        <x:v>1857</x:v>
      </x:c>
      <x:c r="O47" s="46" t="n">
        <x:v>1.443707464687805e-8</x:v>
      </x:c>
      <x:c r="P47" s="19" t="str">
        <x:v>1.702749219401056e-09</x:v>
      </x:c>
      <x:c r="Q47" s="19" t="str">
        <x:v>0</x:v>
      </x:c>
      <x:c r="R47" s="19" t="str">
        <x:v>2.444700553105861e-10</x:v>
      </x:c>
      <x:c r="S47" s="19" t="str">
        <x:v>1.243385561178201e-09</x:v>
      </x:c>
      <x:c r="T47" s="19" t="str">
        <x:v>1.04041819604106e-09</x:v>
      </x:c>
      <x:c r="U47" s="19" t="str">
        <x:v>2.235196472355483e-09</x:v>
      </x:c>
      <x:c r="V47" s="46" t="n">
        <x:v>1.637807334198271e-9</x:v>
      </x:c>
      <x:c r="W47" s="19" t="str">
        <x:v>1.249671310876721e-09</x:v>
      </x:c>
      <x:c r="X47" s="19" t="str">
        <x:v>1.702749219401056e-09</x:v>
      </x:c>
      <x:c r="Y47" s="19" t="str">
        <x:v>1.702749219401056e-09</x:v>
      </x:c>
      <x:c r="Z47" s="25" t="n">
        <x:v>2022</x:v>
      </x:c>
      <x:c r="AA47" s="19" t="str">
        <x:v>AVAILABLE</x:v>
      </x:c>
      <x:c r="AB47" s="19" t="str">
        <x:v>AVAILABLE</x:v>
      </x:c>
      <x:c r="AC47" s="43" t="str">
        <x:v>Climate/temperature-linked lexical frequency; still not evidence of reception, voice, or affect without passage review.</x:v>
      </x:c>
    </x:row>
    <x:row r="48" ht="24" customHeight="1">
      <x:c r="A48" s="40" t="str">
        <x:v>FT-Q-V01-044</x:v>
      </x:c>
      <x:c r="B48" s="31" t="str">
        <x:v>instrumental measurements</x:v>
      </x:c>
      <x:c r="C48" s="31" t="str">
        <x:v>historical climate / climatological condition</x:v>
      </x:c>
      <x:c r="D48" s="31" t="str">
        <x:v>climate</x:v>
      </x:c>
      <x:c r="E48" s="19" t="str">
        <x:v>B</x:v>
      </x:c>
      <x:c r="F48" s="19" t="str">
        <x:v>EXECUTABLE_NGRAM</x:v>
      </x:c>
      <x:c r="G48" s="19" t="str">
        <x:v>CONTEXT_REQUIRED</x:v>
      </x:c>
      <x:c r="H48" s="19" t="str">
        <x:v>eng</x:v>
      </x:c>
      <x:c r="I48" s="19" t="str">
        <x:v>current English corpus (July 2024 dataset; public shorthand eng; mutable current corpus)</x:v>
      </x:c>
      <x:c r="J48" s="19" t="str">
        <x:v>1842</x:v>
      </x:c>
      <x:c r="K48" s="19" t="str">
        <x:v>2022</x:v>
      </x:c>
      <x:c r="L48" s="25" t="n">
        <x:v>1844</x:v>
      </x:c>
      <x:c r="M48" s="25" t="n">
        <x:v>176</x:v>
      </x:c>
      <x:c r="N48" s="25" t="n">
        <x:v>1974</x:v>
      </x:c>
      <x:c r="O48" s="46" t="n">
        <x:v>1.862049187062453e-8</x:v>
      </x:c>
      <x:c r="P48" s="19" t="str">
        <x:v>8.892212299826951e-09</x:v>
      </x:c>
      <x:c r="Q48" s="19" t="str">
        <x:v>0</x:v>
      </x:c>
      <x:c r="R48" s="19" t="str">
        <x:v>4.343506249115947e-09</x:v>
      </x:c>
      <x:c r="S48" s="19" t="str">
        <x:v>6.959104164455665e-09</x:v>
      </x:c>
      <x:c r="T48" s="19" t="str">
        <x:v>9.659943039919128e-09</x:v>
      </x:c>
      <x:c r="U48" s="19" t="str">
        <x:v>1.155868578628372e-08</x:v>
      </x:c>
      <x:c r="V48" s="46" t="n">
        <x:v>1.060931441310142e-8</x:v>
      </x:c>
      <x:c r="W48" s="19" t="str">
        <x:v>7.752582603659519e-09</x:v>
      </x:c>
      <x:c r="X48" s="19" t="str">
        <x:v>8.892212299826951e-09</x:v>
      </x:c>
      <x:c r="Y48" s="19" t="str">
        <x:v>8.892212299826951e-09</x:v>
      </x:c>
      <x:c r="Z48" s="25" t="n">
        <x:v>2022</x:v>
      </x:c>
      <x:c r="AA48" s="19" t="str">
        <x:v>AVAILABLE</x:v>
      </x:c>
      <x:c r="AB48" s="19" t="str">
        <x:v>AVAILABLE</x:v>
      </x:c>
      <x:c r="AC48" s="43" t="str">
        <x:v>Climate/temperature-linked lexical frequency; still not evidence of reception, voice, or affect without passage review.</x:v>
      </x:c>
    </x:row>
    <x:row r="49" ht="24" customHeight="1">
      <x:c r="A49" s="40" t="str">
        <x:v>FT-Q-V01-045</x:v>
      </x:c>
      <x:c r="B49" s="31" t="str">
        <x:v>cause-and-effect relationship</x:v>
      </x:c>
      <x:c r="C49" s="31" t="str">
        <x:v>generic damage</x:v>
      </x:c>
      <x:c r="D49" s="31" t="str">
        <x:v>harm_loss_consequences</x:v>
      </x:c>
      <x:c r="E49" s="19" t="str">
        <x:v>B</x:v>
      </x:c>
      <x:c r="F49" s="19" t="str">
        <x:v>EXECUTABLE_NGRAM</x:v>
      </x:c>
      <x:c r="G49" s="19" t="str">
        <x:v>CONTEXT_REQUIRED</x:v>
      </x:c>
      <x:c r="H49" s="19" t="str">
        <x:v>eng</x:v>
      </x:c>
      <x:c r="I49" s="19" t="str">
        <x:v>current English corpus (July 2024 dataset; public shorthand eng; mutable current corpus)</x:v>
      </x:c>
      <x:c r="J49" s="19" t="str">
        <x:v>1842</x:v>
      </x:c>
      <x:c r="K49" s="19" t="str">
        <x:v>2022</x:v>
      </x:c>
      <x:c r="L49" s="25" t="n">
        <x:v>1870</x:v>
      </x:c>
      <x:c r="M49" s="25" t="n">
        <x:v>127</x:v>
      </x:c>
      <x:c r="N49" s="25" t="n">
        <x:v>2011</x:v>
      </x:c>
      <x:c r="O49" s="46" t="n">
        <x:v>1.395570624618259e-7</x:v>
      </x:c>
      <x:c r="P49" s="19" t="str">
        <x:v>1.046778577290519e-07</x:v>
      </x:c>
      <x:c r="Q49" s="19" t="str">
        <x:v>0</x:v>
      </x:c>
      <x:c r="R49" s="19" t="str">
        <x:v>1.153081288784996e-08</x:v>
      </x:c>
      <x:c r="S49" s="19" t="str">
        <x:v>1.040740936764095e-07</x:v>
      </x:c>
      <x:c r="T49" s="19" t="str">
        <x:v>1.102150947035474e-07</x:v>
      </x:c>
      <x:c r="U49" s="19" t="str">
        <x:v>1.140745307104396e-07</x:v>
      </x:c>
      <x:c r="V49" s="46" t="n">
        <x:v>1.121448127069935e-7</x:v>
      </x:c>
      <x:c r="W49" s="19" t="str">
        <x:v>1.375002782744161e-07</x:v>
      </x:c>
      <x:c r="X49" s="19" t="str">
        <x:v>1.046778577290519e-07</x:v>
      </x:c>
      <x:c r="Y49" s="19" t="str">
        <x:v>1.046778577290519e-07</x:v>
      </x:c>
      <x:c r="Z49" s="25" t="n">
        <x:v>2022</x:v>
      </x:c>
      <x:c r="AA49" s="19" t="str">
        <x:v>AVAILABLE</x:v>
      </x:c>
      <x:c r="AB49" s="19" t="str">
        <x:v>AVAILABLE</x:v>
      </x:c>
      <x:c r="AC49" s="43" t="str">
        <x:v>Climate/temperature-linked lexical frequency; still not evidence of reception, voice, or affect without passage review.</x:v>
      </x:c>
    </x:row>
    <x:row r="50" ht="24" customHeight="1">
      <x:c r="A50" s="40" t="str">
        <x:v>FT-Q-V01-046</x:v>
      </x:c>
      <x:c r="B50" s="31" t="str">
        <x:v>global temperature</x:v>
      </x:c>
      <x:c r="C50" s="31" t="str">
        <x:v>global aggregate temperature</x:v>
      </x:c>
      <x:c r="D50" s="31" t="str">
        <x:v>temperature_threshold</x:v>
      </x:c>
      <x:c r="E50" s="19" t="str">
        <x:v>A</x:v>
      </x:c>
      <x:c r="F50" s="19" t="str">
        <x:v>EXECUTABLE_NGRAM</x:v>
      </x:c>
      <x:c r="G50" s="19" t="str">
        <x:v>CONTEXT_REQUIRED</x:v>
      </x:c>
      <x:c r="H50" s="19" t="str">
        <x:v>eng</x:v>
      </x:c>
      <x:c r="I50" s="19" t="str">
        <x:v>current English corpus (July 2024 dataset; public shorthand eng; mutable current corpus)</x:v>
      </x:c>
      <x:c r="J50" s="19" t="str">
        <x:v>1842</x:v>
      </x:c>
      <x:c r="K50" s="19" t="str">
        <x:v>2022</x:v>
      </x:c>
      <x:c r="L50" s="25" t="n">
        <x:v>1843</x:v>
      </x:c>
      <x:c r="M50" s="25" t="n">
        <x:v>101</x:v>
      </x:c>
      <x:c r="N50" s="25" t="n">
        <x:v>2022</x:v>
      </x:c>
      <x:c r="O50" s="46" t="n">
        <x:v>3.140587651051518e-7</x:v>
      </x:c>
      <x:c r="P50" s="19" t="str">
        <x:v>3.140587651051518e-07</x:v>
      </x:c>
      <x:c r="Q50" s="19" t="str">
        <x:v>0</x:v>
      </x:c>
      <x:c r="R50" s="19" t="str">
        <x:v>0</x:v>
      </x:c>
      <x:c r="S50" s="19" t="str">
        <x:v>1.101611393217183e-07</x:v>
      </x:c>
      <x:c r="T50" s="19" t="str">
        <x:v>1.36521097881398e-07</x:v>
      </x:c>
      <x:c r="U50" s="19" t="str">
        <x:v>1.52331783999371e-07</x:v>
      </x:c>
      <x:c r="V50" s="46" t="n">
        <x:v>1.444264409403845e-7</x:v>
      </x:c>
      <x:c r="W50" s="19" t="str">
        <x:v>1.917596575834457e-07</x:v>
      </x:c>
      <x:c r="X50" s="19" t="str">
        <x:v>3.140587651051518e-07</x:v>
      </x:c>
      <x:c r="Y50" s="19" t="str">
        <x:v>3.140587651051518e-07</x:v>
      </x:c>
      <x:c r="Z50" s="25" t="n">
        <x:v>2022</x:v>
      </x:c>
      <x:c r="AA50" s="19" t="str">
        <x:v>AVAILABLE</x:v>
      </x:c>
      <x:c r="AB50" s="19" t="str">
        <x:v>AVAILABLE</x:v>
      </x:c>
      <x:c r="AC50" s="43" t="str">
        <x:v>Climate/temperature-linked lexical frequency; still not evidence of reception, voice, or affect without passage review.</x:v>
      </x:c>
    </x:row>
    <x:row r="51" ht="24" customHeight="1">
      <x:c r="A51" s="40" t="str">
        <x:v>FT-Q-V01-047</x:v>
      </x:c>
      <x:c r="B51" s="31" t="str">
        <x:v>regional heat waves</x:v>
      </x:c>
      <x:c r="C51" s="31" t="str">
        <x:v>heatwave / weather event</x:v>
      </x:c>
      <x:c r="D51" s="31" t="str">
        <x:v>heat</x:v>
      </x:c>
      <x:c r="E51" s="19" t="str">
        <x:v>A</x:v>
      </x:c>
      <x:c r="F51" s="19" t="str">
        <x:v>EXECUTABLE_NGRAM</x:v>
      </x:c>
      <x:c r="G51" s="19" t="str">
        <x:v>CONTEXT_REQUIRED</x:v>
      </x:c>
      <x:c r="H51" s="19" t="str">
        <x:v>eng</x:v>
      </x:c>
      <x:c r="I51" s="19" t="str">
        <x:v>current English corpus (July 2024 dataset; public shorthand eng; mutable current corpus)</x:v>
      </x:c>
      <x:c r="J51" s="19" t="str">
        <x:v>1842</x:v>
      </x:c>
      <x:c r="K51" s="19" t="str">
        <x:v>2022</x:v>
      </x:c>
      <x:c r="L51" s="25" t="n">
        <x:v>1954</x:v>
      </x:c>
      <x:c r="M51" s="25" t="n">
        <x:v>39</x:v>
      </x:c>
      <x:c r="N51" s="25" t="n">
        <x:v>1990</x:v>
      </x:c>
      <x:c r="O51" s="46" t="n">
        <x:v>2.84109114012665e-9</x:v>
      </x:c>
      <x:c r="P51" s="19" t="str">
        <x:v>4.729858865681891e-11</x:v>
      </x:c>
      <x:c r="Q51" s="19" t="str">
        <x:v>0</x:v>
      </x:c>
      <x:c r="R51" s="19" t="str">
        <x:v>0</x:v>
      </x:c>
      <x:c r="S51" s="19" t="str">
        <x:v>7.0278316499639e-10</x:v>
      </x:c>
      <x:c r="T51" s="19" t="str">
        <x:v>4.954372329057932e-11</x:v>
      </x:c>
      <x:c r="U51" s="19" t="str">
        <x:v>9.718245652656776e-11</x:v>
      </x:c>
      <x:c r="V51" s="46" t="n">
        <x:v>7.336308990857354e-11</x:v>
      </x:c>
      <x:c r="W51" s="19" t="str">
        <x:v>3.499079706537067e-10</x:v>
      </x:c>
      <x:c r="X51" s="19" t="str">
        <x:v>4.729858865681891e-11</x:v>
      </x:c>
      <x:c r="Y51" s="19" t="str">
        <x:v>4.729858865681891e-11</x:v>
      </x:c>
      <x:c r="Z51" s="25" t="n">
        <x:v>2022</x:v>
      </x:c>
      <x:c r="AA51" s="19" t="str">
        <x:v>AVAILABLE</x:v>
      </x:c>
      <x:c r="AB51" s="19" t="str">
        <x:v>AVAILABLE</x:v>
      </x:c>
      <x:c r="AC51" s="43" t="str">
        <x:v>Climate/temperature-linked lexical frequency; still not evidence of reception, voice, or affect without passage review.</x:v>
      </x:c>
    </x:row>
    <x:row r="52" ht="24" customHeight="1">
      <x:c r="A52" s="40" t="str">
        <x:v>FT-Q-V01-048</x:v>
      </x:c>
      <x:c r="B52" s="31" t="str">
        <x:v>heat wave</x:v>
      </x:c>
      <x:c r="C52" s="31" t="str">
        <x:v>heatwave / weather event</x:v>
      </x:c>
      <x:c r="D52" s="31" t="str">
        <x:v>heat</x:v>
      </x:c>
      <x:c r="E52" s="19" t="str">
        <x:v>A</x:v>
      </x:c>
      <x:c r="F52" s="19" t="str">
        <x:v>EXECUTABLE_NGRAM</x:v>
      </x:c>
      <x:c r="G52" s="19" t="str">
        <x:v>CLIMATE_SPECIFIC</x:v>
      </x:c>
      <x:c r="H52" s="19" t="str">
        <x:v>eng</x:v>
      </x:c>
      <x:c r="I52" s="19" t="str">
        <x:v>current English corpus (July 2024 dataset; public shorthand eng; mutable current corpus)</x:v>
      </x:c>
      <x:c r="J52" s="19" t="str">
        <x:v>1842</x:v>
      </x:c>
      <x:c r="K52" s="19" t="str">
        <x:v>2022</x:v>
      </x:c>
      <x:c r="L52" s="25" t="n">
        <x:v>1842</x:v>
      </x:c>
      <x:c r="M52" s="25" t="n">
        <x:v>169</x:v>
      </x:c>
      <x:c r="N52" s="25" t="n">
        <x:v>2020</x:v>
      </x:c>
      <x:c r="O52" s="46" t="n">
        <x:v>3.703185072062576e-7</x:v>
      </x:c>
      <x:c r="P52" s="19" t="str">
        <x:v>3.006541136052476e-07</x:v>
      </x:c>
      <x:c r="Q52" s="19" t="str">
        <x:v>4.514918217068953e-09</x:v>
      </x:c>
      <x:c r="R52" s="19" t="str">
        <x:v>1.921166252749629e-07</x:v>
      </x:c>
      <x:c r="S52" s="19" t="str">
        <x:v>1.718059701449892e-07</x:v>
      </x:c>
      <x:c r="T52" s="19" t="str">
        <x:v>2.572474944173564e-07</x:v>
      </x:c>
      <x:c r="U52" s="19" t="str">
        <x:v>2.559551631371726e-07</x:v>
      </x:c>
      <x:c r="V52" s="46" t="n">
        <x:v>2.566013287772645e-7</x:v>
      </x:c>
      <x:c r="W52" s="19" t="str">
        <x:v>3.528359153667782e-07</x:v>
      </x:c>
      <x:c r="X52" s="19" t="str">
        <x:v>3.006541136052476e-07</x:v>
      </x:c>
      <x:c r="Y52" s="19" t="str">
        <x:v>3.006541136052476e-07</x:v>
      </x:c>
      <x:c r="Z52" s="25" t="n">
        <x:v>2022</x:v>
      </x:c>
      <x:c r="AA52" s="19" t="str">
        <x:v>AVAILABLE</x:v>
      </x:c>
      <x:c r="AB52" s="19" t="str">
        <x:v>AVAILABLE</x:v>
      </x:c>
      <x:c r="AC52" s="43" t="str">
        <x:v>Climate/temperature-linked lexical frequency; still not evidence of reception, voice, or affect without passage review.</x:v>
      </x:c>
    </x:row>
    <x:row r="53" ht="24" customHeight="1">
      <x:c r="A53" s="40" t="str">
        <x:v>FT-Q-V01-049</x:v>
      </x:c>
      <x:c r="B53" s="31" t="str">
        <x:v>drought</x:v>
      </x:c>
      <x:c r="C53" s="31" t="str">
        <x:v>generic damage</x:v>
      </x:c>
      <x:c r="D53" s="31" t="str">
        <x:v>harm_loss_consequences</x:v>
      </x:c>
      <x:c r="E53" s="19" t="str">
        <x:v>D</x:v>
      </x:c>
      <x:c r="F53" s="19" t="str">
        <x:v>BACKGROUND_AMBIGUOUS</x:v>
      </x:c>
      <x:c r="G53" s="19" t="str">
        <x:v>BACKGROUND_AMBIGUOUS</x:v>
      </x:c>
      <x:c r="H53" s="19" t="str">
        <x:v>eng</x:v>
      </x:c>
      <x:c r="I53" s="19" t="str">
        <x:v>current English corpus (July 2024 dataset; public shorthand eng; mutable current corpus)</x:v>
      </x:c>
      <x:c r="J53" s="19" t="str">
        <x:v>1842</x:v>
      </x:c>
      <x:c r="K53" s="19" t="str">
        <x:v>2022</x:v>
      </x:c>
      <x:c r="L53" s="25" t="n">
        <x:v>1842</x:v>
      </x:c>
      <x:c r="M53" s="25" t="n">
        <x:v>181</x:v>
      </x:c>
      <x:c r="N53" s="25" t="n">
        <x:v>1934</x:v>
      </x:c>
      <x:c r="O53" s="46" t="n">
        <x:v>0.00001414249288700375</x:v>
      </x:c>
      <x:c r="P53" s="19" t="str">
        <x:v>8.803938708723535e-06</x:v>
      </x:c>
      <x:c r="Q53" s="19" t="str">
        <x:v>3.115138760279024e-06</x:v>
      </x:c>
      <x:c r="R53" s="19" t="str">
        <x:v>9.374461029665326e-06</x:v>
      </x:c>
      <x:c r="S53" s="19" t="str">
        <x:v>1.090940310177757e-05</x:v>
      </x:c>
      <x:c r="T53" s="19" t="str">
        <x:v>6.629869545804468e-06</x:v>
      </x:c>
      <x:c r="U53" s="19" t="str">
        <x:v>6.241732602774164e-06</x:v>
      </x:c>
      <x:c r="V53" s="46" t="n">
        <x:v>0.000006435801074289316</x:v>
      </x:c>
      <x:c r="W53" s="19" t="str">
        <x:v>5.762521983143643e-06</x:v>
      </x:c>
      <x:c r="X53" s="19" t="str">
        <x:v>8.803938708723535e-06</x:v>
      </x:c>
      <x:c r="Y53" s="19" t="str">
        <x:v>8.803938708723535e-06</x:v>
      </x:c>
      <x:c r="Z53" s="25" t="n">
        <x:v>2022</x:v>
      </x:c>
      <x:c r="AA53" s="19" t="str">
        <x:v>AVAILABLE</x:v>
      </x:c>
      <x:c r="AB53" s="19" t="str">
        <x:v>AVAILABLE</x:v>
      </x:c>
      <x:c r="AC53" s="43" t="str">
        <x:v>Generic corpus string frequency; not climate-specific semantic frequency.</x:v>
      </x:c>
    </x:row>
    <x:row r="54" ht="24" customHeight="1">
      <x:c r="A54" s="40" t="str">
        <x:v>FT-Q-V01-050</x:v>
      </x:c>
      <x:c r="B54" s="31" t="str">
        <x:v>heat wave/drought occurrences</x:v>
      </x:c>
      <x:c r="C54" s="31" t="str">
        <x:v>heatwave / weather event</x:v>
      </x:c>
      <x:c r="D54" s="31" t="str">
        <x:v>heat</x:v>
      </x:c>
      <x:c r="E54" s="19" t="str">
        <x:v>D</x:v>
      </x:c>
      <x:c r="F54" s="19" t="str">
        <x:v>EXECUTABLE_CORPUS_ONLY</x:v>
      </x:c>
      <x:c r="G54" s="19" t="str">
        <x:v>CONTEXT_REQUIRED</x:v>
      </x:c>
      <x:c r="H54" s="19" t="str">
        <x:v>eng</x:v>
      </x:c>
      <x:c r="I54" s="19" t="str">
        <x:v>current English corpus (July 2024 dataset; public shorthand eng; mutable current corpus)</x:v>
      </x:c>
      <x:c r="J54" s="19" t="str">
        <x:v>1842</x:v>
      </x:c>
      <x:c r="K54" s="19" t="str">
        <x:v>2022</x:v>
      </x:c>
      <x:c r="L54" s="25" t="str"/>
      <x:c r="M54" s="25" t="n">
        <x:v>0</x:v>
      </x:c>
      <x:c r="N54" s="25" t="str"/>
      <x:c r="O54" s="46" t="str"/>
      <x:c r="P54" s="19" t="str"/>
      <x:c r="Q54" s="19" t="str"/>
      <x:c r="R54" s="19" t="str"/>
      <x:c r="S54" s="19" t="str"/>
      <x:c r="T54" s="19" t="str"/>
      <x:c r="U54" s="19" t="str"/>
      <x:c r="V54" s="46" t="str"/>
      <x:c r="W54" s="19" t="str"/>
      <x:c r="X54" s="19" t="str"/>
      <x:c r="Y54" s="19" t="str"/>
      <x:c r="Z54" s="25" t="n">
        <x:v>2022</x:v>
      </x:c>
      <x:c r="AA54" s="19" t="str">
        <x:v>NO_SERIES</x:v>
      </x:c>
      <x:c r="AB54" s="19" t="str">
        <x:v>NOT_AVAILABLE</x:v>
      </x:c>
      <x:c r="AC54" s="43" t="str">
        <x:v>Climate/temperature-linked lexical frequency; still not evidence of reception, voice, or affect without passage review.</x:v>
      </x:c>
    </x:row>
    <x:row r="55" ht="24" customHeight="1">
      <x:c r="A55" s="40" t="str">
        <x:v>FT-Q-V01-051</x:v>
      </x:c>
      <x:c r="B55" s="31" t="str">
        <x:v>extreme events</x:v>
      </x:c>
      <x:c r="C55" s="31" t="str">
        <x:v>generic damage</x:v>
      </x:c>
      <x:c r="D55" s="31" t="str">
        <x:v>harm_loss_consequences</x:v>
      </x:c>
      <x:c r="E55" s="19" t="str">
        <x:v>D</x:v>
      </x:c>
      <x:c r="F55" s="19" t="str">
        <x:v>EXECUTABLE_NGRAM</x:v>
      </x:c>
      <x:c r="G55" s="19" t="str">
        <x:v>CONTEXT_REQUIRED</x:v>
      </x:c>
      <x:c r="H55" s="19" t="str">
        <x:v>eng</x:v>
      </x:c>
      <x:c r="I55" s="19" t="str">
        <x:v>current English corpus (July 2024 dataset; public shorthand eng; mutable current corpus)</x:v>
      </x:c>
      <x:c r="J55" s="19" t="str">
        <x:v>1842</x:v>
      </x:c>
      <x:c r="K55" s="19" t="str">
        <x:v>2022</x:v>
      </x:c>
      <x:c r="L55" s="25" t="n">
        <x:v>1843</x:v>
      </x:c>
      <x:c r="M55" s="25" t="n">
        <x:v>154</x:v>
      </x:c>
      <x:c r="N55" s="25" t="n">
        <x:v>2022</x:v>
      </x:c>
      <x:c r="O55" s="46" t="n">
        <x:v>4.590328079867589e-7</x:v>
      </x:c>
      <x:c r="P55" s="19" t="str">
        <x:v>4.590328079867589e-07</x:v>
      </x:c>
      <x:c r="Q55" s="19" t="str">
        <x:v>0</x:v>
      </x:c>
      <x:c r="R55" s="19" t="str">
        <x:v>3.341158599790006e-10</x:v>
      </x:c>
      <x:c r="S55" s="19" t="str">
        <x:v>5.5376702223775e-08</x:v>
      </x:c>
      <x:c r="T55" s="19" t="str">
        <x:v>2.56927021435871e-07</x:v>
      </x:c>
      <x:c r="U55" s="19" t="str">
        <x:v>2.204695532803669e-07</x:v>
      </x:c>
      <x:c r="V55" s="46" t="n">
        <x:v>2.386982873581189e-7</x:v>
      </x:c>
      <x:c r="W55" s="19" t="str">
        <x:v>3.062737106152014e-07</x:v>
      </x:c>
      <x:c r="X55" s="19" t="str">
        <x:v>4.590328079867589e-07</x:v>
      </x:c>
      <x:c r="Y55" s="19" t="str">
        <x:v>4.590328079867589e-07</x:v>
      </x:c>
      <x:c r="Z55" s="25" t="n">
        <x:v>2022</x:v>
      </x:c>
      <x:c r="AA55" s="19" t="str">
        <x:v>AVAILABLE</x:v>
      </x:c>
      <x:c r="AB55" s="19" t="str">
        <x:v>AVAILABLE</x:v>
      </x:c>
      <x:c r="AC55" s="43" t="str">
        <x:v>Climate/temperature-linked lexical frequency; still not evidence of reception, voice, or affect without passage review.</x:v>
      </x:c>
    </x:row>
    <x:row r="56" ht="24" customHeight="1">
      <x:c r="A56" s="40" t="str">
        <x:v>FT-Q-V01-052</x:v>
      </x:c>
      <x:c r="B56" s="31" t="str">
        <x:v>global climate models</x:v>
      </x:c>
      <x:c r="C56" s="31" t="str">
        <x:v>climate system</x:v>
      </x:c>
      <x:c r="D56" s="31" t="str">
        <x:v>climate</x:v>
      </x:c>
      <x:c r="E56" s="19" t="str">
        <x:v>B</x:v>
      </x:c>
      <x:c r="F56" s="19" t="str">
        <x:v>EXECUTABLE_NGRAM</x:v>
      </x:c>
      <x:c r="G56" s="19" t="str">
        <x:v>CONTEXT_REQUIRED</x:v>
      </x:c>
      <x:c r="H56" s="19" t="str">
        <x:v>eng</x:v>
      </x:c>
      <x:c r="I56" s="19" t="str">
        <x:v>current English corpus (July 2024 dataset; public shorthand eng; mutable current corpus)</x:v>
      </x:c>
      <x:c r="J56" s="19" t="str">
        <x:v>1842</x:v>
      </x:c>
      <x:c r="K56" s="19" t="str">
        <x:v>2022</x:v>
      </x:c>
      <x:c r="L56" s="25" t="n">
        <x:v>1869</x:v>
      </x:c>
      <x:c r="M56" s="25" t="n">
        <x:v>75</x:v>
      </x:c>
      <x:c r="N56" s="25" t="n">
        <x:v>1994</x:v>
      </x:c>
      <x:c r="O56" s="46" t="n">
        <x:v>5.645689804545384e-8</x:v>
      </x:c>
      <x:c r="P56" s="19" t="str">
        <x:v>4.237953538099859e-08</x:v>
      </x:c>
      <x:c r="Q56" s="19" t="str">
        <x:v>0</x:v>
      </x:c>
      <x:c r="R56" s="19" t="str">
        <x:v>0</x:v>
      </x:c>
      <x:c r="S56" s="19" t="str">
        <x:v>1.378536206020353e-08</x:v>
      </x:c>
      <x:c r="T56" s="19" t="str">
        <x:v>3.141072137807788e-08</x:v>
      </x:c>
      <x:c r="U56" s="19" t="str">
        <x:v>3.527723113627701e-08</x:v>
      </x:c>
      <x:c r="V56" s="46" t="n">
        <x:v>3.334397625717744e-8</x:v>
      </x:c>
      <x:c r="W56" s="19" t="str">
        <x:v>3.734017823067703e-08</x:v>
      </x:c>
      <x:c r="X56" s="19" t="str">
        <x:v>4.237953538099859e-08</x:v>
      </x:c>
      <x:c r="Y56" s="19" t="str">
        <x:v>4.237953538099859e-08</x:v>
      </x:c>
      <x:c r="Z56" s="25" t="n">
        <x:v>2022</x:v>
      </x:c>
      <x:c r="AA56" s="19" t="str">
        <x:v>AVAILABLE</x:v>
      </x:c>
      <x:c r="AB56" s="19" t="str">
        <x:v>AVAILABLE</x:v>
      </x:c>
      <x:c r="AC56" s="43" t="str">
        <x:v>Climate/temperature-linked lexical frequency; still not evidence of reception, voice, or affect without passage review.</x:v>
      </x:c>
    </x:row>
    <x:row r="57" ht="24" customHeight="1">
      <x:c r="A57" s="40" t="str">
        <x:v>FT-Q-V01-053</x:v>
      </x:c>
      <x:c r="B57" s="31" t="str">
        <x:v>global observations</x:v>
      </x:c>
      <x:c r="C57" s="31" t="str">
        <x:v>historical climate / climatological condition</x:v>
      </x:c>
      <x:c r="D57" s="31" t="str">
        <x:v>climate</x:v>
      </x:c>
      <x:c r="E57" s="19" t="str">
        <x:v>B</x:v>
      </x:c>
      <x:c r="F57" s="19" t="str">
        <x:v>EXECUTABLE_NGRAM</x:v>
      </x:c>
      <x:c r="G57" s="19" t="str">
        <x:v>CONTEXT_REQUIRED</x:v>
      </x:c>
      <x:c r="H57" s="19" t="str">
        <x:v>eng</x:v>
      </x:c>
      <x:c r="I57" s="19" t="str">
        <x:v>current English corpus (July 2024 dataset; public shorthand eng; mutable current corpus)</x:v>
      </x:c>
      <x:c r="J57" s="19" t="str">
        <x:v>1842</x:v>
      </x:c>
      <x:c r="K57" s="19" t="str">
        <x:v>2022</x:v>
      </x:c>
      <x:c r="L57" s="25" t="n">
        <x:v>1869</x:v>
      </x:c>
      <x:c r="M57" s="25" t="n">
        <x:v>82</x:v>
      </x:c>
      <x:c r="N57" s="25" t="n">
        <x:v>1984</x:v>
      </x:c>
      <x:c r="O57" s="46" t="n">
        <x:v>2.193620524115758e-8</x:v>
      </x:c>
      <x:c r="P57" s="19" t="str">
        <x:v>1.190052256738738e-08</x:v>
      </x:c>
      <x:c r="Q57" s="19" t="str">
        <x:v>0</x:v>
      </x:c>
      <x:c r="R57" s="19" t="str">
        <x:v>0</x:v>
      </x:c>
      <x:c r="S57" s="19" t="str">
        <x:v>1.599113318151435e-08</x:v>
      </x:c>
      <x:c r="T57" s="19" t="str">
        <x:v>1.16285575613162e-08</x:v>
      </x:c>
      <x:c r="U57" s="19" t="str">
        <x:v>1.421223546141381e-08</x:v>
      </x:c>
      <x:c r="V57" s="46" t="n">
        <x:v>1.292039651136501e-8</x:v>
      </x:c>
      <x:c r="W57" s="19" t="str">
        <x:v>8.17290351715072e-09</x:v>
      </x:c>
      <x:c r="X57" s="19" t="str">
        <x:v>1.190052256738738e-08</x:v>
      </x:c>
      <x:c r="Y57" s="19" t="str">
        <x:v>1.190052256738738e-08</x:v>
      </x:c>
      <x:c r="Z57" s="25" t="n">
        <x:v>2022</x:v>
      </x:c>
      <x:c r="AA57" s="19" t="str">
        <x:v>AVAILABLE</x:v>
      </x:c>
      <x:c r="AB57" s="19" t="str">
        <x:v>AVAILABLE</x:v>
      </x:c>
      <x:c r="AC57" s="43" t="str">
        <x:v>Climate/temperature-linked lexical frequency; still not evidence of reception, voice, or affect without passage review.</x:v>
      </x:c>
    </x:row>
    <x:row r="58" ht="24" customHeight="1">
      <x:c r="A58" s="40" t="str">
        <x:v>FT-Q-V01-054</x:v>
      </x:c>
      <x:c r="B58" s="31" t="str">
        <x:v>warm air</x:v>
      </x:c>
      <x:c r="C58" s="31" t="str">
        <x:v>local / instrumental temperature</x:v>
      </x:c>
      <x:c r="D58" s="31" t="str">
        <x:v>temperature_threshold</x:v>
      </x:c>
      <x:c r="E58" s="19" t="str">
        <x:v>A</x:v>
      </x:c>
      <x:c r="F58" s="19" t="str">
        <x:v>EXECUTABLE_NGRAM</x:v>
      </x:c>
      <x:c r="G58" s="19" t="str">
        <x:v>CONTEXT_REQUIRED</x:v>
      </x:c>
      <x:c r="H58" s="19" t="str">
        <x:v>eng</x:v>
      </x:c>
      <x:c r="I58" s="19" t="str">
        <x:v>current English corpus (July 2024 dataset; public shorthand eng; mutable current corpus)</x:v>
      </x:c>
      <x:c r="J58" s="19" t="str">
        <x:v>1842</x:v>
      </x:c>
      <x:c r="K58" s="19" t="str">
        <x:v>2022</x:v>
      </x:c>
      <x:c r="L58" s="25" t="n">
        <x:v>1842</x:v>
      </x:c>
      <x:c r="M58" s="25" t="n">
        <x:v>181</x:v>
      </x:c>
      <x:c r="N58" s="25" t="n">
        <x:v>1916</x:v>
      </x:c>
      <x:c r="O58" s="46" t="n">
        <x:v>0.000002910558041517575</x:v>
      </x:c>
      <x:c r="P58" s="19" t="str">
        <x:v>5.92194779214239e-07</x:v>
      </x:c>
      <x:c r="Q58" s="19" t="str">
        <x:v>4.637466225476672e-07</x:v>
      </x:c>
      <x:c r="R58" s="19" t="str">
        <x:v>1.56020963704151e-06</x:v>
      </x:c>
      <x:c r="S58" s="19" t="str">
        <x:v>4.812640085269382e-07</x:v>
      </x:c>
      <x:c r="T58" s="19" t="str">
        <x:v>5.327618970638048e-07</x:v>
      </x:c>
      <x:c r="U58" s="19" t="str">
        <x:v>5.737065812000397e-07</x:v>
      </x:c>
      <x:c r="V58" s="46" t="n">
        <x:v>5.532342391319223e-7</x:v>
      </x:c>
      <x:c r="W58" s="19" t="str">
        <x:v>6.757823330823254e-07</x:v>
      </x:c>
      <x:c r="X58" s="19" t="str">
        <x:v>5.92194779214239e-07</x:v>
      </x:c>
      <x:c r="Y58" s="19" t="str">
        <x:v>5.92194779214239e-07</x:v>
      </x:c>
      <x:c r="Z58" s="25" t="n">
        <x:v>2022</x:v>
      </x:c>
      <x:c r="AA58" s="19" t="str">
        <x:v>AVAILABLE</x:v>
      </x:c>
      <x:c r="AB58" s="19" t="str">
        <x:v>AVAILABLE</x:v>
      </x:c>
      <x:c r="AC58" s="43" t="str">
        <x:v>Climate/temperature-linked lexical frequency; still not evidence of reception, voice, or affect without passage review.</x:v>
      </x:c>
    </x:row>
    <x:row r="59" ht="24" customHeight="1">
      <x:c r="A59" s="40" t="str">
        <x:v>FT-Q-V01-055</x:v>
      </x:c>
      <x:c r="B59" s="31" t="str">
        <x:v>changing atmosphere</x:v>
      </x:c>
      <x:c r="C59" s="31" t="str">
        <x:v>changing atmosphere</x:v>
      </x:c>
      <x:c r="D59" s="31" t="str">
        <x:v>climate</x:v>
      </x:c>
      <x:c r="E59" s="19" t="str">
        <x:v>B</x:v>
      </x:c>
      <x:c r="F59" s="19" t="str">
        <x:v>EXECUTABLE_NGRAM</x:v>
      </x:c>
      <x:c r="G59" s="19" t="str">
        <x:v>CLIMATE_SPECIFIC</x:v>
      </x:c>
      <x:c r="H59" s="19" t="str">
        <x:v>eng</x:v>
      </x:c>
      <x:c r="I59" s="19" t="str">
        <x:v>current English corpus (July 2024 dataset; public shorthand eng; mutable current corpus)</x:v>
      </x:c>
      <x:c r="J59" s="19" t="str">
        <x:v>1842</x:v>
      </x:c>
      <x:c r="K59" s="19" t="str">
        <x:v>2022</x:v>
      </x:c>
      <x:c r="L59" s="25" t="n">
        <x:v>1842</x:v>
      </x:c>
      <x:c r="M59" s="25" t="n">
        <x:v>181</x:v>
      </x:c>
      <x:c r="N59" s="25" t="n">
        <x:v>1989</x:v>
      </x:c>
      <x:c r="O59" s="46" t="n">
        <x:v>6.209157343839422e-8</x:v>
      </x:c>
      <x:c r="P59" s="19" t="str">
        <x:v>1.070604704889178e-08</x:v>
      </x:c>
      <x:c r="Q59" s="19" t="str">
        <x:v>1.93496507705504e-09</x:v>
      </x:c>
      <x:c r="R59" s="19" t="str">
        <x:v>2.450182945423762e-09</x:v>
      </x:c>
      <x:c r="S59" s="19" t="str">
        <x:v>3.622682637205443e-08</x:v>
      </x:c>
      <x:c r="T59" s="19" t="str">
        <x:v>9.110562668862565e-09</x:v>
      </x:c>
      <x:c r="U59" s="19" t="str">
        <x:v>9.534791317600266e-09</x:v>
      </x:c>
      <x:c r="V59" s="46" t="n">
        <x:v>9.322676993231416e-9</x:v>
      </x:c>
      <x:c r="W59" s="19" t="str">
        <x:v>8.266307967991215e-09</x:v>
      </x:c>
      <x:c r="X59" s="19" t="str">
        <x:v>1.070604704889178e-08</x:v>
      </x:c>
      <x:c r="Y59" s="19" t="str">
        <x:v>1.070604704889178e-08</x:v>
      </x:c>
      <x:c r="Z59" s="25" t="n">
        <x:v>2022</x:v>
      </x:c>
      <x:c r="AA59" s="19" t="str">
        <x:v>AVAILABLE</x:v>
      </x:c>
      <x:c r="AB59" s="19" t="str">
        <x:v>AVAILABLE</x:v>
      </x:c>
      <x:c r="AC59" s="43" t="str">
        <x:v>Climate/temperature-linked lexical frequency; still not evidence of reception, voice, or affect without passage review.</x:v>
      </x:c>
    </x:row>
    <x:row r="60" ht="24" customHeight="1">
      <x:c r="A60" s="40" t="str">
        <x:v>FT-Q-V01-056</x:v>
      </x:c>
      <x:c r="B60" s="31" t="str">
        <x:v>global security</x:v>
      </x:c>
      <x:c r="C60" s="31" t="str">
        <x:v>global security frame</x:v>
      </x:c>
      <x:c r="D60" s="31" t="str">
        <x:v>danger_threat</x:v>
      </x:c>
      <x:c r="E60" s="19" t="str">
        <x:v>D</x:v>
      </x:c>
      <x:c r="F60" s="19" t="str">
        <x:v>EXECUTABLE_NGRAM</x:v>
      </x:c>
      <x:c r="G60" s="19" t="str">
        <x:v>CONTEXT_REQUIRED</x:v>
      </x:c>
      <x:c r="H60" s="19" t="str">
        <x:v>eng</x:v>
      </x:c>
      <x:c r="I60" s="19" t="str">
        <x:v>current English corpus (July 2024 dataset; public shorthand eng; mutable current corpus)</x:v>
      </x:c>
      <x:c r="J60" s="19" t="str">
        <x:v>1842</x:v>
      </x:c>
      <x:c r="K60" s="19" t="str">
        <x:v>2022</x:v>
      </x:c>
      <x:c r="L60" s="25" t="n">
        <x:v>1843</x:v>
      </x:c>
      <x:c r="M60" s="25" t="n">
        <x:v>109</x:v>
      </x:c>
      <x:c r="N60" s="25" t="n">
        <x:v>2009</x:v>
      </x:c>
      <x:c r="O60" s="46" t="n">
        <x:v>4.395556607306172e-7</x:v>
      </x:c>
      <x:c r="P60" s="19" t="str">
        <x:v>2.638022949807972e-07</x:v>
      </x:c>
      <x:c r="Q60" s="19" t="str">
        <x:v>0</x:v>
      </x:c>
      <x:c r="R60" s="19" t="str">
        <x:v>0</x:v>
      </x:c>
      <x:c r="S60" s="19" t="str">
        <x:v>1.697824010271631e-07</x:v>
      </x:c>
      <x:c r="T60" s="19" t="str">
        <x:v>3.610804458209493e-07</x:v>
      </x:c>
      <x:c r="U60" s="19" t="str">
        <x:v>3.68618609414284e-07</x:v>
      </x:c>
      <x:c r="V60" s="46" t="n">
        <x:v>3.648495276176167e-7</x:v>
      </x:c>
      <x:c r="W60" s="19" t="str">
        <x:v>2.910487669725847e-07</x:v>
      </x:c>
      <x:c r="X60" s="19" t="str">
        <x:v>2.638022949807972e-07</x:v>
      </x:c>
      <x:c r="Y60" s="19" t="str">
        <x:v>2.638022949807972e-07</x:v>
      </x:c>
      <x:c r="Z60" s="25" t="n">
        <x:v>2022</x:v>
      </x:c>
      <x:c r="AA60" s="19" t="str">
        <x:v>AVAILABLE</x:v>
      </x:c>
      <x:c r="AB60" s="19" t="str">
        <x:v>AVAILABLE</x:v>
      </x:c>
      <x:c r="AC60" s="43" t="str">
        <x:v>Climate/temperature-linked lexical frequency; still not evidence of reception, voice, or affect without passage review.</x:v>
      </x:c>
    </x:row>
    <x:row r="61" ht="24" customHeight="1">
      <x:c r="A61" s="40" t="str">
        <x:v>FT-Q-V01-057</x:v>
      </x:c>
      <x:c r="B61" s="31" t="str">
        <x:v>climate warming</x:v>
      </x:c>
      <x:c r="C61" s="31" t="str">
        <x:v>climate-system warming</x:v>
      </x:c>
      <x:c r="D61" s="31" t="str">
        <x:v>warming</x:v>
      </x:c>
      <x:c r="E61" s="19" t="str">
        <x:v>A</x:v>
      </x:c>
      <x:c r="F61" s="19" t="str">
        <x:v>EXECUTABLE_NGRAM</x:v>
      </x:c>
      <x:c r="G61" s="19" t="str">
        <x:v>CONTEXT_REQUIRED</x:v>
      </x:c>
      <x:c r="H61" s="19" t="str">
        <x:v>eng</x:v>
      </x:c>
      <x:c r="I61" s="19" t="str">
        <x:v>current English corpus (July 2024 dataset; public shorthand eng; mutable current corpus)</x:v>
      </x:c>
      <x:c r="J61" s="19" t="str">
        <x:v>1842</x:v>
      </x:c>
      <x:c r="K61" s="19" t="str">
        <x:v>2022</x:v>
      </x:c>
      <x:c r="L61" s="25" t="n">
        <x:v>1865</x:v>
      </x:c>
      <x:c r="M61" s="25" t="n">
        <x:v>89</x:v>
      </x:c>
      <x:c r="N61" s="25" t="n">
        <x:v>2022</x:v>
      </x:c>
      <x:c r="O61" s="46" t="n">
        <x:v>1.583787058723196e-7</x:v>
      </x:c>
      <x:c r="P61" s="19" t="str">
        <x:v>1.583787058723196e-07</x:v>
      </x:c>
      <x:c r="Q61" s="19" t="str">
        <x:v>0</x:v>
      </x:c>
      <x:c r="R61" s="19" t="str">
        <x:v>0</x:v>
      </x:c>
      <x:c r="S61" s="19" t="str">
        <x:v>3.632553680077422e-08</x:v>
      </x:c>
      <x:c r="T61" s="19" t="str">
        <x:v>9.815601531570906e-08</x:v>
      </x:c>
      <x:c r="U61" s="19" t="str">
        <x:v>9.899091737985977e-08</x:v>
      </x:c>
      <x:c r="V61" s="46" t="n">
        <x:v>9.857346634778441e-8</x:v>
      </x:c>
      <x:c r="W61" s="19" t="str">
        <x:v>8.350372171506137e-08</x:v>
      </x:c>
      <x:c r="X61" s="19" t="str">
        <x:v>1.583787058723196e-07</x:v>
      </x:c>
      <x:c r="Y61" s="19" t="str">
        <x:v>1.583787058723196e-07</x:v>
      </x:c>
      <x:c r="Z61" s="25" t="n">
        <x:v>2022</x:v>
      </x:c>
      <x:c r="AA61" s="19" t="str">
        <x:v>AVAILABLE</x:v>
      </x:c>
      <x:c r="AB61" s="19" t="str">
        <x:v>AVAILABLE</x:v>
      </x:c>
      <x:c r="AC61" s="43" t="str">
        <x:v>Climate/temperature-linked lexical frequency; still not evidence of reception, voice, or affect without passage review.</x:v>
      </x:c>
    </x:row>
    <x:row r="62" ht="24" customHeight="1">
      <x:c r="A62" s="40" t="str">
        <x:v>FT-Q-V01-058</x:v>
      </x:c>
      <x:c r="B62" s="31" t="str">
        <x:v>changed climatic extremes</x:v>
      </x:c>
      <x:c r="C62" s="31" t="str">
        <x:v>generic damage</x:v>
      </x:c>
      <x:c r="D62" s="31" t="str">
        <x:v>harm_loss_consequences</x:v>
      </x:c>
      <x:c r="E62" s="19" t="str">
        <x:v>D</x:v>
      </x:c>
      <x:c r="F62" s="19" t="str">
        <x:v>EXECUTABLE_NGRAM</x:v>
      </x:c>
      <x:c r="G62" s="19" t="str">
        <x:v>CONTEXT_REQUIRED</x:v>
      </x:c>
      <x:c r="H62" s="19" t="str">
        <x:v>eng</x:v>
      </x:c>
      <x:c r="I62" s="19" t="str">
        <x:v>current English corpus (July 2024 dataset; public shorthand eng; mutable current corpus)</x:v>
      </x:c>
      <x:c r="J62" s="19" t="str">
        <x:v>1842</x:v>
      </x:c>
      <x:c r="K62" s="19" t="str">
        <x:v>2022</x:v>
      </x:c>
      <x:c r="L62" s="25" t="str"/>
      <x:c r="M62" s="25" t="n">
        <x:v>0</x:v>
      </x:c>
      <x:c r="N62" s="25" t="str"/>
      <x:c r="O62" s="46" t="str"/>
      <x:c r="P62" s="19" t="str"/>
      <x:c r="Q62" s="19" t="str"/>
      <x:c r="R62" s="19" t="str"/>
      <x:c r="S62" s="19" t="str"/>
      <x:c r="T62" s="19" t="str"/>
      <x:c r="U62" s="19" t="str"/>
      <x:c r="V62" s="46" t="str"/>
      <x:c r="W62" s="19" t="str"/>
      <x:c r="X62" s="19" t="str"/>
      <x:c r="Y62" s="19" t="str"/>
      <x:c r="Z62" s="25" t="n">
        <x:v>2022</x:v>
      </x:c>
      <x:c r="AA62" s="19" t="str">
        <x:v>NO_SERIES</x:v>
      </x:c>
      <x:c r="AB62" s="19" t="str">
        <x:v>NOT_AVAILABLE</x:v>
      </x:c>
      <x:c r="AC62" s="43" t="str">
        <x:v>Climate/temperature-linked lexical frequency; still not evidence of reception, voice, or affect without passage review.</x:v>
      </x:c>
    </x:row>
    <x:row r="63" ht="24" customHeight="1">
      <x:c r="A63" s="40" t="str">
        <x:v>FT-Q-V01-059</x:v>
      </x:c>
      <x:c r="B63" s="31" t="str">
        <x:v>major threat</x:v>
      </x:c>
      <x:c r="C63" s="31" t="str">
        <x:v>institutional climate threat</x:v>
      </x:c>
      <x:c r="D63" s="31" t="str">
        <x:v>danger_threat</x:v>
      </x:c>
      <x:c r="E63" s="19" t="str">
        <x:v>D</x:v>
      </x:c>
      <x:c r="F63" s="19" t="str">
        <x:v>EXECUTABLE_NGRAM</x:v>
      </x:c>
      <x:c r="G63" s="19" t="str">
        <x:v>CONTEXT_REQUIRED</x:v>
      </x:c>
      <x:c r="H63" s="19" t="str">
        <x:v>eng</x:v>
      </x:c>
      <x:c r="I63" s="19" t="str">
        <x:v>current English corpus (July 2024 dataset; public shorthand eng; mutable current corpus)</x:v>
      </x:c>
      <x:c r="J63" s="19" t="str">
        <x:v>1842</x:v>
      </x:c>
      <x:c r="K63" s="19" t="str">
        <x:v>2022</x:v>
      </x:c>
      <x:c r="L63" s="25" t="n">
        <x:v>1844</x:v>
      </x:c>
      <x:c r="M63" s="25" t="n">
        <x:v>136</x:v>
      </x:c>
      <x:c r="N63" s="25" t="n">
        <x:v>2021</x:v>
      </x:c>
      <x:c r="O63" s="46" t="n">
        <x:v>2.630044870777226e-7</x:v>
      </x:c>
      <x:c r="P63" s="19" t="str">
        <x:v>2.351791106303125e-07</x:v>
      </x:c>
      <x:c r="Q63" s="19" t="str">
        <x:v>0</x:v>
      </x:c>
      <x:c r="R63" s="19" t="str">
        <x:v>1.403286584156227e-08</x:v>
      </x:c>
      <x:c r="S63" s="19" t="str">
        <x:v>2.255045952748169e-07</x:v>
      </x:c>
      <x:c r="T63" s="19" t="str">
        <x:v>2.440623619870408e-07</x:v>
      </x:c>
      <x:c r="U63" s="19" t="str">
        <x:v>2.354463725096068e-07</x:v>
      </x:c>
      <x:c r="V63" s="46" t="n">
        <x:v>2.397543672483238e-7</x:v>
      </x:c>
      <x:c r="W63" s="19" t="str">
        <x:v>2.18847005184486e-07</x:v>
      </x:c>
      <x:c r="X63" s="19" t="str">
        <x:v>2.351791106303125e-07</x:v>
      </x:c>
      <x:c r="Y63" s="19" t="str">
        <x:v>2.351791106303125e-07</x:v>
      </x:c>
      <x:c r="Z63" s="25" t="n">
        <x:v>2022</x:v>
      </x:c>
      <x:c r="AA63" s="19" t="str">
        <x:v>AVAILABLE</x:v>
      </x:c>
      <x:c r="AB63" s="19" t="str">
        <x:v>AVAILABLE</x:v>
      </x:c>
      <x:c r="AC63" s="43" t="str">
        <x:v>Climate/temperature-linked lexical frequency; still not evidence of reception, voice, or affect without passage review.</x:v>
      </x:c>
    </x:row>
    <x:row r="64" ht="24" customHeight="1">
      <x:c r="A64" s="40" t="str">
        <x:v>FT-Q-V01-060</x:v>
      </x:c>
      <x:c r="B64" s="31" t="str">
        <x:v>harmful consequences</x:v>
      </x:c>
      <x:c r="C64" s="31" t="str">
        <x:v>generic damage</x:v>
      </x:c>
      <x:c r="D64" s="31" t="str">
        <x:v>harm_loss_consequences</x:v>
      </x:c>
      <x:c r="E64" s="19" t="str">
        <x:v>D</x:v>
      </x:c>
      <x:c r="F64" s="19" t="str">
        <x:v>EXECUTABLE_NGRAM</x:v>
      </x:c>
      <x:c r="G64" s="19" t="str">
        <x:v>CONTEXT_REQUIRED</x:v>
      </x:c>
      <x:c r="H64" s="19" t="str">
        <x:v>eng</x:v>
      </x:c>
      <x:c r="I64" s="19" t="str">
        <x:v>current English corpus (July 2024 dataset; public shorthand eng; mutable current corpus)</x:v>
      </x:c>
      <x:c r="J64" s="19" t="str">
        <x:v>1842</x:v>
      </x:c>
      <x:c r="K64" s="19" t="str">
        <x:v>2022</x:v>
      </x:c>
      <x:c r="L64" s="25" t="n">
        <x:v>1844</x:v>
      </x:c>
      <x:c r="M64" s="25" t="n">
        <x:v>172</x:v>
      </x:c>
      <x:c r="N64" s="25" t="n">
        <x:v>2022</x:v>
      </x:c>
      <x:c r="O64" s="46" t="n">
        <x:v>1.412578776172069e-7</x:v>
      </x:c>
      <x:c r="P64" s="19" t="str">
        <x:v>1.412578776172069e-07</x:v>
      </x:c>
      <x:c r="Q64" s="19" t="str">
        <x:v>0</x:v>
      </x:c>
      <x:c r="R64" s="19" t="str">
        <x:v>2.706338442237666e-08</x:v>
      </x:c>
      <x:c r="S64" s="19" t="str">
        <x:v>8.069599446991482e-08</x:v>
      </x:c>
      <x:c r="T64" s="19" t="str">
        <x:v>1.050232736748979e-07</x:v>
      </x:c>
      <x:c r="U64" s="19" t="str">
        <x:v>1.079860063382676e-07</x:v>
      </x:c>
      <x:c r="V64" s="46" t="n">
        <x:v>1.065046400065828e-7</x:v>
      </x:c>
      <x:c r="W64" s="19" t="str">
        <x:v>1.12132235940976e-07</x:v>
      </x:c>
      <x:c r="X64" s="19" t="str">
        <x:v>1.412578776172069e-07</x:v>
      </x:c>
      <x:c r="Y64" s="19" t="str">
        <x:v>1.412578776172069e-07</x:v>
      </x:c>
      <x:c r="Z64" s="25" t="n">
        <x:v>2022</x:v>
      </x:c>
      <x:c r="AA64" s="19" t="str">
        <x:v>AVAILABLE</x:v>
      </x:c>
      <x:c r="AB64" s="19" t="str">
        <x:v>AVAILABLE</x:v>
      </x:c>
      <x:c r="AC64" s="43" t="str">
        <x:v>Climate/temperature-linked lexical frequency; still not evidence of reception, voice, or affect without passage review.</x:v>
      </x:c>
    </x:row>
    <x:row r="65" ht="24" customHeight="1">
      <x:c r="A65" s="40" t="str">
        <x:v>FT-Q-V01-061</x:v>
      </x:c>
      <x:c r="B65" s="31" t="str">
        <x:v>warming of the climate system</x:v>
      </x:c>
      <x:c r="C65" s="31" t="str">
        <x:v>climate-system warming</x:v>
      </x:c>
      <x:c r="D65" s="31" t="str">
        <x:v>warming</x:v>
      </x:c>
      <x:c r="E65" s="19" t="str">
        <x:v>A</x:v>
      </x:c>
      <x:c r="F65" s="19" t="str">
        <x:v>EXECUTABLE_NGRAM</x:v>
      </x:c>
      <x:c r="G65" s="19" t="str">
        <x:v>CONTEXT_REQUIRED</x:v>
      </x:c>
      <x:c r="H65" s="19" t="str">
        <x:v>eng</x:v>
      </x:c>
      <x:c r="I65" s="19" t="str">
        <x:v>current English corpus (July 2024 dataset; public shorthand eng; mutable current corpus)</x:v>
      </x:c>
      <x:c r="J65" s="19" t="str">
        <x:v>1842</x:v>
      </x:c>
      <x:c r="K65" s="19" t="str">
        <x:v>2022</x:v>
      </x:c>
      <x:c r="L65" s="25" t="n">
        <x:v>1949</x:v>
      </x:c>
      <x:c r="M65" s="25" t="n">
        <x:v>40</x:v>
      </x:c>
      <x:c r="N65" s="25" t="n">
        <x:v>2008</x:v>
      </x:c>
      <x:c r="O65" s="46" t="n">
        <x:v>1.728648246768216e-8</x:v>
      </x:c>
      <x:c r="P65" s="19" t="str">
        <x:v>4.892822147439801e-09</x:v>
      </x:c>
      <x:c r="Q65" s="19" t="str">
        <x:v>0</x:v>
      </x:c>
      <x:c r="R65" s="19" t="str">
        <x:v>0</x:v>
      </x:c>
      <x:c r="S65" s="19" t="str">
        <x:v>1.303340213532067e-10</x:v>
      </x:c>
      <x:c r="T65" s="19" t="str">
        <x:v>1.048117204138777e-09</x:v>
      </x:c>
      <x:c r="U65" s="19" t="str">
        <x:v>7.173159843887333e-09</x:v>
      </x:c>
      <x:c r="V65" s="46" t="n">
        <x:v>4.110638524013055e-9</x:v>
      </x:c>
      <x:c r="W65" s="19" t="str">
        <x:v>1.336047139588459e-08</x:v>
      </x:c>
      <x:c r="X65" s="19" t="str">
        <x:v>4.892822147439801e-09</x:v>
      </x:c>
      <x:c r="Y65" s="19" t="str">
        <x:v>4.892822147439801e-09</x:v>
      </x:c>
      <x:c r="Z65" s="25" t="n">
        <x:v>2022</x:v>
      </x:c>
      <x:c r="AA65" s="19" t="str">
        <x:v>AVAILABLE</x:v>
      </x:c>
      <x:c r="AB65" s="19" t="str">
        <x:v>AVAILABLE</x:v>
      </x:c>
      <x:c r="AC65" s="43" t="str">
        <x:v>Climate/temperature-linked lexical frequency; still not evidence of reception, voice, or affect without passage review.</x:v>
      </x:c>
    </x:row>
    <x:row r="66" ht="24" customHeight="1">
      <x:c r="A66" s="40" t="str">
        <x:v>FT-Q-V01-062</x:v>
      </x:c>
      <x:c r="B66" s="31" t="str">
        <x:v>unequivocal</x:v>
      </x:c>
      <x:c r="C66" s="31" t="str">
        <x:v>historical climate / climatological condition</x:v>
      </x:c>
      <x:c r="D66" s="31" t="str">
        <x:v>climate</x:v>
      </x:c>
      <x:c r="E66" s="19" t="str">
        <x:v>B</x:v>
      </x:c>
      <x:c r="F66" s="19" t="str">
        <x:v>EXECUTABLE_NGRAM</x:v>
      </x:c>
      <x:c r="G66" s="19" t="str">
        <x:v>CONTEXT_REQUIRED</x:v>
      </x:c>
      <x:c r="H66" s="19" t="str">
        <x:v>eng</x:v>
      </x:c>
      <x:c r="I66" s="19" t="str">
        <x:v>current English corpus (July 2024 dataset; public shorthand eng; mutable current corpus)</x:v>
      </x:c>
      <x:c r="J66" s="19" t="str">
        <x:v>1842</x:v>
      </x:c>
      <x:c r="K66" s="19" t="str">
        <x:v>2022</x:v>
      </x:c>
      <x:c r="L66" s="25" t="n">
        <x:v>1842</x:v>
      </x:c>
      <x:c r="M66" s="25" t="n">
        <x:v>181</x:v>
      </x:c>
      <x:c r="N66" s="25" t="n">
        <x:v>1844</x:v>
      </x:c>
      <x:c r="O66" s="46" t="n">
        <x:v>0.000002493547962445497</x:v>
      </x:c>
      <x:c r="P66" s="19" t="str">
        <x:v>9.735799887389263e-07</x:v>
      </x:c>
      <x:c r="Q66" s="19" t="str">
        <x:v>2.489191224697151e-06</x:v>
      </x:c>
      <x:c r="R66" s="19" t="str">
        <x:v>6.214660617231971e-07</x:v>
      </x:c>
      <x:c r="S66" s="19" t="str">
        <x:v>1.265813166506646e-06</x:v>
      </x:c>
      <x:c r="T66" s="19" t="str">
        <x:v>1.163251503566443e-06</x:v>
      </x:c>
      <x:c r="U66" s="19" t="str">
        <x:v>1.199470233470556e-06</x:v>
      </x:c>
      <x:c r="V66" s="46" t="n">
        <x:v>0.0000011813608685185</x:v>
      </x:c>
      <x:c r="W66" s="19" t="str">
        <x:v>1.04477917728385e-06</x:v>
      </x:c>
      <x:c r="X66" s="19" t="str">
        <x:v>9.735799887389263e-07</x:v>
      </x:c>
      <x:c r="Y66" s="19" t="str">
        <x:v>9.735799887389263e-07</x:v>
      </x:c>
      <x:c r="Z66" s="25" t="n">
        <x:v>2022</x:v>
      </x:c>
      <x:c r="AA66" s="19" t="str">
        <x:v>AVAILABLE</x:v>
      </x:c>
      <x:c r="AB66" s="19" t="str">
        <x:v>AVAILABLE</x:v>
      </x:c>
      <x:c r="AC66" s="43" t="str">
        <x:v>Climate/temperature-linked lexical frequency; still not evidence of reception, voice, or affect without passage review.</x:v>
      </x:c>
    </x:row>
    <x:row r="67" ht="24" customHeight="1">
      <x:c r="A67" s="40" t="str">
        <x:v>FT-Q-V01-063</x:v>
      </x:c>
      <x:c r="B67" s="31" t="str">
        <x:v>global average air and ocean temperatures</x:v>
      </x:c>
      <x:c r="C67" s="31" t="str">
        <x:v>global aggregate temperature</x:v>
      </x:c>
      <x:c r="D67" s="31" t="str">
        <x:v>temperature_threshold</x:v>
      </x:c>
      <x:c r="E67" s="19" t="str">
        <x:v>A</x:v>
      </x:c>
      <x:c r="F67" s="19" t="str">
        <x:v>EXECUTABLE_NGRAM</x:v>
      </x:c>
      <x:c r="G67" s="19" t="str">
        <x:v>CONTEXT_REQUIRED</x:v>
      </x:c>
      <x:c r="H67" s="19" t="str">
        <x:v>eng</x:v>
      </x:c>
      <x:c r="I67" s="19" t="str">
        <x:v>current English corpus (July 2024 dataset; public shorthand eng; mutable current corpus)</x:v>
      </x:c>
      <x:c r="J67" s="19" t="str">
        <x:v>1842</x:v>
      </x:c>
      <x:c r="K67" s="19" t="str">
        <x:v>2022</x:v>
      </x:c>
      <x:c r="L67" s="25" t="n">
        <x:v>1949</x:v>
      </x:c>
      <x:c r="M67" s="25" t="n">
        <x:v>28</x:v>
      </x:c>
      <x:c r="N67" s="25" t="n">
        <x:v>2010</x:v>
      </x:c>
      <x:c r="O67" s="46" t="n">
        <x:v>9.683230217660821e-9</x:v>
      </x:c>
      <x:c r="P67" s="19" t="str">
        <x:v>9.299532255369058e-10</x:v>
      </x:c>
      <x:c r="Q67" s="19" t="str">
        <x:v>0</x:v>
      </x:c>
      <x:c r="R67" s="19" t="str">
        <x:v>0</x:v>
      </x:c>
      <x:c r="S67" s="19" t="str">
        <x:v>0</x:v>
      </x:c>
      <x:c r="T67" s="19" t="str">
        <x:v>1.877599464794599e-10</x:v>
      </x:c>
      <x:c r="U67" s="19" t="str">
        <x:v>3.851390761866469e-09</x:v>
      </x:c>
      <x:c r="V67" s="46" t="n">
        <x:v>2.019575354172964e-9</x:v>
      </x:c>
      <x:c r="W67" s="19" t="str">
        <x:v>2.896688888753829e-09</x:v>
      </x:c>
      <x:c r="X67" s="19" t="str">
        <x:v>9.299532255369058e-10</x:v>
      </x:c>
      <x:c r="Y67" s="19" t="str">
        <x:v>9.299532255369058e-10</x:v>
      </x:c>
      <x:c r="Z67" s="25" t="n">
        <x:v>2022</x:v>
      </x:c>
      <x:c r="AA67" s="19" t="str">
        <x:v>AVAILABLE</x:v>
      </x:c>
      <x:c r="AB67" s="19" t="str">
        <x:v>AVAILABLE</x:v>
      </x:c>
      <x:c r="AC67" s="43" t="str">
        <x:v>Climate/temperature-linked lexical frequency; still not evidence of reception, voice, or affect without passage review.</x:v>
      </x:c>
    </x:row>
    <x:row r="68" ht="24" customHeight="1">
      <x:c r="A68" s="40" t="str">
        <x:v>FT-Q-V01-064</x:v>
      </x:c>
      <x:c r="B68" s="31" t="str">
        <x:v>global surface temperature</x:v>
      </x:c>
      <x:c r="C68" s="31" t="str">
        <x:v>global aggregate temperature</x:v>
      </x:c>
      <x:c r="D68" s="31" t="str">
        <x:v>temperature_threshold</x:v>
      </x:c>
      <x:c r="E68" s="19" t="str">
        <x:v>A</x:v>
      </x:c>
      <x:c r="F68" s="19" t="str">
        <x:v>EXECUTABLE_NGRAM</x:v>
      </x:c>
      <x:c r="G68" s="19" t="str">
        <x:v>CONTEXT_REQUIRED</x:v>
      </x:c>
      <x:c r="H68" s="19" t="str">
        <x:v>eng</x:v>
      </x:c>
      <x:c r="I68" s="19" t="str">
        <x:v>current English corpus (July 2024 dataset; public shorthand eng; mutable current corpus)</x:v>
      </x:c>
      <x:c r="J68" s="19" t="str">
        <x:v>1842</x:v>
      </x:c>
      <x:c r="K68" s="19" t="str">
        <x:v>2022</x:v>
      </x:c>
      <x:c r="L68" s="25" t="n">
        <x:v>1869</x:v>
      </x:c>
      <x:c r="M68" s="25" t="n">
        <x:v>72</x:v>
      </x:c>
      <x:c r="N68" s="25" t="n">
        <x:v>2022</x:v>
      </x:c>
      <x:c r="O68" s="46" t="n">
        <x:v>3.419688007766375e-8</x:v>
      </x:c>
      <x:c r="P68" s="19" t="str">
        <x:v>3.419688007766375e-08</x:v>
      </x:c>
      <x:c r="Q68" s="19" t="str">
        <x:v>0</x:v>
      </x:c>
      <x:c r="R68" s="19" t="str">
        <x:v>0</x:v>
      </x:c>
      <x:c r="S68" s="19" t="str">
        <x:v>7.406253152431042e-09</x:v>
      </x:c>
      <x:c r="T68" s="19" t="str">
        <x:v>1.441722324857508e-08</x:v>
      </x:c>
      <x:c r="U68" s="19" t="str">
        <x:v>1.423723021420908e-08</x:v>
      </x:c>
      <x:c r="V68" s="46" t="n">
        <x:v>1.432722673139208e-8</x:v>
      </x:c>
      <x:c r="W68" s="19" t="str">
        <x:v>2.654301840820938e-08</x:v>
      </x:c>
      <x:c r="X68" s="19" t="str">
        <x:v>3.419688007766375e-08</x:v>
      </x:c>
      <x:c r="Y68" s="19" t="str">
        <x:v>3.419688007766375e-08</x:v>
      </x:c>
      <x:c r="Z68" s="25" t="n">
        <x:v>2022</x:v>
      </x:c>
      <x:c r="AA68" s="19" t="str">
        <x:v>AVAILABLE</x:v>
      </x:c>
      <x:c r="AB68" s="19" t="str">
        <x:v>AVAILABLE</x:v>
      </x:c>
      <x:c r="AC68" s="43" t="str">
        <x:v>Climate/temperature-linked lexical frequency; still not evidence of reception, voice, or affect without passage review.</x:v>
      </x:c>
    </x:row>
    <x:row r="69" ht="24" customHeight="1">
      <x:c r="A69" s="40" t="str">
        <x:v>FT-Q-V01-065</x:v>
      </x:c>
      <x:c r="B69" s="31" t="str">
        <x:v>temperature increase</x:v>
      </x:c>
      <x:c r="C69" s="31" t="str">
        <x:v>temperature increase</x:v>
      </x:c>
      <x:c r="D69" s="31" t="str">
        <x:v>warming</x:v>
      </x:c>
      <x:c r="E69" s="19" t="str">
        <x:v>A</x:v>
      </x:c>
      <x:c r="F69" s="19" t="str">
        <x:v>EXECUTABLE_NGRAM</x:v>
      </x:c>
      <x:c r="G69" s="19" t="str">
        <x:v>CLIMATE_SPECIFIC</x:v>
      </x:c>
      <x:c r="H69" s="19" t="str">
        <x:v>eng</x:v>
      </x:c>
      <x:c r="I69" s="19" t="str">
        <x:v>current English corpus (July 2024 dataset; public shorthand eng; mutable current corpus)</x:v>
      </x:c>
      <x:c r="J69" s="19" t="str">
        <x:v>1842</x:v>
      </x:c>
      <x:c r="K69" s="19" t="str">
        <x:v>2022</x:v>
      </x:c>
      <x:c r="L69" s="25" t="n">
        <x:v>1842</x:v>
      </x:c>
      <x:c r="M69" s="25" t="n">
        <x:v>180</x:v>
      </x:c>
      <x:c r="N69" s="25" t="n">
        <x:v>2012</x:v>
      </x:c>
      <x:c r="O69" s="46" t="n">
        <x:v>4.587313097714762e-7</x:v>
      </x:c>
      <x:c r="P69" s="19" t="str">
        <x:v>3.553787956689369e-07</x:v>
      </x:c>
      <x:c r="Q69" s="19" t="str">
        <x:v>2.579953362058518e-09</x:v>
      </x:c>
      <x:c r="R69" s="19" t="str">
        <x:v>7.439646565465807e-08</x:v>
      </x:c>
      <x:c r="S69" s="19" t="str">
        <x:v>2.921836819713697e-07</x:v>
      </x:c>
      <x:c r="T69" s="19" t="str">
        <x:v>3.161227772885411e-07</x:v>
      </x:c>
      <x:c r="U69" s="19" t="str">
        <x:v>3.19865252479401e-07</x:v>
      </x:c>
      <x:c r="V69" s="46" t="n">
        <x:v>3.179940148839711e-7</x:v>
      </x:c>
      <x:c r="W69" s="19" t="str">
        <x:v>3.016501993191589e-07</x:v>
      </x:c>
      <x:c r="X69" s="19" t="str">
        <x:v>3.553787956689369e-07</x:v>
      </x:c>
      <x:c r="Y69" s="19" t="str">
        <x:v>3.553787956689369e-07</x:v>
      </x:c>
      <x:c r="Z69" s="25" t="n">
        <x:v>2022</x:v>
      </x:c>
      <x:c r="AA69" s="19" t="str">
        <x:v>AVAILABLE</x:v>
      </x:c>
      <x:c r="AB69" s="19" t="str">
        <x:v>AVAILABLE</x:v>
      </x:c>
      <x:c r="AC69" s="43" t="str">
        <x:v>Climate/temperature-linked lexical frequency; still not evidence of reception, voice, or affect without passage review.</x:v>
      </x:c>
    </x:row>
    <x:row r="70" ht="24" customHeight="1">
      <x:c r="A70" s="40" t="str">
        <x:v>FT-Q-V01-066</x:v>
      </x:c>
      <x:c r="B70" s="31" t="str">
        <x:v>rising global average sea level</x:v>
      </x:c>
      <x:c r="C70" s="31" t="str">
        <x:v>generic damage</x:v>
      </x:c>
      <x:c r="D70" s="31" t="str">
        <x:v>harm_loss_consequences</x:v>
      </x:c>
      <x:c r="E70" s="19" t="str">
        <x:v>D</x:v>
      </x:c>
      <x:c r="F70" s="19" t="str">
        <x:v>EXECUTABLE_NGRAM</x:v>
      </x:c>
      <x:c r="G70" s="19" t="str">
        <x:v>CONTEXT_REQUIRED</x:v>
      </x:c>
      <x:c r="H70" s="19" t="str">
        <x:v>eng</x:v>
      </x:c>
      <x:c r="I70" s="19" t="str">
        <x:v>current English corpus (July 2024 dataset; public shorthand eng; mutable current corpus)</x:v>
      </x:c>
      <x:c r="J70" s="19" t="str">
        <x:v>1842</x:v>
      </x:c>
      <x:c r="K70" s="19" t="str">
        <x:v>2022</x:v>
      </x:c>
      <x:c r="L70" s="25" t="n">
        <x:v>1953</x:v>
      </x:c>
      <x:c r="M70" s="25" t="n">
        <x:v>25</x:v>
      </x:c>
      <x:c r="N70" s="25" t="n">
        <x:v>2008</x:v>
      </x:c>
      <x:c r="O70" s="46" t="n">
        <x:v>6.8787042728502e-9</x:v>
      </x:c>
      <x:c r="P70" s="19" t="str">
        <x:v>6.523762641208464e-10</x:v>
      </x:c>
      <x:c r="Q70" s="19" t="str">
        <x:v>0</x:v>
      </x:c>
      <x:c r="R70" s="19" t="str">
        <x:v>0</x:v>
      </x:c>
      <x:c r="S70" s="19" t="str">
        <x:v>0</x:v>
      </x:c>
      <x:c r="T70" s="19" t="str">
        <x:v>0</x:v>
      </x:c>
      <x:c r="U70" s="19" t="str">
        <x:v>2.22026375062967e-09</x:v>
      </x:c>
      <x:c r="V70" s="46" t="n">
        <x:v>1.110131875314835e-9</x:v>
      </x:c>
      <x:c r="W70" s="19" t="str">
        <x:v>2.130764897856352e-09</x:v>
      </x:c>
      <x:c r="X70" s="19" t="str">
        <x:v>6.523762641208464e-10</x:v>
      </x:c>
      <x:c r="Y70" s="19" t="str">
        <x:v>6.523762641208464e-10</x:v>
      </x:c>
      <x:c r="Z70" s="25" t="n">
        <x:v>2022</x:v>
      </x:c>
      <x:c r="AA70" s="19" t="str">
        <x:v>AVAILABLE</x:v>
      </x:c>
      <x:c r="AB70" s="19" t="str">
        <x:v>AVAILABLE</x:v>
      </x:c>
      <x:c r="AC70" s="43" t="str">
        <x:v>Climate/temperature-linked lexical frequency; still not evidence of reception, voice, or affect without passage review.</x:v>
      </x:c>
    </x:row>
    <x:row r="71" ht="24" customHeight="1">
      <x:c r="A71" s="40" t="str">
        <x:v>FT-Q-V01-067</x:v>
      </x:c>
      <x:c r="B71" s="31" t="str">
        <x:v>widespread melting of snow and ice</x:v>
      </x:c>
      <x:c r="C71" s="31" t="str">
        <x:v>generic damage</x:v>
      </x:c>
      <x:c r="D71" s="31" t="str">
        <x:v>harm_loss_consequences</x:v>
      </x:c>
      <x:c r="E71" s="19" t="str">
        <x:v>D</x:v>
      </x:c>
      <x:c r="F71" s="19" t="str">
        <x:v>EXECUTABLE_NGRAM</x:v>
      </x:c>
      <x:c r="G71" s="19" t="str">
        <x:v>CONTEXT_REQUIRED</x:v>
      </x:c>
      <x:c r="H71" s="19" t="str">
        <x:v>eng</x:v>
      </x:c>
      <x:c r="I71" s="19" t="str">
        <x:v>current English corpus (July 2024 dataset; public shorthand eng; mutable current corpus)</x:v>
      </x:c>
      <x:c r="J71" s="19" t="str">
        <x:v>1842</x:v>
      </x:c>
      <x:c r="K71" s="19" t="str">
        <x:v>2022</x:v>
      </x:c>
      <x:c r="L71" s="25" t="n">
        <x:v>1949</x:v>
      </x:c>
      <x:c r="M71" s="25" t="n">
        <x:v>30</x:v>
      </x:c>
      <x:c r="N71" s="25" t="n">
        <x:v>2008</x:v>
      </x:c>
      <x:c r="O71" s="46" t="n">
        <x:v>1.122799098141058e-8</x:v>
      </x:c>
      <x:c r="P71" s="19" t="str">
        <x:v>1.104319413691712e-09</x:v>
      </x:c>
      <x:c r="Q71" s="19" t="str">
        <x:v>0</x:v>
      </x:c>
      <x:c r="R71" s="19" t="str">
        <x:v>0</x:v>
      </x:c>
      <x:c r="S71" s="19" t="str">
        <x:v>0</x:v>
      </x:c>
      <x:c r="T71" s="19" t="str">
        <x:v>2.503466045578051e-10</x:v>
      </x:c>
      <x:c r="U71" s="19" t="str">
        <x:v>5.074054509890402e-09</x:v>
      </x:c>
      <x:c r="V71" s="46" t="n">
        <x:v>2.662200557224104e-9</x:v>
      </x:c>
      <x:c r="W71" s="19" t="str">
        <x:v>3.451374075424951e-09</x:v>
      </x:c>
      <x:c r="X71" s="19" t="str">
        <x:v>1.104319413691712e-09</x:v>
      </x:c>
      <x:c r="Y71" s="19" t="str">
        <x:v>1.104319413691712e-09</x:v>
      </x:c>
      <x:c r="Z71" s="25" t="n">
        <x:v>2022</x:v>
      </x:c>
      <x:c r="AA71" s="19" t="str">
        <x:v>AVAILABLE</x:v>
      </x:c>
      <x:c r="AB71" s="19" t="str">
        <x:v>AVAILABLE</x:v>
      </x:c>
      <x:c r="AC71" s="43" t="str">
        <x:v>Climate/temperature-linked lexical frequency; still not evidence of reception, voice, or affect without passage review.</x:v>
      </x:c>
    </x:row>
    <x:row r="72" ht="24" customHeight="1">
      <x:c r="A72" s="40" t="str">
        <x:v>FT-Q-V01-068</x:v>
      </x:c>
      <x:c r="B72" s="31" t="str">
        <x:v>anthropogenic CO₂</x:v>
      </x:c>
      <x:c r="C72" s="31" t="str">
        <x:v>anthropogenic carbon-dioxide production</x:v>
      </x:c>
      <x:c r="D72" s="31" t="str">
        <x:v>carbon_greenhouse</x:v>
      </x:c>
      <x:c r="E72" s="19" t="str">
        <x:v>B</x:v>
      </x:c>
      <x:c r="F72" s="19" t="str">
        <x:v>EXECUTABLE_CORPUS_ONLY</x:v>
      </x:c>
      <x:c r="G72" s="19" t="str">
        <x:v>CONTEXT_REQUIRED</x:v>
      </x:c>
      <x:c r="H72" s="19" t="str">
        <x:v>eng</x:v>
      </x:c>
      <x:c r="I72" s="19" t="str">
        <x:v>current English corpus (July 2024 dataset; public shorthand eng; mutable current corpus)</x:v>
      </x:c>
      <x:c r="J72" s="19" t="str">
        <x:v>1842</x:v>
      </x:c>
      <x:c r="K72" s="19" t="str">
        <x:v>2022</x:v>
      </x:c>
      <x:c r="L72" s="25" t="str"/>
      <x:c r="M72" s="25" t="n">
        <x:v>0</x:v>
      </x:c>
      <x:c r="N72" s="25" t="str"/>
      <x:c r="O72" s="46" t="str"/>
      <x:c r="P72" s="19" t="str"/>
      <x:c r="Q72" s="19" t="str"/>
      <x:c r="R72" s="19" t="str"/>
      <x:c r="S72" s="19" t="str"/>
      <x:c r="T72" s="19" t="str"/>
      <x:c r="U72" s="19" t="str"/>
      <x:c r="V72" s="46" t="str"/>
      <x:c r="W72" s="19" t="str"/>
      <x:c r="X72" s="19" t="str"/>
      <x:c r="Y72" s="19" t="str"/>
      <x:c r="Z72" s="25" t="n">
        <x:v>2022</x:v>
      </x:c>
      <x:c r="AA72" s="19" t="str">
        <x:v>NO_SERIES</x:v>
      </x:c>
      <x:c r="AB72" s="19" t="str">
        <x:v>NOT_AVAILABLE</x:v>
      </x:c>
      <x:c r="AC72" s="43" t="str">
        <x:v>Climate/temperature-linked lexical frequency; still not evidence of reception, voice, or affect without passage review.</x:v>
      </x:c>
    </x:row>
    <x:row r="73" ht="24" customHeight="1">
      <x:c r="A73" s="40" t="str">
        <x:v>FT-Q-V01-069</x:v>
      </x:c>
      <x:c r="B73" s="31" t="str">
        <x:v>anthropogenic GHG emissions</x:v>
      </x:c>
      <x:c r="C73" s="31" t="str">
        <x:v>anthropogenic greenhouse-gas emissions</x:v>
      </x:c>
      <x:c r="D73" s="31" t="str">
        <x:v>carbon_greenhouse</x:v>
      </x:c>
      <x:c r="E73" s="19" t="str">
        <x:v>B</x:v>
      </x:c>
      <x:c r="F73" s="19" t="str">
        <x:v>EXECUTABLE_NGRAM</x:v>
      </x:c>
      <x:c r="G73" s="19" t="str">
        <x:v>CONTEXT_REQUIRED</x:v>
      </x:c>
      <x:c r="H73" s="19" t="str">
        <x:v>eng</x:v>
      </x:c>
      <x:c r="I73" s="19" t="str">
        <x:v>current English corpus (July 2024 dataset; public shorthand eng; mutable current corpus)</x:v>
      </x:c>
      <x:c r="J73" s="19" t="str">
        <x:v>1842</x:v>
      </x:c>
      <x:c r="K73" s="19" t="str">
        <x:v>2022</x:v>
      </x:c>
      <x:c r="L73" s="25" t="n">
        <x:v>1901</x:v>
      </x:c>
      <x:c r="M73" s="25" t="n">
        <x:v>36</x:v>
      </x:c>
      <x:c r="N73" s="25" t="n">
        <x:v>2022</x:v>
      </x:c>
      <x:c r="O73" s="46" t="n">
        <x:v>1.622341538887184e-8</x:v>
      </x:c>
      <x:c r="P73" s="19" t="str">
        <x:v>1.622341538887184e-08</x:v>
      </x:c>
      <x:c r="Q73" s="19" t="str">
        <x:v>0</x:v>
      </x:c>
      <x:c r="R73" s="19" t="str">
        <x:v>0</x:v>
      </x:c>
      <x:c r="S73" s="19" t="str">
        <x:v>0</x:v>
      </x:c>
      <x:c r="T73" s="19" t="str">
        <x:v>1.585399145298538e-09</x:v>
      </x:c>
      <x:c r="U73" s="19" t="str">
        <x:v>2.915473612530306e-09</x:v>
      </x:c>
      <x:c r="V73" s="46" t="n">
        <x:v>2.250436378914422e-9</x:v>
      </x:c>
      <x:c r="W73" s="19" t="str">
        <x:v>1.43962131382569e-08</x:v>
      </x:c>
      <x:c r="X73" s="19" t="str">
        <x:v>1.622341538887184e-08</x:v>
      </x:c>
      <x:c r="Y73" s="19" t="str">
        <x:v>1.622341538887184e-08</x:v>
      </x:c>
      <x:c r="Z73" s="25" t="n">
        <x:v>2022</x:v>
      </x:c>
      <x:c r="AA73" s="19" t="str">
        <x:v>AVAILABLE</x:v>
      </x:c>
      <x:c r="AB73" s="19" t="str">
        <x:v>AVAILABLE</x:v>
      </x:c>
      <x:c r="AC73" s="43" t="str">
        <x:v>Climate/temperature-linked lexical frequency; still not evidence of reception, voice, or affect without passage review.</x:v>
      </x:c>
    </x:row>
    <x:row r="74" ht="24" customHeight="1">
      <x:c r="A74" s="40" t="str">
        <x:v>FT-Q-V01-070</x:v>
      </x:c>
      <x:c r="B74" s="31" t="str">
        <x:v>climate change</x:v>
      </x:c>
      <x:c r="C74" s="31" t="str">
        <x:v>modern climate change</x:v>
      </x:c>
      <x:c r="D74" s="31" t="str">
        <x:v>climate</x:v>
      </x:c>
      <x:c r="E74" s="19" t="str">
        <x:v>B</x:v>
      </x:c>
      <x:c r="F74" s="19" t="str">
        <x:v>EXECUTABLE_NGRAM</x:v>
      </x:c>
      <x:c r="G74" s="19" t="str">
        <x:v>CLIMATE_SPECIFIC</x:v>
      </x:c>
      <x:c r="H74" s="19" t="str">
        <x:v>eng</x:v>
      </x:c>
      <x:c r="I74" s="19" t="str">
        <x:v>current English corpus (July 2024 dataset; public shorthand eng; mutable current corpus)</x:v>
      </x:c>
      <x:c r="J74" s="19" t="str">
        <x:v>1842</x:v>
      </x:c>
      <x:c r="K74" s="19" t="str">
        <x:v>2022</x:v>
      </x:c>
      <x:c r="L74" s="25" t="n">
        <x:v>1842</x:v>
      </x:c>
      <x:c r="M74" s="25" t="n">
        <x:v>180</x:v>
      </x:c>
      <x:c r="N74" s="25" t="n">
        <x:v>2022</x:v>
      </x:c>
      <x:c r="O74" s="46" t="n">
        <x:v>0.00002890008815206735</x:v>
      </x:c>
      <x:c r="P74" s="19" t="str">
        <x:v>2.890008815206735e-05</x:v>
      </x:c>
      <x:c r="Q74" s="19" t="str">
        <x:v>5.159906557583582e-09</x:v>
      </x:c>
      <x:c r="R74" s="19" t="str">
        <x:v>2.561554912627884e-09</x:v>
      </x:c>
      <x:c r="S74" s="19" t="str">
        <x:v>1.240793510930149e-06</x:v>
      </x:c>
      <x:c r="T74" s="19" t="str">
        <x:v>8.716473492563492e-06</x:v>
      </x:c>
      <x:c r="U74" s="19" t="str">
        <x:v>1.319138383155949e-05</x:v>
      </x:c>
      <x:c r="V74" s="46" t="n">
        <x:v>0.00001095392866206149</x:v>
      </x:c>
      <x:c r="W74" s="19" t="str">
        <x:v>1.967096413684616e-05</x:v>
      </x:c>
      <x:c r="X74" s="19" t="str">
        <x:v>2.890008815206735e-05</x:v>
      </x:c>
      <x:c r="Y74" s="19" t="str">
        <x:v>2.890008815206735e-05</x:v>
      </x:c>
      <x:c r="Z74" s="25" t="n">
        <x:v>2022</x:v>
      </x:c>
      <x:c r="AA74" s="19" t="str">
        <x:v>AVAILABLE</x:v>
      </x:c>
      <x:c r="AB74" s="19" t="str">
        <x:v>AVAILABLE</x:v>
      </x:c>
      <x:c r="AC74" s="43" t="str">
        <x:v>Climate/temperature-linked lexical frequency; still not evidence of reception, voice, or affect without passage review.</x:v>
      </x:c>
    </x:row>
    <x:row r="75" ht="24" customHeight="1">
      <x:c r="A75" s="40" t="str">
        <x:v>FT-Q-V01-071</x:v>
      </x:c>
      <x:c r="B75" s="31" t="str">
        <x:v>global warming</x:v>
      </x:c>
      <x:c r="C75" s="31" t="str">
        <x:v>global warming as issue label</x:v>
      </x:c>
      <x:c r="D75" s="31" t="str">
        <x:v>warming</x:v>
      </x:c>
      <x:c r="E75" s="19" t="str">
        <x:v>A</x:v>
      </x:c>
      <x:c r="F75" s="19" t="str">
        <x:v>EXECUTABLE_NGRAM</x:v>
      </x:c>
      <x:c r="G75" s="19" t="str">
        <x:v>CLIMATE_SPECIFIC</x:v>
      </x:c>
      <x:c r="H75" s="19" t="str">
        <x:v>eng</x:v>
      </x:c>
      <x:c r="I75" s="19" t="str">
        <x:v>current English corpus (July 2024 dataset; public shorthand eng; mutable current corpus)</x:v>
      </x:c>
      <x:c r="J75" s="19" t="str">
        <x:v>1842</x:v>
      </x:c>
      <x:c r="K75" s="19" t="str">
        <x:v>2022</x:v>
      </x:c>
      <x:c r="L75" s="25" t="n">
        <x:v>1843</x:v>
      </x:c>
      <x:c r="M75" s="25" t="n">
        <x:v>138</x:v>
      </x:c>
      <x:c r="N75" s="25" t="n">
        <x:v>2009</x:v>
      </x:c>
      <x:c r="O75" s="46" t="n">
        <x:v>0.000005445639571555194</x:v>
      </x:c>
      <x:c r="P75" s="19" t="str">
        <x:v>3.963670369644401e-06</x:v>
      </x:c>
      <x:c r="Q75" s="19" t="str">
        <x:v>0</x:v>
      </x:c>
      <x:c r="R75" s="19" t="str">
        <x:v>2.00469511824064e-09</x:v>
      </x:c>
      <x:c r="S75" s="19" t="str">
        <x:v>6.400895369296222e-07</x:v>
      </x:c>
      <x:c r="T75" s="19" t="str">
        <x:v>3.39393631278162e-06</x:v>
      </x:c>
      <x:c r="U75" s="19" t="str">
        <x:v>4.96164442403968e-06</x:v>
      </x:c>
      <x:c r="V75" s="46" t="n">
        <x:v>0.00000417779036841065</x:v>
      </x:c>
      <x:c r="W75" s="19" t="str">
        <x:v>3.293586607857474e-06</x:v>
      </x:c>
      <x:c r="X75" s="19" t="str">
        <x:v>3.963670369644401e-06</x:v>
      </x:c>
      <x:c r="Y75" s="19" t="str">
        <x:v>3.963670369644401e-06</x:v>
      </x:c>
      <x:c r="Z75" s="25" t="n">
        <x:v>2022</x:v>
      </x:c>
      <x:c r="AA75" s="19" t="str">
        <x:v>AVAILABLE</x:v>
      </x:c>
      <x:c r="AB75" s="19" t="str">
        <x:v>AVAILABLE</x:v>
      </x:c>
      <x:c r="AC75" s="43" t="str">
        <x:v>Climate/temperature-linked lexical frequency; still not evidence of reception, voice, or affect without passage review.</x:v>
      </x:c>
    </x:row>
    <x:row r="76" ht="24" customHeight="1">
      <x:c r="A76" s="40" t="str">
        <x:v>FT-Q-V01-072</x:v>
      </x:c>
      <x:c r="B76" s="31" t="str">
        <x:v>serious global threat</x:v>
      </x:c>
      <x:c r="C76" s="31" t="str">
        <x:v>institutional climate threat</x:v>
      </x:c>
      <x:c r="D76" s="31" t="str">
        <x:v>danger_threat</x:v>
      </x:c>
      <x:c r="E76" s="19" t="str">
        <x:v>D</x:v>
      </x:c>
      <x:c r="F76" s="19" t="str">
        <x:v>EXECUTABLE_NGRAM</x:v>
      </x:c>
      <x:c r="G76" s="19" t="str">
        <x:v>CONTEXT_REQUIRED</x:v>
      </x:c>
      <x:c r="H76" s="19" t="str">
        <x:v>eng</x:v>
      </x:c>
      <x:c r="I76" s="19" t="str">
        <x:v>current English corpus (July 2024 dataset; public shorthand eng; mutable current corpus)</x:v>
      </x:c>
      <x:c r="J76" s="19" t="str">
        <x:v>1842</x:v>
      </x:c>
      <x:c r="K76" s="19" t="str">
        <x:v>2022</x:v>
      </x:c>
      <x:c r="L76" s="25" t="n">
        <x:v>1946</x:v>
      </x:c>
      <x:c r="M76" s="25" t="n">
        <x:v>51</x:v>
      </x:c>
      <x:c r="N76" s="25" t="n">
        <x:v>2022</x:v>
      </x:c>
      <x:c r="O76" s="46" t="n">
        <x:v>2.317630753978506e-9</x:v>
      </x:c>
      <x:c r="P76" s="19" t="str">
        <x:v>2.317630753978506e-09</x:v>
      </x:c>
      <x:c r="Q76" s="19" t="str">
        <x:v>0</x:v>
      </x:c>
      <x:c r="R76" s="19" t="str">
        <x:v>0</x:v>
      </x:c>
      <x:c r="S76" s="19" t="str">
        <x:v>7.568433657567653e-10</x:v>
      </x:c>
      <x:c r="T76" s="19" t="str">
        <x:v>8.422432751231668e-10</x:v>
      </x:c>
      <x:c r="U76" s="19" t="str">
        <x:v>1.749284272989371e-09</x:v>
      </x:c>
      <x:c r="V76" s="46" t="n">
        <x:v>1.295763774056269e-9</x:v>
      </x:c>
      <x:c r="W76" s="19" t="str">
        <x:v>6.498290794354489e-10</x:v>
      </x:c>
      <x:c r="X76" s="19" t="str">
        <x:v>2.317630753978506e-09</x:v>
      </x:c>
      <x:c r="Y76" s="19" t="str">
        <x:v>2.317630753978506e-09</x:v>
      </x:c>
      <x:c r="Z76" s="25" t="n">
        <x:v>2022</x:v>
      </x:c>
      <x:c r="AA76" s="19" t="str">
        <x:v>AVAILABLE</x:v>
      </x:c>
      <x:c r="AB76" s="19" t="str">
        <x:v>AVAILABLE</x:v>
      </x:c>
      <x:c r="AC76" s="43" t="str">
        <x:v>Climate/temperature-linked lexical frequency; still not evidence of reception, voice, or affect without passage review.</x:v>
      </x:c>
    </x:row>
    <x:row r="77" ht="24" customHeight="1">
      <x:c r="A77" s="40" t="str">
        <x:v>FT-Q-V01-073</x:v>
      </x:c>
      <x:c r="B77" s="31" t="str">
        <x:v>urgent global response</x:v>
      </x:c>
      <x:c r="C77" s="31" t="str">
        <x:v>generic damage</x:v>
      </x:c>
      <x:c r="D77" s="31" t="str">
        <x:v>harm_loss_consequences</x:v>
      </x:c>
      <x:c r="E77" s="19" t="str">
        <x:v>D</x:v>
      </x:c>
      <x:c r="F77" s="19" t="str">
        <x:v>EXECUTABLE_NGRAM</x:v>
      </x:c>
      <x:c r="G77" s="19" t="str">
        <x:v>CONTEXT_REQUIRED</x:v>
      </x:c>
      <x:c r="H77" s="19" t="str">
        <x:v>eng</x:v>
      </x:c>
      <x:c r="I77" s="19" t="str">
        <x:v>current English corpus (July 2024 dataset; public shorthand eng; mutable current corpus)</x:v>
      </x:c>
      <x:c r="J77" s="19" t="str">
        <x:v>1842</x:v>
      </x:c>
      <x:c r="K77" s="19" t="str">
        <x:v>2022</x:v>
      </x:c>
      <x:c r="L77" s="25" t="n">
        <x:v>1946</x:v>
      </x:c>
      <x:c r="M77" s="25" t="n">
        <x:v>34</x:v>
      </x:c>
      <x:c r="N77" s="25" t="n">
        <x:v>2007</x:v>
      </x:c>
      <x:c r="O77" s="46" t="n">
        <x:v>1.652101788707228e-9</x:v>
      </x:c>
      <x:c r="P77" s="19" t="str">
        <x:v>3.783887092545513e-10</x:v>
      </x:c>
      <x:c r="Q77" s="19" t="str">
        <x:v>0</x:v>
      </x:c>
      <x:c r="R77" s="19" t="str">
        <x:v>0</x:v>
      </x:c>
      <x:c r="S77" s="19" t="str">
        <x:v>5.406024239373863e-11</x:v>
      </x:c>
      <x:c r="T77" s="19" t="str">
        <x:v>6.440684097164251e-10</x:v>
      </x:c>
      <x:c r="U77" s="19" t="str">
        <x:v>1.652101788707228e-09</x:v>
      </x:c>
      <x:c r="V77" s="46" t="n">
        <x:v>1.148085099211826e-9</x:v>
      </x:c>
      <x:c r="W77" s="19" t="str">
        <x:v>7.997896234179791e-10</x:v>
      </x:c>
      <x:c r="X77" s="19" t="str">
        <x:v>3.783887092545513e-10</x:v>
      </x:c>
      <x:c r="Y77" s="19" t="str">
        <x:v>3.783887092545513e-10</x:v>
      </x:c>
      <x:c r="Z77" s="25" t="n">
        <x:v>2022</x:v>
      </x:c>
      <x:c r="AA77" s="19" t="str">
        <x:v>AVAILABLE</x:v>
      </x:c>
      <x:c r="AB77" s="19" t="str">
        <x:v>AVAILABLE</x:v>
      </x:c>
      <x:c r="AC77" s="43" t="str">
        <x:v>Climate/temperature-linked lexical frequency; still not evidence of reception, voice, or affect without passage review.</x:v>
      </x:c>
    </x:row>
    <x:row r="78" ht="24" customHeight="1">
      <x:c r="A78" s="40" t="str">
        <x:v>FT-Q-V01-074</x:v>
      </x:c>
      <x:c r="B78" s="31" t="str">
        <x:v>costs and risks of climate change</x:v>
      </x:c>
      <x:c r="C78" s="31" t="str">
        <x:v>modern climate change</x:v>
      </x:c>
      <x:c r="D78" s="31" t="str">
        <x:v>climate</x:v>
      </x:c>
      <x:c r="E78" s="19" t="str">
        <x:v>D</x:v>
      </x:c>
      <x:c r="F78" s="19" t="str">
        <x:v>EXECUTABLE_NGRAM</x:v>
      </x:c>
      <x:c r="G78" s="19" t="str">
        <x:v>CONTEXT_REQUIRED</x:v>
      </x:c>
      <x:c r="H78" s="19" t="str">
        <x:v>eng</x:v>
      </x:c>
      <x:c r="I78" s="19" t="str">
        <x:v>current English corpus (July 2024 dataset; public shorthand eng; mutable current corpus)</x:v>
      </x:c>
      <x:c r="J78" s="19" t="str">
        <x:v>1842</x:v>
      </x:c>
      <x:c r="K78" s="19" t="str">
        <x:v>2022</x:v>
      </x:c>
      <x:c r="L78" s="25" t="n">
        <x:v>1986</x:v>
      </x:c>
      <x:c r="M78" s="25" t="n">
        <x:v>22</x:v>
      </x:c>
      <x:c r="N78" s="25" t="n">
        <x:v>2009</x:v>
      </x:c>
      <x:c r="O78" s="46" t="n">
        <x:v>2.4810227206018e-9</x:v>
      </x:c>
      <x:c r="P78" s="19" t="str">
        <x:v>8.137091001003682e-10</x:v>
      </x:c>
      <x:c r="Q78" s="19" t="str">
        <x:v>0</x:v>
      </x:c>
      <x:c r="R78" s="19" t="str">
        <x:v>0</x:v>
      </x:c>
      <x:c r="S78" s="19" t="str">
        <x:v>7.065451002041812e-11</x:v>
      </x:c>
      <x:c r="T78" s="19" t="str">
        <x:v>7.510397859178397e-10</x:v>
      </x:c>
      <x:c r="U78" s="19" t="str">
        <x:v>1.650596104241231e-09</x:v>
      </x:c>
      <x:c r="V78" s="46" t="n">
        <x:v>1.200817945079535e-9</x:v>
      </x:c>
      <x:c r="W78" s="19" t="str">
        <x:v>4.930534314162571e-10</x:v>
      </x:c>
      <x:c r="X78" s="19" t="str">
        <x:v>8.137091001003682e-10</x:v>
      </x:c>
      <x:c r="Y78" s="19" t="str">
        <x:v>8.137091001003682e-10</x:v>
      </x:c>
      <x:c r="Z78" s="25" t="n">
        <x:v>2022</x:v>
      </x:c>
      <x:c r="AA78" s="19" t="str">
        <x:v>AVAILABLE</x:v>
      </x:c>
      <x:c r="AB78" s="19" t="str">
        <x:v>AVAILABLE</x:v>
      </x:c>
      <x:c r="AC78" s="43" t="str">
        <x:v>Climate/temperature-linked lexical frequency; still not evidence of reception, voice, or affect without passage review.</x:v>
      </x:c>
    </x:row>
    <x:row r="79" ht="24" customHeight="1">
      <x:c r="A79" s="40" t="str">
        <x:v>FT-Q-V01-075</x:v>
      </x:c>
      <x:c r="B79" s="31" t="str">
        <x:v>impacts of climate change</x:v>
      </x:c>
      <x:c r="C79" s="31" t="str">
        <x:v>modern climate change</x:v>
      </x:c>
      <x:c r="D79" s="31" t="str">
        <x:v>climate</x:v>
      </x:c>
      <x:c r="E79" s="19" t="str">
        <x:v>D</x:v>
      </x:c>
      <x:c r="F79" s="19" t="str">
        <x:v>EXECUTABLE_NGRAM</x:v>
      </x:c>
      <x:c r="G79" s="19" t="str">
        <x:v>CONTEXT_REQUIRED</x:v>
      </x:c>
      <x:c r="H79" s="19" t="str">
        <x:v>eng</x:v>
      </x:c>
      <x:c r="I79" s="19" t="str">
        <x:v>current English corpus (July 2024 dataset; public shorthand eng; mutable current corpus)</x:v>
      </x:c>
      <x:c r="J79" s="19" t="str">
        <x:v>1842</x:v>
      </x:c>
      <x:c r="K79" s="19" t="str">
        <x:v>2022</x:v>
      </x:c>
      <x:c r="L79" s="25" t="n">
        <x:v>1881</x:v>
      </x:c>
      <x:c r="M79" s="25" t="n">
        <x:v>87</x:v>
      </x:c>
      <x:c r="N79" s="25" t="n">
        <x:v>2022</x:v>
      </x:c>
      <x:c r="O79" s="46" t="n">
        <x:v>7.144630615740777e-7</x:v>
      </x:c>
      <x:c r="P79" s="19" t="str">
        <x:v>7.144630615740777e-07</x:v>
      </x:c>
      <x:c r="Q79" s="19" t="str">
        <x:v>0</x:v>
      </x:c>
      <x:c r="R79" s="19" t="str">
        <x:v>0</x:v>
      </x:c>
      <x:c r="S79" s="19" t="str">
        <x:v>4.559433364192955e-08</x:v>
      </x:c>
      <x:c r="T79" s="19" t="str">
        <x:v>2.229886647206469e-07</x:v>
      </x:c>
      <x:c r="U79" s="19" t="str">
        <x:v>3.110645994466865e-07</x:v>
      </x:c>
      <x:c r="V79" s="46" t="n">
        <x:v>2.670266320836667e-7</x:v>
      </x:c>
      <x:c r="W79" s="19" t="str">
        <x:v>5.157996520455121e-07</x:v>
      </x:c>
      <x:c r="X79" s="19" t="str">
        <x:v>7.144630615740777e-07</x:v>
      </x:c>
      <x:c r="Y79" s="19" t="str">
        <x:v>7.144630615740777e-07</x:v>
      </x:c>
      <x:c r="Z79" s="25" t="n">
        <x:v>2022</x:v>
      </x:c>
      <x:c r="AA79" s="19" t="str">
        <x:v>AVAILABLE</x:v>
      </x:c>
      <x:c r="AB79" s="19" t="str">
        <x:v>AVAILABLE</x:v>
      </x:c>
      <x:c r="AC79" s="43" t="str">
        <x:v>Climate/temperature-linked lexical frequency; still not evidence of reception, voice, or affect without passage review.</x:v>
      </x:c>
    </x:row>
    <x:row r="80" ht="24" customHeight="1">
      <x:c r="A80" s="40" t="str">
        <x:v>FT-Q-V01-076</x:v>
      </x:c>
      <x:c r="B80" s="31" t="str">
        <x:v>damage</x:v>
      </x:c>
      <x:c r="C80" s="31" t="str">
        <x:v>generic damage</x:v>
      </x:c>
      <x:c r="D80" s="31" t="str">
        <x:v>harm_loss_consequences</x:v>
      </x:c>
      <x:c r="E80" s="19" t="str">
        <x:v>D</x:v>
      </x:c>
      <x:c r="F80" s="19" t="str">
        <x:v>BACKGROUND_AMBIGUOUS</x:v>
      </x:c>
      <x:c r="G80" s="19" t="str">
        <x:v>BACKGROUND_AMBIGUOUS</x:v>
      </x:c>
      <x:c r="H80" s="19" t="str">
        <x:v>eng</x:v>
      </x:c>
      <x:c r="I80" s="19" t="str">
        <x:v>current English corpus (July 2024 dataset; public shorthand eng; mutable current corpus)</x:v>
      </x:c>
      <x:c r="J80" s="19" t="str">
        <x:v>1842</x:v>
      </x:c>
      <x:c r="K80" s="19" t="str">
        <x:v>2022</x:v>
      </x:c>
      <x:c r="L80" s="25" t="n">
        <x:v>1842</x:v>
      </x:c>
      <x:c r="M80" s="25" t="n">
        <x:v>181</x:v>
      </x:c>
      <x:c r="N80" s="25" t="n">
        <x:v>1986</x:v>
      </x:c>
      <x:c r="O80" s="46" t="n">
        <x:v>0.00005759856095523264</x:v>
      </x:c>
      <x:c r="P80" s="19" t="str">
        <x:v>4.813777670335459e-05</x:v>
      </x:c>
      <x:c r="Q80" s="19" t="str">
        <x:v>1.40214699513308e-05</x:v>
      </x:c>
      <x:c r="R80" s="19" t="str">
        <x:v>4.59952369169514e-05</x:v>
      </x:c>
      <x:c r="S80" s="19" t="str">
        <x:v>5.460717676498972e-05</x:v>
      </x:c>
      <x:c r="T80" s="19" t="str">
        <x:v>4.860308943087019e-05</x:v>
      </x:c>
      <x:c r="U80" s="19" t="str">
        <x:v>4.797855570867759e-05</x:v>
      </x:c>
      <x:c r="V80" s="46" t="n">
        <x:v>0.00004829082256977389</x:v>
      </x:c>
      <x:c r="W80" s="19" t="str">
        <x:v>4.768336144450602e-05</x:v>
      </x:c>
      <x:c r="X80" s="19" t="str">
        <x:v>4.813777670335459e-05</x:v>
      </x:c>
      <x:c r="Y80" s="19" t="str">
        <x:v>4.813777670335459e-05</x:v>
      </x:c>
      <x:c r="Z80" s="25" t="n">
        <x:v>2022</x:v>
      </x:c>
      <x:c r="AA80" s="19" t="str">
        <x:v>AVAILABLE</x:v>
      </x:c>
      <x:c r="AB80" s="19" t="str">
        <x:v>AVAILABLE</x:v>
      </x:c>
      <x:c r="AC80" s="43" t="str">
        <x:v>Generic corpus string frequency; not climate-specific semantic frequency.</x:v>
      </x:c>
    </x:row>
    <x:row r="81" ht="24" customHeight="1">
      <x:c r="A81" s="40" t="str">
        <x:v>FT-Q-V01-077</x:v>
      </x:c>
      <x:c r="B81" s="31" t="str">
        <x:v>hunger</x:v>
      </x:c>
      <x:c r="C81" s="31" t="str">
        <x:v>generic damage</x:v>
      </x:c>
      <x:c r="D81" s="31" t="str">
        <x:v>harm_loss_consequences</x:v>
      </x:c>
      <x:c r="E81" s="19" t="str">
        <x:v>D</x:v>
      </x:c>
      <x:c r="F81" s="19" t="str">
        <x:v>EXECUTABLE_NGRAM</x:v>
      </x:c>
      <x:c r="G81" s="19" t="str">
        <x:v>CONTEXT_REQUIRED</x:v>
      </x:c>
      <x:c r="H81" s="19" t="str">
        <x:v>eng</x:v>
      </x:c>
      <x:c r="I81" s="19" t="str">
        <x:v>current English corpus (July 2024 dataset; public shorthand eng; mutable current corpus)</x:v>
      </x:c>
      <x:c r="J81" s="19" t="str">
        <x:v>1842</x:v>
      </x:c>
      <x:c r="K81" s="19" t="str">
        <x:v>2022</x:v>
      </x:c>
      <x:c r="L81" s="25" t="n">
        <x:v>1842</x:v>
      </x:c>
      <x:c r="M81" s="25" t="n">
        <x:v>181</x:v>
      </x:c>
      <x:c r="N81" s="25" t="n">
        <x:v>2015</x:v>
      </x:c>
      <x:c r="O81" s="46" t="n">
        <x:v>0.00001191392740906849</x:v>
      </x:c>
      <x:c r="P81" s="19" t="str">
        <x:v>1.147104043752734e-05</x:v>
      </x:c>
      <x:c r="Q81" s="19" t="str">
        <x:v>8.491353739259466e-06</x:v>
      </x:c>
      <x:c r="R81" s="19" t="str">
        <x:v>3.766231525759167e-06</x:v>
      </x:c>
      <x:c r="S81" s="19" t="str">
        <x:v>6.137961449326212e-06</x:v>
      </x:c>
      <x:c r="T81" s="19" t="str">
        <x:v>7.45067320195858e-06</x:v>
      </x:c>
      <x:c r="U81" s="19" t="str">
        <x:v>8.010337945583978e-06</x:v>
      </x:c>
      <x:c r="V81" s="46" t="n">
        <x:v>0.000007730505573771279</x:v>
      </x:c>
      <x:c r="W81" s="19" t="str">
        <x:v>1.191392740906849e-05</x:v>
      </x:c>
      <x:c r="X81" s="19" t="str">
        <x:v>1.147104043752734e-05</x:v>
      </x:c>
      <x:c r="Y81" s="19" t="str">
        <x:v>1.147104043752734e-05</x:v>
      </x:c>
      <x:c r="Z81" s="25" t="n">
        <x:v>2022</x:v>
      </x:c>
      <x:c r="AA81" s="19" t="str">
        <x:v>AVAILABLE</x:v>
      </x:c>
      <x:c r="AB81" s="19" t="str">
        <x:v>AVAILABLE</x:v>
      </x:c>
      <x:c r="AC81" s="43" t="str">
        <x:v>Climate/temperature-linked lexical frequency; still not evidence of reception, voice, or affect without passage review.</x:v>
      </x:c>
    </x:row>
    <x:row r="82" ht="24" customHeight="1">
      <x:c r="A82" s="40" t="str">
        <x:v>FT-Q-V01-078</x:v>
      </x:c>
      <x:c r="B82" s="31" t="str">
        <x:v>water shortages</x:v>
      </x:c>
      <x:c r="C82" s="31" t="str">
        <x:v>generic damage</x:v>
      </x:c>
      <x:c r="D82" s="31" t="str">
        <x:v>harm_loss_consequences</x:v>
      </x:c>
      <x:c r="E82" s="19" t="str">
        <x:v>D</x:v>
      </x:c>
      <x:c r="F82" s="19" t="str">
        <x:v>EXECUTABLE_NGRAM</x:v>
      </x:c>
      <x:c r="G82" s="19" t="str">
        <x:v>CONTEXT_REQUIRED</x:v>
      </x:c>
      <x:c r="H82" s="19" t="str">
        <x:v>eng</x:v>
      </x:c>
      <x:c r="I82" s="19" t="str">
        <x:v>current English corpus (July 2024 dataset; public shorthand eng; mutable current corpus)</x:v>
      </x:c>
      <x:c r="J82" s="19" t="str">
        <x:v>1842</x:v>
      </x:c>
      <x:c r="K82" s="19" t="str">
        <x:v>2022</x:v>
      </x:c>
      <x:c r="L82" s="25" t="n">
        <x:v>1843</x:v>
      </x:c>
      <x:c r="M82" s="25" t="n">
        <x:v>143</x:v>
      </x:c>
      <x:c r="N82" s="25" t="n">
        <x:v>2009</x:v>
      </x:c>
      <x:c r="O82" s="46" t="n">
        <x:v>2.626209802403245e-7</x:v>
      </x:c>
      <x:c r="P82" s="19" t="str">
        <x:v>1.740838606878459e-07</x:v>
      </x:c>
      <x:c r="Q82" s="19" t="str">
        <x:v>0</x:v>
      </x:c>
      <x:c r="R82" s="19" t="str">
        <x:v>4.131899500325886e-08</x:v>
      </x:c>
      <x:c r="S82" s="19" t="str">
        <x:v>1.448085923394515e-07</x:v>
      </x:c>
      <x:c r="T82" s="19" t="str">
        <x:v>2.040491388077825e-07</x:v>
      </x:c>
      <x:c r="U82" s="19" t="str">
        <x:v>2.140380712667422e-07</x:v>
      </x:c>
      <x:c r="V82" s="46" t="n">
        <x:v>2.090436050372624e-7</x:v>
      </x:c>
      <x:c r="W82" s="19" t="str">
        <x:v>1.87883369612285e-07</x:v>
      </x:c>
      <x:c r="X82" s="19" t="str">
        <x:v>1.740838606878459e-07</x:v>
      </x:c>
      <x:c r="Y82" s="19" t="str">
        <x:v>1.740838606878459e-07</x:v>
      </x:c>
      <x:c r="Z82" s="25" t="n">
        <x:v>2022</x:v>
      </x:c>
      <x:c r="AA82" s="19" t="str">
        <x:v>AVAILABLE</x:v>
      </x:c>
      <x:c r="AB82" s="19" t="str">
        <x:v>AVAILABLE</x:v>
      </x:c>
      <x:c r="AC82" s="43" t="str">
        <x:v>Climate/temperature-linked lexical frequency; still not evidence of reception, voice, or affect without passage review.</x:v>
      </x:c>
    </x:row>
    <x:row r="83" ht="24" customHeight="1">
      <x:c r="A83" s="40" t="str">
        <x:v>FT-Q-V01-079</x:v>
      </x:c>
      <x:c r="B83" s="31" t="str">
        <x:v>coastal flooding</x:v>
      </x:c>
      <x:c r="C83" s="31" t="str">
        <x:v>generic damage</x:v>
      </x:c>
      <x:c r="D83" s="31" t="str">
        <x:v>harm_loss_consequences</x:v>
      </x:c>
      <x:c r="E83" s="19" t="str">
        <x:v>D</x:v>
      </x:c>
      <x:c r="F83" s="19" t="str">
        <x:v>EXECUTABLE_NGRAM</x:v>
      </x:c>
      <x:c r="G83" s="19" t="str">
        <x:v>CONTEXT_REQUIRED</x:v>
      </x:c>
      <x:c r="H83" s="19" t="str">
        <x:v>eng</x:v>
      </x:c>
      <x:c r="I83" s="19" t="str">
        <x:v>current English corpus (July 2024 dataset; public shorthand eng; mutable current corpus)</x:v>
      </x:c>
      <x:c r="J83" s="19" t="str">
        <x:v>1842</x:v>
      </x:c>
      <x:c r="K83" s="19" t="str">
        <x:v>2022</x:v>
      </x:c>
      <x:c r="L83" s="25" t="n">
        <x:v>1843</x:v>
      </x:c>
      <x:c r="M83" s="25" t="n">
        <x:v>92</x:v>
      </x:c>
      <x:c r="N83" s="25" t="n">
        <x:v>2022</x:v>
      </x:c>
      <x:c r="O83" s="46" t="n">
        <x:v>1.034327956617176e-7</x:v>
      </x:c>
      <x:c r="P83" s="19" t="str">
        <x:v>1.034327956617176e-07</x:v>
      </x:c>
      <x:c r="Q83" s="19" t="str">
        <x:v>0</x:v>
      </x:c>
      <x:c r="R83" s="19" t="str">
        <x:v>4.454877994275463e-10</x:v>
      </x:c>
      <x:c r="S83" s="19" t="str">
        <x:v>2.620769057326555e-08</x:v>
      </x:c>
      <x:c r="T83" s="19" t="str">
        <x:v>4.335529258867044e-08</x:v>
      </x:c>
      <x:c r="U83" s="19" t="str">
        <x:v>5.518485168831688e-08</x:v>
      </x:c>
      <x:c r="V83" s="46" t="n">
        <x:v>4.927007213849366e-8</x:v>
      </x:c>
      <x:c r="W83" s="19" t="str">
        <x:v>5.272690167812399e-08</x:v>
      </x:c>
      <x:c r="X83" s="19" t="str">
        <x:v>1.034327956617176e-07</x:v>
      </x:c>
      <x:c r="Y83" s="19" t="str">
        <x:v>1.034327956617176e-07</x:v>
      </x:c>
      <x:c r="Z83" s="25" t="n">
        <x:v>2022</x:v>
      </x:c>
      <x:c r="AA83" s="19" t="str">
        <x:v>AVAILABLE</x:v>
      </x:c>
      <x:c r="AB83" s="19" t="str">
        <x:v>AVAILABLE</x:v>
      </x:c>
      <x:c r="AC83" s="43" t="str">
        <x:v>Climate/temperature-linked lexical frequency; still not evidence of reception, voice, or affect without passage review.</x:v>
      </x:c>
    </x:row>
    <x:row r="84" ht="24" customHeight="1">
      <x:c r="A84" s="40" t="str">
        <x:v>FT-Q-V01-080</x:v>
      </x:c>
      <x:c r="B84" s="31" t="str">
        <x:v>worst impacts</x:v>
      </x:c>
      <x:c r="C84" s="31" t="str">
        <x:v>generic damage</x:v>
      </x:c>
      <x:c r="D84" s="31" t="str">
        <x:v>harm_loss_consequences</x:v>
      </x:c>
      <x:c r="E84" s="19" t="str">
        <x:v>D</x:v>
      </x:c>
      <x:c r="F84" s="19" t="str">
        <x:v>EXECUTABLE_NGRAM</x:v>
      </x:c>
      <x:c r="G84" s="19" t="str">
        <x:v>CONTEXT_REQUIRED</x:v>
      </x:c>
      <x:c r="H84" s="19" t="str">
        <x:v>eng</x:v>
      </x:c>
      <x:c r="I84" s="19" t="str">
        <x:v>current English corpus (July 2024 dataset; public shorthand eng; mutable current corpus)</x:v>
      </x:c>
      <x:c r="J84" s="19" t="str">
        <x:v>1842</x:v>
      </x:c>
      <x:c r="K84" s="19" t="str">
        <x:v>2022</x:v>
      </x:c>
      <x:c r="L84" s="25" t="n">
        <x:v>1906</x:v>
      </x:c>
      <x:c r="M84" s="25" t="n">
        <x:v>80</x:v>
      </x:c>
      <x:c r="N84" s="25" t="n">
        <x:v>2022</x:v>
      </x:c>
      <x:c r="O84" s="46" t="n">
        <x:v>1.9288579872212e-8</x:v>
      </x:c>
      <x:c r="P84" s="19" t="str">
        <x:v>1.9288579872212e-08</x:v>
      </x:c>
      <x:c r="Q84" s="19" t="str">
        <x:v>0</x:v>
      </x:c>
      <x:c r="R84" s="19" t="str">
        <x:v>1.113719533263335e-10</x:v>
      </x:c>
      <x:c r="S84" s="19" t="str">
        <x:v>1.332594479208637e-09</x:v>
      </x:c>
      <x:c r="T84" s="19" t="str">
        <x:v>7.691329351189324e-09</x:v>
      </x:c>
      <x:c r="U84" s="19" t="str">
        <x:v>8.09557739248068e-09</x:v>
      </x:c>
      <x:c r="V84" s="46" t="n">
        <x:v>7.893453371835002e-9</x:v>
      </x:c>
      <x:c r="W84" s="19" t="str">
        <x:v>1.125525539436012e-08</x:v>
      </x:c>
      <x:c r="X84" s="19" t="str">
        <x:v>1.9288579872212e-08</x:v>
      </x:c>
      <x:c r="Y84" s="19" t="str">
        <x:v>1.9288579872212e-08</x:v>
      </x:c>
      <x:c r="Z84" s="25" t="n">
        <x:v>2022</x:v>
      </x:c>
      <x:c r="AA84" s="19" t="str">
        <x:v>AVAILABLE</x:v>
      </x:c>
      <x:c r="AB84" s="19" t="str">
        <x:v>AVAILABLE</x:v>
      </x:c>
      <x:c r="AC84" s="43" t="str">
        <x:v>Climate/temperature-linked lexical frequency; still not evidence of reception, voice, or affect without passage review.</x:v>
      </x:c>
    </x:row>
    <x:row r="85" ht="24" customHeight="1">
      <x:c r="A85" s="40" t="str">
        <x:v>FT-Q-V01-081</x:v>
      </x:c>
      <x:c r="B85" s="31" t="str">
        <x:v>climate change</x:v>
      </x:c>
      <x:c r="C85" s="31" t="str">
        <x:v>modern climate change</x:v>
      </x:c>
      <x:c r="D85" s="31" t="str">
        <x:v>climate</x:v>
      </x:c>
      <x:c r="E85" s="19" t="str">
        <x:v>B</x:v>
      </x:c>
      <x:c r="F85" s="19" t="str">
        <x:v>EXECUTABLE_NGRAM</x:v>
      </x:c>
      <x:c r="G85" s="19" t="str">
        <x:v>CLIMATE_SPECIFIC</x:v>
      </x:c>
      <x:c r="H85" s="19" t="str">
        <x:v>eng</x:v>
      </x:c>
      <x:c r="I85" s="19" t="str">
        <x:v>current English corpus (July 2024 dataset; public shorthand eng; mutable current corpus)</x:v>
      </x:c>
      <x:c r="J85" s="19" t="str">
        <x:v>1842</x:v>
      </x:c>
      <x:c r="K85" s="19" t="str">
        <x:v>2022</x:v>
      </x:c>
      <x:c r="L85" s="25" t="n">
        <x:v>1842</x:v>
      </x:c>
      <x:c r="M85" s="25" t="n">
        <x:v>180</x:v>
      </x:c>
      <x:c r="N85" s="25" t="n">
        <x:v>2022</x:v>
      </x:c>
      <x:c r="O85" s="46" t="n">
        <x:v>0.00002890008815206735</x:v>
      </x:c>
      <x:c r="P85" s="19" t="str">
        <x:v>2.890008815206735e-05</x:v>
      </x:c>
      <x:c r="Q85" s="19" t="str">
        <x:v>5.159906557583582e-09</x:v>
      </x:c>
      <x:c r="R85" s="19" t="str">
        <x:v>2.561554912627884e-09</x:v>
      </x:c>
      <x:c r="S85" s="19" t="str">
        <x:v>1.240793510930149e-06</x:v>
      </x:c>
      <x:c r="T85" s="19" t="str">
        <x:v>8.716473492563492e-06</x:v>
      </x:c>
      <x:c r="U85" s="19" t="str">
        <x:v>1.319138383155949e-05</x:v>
      </x:c>
      <x:c r="V85" s="46" t="n">
        <x:v>0.00001095392866206149</x:v>
      </x:c>
      <x:c r="W85" s="19" t="str">
        <x:v>1.967096413684616e-05</x:v>
      </x:c>
      <x:c r="X85" s="19" t="str">
        <x:v>2.890008815206735e-05</x:v>
      </x:c>
      <x:c r="Y85" s="19" t="str">
        <x:v>2.890008815206735e-05</x:v>
      </x:c>
      <x:c r="Z85" s="25" t="n">
        <x:v>2022</x:v>
      </x:c>
      <x:c r="AA85" s="19" t="str">
        <x:v>AVAILABLE</x:v>
      </x:c>
      <x:c r="AB85" s="19" t="str">
        <x:v>AVAILABLE</x:v>
      </x:c>
      <x:c r="AC85" s="43" t="str">
        <x:v>Climate/temperature-linked lexical frequency; still not evidence of reception, voice, or affect without passage review.</x:v>
      </x:c>
    </x:row>
    <x:row r="86" ht="24" customHeight="1">
      <x:c r="A86" s="40" t="str">
        <x:v>FT-Q-V01-082</x:v>
      </x:c>
      <x:c r="B86" s="31" t="str">
        <x:v>threat of climate change</x:v>
      </x:c>
      <x:c r="C86" s="31" t="str">
        <x:v>modern climate change</x:v>
      </x:c>
      <x:c r="D86" s="31" t="str">
        <x:v>climate</x:v>
      </x:c>
      <x:c r="E86" s="19" t="str">
        <x:v>D</x:v>
      </x:c>
      <x:c r="F86" s="19" t="str">
        <x:v>EXECUTABLE_NGRAM</x:v>
      </x:c>
      <x:c r="G86" s="19" t="str">
        <x:v>CONTEXT_REQUIRED</x:v>
      </x:c>
      <x:c r="H86" s="19" t="str">
        <x:v>eng</x:v>
      </x:c>
      <x:c r="I86" s="19" t="str">
        <x:v>current English corpus (July 2024 dataset; public shorthand eng; mutable current corpus)</x:v>
      </x:c>
      <x:c r="J86" s="19" t="str">
        <x:v>1842</x:v>
      </x:c>
      <x:c r="K86" s="19" t="str">
        <x:v>2022</x:v>
      </x:c>
      <x:c r="L86" s="25" t="n">
        <x:v>1900</x:v>
      </x:c>
      <x:c r="M86" s="25" t="n">
        <x:v>61</x:v>
      </x:c>
      <x:c r="N86" s="25" t="n">
        <x:v>2021</x:v>
      </x:c>
      <x:c r="O86" s="46" t="n">
        <x:v>1.160401951333379e-7</x:v>
      </x:c>
      <x:c r="P86" s="19" t="str">
        <x:v>1.140722242637393e-07</x:v>
      </x:c>
      <x:c r="Q86" s="19" t="str">
        <x:v>0</x:v>
      </x:c>
      <x:c r="R86" s="19" t="str">
        <x:v>0</x:v>
      </x:c>
      <x:c r="S86" s="19" t="str">
        <x:v>2.210996594143033e-09</x:v>
      </x:c>
      <x:c r="T86" s="19" t="str">
        <x:v>2.31571378392359e-08</x:v>
      </x:c>
      <x:c r="U86" s="19" t="str">
        <x:v>3.566648866526467e-08</x:v>
      </x:c>
      <x:c r="V86" s="46" t="n">
        <x:v>2.941181325225029e-8</x:v>
      </x:c>
      <x:c r="W86" s="19" t="str">
        <x:v>4.538047629343289e-08</x:v>
      </x:c>
      <x:c r="X86" s="19" t="str">
        <x:v>1.140722242637393e-07</x:v>
      </x:c>
      <x:c r="Y86" s="19" t="str">
        <x:v>1.140722242637393e-07</x:v>
      </x:c>
      <x:c r="Z86" s="25" t="n">
        <x:v>2022</x:v>
      </x:c>
      <x:c r="AA86" s="19" t="str">
        <x:v>AVAILABLE</x:v>
      </x:c>
      <x:c r="AB86" s="19" t="str">
        <x:v>AVAILABLE</x:v>
      </x:c>
      <x:c r="AC86" s="43" t="str">
        <x:v>Climate/temperature-linked lexical frequency; still not evidence of reception, voice, or affect without passage review.</x:v>
      </x:c>
    </x:row>
    <x:row r="87" ht="24" customHeight="1">
      <x:c r="A87" s="40" t="str">
        <x:v>FT-Q-V01-083</x:v>
      </x:c>
      <x:c r="B87" s="31" t="str">
        <x:v>global average temperature</x:v>
      </x:c>
      <x:c r="C87" s="31" t="str">
        <x:v>global aggregate temperature</x:v>
      </x:c>
      <x:c r="D87" s="31" t="str">
        <x:v>temperature_threshold</x:v>
      </x:c>
      <x:c r="E87" s="19" t="str">
        <x:v>A</x:v>
      </x:c>
      <x:c r="F87" s="19" t="str">
        <x:v>EXECUTABLE_NGRAM</x:v>
      </x:c>
      <x:c r="G87" s="19" t="str">
        <x:v>CLIMATE_SPECIFIC</x:v>
      </x:c>
      <x:c r="H87" s="19" t="str">
        <x:v>eng</x:v>
      </x:c>
      <x:c r="I87" s="19" t="str">
        <x:v>current English corpus (July 2024 dataset; public shorthand eng; mutable current corpus)</x:v>
      </x:c>
      <x:c r="J87" s="19" t="str">
        <x:v>1842</x:v>
      </x:c>
      <x:c r="K87" s="19" t="str">
        <x:v>2022</x:v>
      </x:c>
      <x:c r="L87" s="25" t="n">
        <x:v>1869</x:v>
      </x:c>
      <x:c r="M87" s="25" t="n">
        <x:v>73</x:v>
      </x:c>
      <x:c r="N87" s="25" t="n">
        <x:v>2022</x:v>
      </x:c>
      <x:c r="O87" s="46" t="n">
        <x:v>7.577234045763603e-8</x:v>
      </x:c>
      <x:c r="P87" s="19" t="str">
        <x:v>7.577234045763603e-08</x:v>
      </x:c>
      <x:c r="Q87" s="19" t="str">
        <x:v>0</x:v>
      </x:c>
      <x:c r="R87" s="19" t="str">
        <x:v>0</x:v>
      </x:c>
      <x:c r="S87" s="19" t="str">
        <x:v>6.216928000180033e-09</x:v>
      </x:c>
      <x:c r="T87" s="19" t="str">
        <x:v>1.575490385374856e-08</x:v>
      </x:c>
      <x:c r="U87" s="19" t="str">
        <x:v>2.793995544647654e-08</x:v>
      </x:c>
      <x:c r="V87" s="46" t="n">
        <x:v>2.184742965011255e-8</x:v>
      </x:c>
      <x:c r="W87" s="19" t="str">
        <x:v>4.038937463646253e-08</x:v>
      </x:c>
      <x:c r="X87" s="19" t="str">
        <x:v>7.577234045763603e-08</x:v>
      </x:c>
      <x:c r="Y87" s="19" t="str">
        <x:v>7.577234045763603e-08</x:v>
      </x:c>
      <x:c r="Z87" s="25" t="n">
        <x:v>2022</x:v>
      </x:c>
      <x:c r="AA87" s="19" t="str">
        <x:v>AVAILABLE</x:v>
      </x:c>
      <x:c r="AB87" s="19" t="str">
        <x:v>AVAILABLE</x:v>
      </x:c>
      <x:c r="AC87" s="43" t="str">
        <x:v>Climate/temperature-linked lexical frequency; still not evidence of reception, voice, or affect without passage review.</x:v>
      </x:c>
    </x:row>
    <x:row r="88" ht="24" customHeight="1">
      <x:c r="A88" s="40" t="str">
        <x:v>FT-Q-V01-084</x:v>
      </x:c>
      <x:c r="B88" s="31" t="str">
        <x:v>well below 2°C above pre-industrial levels</x:v>
      </x:c>
      <x:c r="C88" s="31" t="str">
        <x:v>2°C threshold</x:v>
      </x:c>
      <x:c r="D88" s="31" t="str">
        <x:v>temperature_threshold</x:v>
      </x:c>
      <x:c r="E88" s="19" t="str">
        <x:v>A</x:v>
      </x:c>
      <x:c r="F88" s="19" t="str">
        <x:v>EXECUTABLE_CORPUS_ONLY</x:v>
      </x:c>
      <x:c r="G88" s="19" t="str">
        <x:v>CONTEXT_REQUIRED</x:v>
      </x:c>
      <x:c r="H88" s="19" t="str">
        <x:v>eng</x:v>
      </x:c>
      <x:c r="I88" s="19" t="str">
        <x:v>current English corpus (July 2024 dataset; public shorthand eng; mutable current corpus)</x:v>
      </x:c>
      <x:c r="J88" s="19" t="str">
        <x:v>1842</x:v>
      </x:c>
      <x:c r="K88" s="19" t="str">
        <x:v>2022</x:v>
      </x:c>
      <x:c r="L88" s="25" t="str"/>
      <x:c r="M88" s="25" t="n">
        <x:v>0</x:v>
      </x:c>
      <x:c r="N88" s="25" t="str"/>
      <x:c r="O88" s="46" t="str"/>
      <x:c r="P88" s="19" t="str"/>
      <x:c r="Q88" s="19" t="str"/>
      <x:c r="R88" s="19" t="str"/>
      <x:c r="S88" s="19" t="str"/>
      <x:c r="T88" s="19" t="str"/>
      <x:c r="U88" s="19" t="str"/>
      <x:c r="V88" s="46" t="str"/>
      <x:c r="W88" s="19" t="str"/>
      <x:c r="X88" s="19" t="str"/>
      <x:c r="Y88" s="19" t="str"/>
      <x:c r="Z88" s="25" t="n">
        <x:v>2022</x:v>
      </x:c>
      <x:c r="AA88" s="19" t="str">
        <x:v>NO_SERIES</x:v>
      </x:c>
      <x:c r="AB88" s="19" t="str">
        <x:v>NOT_AVAILABLE</x:v>
      </x:c>
      <x:c r="AC88" s="43" t="str">
        <x:v>Climate/temperature-linked lexical frequency; still not evidence of reception, voice, or affect without passage review.</x:v>
      </x:c>
    </x:row>
    <x:row r="89" ht="24" customHeight="1">
      <x:c r="A89" s="40" t="str">
        <x:v>FT-Q-V01-085</x:v>
      </x:c>
      <x:c r="B89" s="31" t="str">
        <x:v>1.5°C above pre-industrial levels</x:v>
      </x:c>
      <x:c r="C89" s="31" t="str">
        <x:v>1.5°C threshold</x:v>
      </x:c>
      <x:c r="D89" s="31" t="str">
        <x:v>temperature_threshold</x:v>
      </x:c>
      <x:c r="E89" s="19" t="str">
        <x:v>A</x:v>
      </x:c>
      <x:c r="F89" s="19" t="str">
        <x:v>EXECUTABLE_CORPUS_ONLY</x:v>
      </x:c>
      <x:c r="G89" s="19" t="str">
        <x:v>CONTEXT_REQUIRED</x:v>
      </x:c>
      <x:c r="H89" s="19" t="str">
        <x:v>eng</x:v>
      </x:c>
      <x:c r="I89" s="19" t="str">
        <x:v>current English corpus (July 2024 dataset; public shorthand eng; mutable current corpus)</x:v>
      </x:c>
      <x:c r="J89" s="19" t="str">
        <x:v>1842</x:v>
      </x:c>
      <x:c r="K89" s="19" t="str">
        <x:v>2022</x:v>
      </x:c>
      <x:c r="L89" s="25" t="str"/>
      <x:c r="M89" s="25" t="n">
        <x:v>0</x:v>
      </x:c>
      <x:c r="N89" s="25" t="str"/>
      <x:c r="O89" s="46" t="str"/>
      <x:c r="P89" s="19" t="str"/>
      <x:c r="Q89" s="19" t="str"/>
      <x:c r="R89" s="19" t="str"/>
      <x:c r="S89" s="19" t="str"/>
      <x:c r="T89" s="19" t="str"/>
      <x:c r="U89" s="19" t="str"/>
      <x:c r="V89" s="46" t="str"/>
      <x:c r="W89" s="19" t="str"/>
      <x:c r="X89" s="19" t="str"/>
      <x:c r="Y89" s="19" t="str"/>
      <x:c r="Z89" s="25" t="n">
        <x:v>2022</x:v>
      </x:c>
      <x:c r="AA89" s="19" t="str">
        <x:v>NO_SERIES</x:v>
      </x:c>
      <x:c r="AB89" s="19" t="str">
        <x:v>NOT_AVAILABLE</x:v>
      </x:c>
      <x:c r="AC89" s="43" t="str">
        <x:v>Climate/temperature-linked lexical frequency; still not evidence of reception, voice, or affect without passage review.</x:v>
      </x:c>
    </x:row>
    <x:row r="90" ht="24" customHeight="1">
      <x:c r="A90" s="40" t="str">
        <x:v>FT-Q-V01-086</x:v>
      </x:c>
      <x:c r="B90" s="31" t="str">
        <x:v>pre-industrial levels</x:v>
      </x:c>
      <x:c r="C90" s="31" t="str">
        <x:v>historical climate / climatological condition</x:v>
      </x:c>
      <x:c r="D90" s="31" t="str">
        <x:v>climate</x:v>
      </x:c>
      <x:c r="E90" s="19" t="str">
        <x:v>B</x:v>
      </x:c>
      <x:c r="F90" s="19" t="str">
        <x:v>EXECUTABLE_NGRAM</x:v>
      </x:c>
      <x:c r="G90" s="19" t="str">
        <x:v>CONTEXT_REQUIRED</x:v>
      </x:c>
      <x:c r="H90" s="19" t="str">
        <x:v>eng</x:v>
      </x:c>
      <x:c r="I90" s="19" t="str">
        <x:v>current English corpus (July 2024 dataset; public shorthand eng; mutable current corpus)</x:v>
      </x:c>
      <x:c r="J90" s="19" t="str">
        <x:v>1842</x:v>
      </x:c>
      <x:c r="K90" s="19" t="str">
        <x:v>2022</x:v>
      </x:c>
      <x:c r="L90" s="25" t="n">
        <x:v>1843</x:v>
      </x:c>
      <x:c r="M90" s="25" t="n">
        <x:v>71</x:v>
      </x:c>
      <x:c r="N90" s="25" t="n">
        <x:v>2022</x:v>
      </x:c>
      <x:c r="O90" s="46" t="n">
        <x:v>1.564491737549023e-7</x:v>
      </x:c>
      <x:c r="P90" s="19" t="str">
        <x:v>1.564491737549023e-07</x:v>
      </x:c>
      <x:c r="Q90" s="19" t="str">
        <x:v>0</x:v>
      </x:c>
      <x:c r="R90" s="19" t="str">
        <x:v>0</x:v>
      </x:c>
      <x:c r="S90" s="19" t="str">
        <x:v>3.406129822636217e-09</x:v>
      </x:c>
      <x:c r="T90" s="19" t="str">
        <x:v>1.92166460591392e-08</x:v>
      </x:c>
      <x:c r="U90" s="19" t="str">
        <x:v>2.43588904463854e-08</x:v>
      </x:c>
      <x:c r="V90" s="46" t="n">
        <x:v>2.17877682527623e-8</x:v>
      </x:c>
      <x:c r="W90" s="19" t="str">
        <x:v>3.183085471591962e-08</x:v>
      </x:c>
      <x:c r="X90" s="19" t="str">
        <x:v>1.564491737549023e-07</x:v>
      </x:c>
      <x:c r="Y90" s="19" t="str">
        <x:v>1.564491737549023e-07</x:v>
      </x:c>
      <x:c r="Z90" s="25" t="n">
        <x:v>2022</x:v>
      </x:c>
      <x:c r="AA90" s="19" t="str">
        <x:v>AVAILABLE</x:v>
      </x:c>
      <x:c r="AB90" s="19" t="str">
        <x:v>AVAILABLE</x:v>
      </x:c>
      <x:c r="AC90" s="43" t="str">
        <x:v>Climate/temperature-linked lexical frequency; still not evidence of reception, voice, or affect without passage review.</x:v>
      </x:c>
    </x:row>
    <x:row r="91" ht="24" customHeight="1">
      <x:c r="A91" s="40" t="str">
        <x:v>FT-Q-V01-087</x:v>
      </x:c>
      <x:c r="B91" s="31" t="str">
        <x:v>risks and impacts</x:v>
      </x:c>
      <x:c r="C91" s="31" t="str">
        <x:v>administrative risk assessment</x:v>
      </x:c>
      <x:c r="D91" s="31" t="str">
        <x:v>risk</x:v>
      </x:c>
      <x:c r="E91" s="19" t="str">
        <x:v>D</x:v>
      </x:c>
      <x:c r="F91" s="19" t="str">
        <x:v>EXECUTABLE_NGRAM</x:v>
      </x:c>
      <x:c r="G91" s="19" t="str">
        <x:v>CONTEXT_REQUIRED</x:v>
      </x:c>
      <x:c r="H91" s="19" t="str">
        <x:v>eng</x:v>
      </x:c>
      <x:c r="I91" s="19" t="str">
        <x:v>current English corpus (July 2024 dataset; public shorthand eng; mutable current corpus)</x:v>
      </x:c>
      <x:c r="J91" s="19" t="str">
        <x:v>1842</x:v>
      </x:c>
      <x:c r="K91" s="19" t="str">
        <x:v>2022</x:v>
      </x:c>
      <x:c r="L91" s="25" t="n">
        <x:v>1901</x:v>
      </x:c>
      <x:c r="M91" s="25" t="n">
        <x:v>64</x:v>
      </x:c>
      <x:c r="N91" s="25" t="n">
        <x:v>2022</x:v>
      </x:c>
      <x:c r="O91" s="46" t="n">
        <x:v>4.441337393690237e-8</x:v>
      </x:c>
      <x:c r="P91" s="19" t="str">
        <x:v>4.441337393690237e-08</x:v>
      </x:c>
      <x:c r="Q91" s="19" t="str">
        <x:v>0</x:v>
      </x:c>
      <x:c r="R91" s="19" t="str">
        <x:v>0</x:v>
      </x:c>
      <x:c r="S91" s="19" t="str">
        <x:v>3.730156780679117e-09</x:v>
      </x:c>
      <x:c r="T91" s="19" t="str">
        <x:v>8.719695195058552e-09</x:v>
      </x:c>
      <x:c r="U91" s="19" t="str">
        <x:v>1.171048619186266e-08</x:v>
      </x:c>
      <x:c r="V91" s="46" t="n">
        <x:v>1.02150906934606e-8</x:v>
      </x:c>
      <x:c r="W91" s="19" t="str">
        <x:v>1.904498948129829e-08</x:v>
      </x:c>
      <x:c r="X91" s="19" t="str">
        <x:v>4.441337393690237e-08</x:v>
      </x:c>
      <x:c r="Y91" s="19" t="str">
        <x:v>4.441337393690237e-08</x:v>
      </x:c>
      <x:c r="Z91" s="25" t="n">
        <x:v>2022</x:v>
      </x:c>
      <x:c r="AA91" s="19" t="str">
        <x:v>AVAILABLE</x:v>
      </x:c>
      <x:c r="AB91" s="19" t="str">
        <x:v>AVAILABLE</x:v>
      </x:c>
      <x:c r="AC91" s="43" t="str">
        <x:v>Climate/temperature-linked lexical frequency; still not evidence of reception, voice, or affect without passage review.</x:v>
      </x:c>
    </x:row>
    <x:row r="92" ht="24" customHeight="1">
      <x:c r="A92" s="40" t="str">
        <x:v>FT-Q-V01-088</x:v>
      </x:c>
      <x:c r="B92" s="31" t="str">
        <x:v>adverse impacts</x:v>
      </x:c>
      <x:c r="C92" s="31" t="str">
        <x:v>generic damage</x:v>
      </x:c>
      <x:c r="D92" s="31" t="str">
        <x:v>harm_loss_consequences</x:v>
      </x:c>
      <x:c r="E92" s="19" t="str">
        <x:v>D</x:v>
      </x:c>
      <x:c r="F92" s="19" t="str">
        <x:v>EXECUTABLE_NGRAM</x:v>
      </x:c>
      <x:c r="G92" s="19" t="str">
        <x:v>CONTEXT_REQUIRED</x:v>
      </x:c>
      <x:c r="H92" s="19" t="str">
        <x:v>eng</x:v>
      </x:c>
      <x:c r="I92" s="19" t="str">
        <x:v>current English corpus (July 2024 dataset; public shorthand eng; mutable current corpus)</x:v>
      </x:c>
      <x:c r="J92" s="19" t="str">
        <x:v>1842</x:v>
      </x:c>
      <x:c r="K92" s="19" t="str">
        <x:v>2022</x:v>
      </x:c>
      <x:c r="L92" s="25" t="n">
        <x:v>1847</x:v>
      </x:c>
      <x:c r="M92" s="25" t="n">
        <x:v>118</x:v>
      </x:c>
      <x:c r="N92" s="25" t="n">
        <x:v>2008</x:v>
      </x:c>
      <x:c r="O92" s="46" t="n">
        <x:v>0.00000126370956696209</x:v>
      </x:c>
      <x:c r="P92" s="19" t="str">
        <x:v>3.134836589757661e-07</x:v>
      </x:c>
      <x:c r="Q92" s="19" t="str">
        <x:v>0</x:v>
      </x:c>
      <x:c r="R92" s="19" t="str">
        <x:v>3.341158461012128e-10</x:v>
      </x:c>
      <x:c r="S92" s="19" t="str">
        <x:v>7.824303560610701e-07</x:v>
      </x:c>
      <x:c r="T92" s="19" t="str">
        <x:v>1.002482367784552e-06</x:v>
      </x:c>
      <x:c r="U92" s="19" t="str">
        <x:v>8.86375771003145e-07</x:v>
      </x:c>
      <x:c r="V92" s="46" t="n">
        <x:v>9.444290693938484e-7</x:v>
      </x:c>
      <x:c r="W92" s="19" t="str">
        <x:v>2.372477044543242e-07</x:v>
      </x:c>
      <x:c r="X92" s="19" t="str">
        <x:v>3.134836589757661e-07</x:v>
      </x:c>
      <x:c r="Y92" s="19" t="str">
        <x:v>3.134836589757661e-07</x:v>
      </x:c>
      <x:c r="Z92" s="25" t="n">
        <x:v>2022</x:v>
      </x:c>
      <x:c r="AA92" s="19" t="str">
        <x:v>AVAILABLE</x:v>
      </x:c>
      <x:c r="AB92" s="19" t="str">
        <x:v>AVAILABLE</x:v>
      </x:c>
      <x:c r="AC92" s="43" t="str">
        <x:v>Climate/temperature-linked lexical frequency; still not evidence of reception, voice, or affect without passage review.</x:v>
      </x:c>
    </x:row>
    <x:row r="93" ht="24" customHeight="1">
      <x:c r="A93" s="40" t="str">
        <x:v>FT-Q-V01-089</x:v>
      </x:c>
      <x:c r="B93" s="31" t="str">
        <x:v>adverse effects of climate change</x:v>
      </x:c>
      <x:c r="C93" s="31" t="str">
        <x:v>modern climate change</x:v>
      </x:c>
      <x:c r="D93" s="31" t="str">
        <x:v>climate</x:v>
      </x:c>
      <x:c r="E93" s="19" t="str">
        <x:v>D</x:v>
      </x:c>
      <x:c r="F93" s="19" t="str">
        <x:v>EXECUTABLE_NGRAM</x:v>
      </x:c>
      <x:c r="G93" s="19" t="str">
        <x:v>CONTEXT_REQUIRED</x:v>
      </x:c>
      <x:c r="H93" s="19" t="str">
        <x:v>eng</x:v>
      </x:c>
      <x:c r="I93" s="19" t="str">
        <x:v>current English corpus (July 2024 dataset; public shorthand eng; mutable current corpus)</x:v>
      </x:c>
      <x:c r="J93" s="19" t="str">
        <x:v>1842</x:v>
      </x:c>
      <x:c r="K93" s="19" t="str">
        <x:v>2022</x:v>
      </x:c>
      <x:c r="L93" s="25" t="n">
        <x:v>1901</x:v>
      </x:c>
      <x:c r="M93" s="25" t="n">
        <x:v>55</x:v>
      </x:c>
      <x:c r="N93" s="25" t="n">
        <x:v>2021</x:v>
      </x:c>
      <x:c r="O93" s="46" t="n">
        <x:v>6.824104539782105e-8</x:v>
      </x:c>
      <x:c r="P93" s="19" t="str">
        <x:v>6.007298156140983e-08</x:v>
      </x:c>
      <x:c r="Q93" s="19" t="str">
        <x:v>0</x:v>
      </x:c>
      <x:c r="R93" s="19" t="str">
        <x:v>0</x:v>
      </x:c>
      <x:c r="S93" s="19" t="str">
        <x:v>8.47171111040268e-10</x:v>
      </x:c>
      <x:c r="T93" s="19" t="str">
        <x:v>1.892433779820957e-08</x:v>
      </x:c>
      <x:c r="U93" s="19" t="str">
        <x:v>1.759132076811776e-08</x:v>
      </x:c>
      <x:c r="V93" s="46" t="n">
        <x:v>1.825782928316366e-8</x:v>
      </x:c>
      <x:c r="W93" s="19" t="str">
        <x:v>3.449535698751838e-08</x:v>
      </x:c>
      <x:c r="X93" s="19" t="str">
        <x:v>6.007298156140983e-08</x:v>
      </x:c>
      <x:c r="Y93" s="19" t="str">
        <x:v>6.007298156140983e-08</x:v>
      </x:c>
      <x:c r="Z93" s="25" t="n">
        <x:v>2022</x:v>
      </x:c>
      <x:c r="AA93" s="19" t="str">
        <x:v>AVAILABLE</x:v>
      </x:c>
      <x:c r="AB93" s="19" t="str">
        <x:v>AVAILABLE</x:v>
      </x:c>
      <x:c r="AC93" s="43" t="str">
        <x:v>Climate/temperature-linked lexical frequency; still not evidence of reception, voice, or affect without passage review.</x:v>
      </x:c>
    </x:row>
    <x:row r="94" ht="24" customHeight="1">
      <x:c r="A94" s="40" t="str">
        <x:v>FT-Q-V01-090</x:v>
      </x:c>
      <x:c r="B94" s="31" t="str">
        <x:v>greenhouse gas emissions</x:v>
      </x:c>
      <x:c r="C94" s="31" t="str">
        <x:v>anthropogenic greenhouse-gas emissions</x:v>
      </x:c>
      <x:c r="D94" s="31" t="str">
        <x:v>carbon_greenhouse</x:v>
      </x:c>
      <x:c r="E94" s="19" t="str">
        <x:v>B</x:v>
      </x:c>
      <x:c r="F94" s="19" t="str">
        <x:v>EXECUTABLE_NGRAM</x:v>
      </x:c>
      <x:c r="G94" s="19" t="str">
        <x:v>CONTEXT_REQUIRED</x:v>
      </x:c>
      <x:c r="H94" s="19" t="str">
        <x:v>eng</x:v>
      </x:c>
      <x:c r="I94" s="19" t="str">
        <x:v>current English corpus (July 2024 dataset; public shorthand eng; mutable current corpus)</x:v>
      </x:c>
      <x:c r="J94" s="19" t="str">
        <x:v>1842</x:v>
      </x:c>
      <x:c r="K94" s="19" t="str">
        <x:v>2022</x:v>
      </x:c>
      <x:c r="L94" s="25" t="n">
        <x:v>1843</x:v>
      </x:c>
      <x:c r="M94" s="25" t="n">
        <x:v>102</x:v>
      </x:c>
      <x:c r="N94" s="25" t="n">
        <x:v>2009</x:v>
      </x:c>
      <x:c r="O94" s="46" t="n">
        <x:v>0.000002058088877550379</x:v>
      </x:c>
      <x:c r="P94" s="19" t="str">
        <x:v>1.669261770767538e-06</x:v>
      </x:c>
      <x:c r="Q94" s="19" t="str">
        <x:v>0</x:v>
      </x:c>
      <x:c r="R94" s="19" t="str">
        <x:v>0</x:v>
      </x:c>
      <x:c r="S94" s="19" t="str">
        <x:v>6.1250253577394e-08</x:v>
      </x:c>
      <x:c r="T94" s="19" t="str">
        <x:v>1.090903233809393e-06</x:v>
      </x:c>
      <x:c r="U94" s="19" t="str">
        <x:v>1.668671410881561e-06</x:v>
      </x:c>
      <x:c r="V94" s="46" t="n">
        <x:v>0.000001379787322345477</x:v>
      </x:c>
      <x:c r="W94" s="19" t="str">
        <x:v>1.287461367946441e-06</x:v>
      </x:c>
      <x:c r="X94" s="19" t="str">
        <x:v>1.669261770767538e-06</x:v>
      </x:c>
      <x:c r="Y94" s="19" t="str">
        <x:v>1.669261770767538e-06</x:v>
      </x:c>
      <x:c r="Z94" s="25" t="n">
        <x:v>2022</x:v>
      </x:c>
      <x:c r="AA94" s="19" t="str">
        <x:v>AVAILABLE</x:v>
      </x:c>
      <x:c r="AB94" s="19" t="str">
        <x:v>AVAILABLE</x:v>
      </x:c>
      <x:c r="AC94" s="43" t="str">
        <x:v>Climate/temperature-linked lexical frequency; still not evidence of reception, voice, or affect without passage review.</x:v>
      </x:c>
    </x:row>
    <x:row r="95" ht="24" customHeight="1">
      <x:c r="A95" s="40" t="str">
        <x:v>FT-Q-V01-091</x:v>
      </x:c>
      <x:c r="B95" s="31" t="str">
        <x:v>climate resilience</x:v>
      </x:c>
      <x:c r="C95" s="31" t="str">
        <x:v>generic damage</x:v>
      </x:c>
      <x:c r="D95" s="31" t="str">
        <x:v>harm_loss_consequences</x:v>
      </x:c>
      <x:c r="E95" s="19" t="str">
        <x:v>D</x:v>
      </x:c>
      <x:c r="F95" s="19" t="str">
        <x:v>EXECUTABLE_NGRAM</x:v>
      </x:c>
      <x:c r="G95" s="19" t="str">
        <x:v>CONTEXT_REQUIRED</x:v>
      </x:c>
      <x:c r="H95" s="19" t="str">
        <x:v>eng</x:v>
      </x:c>
      <x:c r="I95" s="19" t="str">
        <x:v>current English corpus (July 2024 dataset; public shorthand eng; mutable current corpus)</x:v>
      </x:c>
      <x:c r="J95" s="19" t="str">
        <x:v>1842</x:v>
      </x:c>
      <x:c r="K95" s="19" t="str">
        <x:v>2022</x:v>
      </x:c>
      <x:c r="L95" s="25" t="n">
        <x:v>1901</x:v>
      </x:c>
      <x:c r="M95" s="25" t="n">
        <x:v>30</x:v>
      </x:c>
      <x:c r="N95" s="25" t="n">
        <x:v>2022</x:v>
      </x:c>
      <x:c r="O95" s="46" t="n">
        <x:v>2.377892628357969e-7</x:v>
      </x:c>
      <x:c r="P95" s="19" t="str">
        <x:v>2.377892628357969e-07</x:v>
      </x:c>
      <x:c r="Q95" s="19" t="str">
        <x:v>0</x:v>
      </x:c>
      <x:c r="R95" s="19" t="str">
        <x:v>0</x:v>
      </x:c>
      <x:c r="S95" s="19" t="str">
        <x:v>0</x:v>
      </x:c>
      <x:c r="T95" s="19" t="str">
        <x:v>7.782892767760341e-10</x:v>
      </x:c>
      <x:c r="U95" s="19" t="str">
        <x:v>1.07941033888892e-09</x:v>
      </x:c>
      <x:c r="V95" s="46" t="n">
        <x:v>9.288498078324769e-10</x:v>
      </x:c>
      <x:c r="W95" s="19" t="str">
        <x:v>6.192725596904092e-08</x:v>
      </x:c>
      <x:c r="X95" s="19" t="str">
        <x:v>2.377892628357969e-07</x:v>
      </x:c>
      <x:c r="Y95" s="19" t="str">
        <x:v>2.377892628357969e-07</x:v>
      </x:c>
      <x:c r="Z95" s="25" t="n">
        <x:v>2022</x:v>
      </x:c>
      <x:c r="AA95" s="19" t="str">
        <x:v>AVAILABLE</x:v>
      </x:c>
      <x:c r="AB95" s="19" t="str">
        <x:v>AVAILABLE</x:v>
      </x:c>
      <x:c r="AC95" s="43" t="str">
        <x:v>Climate/temperature-linked lexical frequency; still not evidence of reception, voice, or affect without passage review.</x:v>
      </x:c>
    </x:row>
    <x:row r="96" ht="24" customHeight="1">
      <x:c r="A96" s="40" t="str">
        <x:v>FT-Q-V01-092</x:v>
      </x:c>
      <x:c r="B96" s="31" t="str">
        <x:v>vulnerability</x:v>
      </x:c>
      <x:c r="C96" s="31" t="str">
        <x:v>vulnerability</x:v>
      </x:c>
      <x:c r="D96" s="31" t="str">
        <x:v>harm_loss_consequences</x:v>
      </x:c>
      <x:c r="E96" s="19" t="str">
        <x:v>D</x:v>
      </x:c>
      <x:c r="F96" s="19" t="str">
        <x:v>EXECUTABLE_NGRAM</x:v>
      </x:c>
      <x:c r="G96" s="19" t="str">
        <x:v>CONTEXT_REQUIRED</x:v>
      </x:c>
      <x:c r="H96" s="19" t="str">
        <x:v>eng</x:v>
      </x:c>
      <x:c r="I96" s="19" t="str">
        <x:v>current English corpus (July 2024 dataset; public shorthand eng; mutable current corpus)</x:v>
      </x:c>
      <x:c r="J96" s="19" t="str">
        <x:v>1842</x:v>
      </x:c>
      <x:c r="K96" s="19" t="str">
        <x:v>2022</x:v>
      </x:c>
      <x:c r="L96" s="25" t="n">
        <x:v>1842</x:v>
      </x:c>
      <x:c r="M96" s="25" t="n">
        <x:v>181</x:v>
      </x:c>
      <x:c r="N96" s="25" t="n">
        <x:v>2021</x:v>
      </x:c>
      <x:c r="O96" s="46" t="n">
        <x:v>0.00001211419347413312</x:v>
      </x:c>
      <x:c r="P96" s="19" t="str">
        <x:v>1.17803589603227e-05</x:v>
      </x:c>
      <x:c r="Q96" s="19" t="str">
        <x:v>4.866453906515744e-09</x:v>
      </x:c>
      <x:c r="R96" s="19" t="str">
        <x:v>3.175859246695723e-07</x:v>
      </x:c>
      <x:c r="S96" s="19" t="str">
        <x:v>3.529738691554485e-06</x:v>
      </x:c>
      <x:c r="T96" s="19" t="str">
        <x:v>7.107033283659803e-06</x:v>
      </x:c>
      <x:c r="U96" s="19" t="str">
        <x:v>7.274388785560859e-06</x:v>
      </x:c>
      <x:c r="V96" s="46" t="n">
        <x:v>0.000007190711034610331</x:v>
      </x:c>
      <x:c r="W96" s="19" t="str">
        <x:v>9.355508542086e-06</x:v>
      </x:c>
      <x:c r="X96" s="19" t="str">
        <x:v>1.17803589603227e-05</x:v>
      </x:c>
      <x:c r="Y96" s="19" t="str">
        <x:v>1.17803589603227e-05</x:v>
      </x:c>
      <x:c r="Z96" s="25" t="n">
        <x:v>2022</x:v>
      </x:c>
      <x:c r="AA96" s="19" t="str">
        <x:v>AVAILABLE</x:v>
      </x:c>
      <x:c r="AB96" s="19" t="str">
        <x:v>AVAILABLE</x:v>
      </x:c>
      <x:c r="AC96" s="43" t="str">
        <x:v>Climate/temperature-linked lexical frequency; still not evidence of reception, voice, or affect without passage review.</x:v>
      </x:c>
    </x:row>
    <x:row r="97" ht="24" customHeight="1">
      <x:c r="A97" s="40" t="str">
        <x:v>FT-Q-V01-093</x:v>
      </x:c>
      <x:c r="B97" s="31" t="str">
        <x:v>vulnerable groups</x:v>
      </x:c>
      <x:c r="C97" s="31" t="str">
        <x:v>vulnerability</x:v>
      </x:c>
      <x:c r="D97" s="31" t="str">
        <x:v>harm_loss_consequences</x:v>
      </x:c>
      <x:c r="E97" s="19" t="str">
        <x:v>D</x:v>
      </x:c>
      <x:c r="F97" s="19" t="str">
        <x:v>EXECUTABLE_NGRAM</x:v>
      </x:c>
      <x:c r="G97" s="19" t="str">
        <x:v>CONTEXT_REQUIRED</x:v>
      </x:c>
      <x:c r="H97" s="19" t="str">
        <x:v>eng</x:v>
      </x:c>
      <x:c r="I97" s="19" t="str">
        <x:v>current English corpus (July 2024 dataset; public shorthand eng; mutable current corpus)</x:v>
      </x:c>
      <x:c r="J97" s="19" t="str">
        <x:v>1842</x:v>
      </x:c>
      <x:c r="K97" s="19" t="str">
        <x:v>2022</x:v>
      </x:c>
      <x:c r="L97" s="25" t="n">
        <x:v>1869</x:v>
      </x:c>
      <x:c r="M97" s="25" t="n">
        <x:v>117</x:v>
      </x:c>
      <x:c r="N97" s="25" t="n">
        <x:v>2022</x:v>
      </x:c>
      <x:c r="O97" s="46" t="n">
        <x:v>6.561656151760076e-7</x:v>
      </x:c>
      <x:c r="P97" s="19" t="str">
        <x:v>6.561656151760076e-07</x:v>
      </x:c>
      <x:c r="Q97" s="19" t="str">
        <x:v>0</x:v>
      </x:c>
      <x:c r="R97" s="19" t="str">
        <x:v>2.561554898750096e-09</x:v>
      </x:c>
      <x:c r="S97" s="19" t="str">
        <x:v>1.830589990703402e-07</x:v>
      </x:c>
      <x:c r="T97" s="19" t="str">
        <x:v>5.319378349119552e-07</x:v>
      </x:c>
      <x:c r="U97" s="19" t="str">
        <x:v>4.877135600170335e-07</x:v>
      </x:c>
      <x:c r="V97" s="46" t="n">
        <x:v>5.098256974644944e-7</x:v>
      </x:c>
      <x:c r="W97" s="19" t="str">
        <x:v>4.145763595753138e-07</x:v>
      </x:c>
      <x:c r="X97" s="19" t="str">
        <x:v>6.561656151760076e-07</x:v>
      </x:c>
      <x:c r="Y97" s="19" t="str">
        <x:v>6.561656151760076e-07</x:v>
      </x:c>
      <x:c r="Z97" s="25" t="n">
        <x:v>2022</x:v>
      </x:c>
      <x:c r="AA97" s="19" t="str">
        <x:v>AVAILABLE</x:v>
      </x:c>
      <x:c r="AB97" s="19" t="str">
        <x:v>AVAILABLE</x:v>
      </x:c>
      <x:c r="AC97" s="43" t="str">
        <x:v>Climate/temperature-linked lexical frequency; still not evidence of reception, voice, or affect without passage review.</x:v>
      </x:c>
    </x:row>
    <x:row r="98" ht="24" customHeight="1">
      <x:c r="A98" s="40" t="str">
        <x:v>FT-Q-V01-094</x:v>
      </x:c>
      <x:c r="B98" s="31" t="str">
        <x:v>loss and damage</x:v>
      </x:c>
      <x:c r="C98" s="31" t="str">
        <x:v>loss and damage</x:v>
      </x:c>
      <x:c r="D98" s="31" t="str">
        <x:v>harm_loss_consequences</x:v>
      </x:c>
      <x:c r="E98" s="19" t="str">
        <x:v>D</x:v>
      </x:c>
      <x:c r="F98" s="19" t="str">
        <x:v>EXECUTABLE_NGRAM</x:v>
      </x:c>
      <x:c r="G98" s="19" t="str">
        <x:v>CLIMATE_SPECIFIC</x:v>
      </x:c>
      <x:c r="H98" s="19" t="str">
        <x:v>eng</x:v>
      </x:c>
      <x:c r="I98" s="19" t="str">
        <x:v>current English corpus (July 2024 dataset; public shorthand eng; mutable current corpus)</x:v>
      </x:c>
      <x:c r="J98" s="19" t="str">
        <x:v>1842</x:v>
      </x:c>
      <x:c r="K98" s="19" t="str">
        <x:v>2022</x:v>
      </x:c>
      <x:c r="L98" s="25" t="n">
        <x:v>1842</x:v>
      </x:c>
      <x:c r="M98" s="25" t="n">
        <x:v>181</x:v>
      </x:c>
      <x:c r="N98" s="25" t="n">
        <x:v>1947</x:v>
      </x:c>
      <x:c r="O98" s="46" t="n">
        <x:v>0.000001543076207422001</x:v>
      </x:c>
      <x:c r="P98" s="19" t="str">
        <x:v>1.615246781744295e-07</x:v>
      </x:c>
      <x:c r="Q98" s="19" t="str">
        <x:v>1.379619247732222e-07</x:v>
      </x:c>
      <x:c r="R98" s="19" t="str">
        <x:v>8.379211266507092e-07</x:v>
      </x:c>
      <x:c r="S98" s="19" t="str">
        <x:v>1.054715317444499e-07</x:v>
      </x:c>
      <x:c r="T98" s="19" t="str">
        <x:v>7.471193348013161e-08</x:v>
      </x:c>
      <x:c r="U98" s="19" t="str">
        <x:v>7.050587146062437e-08</x:v>
      </x:c>
      <x:c r="V98" s="46" t="n">
        <x:v>7.260890247037799e-8</x:v>
      </x:c>
      <x:c r="W98" s="19" t="str">
        <x:v>8.407788263178895e-08</x:v>
      </x:c>
      <x:c r="X98" s="19" t="str">
        <x:v>1.615246781744295e-07</x:v>
      </x:c>
      <x:c r="Y98" s="19" t="str">
        <x:v>1.615246781744295e-07</x:v>
      </x:c>
      <x:c r="Z98" s="25" t="n">
        <x:v>2022</x:v>
      </x:c>
      <x:c r="AA98" s="19" t="str">
        <x:v>AVAILABLE</x:v>
      </x:c>
      <x:c r="AB98" s="19" t="str">
        <x:v>AVAILABLE</x:v>
      </x:c>
      <x:c r="AC98" s="43" t="str">
        <x:v>Climate/temperature-linked lexical frequency; still not evidence of reception, voice, or affect without passage review.</x:v>
      </x:c>
    </x:row>
    <x:row r="99" ht="24" customHeight="1">
      <x:c r="A99" s="40" t="str">
        <x:v>FT-Q-V01-095</x:v>
      </x:c>
      <x:c r="B99" s="31" t="str">
        <x:v>extreme weather events</x:v>
      </x:c>
      <x:c r="C99" s="31" t="str">
        <x:v>generic damage</x:v>
      </x:c>
      <x:c r="D99" s="31" t="str">
        <x:v>harm_loss_consequences</x:v>
      </x:c>
      <x:c r="E99" s="19" t="str">
        <x:v>D</x:v>
      </x:c>
      <x:c r="F99" s="19" t="str">
        <x:v>EXECUTABLE_NGRAM</x:v>
      </x:c>
      <x:c r="G99" s="19" t="str">
        <x:v>CONTEXT_REQUIRED</x:v>
      </x:c>
      <x:c r="H99" s="19" t="str">
        <x:v>eng</x:v>
      </x:c>
      <x:c r="I99" s="19" t="str">
        <x:v>current English corpus (July 2024 dataset; public shorthand eng; mutable current corpus)</x:v>
      </x:c>
      <x:c r="J99" s="19" t="str">
        <x:v>1842</x:v>
      </x:c>
      <x:c r="K99" s="19" t="str">
        <x:v>2022</x:v>
      </x:c>
      <x:c r="L99" s="25" t="n">
        <x:v>1843</x:v>
      </x:c>
      <x:c r="M99" s="25" t="n">
        <x:v>85</x:v>
      </x:c>
      <x:c r="N99" s="25" t="n">
        <x:v>2022</x:v>
      </x:c>
      <x:c r="O99" s="46" t="n">
        <x:v>4.511812501384327e-7</x:v>
      </x:c>
      <x:c r="P99" s="19" t="str">
        <x:v>4.511812501384327e-07</x:v>
      </x:c>
      <x:c r="Q99" s="19" t="str">
        <x:v>0</x:v>
      </x:c>
      <x:c r="R99" s="19" t="str">
        <x:v>0</x:v>
      </x:c>
      <x:c r="S99" s="19" t="str">
        <x:v>3.405795367950049e-09</x:v>
      </x:c>
      <x:c r="T99" s="19" t="str">
        <x:v>8.521520449000786e-08</x:v>
      </x:c>
      <x:c r="U99" s="19" t="str">
        <x:v>1.065605648165047e-07</x:v>
      </x:c>
      <x:c r="V99" s="46" t="n">
        <x:v>9.588788465325626e-8</x:v>
      </x:c>
      <x:c r="W99" s="19" t="str">
        <x:v>2.641805035841216e-07</x:v>
      </x:c>
      <x:c r="X99" s="19" t="str">
        <x:v>4.511812501384327e-07</x:v>
      </x:c>
      <x:c r="Y99" s="19" t="str">
        <x:v>4.511812501384327e-07</x:v>
      </x:c>
      <x:c r="Z99" s="25" t="n">
        <x:v>2022</x:v>
      </x:c>
      <x:c r="AA99" s="19" t="str">
        <x:v>AVAILABLE</x:v>
      </x:c>
      <x:c r="AB99" s="19" t="str">
        <x:v>AVAILABLE</x:v>
      </x:c>
      <x:c r="AC99" s="43" t="str">
        <x:v>Climate/temperature-linked lexical frequency; still not evidence of reception, voice, or affect without passage review.</x:v>
      </x:c>
    </x:row>
    <x:row r="100" ht="24" customHeight="1">
      <x:c r="A100" s="40" t="str">
        <x:v>FT-Q-V01-096</x:v>
      </x:c>
      <x:c r="B100" s="31" t="str">
        <x:v>slow onset events</x:v>
      </x:c>
      <x:c r="C100" s="31" t="str">
        <x:v>generic damage</x:v>
      </x:c>
      <x:c r="D100" s="31" t="str">
        <x:v>harm_loss_consequences</x:v>
      </x:c>
      <x:c r="E100" s="19" t="str">
        <x:v>D</x:v>
      </x:c>
      <x:c r="F100" s="19" t="str">
        <x:v>EXECUTABLE_NGRAM</x:v>
      </x:c>
      <x:c r="G100" s="19" t="str">
        <x:v>CONTEXT_REQUIRED</x:v>
      </x:c>
      <x:c r="H100" s="19" t="str">
        <x:v>eng</x:v>
      </x:c>
      <x:c r="I100" s="19" t="str">
        <x:v>current English corpus (July 2024 dataset; public shorthand eng; mutable current corpus)</x:v>
      </x:c>
      <x:c r="J100" s="19" t="str">
        <x:v>1842</x:v>
      </x:c>
      <x:c r="K100" s="19" t="str">
        <x:v>2022</x:v>
      </x:c>
      <x:c r="L100" s="25" t="n">
        <x:v>1964</x:v>
      </x:c>
      <x:c r="M100" s="25" t="n">
        <x:v>25</x:v>
      </x:c>
      <x:c r="N100" s="25" t="n">
        <x:v>2021</x:v>
      </x:c>
      <x:c r="O100" s="46" t="n">
        <x:v>7.283442959860054e-9</x:v>
      </x:c>
      <x:c r="P100" s="19" t="str">
        <x:v>5.013650494767319e-09</x:v>
      </x:c>
      <x:c r="Q100" s="19" t="str">
        <x:v>0</x:v>
      </x:c>
      <x:c r="R100" s="19" t="str">
        <x:v>0</x:v>
      </x:c>
      <x:c r="S100" s="19" t="str">
        <x:v>0</x:v>
      </x:c>
      <x:c r="T100" s="19" t="str">
        <x:v>2.477186233917905e-10</x:v>
      </x:c>
      <x:c r="U100" s="19" t="str">
        <x:v>4.859122965106266e-10</x:v>
      </x:c>
      <x:c r="V100" s="46" t="n">
        <x:v>3.668154599512086e-10</x:v>
      </x:c>
      <x:c r="W100" s="19" t="str">
        <x:v>2.049460948172488e-09</x:v>
      </x:c>
      <x:c r="X100" s="19" t="str">
        <x:v>5.013650494767319e-09</x:v>
      </x:c>
      <x:c r="Y100" s="19" t="str">
        <x:v>5.013650494767319e-09</x:v>
      </x:c>
      <x:c r="Z100" s="25" t="n">
        <x:v>2022</x:v>
      </x:c>
      <x:c r="AA100" s="19" t="str">
        <x:v>AVAILABLE</x:v>
      </x:c>
      <x:c r="AB100" s="19" t="str">
        <x:v>AVAILABLE</x:v>
      </x:c>
      <x:c r="AC100" s="43" t="str">
        <x:v>Climate/temperature-linked lexical frequency; still not evidence of reception, voice, or affect without passage review.</x:v>
      </x:c>
    </x:row>
    <x:row r="101" ht="24" customHeight="1">
      <x:c r="A101" s="40" t="str">
        <x:v>FT-Q-V01-097</x:v>
      </x:c>
      <x:c r="B101" s="31" t="str">
        <x:v>risk of loss and damage</x:v>
      </x:c>
      <x:c r="C101" s="31" t="str">
        <x:v>administrative risk assessment</x:v>
      </x:c>
      <x:c r="D101" s="31" t="str">
        <x:v>risk</x:v>
      </x:c>
      <x:c r="E101" s="19" t="str">
        <x:v>D</x:v>
      </x:c>
      <x:c r="F101" s="19" t="str">
        <x:v>EXECUTABLE_NGRAM</x:v>
      </x:c>
      <x:c r="G101" s="19" t="str">
        <x:v>CONTEXT_REQUIRED</x:v>
      </x:c>
      <x:c r="H101" s="19" t="str">
        <x:v>eng</x:v>
      </x:c>
      <x:c r="I101" s="19" t="str">
        <x:v>current English corpus (July 2024 dataset; public shorthand eng; mutable current corpus)</x:v>
      </x:c>
      <x:c r="J101" s="19" t="str">
        <x:v>1842</x:v>
      </x:c>
      <x:c r="K101" s="19" t="str">
        <x:v>2022</x:v>
      </x:c>
      <x:c r="L101" s="25" t="n">
        <x:v>1842</x:v>
      </x:c>
      <x:c r="M101" s="25" t="n">
        <x:v>165</x:v>
      </x:c>
      <x:c r="N101" s="25" t="n">
        <x:v>1956</x:v>
      </x:c>
      <x:c r="O101" s="46" t="n">
        <x:v>7.821105985073018e-9</x:v>
      </x:c>
      <x:c r="P101" s="19" t="str">
        <x:v>2.065858161620637e-09</x:v>
      </x:c>
      <x:c r="Q101" s="19" t="str">
        <x:v>7.81099351865322e-10</x:v>
      </x:c>
      <x:c r="R101" s="19" t="str">
        <x:v>5.767837332748549e-09</x:v>
      </x:c>
      <x:c r="S101" s="19" t="str">
        <x:v>6.516700790104579e-10</x:v>
      </x:c>
      <x:c r="T101" s="19" t="str">
        <x:v>8.152023084351256e-10</x:v>
      </x:c>
      <x:c r="U101" s="19" t="str">
        <x:v>6.262282359337235e-10</x:v>
      </x:c>
      <x:c r="V101" s="46" t="n">
        <x:v>7.207152721844245e-10</x:v>
      </x:c>
      <x:c r="W101" s="19" t="str">
        <x:v>9.214118357192547e-10</x:v>
      </x:c>
      <x:c r="X101" s="19" t="str">
        <x:v>2.065858161620637e-09</x:v>
      </x:c>
      <x:c r="Y101" s="19" t="str">
        <x:v>2.065858161620637e-09</x:v>
      </x:c>
      <x:c r="Z101" s="25" t="n">
        <x:v>2022</x:v>
      </x:c>
      <x:c r="AA101" s="19" t="str">
        <x:v>AVAILABLE</x:v>
      </x:c>
      <x:c r="AB101" s="19" t="str">
        <x:v>AVAILABLE</x:v>
      </x:c>
      <x:c r="AC101" s="43" t="str">
        <x:v>Climate/temperature-linked lexical frequency; still not evidence of reception, voice, or affect without passage review.</x:v>
      </x:c>
    </x:row>
    <x:row r="102" ht="24" customHeight="1">
      <x:c r="A102" s="40" t="str">
        <x:v>FT-Q-V01-098</x:v>
      </x:c>
      <x:c r="B102" s="31" t="str">
        <x:v>early warning systems</x:v>
      </x:c>
      <x:c r="C102" s="31" t="str">
        <x:v>generic damage</x:v>
      </x:c>
      <x:c r="D102" s="31" t="str">
        <x:v>harm_loss_consequences</x:v>
      </x:c>
      <x:c r="E102" s="19" t="str">
        <x:v>D</x:v>
      </x:c>
      <x:c r="F102" s="19" t="str">
        <x:v>EXECUTABLE_NGRAM</x:v>
      </x:c>
      <x:c r="G102" s="19" t="str">
        <x:v>CONTEXT_REQUIRED</x:v>
      </x:c>
      <x:c r="H102" s="19" t="str">
        <x:v>eng</x:v>
      </x:c>
      <x:c r="I102" s="19" t="str">
        <x:v>current English corpus (July 2024 dataset; public shorthand eng; mutable current corpus)</x:v>
      </x:c>
      <x:c r="J102" s="19" t="str">
        <x:v>1842</x:v>
      </x:c>
      <x:c r="K102" s="19" t="str">
        <x:v>2022</x:v>
      </x:c>
      <x:c r="L102" s="25" t="n">
        <x:v>1869</x:v>
      </x:c>
      <x:c r="M102" s="25" t="n">
        <x:v>99</x:v>
      </x:c>
      <x:c r="N102" s="25" t="n">
        <x:v>2022</x:v>
      </x:c>
      <x:c r="O102" s="46" t="n">
        <x:v>2.00640613789993e-7</x:v>
      </x:c>
      <x:c r="P102" s="19" t="str">
        <x:v>2.00640613789993e-07</x:v>
      </x:c>
      <x:c r="Q102" s="19" t="str">
        <x:v>0</x:v>
      </x:c>
      <x:c r="R102" s="19" t="str">
        <x:v>0</x:v>
      </x:c>
      <x:c r="S102" s="19" t="str">
        <x:v>9.379452314828285e-08</x:v>
      </x:c>
      <x:c r="T102" s="19" t="str">
        <x:v>1.387224217164196e-07</x:v>
      </x:c>
      <x:c r="U102" s="19" t="str">
        <x:v>1.297385822940367e-07</x:v>
      </x:c>
      <x:c r="V102" s="46" t="n">
        <x:v>1.342305020052281e-7</x:v>
      </x:c>
      <x:c r="W102" s="19" t="str">
        <x:v>1.42312563317093e-07</x:v>
      </x:c>
      <x:c r="X102" s="19" t="str">
        <x:v>2.00640613789993e-07</x:v>
      </x:c>
      <x:c r="Y102" s="19" t="str">
        <x:v>2.00640613789993e-07</x:v>
      </x:c>
      <x:c r="Z102" s="25" t="n">
        <x:v>2022</x:v>
      </x:c>
      <x:c r="AA102" s="19" t="str">
        <x:v>AVAILABLE</x:v>
      </x:c>
      <x:c r="AB102" s="19" t="str">
        <x:v>AVAILABLE</x:v>
      </x:c>
      <x:c r="AC102" s="43" t="str">
        <x:v>Climate/temperature-linked lexical frequency; still not evidence of reception, voice, or affect without passage review.</x:v>
      </x:c>
    </x:row>
    <x:row r="103" ht="24" customHeight="1">
      <x:c r="A103" s="40" t="str">
        <x:v>FT-Q-V01-099</x:v>
      </x:c>
      <x:c r="B103" s="31" t="str">
        <x:v>emergency preparedness</x:v>
      </x:c>
      <x:c r="C103" s="31" t="str">
        <x:v>emergency response category</x:v>
      </x:c>
      <x:c r="D103" s="31" t="str">
        <x:v>crisis_emergency</x:v>
      </x:c>
      <x:c r="E103" s="19" t="str">
        <x:v>D</x:v>
      </x:c>
      <x:c r="F103" s="19" t="str">
        <x:v>EXECUTABLE_NGRAM</x:v>
      </x:c>
      <x:c r="G103" s="19" t="str">
        <x:v>CONTEXT_REQUIRED</x:v>
      </x:c>
      <x:c r="H103" s="19" t="str">
        <x:v>eng</x:v>
      </x:c>
      <x:c r="I103" s="19" t="str">
        <x:v>current English corpus (July 2024 dataset; public shorthand eng; mutable current corpus)</x:v>
      </x:c>
      <x:c r="J103" s="19" t="str">
        <x:v>1842</x:v>
      </x:c>
      <x:c r="K103" s="19" t="str">
        <x:v>2022</x:v>
      </x:c>
      <x:c r="L103" s="25" t="n">
        <x:v>1847</x:v>
      </x:c>
      <x:c r="M103" s="25" t="n">
        <x:v>122</x:v>
      </x:c>
      <x:c r="N103" s="25" t="n">
        <x:v>1986</x:v>
      </x:c>
      <x:c r="O103" s="46" t="n">
        <x:v>0.000002826408131394176</x:v>
      </x:c>
      <x:c r="P103" s="19" t="str">
        <x:v>2.663239674349782e-07</x:v>
      </x:c>
      <x:c r="Q103" s="19" t="str">
        <x:v>0</x:v>
      </x:c>
      <x:c r="R103" s="19" t="str">
        <x:v>3.563902506442673e-09</x:v>
      </x:c>
      <x:c r="S103" s="19" t="str">
        <x:v>1.046481490560303e-06</x:v>
      </x:c>
      <x:c r="T103" s="19" t="str">
        <x:v>8.403235325082914e-07</x:v>
      </x:c>
      <x:c r="U103" s="19" t="str">
        <x:v>7.499652697369463e-07</x:v>
      </x:c>
      <x:c r="V103" s="46" t="n">
        <x:v>7.951444011226189e-7</x:v>
      </x:c>
      <x:c r="W103" s="19" t="str">
        <x:v>3.295314575553487e-07</x:v>
      </x:c>
      <x:c r="X103" s="19" t="str">
        <x:v>2.663239674349782e-07</x:v>
      </x:c>
      <x:c r="Y103" s="19" t="str">
        <x:v>2.663239674349782e-07</x:v>
      </x:c>
      <x:c r="Z103" s="25" t="n">
        <x:v>2022</x:v>
      </x:c>
      <x:c r="AA103" s="19" t="str">
        <x:v>AVAILABLE</x:v>
      </x:c>
      <x:c r="AB103" s="19" t="str">
        <x:v>AVAILABLE</x:v>
      </x:c>
      <x:c r="AC103" s="43" t="str">
        <x:v>Climate/temperature-linked lexical frequency; still not evidence of reception, voice, or affect without passage review.</x:v>
      </x:c>
    </x:row>
    <x:row r="104" ht="24" customHeight="1">
      <x:c r="A104" s="40" t="str">
        <x:v>FT-Q-V01-100</x:v>
      </x:c>
      <x:c r="B104" s="31" t="str">
        <x:v>irreversible and permanent loss and damage</x:v>
      </x:c>
      <x:c r="C104" s="31" t="str">
        <x:v>loss and damage</x:v>
      </x:c>
      <x:c r="D104" s="31" t="str">
        <x:v>harm_loss_consequences</x:v>
      </x:c>
      <x:c r="E104" s="19" t="str">
        <x:v>D</x:v>
      </x:c>
      <x:c r="F104" s="19" t="str">
        <x:v>EXECUTABLE_NGRAM</x:v>
      </x:c>
      <x:c r="G104" s="19" t="str">
        <x:v>CONTEXT_REQUIRED</x:v>
      </x:c>
      <x:c r="H104" s="19" t="str">
        <x:v>eng</x:v>
      </x:c>
      <x:c r="I104" s="19" t="str">
        <x:v>current English corpus (July 2024 dataset; public shorthand eng; mutable current corpus)</x:v>
      </x:c>
      <x:c r="J104" s="19" t="str">
        <x:v>1842</x:v>
      </x:c>
      <x:c r="K104" s="19" t="str">
        <x:v>2022</x:v>
      </x:c>
      <x:c r="L104" s="25" t="n">
        <x:v>2015</x:v>
      </x:c>
      <x:c r="M104" s="25" t="n">
        <x:v>8</x:v>
      </x:c>
      <x:c r="N104" s="25" t="n">
        <x:v>2021</x:v>
      </x:c>
      <x:c r="O104" s="46" t="n">
        <x:v>8.163354991985727e-10</x:v>
      </x:c>
      <x:c r="P104" s="19" t="str">
        <x:v>6.393428564344106e-10</x:v>
      </x:c>
      <x:c r="Q104" s="19" t="str">
        <x:v>0</x:v>
      </x:c>
      <x:c r="R104" s="19" t="str">
        <x:v>0</x:v>
      </x:c>
      <x:c r="S104" s="19" t="str">
        <x:v>0</x:v>
      </x:c>
      <x:c r="T104" s="19" t="str">
        <x:v>0</x:v>
      </x:c>
      <x:c r="U104" s="19" t="str">
        <x:v>0</x:v>
      </x:c>
      <x:c r="V104" s="46" t="n">
        <x:v>0</x:v>
      </x:c>
      <x:c r="W104" s="19" t="str">
        <x:v>6.163167892703214e-11</x:v>
      </x:c>
      <x:c r="X104" s="19" t="str">
        <x:v>6.393428564344106e-10</x:v>
      </x:c>
      <x:c r="Y104" s="19" t="str">
        <x:v>6.393428564344106e-10</x:v>
      </x:c>
      <x:c r="Z104" s="25" t="n">
        <x:v>2022</x:v>
      </x:c>
      <x:c r="AA104" s="19" t="str">
        <x:v>SPARSE</x:v>
      </x:c>
      <x:c r="AB104" s="19" t="str">
        <x:v>AVAILABLE</x:v>
      </x:c>
      <x:c r="AC104" s="43" t="str">
        <x:v>Climate/temperature-linked lexical frequency; still not evidence of reception, voice, or affect without passage review.</x:v>
      </x:c>
    </x:row>
    <x:row r="105" ht="24" customHeight="1">
      <x:c r="A105" s="40" t="str">
        <x:v>FT-Q-V01-101</x:v>
      </x:c>
      <x:c r="B105" s="31" t="str">
        <x:v>climate change</x:v>
      </x:c>
      <x:c r="C105" s="31" t="str">
        <x:v>modern climate change</x:v>
      </x:c>
      <x:c r="D105" s="31" t="str">
        <x:v>climate</x:v>
      </x:c>
      <x:c r="E105" s="19" t="str">
        <x:v>B</x:v>
      </x:c>
      <x:c r="F105" s="19" t="str">
        <x:v>EXECUTABLE_NGRAM</x:v>
      </x:c>
      <x:c r="G105" s="19" t="str">
        <x:v>CLIMATE_SPECIFIC</x:v>
      </x:c>
      <x:c r="H105" s="19" t="str">
        <x:v>eng</x:v>
      </x:c>
      <x:c r="I105" s="19" t="str">
        <x:v>current English corpus (July 2024 dataset; public shorthand eng; mutable current corpus)</x:v>
      </x:c>
      <x:c r="J105" s="19" t="str">
        <x:v>1842</x:v>
      </x:c>
      <x:c r="K105" s="19" t="str">
        <x:v>2022</x:v>
      </x:c>
      <x:c r="L105" s="25" t="n">
        <x:v>1842</x:v>
      </x:c>
      <x:c r="M105" s="25" t="n">
        <x:v>180</x:v>
      </x:c>
      <x:c r="N105" s="25" t="n">
        <x:v>2022</x:v>
      </x:c>
      <x:c r="O105" s="46" t="n">
        <x:v>0.00002890008815206735</x:v>
      </x:c>
      <x:c r="P105" s="19" t="str">
        <x:v>2.890008815206735e-05</x:v>
      </x:c>
      <x:c r="Q105" s="19" t="str">
        <x:v>5.159906557583582e-09</x:v>
      </x:c>
      <x:c r="R105" s="19" t="str">
        <x:v>2.561554912627884e-09</x:v>
      </x:c>
      <x:c r="S105" s="19" t="str">
        <x:v>1.240793510930149e-06</x:v>
      </x:c>
      <x:c r="T105" s="19" t="str">
        <x:v>8.716473492563492e-06</x:v>
      </x:c>
      <x:c r="U105" s="19" t="str">
        <x:v>1.319138383155949e-05</x:v>
      </x:c>
      <x:c r="V105" s="46" t="n">
        <x:v>0.00001095392866206149</x:v>
      </x:c>
      <x:c r="W105" s="19" t="str">
        <x:v>1.967096413684616e-05</x:v>
      </x:c>
      <x:c r="X105" s="19" t="str">
        <x:v>2.890008815206735e-05</x:v>
      </x:c>
      <x:c r="Y105" s="19" t="str">
        <x:v>2.890008815206735e-05</x:v>
      </x:c>
      <x:c r="Z105" s="25" t="n">
        <x:v>2022</x:v>
      </x:c>
      <x:c r="AA105" s="19" t="str">
        <x:v>AVAILABLE</x:v>
      </x:c>
      <x:c r="AB105" s="19" t="str">
        <x:v>AVAILABLE</x:v>
      </x:c>
      <x:c r="AC105" s="43" t="str">
        <x:v>Climate/temperature-linked lexical frequency; still not evidence of reception, voice, or affect without passage review.</x:v>
      </x:c>
    </x:row>
    <x:row r="106" ht="24" customHeight="1">
      <x:c r="A106" s="40" t="str">
        <x:v>FT-Q-V01-102</x:v>
      </x:c>
      <x:c r="B106" s="31" t="str">
        <x:v>global warming</x:v>
      </x:c>
      <x:c r="C106" s="31" t="str">
        <x:v>global warming as issue label</x:v>
      </x:c>
      <x:c r="D106" s="31" t="str">
        <x:v>warming</x:v>
      </x:c>
      <x:c r="E106" s="19" t="str">
        <x:v>A</x:v>
      </x:c>
      <x:c r="F106" s="19" t="str">
        <x:v>EXECUTABLE_NGRAM</x:v>
      </x:c>
      <x:c r="G106" s="19" t="str">
        <x:v>CLIMATE_SPECIFIC</x:v>
      </x:c>
      <x:c r="H106" s="19" t="str">
        <x:v>eng</x:v>
      </x:c>
      <x:c r="I106" s="19" t="str">
        <x:v>current English corpus (July 2024 dataset; public shorthand eng; mutable current corpus)</x:v>
      </x:c>
      <x:c r="J106" s="19" t="str">
        <x:v>1842</x:v>
      </x:c>
      <x:c r="K106" s="19" t="str">
        <x:v>2022</x:v>
      </x:c>
      <x:c r="L106" s="25" t="n">
        <x:v>1843</x:v>
      </x:c>
      <x:c r="M106" s="25" t="n">
        <x:v>138</x:v>
      </x:c>
      <x:c r="N106" s="25" t="n">
        <x:v>2009</x:v>
      </x:c>
      <x:c r="O106" s="46" t="n">
        <x:v>0.000005445639571555194</x:v>
      </x:c>
      <x:c r="P106" s="19" t="str">
        <x:v>3.963670369644401e-06</x:v>
      </x:c>
      <x:c r="Q106" s="19" t="str">
        <x:v>0</x:v>
      </x:c>
      <x:c r="R106" s="19" t="str">
        <x:v>2.00469511824064e-09</x:v>
      </x:c>
      <x:c r="S106" s="19" t="str">
        <x:v>6.400895369296222e-07</x:v>
      </x:c>
      <x:c r="T106" s="19" t="str">
        <x:v>3.39393631278162e-06</x:v>
      </x:c>
      <x:c r="U106" s="19" t="str">
        <x:v>4.96164442403968e-06</x:v>
      </x:c>
      <x:c r="V106" s="46" t="n">
        <x:v>0.00000417779036841065</x:v>
      </x:c>
      <x:c r="W106" s="19" t="str">
        <x:v>3.293586607857474e-06</x:v>
      </x:c>
      <x:c r="X106" s="19" t="str">
        <x:v>3.963670369644401e-06</x:v>
      </x:c>
      <x:c r="Y106" s="19" t="str">
        <x:v>3.963670369644401e-06</x:v>
      </x:c>
      <x:c r="Z106" s="25" t="n">
        <x:v>2022</x:v>
      </x:c>
      <x:c r="AA106" s="19" t="str">
        <x:v>AVAILABLE</x:v>
      </x:c>
      <x:c r="AB106" s="19" t="str">
        <x:v>AVAILABLE</x:v>
      </x:c>
      <x:c r="AC106" s="43" t="str">
        <x:v>Climate/temperature-linked lexical frequency; still not evidence of reception, voice, or affect without passage review.</x:v>
      </x:c>
    </x:row>
    <x:row r="107" ht="24" customHeight="1">
      <x:c r="A107" s="40" t="str">
        <x:v>FT-Q-V01-103</x:v>
      </x:c>
      <x:c r="B107" s="31" t="str">
        <x:v>very worried</x:v>
      </x:c>
      <x:c r="C107" s="31" t="str">
        <x:v>participant worry endorsement</x:v>
      </x:c>
      <x:c r="D107" s="31" t="str">
        <x:v>worry</x:v>
      </x:c>
      <x:c r="E107" s="19" t="str">
        <x:v>C</x:v>
      </x:c>
      <x:c r="F107" s="19" t="str">
        <x:v>EXECUTABLE_NGRAM</x:v>
      </x:c>
      <x:c r="G107" s="19" t="str">
        <x:v>CONTEXT_REQUIRED</x:v>
      </x:c>
      <x:c r="H107" s="19" t="str">
        <x:v>eng</x:v>
      </x:c>
      <x:c r="I107" s="19" t="str">
        <x:v>current English corpus (July 2024 dataset; public shorthand eng; mutable current corpus)</x:v>
      </x:c>
      <x:c r="J107" s="19" t="str">
        <x:v>1842</x:v>
      </x:c>
      <x:c r="K107" s="19" t="str">
        <x:v>2022</x:v>
      </x:c>
      <x:c r="L107" s="25" t="n">
        <x:v>1843</x:v>
      </x:c>
      <x:c r="M107" s="25" t="n">
        <x:v>167</x:v>
      </x:c>
      <x:c r="N107" s="25" t="n">
        <x:v>2020</x:v>
      </x:c>
      <x:c r="O107" s="46" t="n">
        <x:v>0.000001237675283025097</x:v>
      </x:c>
      <x:c r="P107" s="19" t="str">
        <x:v>3.79268325273463e-07</x:v>
      </x:c>
      <x:c r="Q107" s="19" t="str">
        <x:v>0</x:v>
      </x:c>
      <x:c r="R107" s="19" t="str">
        <x:v>5.757930103544862e-08</x:v>
      </x:c>
      <x:c r="S107" s="19" t="str">
        <x:v>1.573942034760467e-07</x:v>
      </x:c>
      <x:c r="T107" s="19" t="str">
        <x:v>2.430551577989326e-07</x:v>
      </x:c>
      <x:c r="U107" s="19" t="str">
        <x:v>2.654000055557493e-07</x:v>
      </x:c>
      <x:c r="V107" s="46" t="n">
        <x:v>2.542275816773409e-7</x:v>
      </x:c>
      <x:c r="W107" s="19" t="str">
        <x:v>4.244305496919898e-07</x:v>
      </x:c>
      <x:c r="X107" s="19" t="str">
        <x:v>3.79268325273463e-07</x:v>
      </x:c>
      <x:c r="Y107" s="19" t="str">
        <x:v>3.79268325273463e-07</x:v>
      </x:c>
      <x:c r="Z107" s="25" t="n">
        <x:v>2022</x:v>
      </x:c>
      <x:c r="AA107" s="19" t="str">
        <x:v>AVAILABLE</x:v>
      </x:c>
      <x:c r="AB107" s="19" t="str">
        <x:v>AVAILABLE</x:v>
      </x:c>
      <x:c r="AC107" s="43" t="str">
        <x:v>Climate/temperature-linked lexical frequency; still not evidence of reception, voice, or affect without passage review.</x:v>
      </x:c>
    </x:row>
    <x:row r="108" ht="24" customHeight="1">
      <x:c r="A108" s="40" t="str">
        <x:v>FT-Q-V01-104</x:v>
      </x:c>
      <x:c r="B108" s="31" t="str">
        <x:v>somewhat worried</x:v>
      </x:c>
      <x:c r="C108" s="31" t="str">
        <x:v>participant worry endorsement</x:v>
      </x:c>
      <x:c r="D108" s="31" t="str">
        <x:v>worry</x:v>
      </x:c>
      <x:c r="E108" s="19" t="str">
        <x:v>C</x:v>
      </x:c>
      <x:c r="F108" s="19" t="str">
        <x:v>EXECUTABLE_NGRAM</x:v>
      </x:c>
      <x:c r="G108" s="19" t="str">
        <x:v>CONTEXT_REQUIRED</x:v>
      </x:c>
      <x:c r="H108" s="19" t="str">
        <x:v>eng</x:v>
      </x:c>
      <x:c r="I108" s="19" t="str">
        <x:v>current English corpus (July 2024 dataset; public shorthand eng; mutable current corpus)</x:v>
      </x:c>
      <x:c r="J108" s="19" t="str">
        <x:v>1842</x:v>
      </x:c>
      <x:c r="K108" s="19" t="str">
        <x:v>2022</x:v>
      </x:c>
      <x:c r="L108" s="25" t="n">
        <x:v>1842</x:v>
      </x:c>
      <x:c r="M108" s="25" t="n">
        <x:v>172</x:v>
      </x:c>
      <x:c r="N108" s="25" t="n">
        <x:v>2020</x:v>
      </x:c>
      <x:c r="O108" s="46" t="n">
        <x:v>1.002190667918901e-7</x:v>
      </x:c>
      <x:c r="P108" s="19" t="str">
        <x:v>1.698810697670083e-08</x:v>
      </x:c>
      <x:c r="Q108" s="19" t="str">
        <x:v>1.289976681029259e-09</x:v>
      </x:c>
      <x:c r="R108" s="19" t="str">
        <x:v>1.046896380696438e-08</x:v>
      </x:c>
      <x:c r="S108" s="19" t="str">
        <x:v>8.686541097535638e-09</x:v>
      </x:c>
      <x:c r="T108" s="19" t="str">
        <x:v>1.190324738775672e-08</x:v>
      </x:c>
      <x:c r="U108" s="19" t="str">
        <x:v>1.241321874456691e-08</x:v>
      </x:c>
      <x:c r="V108" s="46" t="n">
        <x:v>1.215823306616182e-8</x:v>
      </x:c>
      <x:c r="W108" s="19" t="str">
        <x:v>1.569197416104173e-08</x:v>
      </x:c>
      <x:c r="X108" s="19" t="str">
        <x:v>1.698810697670083e-08</x:v>
      </x:c>
      <x:c r="Y108" s="19" t="str">
        <x:v>1.698810697670083e-08</x:v>
      </x:c>
      <x:c r="Z108" s="25" t="n">
        <x:v>2022</x:v>
      </x:c>
      <x:c r="AA108" s="19" t="str">
        <x:v>AVAILABLE</x:v>
      </x:c>
      <x:c r="AB108" s="19" t="str">
        <x:v>AVAILABLE</x:v>
      </x:c>
      <x:c r="AC108" s="43" t="str">
        <x:v>Climate/temperature-linked lexical frequency; still not evidence of reception, voice, or affect without passage review.</x:v>
      </x:c>
    </x:row>
    <x:row r="109" ht="24" customHeight="1">
      <x:c r="A109" s="40" t="str">
        <x:v>FT-Q-V01-105</x:v>
      </x:c>
      <x:c r="B109" s="31" t="str">
        <x:v>afraid</x:v>
      </x:c>
      <x:c r="C109" s="31" t="str">
        <x:v>participant afraid endorsement</x:v>
      </x:c>
      <x:c r="D109" s="31" t="str">
        <x:v>fear_afraid</x:v>
      </x:c>
      <x:c r="E109" s="19" t="str">
        <x:v>C</x:v>
      </x:c>
      <x:c r="F109" s="19" t="str">
        <x:v>BACKGROUND_AMBIGUOUS</x:v>
      </x:c>
      <x:c r="G109" s="19" t="str">
        <x:v>BACKGROUND_AMBIGUOUS</x:v>
      </x:c>
      <x:c r="H109" s="19" t="str">
        <x:v>eng</x:v>
      </x:c>
      <x:c r="I109" s="19" t="str">
        <x:v>current English corpus (July 2024 dataset; public shorthand eng; mutable current corpus)</x:v>
      </x:c>
      <x:c r="J109" s="19" t="str">
        <x:v>1842</x:v>
      </x:c>
      <x:c r="K109" s="19" t="str">
        <x:v>2022</x:v>
      </x:c>
      <x:c r="L109" s="25" t="n">
        <x:v>1842</x:v>
      </x:c>
      <x:c r="M109" s="25" t="n">
        <x:v>181</x:v>
      </x:c>
      <x:c r="N109" s="25" t="n">
        <x:v>2020</x:v>
      </x:c>
      <x:c r="O109" s="46" t="n">
        <x:v>0.00007990909915633893</x:v>
      </x:c>
      <x:c r="P109" s="19" t="str">
        <x:v>4.233809789883428e-05</x:v>
      </x:c>
      <x:c r="Q109" s="19" t="str">
        <x:v>2.212168256576774e-05</x:v>
      </x:c>
      <x:c r="R109" s="19" t="str">
        <x:v>1.400559003883473e-05</x:v>
      </x:c>
      <x:c r="S109" s="19" t="str">
        <x:v>1.09846374348882e-05</x:v>
      </x:c>
      <x:c r="T109" s="19" t="str">
        <x:v>1.976880774634537e-05</x:v>
      </x:c>
      <x:c r="U109" s="19" t="str">
        <x:v>2.159649101456107e-05</x:v>
      </x:c>
      <x:c r="V109" s="46" t="n">
        <x:v>0.00002068264938045322</x:v>
      </x:c>
      <x:c r="W109" s="19" t="str">
        <x:v>4.288384451456295e-05</x:v>
      </x:c>
      <x:c r="X109" s="19" t="str">
        <x:v>4.233809789883428e-05</x:v>
      </x:c>
      <x:c r="Y109" s="19" t="str">
        <x:v>4.233809789883428e-05</x:v>
      </x:c>
      <x:c r="Z109" s="25" t="n">
        <x:v>2022</x:v>
      </x:c>
      <x:c r="AA109" s="19" t="str">
        <x:v>AVAILABLE</x:v>
      </x:c>
      <x:c r="AB109" s="19" t="str">
        <x:v>AVAILABLE</x:v>
      </x:c>
      <x:c r="AC109" s="43" t="str">
        <x:v>Generic corpus string frequency; not climate-specific semantic frequency.</x:v>
      </x:c>
    </x:row>
    <x:row r="110" ht="24" customHeight="1">
      <x:c r="A110" s="40" t="str">
        <x:v>FT-Q-V01-106</x:v>
      </x:c>
      <x:c r="B110" s="31" t="str">
        <x:v>anxious</x:v>
      </x:c>
      <x:c r="C110" s="31" t="str">
        <x:v>anxious affect</x:v>
      </x:c>
      <x:c r="D110" s="31" t="str">
        <x:v>anxiety</x:v>
      </x:c>
      <x:c r="E110" s="19" t="str">
        <x:v>C</x:v>
      </x:c>
      <x:c r="F110" s="19" t="str">
        <x:v>EXECUTABLE_NGRAM</x:v>
      </x:c>
      <x:c r="G110" s="19" t="str">
        <x:v>CONTEXT_REQUIRED</x:v>
      </x:c>
      <x:c r="H110" s="19" t="str">
        <x:v>eng</x:v>
      </x:c>
      <x:c r="I110" s="19" t="str">
        <x:v>current English corpus (July 2024 dataset; public shorthand eng; mutable current corpus)</x:v>
      </x:c>
      <x:c r="J110" s="19" t="str">
        <x:v>1842</x:v>
      </x:c>
      <x:c r="K110" s="19" t="str">
        <x:v>2022</x:v>
      </x:c>
      <x:c r="L110" s="25" t="n">
        <x:v>1842</x:v>
      </x:c>
      <x:c r="M110" s="25" t="n">
        <x:v>181</x:v>
      </x:c>
      <x:c r="N110" s="25" t="n">
        <x:v>1844</x:v>
      </x:c>
      <x:c r="O110" s="46" t="n">
        <x:v>0.00004193757599324499</x:v>
      </x:c>
      <x:c r="P110" s="19" t="str">
        <x:v>1.753054791498593e-05</x:v>
      </x:c>
      <x:c r="Q110" s="19" t="str">
        <x:v>3.869925836497146e-05</x:v>
      </x:c>
      <x:c r="R110" s="19" t="str">
        <x:v>1.130616075784019e-05</x:v>
      </x:c>
      <x:c r="S110" s="19" t="str">
        <x:v>6.107358935025786e-06</x:v>
      </x:c>
      <x:c r="T110" s="19" t="str">
        <x:v>8.508186313434252e-06</x:v>
      </x:c>
      <x:c r="U110" s="19" t="str">
        <x:v>9.368124114672582e-06</x:v>
      </x:c>
      <x:c r="V110" s="46" t="n">
        <x:v>0.000008938155214053417</x:v>
      </x:c>
      <x:c r="W110" s="19" t="str">
        <x:v>1.482205210834309e-05</x:v>
      </x:c>
      <x:c r="X110" s="19" t="str">
        <x:v>1.753054791498593e-05</x:v>
      </x:c>
      <x:c r="Y110" s="19" t="str">
        <x:v>1.753054791498593e-05</x:v>
      </x:c>
      <x:c r="Z110" s="25" t="n">
        <x:v>2022</x:v>
      </x:c>
      <x:c r="AA110" s="19" t="str">
        <x:v>AVAILABLE</x:v>
      </x:c>
      <x:c r="AB110" s="19" t="str">
        <x:v>AVAILABLE</x:v>
      </x:c>
      <x:c r="AC110" s="43" t="str">
        <x:v>Climate/temperature-linked lexical frequency; still not evidence of reception, voice, or affect without passage review.</x:v>
      </x:c>
    </x:row>
    <x:row r="111" ht="24" customHeight="1">
      <x:c r="A111" s="40" t="str">
        <x:v>FT-Q-V01-107</x:v>
      </x:c>
      <x:c r="B111" s="31" t="str">
        <x:v>hopeless</x:v>
      </x:c>
      <x:c r="C111" s="31" t="str">
        <x:v>depressed affect</x:v>
      </x:c>
      <x:c r="D111" s="31" t="str">
        <x:v>distress_depression</x:v>
      </x:c>
      <x:c r="E111" s="19" t="str">
        <x:v>C</x:v>
      </x:c>
      <x:c r="F111" s="19" t="str">
        <x:v>EXECUTABLE_NGRAM</x:v>
      </x:c>
      <x:c r="G111" s="19" t="str">
        <x:v>CONTEXT_REQUIRED</x:v>
      </x:c>
      <x:c r="H111" s="19" t="str">
        <x:v>eng</x:v>
      </x:c>
      <x:c r="I111" s="19" t="str">
        <x:v>current English corpus (July 2024 dataset; public shorthand eng; mutable current corpus)</x:v>
      </x:c>
      <x:c r="J111" s="19" t="str">
        <x:v>1842</x:v>
      </x:c>
      <x:c r="K111" s="19" t="str">
        <x:v>2022</x:v>
      </x:c>
      <x:c r="L111" s="25" t="n">
        <x:v>1842</x:v>
      </x:c>
      <x:c r="M111" s="25" t="n">
        <x:v>181</x:v>
      </x:c>
      <x:c r="N111" s="25" t="n">
        <x:v>1848</x:v>
      </x:c>
      <x:c r="O111" s="46" t="n">
        <x:v>0.000008843983238193687</x:v>
      </x:c>
      <x:c r="P111" s="19" t="str">
        <x:v>4.716772487256549e-06</x:v>
      </x:c>
      <x:c r="Q111" s="19" t="str">
        <x:v>7.749827982905799e-06</x:v>
      </x:c>
      <x:c r="R111" s="19" t="str">
        <x:v>3.078077401852397e-06</x:v>
      </x:c>
      <x:c r="S111" s="19" t="str">
        <x:v>1.574195990450278e-06</x:v>
      </x:c>
      <x:c r="T111" s="19" t="str">
        <x:v>2.366883613547088e-06</x:v>
      </x:c>
      <x:c r="U111" s="19" t="str">
        <x:v>2.603596225725369e-06</x:v>
      </x:c>
      <x:c r="V111" s="46" t="n">
        <x:v>0.000002485239919636228</x:v>
      </x:c>
      <x:c r="W111" s="19" t="str">
        <x:v>4.200327168746298e-06</x:v>
      </x:c>
      <x:c r="X111" s="19" t="str">
        <x:v>4.716772487256549e-06</x:v>
      </x:c>
      <x:c r="Y111" s="19" t="str">
        <x:v>4.716772487256549e-06</x:v>
      </x:c>
      <x:c r="Z111" s="25" t="n">
        <x:v>2022</x:v>
      </x:c>
      <x:c r="AA111" s="19" t="str">
        <x:v>AVAILABLE</x:v>
      </x:c>
      <x:c r="AB111" s="19" t="str">
        <x:v>AVAILABLE</x:v>
      </x:c>
      <x:c r="AC111" s="43" t="str">
        <x:v>Climate/temperature-linked lexical frequency; still not evidence of reception, voice, or affect without passage review.</x:v>
      </x:c>
    </x:row>
    <x:row r="112" ht="24" customHeight="1">
      <x:c r="A112" s="40" t="str">
        <x:v>FT-Q-V01-108</x:v>
      </x:c>
      <x:c r="B112" s="31" t="str">
        <x:v>sad</x:v>
      </x:c>
      <x:c r="C112" s="31" t="str">
        <x:v>depressed affect</x:v>
      </x:c>
      <x:c r="D112" s="31" t="str">
        <x:v>distress_depression</x:v>
      </x:c>
      <x:c r="E112" s="19" t="str">
        <x:v>C</x:v>
      </x:c>
      <x:c r="F112" s="19" t="str">
        <x:v>EXECUTABLE_NGRAM</x:v>
      </x:c>
      <x:c r="G112" s="19" t="str">
        <x:v>CONTEXT_REQUIRED</x:v>
      </x:c>
      <x:c r="H112" s="19" t="str">
        <x:v>eng</x:v>
      </x:c>
      <x:c r="I112" s="19" t="str">
        <x:v>current English corpus (July 2024 dataset; public shorthand eng; mutable current corpus)</x:v>
      </x:c>
      <x:c r="J112" s="19" t="str">
        <x:v>1842</x:v>
      </x:c>
      <x:c r="K112" s="19" t="str">
        <x:v>2022</x:v>
      </x:c>
      <x:c r="L112" s="25" t="n">
        <x:v>1842</x:v>
      </x:c>
      <x:c r="M112" s="25" t="n">
        <x:v>181</x:v>
      </x:c>
      <x:c r="N112" s="25" t="n">
        <x:v>1850</x:v>
      </x:c>
      <x:c r="O112" s="46" t="n">
        <x:v>0.00003509316660199602</x:v>
      </x:c>
      <x:c r="P112" s="19" t="str">
        <x:v>2.540873449891415e-05</x:v>
      </x:c>
      <x:c r="Q112" s="19" t="str">
        <x:v>2.810681350240429e-05</x:v>
      </x:c>
      <x:c r="R112" s="19" t="str">
        <x:v>7.116686279312612e-06</x:v>
      </x:c>
      <x:c r="S112" s="19" t="str">
        <x:v>7.082451503964693e-06</x:v>
      </x:c>
      <x:c r="T112" s="19" t="str">
        <x:v>1.270232452813339e-05</x:v>
      </x:c>
      <x:c r="U112" s="19" t="str">
        <x:v>1.357899595096079e-05</x:v>
      </x:c>
      <x:c r="V112" s="46" t="n">
        <x:v>0.00001314066023954709</x:v>
      </x:c>
      <x:c r="W112" s="19" t="str">
        <x:v>2.244314198969477e-05</x:v>
      </x:c>
      <x:c r="X112" s="19" t="str">
        <x:v>2.540873449891415e-05</x:v>
      </x:c>
      <x:c r="Y112" s="19" t="str">
        <x:v>2.540873449891415e-05</x:v>
      </x:c>
      <x:c r="Z112" s="25" t="n">
        <x:v>2022</x:v>
      </x:c>
      <x:c r="AA112" s="19" t="str">
        <x:v>AVAILABLE</x:v>
      </x:c>
      <x:c r="AB112" s="19" t="str">
        <x:v>AVAILABLE</x:v>
      </x:c>
      <x:c r="AC112" s="43" t="str">
        <x:v>Climate/temperature-linked lexical frequency; still not evidence of reception, voice, or affect without passage review.</x:v>
      </x:c>
    </x:row>
    <x:row r="113" ht="24" customHeight="1">
      <x:c r="A113" s="40" t="str">
        <x:v>FT-Q-V01-109</x:v>
      </x:c>
      <x:c r="B113" s="31" t="str">
        <x:v>angry</x:v>
      </x:c>
      <x:c r="C113" s="31" t="str">
        <x:v>depressed affect</x:v>
      </x:c>
      <x:c r="D113" s="31" t="str">
        <x:v>distress_depression</x:v>
      </x:c>
      <x:c r="E113" s="19" t="str">
        <x:v>C</x:v>
      </x:c>
      <x:c r="F113" s="19" t="str">
        <x:v>EXECUTABLE_NGRAM</x:v>
      </x:c>
      <x:c r="G113" s="19" t="str">
        <x:v>CONTEXT_REQUIRED</x:v>
      </x:c>
      <x:c r="H113" s="19" t="str">
        <x:v>eng</x:v>
      </x:c>
      <x:c r="I113" s="19" t="str">
        <x:v>current English corpus (July 2024 dataset; public shorthand eng; mutable current corpus)</x:v>
      </x:c>
      <x:c r="J113" s="19" t="str">
        <x:v>1842</x:v>
      </x:c>
      <x:c r="K113" s="19" t="str">
        <x:v>2022</x:v>
      </x:c>
      <x:c r="L113" s="25" t="n">
        <x:v>1842</x:v>
      </x:c>
      <x:c r="M113" s="25" t="n">
        <x:v>181</x:v>
      </x:c>
      <x:c r="N113" s="25" t="n">
        <x:v>2020</x:v>
      </x:c>
      <x:c r="O113" s="46" t="n">
        <x:v>0.00005484382637632734</x:v>
      </x:c>
      <x:c r="P113" s="19" t="str">
        <x:v>3.134844381236235e-05</x:v>
      </x:c>
      <x:c r="Q113" s="19" t="str">
        <x:v>1.486580042708852e-05</x:v>
      </x:c>
      <x:c r="R113" s="19" t="str">
        <x:v>4.559940654402794e-06</x:v>
      </x:c>
      <x:c r="S113" s="19" t="str">
        <x:v>7.51778329544095e-06</x:v>
      </x:c>
      <x:c r="T113" s="19" t="str">
        <x:v>1.53830203544203e-05</x:v>
      </x:c>
      <x:c r="U113" s="19" t="str">
        <x:v>1.647590850950564e-05</x:v>
      </x:c>
      <x:c r="V113" s="46" t="n">
        <x:v>0.00001592946443196297</x:v>
      </x:c>
      <x:c r="W113" s="19" t="str">
        <x:v>3.206412924328106e-05</x:v>
      </x:c>
      <x:c r="X113" s="19" t="str">
        <x:v>3.134844381236235e-05</x:v>
      </x:c>
      <x:c r="Y113" s="19" t="str">
        <x:v>3.134844381236235e-05</x:v>
      </x:c>
      <x:c r="Z113" s="25" t="n">
        <x:v>2022</x:v>
      </x:c>
      <x:c r="AA113" s="19" t="str">
        <x:v>AVAILABLE</x:v>
      </x:c>
      <x:c r="AB113" s="19" t="str">
        <x:v>AVAILABLE</x:v>
      </x:c>
      <x:c r="AC113" s="43" t="str">
        <x:v>Climate/temperature-linked lexical frequency; still not evidence of reception, voice, or affect without passage review.</x:v>
      </x:c>
    </x:row>
    <x:row r="114" ht="24" customHeight="1">
      <x:c r="A114" s="40" t="str">
        <x:v>FT-Q-V01-110</x:v>
      </x:c>
      <x:c r="B114" s="31" t="str">
        <x:v>frustrated</x:v>
      </x:c>
      <x:c r="C114" s="31" t="str">
        <x:v>depressed affect</x:v>
      </x:c>
      <x:c r="D114" s="31" t="str">
        <x:v>distress_depression</x:v>
      </x:c>
      <x:c r="E114" s="19" t="str">
        <x:v>C</x:v>
      </x:c>
      <x:c r="F114" s="19" t="str">
        <x:v>EXECUTABLE_NGRAM</x:v>
      </x:c>
      <x:c r="G114" s="19" t="str">
        <x:v>CONTEXT_REQUIRED</x:v>
      </x:c>
      <x:c r="H114" s="19" t="str">
        <x:v>eng</x:v>
      </x:c>
      <x:c r="I114" s="19" t="str">
        <x:v>current English corpus (July 2024 dataset; public shorthand eng; mutable current corpus)</x:v>
      </x:c>
      <x:c r="J114" s="19" t="str">
        <x:v>1842</x:v>
      </x:c>
      <x:c r="K114" s="19" t="str">
        <x:v>2022</x:v>
      </x:c>
      <x:c r="L114" s="25" t="n">
        <x:v>1842</x:v>
      </x:c>
      <x:c r="M114" s="25" t="n">
        <x:v>181</x:v>
      </x:c>
      <x:c r="N114" s="25" t="n">
        <x:v>2015</x:v>
      </x:c>
      <x:c r="O114" s="46" t="n">
        <x:v>0.000008185089514611832</x:v>
      </x:c>
      <x:c r="P114" s="19" t="str">
        <x:v>7.597455986996238e-06</x:v>
      </x:c>
      <x:c r="Q114" s="19" t="str">
        <x:v>2.472158670219216e-06</x:v>
      </x:c>
      <x:c r="R114" s="19" t="str">
        <x:v>9.431432204110024e-07</x:v>
      </x:c>
      <x:c r="S114" s="19" t="str">
        <x:v>3.289961124863794e-06</x:v>
      </x:c>
      <x:c r="T114" s="19" t="str">
        <x:v>5.059109890126479e-06</x:v>
      </x:c>
      <x:c r="U114" s="19" t="str">
        <x:v>5.217783510147456e-06</x:v>
      </x:c>
      <x:c r="V114" s="46" t="n">
        <x:v>0.000005138446700136967</x:v>
      </x:c>
      <x:c r="W114" s="19" t="str">
        <x:v>8.185089514611832e-06</x:v>
      </x:c>
      <x:c r="X114" s="19" t="str">
        <x:v>7.597455986996238e-06</x:v>
      </x:c>
      <x:c r="Y114" s="19" t="str">
        <x:v>7.597455986996238e-06</x:v>
      </x:c>
      <x:c r="Z114" s="25" t="n">
        <x:v>2022</x:v>
      </x:c>
      <x:c r="AA114" s="19" t="str">
        <x:v>AVAILABLE</x:v>
      </x:c>
      <x:c r="AB114" s="19" t="str">
        <x:v>AVAILABLE</x:v>
      </x:c>
      <x:c r="AC114" s="43" t="str">
        <x:v>Climate/temperature-linked lexical frequency; still not evidence of reception, voice, or affect without passage review.</x:v>
      </x:c>
    </x:row>
    <x:row r="115" ht="24" customHeight="1">
      <x:c r="A115" s="40" t="str">
        <x:v>FT-Q-V01-111</x:v>
      </x:c>
      <x:c r="B115" s="31" t="str">
        <x:v>hopeful</x:v>
      </x:c>
      <x:c r="C115" s="31" t="str">
        <x:v>personal concern</x:v>
      </x:c>
      <x:c r="D115" s="31" t="str">
        <x:v>concern_alarm</x:v>
      </x:c>
      <x:c r="E115" s="19" t="str">
        <x:v>C</x:v>
      </x:c>
      <x:c r="F115" s="19" t="str">
        <x:v>EXECUTABLE_NGRAM</x:v>
      </x:c>
      <x:c r="G115" s="19" t="str">
        <x:v>CONTEXT_REQUIRED</x:v>
      </x:c>
      <x:c r="H115" s="19" t="str">
        <x:v>eng</x:v>
      </x:c>
      <x:c r="I115" s="19" t="str">
        <x:v>current English corpus (July 2024 dataset; public shorthand eng; mutable current corpus)</x:v>
      </x:c>
      <x:c r="J115" s="19" t="str">
        <x:v>1842</x:v>
      </x:c>
      <x:c r="K115" s="19" t="str">
        <x:v>2022</x:v>
      </x:c>
      <x:c r="L115" s="25" t="n">
        <x:v>1842</x:v>
      </x:c>
      <x:c r="M115" s="25" t="n">
        <x:v>181</x:v>
      </x:c>
      <x:c r="N115" s="25" t="n">
        <x:v>1862</x:v>
      </x:c>
      <x:c r="O115" s="46" t="n">
        <x:v>0.000005405065621744143</x:v>
      </x:c>
      <x:c r="P115" s="19" t="str">
        <x:v>4.994718922901598e-06</x:v>
      </x:c>
      <x:c r="Q115" s="19" t="str">
        <x:v>2.357188563451018e-06</x:v>
      </x:c>
      <x:c r="R115" s="19" t="str">
        <x:v>3.194065403278046e-06</x:v>
      </x:c>
      <x:c r="S115" s="19" t="str">
        <x:v>2.021741480007222e-06</x:v>
      </x:c>
      <x:c r="T115" s="19" t="str">
        <x:v>2.639803955872821e-06</x:v>
      </x:c>
      <x:c r="U115" s="19" t="str">
        <x:v>2.804317349003327e-06</x:v>
      </x:c>
      <x:c r="V115" s="46" t="n">
        <x:v>0.000002722060652438074</x:v>
      </x:c>
      <x:c r="W115" s="19" t="str">
        <x:v>4.381402916919797e-06</x:v>
      </x:c>
      <x:c r="X115" s="19" t="str">
        <x:v>4.994718922901598e-06</x:v>
      </x:c>
      <x:c r="Y115" s="19" t="str">
        <x:v>4.994718922901598e-06</x:v>
      </x:c>
      <x:c r="Z115" s="25" t="n">
        <x:v>2022</x:v>
      </x:c>
      <x:c r="AA115" s="19" t="str">
        <x:v>AVAILABLE</x:v>
      </x:c>
      <x:c r="AB115" s="19" t="str">
        <x:v>AVAILABLE</x:v>
      </x:c>
      <x:c r="AC115" s="43" t="str">
        <x:v>Climate/temperature-linked lexical frequency; still not evidence of reception, voice, or affect without passage review.</x:v>
      </x:c>
    </x:row>
    <x:row r="116" ht="24" customHeight="1">
      <x:c r="A116" s="40" t="str">
        <x:v>FT-Q-V01-112</x:v>
      </x:c>
      <x:c r="B116" s="31" t="str">
        <x:v>disgusted</x:v>
      </x:c>
      <x:c r="C116" s="31" t="str">
        <x:v>depressed affect</x:v>
      </x:c>
      <x:c r="D116" s="31" t="str">
        <x:v>distress_depression</x:v>
      </x:c>
      <x:c r="E116" s="19" t="str">
        <x:v>C</x:v>
      </x:c>
      <x:c r="F116" s="19" t="str">
        <x:v>EXECUTABLE_NGRAM</x:v>
      </x:c>
      <x:c r="G116" s="19" t="str">
        <x:v>CONTEXT_REQUIRED</x:v>
      </x:c>
      <x:c r="H116" s="19" t="str">
        <x:v>eng</x:v>
      </x:c>
      <x:c r="I116" s="19" t="str">
        <x:v>current English corpus (July 2024 dataset; public shorthand eng; mutable current corpus)</x:v>
      </x:c>
      <x:c r="J116" s="19" t="str">
        <x:v>1842</x:v>
      </x:c>
      <x:c r="K116" s="19" t="str">
        <x:v>2022</x:v>
      </x:c>
      <x:c r="L116" s="25" t="n">
        <x:v>1842</x:v>
      </x:c>
      <x:c r="M116" s="25" t="n">
        <x:v>181</x:v>
      </x:c>
      <x:c r="N116" s="25" t="n">
        <x:v>2020</x:v>
      </x:c>
      <x:c r="O116" s="46" t="n">
        <x:v>0.000003836883327501539</x:v>
      </x:c>
      <x:c r="P116" s="19" t="str">
        <x:v>2.543607640959067e-06</x:v>
      </x:c>
      <x:c r="Q116" s="19" t="str">
        <x:v>2.792127986595005e-06</x:v>
      </x:c>
      <x:c r="R116" s="19" t="str">
        <x:v>8.480208872896355e-07</x:v>
      </x:c>
      <x:c r="S116" s="19" t="str">
        <x:v>5.909761447986384e-07</x:v>
      </x:c>
      <x:c r="T116" s="19" t="str">
        <x:v>1.171719041792585e-06</x:v>
      </x:c>
      <x:c r="U116" s="19" t="str">
        <x:v>1.319191128779096e-06</x:v>
      </x:c>
      <x:c r="V116" s="46" t="n">
        <x:v>0.00000124545508528584</x:v>
      </x:c>
      <x:c r="W116" s="19" t="str">
        <x:v>2.510783113862658e-06</x:v>
      </x:c>
      <x:c r="X116" s="19" t="str">
        <x:v>2.543607640959067e-06</x:v>
      </x:c>
      <x:c r="Y116" s="19" t="str">
        <x:v>2.543607640959067e-06</x:v>
      </x:c>
      <x:c r="Z116" s="25" t="n">
        <x:v>2022</x:v>
      </x:c>
      <x:c r="AA116" s="19" t="str">
        <x:v>AVAILABLE</x:v>
      </x:c>
      <x:c r="AB116" s="19" t="str">
        <x:v>AVAILABLE</x:v>
      </x:c>
      <x:c r="AC116" s="43" t="str">
        <x:v>Climate/temperature-linked lexical frequency; still not evidence of reception, voice, or affect without passage review.</x:v>
      </x:c>
    </x:row>
    <x:row r="117" ht="24" customHeight="1">
      <x:c r="A117" s="40" t="str">
        <x:v>FT-Q-V01-113</x:v>
      </x:c>
      <x:c r="B117" s="31" t="str">
        <x:v>outraged</x:v>
      </x:c>
      <x:c r="C117" s="31" t="str">
        <x:v>depressed affect</x:v>
      </x:c>
      <x:c r="D117" s="31" t="str">
        <x:v>distress_depression</x:v>
      </x:c>
      <x:c r="E117" s="19" t="str">
        <x:v>C</x:v>
      </x:c>
      <x:c r="F117" s="19" t="str">
        <x:v>EXECUTABLE_NGRAM</x:v>
      </x:c>
      <x:c r="G117" s="19" t="str">
        <x:v>CONTEXT_REQUIRED</x:v>
      </x:c>
      <x:c r="H117" s="19" t="str">
        <x:v>eng</x:v>
      </x:c>
      <x:c r="I117" s="19" t="str">
        <x:v>current English corpus (July 2024 dataset; public shorthand eng; mutable current corpus)</x:v>
      </x:c>
      <x:c r="J117" s="19" t="str">
        <x:v>1842</x:v>
      </x:c>
      <x:c r="K117" s="19" t="str">
        <x:v>2022</x:v>
      </x:c>
      <x:c r="L117" s="25" t="n">
        <x:v>1842</x:v>
      </x:c>
      <x:c r="M117" s="25" t="n">
        <x:v>181</x:v>
      </x:c>
      <x:c r="N117" s="25" t="n">
        <x:v>2014</x:v>
      </x:c>
      <x:c r="O117" s="46" t="n">
        <x:v>0.000002010090121018493</x:v>
      </x:c>
      <x:c r="P117" s="19" t="str">
        <x:v>1.70548937417081e-06</x:v>
      </x:c>
      <x:c r="Q117" s="19" t="str">
        <x:v>1.254328481969935e-06</x:v>
      </x:c>
      <x:c r="R117" s="19" t="str">
        <x:v>6.021347390694487e-07</x:v>
      </x:c>
      <x:c r="S117" s="19" t="str">
        <x:v>8.586316730951893e-07</x:v>
      </x:c>
      <x:c r="T117" s="19" t="str">
        <x:v>1.27507472225119e-06</x:v>
      </x:c>
      <x:c r="U117" s="19" t="str">
        <x:v>1.373316791397627e-06</x:v>
      </x:c>
      <x:c r="V117" s="46" t="n">
        <x:v>0.000001324195756824409</x:v>
      </x:c>
      <x:c r="W117" s="19" t="str">
        <x:v>1.949325438399541e-06</x:v>
      </x:c>
      <x:c r="X117" s="19" t="str">
        <x:v>1.70548937417081e-06</x:v>
      </x:c>
      <x:c r="Y117" s="19" t="str">
        <x:v>1.70548937417081e-06</x:v>
      </x:c>
      <x:c r="Z117" s="25" t="n">
        <x:v>2022</x:v>
      </x:c>
      <x:c r="AA117" s="19" t="str">
        <x:v>AVAILABLE</x:v>
      </x:c>
      <x:c r="AB117" s="19" t="str">
        <x:v>AVAILABLE</x:v>
      </x:c>
      <x:c r="AC117" s="43" t="str">
        <x:v>Climate/temperature-linked lexical frequency; still not evidence of reception, voice, or affect without passage review.</x:v>
      </x:c>
    </x:row>
    <x:row r="118" ht="24" customHeight="1">
      <x:c r="A118" s="40" t="str">
        <x:v>FT-Q-V01-114</x:v>
      </x:c>
      <x:c r="B118" s="31" t="str">
        <x:v>depressed</x:v>
      </x:c>
      <x:c r="C118" s="31" t="str">
        <x:v>depressed affect</x:v>
      </x:c>
      <x:c r="D118" s="31" t="str">
        <x:v>distress_depression</x:v>
      </x:c>
      <x:c r="E118" s="19" t="str">
        <x:v>C</x:v>
      </x:c>
      <x:c r="F118" s="19" t="str">
        <x:v>BACKGROUND_AMBIGUOUS</x:v>
      </x:c>
      <x:c r="G118" s="19" t="str">
        <x:v>BACKGROUND_AMBIGUOUS</x:v>
      </x:c>
      <x:c r="H118" s="19" t="str">
        <x:v>eng</x:v>
      </x:c>
      <x:c r="I118" s="19" t="str">
        <x:v>current English corpus (July 2024 dataset; public shorthand eng; mutable current corpus)</x:v>
      </x:c>
      <x:c r="J118" s="19" t="str">
        <x:v>1842</x:v>
      </x:c>
      <x:c r="K118" s="19" t="str">
        <x:v>2022</x:v>
      </x:c>
      <x:c r="L118" s="25" t="n">
        <x:v>1842</x:v>
      </x:c>
      <x:c r="M118" s="25" t="n">
        <x:v>181</x:v>
      </x:c>
      <x:c r="N118" s="25" t="n">
        <x:v>1843</x:v>
      </x:c>
      <x:c r="O118" s="46" t="n">
        <x:v>0.00001112499241706644</x:v>
      </x:c>
      <x:c r="P118" s="19" t="str">
        <x:v>6.592711166319987e-06</x:v>
      </x:c>
      <x:c r="Q118" s="19" t="str">
        <x:v>9.307701199112728e-06</x:v>
      </x:c>
      <x:c r="R118" s="19" t="str">
        <x:v>6.043337837269291e-06</x:v>
      </x:c>
      <x:c r="S118" s="19" t="str">
        <x:v>7.711703084112287e-06</x:v>
      </x:c>
      <x:c r="T118" s="19" t="str">
        <x:v>6.793051444020648e-06</x:v>
      </x:c>
      <x:c r="U118" s="19" t="str">
        <x:v>7.274933071954592e-06</x:v>
      </x:c>
      <x:c r="V118" s="46" t="n">
        <x:v>0.00000703399225798762</x:v>
      </x:c>
      <x:c r="W118" s="19" t="str">
        <x:v>7.909356614987928e-06</x:v>
      </x:c>
      <x:c r="X118" s="19" t="str">
        <x:v>6.592711166319987e-06</x:v>
      </x:c>
      <x:c r="Y118" s="19" t="str">
        <x:v>6.592711166319987e-06</x:v>
      </x:c>
      <x:c r="Z118" s="25" t="n">
        <x:v>2022</x:v>
      </x:c>
      <x:c r="AA118" s="19" t="str">
        <x:v>AVAILABLE</x:v>
      </x:c>
      <x:c r="AB118" s="19" t="str">
        <x:v>AVAILABLE</x:v>
      </x:c>
      <x:c r="AC118" s="43" t="str">
        <x:v>Generic corpus string frequency; not climate-specific semantic frequency.</x:v>
      </x:c>
    </x:row>
    <x:row r="119" ht="24" customHeight="1">
      <x:c r="A119" s="40" t="str">
        <x:v>FT-Q-V01-115</x:v>
      </x:c>
      <x:c r="B119" s="31" t="str">
        <x:v>symptoms of anxiety</x:v>
      </x:c>
      <x:c r="C119" s="31" t="str">
        <x:v>anxiety symptom measure</x:v>
      </x:c>
      <x:c r="D119" s="31" t="str">
        <x:v>anxiety</x:v>
      </x:c>
      <x:c r="E119" s="19" t="str">
        <x:v>C</x:v>
      </x:c>
      <x:c r="F119" s="19" t="str">
        <x:v>EXECUTABLE_NGRAM</x:v>
      </x:c>
      <x:c r="G119" s="19" t="str">
        <x:v>CONTEXT_REQUIRED</x:v>
      </x:c>
      <x:c r="H119" s="19" t="str">
        <x:v>eng</x:v>
      </x:c>
      <x:c r="I119" s="19" t="str">
        <x:v>current English corpus (July 2024 dataset; public shorthand eng; mutable current corpus)</x:v>
      </x:c>
      <x:c r="J119" s="19" t="str">
        <x:v>1842</x:v>
      </x:c>
      <x:c r="K119" s="19" t="str">
        <x:v>2022</x:v>
      </x:c>
      <x:c r="L119" s="25" t="n">
        <x:v>1842</x:v>
      </x:c>
      <x:c r="M119" s="25" t="n">
        <x:v>179</x:v>
      </x:c>
      <x:c r="N119" s="25" t="n">
        <x:v>2022</x:v>
      </x:c>
      <x:c r="O119" s="46" t="n">
        <x:v>1.926471570046218e-7</x:v>
      </x:c>
      <x:c r="P119" s="19" t="str">
        <x:v>1.926471570046218e-07</x:v>
      </x:c>
      <x:c r="Q119" s="19" t="str">
        <x:v>4.118266616615074e-09</x:v>
      </x:c>
      <x:c r="R119" s="19" t="str">
        <x:v>4.033755884869095e-09</x:v>
      </x:c>
      <x:c r="S119" s="19" t="str">
        <x:v>7.033237547915405e-08</x:v>
      </x:c>
      <x:c r="T119" s="19" t="str">
        <x:v>1.017628106780855e-07</x:v>
      </x:c>
      <x:c r="U119" s="19" t="str">
        <x:v>1.071436565580619e-07</x:v>
      </x:c>
      <x:c r="V119" s="46" t="n">
        <x:v>1.044532336180737e-7</x:v>
      </x:c>
      <x:c r="W119" s="19" t="str">
        <x:v>1.362641557159372e-07</x:v>
      </x:c>
      <x:c r="X119" s="19" t="str">
        <x:v>1.926471570046218e-07</x:v>
      </x:c>
      <x:c r="Y119" s="19" t="str">
        <x:v>1.926471570046218e-07</x:v>
      </x:c>
      <x:c r="Z119" s="25" t="n">
        <x:v>2022</x:v>
      </x:c>
      <x:c r="AA119" s="19" t="str">
        <x:v>AVAILABLE</x:v>
      </x:c>
      <x:c r="AB119" s="19" t="str">
        <x:v>AVAILABLE</x:v>
      </x:c>
      <x:c r="AC119" s="43" t="str">
        <x:v>Climate/temperature-linked lexical frequency; still not evidence of reception, voice, or affect without passage review.</x:v>
      </x:c>
    </x:row>
    <x:row r="120" ht="24" customHeight="1">
      <x:c r="A120" s="40" t="str">
        <x:v>FT-Q-V01-116</x:v>
      </x:c>
      <x:c r="B120" s="31" t="str">
        <x:v>climate anxiety</x:v>
      </x:c>
      <x:c r="C120" s="31" t="str">
        <x:v>climate anxiety research construct</x:v>
      </x:c>
      <x:c r="D120" s="31" t="str">
        <x:v>anxiety</x:v>
      </x:c>
      <x:c r="E120" s="19" t="str">
        <x:v>C</x:v>
      </x:c>
      <x:c r="F120" s="19" t="str">
        <x:v>EXECUTABLE_NGRAM</x:v>
      </x:c>
      <x:c r="G120" s="19" t="str">
        <x:v>CLIMATE_SPECIFIC</x:v>
      </x:c>
      <x:c r="H120" s="19" t="str">
        <x:v>eng</x:v>
      </x:c>
      <x:c r="I120" s="19" t="str">
        <x:v>current English corpus (July 2024 dataset; public shorthand eng; mutable current corpus)</x:v>
      </x:c>
      <x:c r="J120" s="19" t="str">
        <x:v>1842</x:v>
      </x:c>
      <x:c r="K120" s="19" t="str">
        <x:v>2022</x:v>
      </x:c>
      <x:c r="L120" s="25" t="n">
        <x:v>1972</x:v>
      </x:c>
      <x:c r="M120" s="25" t="n">
        <x:v>17</x:v>
      </x:c>
      <x:c r="N120" s="25" t="n">
        <x:v>2022</x:v>
      </x:c>
      <x:c r="O120" s="46" t="n">
        <x:v>3.579004737019886e-8</x:v>
      </x:c>
      <x:c r="P120" s="19" t="str">
        <x:v>3.579004737019886e-08</x:v>
      </x:c>
      <x:c r="Q120" s="19" t="str">
        <x:v>0</x:v>
      </x:c>
      <x:c r="R120" s="19" t="str">
        <x:v>0</x:v>
      </x:c>
      <x:c r="S120" s="19" t="str">
        <x:v>0</x:v>
      </x:c>
      <x:c r="T120" s="19" t="str">
        <x:v>0</x:v>
      </x:c>
      <x:c r="U120" s="19" t="str">
        <x:v>4.497542963055601e-11</x:v>
      </x:c>
      <x:c r="V120" s="46" t="n">
        <x:v>2.2487714815278e-11</x:v>
      </x:c>
      <x:c r="W120" s="19" t="str">
        <x:v>1.86809217400663e-10</x:v>
      </x:c>
      <x:c r="X120" s="19" t="str">
        <x:v>3.579004737019886e-08</x:v>
      </x:c>
      <x:c r="Y120" s="19" t="str">
        <x:v>3.579004737019886e-08</x:v>
      </x:c>
      <x:c r="Z120" s="25" t="n">
        <x:v>2022</x:v>
      </x:c>
      <x:c r="AA120" s="19" t="str">
        <x:v>AVAILABLE</x:v>
      </x:c>
      <x:c r="AB120" s="19" t="str">
        <x:v>AVAILABLE</x:v>
      </x:c>
      <x:c r="AC120" s="43" t="str">
        <x:v>Climate/temperature-linked lexical frequency; still not evidence of reception, voice, or affect without passage review.</x:v>
      </x:c>
    </x:row>
    <x:row r="121" ht="24" customHeight="1">
      <x:c r="A121" s="40" t="str">
        <x:v>FT-Q-V01-117</x:v>
      </x:c>
      <x:c r="B121" s="31" t="str">
        <x:v>eco-anxiety</x:v>
      </x:c>
      <x:c r="C121" s="31" t="str">
        <x:v>eco-anxiety research construct</x:v>
      </x:c>
      <x:c r="D121" s="31" t="str">
        <x:v>anxiety</x:v>
      </x:c>
      <x:c r="E121" s="19" t="str">
        <x:v>C</x:v>
      </x:c>
      <x:c r="F121" s="19" t="str">
        <x:v>EXECUTABLE_NGRAM</x:v>
      </x:c>
      <x:c r="G121" s="19" t="str">
        <x:v>CLIMATE_SPECIFIC</x:v>
      </x:c>
      <x:c r="H121" s="19" t="str">
        <x:v>eng</x:v>
      </x:c>
      <x:c r="I121" s="19" t="str">
        <x:v>current English corpus (July 2024 dataset; public shorthand eng; mutable current corpus)</x:v>
      </x:c>
      <x:c r="J121" s="19" t="str">
        <x:v>1842</x:v>
      </x:c>
      <x:c r="K121" s="19" t="str">
        <x:v>2022</x:v>
      </x:c>
      <x:c r="L121" s="25" t="n">
        <x:v>1901</x:v>
      </x:c>
      <x:c r="M121" s="25" t="n">
        <x:v>23</x:v>
      </x:c>
      <x:c r="N121" s="25" t="n">
        <x:v>2022</x:v>
      </x:c>
      <x:c r="O121" s="46" t="n">
        <x:v>5.496096178170262e-8</x:v>
      </x:c>
      <x:c r="P121" s="19" t="str">
        <x:v>5.496096178170262e-08</x:v>
      </x:c>
      <x:c r="Q121" s="19" t="str">
        <x:v>0</x:v>
      </x:c>
      <x:c r="R121" s="19" t="str">
        <x:v>0</x:v>
      </x:c>
      <x:c r="S121" s="19" t="str">
        <x:v>0</x:v>
      </x:c>
      <x:c r="T121" s="19" t="str">
        <x:v>4.954372329057932e-11</x:v>
      </x:c>
      <x:c r="U121" s="19" t="str">
        <x:v>7.774596660903299e-10</x:v>
      </x:c>
      <x:c r="V121" s="46" t="n">
        <x:v>4.135016946904546e-10</x:v>
      </x:c>
      <x:c r="W121" s="19" t="str">
        <x:v>8.997633402230143e-10</x:v>
      </x:c>
      <x:c r="X121" s="19" t="str">
        <x:v>5.496096178170262e-08</x:v>
      </x:c>
      <x:c r="Y121" s="19" t="str">
        <x:v>5.496096178170262e-08</x:v>
      </x:c>
      <x:c r="Z121" s="25" t="n">
        <x:v>2022</x:v>
      </x:c>
      <x:c r="AA121" s="19" t="str">
        <x:v>AVAILABLE</x:v>
      </x:c>
      <x:c r="AB121" s="19" t="str">
        <x:v>AVAILABLE</x:v>
      </x:c>
      <x:c r="AC121" s="43" t="str">
        <x:v>Climate/temperature-linked lexical frequency; still not evidence of reception, voice, or affect without passage review.</x:v>
      </x:c>
    </x:row>
    <x:row r="122" ht="24" customHeight="1">
      <x:c r="A122" s="40" t="str">
        <x:v>FT-Q-V01-118</x:v>
      </x:c>
      <x:c r="B122" s="31" t="str">
        <x:v>psychological distress</x:v>
      </x:c>
      <x:c r="C122" s="31" t="str">
        <x:v>psychological distress</x:v>
      </x:c>
      <x:c r="D122" s="31" t="str">
        <x:v>distress_depression</x:v>
      </x:c>
      <x:c r="E122" s="19" t="str">
        <x:v>C</x:v>
      </x:c>
      <x:c r="F122" s="19" t="str">
        <x:v>EXECUTABLE_NGRAM</x:v>
      </x:c>
      <x:c r="G122" s="19" t="str">
        <x:v>CONTEXT_REQUIRED</x:v>
      </x:c>
      <x:c r="H122" s="19" t="str">
        <x:v>eng</x:v>
      </x:c>
      <x:c r="I122" s="19" t="str">
        <x:v>current English corpus (July 2024 dataset; public shorthand eng; mutable current corpus)</x:v>
      </x:c>
      <x:c r="J122" s="19" t="str">
        <x:v>1842</x:v>
      </x:c>
      <x:c r="K122" s="19" t="str">
        <x:v>2022</x:v>
      </x:c>
      <x:c r="L122" s="25" t="n">
        <x:v>1886</x:v>
      </x:c>
      <x:c r="M122" s="25" t="n">
        <x:v>115</x:v>
      </x:c>
      <x:c r="N122" s="25" t="n">
        <x:v>2022</x:v>
      </x:c>
      <x:c r="O122" s="46" t="n">
        <x:v>8.442735095481879e-7</x:v>
      </x:c>
      <x:c r="P122" s="19" t="str">
        <x:v>8.442735095481879e-07</x:v>
      </x:c>
      <x:c r="Q122" s="19" t="str">
        <x:v>0</x:v>
      </x:c>
      <x:c r="R122" s="19" t="str">
        <x:v>6.682316922024256e-10</x:v>
      </x:c>
      <x:c r="S122" s="19" t="str">
        <x:v>1.915481164793675e-07</x:v>
      </x:c>
      <x:c r="T122" s="19" t="str">
        <x:v>4.426177031557899e-07</x:v>
      </x:c>
      <x:c r="U122" s="19" t="str">
        <x:v>3.763993797756271e-07</x:v>
      </x:c>
      <x:c r="V122" s="46" t="n">
        <x:v>4.095085414657085e-7</x:v>
      </x:c>
      <x:c r="W122" s="19" t="str">
        <x:v>4.692647605497591e-07</x:v>
      </x:c>
      <x:c r="X122" s="19" t="str">
        <x:v>8.442735095481879e-07</x:v>
      </x:c>
      <x:c r="Y122" s="19" t="str">
        <x:v>8.442735095481879e-07</x:v>
      </x:c>
      <x:c r="Z122" s="25" t="n">
        <x:v>2022</x:v>
      </x:c>
      <x:c r="AA122" s="19" t="str">
        <x:v>AVAILABLE</x:v>
      </x:c>
      <x:c r="AB122" s="19" t="str">
        <x:v>AVAILABLE</x:v>
      </x:c>
      <x:c r="AC122" s="43" t="str">
        <x:v>Climate/temperature-linked lexical frequency; still not evidence of reception, voice, or affect without passage review.</x:v>
      </x:c>
    </x:row>
    <x:row r="123" ht="24" customHeight="1">
      <x:c r="A123" s="40" t="str">
        <x:v>FT-Q-V01-119</x:v>
      </x:c>
      <x:c r="B123" s="31" t="str">
        <x:v>distress</x:v>
      </x:c>
      <x:c r="C123" s="31" t="str">
        <x:v>psychological distress</x:v>
      </x:c>
      <x:c r="D123" s="31" t="str">
        <x:v>distress_depression</x:v>
      </x:c>
      <x:c r="E123" s="19" t="str">
        <x:v>C</x:v>
      </x:c>
      <x:c r="F123" s="19" t="str">
        <x:v>BACKGROUND_AMBIGUOUS</x:v>
      </x:c>
      <x:c r="G123" s="19" t="str">
        <x:v>BACKGROUND_AMBIGUOUS</x:v>
      </x:c>
      <x:c r="H123" s="19" t="str">
        <x:v>eng</x:v>
      </x:c>
      <x:c r="I123" s="19" t="str">
        <x:v>current English corpus (July 2024 dataset; public shorthand eng; mutable current corpus)</x:v>
      </x:c>
      <x:c r="J123" s="19" t="str">
        <x:v>1842</x:v>
      </x:c>
      <x:c r="K123" s="19" t="str">
        <x:v>2022</x:v>
      </x:c>
      <x:c r="L123" s="25" t="n">
        <x:v>1842</x:v>
      </x:c>
      <x:c r="M123" s="25" t="n">
        <x:v>181</x:v>
      </x:c>
      <x:c r="N123" s="25" t="n">
        <x:v>1842</x:v>
      </x:c>
      <x:c r="O123" s="46" t="n">
        <x:v>0.0000452841779292612</x:v>
      </x:c>
      <x:c r="P123" s="19" t="str">
        <x:v>1.530569114294167e-05</x:v>
      </x:c>
      <x:c r="Q123" s="19" t="str">
        <x:v>4.52841779292612e-05</x:v>
      </x:c>
      <x:c r="R123" s="19" t="str">
        <x:v>7.339661380001417e-06</x:v>
      </x:c>
      <x:c r="S123" s="19" t="str">
        <x:v>8.156161257488748e-06</x:v>
      </x:c>
      <x:c r="T123" s="19" t="str">
        <x:v>1.067856989322991e-05</x:v>
      </x:c>
      <x:c r="U123" s="19" t="str">
        <x:v>1.097895778201519e-05</x:v>
      </x:c>
      <x:c r="V123" s="46" t="n">
        <x:v>0.00001082876383762255</x:v>
      </x:c>
      <x:c r="W123" s="19" t="str">
        <x:v>1.367328086843145e-05</x:v>
      </x:c>
      <x:c r="X123" s="19" t="str">
        <x:v>1.530569114294167e-05</x:v>
      </x:c>
      <x:c r="Y123" s="19" t="str">
        <x:v>1.530569114294167e-05</x:v>
      </x:c>
      <x:c r="Z123" s="25" t="n">
        <x:v>2022</x:v>
      </x:c>
      <x:c r="AA123" s="19" t="str">
        <x:v>AVAILABLE</x:v>
      </x:c>
      <x:c r="AB123" s="19" t="str">
        <x:v>AVAILABLE</x:v>
      </x:c>
      <x:c r="AC123" s="43" t="str">
        <x:v>Generic corpus string frequency; not climate-specific semantic frequency.</x:v>
      </x:c>
    </x:row>
    <x:row r="124" ht="24" customHeight="1">
      <x:c r="A124" s="40" t="str">
        <x:v>FT-Q-V01-120</x:v>
      </x:c>
      <x:c r="B124" s="31" t="str">
        <x:v>powerlessness</x:v>
      </x:c>
      <x:c r="C124" s="31" t="str">
        <x:v>depressed affect</x:v>
      </x:c>
      <x:c r="D124" s="31" t="str">
        <x:v>distress_depression</x:v>
      </x:c>
      <x:c r="E124" s="19" t="str">
        <x:v>C</x:v>
      </x:c>
      <x:c r="F124" s="19" t="str">
        <x:v>EXECUTABLE_NGRAM</x:v>
      </x:c>
      <x:c r="G124" s="19" t="str">
        <x:v>CONTEXT_REQUIRED</x:v>
      </x:c>
      <x:c r="H124" s="19" t="str">
        <x:v>eng</x:v>
      </x:c>
      <x:c r="I124" s="19" t="str">
        <x:v>current English corpus (July 2024 dataset; public shorthand eng; mutable current corpus)</x:v>
      </x:c>
      <x:c r="J124" s="19" t="str">
        <x:v>1842</x:v>
      </x:c>
      <x:c r="K124" s="19" t="str">
        <x:v>2022</x:v>
      </x:c>
      <x:c r="L124" s="25" t="n">
        <x:v>1842</x:v>
      </x:c>
      <x:c r="M124" s="25" t="n">
        <x:v>181</x:v>
      </x:c>
      <x:c r="N124" s="25" t="n">
        <x:v>2016</x:v>
      </x:c>
      <x:c r="O124" s="46" t="n">
        <x:v>9.903161126700866e-7</x:v>
      </x:c>
      <x:c r="P124" s="19" t="str">
        <x:v>8.604735197703661e-07</x:v>
      </x:c>
      <x:c r="Q124" s="19" t="str">
        <x:v>4.805623099457534e-08</x:v>
      </x:c>
      <x:c r="R124" s="19" t="str">
        <x:v>4.725432958818665e-08</x:v>
      </x:c>
      <x:c r="S124" s="19" t="str">
        <x:v>5.816229462496381e-07</x:v>
      </x:c>
      <x:c r="T124" s="19" t="str">
        <x:v>7.747634387378355e-07</x:v>
      </x:c>
      <x:c r="U124" s="19" t="str">
        <x:v>7.41349112098888e-07</x:v>
      </x:c>
      <x:c r="V124" s="46" t="n">
        <x:v>7.580562754183617e-7</x:v>
      </x:c>
      <x:c r="W124" s="19" t="str">
        <x:v>8.678666019168446e-07</x:v>
      </x:c>
      <x:c r="X124" s="19" t="str">
        <x:v>8.604735197703661e-07</x:v>
      </x:c>
      <x:c r="Y124" s="19" t="str">
        <x:v>8.604735197703661e-07</x:v>
      </x:c>
      <x:c r="Z124" s="25" t="n">
        <x:v>2022</x:v>
      </x:c>
      <x:c r="AA124" s="19" t="str">
        <x:v>AVAILABLE</x:v>
      </x:c>
      <x:c r="AB124" s="19" t="str">
        <x:v>AVAILABLE</x:v>
      </x:c>
      <x:c r="AC124" s="43" t="str">
        <x:v>Climate/temperature-linked lexical frequency; still not evidence of reception, voice, or affect without passage review.</x:v>
      </x:c>
    </x:row>
    <x:row r="125" ht="24" customHeight="1">
      <x:c r="A125" s="40" t="str">
        <x:v>FT-Q-V01-121</x:v>
      </x:c>
      <x:c r="B125" s="31" t="str">
        <x:v>climatic change</x:v>
      </x:c>
      <x:c r="C125" s="31" t="str">
        <x:v>historical climatic change</x:v>
      </x:c>
      <x:c r="D125" s="31" t="str">
        <x:v>climate</x:v>
      </x:c>
      <x:c r="E125" s="19" t="str">
        <x:v>B</x:v>
      </x:c>
      <x:c r="F125" s="19" t="str">
        <x:v>EXECUTABLE_NGRAM</x:v>
      </x:c>
      <x:c r="G125" s="19" t="str">
        <x:v>CLIMATE_SPECIFIC</x:v>
      </x:c>
      <x:c r="H125" s="19" t="str">
        <x:v>eng</x:v>
      </x:c>
      <x:c r="I125" s="19" t="str">
        <x:v>current English corpus (July 2024 dataset; public shorthand eng; mutable current corpus)</x:v>
      </x:c>
      <x:c r="J125" s="19" t="str">
        <x:v>1842</x:v>
      </x:c>
      <x:c r="K125" s="19" t="str">
        <x:v>2022</x:v>
      </x:c>
      <x:c r="L125" s="25" t="n">
        <x:v>1844</x:v>
      </x:c>
      <x:c r="M125" s="25" t="n">
        <x:v>178</x:v>
      </x:c>
      <x:c r="N125" s="25" t="n">
        <x:v>1990</x:v>
      </x:c>
      <x:c r="O125" s="46" t="n">
        <x:v>0.000001085340898890341</x:v>
      </x:c>
      <x:c r="P125" s="19" t="str">
        <x:v>3.561308840049904e-07</x:v>
      </x:c>
      <x:c r="Q125" s="19" t="str">
        <x:v>0</x:v>
      </x:c>
      <x:c r="R125" s="19" t="str">
        <x:v>5.535186192728858e-08</x:v>
      </x:c>
      <x:c r="S125" s="19" t="str">
        <x:v>6.100814835992285e-07</x:v>
      </x:c>
      <x:c r="T125" s="19" t="str">
        <x:v>3.489940754372589e-07</x:v>
      </x:c>
      <x:c r="U125" s="19" t="str">
        <x:v>3.570599467934976e-07</x:v>
      </x:c>
      <x:c r="V125" s="46" t="n">
        <x:v>3.530270111153783e-7</x:v>
      </x:c>
      <x:c r="W125" s="19" t="str">
        <x:v>3.089357515362323e-07</x:v>
      </x:c>
      <x:c r="X125" s="19" t="str">
        <x:v>3.561308840049904e-07</x:v>
      </x:c>
      <x:c r="Y125" s="19" t="str">
        <x:v>3.561308840049904e-07</x:v>
      </x:c>
      <x:c r="Z125" s="25" t="n">
        <x:v>2022</x:v>
      </x:c>
      <x:c r="AA125" s="19" t="str">
        <x:v>AVAILABLE</x:v>
      </x:c>
      <x:c r="AB125" s="19" t="str">
        <x:v>AVAILABLE</x:v>
      </x:c>
      <x:c r="AC125" s="43" t="str">
        <x:v>Climate/temperature-linked lexical frequency; still not evidence of reception, voice, or affect without passage review.</x:v>
      </x:c>
    </x:row>
    <x:row r="126" ht="24" customHeight="1">
      <x:c r="A126" s="40" t="str">
        <x:v>FT-Q-V01-122</x:v>
      </x:c>
      <x:c r="B126" s="31" t="str">
        <x:v>climate system</x:v>
      </x:c>
      <x:c r="C126" s="31" t="str">
        <x:v>climate system</x:v>
      </x:c>
      <x:c r="D126" s="31" t="str">
        <x:v>climate</x:v>
      </x:c>
      <x:c r="E126" s="19" t="str">
        <x:v>B</x:v>
      </x:c>
      <x:c r="F126" s="19" t="str">
        <x:v>EXECUTABLE_NGRAM</x:v>
      </x:c>
      <x:c r="G126" s="19" t="str">
        <x:v>CLIMATE_SPECIFIC</x:v>
      </x:c>
      <x:c r="H126" s="19" t="str">
        <x:v>eng</x:v>
      </x:c>
      <x:c r="I126" s="19" t="str">
        <x:v>current English corpus (July 2024 dataset; public shorthand eng; mutable current corpus)</x:v>
      </x:c>
      <x:c r="J126" s="19" t="str">
        <x:v>1842</x:v>
      </x:c>
      <x:c r="K126" s="19" t="str">
        <x:v>2022</x:v>
      </x:c>
      <x:c r="L126" s="25" t="n">
        <x:v>1843</x:v>
      </x:c>
      <x:c r="M126" s="25" t="n">
        <x:v>108</x:v>
      </x:c>
      <x:c r="N126" s="25" t="n">
        <x:v>2013</x:v>
      </x:c>
      <x:c r="O126" s="46" t="n">
        <x:v>4.202323069524283e-7</x:v>
      </x:c>
      <x:c r="P126" s="19" t="str">
        <x:v>2.992826562686624e-07</x:v>
      </x:c>
      <x:c r="Q126" s="19" t="str">
        <x:v>0</x:v>
      </x:c>
      <x:c r="R126" s="19" t="str">
        <x:v>6.682317199580012e-10</x:v>
      </x:c>
      <x:c r="S126" s="19" t="str">
        <x:v>1.403666166632789e-07</x:v>
      </x:c>
      <x:c r="T126" s="19" t="str">
        <x:v>2.739578170152246e-07</x:v>
      </x:c>
      <x:c r="U126" s="19" t="str">
        <x:v>3.127591374774141e-07</x:v>
      </x:c>
      <x:c r="V126" s="46" t="n">
        <x:v>2.933584772463194e-7</x:v>
      </x:c>
      <x:c r="W126" s="19" t="str">
        <x:v>2.867988619925654e-07</x:v>
      </x:c>
      <x:c r="X126" s="19" t="str">
        <x:v>2.992826562686624e-07</x:v>
      </x:c>
      <x:c r="Y126" s="19" t="str">
        <x:v>2.992826562686624e-07</x:v>
      </x:c>
      <x:c r="Z126" s="25" t="n">
        <x:v>2022</x:v>
      </x:c>
      <x:c r="AA126" s="19" t="str">
        <x:v>AVAILABLE</x:v>
      </x:c>
      <x:c r="AB126" s="19" t="str">
        <x:v>AVAILABLE</x:v>
      </x:c>
      <x:c r="AC126" s="43" t="str">
        <x:v>Climate/temperature-linked lexical frequency; still not evidence of reception, voice, or affect without passage review.</x:v>
      </x:c>
    </x:row>
    <x:row r="127" ht="24" customHeight="1">
      <x:c r="A127" s="40" t="str">
        <x:v>FT-Q-V01-123</x:v>
      </x:c>
      <x:c r="B127" s="31" t="str">
        <x:v>climate crisis</x:v>
      </x:c>
      <x:c r="C127" s="31" t="str">
        <x:v>climate crisis issue label</x:v>
      </x:c>
      <x:c r="D127" s="31" t="str">
        <x:v>crisis_emergency</x:v>
      </x:c>
      <x:c r="E127" s="19" t="str">
        <x:v>D</x:v>
      </x:c>
      <x:c r="F127" s="19" t="str">
        <x:v>EXECUTABLE_NGRAM</x:v>
      </x:c>
      <x:c r="G127" s="19" t="str">
        <x:v>CLIMATE_SPECIFIC</x:v>
      </x:c>
      <x:c r="H127" s="19" t="str">
        <x:v>eng</x:v>
      </x:c>
      <x:c r="I127" s="19" t="str">
        <x:v>current English corpus (July 2024 dataset; public shorthand eng; mutable current corpus)</x:v>
      </x:c>
      <x:c r="J127" s="19" t="str">
        <x:v>1842</x:v>
      </x:c>
      <x:c r="K127" s="19" t="str">
        <x:v>2022</x:v>
      </x:c>
      <x:c r="L127" s="25" t="n">
        <x:v>1867</x:v>
      </x:c>
      <x:c r="M127" s="25" t="n">
        <x:v>69</x:v>
      </x:c>
      <x:c r="N127" s="25" t="n">
        <x:v>2022</x:v>
      </x:c>
      <x:c r="O127" s="46" t="n">
        <x:v>9.38814122442011e-7</x:v>
      </x:c>
      <x:c r="P127" s="19" t="str">
        <x:v>9.38814122442011e-07</x:v>
      </x:c>
      <x:c r="Q127" s="19" t="str">
        <x:v>0</x:v>
      </x:c>
      <x:c r="R127" s="19" t="str">
        <x:v>0</x:v>
      </x:c>
      <x:c r="S127" s="19" t="str">
        <x:v>1.974213945099557e-09</x:v>
      </x:c>
      <x:c r="T127" s="19" t="str">
        <x:v>1.721392753339934e-08</x:v>
      </x:c>
      <x:c r="U127" s="19" t="str">
        <x:v>4.511035556209464e-08</x:v>
      </x:c>
      <x:c r="V127" s="46" t="n">
        <x:v>3.116214154774699e-8</x:v>
      </x:c>
      <x:c r="W127" s="19" t="str">
        <x:v>8.700639558822942e-08</x:v>
      </x:c>
      <x:c r="X127" s="19" t="str">
        <x:v>9.38814122442011e-07</x:v>
      </x:c>
      <x:c r="Y127" s="19" t="str">
        <x:v>9.38814122442011e-07</x:v>
      </x:c>
      <x:c r="Z127" s="25" t="n">
        <x:v>2022</x:v>
      </x:c>
      <x:c r="AA127" s="19" t="str">
        <x:v>AVAILABLE</x:v>
      </x:c>
      <x:c r="AB127" s="19" t="str">
        <x:v>AVAILABLE</x:v>
      </x:c>
      <x:c r="AC127" s="43" t="str">
        <x:v>Climate/temperature-linked lexical frequency; still not evidence of reception, voice, or affect without passage review.</x:v>
      </x:c>
    </x:row>
    <x:row r="128" ht="24" customHeight="1">
      <x:c r="A128" s="40" t="str">
        <x:v>FT-Q-V01-124</x:v>
      </x:c>
      <x:c r="B128" s="31" t="str">
        <x:v>climate emergency</x:v>
      </x:c>
      <x:c r="C128" s="31" t="str">
        <x:v>climate emergency frame / declaration</x:v>
      </x:c>
      <x:c r="D128" s="31" t="str">
        <x:v>crisis_emergency</x:v>
      </x:c>
      <x:c r="E128" s="19" t="str">
        <x:v>D</x:v>
      </x:c>
      <x:c r="F128" s="19" t="str">
        <x:v>EXECUTABLE_NGRAM</x:v>
      </x:c>
      <x:c r="G128" s="19" t="str">
        <x:v>CLIMATE_SPECIFIC</x:v>
      </x:c>
      <x:c r="H128" s="19" t="str">
        <x:v>eng</x:v>
      </x:c>
      <x:c r="I128" s="19" t="str">
        <x:v>current English corpus (July 2024 dataset; public shorthand eng; mutable current corpus)</x:v>
      </x:c>
      <x:c r="J128" s="19" t="str">
        <x:v>1842</x:v>
      </x:c>
      <x:c r="K128" s="19" t="str">
        <x:v>2022</x:v>
      </x:c>
      <x:c r="L128" s="25" t="n">
        <x:v>1846</x:v>
      </x:c>
      <x:c r="M128" s="25" t="n">
        <x:v>45</x:v>
      </x:c>
      <x:c r="N128" s="25" t="n">
        <x:v>2022</x:v>
      </x:c>
      <x:c r="O128" s="46" t="n">
        <x:v>2.626078123846298e-7</x:v>
      </x:c>
      <x:c r="P128" s="19" t="str">
        <x:v>2.626078123846298e-07</x:v>
      </x:c>
      <x:c r="Q128" s="19" t="str">
        <x:v>0</x:v>
      </x:c>
      <x:c r="R128" s="19" t="str">
        <x:v>0</x:v>
      </x:c>
      <x:c r="S128" s="19" t="str">
        <x:v>0</x:v>
      </x:c>
      <x:c r="T128" s="19" t="str">
        <x:v>4.578172285718551e-10</x:v>
      </x:c>
      <x:c r="U128" s="19" t="str">
        <x:v>1.079410283377769e-09</x:v>
      </x:c>
      <x:c r="V128" s="46" t="n">
        <x:v>7.686137559748119e-10</x:v>
      </x:c>
      <x:c r="W128" s="19" t="str">
        <x:v>6.398215714187305e-09</x:v>
      </x:c>
      <x:c r="X128" s="19" t="str">
        <x:v>2.626078123846298e-07</x:v>
      </x:c>
      <x:c r="Y128" s="19" t="str">
        <x:v>2.626078123846298e-07</x:v>
      </x:c>
      <x:c r="Z128" s="25" t="n">
        <x:v>2022</x:v>
      </x:c>
      <x:c r="AA128" s="19" t="str">
        <x:v>AVAILABLE</x:v>
      </x:c>
      <x:c r="AB128" s="19" t="str">
        <x:v>AVAILABLE</x:v>
      </x:c>
      <x:c r="AC128" s="43" t="str">
        <x:v>Climate/temperature-linked lexical frequency; still not evidence of reception, voice, or affect without passage review.</x:v>
      </x:c>
    </x:row>
    <x:row r="129" ht="24" customHeight="1">
      <x:c r="A129" s="40" t="str">
        <x:v>FT-Q-V01-125</x:v>
      </x:c>
      <x:c r="B129" s="31" t="str">
        <x:v>heat</x:v>
      </x:c>
      <x:c r="C129" s="31" t="str">
        <x:v>physical heat source / state</x:v>
      </x:c>
      <x:c r="D129" s="31" t="str">
        <x:v>heat</x:v>
      </x:c>
      <x:c r="E129" s="19" t="str">
        <x:v>A</x:v>
      </x:c>
      <x:c r="F129" s="19" t="str">
        <x:v>BACKGROUND_AMBIGUOUS</x:v>
      </x:c>
      <x:c r="G129" s="19" t="str">
        <x:v>BACKGROUND_AMBIGUOUS</x:v>
      </x:c>
      <x:c r="H129" s="19" t="str">
        <x:v>eng</x:v>
      </x:c>
      <x:c r="I129" s="19" t="str">
        <x:v>current English corpus (July 2024 dataset; public shorthand eng; mutable current corpus)</x:v>
      </x:c>
      <x:c r="J129" s="19" t="str">
        <x:v>1842</x:v>
      </x:c>
      <x:c r="K129" s="19" t="str">
        <x:v>2022</x:v>
      </x:c>
      <x:c r="L129" s="25" t="n">
        <x:v>1842</x:v>
      </x:c>
      <x:c r="M129" s="25" t="n">
        <x:v>181</x:v>
      </x:c>
      <x:c r="N129" s="25" t="n">
        <x:v>1962</x:v>
      </x:c>
      <x:c r="O129" s="46" t="n">
        <x:v>0.0001195692521719638</x:v>
      </x:c>
      <x:c r="P129" s="19" t="str">
        <x:v>8.563693643673723e-05</x:v>
      </x:c>
      <x:c r="Q129" s="19" t="str">
        <x:v>7.384357303408251e-05</x:v>
      </x:c>
      <x:c r="R129" s="19" t="str">
        <x:v>8.523965218273921e-05</x:v>
      </x:c>
      <x:c r="S129" s="19" t="str">
        <x:v>8.679989608225552e-05</x:v>
      </x:c>
      <x:c r="T129" s="19" t="str">
        <x:v>6.360847071413406e-05</x:v>
      </x:c>
      <x:c r="U129" s="19" t="str">
        <x:v>6.960987830585685e-05</x:v>
      </x:c>
      <x:c r="V129" s="46" t="n">
        <x:v>0.00006660917450999546</x:v>
      </x:c>
      <x:c r="W129" s="19" t="str">
        <x:v>8.562833311283324e-05</x:v>
      </x:c>
      <x:c r="X129" s="19" t="str">
        <x:v>8.563693643673723e-05</x:v>
      </x:c>
      <x:c r="Y129" s="19" t="str">
        <x:v>8.563693643673723e-05</x:v>
      </x:c>
      <x:c r="Z129" s="25" t="n">
        <x:v>2022</x:v>
      </x:c>
      <x:c r="AA129" s="19" t="str">
        <x:v>AVAILABLE</x:v>
      </x:c>
      <x:c r="AB129" s="19" t="str">
        <x:v>AVAILABLE</x:v>
      </x:c>
      <x:c r="AC129" s="43" t="str">
        <x:v>Generic corpus string frequency; not climate-specific semantic frequency.</x:v>
      </x:c>
    </x:row>
    <x:row r="130" ht="24" customHeight="1">
      <x:c r="A130" s="40" t="str">
        <x:v>FT-Q-V01-126</x:v>
      </x:c>
      <x:c r="B130" s="31" t="str">
        <x:v>extreme heat</x:v>
      </x:c>
      <x:c r="C130" s="31" t="str">
        <x:v>extreme-heat hazard</x:v>
      </x:c>
      <x:c r="D130" s="31" t="str">
        <x:v>heat</x:v>
      </x:c>
      <x:c r="E130" s="19" t="str">
        <x:v>A</x:v>
      </x:c>
      <x:c r="F130" s="19" t="str">
        <x:v>EXECUTABLE_NGRAM</x:v>
      </x:c>
      <x:c r="G130" s="19" t="str">
        <x:v>CLIMATE_SPECIFIC</x:v>
      </x:c>
      <x:c r="H130" s="19" t="str">
        <x:v>eng</x:v>
      </x:c>
      <x:c r="I130" s="19" t="str">
        <x:v>current English corpus (July 2024 dataset; public shorthand eng; mutable current corpus)</x:v>
      </x:c>
      <x:c r="J130" s="19" t="str">
        <x:v>1842</x:v>
      </x:c>
      <x:c r="K130" s="19" t="str">
        <x:v>2022</x:v>
      </x:c>
      <x:c r="L130" s="25" t="n">
        <x:v>1842</x:v>
      </x:c>
      <x:c r="M130" s="25" t="n">
        <x:v>181</x:v>
      </x:c>
      <x:c r="N130" s="25" t="n">
        <x:v>1846</x:v>
      </x:c>
      <x:c r="O130" s="46" t="n">
        <x:v>4.326385322217519e-7</x:v>
      </x:c>
      <x:c r="P130" s="19" t="str">
        <x:v>3.640498242307721e-07</x:v>
      </x:c>
      <x:c r="Q130" s="19" t="str">
        <x:v>3.295890467214235e-07</x:v>
      </x:c>
      <x:c r="R130" s="19" t="str">
        <x:v>1.961260114313745e-07</x:v>
      </x:c>
      <x:c r="S130" s="19" t="str">
        <x:v>1.261029182117457e-07</x:v>
      </x:c>
      <x:c r="T130" s="19" t="str">
        <x:v>1.71086288733302e-07</x:v>
      </x:c>
      <x:c r="U130" s="19" t="str">
        <x:v>1.790471816642825e-07</x:v>
      </x:c>
      <x:c r="V130" s="46" t="n">
        <x:v>1.750667351987922e-7</x:v>
      </x:c>
      <x:c r="W130" s="19" t="str">
        <x:v>2.309896030561198e-07</x:v>
      </x:c>
      <x:c r="X130" s="19" t="str">
        <x:v>3.640498242307721e-07</x:v>
      </x:c>
      <x:c r="Y130" s="19" t="str">
        <x:v>3.640498242307721e-07</x:v>
      </x:c>
      <x:c r="Z130" s="25" t="n">
        <x:v>2022</x:v>
      </x:c>
      <x:c r="AA130" s="19" t="str">
        <x:v>AVAILABLE</x:v>
      </x:c>
      <x:c r="AB130" s="19" t="str">
        <x:v>AVAILABLE</x:v>
      </x:c>
      <x:c r="AC130" s="43" t="str">
        <x:v>Climate/temperature-linked lexical frequency; still not evidence of reception, voice, or affect without passage review.</x:v>
      </x:c>
    </x:row>
    <x:row r="131" ht="24" customHeight="1">
      <x:c r="A131" s="40" t="str">
        <x:v>FT-Q-V01-127</x:v>
      </x:c>
      <x:c r="B131" s="31" t="str">
        <x:v>fear</x:v>
      </x:c>
      <x:c r="C131" s="31" t="str">
        <x:v>direct fear</x:v>
      </x:c>
      <x:c r="D131" s="31" t="str">
        <x:v>fear_afraid</x:v>
      </x:c>
      <x:c r="E131" s="19" t="str">
        <x:v>C</x:v>
      </x:c>
      <x:c r="F131" s="19" t="str">
        <x:v>BACKGROUND_AMBIGUOUS</x:v>
      </x:c>
      <x:c r="G131" s="19" t="str">
        <x:v>BACKGROUND_AMBIGUOUS</x:v>
      </x:c>
      <x:c r="H131" s="19" t="str">
        <x:v>eng</x:v>
      </x:c>
      <x:c r="I131" s="19" t="str">
        <x:v>current English corpus (July 2024 dataset; public shorthand eng; mutable current corpus)</x:v>
      </x:c>
      <x:c r="J131" s="19" t="str">
        <x:v>1842</x:v>
      </x:c>
      <x:c r="K131" s="19" t="str">
        <x:v>2022</x:v>
      </x:c>
      <x:c r="L131" s="25" t="n">
        <x:v>1842</x:v>
      </x:c>
      <x:c r="M131" s="25" t="n">
        <x:v>181</x:v>
      </x:c>
      <x:c r="N131" s="25" t="n">
        <x:v>1850</x:v>
      </x:c>
      <x:c r="O131" s="46" t="n">
        <x:v>0.0001042104346993256</x:v>
      </x:c>
      <x:c r="P131" s="19" t="str">
        <x:v>8.766914891196811e-05</x:v>
      </x:c>
      <x:c r="Q131" s="19" t="str">
        <x:v>9.290729823874244e-05</x:v>
      </x:c>
      <x:c r="R131" s="19" t="str">
        <x:v>2.982965392561709e-05</x:v>
      </x:c>
      <x:c r="S131" s="19" t="str">
        <x:v>3.016979552554824e-05</x:v>
      </x:c>
      <x:c r="T131" s="19" t="str">
        <x:v>5.018035645446006e-05</x:v>
      </x:c>
      <x:c r="U131" s="19" t="str">
        <x:v>5.328952276396903e-05</x:v>
      </x:c>
      <x:c r="V131" s="46" t="n">
        <x:v>0.00005173493960921455</x:v>
      </x:c>
      <x:c r="W131" s="19" t="str">
        <x:v>8.53677230498312e-05</x:v>
      </x:c>
      <x:c r="X131" s="19" t="str">
        <x:v>8.766914891196811e-05</x:v>
      </x:c>
      <x:c r="Y131" s="19" t="str">
        <x:v>8.766914891196811e-05</x:v>
      </x:c>
      <x:c r="Z131" s="25" t="n">
        <x:v>2022</x:v>
      </x:c>
      <x:c r="AA131" s="19" t="str">
        <x:v>AVAILABLE</x:v>
      </x:c>
      <x:c r="AB131" s="19" t="str">
        <x:v>AVAILABLE</x:v>
      </x:c>
      <x:c r="AC131" s="43" t="str">
        <x:v>Generic corpus string frequency; not climate-specific semantic frequency.</x:v>
      </x:c>
    </x:row>
    <x:row r="132" ht="24" customHeight="1">
      <x:c r="A132" s="40" t="str">
        <x:v>FT-Q-V01-128</x:v>
      </x:c>
      <x:c r="B132" s="31" t="str">
        <x:v>worry</x:v>
      </x:c>
      <x:c r="C132" s="31" t="str">
        <x:v>spontaneous worry</x:v>
      </x:c>
      <x:c r="D132" s="31" t="str">
        <x:v>worry</x:v>
      </x:c>
      <x:c r="E132" s="19" t="str">
        <x:v>C</x:v>
      </x:c>
      <x:c r="F132" s="19" t="str">
        <x:v>BACKGROUND_AMBIGUOUS</x:v>
      </x:c>
      <x:c r="G132" s="19" t="str">
        <x:v>BACKGROUND_AMBIGUOUS</x:v>
      </x:c>
      <x:c r="H132" s="19" t="str">
        <x:v>eng</x:v>
      </x:c>
      <x:c r="I132" s="19" t="str">
        <x:v>current English corpus (July 2024 dataset; public shorthand eng; mutable current corpus)</x:v>
      </x:c>
      <x:c r="J132" s="19" t="str">
        <x:v>1842</x:v>
      </x:c>
      <x:c r="K132" s="19" t="str">
        <x:v>2022</x:v>
      </x:c>
      <x:c r="L132" s="25" t="n">
        <x:v>1842</x:v>
      </x:c>
      <x:c r="M132" s="25" t="n">
        <x:v>181</x:v>
      </x:c>
      <x:c r="N132" s="25" t="n">
        <x:v>2020</x:v>
      </x:c>
      <x:c r="O132" s="46" t="n">
        <x:v>0.00006196994795857821</x:v>
      </x:c>
      <x:c r="P132" s="19" t="str">
        <x:v>3.846438818300157e-05</x:v>
      </x:c>
      <x:c r="Q132" s="19" t="str">
        <x:v>4.805623241566082e-07</x:v>
      </x:c>
      <x:c r="R132" s="19" t="str">
        <x:v>7.171509579961821e-06</x:v>
      </x:c>
      <x:c r="S132" s="19" t="str">
        <x:v>8.552264262107201e-06</x:v>
      </x:c>
      <x:c r="T132" s="19" t="str">
        <x:v>1.784828057793675e-05</x:v>
      </x:c>
      <x:c r="U132" s="19" t="str">
        <x:v>1.894994632323233e-05</x:v>
      </x:c>
      <x:c r="V132" s="46" t="n">
        <x:v>0.00001839911345058454</x:v>
      </x:c>
      <x:c r="W132" s="19" t="str">
        <x:v>3.979197197168105e-05</x:v>
      </x:c>
      <x:c r="X132" s="19" t="str">
        <x:v>3.846438818300157e-05</x:v>
      </x:c>
      <x:c r="Y132" s="19" t="str">
        <x:v>3.846438818300157e-05</x:v>
      </x:c>
      <x:c r="Z132" s="25" t="n">
        <x:v>2022</x:v>
      </x:c>
      <x:c r="AA132" s="19" t="str">
        <x:v>AVAILABLE</x:v>
      </x:c>
      <x:c r="AB132" s="19" t="str">
        <x:v>AVAILABLE</x:v>
      </x:c>
      <x:c r="AC132" s="43" t="str">
        <x:v>Generic corpus string frequency; not climate-specific semantic frequency.</x:v>
      </x:c>
    </x:row>
    <x:row r="133" ht="24" customHeight="1">
      <x:c r="A133" s="40" t="str">
        <x:v>FT-Q-V01-129</x:v>
      </x:c>
      <x:c r="B133" s="31" t="str">
        <x:v>worried</x:v>
      </x:c>
      <x:c r="C133" s="31" t="str">
        <x:v>spontaneous worry</x:v>
      </x:c>
      <x:c r="D133" s="31" t="str">
        <x:v>worry</x:v>
      </x:c>
      <x:c r="E133" s="19" t="str">
        <x:v>C</x:v>
      </x:c>
      <x:c r="F133" s="19" t="str">
        <x:v>BACKGROUND_AMBIGUOUS</x:v>
      </x:c>
      <x:c r="G133" s="19" t="str">
        <x:v>BACKGROUND_AMBIGUOUS</x:v>
      </x:c>
      <x:c r="H133" s="19" t="str">
        <x:v>eng</x:v>
      </x:c>
      <x:c r="I133" s="19" t="str">
        <x:v>current English corpus (July 2024 dataset; public shorthand eng; mutable current corpus)</x:v>
      </x:c>
      <x:c r="J133" s="19" t="str">
        <x:v>1842</x:v>
      </x:c>
      <x:c r="K133" s="19" t="str">
        <x:v>2022</x:v>
      </x:c>
      <x:c r="L133" s="25" t="n">
        <x:v>1842</x:v>
      </x:c>
      <x:c r="M133" s="25" t="n">
        <x:v>181</x:v>
      </x:c>
      <x:c r="N133" s="25" t="n">
        <x:v>2020</x:v>
      </x:c>
      <x:c r="O133" s="46" t="n">
        <x:v>0.00004567738176319835</x:v>
      </x:c>
      <x:c r="P133" s="19" t="str">
        <x:v>2.789063478303433e-05</x:v>
      </x:c>
      <x:c r="Q133" s="19" t="str">
        <x:v>4.769124855030782e-07</x:v>
      </x:c>
      <x:c r="R133" s="19" t="str">
        <x:v>3.260957816664245e-06</x:v>
      </x:c>
      <x:c r="S133" s="19" t="str">
        <x:v>5.68047238402869e-06</x:v>
      </x:c>
      <x:c r="T133" s="19" t="str">
        <x:v>1.124815432973492e-05</x:v>
      </x:c>
      <x:c r="U133" s="19" t="str">
        <x:v>1.229906930433344e-05</x:v>
      </x:c>
      <x:c r="V133" s="46" t="n">
        <x:v>0.00001177361181703418</x:v>
      </x:c>
      <x:c r="W133" s="19" t="str">
        <x:v>2.799075704729148e-05</x:v>
      </x:c>
      <x:c r="X133" s="19" t="str">
        <x:v>2.789063478303433e-05</x:v>
      </x:c>
      <x:c r="Y133" s="19" t="str">
        <x:v>2.789063478303433e-05</x:v>
      </x:c>
      <x:c r="Z133" s="25" t="n">
        <x:v>2022</x:v>
      </x:c>
      <x:c r="AA133" s="19" t="str">
        <x:v>AVAILABLE</x:v>
      </x:c>
      <x:c r="AB133" s="19" t="str">
        <x:v>AVAILABLE</x:v>
      </x:c>
      <x:c r="AC133" s="43" t="str">
        <x:v>Generic corpus string frequency; not climate-specific semantic frequency.</x:v>
      </x:c>
    </x:row>
    <x:row r="134" ht="24" customHeight="1">
      <x:c r="A134" s="40" t="str">
        <x:v>FT-Q-V01-130</x:v>
      </x:c>
      <x:c r="B134" s="31" t="str">
        <x:v>concern</x:v>
      </x:c>
      <x:c r="C134" s="31" t="str">
        <x:v>personal concern</x:v>
      </x:c>
      <x:c r="D134" s="31" t="str">
        <x:v>concern_alarm</x:v>
      </x:c>
      <x:c r="E134" s="19" t="str">
        <x:v>C</x:v>
      </x:c>
      <x:c r="F134" s="19" t="str">
        <x:v>BACKGROUND_AMBIGUOUS</x:v>
      </x:c>
      <x:c r="G134" s="19" t="str">
        <x:v>BACKGROUND_AMBIGUOUS</x:v>
      </x:c>
      <x:c r="H134" s="19" t="str">
        <x:v>eng</x:v>
      </x:c>
      <x:c r="I134" s="19" t="str">
        <x:v>current English corpus (July 2024 dataset; public shorthand eng; mutable current corpus)</x:v>
      </x:c>
      <x:c r="J134" s="19" t="str">
        <x:v>1842</x:v>
      </x:c>
      <x:c r="K134" s="19" t="str">
        <x:v>2022</x:v>
      </x:c>
      <x:c r="L134" s="25" t="n">
        <x:v>1842</x:v>
      </x:c>
      <x:c r="M134" s="25" t="n">
        <x:v>181</x:v>
      </x:c>
      <x:c r="N134" s="25" t="n">
        <x:v>1980</x:v>
      </x:c>
      <x:c r="O134" s="46" t="n">
        <x:v>0.00005580853074187153</x:v>
      </x:c>
      <x:c r="P134" s="19" t="str">
        <x:v>4.295100018327641e-05</x:v>
      </x:c>
      <x:c r="Q134" s="19" t="str">
        <x:v>1.612012939489205e-05</x:v>
      </x:c>
      <x:c r="R134" s="19" t="str">
        <x:v>2.328789579256196e-05</x:v>
      </x:c>
      <x:c r="S134" s="19" t="str">
        <x:v>5.265726562726086e-05</x:v>
      </x:c>
      <x:c r="T134" s="19" t="str">
        <x:v>4.750323816384017e-05</x:v>
      </x:c>
      <x:c r="U134" s="19" t="str">
        <x:v>4.754463289202704e-05</x:v>
      </x:c>
      <x:c r="V134" s="46" t="n">
        <x:v>0.0000475239355279336</x:v>
      </x:c>
      <x:c r="W134" s="19" t="str">
        <x:v>4.886092219905103e-05</x:v>
      </x:c>
      <x:c r="X134" s="19" t="str">
        <x:v>4.295100018327641e-05</x:v>
      </x:c>
      <x:c r="Y134" s="19" t="str">
        <x:v>4.295100018327641e-05</x:v>
      </x:c>
      <x:c r="Z134" s="25" t="n">
        <x:v>2022</x:v>
      </x:c>
      <x:c r="AA134" s="19" t="str">
        <x:v>AVAILABLE</x:v>
      </x:c>
      <x:c r="AB134" s="19" t="str">
        <x:v>AVAILABLE</x:v>
      </x:c>
      <x:c r="AC134" s="43" t="str">
        <x:v>Generic corpus string frequency; not climate-specific semantic frequency.</x:v>
      </x:c>
    </x:row>
    <x:row r="135" ht="24" customHeight="1">
      <x:c r="A135" s="40" t="str">
        <x:v>FT-Q-V01-131</x:v>
      </x:c>
      <x:c r="B135" s="31" t="str">
        <x:v>anxiety</x:v>
      </x:c>
      <x:c r="C135" s="31" t="str">
        <x:v>anxious affect</x:v>
      </x:c>
      <x:c r="D135" s="31" t="str">
        <x:v>anxiety</x:v>
      </x:c>
      <x:c r="E135" s="19" t="str">
        <x:v>C</x:v>
      </x:c>
      <x:c r="F135" s="19" t="str">
        <x:v>BACKGROUND_AMBIGUOUS</x:v>
      </x:c>
      <x:c r="G135" s="19" t="str">
        <x:v>BACKGROUND_AMBIGUOUS</x:v>
      </x:c>
      <x:c r="H135" s="19" t="str">
        <x:v>eng</x:v>
      </x:c>
      <x:c r="I135" s="19" t="str">
        <x:v>current English corpus (July 2024 dataset; public shorthand eng; mutable current corpus)</x:v>
      </x:c>
      <x:c r="J135" s="19" t="str">
        <x:v>1842</x:v>
      </x:c>
      <x:c r="K135" s="19" t="str">
        <x:v>2022</x:v>
      </x:c>
      <x:c r="L135" s="25" t="n">
        <x:v>1842</x:v>
      </x:c>
      <x:c r="M135" s="25" t="n">
        <x:v>181</x:v>
      </x:c>
      <x:c r="N135" s="25" t="n">
        <x:v>2022</x:v>
      </x:c>
      <x:c r="O135" s="46" t="n">
        <x:v>0.00003612426158383641</x:v>
      </x:c>
      <x:c r="P135" s="19" t="str">
        <x:v>3.612426158383641e-05</x:v>
      </x:c>
      <x:c r="Q135" s="19" t="str">
        <x:v>2.187045254231634e-05</x:v>
      </x:c>
      <x:c r="R135" s="19" t="str">
        <x:v>5.693942370044169e-06</x:v>
      </x:c>
      <x:c r="S135" s="19" t="str">
        <x:v>1.336584155353648e-05</x:v>
      </x:c>
      <x:c r="T135" s="19" t="str">
        <x:v>1.985612161092831e-05</x:v>
      </x:c>
      <x:c r="U135" s="19" t="str">
        <x:v>2.133666293957504e-05</x:v>
      </x:c>
      <x:c r="V135" s="46" t="n">
        <x:v>0.00002059639227525167</x:v>
      </x:c>
      <x:c r="W135" s="19" t="str">
        <x:v>3.08450222803458e-05</x:v>
      </x:c>
      <x:c r="X135" s="19" t="str">
        <x:v>3.612426158383641e-05</x:v>
      </x:c>
      <x:c r="Y135" s="19" t="str">
        <x:v>3.612426158383641e-05</x:v>
      </x:c>
      <x:c r="Z135" s="25" t="n">
        <x:v>2022</x:v>
      </x:c>
      <x:c r="AA135" s="19" t="str">
        <x:v>AVAILABLE</x:v>
      </x:c>
      <x:c r="AB135" s="19" t="str">
        <x:v>AVAILABLE</x:v>
      </x:c>
      <x:c r="AC135" s="43" t="str">
        <x:v>Generic corpus string frequency; not climate-specific semantic frequency.</x:v>
      </x:c>
    </x:row>
    <x:row r="136" ht="24" customHeight="1">
      <x:c r="A136" s="40" t="str">
        <x:v>FT-Q-V01-132</x:v>
      </x:c>
      <x:c r="B136" s="31" t="str">
        <x:v>danger</x:v>
      </x:c>
      <x:c r="C136" s="31" t="str">
        <x:v>hazard evaluation</x:v>
      </x:c>
      <x:c r="D136" s="31" t="str">
        <x:v>danger_threat</x:v>
      </x:c>
      <x:c r="E136" s="19" t="str">
        <x:v>D</x:v>
      </x:c>
      <x:c r="F136" s="19" t="str">
        <x:v>BACKGROUND_AMBIGUOUS</x:v>
      </x:c>
      <x:c r="G136" s="19" t="str">
        <x:v>BACKGROUND_AMBIGUOUS</x:v>
      </x:c>
      <x:c r="H136" s="19" t="str">
        <x:v>eng</x:v>
      </x:c>
      <x:c r="I136" s="19" t="str">
        <x:v>current English corpus (July 2024 dataset; public shorthand eng; mutable current corpus)</x:v>
      </x:c>
      <x:c r="J136" s="19" t="str">
        <x:v>1842</x:v>
      </x:c>
      <x:c r="K136" s="19" t="str">
        <x:v>2022</x:v>
      </x:c>
      <x:c r="L136" s="25" t="n">
        <x:v>1842</x:v>
      </x:c>
      <x:c r="M136" s="25" t="n">
        <x:v>181</x:v>
      </x:c>
      <x:c r="N136" s="25" t="n">
        <x:v>1848</x:v>
      </x:c>
      <x:c r="O136" s="46" t="n">
        <x:v>0.0000680098231100601</x:v>
      </x:c>
      <x:c r="P136" s="19" t="str">
        <x:v>3.447699095004975e-05</x:v>
      </x:c>
      <x:c r="Q136" s="19" t="str">
        <x:v>6.476216250916877e-05</x:v>
      </x:c>
      <x:c r="R136" s="19" t="str">
        <x:v>3.397146667794004e-05</x:v>
      </x:c>
      <x:c r="S136" s="19" t="str">
        <x:v>1.925716885878628e-05</x:v>
      </x:c>
      <x:c r="T136" s="19" t="str">
        <x:v>2.236469851597117e-05</x:v>
      </x:c>
      <x:c r="U136" s="19" t="str">
        <x:v>2.336907294875346e-05</x:v>
      </x:c>
      <x:c r="V136" s="46" t="n">
        <x:v>0.00002286688573236231</x:v>
      </x:c>
      <x:c r="W136" s="19" t="str">
        <x:v>3.182665381018523e-05</x:v>
      </x:c>
      <x:c r="X136" s="19" t="str">
        <x:v>3.447699095004975e-05</x:v>
      </x:c>
      <x:c r="Y136" s="19" t="str">
        <x:v>3.447699095004975e-05</x:v>
      </x:c>
      <x:c r="Z136" s="25" t="n">
        <x:v>2022</x:v>
      </x:c>
      <x:c r="AA136" s="19" t="str">
        <x:v>AVAILABLE</x:v>
      </x:c>
      <x:c r="AB136" s="19" t="str">
        <x:v>AVAILABLE</x:v>
      </x:c>
      <x:c r="AC136" s="43" t="str">
        <x:v>Generic corpus string frequency; not climate-specific semantic frequency.</x:v>
      </x:c>
    </x:row>
    <x:row r="137" ht="24" customHeight="1">
      <x:c r="A137" s="40" t="str">
        <x:v>FT-Q-V01-133</x:v>
      </x:c>
      <x:c r="B137" s="31" t="str">
        <x:v>threat</x:v>
      </x:c>
      <x:c r="C137" s="31" t="str">
        <x:v>institutional climate threat</x:v>
      </x:c>
      <x:c r="D137" s="31" t="str">
        <x:v>danger_threat</x:v>
      </x:c>
      <x:c r="E137" s="19" t="str">
        <x:v>D</x:v>
      </x:c>
      <x:c r="F137" s="19" t="str">
        <x:v>BACKGROUND_AMBIGUOUS</x:v>
      </x:c>
      <x:c r="G137" s="19" t="str">
        <x:v>BACKGROUND_AMBIGUOUS</x:v>
      </x:c>
      <x:c r="H137" s="19" t="str">
        <x:v>eng</x:v>
      </x:c>
      <x:c r="I137" s="19" t="str">
        <x:v>current English corpus (July 2024 dataset; public shorthand eng; mutable current corpus)</x:v>
      </x:c>
      <x:c r="J137" s="19" t="str">
        <x:v>1842</x:v>
      </x:c>
      <x:c r="K137" s="19" t="str">
        <x:v>2022</x:v>
      </x:c>
      <x:c r="L137" s="25" t="n">
        <x:v>1842</x:v>
      </x:c>
      <x:c r="M137" s="25" t="n">
        <x:v>181</x:v>
      </x:c>
      <x:c r="N137" s="25" t="n">
        <x:v>2016</x:v>
      </x:c>
      <x:c r="O137" s="46" t="n">
        <x:v>0.00003743174778492175</x:v>
      </x:c>
      <x:c r="P137" s="19" t="str">
        <x:v>3.306681564652081e-05</x:v>
      </x:c>
      <x:c r="Q137" s="19" t="str">
        <x:v>2.933255078829689e-06</x:v>
      </x:c>
      <x:c r="R137" s="19" t="str">
        <x:v>6.94792089461771e-06</x:v>
      </x:c>
      <x:c r="S137" s="19" t="str">
        <x:v>2.416082722334068e-05</x:v>
      </x:c>
      <x:c r="T137" s="19" t="str">
        <x:v>3.019828658068491e-05</x:v>
      </x:c>
      <x:c r="U137" s="19" t="str">
        <x:v>3.021426681470984e-05</x:v>
      </x:c>
      <x:c r="V137" s="46" t="n">
        <x:v>0.00003020627669769738</x:v>
      </x:c>
      <x:c r="W137" s="19" t="str">
        <x:v>3.481453398990197e-05</x:v>
      </x:c>
      <x:c r="X137" s="19" t="str">
        <x:v>3.306681564652081e-05</x:v>
      </x:c>
      <x:c r="Y137" s="19" t="str">
        <x:v>3.306681564652081e-05</x:v>
      </x:c>
      <x:c r="Z137" s="25" t="n">
        <x:v>2022</x:v>
      </x:c>
      <x:c r="AA137" s="19" t="str">
        <x:v>AVAILABLE</x:v>
      </x:c>
      <x:c r="AB137" s="19" t="str">
        <x:v>AVAILABLE</x:v>
      </x:c>
      <x:c r="AC137" s="43" t="str">
        <x:v>Generic corpus string frequency; not climate-specific semantic frequency.</x:v>
      </x:c>
    </x:row>
    <x:row r="138" ht="24" customHeight="1">
      <x:c r="A138" s="40" t="str">
        <x:v>FT-Q-V01-134</x:v>
      </x:c>
      <x:c r="B138" s="31" t="str">
        <x:v>risk</x:v>
      </x:c>
      <x:c r="C138" s="31" t="str">
        <x:v>probabilistic risk</x:v>
      </x:c>
      <x:c r="D138" s="31" t="str">
        <x:v>risk</x:v>
      </x:c>
      <x:c r="E138" s="19" t="str">
        <x:v>D</x:v>
      </x:c>
      <x:c r="F138" s="19" t="str">
        <x:v>BACKGROUND_AMBIGUOUS</x:v>
      </x:c>
      <x:c r="G138" s="19" t="str">
        <x:v>BACKGROUND_AMBIGUOUS</x:v>
      </x:c>
      <x:c r="H138" s="19" t="str">
        <x:v>eng</x:v>
      </x:c>
      <x:c r="I138" s="19" t="str">
        <x:v>current English corpus (July 2024 dataset; public shorthand eng; mutable current corpus)</x:v>
      </x:c>
      <x:c r="J138" s="19" t="str">
        <x:v>1842</x:v>
      </x:c>
      <x:c r="K138" s="19" t="str">
        <x:v>2022</x:v>
      </x:c>
      <x:c r="L138" s="25" t="n">
        <x:v>1842</x:v>
      </x:c>
      <x:c r="M138" s="25" t="n">
        <x:v>181</x:v>
      </x:c>
      <x:c r="N138" s="25" t="n">
        <x:v>2018</x:v>
      </x:c>
      <x:c r="O138" s="46" t="n">
        <x:v>0.0001718192719270539</x:v>
      </x:c>
      <x:c r="P138" s="19" t="str">
        <x:v>0.0001606175536089036</x:v>
      </x:c>
      <x:c r="Q138" s="19" t="str">
        <x:v>1.945669182745746e-05</x:v>
      </x:c>
      <x:c r="R138" s="19" t="str">
        <x:v>2.148629917542166e-05</x:v>
      </x:c>
      <x:c r="S138" s="19" t="str">
        <x:v>9.523120202559188e-05</x:v>
      </x:c>
      <x:c r="T138" s="19" t="str">
        <x:v>0.0001531028393812021</x:v>
      </x:c>
      <x:c r="U138" s="19" t="str">
        <x:v>0.0001609916869453679</x:v>
      </x:c>
      <x:c r="V138" s="46" t="n">
        <x:v>0.000157047263163285</x:v>
      </x:c>
      <x:c r="W138" s="19" t="str">
        <x:v>0.0001617306934208473</x:v>
      </x:c>
      <x:c r="X138" s="19" t="str">
        <x:v>0.0001606175536089036</x:v>
      </x:c>
      <x:c r="Y138" s="19" t="str">
        <x:v>0.0001606175536089036</x:v>
      </x:c>
      <x:c r="Z138" s="25" t="n">
        <x:v>2022</x:v>
      </x:c>
      <x:c r="AA138" s="19" t="str">
        <x:v>AVAILABLE</x:v>
      </x:c>
      <x:c r="AB138" s="19" t="str">
        <x:v>AVAILABLE</x:v>
      </x:c>
      <x:c r="AC138" s="43" t="str">
        <x:v>Generic corpus string frequency; not climate-specific semantic frequency.</x:v>
      </x:c>
    </x:row>
    <x:row r="139" ht="24" customHeight="1">
      <x:c r="A139" s="40" t="str">
        <x:v>FT-Q-V01-135</x:v>
      </x:c>
      <x:c r="B139" s="31" t="str">
        <x:v>crisis</x:v>
      </x:c>
      <x:c r="C139" s="31" t="str">
        <x:v>severity / crisis predicate</x:v>
      </x:c>
      <x:c r="D139" s="31" t="str">
        <x:v>crisis_emergency</x:v>
      </x:c>
      <x:c r="E139" s="19" t="str">
        <x:v>D</x:v>
      </x:c>
      <x:c r="F139" s="19" t="str">
        <x:v>BACKGROUND_AMBIGUOUS</x:v>
      </x:c>
      <x:c r="G139" s="19" t="str">
        <x:v>BACKGROUND_AMBIGUOUS</x:v>
      </x:c>
      <x:c r="H139" s="19" t="str">
        <x:v>eng</x:v>
      </x:c>
      <x:c r="I139" s="19" t="str">
        <x:v>current English corpus (July 2024 dataset; public shorthand eng; mutable current corpus)</x:v>
      </x:c>
      <x:c r="J139" s="19" t="str">
        <x:v>1842</x:v>
      </x:c>
      <x:c r="K139" s="19" t="str">
        <x:v>2022</x:v>
      </x:c>
      <x:c r="L139" s="25" t="n">
        <x:v>1842</x:v>
      </x:c>
      <x:c r="M139" s="25" t="n">
        <x:v>181</x:v>
      </x:c>
      <x:c r="N139" s="25" t="n">
        <x:v>2021</x:v>
      </x:c>
      <x:c r="O139" s="46" t="n">
        <x:v>0.0000515266768562235</x:v>
      </x:c>
      <x:c r="P139" s="19" t="str">
        <x:v>4.809110998900065e-05</x:v>
      </x:c>
      <x:c r="Q139" s="19" t="str">
        <x:v>7.94996059028108e-06</x:v>
      </x:c>
      <x:c r="R139" s="19" t="str">
        <x:v>1.376144248865785e-05</x:v>
      </x:c>
      <x:c r="S139" s="19" t="str">
        <x:v>3.130539030934618e-05</x:v>
      </x:c>
      <x:c r="T139" s="19" t="str">
        <x:v>3.28408971757288e-05</x:v>
      </x:c>
      <x:c r="U139" s="19" t="str">
        <x:v>3.38174911674663e-05</x:v>
      </x:c>
      <x:c r="V139" s="46" t="n">
        <x:v>0.00003332919417159755</x:v>
      </x:c>
      <x:c r="W139" s="19" t="str">
        <x:v>4.455437012765295e-05</x:v>
      </x:c>
      <x:c r="X139" s="19" t="str">
        <x:v>4.809110998900065e-05</x:v>
      </x:c>
      <x:c r="Y139" s="19" t="str">
        <x:v>4.809110998900065e-05</x:v>
      </x:c>
      <x:c r="Z139" s="25" t="n">
        <x:v>2022</x:v>
      </x:c>
      <x:c r="AA139" s="19" t="str">
        <x:v>AVAILABLE</x:v>
      </x:c>
      <x:c r="AB139" s="19" t="str">
        <x:v>AVAILABLE</x:v>
      </x:c>
      <x:c r="AC139" s="43" t="str">
        <x:v>Generic corpus string frequency; not climate-specific semantic frequency.</x:v>
      </x:c>
    </x:row>
    <x:row r="140" ht="24" customHeight="1">
      <x:c r="A140" s="40" t="str">
        <x:v>FT-Q-V01-136</x:v>
      </x:c>
      <x:c r="B140" s="31" t="str">
        <x:v>emergency</x:v>
      </x:c>
      <x:c r="C140" s="31" t="str">
        <x:v>emergency response category</x:v>
      </x:c>
      <x:c r="D140" s="31" t="str">
        <x:v>crisis_emergency</x:v>
      </x:c>
      <x:c r="E140" s="19" t="str">
        <x:v>D</x:v>
      </x:c>
      <x:c r="F140" s="19" t="str">
        <x:v>BACKGROUND_AMBIGUOUS</x:v>
      </x:c>
      <x:c r="G140" s="19" t="str">
        <x:v>BACKGROUND_AMBIGUOUS</x:v>
      </x:c>
      <x:c r="H140" s="19" t="str">
        <x:v>eng</x:v>
      </x:c>
      <x:c r="I140" s="19" t="str">
        <x:v>current English corpus (July 2024 dataset; public shorthand eng; mutable current corpus)</x:v>
      </x:c>
      <x:c r="J140" s="19" t="str">
        <x:v>1842</x:v>
      </x:c>
      <x:c r="K140" s="19" t="str">
        <x:v>2022</x:v>
      </x:c>
      <x:c r="L140" s="25" t="n">
        <x:v>1842</x:v>
      </x:c>
      <x:c r="M140" s="25" t="n">
        <x:v>181</x:v>
      </x:c>
      <x:c r="N140" s="25" t="n">
        <x:v>1942</x:v>
      </x:c>
      <x:c r="O140" s="46" t="n">
        <x:v>0.0000797291783051074</x:v>
      </x:c>
      <x:c r="P140" s="19" t="str">
        <x:v>2.919771714124386e-05</x:v>
      </x:c>
      <x:c r="Q140" s="19" t="str">
        <x:v>4.67909548618195e-06</x:v>
      </x:c>
      <x:c r="R140" s="19" t="str">
        <x:v>4.044305869846387e-05</x:v>
      </x:c>
      <x:c r="S140" s="19" t="str">
        <x:v>4.546920429717924e-05</x:v>
      </x:c>
      <x:c r="T140" s="19" t="str">
        <x:v>4.097540266245411e-05</x:v>
      </x:c>
      <x:c r="U140" s="19" t="str">
        <x:v>4.033688333133362e-05</x:v>
      </x:c>
      <x:c r="V140" s="46" t="n">
        <x:v>0.00004065614299689387</x:v>
      </x:c>
      <x:c r="W140" s="19" t="str">
        <x:v>3.082039562257721e-05</x:v>
      </x:c>
      <x:c r="X140" s="19" t="str">
        <x:v>2.919771714124386e-05</x:v>
      </x:c>
      <x:c r="Y140" s="19" t="str">
        <x:v>2.919771714124386e-05</x:v>
      </x:c>
      <x:c r="Z140" s="25" t="n">
        <x:v>2022</x:v>
      </x:c>
      <x:c r="AA140" s="19" t="str">
        <x:v>AVAILABLE</x:v>
      </x:c>
      <x:c r="AB140" s="19" t="str">
        <x:v>AVAILABLE</x:v>
      </x:c>
      <x:c r="AC140" s="43" t="str">
        <x:v>Generic corpus string frequency; not climate-specific semantic frequency.</x:v>
      </x:c>
    </x:row>
    <x:row r="141" ht="24" customHeight="1">
      <x:c r="A141" s="40" t="str">
        <x:v>FT-Q-V01-137</x:v>
      </x:c>
      <x:c r="B141" s="31" t="str">
        <x:v>mortality</x:v>
      </x:c>
      <x:c r="C141" s="31" t="str">
        <x:v>mortality</x:v>
      </x:c>
      <x:c r="D141" s="31" t="str">
        <x:v>harm_loss_consequences</x:v>
      </x:c>
      <x:c r="E141" s="19" t="str">
        <x:v>D</x:v>
      </x:c>
      <x:c r="F141" s="19" t="str">
        <x:v>BACKGROUND_AMBIGUOUS</x:v>
      </x:c>
      <x:c r="G141" s="19" t="str">
        <x:v>BACKGROUND_AMBIGUOUS</x:v>
      </x:c>
      <x:c r="H141" s="19" t="str">
        <x:v>eng</x:v>
      </x:c>
      <x:c r="I141" s="19" t="str">
        <x:v>current English corpus (July 2024 dataset; public shorthand eng; mutable current corpus)</x:v>
      </x:c>
      <x:c r="J141" s="19" t="str">
        <x:v>1842</x:v>
      </x:c>
      <x:c r="K141" s="19" t="str">
        <x:v>2022</x:v>
      </x:c>
      <x:c r="L141" s="25" t="n">
        <x:v>1842</x:v>
      </x:c>
      <x:c r="M141" s="25" t="n">
        <x:v>181</x:v>
      </x:c>
      <x:c r="N141" s="25" t="n">
        <x:v>1987</x:v>
      </x:c>
      <x:c r="O141" s="46" t="n">
        <x:v>0.00002794374572598346</x:v>
      </x:c>
      <x:c r="P141" s="19" t="str">
        <x:v>1.958383349346185e-05</x:v>
      </x:c>
      <x:c r="Q141" s="19" t="str">
        <x:v>1.566694004395686e-05</x:v>
      </x:c>
      <x:c r="R141" s="19" t="str">
        <x:v>1.688718413106471e-05</x:v>
      </x:c>
      <x:c r="S141" s="19" t="str">
        <x:v>2.448060722329629e-05</x:v>
      </x:c>
      <x:c r="T141" s="19" t="str">
        <x:v>2.124850796292321e-05</x:v>
      </x:c>
      <x:c r="U141" s="19" t="str">
        <x:v>2.165015705683782e-05</x:v>
      </x:c>
      <x:c r="V141" s="46" t="n">
        <x:v>0.00002144933250988051</x:v>
      </x:c>
      <x:c r="W141" s="19" t="str">
        <x:v>1.797212218355992e-05</x:v>
      </x:c>
      <x:c r="X141" s="19" t="str">
        <x:v>1.958383349346185e-05</x:v>
      </x:c>
      <x:c r="Y141" s="19" t="str">
        <x:v>1.958383349346185e-05</x:v>
      </x:c>
      <x:c r="Z141" s="25" t="n">
        <x:v>2022</x:v>
      </x:c>
      <x:c r="AA141" s="19" t="str">
        <x:v>AVAILABLE</x:v>
      </x:c>
      <x:c r="AB141" s="19" t="str">
        <x:v>AVAILABLE</x:v>
      </x:c>
      <x:c r="AC141" s="43" t="str">
        <x:v>Generic corpus string frequency; not climate-specific semantic frequency.</x:v>
      </x:c>
    </x:row>
    <x:row r="142" ht="24" customHeight="1">
      <x:c r="A142" s="40" t="str">
        <x:v>FT-Q-V01-138</x:v>
      </x:c>
      <x:c r="B142" s="31" t="str">
        <x:v>heat of the irons</x:v>
      </x:c>
      <x:c r="C142" s="31" t="str">
        <x:v>physical heat source / state</x:v>
      </x:c>
      <x:c r="D142" s="31" t="str">
        <x:v>heat</x:v>
      </x:c>
      <x:c r="E142" s="19" t="str">
        <x:v>A</x:v>
      </x:c>
      <x:c r="F142" s="19" t="str">
        <x:v>EXECUTABLE_NGRAM</x:v>
      </x:c>
      <x:c r="G142" s="19" t="str">
        <x:v>CONTEXT_REQUIRED</x:v>
      </x:c>
      <x:c r="H142" s="19" t="str">
        <x:v>eng</x:v>
      </x:c>
      <x:c r="I142" s="19" t="str">
        <x:v>current English corpus (July 2024 dataset; public shorthand eng; mutable current corpus)</x:v>
      </x:c>
      <x:c r="J142" s="19" t="str">
        <x:v>1842</x:v>
      </x:c>
      <x:c r="K142" s="19" t="str">
        <x:v>2022</x:v>
      </x:c>
      <x:c r="L142" s="25" t="n">
        <x:v>1842</x:v>
      </x:c>
      <x:c r="M142" s="25" t="n">
        <x:v>108</x:v>
      </x:c>
      <x:c r="N142" s="25" t="n">
        <x:v>1843</x:v>
      </x:c>
      <x:c r="O142" s="46" t="n">
        <x:v>6.583029232842819e-9</x:v>
      </x:c>
      <x:c r="P142" s="19" t="str">
        <x:v>1.016233625028562e-10</x:v>
      </x:c>
      <x:c r="Q142" s="19" t="str">
        <x:v>1.466886390133482e-09</x:v>
      </x:c>
      <x:c r="R142" s="19" t="str">
        <x:v>1.354462930702738e-10</x:v>
      </x:c>
      <x:c r="S142" s="19" t="str">
        <x:v>5.975666489410614e-11</x:v>
      </x:c>
      <x:c r="T142" s="19" t="str">
        <x:v>0</x:v>
      </x:c>
      <x:c r="U142" s="19" t="str">
        <x:v>0</x:v>
      </x:c>
      <x:c r="V142" s="46" t="n">
        <x:v>0</x:v>
      </x:c>
      <x:c r="W142" s="19" t="str">
        <x:v>1.075366740099781e-10</x:v>
      </x:c>
      <x:c r="X142" s="19" t="str">
        <x:v>1.016233625028562e-10</x:v>
      </x:c>
      <x:c r="Y142" s="19" t="str">
        <x:v>1.016233625028562e-10</x:v>
      </x:c>
      <x:c r="Z142" s="25" t="n">
        <x:v>2022</x:v>
      </x:c>
      <x:c r="AA142" s="19" t="str">
        <x:v>AVAILABLE</x:v>
      </x:c>
      <x:c r="AB142" s="19" t="str">
        <x:v>AVAILABLE</x:v>
      </x:c>
      <x:c r="AC142" s="43" t="str">
        <x:v>Climate/temperature-linked lexical frequency; still not evidence of reception, voice, or affect without passage review.</x:v>
      </x:c>
    </x:row>
    <x:row r="143" ht="24" customHeight="1">
      <x:c r="A143" s="40" t="str">
        <x:v>FT-Q-V01-139</x:v>
      </x:c>
      <x:c r="B143" s="31" t="str">
        <x:v>heat wave</x:v>
      </x:c>
      <x:c r="C143" s="31" t="str">
        <x:v>heatwave / weather event</x:v>
      </x:c>
      <x:c r="D143" s="31" t="str">
        <x:v>heat</x:v>
      </x:c>
      <x:c r="E143" s="19" t="str">
        <x:v>A</x:v>
      </x:c>
      <x:c r="F143" s="19" t="str">
        <x:v>EXECUTABLE_NGRAM</x:v>
      </x:c>
      <x:c r="G143" s="19" t="str">
        <x:v>CLIMATE_SPECIFIC</x:v>
      </x:c>
      <x:c r="H143" s="19" t="str">
        <x:v>eng</x:v>
      </x:c>
      <x:c r="I143" s="19" t="str">
        <x:v>current English corpus (July 2024 dataset; public shorthand eng; mutable current corpus)</x:v>
      </x:c>
      <x:c r="J143" s="19" t="str">
        <x:v>1842</x:v>
      </x:c>
      <x:c r="K143" s="19" t="str">
        <x:v>2022</x:v>
      </x:c>
      <x:c r="L143" s="25" t="n">
        <x:v>1842</x:v>
      </x:c>
      <x:c r="M143" s="25" t="n">
        <x:v>169</x:v>
      </x:c>
      <x:c r="N143" s="25" t="n">
        <x:v>2020</x:v>
      </x:c>
      <x:c r="O143" s="46" t="n">
        <x:v>3.703185072062576e-7</x:v>
      </x:c>
      <x:c r="P143" s="19" t="str">
        <x:v>3.006541136052476e-07</x:v>
      </x:c>
      <x:c r="Q143" s="19" t="str">
        <x:v>4.514918217068953e-09</x:v>
      </x:c>
      <x:c r="R143" s="19" t="str">
        <x:v>1.921166252749629e-07</x:v>
      </x:c>
      <x:c r="S143" s="19" t="str">
        <x:v>1.718059701449892e-07</x:v>
      </x:c>
      <x:c r="T143" s="19" t="str">
        <x:v>2.572474944173564e-07</x:v>
      </x:c>
      <x:c r="U143" s="19" t="str">
        <x:v>2.559551631371726e-07</x:v>
      </x:c>
      <x:c r="V143" s="46" t="n">
        <x:v>2.566013287772645e-7</x:v>
      </x:c>
      <x:c r="W143" s="19" t="str">
        <x:v>3.528359153667782e-07</x:v>
      </x:c>
      <x:c r="X143" s="19" t="str">
        <x:v>3.006541136052476e-07</x:v>
      </x:c>
      <x:c r="Y143" s="19" t="str">
        <x:v>3.006541136052476e-07</x:v>
      </x:c>
      <x:c r="Z143" s="25" t="n">
        <x:v>2022</x:v>
      </x:c>
      <x:c r="AA143" s="19" t="str">
        <x:v>AVAILABLE</x:v>
      </x:c>
      <x:c r="AB143" s="19" t="str">
        <x:v>AVAILABLE</x:v>
      </x:c>
      <x:c r="AC143" s="43" t="str">
        <x:v>Climate/temperature-linked lexical frequency; still not evidence of reception, voice, or affect without passage review.</x:v>
      </x:c>
    </x:row>
    <x:row r="144" ht="24" customHeight="1">
      <x:c r="A144" s="40" t="str">
        <x:v>FT-Q-V01-140</x:v>
      </x:c>
      <x:c r="B144" s="31" t="str">
        <x:v>grave threats</x:v>
      </x:c>
      <x:c r="C144" s="31" t="str">
        <x:v>institutional climate threat</x:v>
      </x:c>
      <x:c r="D144" s="31" t="str">
        <x:v>danger_threat</x:v>
      </x:c>
      <x:c r="E144" s="19" t="str">
        <x:v>D</x:v>
      </x:c>
      <x:c r="F144" s="19" t="str">
        <x:v>EXECUTABLE_NGRAM</x:v>
      </x:c>
      <x:c r="G144" s="19" t="str">
        <x:v>CONTEXT_REQUIRED</x:v>
      </x:c>
      <x:c r="H144" s="19" t="str">
        <x:v>eng</x:v>
      </x:c>
      <x:c r="I144" s="19" t="str">
        <x:v>current English corpus (July 2024 dataset; public shorthand eng; mutable current corpus)</x:v>
      </x:c>
      <x:c r="J144" s="19" t="str">
        <x:v>1842</x:v>
      </x:c>
      <x:c r="K144" s="19" t="str">
        <x:v>2022</x:v>
      </x:c>
      <x:c r="L144" s="25" t="n">
        <x:v>1843</x:v>
      </x:c>
      <x:c r="M144" s="25" t="n">
        <x:v>141</x:v>
      </x:c>
      <x:c r="N144" s="25" t="n">
        <x:v>2008</x:v>
      </x:c>
      <x:c r="O144" s="46" t="n">
        <x:v>1.763470425242275e-8</x:v>
      </x:c>
      <x:c r="P144" s="19" t="str">
        <x:v>9.423090391313949e-09</x:v>
      </x:c>
      <x:c r="Q144" s="19" t="str">
        <x:v>0</x:v>
      </x:c>
      <x:c r="R144" s="19" t="str">
        <x:v>2.33881092270849e-09</x:v>
      </x:c>
      <x:c r="S144" s="19" t="str">
        <x:v>1.071011054148974e-08</x:v>
      </x:c>
      <x:c r="T144" s="19" t="str">
        <x:v>1.703080053025441e-08</x:v>
      </x:c>
      <x:c r="U144" s="19" t="str">
        <x:v>1.664090922698369e-08</x:v>
      </x:c>
      <x:c r="V144" s="46" t="n">
        <x:v>1.683585487861905e-8</x:v>
      </x:c>
      <x:c r="W144" s="19" t="str">
        <x:v>1.251621790238078e-08</x:v>
      </x:c>
      <x:c r="X144" s="19" t="str">
        <x:v>9.423090391313949e-09</x:v>
      </x:c>
      <x:c r="Y144" s="19" t="str">
        <x:v>9.423090391313949e-09</x:v>
      </x:c>
      <x:c r="Z144" s="25" t="n">
        <x:v>2022</x:v>
      </x:c>
      <x:c r="AA144" s="19" t="str">
        <x:v>AVAILABLE</x:v>
      </x:c>
      <x:c r="AB144" s="19" t="str">
        <x:v>AVAILABLE</x:v>
      </x:c>
      <x:c r="AC144" s="43" t="str">
        <x:v>Climate/temperature-linked lexical frequency; still not evidence of reception, voice, or affect without passage review.</x:v>
      </x:c>
    </x:row>
    <x:row r="145" ht="24" customHeight="1">
      <x:c r="A145" s="40" t="str">
        <x:v>FT-Q-V01-141</x:v>
      </x:c>
      <x:c r="B145" s="31" t="str">
        <x:v>Be Worried. Be Very Worried.</x:v>
      </x:c>
      <x:c r="C145" s="31" t="str">
        <x:v>prescribed worry</x:v>
      </x:c>
      <x:c r="D145" s="31" t="str">
        <x:v>worry</x:v>
      </x:c>
      <x:c r="E145" s="19" t="str">
        <x:v>C</x:v>
      </x:c>
      <x:c r="F145" s="19" t="str">
        <x:v>EXECUTABLE_CORPUS_ONLY</x:v>
      </x:c>
      <x:c r="G145" s="19" t="str">
        <x:v>CLIMATE_SPECIFIC</x:v>
      </x:c>
      <x:c r="H145" s="19" t="str">
        <x:v>eng</x:v>
      </x:c>
      <x:c r="I145" s="19" t="str">
        <x:v>current English corpus (July 2024 dataset; public shorthand eng; mutable current corpus)</x:v>
      </x:c>
      <x:c r="J145" s="19" t="str">
        <x:v>1842</x:v>
      </x:c>
      <x:c r="K145" s="19" t="str">
        <x:v>2022</x:v>
      </x:c>
      <x:c r="L145" s="25" t="str"/>
      <x:c r="M145" s="25" t="n">
        <x:v>0</x:v>
      </x:c>
      <x:c r="N145" s="25" t="str"/>
      <x:c r="O145" s="46" t="str"/>
      <x:c r="P145" s="19" t="str"/>
      <x:c r="Q145" s="19" t="str"/>
      <x:c r="R145" s="19" t="str"/>
      <x:c r="S145" s="19" t="str"/>
      <x:c r="T145" s="19" t="str"/>
      <x:c r="U145" s="19" t="str"/>
      <x:c r="V145" s="46" t="str"/>
      <x:c r="W145" s="19" t="str"/>
      <x:c r="X145" s="19" t="str"/>
      <x:c r="Y145" s="19" t="str"/>
      <x:c r="Z145" s="25" t="n">
        <x:v>2022</x:v>
      </x:c>
      <x:c r="AA145" s="19" t="str">
        <x:v>NO_SERIES</x:v>
      </x:c>
      <x:c r="AB145" s="19" t="str">
        <x:v>NOT_AVAILABLE</x:v>
      </x:c>
      <x:c r="AC145" s="43" t="str">
        <x:v>Climate/temperature-linked lexical frequency; still not evidence of reception, voice, or affect without passage review.</x:v>
      </x:c>
    </x:row>
    <x:row r="146" ht="24" customHeight="1">
      <x:c r="A146" s="40" t="str">
        <x:v>FT-Q-V01-142</x:v>
      </x:c>
      <x:c r="B146" s="31" t="str">
        <x:v>comprehensive risk assessment and management</x:v>
      </x:c>
      <x:c r="C146" s="31" t="str">
        <x:v>administrative risk assessment</x:v>
      </x:c>
      <x:c r="D146" s="31" t="str">
        <x:v>risk</x:v>
      </x:c>
      <x:c r="E146" s="19" t="str">
        <x:v>D</x:v>
      </x:c>
      <x:c r="F146" s="19" t="str">
        <x:v>EXECUTABLE_NGRAM</x:v>
      </x:c>
      <x:c r="G146" s="19" t="str">
        <x:v>CONTEXT_REQUIRED</x:v>
      </x:c>
      <x:c r="H146" s="19" t="str">
        <x:v>eng</x:v>
      </x:c>
      <x:c r="I146" s="19" t="str">
        <x:v>current English corpus (July 2024 dataset; public shorthand eng; mutable current corpus)</x:v>
      </x:c>
      <x:c r="J146" s="19" t="str">
        <x:v>1842</x:v>
      </x:c>
      <x:c r="K146" s="19" t="str">
        <x:v>2022</x:v>
      </x:c>
      <x:c r="L146" s="25" t="n">
        <x:v>1963</x:v>
      </x:c>
      <x:c r="M146" s="25" t="n">
        <x:v>31</x:v>
      </x:c>
      <x:c r="N146" s="25" t="n">
        <x:v>2018</x:v>
      </x:c>
      <x:c r="O146" s="46" t="n">
        <x:v>1.279491401717792e-9</x:v>
      </x:c>
      <x:c r="P146" s="19" t="str">
        <x:v>7.611056784817549e-10</x:v>
      </x:c>
      <x:c r="Q146" s="19" t="str">
        <x:v>0</x:v>
      </x:c>
      <x:c r="R146" s="19" t="str">
        <x:v>0</x:v>
      </x:c>
      <x:c r="S146" s="19" t="str">
        <x:v>1.303340213532067e-10</x:v>
      </x:c>
      <x:c r="T146" s="19" t="str">
        <x:v>1.746862099416546e-10</x:v>
      </x:c>
      <x:c r="U146" s="19" t="str">
        <x:v>1.707895214142496e-10</x:v>
      </x:c>
      <x:c r="V146" s="46" t="n">
        <x:v>1.727378656779521e-10</x:v>
      </x:c>
      <x:c r="W146" s="19" t="str">
        <x:v>2.879411986622671e-10</x:v>
      </x:c>
      <x:c r="X146" s="19" t="str">
        <x:v>7.611056784817549e-10</x:v>
      </x:c>
      <x:c r="Y146" s="19" t="str">
        <x:v>7.611056784817549e-10</x:v>
      </x:c>
      <x:c r="Z146" s="25" t="n">
        <x:v>2022</x:v>
      </x:c>
      <x:c r="AA146" s="19" t="str">
        <x:v>AVAILABLE</x:v>
      </x:c>
      <x:c r="AB146" s="19" t="str">
        <x:v>AVAILABLE</x:v>
      </x:c>
      <x:c r="AC146" s="43" t="str">
        <x:v>Climate/temperature-linked lexical frequency; still not evidence of reception, voice, or affect without passage review.</x:v>
      </x:c>
    </x:row>
    <x:row r="147" ht="24" customHeight="1">
      <x:c r="A147" s="41" t="str">
        <x:v>FT-Q-V01-143</x:v>
      </x:c>
      <x:c r="B147" s="32" t="str">
        <x:v>guilt</x:v>
      </x:c>
      <x:c r="C147" s="32" t="str">
        <x:v>depressed affect</x:v>
      </x:c>
      <x:c r="D147" s="32" t="str">
        <x:v>distress_depression</x:v>
      </x:c>
      <x:c r="E147" s="22" t="str">
        <x:v>C</x:v>
      </x:c>
      <x:c r="F147" s="22" t="str">
        <x:v>EXECUTABLE_NGRAM</x:v>
      </x:c>
      <x:c r="G147" s="22" t="str">
        <x:v>CONTEXT_REQUIRED</x:v>
      </x:c>
      <x:c r="H147" s="22" t="str">
        <x:v>eng</x:v>
      </x:c>
      <x:c r="I147" s="22" t="str">
        <x:v>current English corpus (July 2024 dataset; public shorthand eng; mutable current corpus)</x:v>
      </x:c>
      <x:c r="J147" s="22" t="str">
        <x:v>1842</x:v>
      </x:c>
      <x:c r="K147" s="22" t="str">
        <x:v>2022</x:v>
      </x:c>
      <x:c r="L147" s="26" t="n">
        <x:v>1842</x:v>
      </x:c>
      <x:c r="M147" s="26" t="n">
        <x:v>181</x:v>
      </x:c>
      <x:c r="N147" s="26" t="n">
        <x:v>1844</x:v>
      </x:c>
      <x:c r="O147" s="47" t="n">
        <x:v>0.00002078726473087045</x:v>
      </x:c>
      <x:c r="P147" s="22" t="str">
        <x:v>1.681260062724732e-05</x:v>
      </x:c>
      <x:c r="Q147" s="22" t="str">
        <x:v>1.865798427758136e-05</x:v>
      </x:c>
      <x:c r="R147" s="22" t="str">
        <x:v>3.496206829295412e-06</x:v>
      </x:c>
      <x:c r="S147" s="22" t="str">
        <x:v>8.151257723909566e-06</x:v>
      </x:c>
      <x:c r="T147" s="22" t="str">
        <x:v>1.063899859587991e-05</x:v>
      </x:c>
      <x:c r="U147" s="22" t="str">
        <x:v>1.129985992306265e-05</x:v>
      </x:c>
      <x:c r="V147" s="47" t="n">
        <x:v>0.00001096942925947128</x:v>
      </x:c>
      <x:c r="W147" s="22" t="str">
        <x:v>1.744112144308474e-05</x:v>
      </x:c>
      <x:c r="X147" s="22" t="str">
        <x:v>1.681260062724732e-05</x:v>
      </x:c>
      <x:c r="Y147" s="22" t="str">
        <x:v>1.681260062724732e-05</x:v>
      </x:c>
      <x:c r="Z147" s="26" t="n">
        <x:v>2022</x:v>
      </x:c>
      <x:c r="AA147" s="22" t="str">
        <x:v>AVAILABLE</x:v>
      </x:c>
      <x:c r="AB147" s="22" t="str">
        <x:v>AVAILABLE</x:v>
      </x:c>
      <x:c r="AC147" s="44" t="str">
        <x:v>Climate/temperature-linked lexical frequency; still not evidence of reception, voice, or affect without passage review.</x:v>
      </x:c>
    </x:row>
  </x:sheetData>
  <x:mergeCells>
    <x:mergeCell ref="A1:AC1"/>
    <x:mergeCell ref="A2:AC2"/>
  </x:mergeCells>
  <x:pageMargins left="0.7" right="0.7" top="0.75" bottom="0.75" header="0.3" footer="0.3"/>
  <x:tableParts count="1">
    <x:tablePart xmlns:r="http://schemas.openxmlformats.org/officeDocument/2006/relationships" r:id="R1b3b557b5cd64e24"/>
  </x:tableParts>
</x:worksheet>
</file>

<file path=xl/worksheets/sheet21.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4"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s>
  <x:sheetData>
    <x:row r="1" ht="38" customHeight="1">
      <x:c r="A1" s="3" t="str">
        <x:v>Six-Anchor Keyword Frequency Matrix</x:v>
      </x:c>
      <x:c r="B1" s="3" t="str">
        <x:v>Six-Anchor Keyword Frequency Matrix</x:v>
      </x:c>
      <x:c r="C1" s="3" t="str">
        <x:v>Six-Anchor Keyword Frequency Matrix</x:v>
      </x:c>
      <x:c r="D1" s="3" t="str">
        <x:v>Six-Anchor Keyword Frequency Matrix</x:v>
      </x:c>
      <x:c r="E1" s="3" t="str">
        <x:v>Six-Anchor Keyword Frequency Matrix</x:v>
      </x:c>
      <x:c r="F1" s="3" t="str">
        <x:v>Six-Anchor Keyword Frequency Matrix</x:v>
      </x:c>
      <x:c r="G1" s="3" t="str">
        <x:v>Six-Anchor Keyword Frequency Matrix</x:v>
      </x:c>
      <x:c r="H1" s="3" t="str">
        <x:v>Six-Anchor Keyword Frequency Matrix</x:v>
      </x:c>
      <x:c r="I1" s="3" t="str">
        <x:v>Six-Anchor Keyword Frequency Matrix</x:v>
      </x:c>
      <x:c r="J1" s="3" t="str">
        <x:v>Six-Anchor Keyword Frequency Matrix</x:v>
      </x:c>
      <x:c r="K1" s="3" t="str">
        <x:v>Six-Anchor Keyword Frequency Matrix</x:v>
      </x:c>
      <x:c r="L1" s="3" t="str">
        <x:v>Six-Anchor Keyword Frequency Matrix</x:v>
      </x:c>
      <x:c r="M1" s="3" t="str">
        <x:v>Six-Anchor Keyword Frequency Matrix</x:v>
      </x:c>
    </x:row>
    <x:row r="2" ht="32" customHeight="1">
      <x:c r="A2" s="7" t="str">
        <x:v>Raw normalized frequencies; 2006 and 2007 remain separate plus an explicitly labelled mean.</x:v>
      </x:c>
      <x:c r="B2" s="7" t="str">
        <x:v>Raw normalized frequencies; 2006 and 2007 remain separate plus an explicitly labelled mean.</x:v>
      </x:c>
      <x:c r="C2" s="7" t="str">
        <x:v>Raw normalized frequencies; 2006 and 2007 remain separate plus an explicitly labelled mean.</x:v>
      </x:c>
      <x:c r="D2" s="7" t="str">
        <x:v>Raw normalized frequencies; 2006 and 2007 remain separate plus an explicitly labelled mean.</x:v>
      </x:c>
      <x:c r="E2" s="7" t="str">
        <x:v>Raw normalized frequencies; 2006 and 2007 remain separate plus an explicitly labelled mean.</x:v>
      </x:c>
      <x:c r="F2" s="7" t="str">
        <x:v>Raw normalized frequencies; 2006 and 2007 remain separate plus an explicitly labelled mean.</x:v>
      </x:c>
      <x:c r="G2" s="7" t="str">
        <x:v>Raw normalized frequencies; 2006 and 2007 remain separate plus an explicitly labelled mean.</x:v>
      </x:c>
      <x:c r="H2" s="7" t="str">
        <x:v>Raw normalized frequencies; 2006 and 2007 remain separate plus an explicitly labelled mean.</x:v>
      </x:c>
      <x:c r="I2" s="7" t="str">
        <x:v>Raw normalized frequencies; 2006 and 2007 remain separate plus an explicitly labelled mean.</x:v>
      </x:c>
      <x:c r="J2" s="7" t="str">
        <x:v>Raw normalized frequencies; 2006 and 2007 remain separate plus an explicitly labelled mean.</x:v>
      </x:c>
      <x:c r="K2" s="7" t="str">
        <x:v>Raw normalized frequencies; 2006 and 2007 remain separate plus an explicitly labelled mean.</x:v>
      </x:c>
      <x:c r="L2" s="7" t="str">
        <x:v>Raw normalized frequencies; 2006 and 2007 remain separate plus an explicitly labelled mean.</x:v>
      </x:c>
      <x:c r="M2" s="7" t="str">
        <x:v>Raw normalized frequencies; 2006 and 2007 remain separate plus an explicitly labelled mean.</x:v>
      </x:c>
    </x:row>
    <x:row r="4" ht="42" customHeight="1">
      <x:c r="A4" s="14" t="str">
        <x:v>query_id</x:v>
      </x:c>
      <x:c r="B4" s="14" t="str">
        <x:v>surface_form</x:v>
      </x:c>
      <x:c r="C4" s="14" t="str">
        <x:v>family</x:v>
      </x:c>
      <x:c r="D4" s="14" t="str">
        <x:v>interpretation_class</x:v>
      </x:c>
      <x:c r="E4" s="14" t="str">
        <x:v>1842_value</x:v>
      </x:c>
      <x:c r="F4" s="14" t="str">
        <x:v>1938_value</x:v>
      </x:c>
      <x:c r="G4" s="14" t="str">
        <x:v>1988_value</x:v>
      </x:c>
      <x:c r="H4" s="14" t="str">
        <x:v>2006_value</x:v>
      </x:c>
      <x:c r="I4" s="14" t="str">
        <x:v>2007_value</x:v>
      </x:c>
      <x:c r="J4" s="14" t="str">
        <x:v>2006_07_mean</x:v>
      </x:c>
      <x:c r="K4" s="14" t="str">
        <x:v>2015_value</x:v>
      </x:c>
      <x:c r="L4" s="14" t="str">
        <x:v>2022_or_latest_value</x:v>
      </x:c>
      <x:c r="M4" s="14" t="str">
        <x:v>latest_supported_year</x:v>
      </x:c>
    </x:row>
    <x:row r="5" ht="24" customHeight="1">
      <x:c r="A5" s="39" t="str">
        <x:v>FT-Q-V01-001</x:v>
      </x:c>
      <x:c r="B5" s="30" t="str">
        <x:v>temperature</x:v>
      </x:c>
      <x:c r="C5" s="30" t="str">
        <x:v>temperature_threshold</x:v>
      </x:c>
      <x:c r="D5" s="16" t="str">
        <x:v>BACKGROUND_AMBIGUOUS</x:v>
      </x:c>
      <x:c r="E5" s="16" t="str">
        <x:v>3.817854639009965e-05</x:v>
      </x:c>
      <x:c r="F5" s="16" t="str">
        <x:v>0.0001075987250857835</x:v>
      </x:c>
      <x:c r="G5" s="16" t="str">
        <x:v>0.0001381082131784381</x:v>
      </x:c>
      <x:c r="H5" s="16" t="str">
        <x:v>9.349962672342699e-05</x:v>
      </x:c>
      <x:c r="I5" s="16" t="str">
        <x:v>9.569523659125334e-05</x:v>
      </x:c>
      <x:c r="J5" s="45" t="n">
        <x:v>0.00009459743165734016</x:v>
      </x:c>
      <x:c r="K5" s="16" t="str">
        <x:v>7.593630839236587e-05</x:v>
      </x:c>
      <x:c r="L5" s="16" t="str">
        <x:v>9.003187850510977e-05</x:v>
      </x:c>
      <x:c r="M5" s="36" t="n">
        <x:v>2022</x:v>
      </x:c>
    </x:row>
    <x:row r="6" ht="24" customHeight="1">
      <x:c r="A6" s="40" t="str">
        <x:v>FT-Q-V01-002</x:v>
      </x:c>
      <x:c r="B6" s="31" t="str">
        <x:v>mean temperature</x:v>
      </x:c>
      <x:c r="C6" s="31" t="str">
        <x:v>temperature_threshold</x:v>
      </x:c>
      <x:c r="D6" s="19" t="str">
        <x:v>CONTEXT_REQUIRED</x:v>
      </x:c>
      <x:c r="E6" s="19" t="str">
        <x:v>2.365172290907935e-06</x:v>
      </x:c>
      <x:c r="F6" s="19" t="str">
        <x:v>1.06460447896195e-06</x:v>
      </x:c>
      <x:c r="G6" s="19" t="str">
        <x:v>5.396020415979197e-07</x:v>
      </x:c>
      <x:c r="H6" s="19" t="str">
        <x:v>4.059007448348195e-07</x:v>
      </x:c>
      <x:c r="I6" s="19" t="str">
        <x:v>4.200255244168893e-07</x:v>
      </x:c>
      <x:c r="J6" s="46" t="n">
        <x:v>4.129631346258544e-7</x:v>
      </x:c>
      <x:c r="K6" s="19" t="str">
        <x:v>3.047325316460348e-07</x:v>
      </x:c>
      <x:c r="L6" s="19" t="str">
        <x:v>3.990877988080399e-07</x:v>
      </x:c>
      <x:c r="M6" s="37" t="n">
        <x:v>2022</x:v>
      </x:c>
    </x:row>
    <x:row r="7" ht="24" customHeight="1">
      <x:c r="A7" s="40" t="str">
        <x:v>FT-Q-V01-003</x:v>
      </x:c>
      <x:c r="B7" s="31" t="str">
        <x:v>temperature of the air in shade</x:v>
      </x:c>
      <x:c r="C7" s="31" t="str">
        <x:v>temperature_threshold</x:v>
      </x:c>
      <x:c r="D7" s="19" t="str">
        <x:v>CONTEXT_REQUIRED</x:v>
      </x:c>
      <x:c r="E7" s="19" t="str">
        <x:v>0</x:v>
      </x:c>
      <x:c r="F7" s="19" t="str">
        <x:v>0</x:v>
      </x:c>
      <x:c r="G7" s="19" t="str">
        <x:v>0</x:v>
      </x:c>
      <x:c r="H7" s="19" t="str">
        <x:v>0</x:v>
      </x:c>
      <x:c r="I7" s="19" t="str">
        <x:v>0</x:v>
      </x:c>
      <x:c r="J7" s="46" t="n">
        <x:v>0</x:v>
      </x:c>
      <x:c r="K7" s="19" t="str">
        <x:v>6.163167892703214e-11</x:v>
      </x:c>
      <x:c r="L7" s="19" t="str">
        <x:v>5.812207659605662e-11</x:v>
      </x:c>
      <x:c r="M7" s="37" t="n">
        <x:v>2022</x:v>
      </x:c>
    </x:row>
    <x:row r="8" ht="24" customHeight="1">
      <x:c r="A8" s="40" t="str">
        <x:v>FT-Q-V01-004</x:v>
      </x:c>
      <x:c r="B8" s="31" t="str">
        <x:v>maximum temperature</x:v>
      </x:c>
      <x:c r="C8" s="31" t="str">
        <x:v>temperature_threshold</x:v>
      </x:c>
      <x:c r="D8" s="19" t="str">
        <x:v>CONTEXT_REQUIRED</x:v>
      </x:c>
      <x:c r="E8" s="19" t="str">
        <x:v>3.882829831547419e-07</x:v>
      </x:c>
      <x:c r="F8" s="19" t="str">
        <x:v>7.694687983172965e-07</x:v>
      </x:c>
      <x:c r="G8" s="19" t="str">
        <x:v>6.011975100389533e-07</x:v>
      </x:c>
      <x:c r="H8" s="19" t="str">
        <x:v>5.097794715247517e-07</x:v>
      </x:c>
      <x:c r="I8" s="19" t="str">
        <x:v>4.458864027237497e-07</x:v>
      </x:c>
      <x:c r="J8" s="46" t="n">
        <x:v>4.778329371242507e-7</x:v>
      </x:c>
      <x:c r="K8" s="19" t="str">
        <x:v>3.236936924611022e-07</x:v>
      </x:c>
      <x:c r="L8" s="19" t="str">
        <x:v>4.573516876604788e-07</x:v>
      </x:c>
      <x:c r="M8" s="37" t="n">
        <x:v>2022</x:v>
      </x:c>
    </x:row>
    <x:row r="9" ht="24" customHeight="1">
      <x:c r="A9" s="40" t="str">
        <x:v>FT-Q-V01-005</x:v>
      </x:c>
      <x:c r="B9" s="31" t="str">
        <x:v>minimum temperature</x:v>
      </x:c>
      <x:c r="C9" s="31" t="str">
        <x:v>temperature_threshold</x:v>
      </x:c>
      <x:c r="D9" s="19" t="str">
        <x:v>CONTEXT_REQUIRED</x:v>
      </x:c>
      <x:c r="E9" s="19" t="str">
        <x:v>2.334857803210078e-07</x:v>
      </x:c>
      <x:c r="F9" s="19" t="str">
        <x:v>4.141922915756879e-07</x:v>
      </x:c>
      <x:c r="G9" s="19" t="str">
        <x:v>3.655257283935454e-07</x:v>
      </x:c>
      <x:c r="H9" s="19" t="str">
        <x:v>2.540885604349064e-07</x:v>
      </x:c>
      <x:c r="I9" s="19" t="str">
        <x:v>2.430921979997003e-07</x:v>
      </x:c>
      <x:c r="J9" s="46" t="n">
        <x:v>2.485903792173033e-7</x:v>
      </x:c>
      <x:c r="K9" s="19" t="str">
        <x:v>1.545846264848494e-07</x:v>
      </x:c>
      <x:c r="L9" s="19" t="str">
        <x:v>2.218629117367588e-07</x:v>
      </x:c>
      <x:c r="M9" s="37" t="n">
        <x:v>2022</x:v>
      </x:c>
    </x:row>
    <x:row r="10" ht="24" customHeight="1">
      <x:c r="A10" s="40" t="str">
        <x:v>FT-Q-V01-006</x:v>
      </x:c>
      <x:c r="B10" s="31" t="str">
        <x:v>mean temperature of sea at surface</x:v>
      </x:c>
      <x:c r="C10" s="31" t="str">
        <x:v>temperature_threshold</x:v>
      </x:c>
      <x:c r="D10" s="19" t="str">
        <x:v>CONTEXT_REQUIRED</x:v>
      </x:c>
      <x:c r="E10" s="19" t="str"/>
      <x:c r="F10" s="19" t="str"/>
      <x:c r="G10" s="19" t="str"/>
      <x:c r="H10" s="19" t="str"/>
      <x:c r="I10" s="19" t="str"/>
      <x:c r="J10" s="46" t="str"/>
      <x:c r="K10" s="19" t="str"/>
      <x:c r="L10" s="19" t="str"/>
      <x:c r="M10" s="37" t="n">
        <x:v>2022</x:v>
      </x:c>
    </x:row>
    <x:row r="11" ht="24" customHeight="1">
      <x:c r="A11" s="40" t="str">
        <x:v>FT-Q-V01-007</x:v>
      </x:c>
      <x:c r="B11" s="31" t="str">
        <x:v>dew point</x:v>
      </x:c>
      <x:c r="C11" s="31" t="str">
        <x:v>temperature_threshold</x:v>
      </x:c>
      <x:c r="D11" s="19" t="str">
        <x:v>CONTEXT_REQUIRED</x:v>
      </x:c>
      <x:c r="E11" s="19" t="str">
        <x:v>5.02445909766891e-07</x:v>
      </x:c>
      <x:c r="F11" s="19" t="str">
        <x:v>5.571938874737725e-07</x:v>
      </x:c>
      <x:c r="G11" s="19" t="str">
        <x:v>3.645386200609724e-07</x:v>
      </x:c>
      <x:c r="H11" s="19" t="str">
        <x:v>2.918584796063328e-07</x:v>
      </x:c>
      <x:c r="I11" s="19" t="str">
        <x:v>2.695827225132619e-07</x:v>
      </x:c>
      <x:c r="J11" s="46" t="n">
        <x:v>2.807206010597973e-7</x:v>
      </x:c>
      <x:c r="K11" s="19" t="str">
        <x:v>2.239375508326924e-07</x:v>
      </x:c>
      <x:c r="L11" s="19" t="str">
        <x:v>2.297376025528486e-07</x:v>
      </x:c>
      <x:c r="M11" s="37" t="n">
        <x:v>2022</x:v>
      </x:c>
    </x:row>
    <x:row r="12" ht="24" customHeight="1">
      <x:c r="A12" s="40" t="str">
        <x:v>FT-Q-V01-008</x:v>
      </x:c>
      <x:c r="B12" s="31" t="str">
        <x:v>standard thermometer</x:v>
      </x:c>
      <x:c r="C12" s="31" t="str">
        <x:v>temperature_threshold</x:v>
      </x:c>
      <x:c r="D12" s="19" t="str">
        <x:v>CONTEXT_REQUIRED</x:v>
      </x:c>
      <x:c r="E12" s="19" t="str">
        <x:v>8.384848482201335e-09</x:v>
      </x:c>
      <x:c r="F12" s="19" t="str">
        <x:v>3.541628268433072e-08</x:v>
      </x:c>
      <x:c r="G12" s="19" t="str">
        <x:v>5.922642067751616e-09</x:v>
      </x:c>
      <x:c r="H12" s="19" t="str">
        <x:v>2.975811957961483e-09</x:v>
      </x:c>
      <x:c r="I12" s="19" t="str">
        <x:v>4.857346223158254e-09</x:v>
      </x:c>
      <x:c r="J12" s="46" t="n">
        <x:v>3.916579090559869e-9</x:v>
      </x:c>
      <x:c r="K12" s="19" t="str">
        <x:v>2.335115319856973e-09</x:v>
      </x:c>
      <x:c r="L12" s="19" t="str">
        <x:v>2.610151789150805e-09</x:v>
      </x:c>
      <x:c r="M12" s="37" t="n">
        <x:v>2022</x:v>
      </x:c>
    </x:row>
    <x:row r="13" ht="24" customHeight="1">
      <x:c r="A13" s="40" t="str">
        <x:v>FT-Q-V01-009</x:v>
      </x:c>
      <x:c r="B13" s="31" t="str">
        <x:v>attached thermometer</x:v>
      </x:c>
      <x:c r="C13" s="31" t="str">
        <x:v>temperature_threshold</x:v>
      </x:c>
      <x:c r="D13" s="19" t="str">
        <x:v>CONTEXT_REQUIRED</x:v>
      </x:c>
      <x:c r="E13" s="19" t="str">
        <x:v>6.901375293466572e-08</x:v>
      </x:c>
      <x:c r="F13" s="19" t="str">
        <x:v>6.23682937239689e-09</x:v>
      </x:c>
      <x:c r="G13" s="19" t="str">
        <x:v>1.085817696172553e-09</x:v>
      </x:c>
      <x:c r="H13" s="19" t="str">
        <x:v>1.281888230980632e-09</x:v>
      </x:c>
      <x:c r="I13" s="19" t="str">
        <x:v>1.619115414658312e-09</x:v>
      </x:c>
      <x:c r="J13" s="46" t="n">
        <x:v>1.450501822819472e-9</x:v>
      </x:c>
      <x:c r="K13" s="19" t="str">
        <x:v>6.538322626370441e-10</x:v>
      </x:c>
      <x:c r="L13" s="19" t="str">
        <x:v>3.406469412103874e-09</x:v>
      </x:c>
      <x:c r="M13" s="37" t="n">
        <x:v>2022</x:v>
      </x:c>
    </x:row>
    <x:row r="14" ht="24" customHeight="1">
      <x:c r="A14" s="40" t="str">
        <x:v>FT-Q-V01-010</x:v>
      </x:c>
      <x:c r="B14" s="31" t="str">
        <x:v>dry bulb thermometer</x:v>
      </x:c>
      <x:c r="C14" s="31" t="str">
        <x:v>temperature_threshold</x:v>
      </x:c>
      <x:c r="D14" s="19" t="str">
        <x:v>CONTEXT_REQUIRED</x:v>
      </x:c>
      <x:c r="E14" s="19" t="str">
        <x:v>8.854272692815357e-08</x:v>
      </x:c>
      <x:c r="F14" s="19" t="str">
        <x:v>2.359136080931634e-08</x:v>
      </x:c>
      <x:c r="G14" s="19" t="str">
        <x:v>5.081662771133644e-09</x:v>
      </x:c>
      <x:c r="H14" s="19" t="str">
        <x:v>4.013041593475819e-09</x:v>
      </x:c>
      <x:c r="I14" s="19" t="str">
        <x:v>4.081663229626997e-09</x:v>
      </x:c>
      <x:c r="J14" s="46" t="n">
        <x:v>4.047352411551408e-9</x:v>
      </x:c>
      <x:c r="K14" s="19" t="str">
        <x:v>3.149171701188891e-09</x:v>
      </x:c>
      <x:c r="L14" s="19" t="str">
        <x:v>8.466447189159343e-09</x:v>
      </x:c>
      <x:c r="M14" s="37" t="n">
        <x:v>2022</x:v>
      </x:c>
    </x:row>
    <x:row r="15" ht="24" customHeight="1">
      <x:c r="A15" s="40" t="str">
        <x:v>FT-Q-V01-011</x:v>
      </x:c>
      <x:c r="B15" s="31" t="str">
        <x:v>wet bulb thermometer</x:v>
      </x:c>
      <x:c r="C15" s="31" t="str">
        <x:v>temperature_threshold</x:v>
      </x:c>
      <x:c r="D15" s="19" t="str">
        <x:v>CONTEXT_REQUIRED</x:v>
      </x:c>
      <x:c r="E15" s="19" t="str">
        <x:v>7.550155167734829e-09</x:v>
      </x:c>
      <x:c r="F15" s="19" t="str">
        <x:v>2.579159086302241e-08</x:v>
      </x:c>
      <x:c r="G15" s="19" t="str">
        <x:v>5.406024211618288e-09</x:v>
      </x:c>
      <x:c r="H15" s="19" t="str">
        <x:v>5.350721948849113e-09</x:v>
      </x:c>
      <x:c r="I15" s="19" t="str">
        <x:v>4.421801869103348e-09</x:v>
      </x:c>
      <x:c r="J15" s="46" t="n">
        <x:v>4.88626190897623e-9</x:v>
      </x:c>
      <x:c r="K15" s="19" t="str">
        <x:v>2.749276847846538e-09</x:v>
      </x:c>
      <x:c r="L15" s="19" t="str">
        <x:v>7.142087012079745e-09</x:v>
      </x:c>
      <x:c r="M15" s="37" t="n">
        <x:v>2022</x:v>
      </x:c>
    </x:row>
    <x:row r="16" ht="24" customHeight="1">
      <x:c r="A16" s="40" t="str">
        <x:v>FT-Q-V01-012</x:v>
      </x:c>
      <x:c r="B16" s="31" t="str">
        <x:v>meteorological observations</x:v>
      </x:c>
      <x:c r="C16" s="31" t="str">
        <x:v>climate</x:v>
      </x:c>
      <x:c r="D16" s="19" t="str">
        <x:v>CONTEXT_REQUIRED</x:v>
      </x:c>
      <x:c r="E16" s="19" t="str">
        <x:v>9.468428674996865e-07</x:v>
      </x:c>
      <x:c r="F16" s="19" t="str">
        <x:v>1.848774440205148e-07</x:v>
      </x:c>
      <x:c r="G16" s="19" t="str">
        <x:v>1.338023542483968e-07</x:v>
      </x:c>
      <x:c r="H16" s="19" t="str">
        <x:v>5.699824457902625e-08</x:v>
      </x:c>
      <x:c r="I16" s="19" t="str">
        <x:v>5.293608024148355e-08</x:v>
      </x:c>
      <x:c r="J16" s="46" t="n">
        <x:v>5.49671624102549e-8</x:v>
      </x:c>
      <x:c r="K16" s="19" t="str">
        <x:v>3.44663013546187e-08</x:v>
      </x:c>
      <x:c r="L16" s="19" t="str">
        <x:v>6.520955656008631e-08</x:v>
      </x:c>
      <x:c r="M16" s="37" t="n">
        <x:v>2022</x:v>
      </x:c>
    </x:row>
    <x:row r="17" ht="24" customHeight="1">
      <x:c r="A17" s="40" t="str">
        <x:v>FT-Q-V01-013</x:v>
      </x:c>
      <x:c r="B17" s="31" t="str">
        <x:v>meteorological journal</x:v>
      </x:c>
      <x:c r="C17" s="31" t="str">
        <x:v>climate</x:v>
      </x:c>
      <x:c r="D17" s="19" t="str">
        <x:v>CONTEXT_REQUIRED</x:v>
      </x:c>
      <x:c r="E17" s="19" t="str">
        <x:v>5.256654992402687e-07</x:v>
      </x:c>
      <x:c r="F17" s="19" t="str">
        <x:v>4.900366015747615e-09</x:v>
      </x:c>
      <x:c r="G17" s="19" t="str">
        <x:v>2.023569350279031e-09</x:v>
      </x:c>
      <x:c r="H17" s="19" t="str">
        <x:v>2.472213010695778e-09</x:v>
      </x:c>
      <x:c r="I17" s="19" t="str">
        <x:v>3.598034273299966e-09</x:v>
      </x:c>
      <x:c r="J17" s="46" t="n">
        <x:v>3.035123641997872e-9</x:v>
      </x:c>
      <x:c r="K17" s="19" t="str">
        <x:v>3.782886774661431e-09</x:v>
      </x:c>
      <x:c r="L17" s="19" t="str">
        <x:v>2.964070766608984e-09</x:v>
      </x:c>
      <x:c r="M17" s="37" t="n">
        <x:v>2022</x:v>
      </x:c>
    </x:row>
    <x:row r="18" ht="24" customHeight="1">
      <x:c r="A18" s="40" t="str">
        <x:v>FT-Q-V01-014</x:v>
      </x:c>
      <x:c r="B18" s="31" t="str">
        <x:v>weather</x:v>
      </x:c>
      <x:c r="C18" s="31" t="str">
        <x:v>climate</x:v>
      </x:c>
      <x:c r="D18" s="19" t="str">
        <x:v>BACKGROUND_AMBIGUOUS</x:v>
      </x:c>
      <x:c r="E18" s="19" t="str">
        <x:v>4.329318915097247e-05</x:v>
      </x:c>
      <x:c r="F18" s="19" t="str">
        <x:v>5.426566421712353e-05</x:v>
      </x:c>
      <x:c r="G18" s="19" t="str">
        <x:v>2.997015501321476e-05</x:v>
      </x:c>
      <x:c r="H18" s="19" t="str">
        <x:v>2.847566345511032e-05</x:v>
      </x:c>
      <x:c r="I18" s="19" t="str">
        <x:v>2.852544831488668e-05</x:v>
      </x:c>
      <x:c r="J18" s="46" t="n">
        <x:v>0.0000285005558849985</x:v>
      </x:c>
      <x:c r="K18" s="19" t="str">
        <x:v>3.181802008718482e-05</x:v>
      </x:c>
      <x:c r="L18" s="19" t="str">
        <x:v>3.185808739692569e-05</x:v>
      </x:c>
      <x:c r="M18" s="37" t="n">
        <x:v>2022</x:v>
      </x:c>
    </x:row>
    <x:row r="19" ht="24" customHeight="1">
      <x:c r="A19" s="40" t="str">
        <x:v>FT-Q-V01-015</x:v>
      </x:c>
      <x:c r="B19" s="31" t="str">
        <x:v>climate</x:v>
      </x:c>
      <x:c r="C19" s="31" t="str">
        <x:v>climate</x:v>
      </x:c>
      <x:c r="D19" s="19" t="str">
        <x:v>BACKGROUND_AMBIGUOUS</x:v>
      </x:c>
      <x:c r="E19" s="19" t="str">
        <x:v>3.055828983633546e-05</x:v>
      </x:c>
      <x:c r="F19" s="19" t="str">
        <x:v>1.196127764144239e-05</x:v>
      </x:c>
      <x:c r="G19" s="19" t="str">
        <x:v>2.184559476219039e-05</x:v>
      </x:c>
      <x:c r="H19" s="19" t="str">
        <x:v>3.083595194560557e-05</x:v>
      </x:c>
      <x:c r="I19" s="19" t="str">
        <x:v>3.638060761700784e-05</x:v>
      </x:c>
      <x:c r="J19" s="46" t="n">
        <x:v>0.0000336082797813067</x:v>
      </x:c>
      <x:c r="K19" s="19" t="str">
        <x:v>4.357352890455024e-05</x:v>
      </x:c>
      <x:c r="L19" s="19" t="str">
        <x:v>6.484931783038578e-05</x:v>
      </x:c>
      <x:c r="M19" s="37" t="n">
        <x:v>2022</x:v>
      </x:c>
    </x:row>
    <x:row r="20" ht="24" customHeight="1">
      <x:c r="A20" s="40" t="str">
        <x:v>FT-Q-V01-016</x:v>
      </x:c>
      <x:c r="B20" s="31" t="str">
        <x:v>sun's heat</x:v>
      </x:c>
      <x:c r="C20" s="31" t="str">
        <x:v>heat</x:v>
      </x:c>
      <x:c r="D20" s="19" t="str">
        <x:v>CONTEXT_REQUIRED</x:v>
      </x:c>
      <x:c r="E20" s="19" t="str"/>
      <x:c r="F20" s="19" t="str"/>
      <x:c r="G20" s="19" t="str"/>
      <x:c r="H20" s="19" t="str"/>
      <x:c r="I20" s="19" t="str"/>
      <x:c r="J20" s="46" t="str"/>
      <x:c r="K20" s="19" t="str"/>
      <x:c r="L20" s="19" t="str"/>
      <x:c r="M20" s="37" t="n">
        <x:v>2022</x:v>
      </x:c>
    </x:row>
    <x:row r="21" ht="24" customHeight="1">
      <x:c r="A21" s="40" t="str">
        <x:v>FT-Q-V01-017</x:v>
      </x:c>
      <x:c r="B21" s="31" t="str">
        <x:v>radiation of the heat</x:v>
      </x:c>
      <x:c r="C21" s="31" t="str">
        <x:v>heat</x:v>
      </x:c>
      <x:c r="D21" s="19" t="str">
        <x:v>CONTEXT_REQUIRED</x:v>
      </x:c>
      <x:c r="E21" s="19" t="str">
        <x:v>5.867545560533927e-09</x:v>
      </x:c>
      <x:c r="F21" s="19" t="str">
        <x:v>2.708925944672202e-09</x:v>
      </x:c>
      <x:c r="G21" s="19" t="str">
        <x:v>1.792699877434245e-10</x:v>
      </x:c>
      <x:c r="H21" s="19" t="str">
        <x:v>4.318347346377038e-10</x:v>
      </x:c>
      <x:c r="I21" s="19" t="str">
        <x:v>7.925886058579579e-10</x:v>
      </x:c>
      <x:c r="J21" s="46" t="n">
        <x:v>6.122116702478309e-10</x:v>
      </x:c>
      <x:c r="K21" s="19" t="str">
        <x:v>4.301466960399125e-10</x:v>
      </x:c>
      <x:c r="L21" s="19" t="str">
        <x:v>5.081168263920688e-10</x:v>
      </x:c>
      <x:c r="M21" s="37" t="n">
        <x:v>2022</x:v>
      </x:c>
    </x:row>
    <x:row r="22" ht="24" customHeight="1">
      <x:c r="A22" s="40" t="str">
        <x:v>FT-Q-V01-018</x:v>
      </x:c>
      <x:c r="B22" s="31" t="str">
        <x:v>changes of temperature</x:v>
      </x:c>
      <x:c r="C22" s="31" t="str">
        <x:v>temperature_threshold</x:v>
      </x:c>
      <x:c r="D22" s="19" t="str">
        <x:v>CONTEXT_REQUIRED</x:v>
      </x:c>
      <x:c r="E22" s="19" t="str">
        <x:v>6.602953730450167e-07</x:v>
      </x:c>
      <x:c r="F22" s="19" t="str">
        <x:v>2.283350331311329e-07</x:v>
      </x:c>
      <x:c r="G22" s="19" t="str">
        <x:v>3.962615856278884e-08</x:v>
      </x:c>
      <x:c r="H22" s="19" t="str">
        <x:v>2.754631066997915e-08</x:v>
      </x:c>
      <x:c r="I22" s="19" t="str">
        <x:v>4.290605436219064e-08</x:v>
      </x:c>
      <x:c r="J22" s="46" t="n">
        <x:v>3.522618251608489e-8</x:v>
      </x:c>
      <x:c r="K22" s="19" t="str">
        <x:v>2.989213794199475e-08</x:v>
      </x:c>
      <x:c r="L22" s="19" t="str">
        <x:v>6.394769389017618e-08</x:v>
      </x:c>
      <x:c r="M22" s="37" t="n">
        <x:v>2022</x:v>
      </x:c>
    </x:row>
    <x:row r="23" ht="24" customHeight="1">
      <x:c r="A23" s="40" t="str">
        <x:v>FT-Q-V01-019</x:v>
      </x:c>
      <x:c r="B23" s="31" t="str">
        <x:v>excessive heat</x:v>
      </x:c>
      <x:c r="C23" s="31" t="str">
        <x:v>heat</x:v>
      </x:c>
      <x:c r="D23" s="19" t="str">
        <x:v>CONTEXT_REQUIRED</x:v>
      </x:c>
      <x:c r="E23" s="19" t="str">
        <x:v>4.727764535417123e-07</x:v>
      </x:c>
      <x:c r="F23" s="19" t="str">
        <x:v>4.204291131626459e-07</x:v>
      </x:c>
      <x:c r="G23" s="19" t="str">
        <x:v>1.919429495761404e-07</x:v>
      </x:c>
      <x:c r="H23" s="19" t="str">
        <x:v>1.719103683017753e-07</x:v>
      </x:c>
      <x:c r="I23" s="19" t="str">
        <x:v>1.945187375618218e-07</x:v>
      </x:c>
      <x:c r="J23" s="46" t="n">
        <x:v>1.832145529317986e-7</x:v>
      </x:c>
      <x:c r="K23" s="19" t="str">
        <x:v>1.528099464187527e-07</x:v>
      </x:c>
      <x:c r="L23" s="19" t="str">
        <x:v>1.668727563908234e-07</x:v>
      </x:c>
      <x:c r="M23" s="37" t="n">
        <x:v>2022</x:v>
      </x:c>
    </x:row>
    <x:row r="24" ht="24" customHeight="1">
      <x:c r="A24" s="40" t="str">
        <x:v>FT-Q-V01-020</x:v>
      </x:c>
      <x:c r="B24" s="31" t="str">
        <x:v>heat of the men</x:v>
      </x:c>
      <x:c r="C24" s="31" t="str">
        <x:v>heat</x:v>
      </x:c>
      <x:c r="D24" s="19" t="str">
        <x:v>CONTEXT_REQUIRED</x:v>
      </x:c>
      <x:c r="E24" s="19" t="str">
        <x:v>7.334431950667408e-10</x:v>
      </x:c>
      <x:c r="F24" s="19" t="str">
        <x:v>0</x:v>
      </x:c>
      <x:c r="G24" s="19" t="str">
        <x:v>5.975666489410614e-11</x:v>
      </x:c>
      <x:c r="H24" s="19" t="str">
        <x:v>5.397934182971298e-11</x:v>
      </x:c>
      <x:c r="I24" s="19" t="str">
        <x:v>1.585177267227067e-10</x:v>
      </x:c>
      <x:c r="J24" s="46" t="n">
        <x:v>1.062485342762098e-10</x:v>
      </x:c>
      <x:c r="K24" s="19" t="str">
        <x:v>1.613050110149672e-10</x:v>
      </x:c>
      <x:c r="L24" s="19" t="str">
        <x:v>1.524350368153904e-10</x:v>
      </x:c>
      <x:c r="M24" s="37" t="n">
        <x:v>2022</x:v>
      </x:c>
    </x:row>
    <x:row r="25" ht="24" customHeight="1">
      <x:c r="A25" s="40" t="str">
        <x:v>FT-Q-V01-021</x:v>
      </x:c>
      <x:c r="B25" s="31" t="str">
        <x:v>artificial production of carbon dioxide</x:v>
      </x:c>
      <x:c r="C25" s="31" t="str">
        <x:v>carbon_greenhouse</x:v>
      </x:c>
      <x:c r="D25" s="19" t="str">
        <x:v>CONTEXT_REQUIRED</x:v>
      </x:c>
      <x:c r="E25" s="19" t="str">
        <x:v>0</x:v>
      </x:c>
      <x:c r="F25" s="19" t="str">
        <x:v>4.288904842386643e-09</x:v>
      </x:c>
      <x:c r="G25" s="19" t="str">
        <x:v>3.258350533830168e-10</x:v>
      </x:c>
      <x:c r="H25" s="19" t="str">
        <x:v>5.240586020693883e-10</x:v>
      </x:c>
      <x:c r="I25" s="19" t="str">
        <x:v>9.678072787622227e-10</x:v>
      </x:c>
      <x:c r="J25" s="46" t="n">
        <x:v>7.459329404158055e-10</x:v>
      </x:c>
      <x:c r="K25" s="19" t="str">
        <x:v>1.151764794649068e-09</x:v>
      </x:c>
      <x:c r="L25" s="19" t="str">
        <x:v>1.794034754087903e-09</x:v>
      </x:c>
      <x:c r="M25" s="37" t="n">
        <x:v>2022</x:v>
      </x:c>
    </x:row>
    <x:row r="26" ht="24" customHeight="1">
      <x:c r="A26" s="40" t="str">
        <x:v>FT-Q-V01-022</x:v>
      </x:c>
      <x:c r="B26" s="31" t="str">
        <x:v>carbon dioxide</x:v>
      </x:c>
      <x:c r="C26" s="31" t="str">
        <x:v>carbon_greenhouse</x:v>
      </x:c>
      <x:c r="D26" s="19" t="str">
        <x:v>CONTEXT_REQUIRED</x:v>
      </x:c>
      <x:c r="E26" s="19" t="str">
        <x:v>7.094871634638622e-09</x:v>
      </x:c>
      <x:c r="F26" s="19" t="str">
        <x:v>9.657730330014935e-06</x:v>
      </x:c>
      <x:c r="G26" s="19" t="str">
        <x:v>7.055988905570881e-06</x:v>
      </x:c>
      <x:c r="H26" s="19" t="str">
        <x:v>6.240827137342364e-06</x:v>
      </x:c>
      <x:c r="I26" s="19" t="str">
        <x:v>7.639031842188865e-06</x:v>
      </x:c>
      <x:c r="J26" s="46" t="n">
        <x:v>0.000006939929489765614</x:v>
      </x:c>
      <x:c r="K26" s="19" t="str">
        <x:v>7.018469256155763e-06</x:v>
      </x:c>
      <x:c r="L26" s="19" t="str">
        <x:v>7.577890368426488e-06</x:v>
      </x:c>
      <x:c r="M26" s="37" t="n">
        <x:v>2022</x:v>
      </x:c>
    </x:row>
    <x:row r="27" ht="24" customHeight="1">
      <x:c r="A27" s="40" t="str">
        <x:v>FT-Q-V01-023</x:v>
      </x:c>
      <x:c r="B27" s="31" t="str">
        <x:v>fuel combustion</x:v>
      </x:c>
      <x:c r="C27" s="31" t="str">
        <x:v>carbon_greenhouse</x:v>
      </x:c>
      <x:c r="D27" s="19" t="str">
        <x:v>CONTEXT_REQUIRED</x:v>
      </x:c>
      <x:c r="E27" s="19" t="str">
        <x:v>0</x:v>
      </x:c>
      <x:c r="F27" s="19" t="str">
        <x:v>3.608451315528782e-08</x:v>
      </x:c>
      <x:c r="G27" s="19" t="str">
        <x:v>2.62274336634144e-07</x:v>
      </x:c>
      <x:c r="H27" s="19" t="str">
        <x:v>1.396342554360608e-07</x:v>
      </x:c>
      <x:c r="I27" s="19" t="str">
        <x:v>1.814758646689896e-07</x:v>
      </x:c>
      <x:c r="J27" s="46" t="n">
        <x:v>1.605550600525252e-7</x:v>
      </x:c>
      <x:c r="K27" s="19" t="str">
        <x:v>1.964765977136018e-07</x:v>
      </x:c>
      <x:c r="L27" s="19" t="str">
        <x:v>2.188545896730787e-07</x:v>
      </x:c>
      <x:c r="M27" s="37" t="n">
        <x:v>2022</x:v>
      </x:c>
    </x:row>
    <x:row r="28" ht="24" customHeight="1">
      <x:c r="A28" s="40" t="str">
        <x:v>FT-Q-V01-024</x:v>
      </x:c>
      <x:c r="B28" s="31" t="str">
        <x:v>air</x:v>
      </x:c>
      <x:c r="C28" s="31" t="str">
        <x:v>climate</x:v>
      </x:c>
      <x:c r="D28" s="19" t="str">
        <x:v>BACKGROUND_AMBIGUOUS</x:v>
      </x:c>
      <x:c r="E28" s="19" t="str">
        <x:v>0.0001596951176452421</x:v>
      </x:c>
      <x:c r="F28" s="19" t="str">
        <x:v>0.0002449050748590531</x:v>
      </x:c>
      <x:c r="G28" s="19" t="str">
        <x:v>0.000195882758400559</x:v>
      </x:c>
      <x:c r="H28" s="19" t="str">
        <x:v>0.0001554248265307964</x:v>
      </x:c>
      <x:c r="I28" s="19" t="str">
        <x:v>0.0001617948143970288</x:v>
      </x:c>
      <x:c r="J28" s="46" t="n">
        <x:v>0.0001586098204639126</x:v>
      </x:c>
      <x:c r="K28" s="19" t="str">
        <x:v>0.0001673772195566331</x:v>
      </x:c>
      <x:c r="L28" s="19" t="str">
        <x:v>0.0001629262595982672</x:v>
      </x:c>
      <x:c r="M28" s="37" t="n">
        <x:v>2022</x:v>
      </x:c>
    </x:row>
    <x:row r="29" ht="24" customHeight="1">
      <x:c r="A29" s="40" t="str">
        <x:v>FT-Q-V01-025</x:v>
      </x:c>
      <x:c r="B29" s="31" t="str">
        <x:v>atmosphere</x:v>
      </x:c>
      <x:c r="C29" s="31" t="str">
        <x:v>climate</x:v>
      </x:c>
      <x:c r="D29" s="19" t="str">
        <x:v>BACKGROUND_AMBIGUOUS</x:v>
      </x:c>
      <x:c r="E29" s="19" t="str">
        <x:v>2.831485350895946e-05</x:v>
      </x:c>
      <x:c r="F29" s="19" t="str">
        <x:v>1.888270770677991e-05</x:v>
      </x:c>
      <x:c r="G29" s="19" t="str">
        <x:v>2.367981869610958e-05</x:v>
      </x:c>
      <x:c r="H29" s="19" t="str">
        <x:v>2.126778495892268e-05</x:v>
      </x:c>
      <x:c r="I29" s="19" t="str">
        <x:v>2.173044436442478e-05</x:v>
      </x:c>
      <x:c r="J29" s="46" t="n">
        <x:v>0.00002149911466167373</x:v>
      </x:c>
      <x:c r="K29" s="19" t="str">
        <x:v>2.122521947781064e-05</x:v>
      </x:c>
      <x:c r="L29" s="19" t="str">
        <x:v>2.270211442953474e-05</x:v>
      </x:c>
      <x:c r="M29" s="37" t="n">
        <x:v>2022</x:v>
      </x:c>
    </x:row>
    <x:row r="30" ht="24" customHeight="1">
      <x:c r="A30" s="40" t="str">
        <x:v>FT-Q-V01-026</x:v>
      </x:c>
      <x:c r="B30" s="31" t="str">
        <x:v>radiation absorption coefficients</x:v>
      </x:c>
      <x:c r="C30" s="31" t="str">
        <x:v>climate</x:v>
      </x:c>
      <x:c r="D30" s="19" t="str">
        <x:v>CONTEXT_REQUIRED</x:v>
      </x:c>
      <x:c r="E30" s="19" t="str">
        <x:v>0</x:v>
      </x:c>
      <x:c r="F30" s="19" t="str">
        <x:v>1.222350221041779e-09</x:v>
      </x:c>
      <x:c r="G30" s="19" t="str">
        <x:v>3.784216828783826e-10</x:v>
      </x:c>
      <x:c r="H30" s="19" t="str">
        <x:v>9.908744658115864e-11</x:v>
      </x:c>
      <x:c r="I30" s="19" t="str">
        <x:v>3.887298122284832e-10</x:v>
      </x:c>
      <x:c r="J30" s="46" t="n">
        <x:v>2.439086294048209e-10</x:v>
      </x:c>
      <x:c r="K30" s="19" t="str">
        <x:v>9.997370292724739e-11</x:v>
      </x:c>
      <x:c r="L30" s="19" t="str">
        <x:v>4.729858865681891e-11</x:v>
      </x:c>
      <x:c r="M30" s="37" t="n">
        <x:v>2022</x:v>
      </x:c>
    </x:row>
    <x:row r="31" ht="24" customHeight="1">
      <x:c r="A31" s="40" t="str">
        <x:v>FT-Q-V01-027</x:v>
      </x:c>
      <x:c r="B31" s="31" t="str">
        <x:v>water vapour</x:v>
      </x:c>
      <x:c r="C31" s="31" t="str">
        <x:v>climate</x:v>
      </x:c>
      <x:c r="D31" s="19" t="str">
        <x:v>CONTEXT_REQUIRED</x:v>
      </x:c>
      <x:c r="E31" s="19" t="str">
        <x:v>4.514918217068953e-09</x:v>
      </x:c>
      <x:c r="F31" s="19" t="str">
        <x:v>6.766959614878942e-07</x:v>
      </x:c>
      <x:c r="G31" s="19" t="str">
        <x:v>6.493189931566778e-07</x:v>
      </x:c>
      <x:c r="H31" s="19" t="str">
        <x:v>5.637561245712408e-07</x:v>
      </x:c>
      <x:c r="I31" s="19" t="str">
        <x:v>5.652062349884024e-07</x:v>
      </x:c>
      <x:c r="J31" s="46" t="n">
        <x:v>5.644811797798216e-7</x:v>
      </x:c>
      <x:c r="K31" s="19" t="str">
        <x:v>5.057859777633789e-07</x:v>
      </x:c>
      <x:c r="L31" s="19" t="str">
        <x:v>5.510517200879583e-07</x:v>
      </x:c>
      <x:c r="M31" s="37" t="n">
        <x:v>2022</x:v>
      </x:c>
    </x:row>
    <x:row r="32" ht="24" customHeight="1">
      <x:c r="A32" s="40" t="str">
        <x:v>FT-Q-V01-028</x:v>
      </x:c>
      <x:c r="B32" s="31" t="str">
        <x:v>sky radiation</x:v>
      </x:c>
      <x:c r="C32" s="31" t="str">
        <x:v>climate</x:v>
      </x:c>
      <x:c r="D32" s="19" t="str">
        <x:v>CONTEXT_REQUIRED</x:v>
      </x:c>
      <x:c r="E32" s="19" t="str">
        <x:v>0</x:v>
      </x:c>
      <x:c r="F32" s="19" t="str">
        <x:v>7.016433356543672e-08</x:v>
      </x:c>
      <x:c r="G32" s="19" t="str">
        <x:v>3.519036362309436e-08</x:v>
      </x:c>
      <x:c r="H32" s="19" t="str">
        <x:v>1.011776039339107e-08</x:v>
      </x:c>
      <x:c r="I32" s="19" t="str">
        <x:v>1.097400473965005e-08</x:v>
      </x:c>
      <x:c r="J32" s="46" t="n">
        <x:v>1.054588256652056e-8</x:v>
      </x:c>
      <x:c r="K32" s="19" t="str">
        <x:v>7.612475511065142e-09</x:v>
      </x:c>
      <x:c r="L32" s="19" t="str">
        <x:v>8.007414870059293e-09</x:v>
      </x:c>
      <x:c r="M32" s="37" t="n">
        <x:v>2022</x:v>
      </x:c>
    </x:row>
    <x:row r="33" ht="24" customHeight="1">
      <x:c r="A33" s="40" t="str">
        <x:v>FT-Q-V01-029</x:v>
      </x:c>
      <x:c r="B33" s="31" t="str">
        <x:v>increase in mean temperature</x:v>
      </x:c>
      <x:c r="C33" s="31" t="str">
        <x:v>temperature_threshold</x:v>
      </x:c>
      <x:c r="D33" s="19" t="str">
        <x:v>CONTEXT_REQUIRED</x:v>
      </x:c>
      <x:c r="E33" s="19" t="str">
        <x:v>0</x:v>
      </x:c>
      <x:c r="F33" s="19" t="str">
        <x:v>2.30258700995023e-09</x:v>
      </x:c>
      <x:c r="G33" s="19" t="str">
        <x:v>1.254889969715123e-09</x:v>
      </x:c>
      <x:c r="H33" s="19" t="str">
        <x:v>1.511421543476388e-09</x:v>
      </x:c>
      <x:c r="I33" s="19" t="str">
        <x:v>2.430605078318493e-09</x:v>
      </x:c>
      <x:c r="J33" s="46" t="n">
        <x:v>1.97101331089744e-9</x:v>
      </x:c>
      <x:c r="K33" s="19" t="str">
        <x:v>1.774355107286851e-09</x:v>
      </x:c>
      <x:c r="L33" s="19" t="str">
        <x:v>3.455194436119413e-09</x:v>
      </x:c>
      <x:c r="M33" s="37" t="n">
        <x:v>2022</x:v>
      </x:c>
    </x:row>
    <x:row r="34" ht="24" customHeight="1">
      <x:c r="A34" s="40" t="str">
        <x:v>FT-Q-V01-030</x:v>
      </x:c>
      <x:c r="B34" s="31" t="str">
        <x:v>mean temperature</x:v>
      </x:c>
      <x:c r="C34" s="31" t="str">
        <x:v>temperature_threshold</x:v>
      </x:c>
      <x:c r="D34" s="19" t="str">
        <x:v>CONTEXT_REQUIRED</x:v>
      </x:c>
      <x:c r="E34" s="19" t="str">
        <x:v>2.365172290907935e-06</x:v>
      </x:c>
      <x:c r="F34" s="19" t="str">
        <x:v>1.06460447896195e-06</x:v>
      </x:c>
      <x:c r="G34" s="19" t="str">
        <x:v>5.396020415979197e-07</x:v>
      </x:c>
      <x:c r="H34" s="19" t="str">
        <x:v>4.059007448348195e-07</x:v>
      </x:c>
      <x:c r="I34" s="19" t="str">
        <x:v>4.200255244168893e-07</x:v>
      </x:c>
      <x:c r="J34" s="46" t="n">
        <x:v>4.129631346258544e-7</x:v>
      </x:c>
      <x:c r="K34" s="19" t="str">
        <x:v>3.047325316460348e-07</x:v>
      </x:c>
      <x:c r="L34" s="19" t="str">
        <x:v>3.990877988080399e-07</x:v>
      </x:c>
      <x:c r="M34" s="37" t="n">
        <x:v>2022</x:v>
      </x:c>
    </x:row>
    <x:row r="35" ht="24" customHeight="1">
      <x:c r="A35" s="40" t="str">
        <x:v>FT-Q-V01-031</x:v>
      </x:c>
      <x:c r="B35" s="31" t="str">
        <x:v>temperature observations</x:v>
      </x:c>
      <x:c r="C35" s="31" t="str">
        <x:v>temperature_threshold</x:v>
      </x:c>
      <x:c r="D35" s="19" t="str">
        <x:v>CONTEXT_REQUIRED</x:v>
      </x:c>
      <x:c r="E35" s="19" t="str">
        <x:v>0</x:v>
      </x:c>
      <x:c r="F35" s="19" t="str">
        <x:v>3.630725631253995e-08</x:v>
      </x:c>
      <x:c r="G35" s="19" t="str">
        <x:v>4.333399722389331e-08</x:v>
      </x:c>
      <x:c r="H35" s="19" t="str">
        <x:v>1.327669915673901e-08</x:v>
      </x:c>
      <x:c r="I35" s="19" t="str">
        <x:v>1.196346471887821e-08</x:v>
      </x:c>
      <x:c r="J35" s="46" t="n">
        <x:v>1.262008193780861e-8</x:v>
      </x:c>
      <x:c r="K35" s="19" t="str">
        <x:v>8.032796372514639e-09</x:v>
      </x:c>
      <x:c r="L35" s="19" t="str">
        <x:v>1.079452616181698e-08</x:v>
      </x:c>
      <x:c r="M35" s="37" t="n">
        <x:v>2022</x:v>
      </x:c>
    </x:row>
    <x:row r="36" ht="24" customHeight="1">
      <x:c r="A36" s="40" t="str">
        <x:v>FT-Q-V01-032</x:v>
      </x:c>
      <x:c r="B36" s="31" t="str">
        <x:v>meteorological stations</x:v>
      </x:c>
      <x:c r="C36" s="31" t="str">
        <x:v>climate</x:v>
      </x:c>
      <x:c r="D36" s="19" t="str">
        <x:v>CONTEXT_REQUIRED</x:v>
      </x:c>
      <x:c r="E36" s="19" t="str">
        <x:v>6.449883405146295e-10</x:v>
      </x:c>
      <x:c r="F36" s="19" t="str">
        <x:v>9.076814153075041e-08</x:v>
      </x:c>
      <x:c r="G36" s="19" t="str">
        <x:v>9.47622730285147e-08</x:v>
      </x:c>
      <x:c r="H36" s="19" t="str">
        <x:v>6.752804135312651e-08</x:v>
      </x:c>
      <x:c r="I36" s="19" t="str">
        <x:v>5.707381896605246e-08</x:v>
      </x:c>
      <x:c r="J36" s="46" t="n">
        <x:v>6.230093015958948e-8</x:v>
      </x:c>
      <x:c r="K36" s="19" t="str">
        <x:v>4.119143208469733e-08</x:v>
      </x:c>
      <x:c r="L36" s="19" t="str">
        <x:v>5.706942204919407e-08</x:v>
      </x:c>
      <x:c r="M36" s="37" t="n">
        <x:v>2022</x:v>
      </x:c>
    </x:row>
    <x:row r="37" ht="24" customHeight="1">
      <x:c r="A37" s="40" t="str">
        <x:v>FT-Q-V01-033</x:v>
      </x:c>
      <x:c r="B37" s="31" t="str">
        <x:v>world temperatures</x:v>
      </x:c>
      <x:c r="C37" s="31" t="str">
        <x:v>temperature_threshold</x:v>
      </x:c>
      <x:c r="D37" s="19" t="str">
        <x:v>CONTEXT_REQUIRED</x:v>
      </x:c>
      <x:c r="E37" s="19" t="str">
        <x:v>0</x:v>
      </x:c>
      <x:c r="F37" s="19" t="str">
        <x:v>2.561554982016823e-09</x:v>
      </x:c>
      <x:c r="G37" s="19" t="str">
        <x:v>4.590047536501274e-09</x:v>
      </x:c>
      <x:c r="H37" s="19" t="str">
        <x:v>4.761299195188418e-09</x:v>
      </x:c>
      <x:c r="I37" s="19" t="str">
        <x:v>7.465921342958426e-09</x:v>
      </x:c>
      <x:c r="J37" s="46" t="n">
        <x:v>6.113610269073422e-9</x:v>
      </x:c>
      <x:c r="K37" s="19" t="str">
        <x:v>5.650978740501245e-09</x:v>
      </x:c>
      <x:c r="L37" s="19" t="str">
        <x:v>4.114307144975626e-09</x:v>
      </x:c>
      <x:c r="M37" s="37" t="n">
        <x:v>2022</x:v>
      </x:c>
    </x:row>
    <x:row r="38" ht="24" customHeight="1">
      <x:c r="A38" s="40" t="str">
        <x:v>FT-Q-V01-034</x:v>
      </x:c>
      <x:c r="B38" s="31" t="str">
        <x:v>actually increased</x:v>
      </x:c>
      <x:c r="C38" s="31" t="str">
        <x:v>warming</x:v>
      </x:c>
      <x:c r="D38" s="19" t="str">
        <x:v>CONTEXT_REQUIRED</x:v>
      </x:c>
      <x:c r="E38" s="19" t="str">
        <x:v>5.611398634641773e-08</x:v>
      </x:c>
      <x:c r="F38" s="19" t="str">
        <x:v>1.804225649021385e-07</x:v>
      </x:c>
      <x:c r="G38" s="19" t="str">
        <x:v>2.214574481781972e-07</x:v>
      </x:c>
      <x:c r="H38" s="19" t="str">
        <x:v>2.003408214254487e-07</x:v>
      </x:c>
      <x:c r="I38" s="19" t="str">
        <x:v>2.006803638751609e-07</x:v>
      </x:c>
      <x:c r="J38" s="46" t="n">
        <x:v>2.005105926503048e-7</x:v>
      </x:c>
      <x:c r="K38" s="19" t="str">
        <x:v>1.679881892306667e-07</x:v>
      </x:c>
      <x:c r="L38" s="19" t="str">
        <x:v>1.005129691700191e-07</x:v>
      </x:c>
      <x:c r="M38" s="37" t="n">
        <x:v>2022</x:v>
      </x:c>
    </x:row>
    <x:row r="39" ht="24" customHeight="1">
      <x:c r="A39" s="40" t="str">
        <x:v>FT-Q-V01-035</x:v>
      </x:c>
      <x:c r="B39" s="31" t="str">
        <x:v>average rate</x:v>
      </x:c>
      <x:c r="C39" s="31" t="str">
        <x:v>temperature_threshold</x:v>
      </x:c>
      <x:c r="D39" s="19" t="str">
        <x:v>CONTEXT_REQUIRED</x:v>
      </x:c>
      <x:c r="E39" s="19" t="str">
        <x:v>1.024886465750274e-06</x:v>
      </x:c>
      <x:c r="F39" s="19" t="str">
        <x:v>2.678272757100641e-06</x:v>
      </x:c>
      <x:c r="G39" s="19" t="str">
        <x:v>1.477254987107546e-06</x:v>
      </x:c>
      <x:c r="H39" s="19" t="str">
        <x:v>1.087956885408026e-06</x:v>
      </x:c>
      <x:c r="I39" s="19" t="str">
        <x:v>1.109498924400931e-06</x:v>
      </x:c>
      <x:c r="J39" s="46" t="n">
        <x:v>0.000001098727904904478</x:v>
      </x:c>
      <x:c r="K39" s="19" t="str">
        <x:v>7.784807402877458e-07</x:v>
      </x:c>
      <x:c r="L39" s="19" t="str">
        <x:v>5.522904276411555e-07</x:v>
      </x:c>
      <x:c r="M39" s="37" t="n">
        <x:v>2022</x:v>
      </x:c>
    </x:row>
    <x:row r="40" ht="24" customHeight="1">
      <x:c r="A40" s="40" t="str">
        <x:v>FT-Q-V01-036</x:v>
      </x:c>
      <x:c r="B40" s="31" t="str">
        <x:v>small increases in mean temperature</x:v>
      </x:c>
      <x:c r="C40" s="31" t="str">
        <x:v>temperature_threshold</x:v>
      </x:c>
      <x:c r="D40" s="19" t="str">
        <x:v>CONTEXT_REQUIRED</x:v>
      </x:c>
      <x:c r="E40" s="19" t="str"/>
      <x:c r="F40" s="19" t="str"/>
      <x:c r="G40" s="19" t="str"/>
      <x:c r="H40" s="19" t="str"/>
      <x:c r="I40" s="19" t="str"/>
      <x:c r="J40" s="46" t="str"/>
      <x:c r="K40" s="19" t="str"/>
      <x:c r="L40" s="19" t="str"/>
      <x:c r="M40" s="37" t="n">
        <x:v>2022</x:v>
      </x:c>
    </x:row>
    <x:row r="41" ht="24" customHeight="1">
      <x:c r="A41" s="40" t="str">
        <x:v>FT-Q-V01-037</x:v>
      </x:c>
      <x:c r="B41" s="31" t="str">
        <x:v>deadly glaciers</x:v>
      </x:c>
      <x:c r="C41" s="31" t="str">
        <x:v>danger_threat</x:v>
      </x:c>
      <x:c r="D41" s="19" t="str">
        <x:v>CONTEXT_REQUIRED</x:v>
      </x:c>
      <x:c r="E41" s="19" t="str">
        <x:v>0</x:v>
      </x:c>
      <x:c r="F41" s="19" t="str">
        <x:v>1.113719533263335e-10</x:v>
      </x:c>
      <x:c r="G41" s="19" t="str">
        <x:v>4.9355349668323e-11</x:v>
      </x:c>
      <x:c r="H41" s="19" t="str">
        <x:v>9.156344432659225e-11</x:v>
      </x:c>
      <x:c r="I41" s="19" t="str">
        <x:v>4.497542963055601e-11</x:v>
      </x:c>
      <x:c r="J41" s="46" t="n">
        <x:v>6.826943697857413e-11</x:v>
      </x:c>
      <x:c r="K41" s="19" t="str">
        <x:v>3.269161330532455e-10</x:v>
      </x:c>
      <x:c r="L41" s="19" t="str">
        <x:v>2.211993088696573e-10</x:v>
      </x:c>
      <x:c r="M41" s="37" t="n">
        <x:v>2022</x:v>
      </x:c>
    </x:row>
    <x:row r="42" ht="24" customHeight="1">
      <x:c r="A42" s="40" t="str">
        <x:v>FT-Q-V01-038</x:v>
      </x:c>
      <x:c r="B42" s="31" t="str">
        <x:v>rather a coincidence</x:v>
      </x:c>
      <x:c r="C42" s="31" t="str">
        <x:v>concern_alarm</x:v>
      </x:c>
      <x:c r="D42" s="19" t="str">
        <x:v>CONTEXT_REQUIRED</x:v>
      </x:c>
      <x:c r="E42" s="19" t="str">
        <x:v>1.372755464856823e-09</x:v>
      </x:c>
      <x:c r="F42" s="19" t="str">
        <x:v>4.644931106412287e-09</x:v>
      </x:c>
      <x:c r="G42" s="19" t="str">
        <x:v>7.027831511186022e-10</x:v>
      </x:c>
      <x:c r="H42" s="19" t="str">
        <x:v>9.413307355821132e-10</x:v>
      </x:c>
      <x:c r="I42" s="19" t="str">
        <x:v>8.746421087391099e-10</x:v>
      </x:c>
      <x:c r="J42" s="46" t="n">
        <x:v>9.079864221606115e-10</x:v>
      </x:c>
      <x:c r="K42" s="19" t="str">
        <x:v>2.049460878783549e-09</x:v>
      </x:c>
      <x:c r="L42" s="19" t="str">
        <x:v>3.216303917641383e-09</x:v>
      </x:c>
      <x:c r="M42" s="37" t="n">
        <x:v>2022</x:v>
      </x:c>
    </x:row>
    <x:row r="43" ht="24" customHeight="1">
      <x:c r="A43" s="40" t="str">
        <x:v>FT-Q-V01-039</x:v>
      </x:c>
      <x:c r="B43" s="31" t="str">
        <x:v>Hottest Day for Ten Years</x:v>
      </x:c>
      <x:c r="C43" s="31" t="str">
        <x:v>heat</x:v>
      </x:c>
      <x:c r="D43" s="19" t="str">
        <x:v>CONTEXT_REQUIRED</x:v>
      </x:c>
      <x:c r="E43" s="19" t="str"/>
      <x:c r="F43" s="19" t="str"/>
      <x:c r="G43" s="19" t="str"/>
      <x:c r="H43" s="19" t="str"/>
      <x:c r="I43" s="19" t="str"/>
      <x:c r="J43" s="46" t="str"/>
      <x:c r="K43" s="19" t="str"/>
      <x:c r="L43" s="19" t="str"/>
      <x:c r="M43" s="37" t="n">
        <x:v>2022</x:v>
      </x:c>
    </x:row>
    <x:row r="44" ht="24" customHeight="1">
      <x:c r="A44" s="40" t="str">
        <x:v>FT-Q-V01-040</x:v>
      </x:c>
      <x:c r="B44" s="31" t="str">
        <x:v>Heat Wave Over Queensland</x:v>
      </x:c>
      <x:c r="C44" s="31" t="str">
        <x:v>heat</x:v>
      </x:c>
      <x:c r="D44" s="19" t="str">
        <x:v>CONTEXT_REQUIRED</x:v>
      </x:c>
      <x:c r="E44" s="19" t="str"/>
      <x:c r="F44" s="19" t="str"/>
      <x:c r="G44" s="19" t="str"/>
      <x:c r="H44" s="19" t="str"/>
      <x:c r="I44" s="19" t="str"/>
      <x:c r="J44" s="46" t="str"/>
      <x:c r="K44" s="19" t="str"/>
      <x:c r="L44" s="19" t="str"/>
      <x:c r="M44" s="37" t="n">
        <x:v>2022</x:v>
      </x:c>
    </x:row>
    <x:row r="45" ht="24" customHeight="1">
      <x:c r="A45" s="40" t="str">
        <x:v>FT-Q-V01-041</x:v>
      </x:c>
      <x:c r="B45" s="31" t="str">
        <x:v>greenhouse effect</x:v>
      </x:c>
      <x:c r="C45" s="31" t="str">
        <x:v>carbon_greenhouse</x:v>
      </x:c>
      <x:c r="D45" s="19" t="str">
        <x:v>CLIMATE_SPECIFIC</x:v>
      </x:c>
      <x:c r="E45" s="19" t="str">
        <x:v>0</x:v>
      </x:c>
      <x:c r="F45" s="19" t="str">
        <x:v>9.689360203068986e-09</x:v>
      </x:c>
      <x:c r="G45" s="19" t="str">
        <x:v>1.086015104533045e-06</x:v>
      </x:c>
      <x:c r="H45" s="19" t="str">
        <x:v>4.812116740637862e-07</x:v>
      </x:c>
      <x:c r="I45" s="19" t="str">
        <x:v>5.082223493886595e-07</x:v>
      </x:c>
      <x:c r="J45" s="46" t="n">
        <x:v>4.947170117262228e-7</x:v>
      </x:c>
      <x:c r="K45" s="19" t="str">
        <x:v>4.161642502796548e-07</x:v>
      </x:c>
      <x:c r="L45" s="19" t="str">
        <x:v>4.531046594036248e-07</x:v>
      </x:c>
      <x:c r="M45" s="37" t="n">
        <x:v>2022</x:v>
      </x:c>
    </x:row>
    <x:row r="46" ht="24" customHeight="1">
      <x:c r="A46" s="40" t="str">
        <x:v>FT-Q-V01-042</x:v>
      </x:c>
      <x:c r="B46" s="31" t="str">
        <x:v>global warming</x:v>
      </x:c>
      <x:c r="C46" s="31" t="str">
        <x:v>warming</x:v>
      </x:c>
      <x:c r="D46" s="19" t="str">
        <x:v>CLIMATE_SPECIFIC</x:v>
      </x:c>
      <x:c r="E46" s="19" t="str">
        <x:v>0</x:v>
      </x:c>
      <x:c r="F46" s="19" t="str">
        <x:v>2.00469511824064e-09</x:v>
      </x:c>
      <x:c r="G46" s="19" t="str">
        <x:v>6.400895369296222e-07</x:v>
      </x:c>
      <x:c r="H46" s="19" t="str">
        <x:v>3.39393631278162e-06</x:v>
      </x:c>
      <x:c r="I46" s="19" t="str">
        <x:v>4.96164442403968e-06</x:v>
      </x:c>
      <x:c r="J46" s="46" t="n">
        <x:v>0.00000417779036841065</x:v>
      </x:c>
      <x:c r="K46" s="19" t="str">
        <x:v>3.293586607857474e-06</x:v>
      </x:c>
      <x:c r="L46" s="19" t="str">
        <x:v>3.963670369644401e-06</x:v>
      </x:c>
      <x:c r="M46" s="37" t="n">
        <x:v>2022</x:v>
      </x:c>
    </x:row>
    <x:row r="47" ht="24" customHeight="1">
      <x:c r="A47" s="40" t="str">
        <x:v>FT-Q-V01-043</x:v>
      </x:c>
      <x:c r="B47" s="31" t="str">
        <x:v>earth is warmer</x:v>
      </x:c>
      <x:c r="C47" s="31" t="str">
        <x:v>warming</x:v>
      </x:c>
      <x:c r="D47" s="19" t="str">
        <x:v>CONTEXT_REQUIRED</x:v>
      </x:c>
      <x:c r="E47" s="19" t="str">
        <x:v>0</x:v>
      </x:c>
      <x:c r="F47" s="19" t="str">
        <x:v>2.444700553105861e-10</x:v>
      </x:c>
      <x:c r="G47" s="19" t="str">
        <x:v>1.243385561178201e-09</x:v>
      </x:c>
      <x:c r="H47" s="19" t="str">
        <x:v>1.04041819604106e-09</x:v>
      </x:c>
      <x:c r="I47" s="19" t="str">
        <x:v>2.235196472355483e-09</x:v>
      </x:c>
      <x:c r="J47" s="46" t="n">
        <x:v>1.637807334198271e-9</x:v>
      </x:c>
      <x:c r="K47" s="19" t="str">
        <x:v>1.249671310876721e-09</x:v>
      </x:c>
      <x:c r="L47" s="19" t="str">
        <x:v>1.702749219401056e-09</x:v>
      </x:c>
      <x:c r="M47" s="37" t="n">
        <x:v>2022</x:v>
      </x:c>
    </x:row>
    <x:row r="48" ht="24" customHeight="1">
      <x:c r="A48" s="40" t="str">
        <x:v>FT-Q-V01-044</x:v>
      </x:c>
      <x:c r="B48" s="31" t="str">
        <x:v>instrumental measurements</x:v>
      </x:c>
      <x:c r="C48" s="31" t="str">
        <x:v>climate</x:v>
      </x:c>
      <x:c r="D48" s="19" t="str">
        <x:v>CONTEXT_REQUIRED</x:v>
      </x:c>
      <x:c r="E48" s="19" t="str">
        <x:v>0</x:v>
      </x:c>
      <x:c r="F48" s="19" t="str">
        <x:v>4.343506249115947e-09</x:v>
      </x:c>
      <x:c r="G48" s="19" t="str">
        <x:v>6.959104164455665e-09</x:v>
      </x:c>
      <x:c r="H48" s="19" t="str">
        <x:v>9.659943039919128e-09</x:v>
      </x:c>
      <x:c r="I48" s="19" t="str">
        <x:v>1.155868578628372e-08</x:v>
      </x:c>
      <x:c r="J48" s="46" t="n">
        <x:v>1.060931441310142e-8</x:v>
      </x:c>
      <x:c r="K48" s="19" t="str">
        <x:v>7.752582603659519e-09</x:v>
      </x:c>
      <x:c r="L48" s="19" t="str">
        <x:v>8.892212299826951e-09</x:v>
      </x:c>
      <x:c r="M48" s="37" t="n">
        <x:v>2022</x:v>
      </x:c>
    </x:row>
    <x:row r="49" ht="24" customHeight="1">
      <x:c r="A49" s="40" t="str">
        <x:v>FT-Q-V01-045</x:v>
      </x:c>
      <x:c r="B49" s="31" t="str">
        <x:v>cause-and-effect relationship</x:v>
      </x:c>
      <x:c r="C49" s="31" t="str">
        <x:v>harm_loss_consequences</x:v>
      </x:c>
      <x:c r="D49" s="19" t="str">
        <x:v>CONTEXT_REQUIRED</x:v>
      </x:c>
      <x:c r="E49" s="19" t="str">
        <x:v>0</x:v>
      </x:c>
      <x:c r="F49" s="19" t="str">
        <x:v>1.153081288784996e-08</x:v>
      </x:c>
      <x:c r="G49" s="19" t="str">
        <x:v>1.040740936764095e-07</x:v>
      </x:c>
      <x:c r="H49" s="19" t="str">
        <x:v>1.102150947035474e-07</x:v>
      </x:c>
      <x:c r="I49" s="19" t="str">
        <x:v>1.140745307104396e-07</x:v>
      </x:c>
      <x:c r="J49" s="46" t="n">
        <x:v>1.121448127069935e-7</x:v>
      </x:c>
      <x:c r="K49" s="19" t="str">
        <x:v>1.375002782744161e-07</x:v>
      </x:c>
      <x:c r="L49" s="19" t="str">
        <x:v>1.046778577290519e-07</x:v>
      </x:c>
      <x:c r="M49" s="37" t="n">
        <x:v>2022</x:v>
      </x:c>
    </x:row>
    <x:row r="50" ht="24" customHeight="1">
      <x:c r="A50" s="40" t="str">
        <x:v>FT-Q-V01-046</x:v>
      </x:c>
      <x:c r="B50" s="31" t="str">
        <x:v>global temperature</x:v>
      </x:c>
      <x:c r="C50" s="31" t="str">
        <x:v>temperature_threshold</x:v>
      </x:c>
      <x:c r="D50" s="19" t="str">
        <x:v>CONTEXT_REQUIRED</x:v>
      </x:c>
      <x:c r="E50" s="19" t="str">
        <x:v>0</x:v>
      </x:c>
      <x:c r="F50" s="19" t="str">
        <x:v>0</x:v>
      </x:c>
      <x:c r="G50" s="19" t="str">
        <x:v>1.101611393217183e-07</x:v>
      </x:c>
      <x:c r="H50" s="19" t="str">
        <x:v>1.36521097881398e-07</x:v>
      </x:c>
      <x:c r="I50" s="19" t="str">
        <x:v>1.52331783999371e-07</x:v>
      </x:c>
      <x:c r="J50" s="46" t="n">
        <x:v>1.444264409403845e-7</x:v>
      </x:c>
      <x:c r="K50" s="19" t="str">
        <x:v>1.917596575834457e-07</x:v>
      </x:c>
      <x:c r="L50" s="19" t="str">
        <x:v>3.140587651051518e-07</x:v>
      </x:c>
      <x:c r="M50" s="37" t="n">
        <x:v>2022</x:v>
      </x:c>
    </x:row>
    <x:row r="51" ht="24" customHeight="1">
      <x:c r="A51" s="40" t="str">
        <x:v>FT-Q-V01-047</x:v>
      </x:c>
      <x:c r="B51" s="31" t="str">
        <x:v>regional heat waves</x:v>
      </x:c>
      <x:c r="C51" s="31" t="str">
        <x:v>heat</x:v>
      </x:c>
      <x:c r="D51" s="19" t="str">
        <x:v>CONTEXT_REQUIRED</x:v>
      </x:c>
      <x:c r="E51" s="19" t="str">
        <x:v>0</x:v>
      </x:c>
      <x:c r="F51" s="19" t="str">
        <x:v>0</x:v>
      </x:c>
      <x:c r="G51" s="19" t="str">
        <x:v>7.0278316499639e-10</x:v>
      </x:c>
      <x:c r="H51" s="19" t="str">
        <x:v>4.954372329057932e-11</x:v>
      </x:c>
      <x:c r="I51" s="19" t="str">
        <x:v>9.718245652656776e-11</x:v>
      </x:c>
      <x:c r="J51" s="46" t="n">
        <x:v>7.336308990857354e-11</x:v>
      </x:c>
      <x:c r="K51" s="19" t="str">
        <x:v>3.499079706537067e-10</x:v>
      </x:c>
      <x:c r="L51" s="19" t="str">
        <x:v>4.729858865681891e-11</x:v>
      </x:c>
      <x:c r="M51" s="37" t="n">
        <x:v>2022</x:v>
      </x:c>
    </x:row>
    <x:row r="52" ht="24" customHeight="1">
      <x:c r="A52" s="40" t="str">
        <x:v>FT-Q-V01-048</x:v>
      </x:c>
      <x:c r="B52" s="31" t="str">
        <x:v>heat wave</x:v>
      </x:c>
      <x:c r="C52" s="31" t="str">
        <x:v>heat</x:v>
      </x:c>
      <x:c r="D52" s="19" t="str">
        <x:v>CLIMATE_SPECIFIC</x:v>
      </x:c>
      <x:c r="E52" s="19" t="str">
        <x:v>4.514918217068953e-09</x:v>
      </x:c>
      <x:c r="F52" s="19" t="str">
        <x:v>1.921166252749629e-07</x:v>
      </x:c>
      <x:c r="G52" s="19" t="str">
        <x:v>1.718059701449892e-07</x:v>
      </x:c>
      <x:c r="H52" s="19" t="str">
        <x:v>2.572474944173564e-07</x:v>
      </x:c>
      <x:c r="I52" s="19" t="str">
        <x:v>2.559551631371726e-07</x:v>
      </x:c>
      <x:c r="J52" s="46" t="n">
        <x:v>2.566013287772645e-7</x:v>
      </x:c>
      <x:c r="K52" s="19" t="str">
        <x:v>3.528359153667782e-07</x:v>
      </x:c>
      <x:c r="L52" s="19" t="str">
        <x:v>3.006541136052476e-07</x:v>
      </x:c>
      <x:c r="M52" s="37" t="n">
        <x:v>2022</x:v>
      </x:c>
    </x:row>
    <x:row r="53" ht="24" customHeight="1">
      <x:c r="A53" s="40" t="str">
        <x:v>FT-Q-V01-049</x:v>
      </x:c>
      <x:c r="B53" s="31" t="str">
        <x:v>drought</x:v>
      </x:c>
      <x:c r="C53" s="31" t="str">
        <x:v>harm_loss_consequences</x:v>
      </x:c>
      <x:c r="D53" s="19" t="str">
        <x:v>BACKGROUND_AMBIGUOUS</x:v>
      </x:c>
      <x:c r="E53" s="19" t="str">
        <x:v>3.115138760279024e-06</x:v>
      </x:c>
      <x:c r="F53" s="19" t="str">
        <x:v>9.374461029665326e-06</x:v>
      </x:c>
      <x:c r="G53" s="19" t="str">
        <x:v>1.090940310177757e-05</x:v>
      </x:c>
      <x:c r="H53" s="19" t="str">
        <x:v>6.629869545804468e-06</x:v>
      </x:c>
      <x:c r="I53" s="19" t="str">
        <x:v>6.241732602774164e-06</x:v>
      </x:c>
      <x:c r="J53" s="46" t="n">
        <x:v>0.000006435801074289316</x:v>
      </x:c>
      <x:c r="K53" s="19" t="str">
        <x:v>5.762521983143643e-06</x:v>
      </x:c>
      <x:c r="L53" s="19" t="str">
        <x:v>8.803938708723535e-06</x:v>
      </x:c>
      <x:c r="M53" s="37" t="n">
        <x:v>2022</x:v>
      </x:c>
    </x:row>
    <x:row r="54" ht="24" customHeight="1">
      <x:c r="A54" s="40" t="str">
        <x:v>FT-Q-V01-050</x:v>
      </x:c>
      <x:c r="B54" s="31" t="str">
        <x:v>heat wave/drought occurrences</x:v>
      </x:c>
      <x:c r="C54" s="31" t="str">
        <x:v>heat</x:v>
      </x:c>
      <x:c r="D54" s="19" t="str">
        <x:v>CONTEXT_REQUIRED</x:v>
      </x:c>
      <x:c r="E54" s="19" t="str"/>
      <x:c r="F54" s="19" t="str"/>
      <x:c r="G54" s="19" t="str"/>
      <x:c r="H54" s="19" t="str"/>
      <x:c r="I54" s="19" t="str"/>
      <x:c r="J54" s="46" t="str"/>
      <x:c r="K54" s="19" t="str"/>
      <x:c r="L54" s="19" t="str"/>
      <x:c r="M54" s="37" t="n">
        <x:v>2022</x:v>
      </x:c>
    </x:row>
    <x:row r="55" ht="24" customHeight="1">
      <x:c r="A55" s="40" t="str">
        <x:v>FT-Q-V01-051</x:v>
      </x:c>
      <x:c r="B55" s="31" t="str">
        <x:v>extreme events</x:v>
      </x:c>
      <x:c r="C55" s="31" t="str">
        <x:v>harm_loss_consequences</x:v>
      </x:c>
      <x:c r="D55" s="19" t="str">
        <x:v>CONTEXT_REQUIRED</x:v>
      </x:c>
      <x:c r="E55" s="19" t="str">
        <x:v>0</x:v>
      </x:c>
      <x:c r="F55" s="19" t="str">
        <x:v>3.341158599790006e-10</x:v>
      </x:c>
      <x:c r="G55" s="19" t="str">
        <x:v>5.5376702223775e-08</x:v>
      </x:c>
      <x:c r="H55" s="19" t="str">
        <x:v>2.56927021435871e-07</x:v>
      </x:c>
      <x:c r="I55" s="19" t="str">
        <x:v>2.204695532803669e-07</x:v>
      </x:c>
      <x:c r="J55" s="46" t="n">
        <x:v>2.386982873581189e-7</x:v>
      </x:c>
      <x:c r="K55" s="19" t="str">
        <x:v>3.062737106152014e-07</x:v>
      </x:c>
      <x:c r="L55" s="19" t="str">
        <x:v>4.590328079867589e-07</x:v>
      </x:c>
      <x:c r="M55" s="37" t="n">
        <x:v>2022</x:v>
      </x:c>
    </x:row>
    <x:row r="56" ht="24" customHeight="1">
      <x:c r="A56" s="40" t="str">
        <x:v>FT-Q-V01-052</x:v>
      </x:c>
      <x:c r="B56" s="31" t="str">
        <x:v>global climate models</x:v>
      </x:c>
      <x:c r="C56" s="31" t="str">
        <x:v>climate</x:v>
      </x:c>
      <x:c r="D56" s="19" t="str">
        <x:v>CONTEXT_REQUIRED</x:v>
      </x:c>
      <x:c r="E56" s="19" t="str">
        <x:v>0</x:v>
      </x:c>
      <x:c r="F56" s="19" t="str">
        <x:v>0</x:v>
      </x:c>
      <x:c r="G56" s="19" t="str">
        <x:v>1.378536206020353e-08</x:v>
      </x:c>
      <x:c r="H56" s="19" t="str">
        <x:v>3.141072137807788e-08</x:v>
      </x:c>
      <x:c r="I56" s="19" t="str">
        <x:v>3.527723113627701e-08</x:v>
      </x:c>
      <x:c r="J56" s="46" t="n">
        <x:v>3.334397625717744e-8</x:v>
      </x:c>
      <x:c r="K56" s="19" t="str">
        <x:v>3.734017823067703e-08</x:v>
      </x:c>
      <x:c r="L56" s="19" t="str">
        <x:v>4.237953538099859e-08</x:v>
      </x:c>
      <x:c r="M56" s="37" t="n">
        <x:v>2022</x:v>
      </x:c>
    </x:row>
    <x:row r="57" ht="24" customHeight="1">
      <x:c r="A57" s="40" t="str">
        <x:v>FT-Q-V01-053</x:v>
      </x:c>
      <x:c r="B57" s="31" t="str">
        <x:v>global observations</x:v>
      </x:c>
      <x:c r="C57" s="31" t="str">
        <x:v>climate</x:v>
      </x:c>
      <x:c r="D57" s="19" t="str">
        <x:v>CONTEXT_REQUIRED</x:v>
      </x:c>
      <x:c r="E57" s="19" t="str">
        <x:v>0</x:v>
      </x:c>
      <x:c r="F57" s="19" t="str">
        <x:v>0</x:v>
      </x:c>
      <x:c r="G57" s="19" t="str">
        <x:v>1.599113318151435e-08</x:v>
      </x:c>
      <x:c r="H57" s="19" t="str">
        <x:v>1.16285575613162e-08</x:v>
      </x:c>
      <x:c r="I57" s="19" t="str">
        <x:v>1.421223546141381e-08</x:v>
      </x:c>
      <x:c r="J57" s="46" t="n">
        <x:v>1.292039651136501e-8</x:v>
      </x:c>
      <x:c r="K57" s="19" t="str">
        <x:v>8.17290351715072e-09</x:v>
      </x:c>
      <x:c r="L57" s="19" t="str">
        <x:v>1.190052256738738e-08</x:v>
      </x:c>
      <x:c r="M57" s="37" t="n">
        <x:v>2022</x:v>
      </x:c>
    </x:row>
    <x:row r="58" ht="24" customHeight="1">
      <x:c r="A58" s="40" t="str">
        <x:v>FT-Q-V01-054</x:v>
      </x:c>
      <x:c r="B58" s="31" t="str">
        <x:v>warm air</x:v>
      </x:c>
      <x:c r="C58" s="31" t="str">
        <x:v>temperature_threshold</x:v>
      </x:c>
      <x:c r="D58" s="19" t="str">
        <x:v>CONTEXT_REQUIRED</x:v>
      </x:c>
      <x:c r="E58" s="19" t="str">
        <x:v>4.637466225476672e-07</x:v>
      </x:c>
      <x:c r="F58" s="19" t="str">
        <x:v>1.56020963704151e-06</x:v>
      </x:c>
      <x:c r="G58" s="19" t="str">
        <x:v>4.812640085269382e-07</x:v>
      </x:c>
      <x:c r="H58" s="19" t="str">
        <x:v>5.327618970638048e-07</x:v>
      </x:c>
      <x:c r="I58" s="19" t="str">
        <x:v>5.737065812000397e-07</x:v>
      </x:c>
      <x:c r="J58" s="46" t="n">
        <x:v>5.532342391319223e-7</x:v>
      </x:c>
      <x:c r="K58" s="19" t="str">
        <x:v>6.757823330823254e-07</x:v>
      </x:c>
      <x:c r="L58" s="19" t="str">
        <x:v>5.92194779214239e-07</x:v>
      </x:c>
      <x:c r="M58" s="37" t="n">
        <x:v>2022</x:v>
      </x:c>
    </x:row>
    <x:row r="59" ht="24" customHeight="1">
      <x:c r="A59" s="40" t="str">
        <x:v>FT-Q-V01-055</x:v>
      </x:c>
      <x:c r="B59" s="31" t="str">
        <x:v>changing atmosphere</x:v>
      </x:c>
      <x:c r="C59" s="31" t="str">
        <x:v>climate</x:v>
      </x:c>
      <x:c r="D59" s="19" t="str">
        <x:v>CLIMATE_SPECIFIC</x:v>
      </x:c>
      <x:c r="E59" s="19" t="str">
        <x:v>1.93496507705504e-09</x:v>
      </x:c>
      <x:c r="F59" s="19" t="str">
        <x:v>2.450182945423762e-09</x:v>
      </x:c>
      <x:c r="G59" s="19" t="str">
        <x:v>3.622682637205443e-08</x:v>
      </x:c>
      <x:c r="H59" s="19" t="str">
        <x:v>9.110562668862565e-09</x:v>
      </x:c>
      <x:c r="I59" s="19" t="str">
        <x:v>9.534791317600266e-09</x:v>
      </x:c>
      <x:c r="J59" s="46" t="n">
        <x:v>9.322676993231416e-9</x:v>
      </x:c>
      <x:c r="K59" s="19" t="str">
        <x:v>8.266307967991215e-09</x:v>
      </x:c>
      <x:c r="L59" s="19" t="str">
        <x:v>1.070604704889178e-08</x:v>
      </x:c>
      <x:c r="M59" s="37" t="n">
        <x:v>2022</x:v>
      </x:c>
    </x:row>
    <x:row r="60" ht="24" customHeight="1">
      <x:c r="A60" s="40" t="str">
        <x:v>FT-Q-V01-056</x:v>
      </x:c>
      <x:c r="B60" s="31" t="str">
        <x:v>global security</x:v>
      </x:c>
      <x:c r="C60" s="31" t="str">
        <x:v>danger_threat</x:v>
      </x:c>
      <x:c r="D60" s="19" t="str">
        <x:v>CONTEXT_REQUIRED</x:v>
      </x:c>
      <x:c r="E60" s="19" t="str">
        <x:v>0</x:v>
      </x:c>
      <x:c r="F60" s="19" t="str">
        <x:v>0</x:v>
      </x:c>
      <x:c r="G60" s="19" t="str">
        <x:v>1.697824010271631e-07</x:v>
      </x:c>
      <x:c r="H60" s="19" t="str">
        <x:v>3.610804458209493e-07</x:v>
      </x:c>
      <x:c r="I60" s="19" t="str">
        <x:v>3.68618609414284e-07</x:v>
      </x:c>
      <x:c r="J60" s="46" t="n">
        <x:v>3.648495276176167e-7</x:v>
      </x:c>
      <x:c r="K60" s="19" t="str">
        <x:v>2.910487669725847e-07</x:v>
      </x:c>
      <x:c r="L60" s="19" t="str">
        <x:v>2.638022949807972e-07</x:v>
      </x:c>
      <x:c r="M60" s="37" t="n">
        <x:v>2022</x:v>
      </x:c>
    </x:row>
    <x:row r="61" ht="24" customHeight="1">
      <x:c r="A61" s="40" t="str">
        <x:v>FT-Q-V01-057</x:v>
      </x:c>
      <x:c r="B61" s="31" t="str">
        <x:v>climate warming</x:v>
      </x:c>
      <x:c r="C61" s="31" t="str">
        <x:v>warming</x:v>
      </x:c>
      <x:c r="D61" s="19" t="str">
        <x:v>CONTEXT_REQUIRED</x:v>
      </x:c>
      <x:c r="E61" s="19" t="str">
        <x:v>0</x:v>
      </x:c>
      <x:c r="F61" s="19" t="str">
        <x:v>0</x:v>
      </x:c>
      <x:c r="G61" s="19" t="str">
        <x:v>3.632553680077422e-08</x:v>
      </x:c>
      <x:c r="H61" s="19" t="str">
        <x:v>9.815601531570906e-08</x:v>
      </x:c>
      <x:c r="I61" s="19" t="str">
        <x:v>9.899091737985977e-08</x:v>
      </x:c>
      <x:c r="J61" s="46" t="n">
        <x:v>9.857346634778441e-8</x:v>
      </x:c>
      <x:c r="K61" s="19" t="str">
        <x:v>8.350372171506137e-08</x:v>
      </x:c>
      <x:c r="L61" s="19" t="str">
        <x:v>1.583787058723196e-07</x:v>
      </x:c>
      <x:c r="M61" s="37" t="n">
        <x:v>2022</x:v>
      </x:c>
    </x:row>
    <x:row r="62" ht="24" customHeight="1">
      <x:c r="A62" s="40" t="str">
        <x:v>FT-Q-V01-058</x:v>
      </x:c>
      <x:c r="B62" s="31" t="str">
        <x:v>changed climatic extremes</x:v>
      </x:c>
      <x:c r="C62" s="31" t="str">
        <x:v>harm_loss_consequences</x:v>
      </x:c>
      <x:c r="D62" s="19" t="str">
        <x:v>CONTEXT_REQUIRED</x:v>
      </x:c>
      <x:c r="E62" s="19" t="str"/>
      <x:c r="F62" s="19" t="str"/>
      <x:c r="G62" s="19" t="str"/>
      <x:c r="H62" s="19" t="str"/>
      <x:c r="I62" s="19" t="str"/>
      <x:c r="J62" s="46" t="str"/>
      <x:c r="K62" s="19" t="str"/>
      <x:c r="L62" s="19" t="str"/>
      <x:c r="M62" s="37" t="n">
        <x:v>2022</x:v>
      </x:c>
    </x:row>
    <x:row r="63" ht="24" customHeight="1">
      <x:c r="A63" s="40" t="str">
        <x:v>FT-Q-V01-059</x:v>
      </x:c>
      <x:c r="B63" s="31" t="str">
        <x:v>major threat</x:v>
      </x:c>
      <x:c r="C63" s="31" t="str">
        <x:v>danger_threat</x:v>
      </x:c>
      <x:c r="D63" s="19" t="str">
        <x:v>CONTEXT_REQUIRED</x:v>
      </x:c>
      <x:c r="E63" s="19" t="str">
        <x:v>0</x:v>
      </x:c>
      <x:c r="F63" s="19" t="str">
        <x:v>1.403286584156227e-08</x:v>
      </x:c>
      <x:c r="G63" s="19" t="str">
        <x:v>2.255045952748169e-07</x:v>
      </x:c>
      <x:c r="H63" s="19" t="str">
        <x:v>2.440623619870408e-07</x:v>
      </x:c>
      <x:c r="I63" s="19" t="str">
        <x:v>2.354463725096068e-07</x:v>
      </x:c>
      <x:c r="J63" s="46" t="n">
        <x:v>2.397543672483238e-7</x:v>
      </x:c>
      <x:c r="K63" s="19" t="str">
        <x:v>2.18847005184486e-07</x:v>
      </x:c>
      <x:c r="L63" s="19" t="str">
        <x:v>2.351791106303125e-07</x:v>
      </x:c>
      <x:c r="M63" s="37" t="n">
        <x:v>2022</x:v>
      </x:c>
    </x:row>
    <x:row r="64" ht="24" customHeight="1">
      <x:c r="A64" s="40" t="str">
        <x:v>FT-Q-V01-060</x:v>
      </x:c>
      <x:c r="B64" s="31" t="str">
        <x:v>harmful consequences</x:v>
      </x:c>
      <x:c r="C64" s="31" t="str">
        <x:v>harm_loss_consequences</x:v>
      </x:c>
      <x:c r="D64" s="19" t="str">
        <x:v>CONTEXT_REQUIRED</x:v>
      </x:c>
      <x:c r="E64" s="19" t="str">
        <x:v>0</x:v>
      </x:c>
      <x:c r="F64" s="19" t="str">
        <x:v>2.706338442237666e-08</x:v>
      </x:c>
      <x:c r="G64" s="19" t="str">
        <x:v>8.069599446991482e-08</x:v>
      </x:c>
      <x:c r="H64" s="19" t="str">
        <x:v>1.050232736748979e-07</x:v>
      </x:c>
      <x:c r="I64" s="19" t="str">
        <x:v>1.079860063382676e-07</x:v>
      </x:c>
      <x:c r="J64" s="46" t="n">
        <x:v>1.065046400065828e-7</x:v>
      </x:c>
      <x:c r="K64" s="19" t="str">
        <x:v>1.12132235940976e-07</x:v>
      </x:c>
      <x:c r="L64" s="19" t="str">
        <x:v>1.412578776172069e-07</x:v>
      </x:c>
      <x:c r="M64" s="37" t="n">
        <x:v>2022</x:v>
      </x:c>
    </x:row>
    <x:row r="65" ht="24" customHeight="1">
      <x:c r="A65" s="40" t="str">
        <x:v>FT-Q-V01-061</x:v>
      </x:c>
      <x:c r="B65" s="31" t="str">
        <x:v>warming of the climate system</x:v>
      </x:c>
      <x:c r="C65" s="31" t="str">
        <x:v>warming</x:v>
      </x:c>
      <x:c r="D65" s="19" t="str">
        <x:v>CONTEXT_REQUIRED</x:v>
      </x:c>
      <x:c r="E65" s="19" t="str">
        <x:v>0</x:v>
      </x:c>
      <x:c r="F65" s="19" t="str">
        <x:v>0</x:v>
      </x:c>
      <x:c r="G65" s="19" t="str">
        <x:v>1.303340213532067e-10</x:v>
      </x:c>
      <x:c r="H65" s="19" t="str">
        <x:v>1.048117204138777e-09</x:v>
      </x:c>
      <x:c r="I65" s="19" t="str">
        <x:v>7.173159843887333e-09</x:v>
      </x:c>
      <x:c r="J65" s="46" t="n">
        <x:v>4.110638524013055e-9</x:v>
      </x:c>
      <x:c r="K65" s="19" t="str">
        <x:v>1.336047139588459e-08</x:v>
      </x:c>
      <x:c r="L65" s="19" t="str">
        <x:v>4.892822147439801e-09</x:v>
      </x:c>
      <x:c r="M65" s="37" t="n">
        <x:v>2022</x:v>
      </x:c>
    </x:row>
    <x:row r="66" ht="24" customHeight="1">
      <x:c r="A66" s="40" t="str">
        <x:v>FT-Q-V01-062</x:v>
      </x:c>
      <x:c r="B66" s="31" t="str">
        <x:v>unequivocal</x:v>
      </x:c>
      <x:c r="C66" s="31" t="str">
        <x:v>climate</x:v>
      </x:c>
      <x:c r="D66" s="19" t="str">
        <x:v>CONTEXT_REQUIRED</x:v>
      </x:c>
      <x:c r="E66" s="19" t="str">
        <x:v>2.489191224697151e-06</x:v>
      </x:c>
      <x:c r="F66" s="19" t="str">
        <x:v>6.214660617231971e-07</x:v>
      </x:c>
      <x:c r="G66" s="19" t="str">
        <x:v>1.265813166506646e-06</x:v>
      </x:c>
      <x:c r="H66" s="19" t="str">
        <x:v>1.163251503566443e-06</x:v>
      </x:c>
      <x:c r="I66" s="19" t="str">
        <x:v>1.199470233470556e-06</x:v>
      </x:c>
      <x:c r="J66" s="46" t="n">
        <x:v>0.0000011813608685185</x:v>
      </x:c>
      <x:c r="K66" s="19" t="str">
        <x:v>1.04477917728385e-06</x:v>
      </x:c>
      <x:c r="L66" s="19" t="str">
        <x:v>9.735799887389263e-07</x:v>
      </x:c>
      <x:c r="M66" s="37" t="n">
        <x:v>2022</x:v>
      </x:c>
    </x:row>
    <x:row r="67" ht="24" customHeight="1">
      <x:c r="A67" s="40" t="str">
        <x:v>FT-Q-V01-063</x:v>
      </x:c>
      <x:c r="B67" s="31" t="str">
        <x:v>global average air and ocean temperatures</x:v>
      </x:c>
      <x:c r="C67" s="31" t="str">
        <x:v>temperature_threshold</x:v>
      </x:c>
      <x:c r="D67" s="19" t="str">
        <x:v>CONTEXT_REQUIRED</x:v>
      </x:c>
      <x:c r="E67" s="19" t="str">
        <x:v>0</x:v>
      </x:c>
      <x:c r="F67" s="19" t="str">
        <x:v>0</x:v>
      </x:c>
      <x:c r="G67" s="19" t="str">
        <x:v>0</x:v>
      </x:c>
      <x:c r="H67" s="19" t="str">
        <x:v>1.877599464794599e-10</x:v>
      </x:c>
      <x:c r="I67" s="19" t="str">
        <x:v>3.851390761866469e-09</x:v>
      </x:c>
      <x:c r="J67" s="46" t="n">
        <x:v>2.019575354172964e-9</x:v>
      </x:c>
      <x:c r="K67" s="19" t="str">
        <x:v>2.896688888753829e-09</x:v>
      </x:c>
      <x:c r="L67" s="19" t="str">
        <x:v>9.299532255369058e-10</x:v>
      </x:c>
      <x:c r="M67" s="37" t="n">
        <x:v>2022</x:v>
      </x:c>
    </x:row>
    <x:row r="68" ht="24" customHeight="1">
      <x:c r="A68" s="40" t="str">
        <x:v>FT-Q-V01-064</x:v>
      </x:c>
      <x:c r="B68" s="31" t="str">
        <x:v>global surface temperature</x:v>
      </x:c>
      <x:c r="C68" s="31" t="str">
        <x:v>temperature_threshold</x:v>
      </x:c>
      <x:c r="D68" s="19" t="str">
        <x:v>CONTEXT_REQUIRED</x:v>
      </x:c>
      <x:c r="E68" s="19" t="str">
        <x:v>0</x:v>
      </x:c>
      <x:c r="F68" s="19" t="str">
        <x:v>0</x:v>
      </x:c>
      <x:c r="G68" s="19" t="str">
        <x:v>7.406253152431042e-09</x:v>
      </x:c>
      <x:c r="H68" s="19" t="str">
        <x:v>1.441722324857508e-08</x:v>
      </x:c>
      <x:c r="I68" s="19" t="str">
        <x:v>1.423723021420908e-08</x:v>
      </x:c>
      <x:c r="J68" s="46" t="n">
        <x:v>1.432722673139208e-8</x:v>
      </x:c>
      <x:c r="K68" s="19" t="str">
        <x:v>2.654301840820938e-08</x:v>
      </x:c>
      <x:c r="L68" s="19" t="str">
        <x:v>3.419688007766375e-08</x:v>
      </x:c>
      <x:c r="M68" s="37" t="n">
        <x:v>2022</x:v>
      </x:c>
    </x:row>
    <x:row r="69" ht="24" customHeight="1">
      <x:c r="A69" s="40" t="str">
        <x:v>FT-Q-V01-065</x:v>
      </x:c>
      <x:c r="B69" s="31" t="str">
        <x:v>temperature increase</x:v>
      </x:c>
      <x:c r="C69" s="31" t="str">
        <x:v>warming</x:v>
      </x:c>
      <x:c r="D69" s="19" t="str">
        <x:v>CLIMATE_SPECIFIC</x:v>
      </x:c>
      <x:c r="E69" s="19" t="str">
        <x:v>2.579953362058518e-09</x:v>
      </x:c>
      <x:c r="F69" s="19" t="str">
        <x:v>7.439646565465807e-08</x:v>
      </x:c>
      <x:c r="G69" s="19" t="str">
        <x:v>2.921836819713697e-07</x:v>
      </x:c>
      <x:c r="H69" s="19" t="str">
        <x:v>3.161227772885411e-07</x:v>
      </x:c>
      <x:c r="I69" s="19" t="str">
        <x:v>3.19865252479401e-07</x:v>
      </x:c>
      <x:c r="J69" s="46" t="n">
        <x:v>3.179940148839711e-7</x:v>
      </x:c>
      <x:c r="K69" s="19" t="str">
        <x:v>3.016501993191589e-07</x:v>
      </x:c>
      <x:c r="L69" s="19" t="str">
        <x:v>3.553787956689369e-07</x:v>
      </x:c>
      <x:c r="M69" s="37" t="n">
        <x:v>2022</x:v>
      </x:c>
    </x:row>
    <x:row r="70" ht="24" customHeight="1">
      <x:c r="A70" s="40" t="str">
        <x:v>FT-Q-V01-066</x:v>
      </x:c>
      <x:c r="B70" s="31" t="str">
        <x:v>rising global average sea level</x:v>
      </x:c>
      <x:c r="C70" s="31" t="str">
        <x:v>harm_loss_consequences</x:v>
      </x:c>
      <x:c r="D70" s="19" t="str">
        <x:v>CONTEXT_REQUIRED</x:v>
      </x:c>
      <x:c r="E70" s="19" t="str">
        <x:v>0</x:v>
      </x:c>
      <x:c r="F70" s="19" t="str">
        <x:v>0</x:v>
      </x:c>
      <x:c r="G70" s="19" t="str">
        <x:v>0</x:v>
      </x:c>
      <x:c r="H70" s="19" t="str">
        <x:v>0</x:v>
      </x:c>
      <x:c r="I70" s="19" t="str">
        <x:v>2.22026375062967e-09</x:v>
      </x:c>
      <x:c r="J70" s="46" t="n">
        <x:v>1.110131875314835e-9</x:v>
      </x:c>
      <x:c r="K70" s="19" t="str">
        <x:v>2.130764897856352e-09</x:v>
      </x:c>
      <x:c r="L70" s="19" t="str">
        <x:v>6.523762641208464e-10</x:v>
      </x:c>
      <x:c r="M70" s="37" t="n">
        <x:v>2022</x:v>
      </x:c>
    </x:row>
    <x:row r="71" ht="24" customHeight="1">
      <x:c r="A71" s="40" t="str">
        <x:v>FT-Q-V01-067</x:v>
      </x:c>
      <x:c r="B71" s="31" t="str">
        <x:v>widespread melting of snow and ice</x:v>
      </x:c>
      <x:c r="C71" s="31" t="str">
        <x:v>harm_loss_consequences</x:v>
      </x:c>
      <x:c r="D71" s="19" t="str">
        <x:v>CONTEXT_REQUIRED</x:v>
      </x:c>
      <x:c r="E71" s="19" t="str">
        <x:v>0</x:v>
      </x:c>
      <x:c r="F71" s="19" t="str">
        <x:v>0</x:v>
      </x:c>
      <x:c r="G71" s="19" t="str">
        <x:v>0</x:v>
      </x:c>
      <x:c r="H71" s="19" t="str">
        <x:v>2.503466045578051e-10</x:v>
      </x:c>
      <x:c r="I71" s="19" t="str">
        <x:v>5.074054509890402e-09</x:v>
      </x:c>
      <x:c r="J71" s="46" t="n">
        <x:v>2.662200557224104e-9</x:v>
      </x:c>
      <x:c r="K71" s="19" t="str">
        <x:v>3.451374075424951e-09</x:v>
      </x:c>
      <x:c r="L71" s="19" t="str">
        <x:v>1.104319413691712e-09</x:v>
      </x:c>
      <x:c r="M71" s="37" t="n">
        <x:v>2022</x:v>
      </x:c>
    </x:row>
    <x:row r="72" ht="24" customHeight="1">
      <x:c r="A72" s="40" t="str">
        <x:v>FT-Q-V01-068</x:v>
      </x:c>
      <x:c r="B72" s="31" t="str">
        <x:v>anthropogenic CO₂</x:v>
      </x:c>
      <x:c r="C72" s="31" t="str">
        <x:v>carbon_greenhouse</x:v>
      </x:c>
      <x:c r="D72" s="19" t="str">
        <x:v>CONTEXT_REQUIRED</x:v>
      </x:c>
      <x:c r="E72" s="19" t="str"/>
      <x:c r="F72" s="19" t="str"/>
      <x:c r="G72" s="19" t="str"/>
      <x:c r="H72" s="19" t="str"/>
      <x:c r="I72" s="19" t="str"/>
      <x:c r="J72" s="46" t="str"/>
      <x:c r="K72" s="19" t="str"/>
      <x:c r="L72" s="19" t="str"/>
      <x:c r="M72" s="37" t="n">
        <x:v>2022</x:v>
      </x:c>
    </x:row>
    <x:row r="73" ht="24" customHeight="1">
      <x:c r="A73" s="40" t="str">
        <x:v>FT-Q-V01-069</x:v>
      </x:c>
      <x:c r="B73" s="31" t="str">
        <x:v>anthropogenic GHG emissions</x:v>
      </x:c>
      <x:c r="C73" s="31" t="str">
        <x:v>carbon_greenhouse</x:v>
      </x:c>
      <x:c r="D73" s="19" t="str">
        <x:v>CONTEXT_REQUIRED</x:v>
      </x:c>
      <x:c r="E73" s="19" t="str">
        <x:v>0</x:v>
      </x:c>
      <x:c r="F73" s="19" t="str">
        <x:v>0</x:v>
      </x:c>
      <x:c r="G73" s="19" t="str">
        <x:v>0</x:v>
      </x:c>
      <x:c r="H73" s="19" t="str">
        <x:v>1.585399145298538e-09</x:v>
      </x:c>
      <x:c r="I73" s="19" t="str">
        <x:v>2.915473612530306e-09</x:v>
      </x:c>
      <x:c r="J73" s="46" t="n">
        <x:v>2.250436378914422e-9</x:v>
      </x:c>
      <x:c r="K73" s="19" t="str">
        <x:v>1.43962131382569e-08</x:v>
      </x:c>
      <x:c r="L73" s="19" t="str">
        <x:v>1.622341538887184e-08</x:v>
      </x:c>
      <x:c r="M73" s="37" t="n">
        <x:v>2022</x:v>
      </x:c>
    </x:row>
    <x:row r="74" ht="24" customHeight="1">
      <x:c r="A74" s="40" t="str">
        <x:v>FT-Q-V01-070</x:v>
      </x:c>
      <x:c r="B74" s="31" t="str">
        <x:v>climate change</x:v>
      </x:c>
      <x:c r="C74" s="31" t="str">
        <x:v>climate</x:v>
      </x:c>
      <x:c r="D74" s="19" t="str">
        <x:v>CLIMATE_SPECIFIC</x:v>
      </x:c>
      <x:c r="E74" s="19" t="str">
        <x:v>5.159906557583582e-09</x:v>
      </x:c>
      <x:c r="F74" s="19" t="str">
        <x:v>2.561554912627884e-09</x:v>
      </x:c>
      <x:c r="G74" s="19" t="str">
        <x:v>1.240793510930149e-06</x:v>
      </x:c>
      <x:c r="H74" s="19" t="str">
        <x:v>8.716473492563492e-06</x:v>
      </x:c>
      <x:c r="I74" s="19" t="str">
        <x:v>1.319138383155949e-05</x:v>
      </x:c>
      <x:c r="J74" s="46" t="n">
        <x:v>0.00001095392866206149</x:v>
      </x:c>
      <x:c r="K74" s="19" t="str">
        <x:v>1.967096413684616e-05</x:v>
      </x:c>
      <x:c r="L74" s="19" t="str">
        <x:v>2.890008815206735e-05</x:v>
      </x:c>
      <x:c r="M74" s="37" t="n">
        <x:v>2022</x:v>
      </x:c>
    </x:row>
    <x:row r="75" ht="24" customHeight="1">
      <x:c r="A75" s="40" t="str">
        <x:v>FT-Q-V01-071</x:v>
      </x:c>
      <x:c r="B75" s="31" t="str">
        <x:v>global warming</x:v>
      </x:c>
      <x:c r="C75" s="31" t="str">
        <x:v>warming</x:v>
      </x:c>
      <x:c r="D75" s="19" t="str">
        <x:v>CLIMATE_SPECIFIC</x:v>
      </x:c>
      <x:c r="E75" s="19" t="str">
        <x:v>0</x:v>
      </x:c>
      <x:c r="F75" s="19" t="str">
        <x:v>2.00469511824064e-09</x:v>
      </x:c>
      <x:c r="G75" s="19" t="str">
        <x:v>6.400895369296222e-07</x:v>
      </x:c>
      <x:c r="H75" s="19" t="str">
        <x:v>3.39393631278162e-06</x:v>
      </x:c>
      <x:c r="I75" s="19" t="str">
        <x:v>4.96164442403968e-06</x:v>
      </x:c>
      <x:c r="J75" s="46" t="n">
        <x:v>0.00000417779036841065</x:v>
      </x:c>
      <x:c r="K75" s="19" t="str">
        <x:v>3.293586607857474e-06</x:v>
      </x:c>
      <x:c r="L75" s="19" t="str">
        <x:v>3.963670369644401e-06</x:v>
      </x:c>
      <x:c r="M75" s="37" t="n">
        <x:v>2022</x:v>
      </x:c>
    </x:row>
    <x:row r="76" ht="24" customHeight="1">
      <x:c r="A76" s="40" t="str">
        <x:v>FT-Q-V01-072</x:v>
      </x:c>
      <x:c r="B76" s="31" t="str">
        <x:v>serious global threat</x:v>
      </x:c>
      <x:c r="C76" s="31" t="str">
        <x:v>danger_threat</x:v>
      </x:c>
      <x:c r="D76" s="19" t="str">
        <x:v>CONTEXT_REQUIRED</x:v>
      </x:c>
      <x:c r="E76" s="19" t="str">
        <x:v>0</x:v>
      </x:c>
      <x:c r="F76" s="19" t="str">
        <x:v>0</x:v>
      </x:c>
      <x:c r="G76" s="19" t="str">
        <x:v>7.568433657567653e-10</x:v>
      </x:c>
      <x:c r="H76" s="19" t="str">
        <x:v>8.422432751231668e-10</x:v>
      </x:c>
      <x:c r="I76" s="19" t="str">
        <x:v>1.749284272989371e-09</x:v>
      </x:c>
      <x:c r="J76" s="46" t="n">
        <x:v>1.295763774056269e-9</x:v>
      </x:c>
      <x:c r="K76" s="19" t="str">
        <x:v>6.498290794354489e-10</x:v>
      </x:c>
      <x:c r="L76" s="19" t="str">
        <x:v>2.317630753978506e-09</x:v>
      </x:c>
      <x:c r="M76" s="37" t="n">
        <x:v>2022</x:v>
      </x:c>
    </x:row>
    <x:row r="77" ht="24" customHeight="1">
      <x:c r="A77" s="40" t="str">
        <x:v>FT-Q-V01-073</x:v>
      </x:c>
      <x:c r="B77" s="31" t="str">
        <x:v>urgent global response</x:v>
      </x:c>
      <x:c r="C77" s="31" t="str">
        <x:v>harm_loss_consequences</x:v>
      </x:c>
      <x:c r="D77" s="19" t="str">
        <x:v>CONTEXT_REQUIRED</x:v>
      </x:c>
      <x:c r="E77" s="19" t="str">
        <x:v>0</x:v>
      </x:c>
      <x:c r="F77" s="19" t="str">
        <x:v>0</x:v>
      </x:c>
      <x:c r="G77" s="19" t="str">
        <x:v>5.406024239373863e-11</x:v>
      </x:c>
      <x:c r="H77" s="19" t="str">
        <x:v>6.440684097164251e-10</x:v>
      </x:c>
      <x:c r="I77" s="19" t="str">
        <x:v>1.652101788707228e-09</x:v>
      </x:c>
      <x:c r="J77" s="46" t="n">
        <x:v>1.148085099211826e-9</x:v>
      </x:c>
      <x:c r="K77" s="19" t="str">
        <x:v>7.997896234179791e-10</x:v>
      </x:c>
      <x:c r="L77" s="19" t="str">
        <x:v>3.783887092545513e-10</x:v>
      </x:c>
      <x:c r="M77" s="37" t="n">
        <x:v>2022</x:v>
      </x:c>
    </x:row>
    <x:row r="78" ht="24" customHeight="1">
      <x:c r="A78" s="40" t="str">
        <x:v>FT-Q-V01-074</x:v>
      </x:c>
      <x:c r="B78" s="31" t="str">
        <x:v>costs and risks of climate change</x:v>
      </x:c>
      <x:c r="C78" s="31" t="str">
        <x:v>climate</x:v>
      </x:c>
      <x:c r="D78" s="19" t="str">
        <x:v>CONTEXT_REQUIRED</x:v>
      </x:c>
      <x:c r="E78" s="19" t="str">
        <x:v>0</x:v>
      </x:c>
      <x:c r="F78" s="19" t="str">
        <x:v>0</x:v>
      </x:c>
      <x:c r="G78" s="19" t="str">
        <x:v>7.065451002041812e-11</x:v>
      </x:c>
      <x:c r="H78" s="19" t="str">
        <x:v>7.510397859178397e-10</x:v>
      </x:c>
      <x:c r="I78" s="19" t="str">
        <x:v>1.650596104241231e-09</x:v>
      </x:c>
      <x:c r="J78" s="46" t="n">
        <x:v>1.200817945079535e-9</x:v>
      </x:c>
      <x:c r="K78" s="19" t="str">
        <x:v>4.930534314162571e-10</x:v>
      </x:c>
      <x:c r="L78" s="19" t="str">
        <x:v>8.137091001003682e-10</x:v>
      </x:c>
      <x:c r="M78" s="37" t="n">
        <x:v>2022</x:v>
      </x:c>
    </x:row>
    <x:row r="79" ht="24" customHeight="1">
      <x:c r="A79" s="40" t="str">
        <x:v>FT-Q-V01-075</x:v>
      </x:c>
      <x:c r="B79" s="31" t="str">
        <x:v>impacts of climate change</x:v>
      </x:c>
      <x:c r="C79" s="31" t="str">
        <x:v>climate</x:v>
      </x:c>
      <x:c r="D79" s="19" t="str">
        <x:v>CONTEXT_REQUIRED</x:v>
      </x:c>
      <x:c r="E79" s="19" t="str">
        <x:v>0</x:v>
      </x:c>
      <x:c r="F79" s="19" t="str">
        <x:v>0</x:v>
      </x:c>
      <x:c r="G79" s="19" t="str">
        <x:v>4.559433364192955e-08</x:v>
      </x:c>
      <x:c r="H79" s="19" t="str">
        <x:v>2.229886647206469e-07</x:v>
      </x:c>
      <x:c r="I79" s="19" t="str">
        <x:v>3.110645994466865e-07</x:v>
      </x:c>
      <x:c r="J79" s="46" t="n">
        <x:v>2.670266320836667e-7</x:v>
      </x:c>
      <x:c r="K79" s="19" t="str">
        <x:v>5.157996520455121e-07</x:v>
      </x:c>
      <x:c r="L79" s="19" t="str">
        <x:v>7.144630615740777e-07</x:v>
      </x:c>
      <x:c r="M79" s="37" t="n">
        <x:v>2022</x:v>
      </x:c>
    </x:row>
    <x:row r="80" ht="24" customHeight="1">
      <x:c r="A80" s="40" t="str">
        <x:v>FT-Q-V01-076</x:v>
      </x:c>
      <x:c r="B80" s="31" t="str">
        <x:v>damage</x:v>
      </x:c>
      <x:c r="C80" s="31" t="str">
        <x:v>harm_loss_consequences</x:v>
      </x:c>
      <x:c r="D80" s="19" t="str">
        <x:v>BACKGROUND_AMBIGUOUS</x:v>
      </x:c>
      <x:c r="E80" s="19" t="str">
        <x:v>1.40214699513308e-05</x:v>
      </x:c>
      <x:c r="F80" s="19" t="str">
        <x:v>4.59952369169514e-05</x:v>
      </x:c>
      <x:c r="G80" s="19" t="str">
        <x:v>5.460717676498972e-05</x:v>
      </x:c>
      <x:c r="H80" s="19" t="str">
        <x:v>4.860308943087019e-05</x:v>
      </x:c>
      <x:c r="I80" s="19" t="str">
        <x:v>4.797855570867759e-05</x:v>
      </x:c>
      <x:c r="J80" s="46" t="n">
        <x:v>0.00004829082256977389</x:v>
      </x:c>
      <x:c r="K80" s="19" t="str">
        <x:v>4.768336144450602e-05</x:v>
      </x:c>
      <x:c r="L80" s="19" t="str">
        <x:v>4.813777670335459e-05</x:v>
      </x:c>
      <x:c r="M80" s="37" t="n">
        <x:v>2022</x:v>
      </x:c>
    </x:row>
    <x:row r="81" ht="24" customHeight="1">
      <x:c r="A81" s="40" t="str">
        <x:v>FT-Q-V01-077</x:v>
      </x:c>
      <x:c r="B81" s="31" t="str">
        <x:v>hunger</x:v>
      </x:c>
      <x:c r="C81" s="31" t="str">
        <x:v>harm_loss_consequences</x:v>
      </x:c>
      <x:c r="D81" s="19" t="str">
        <x:v>CONTEXT_REQUIRED</x:v>
      </x:c>
      <x:c r="E81" s="19" t="str">
        <x:v>8.491353739259466e-06</x:v>
      </x:c>
      <x:c r="F81" s="19" t="str">
        <x:v>3.766231525759167e-06</x:v>
      </x:c>
      <x:c r="G81" s="19" t="str">
        <x:v>6.137961449326212e-06</x:v>
      </x:c>
      <x:c r="H81" s="19" t="str">
        <x:v>7.45067320195858e-06</x:v>
      </x:c>
      <x:c r="I81" s="19" t="str">
        <x:v>8.010337945583978e-06</x:v>
      </x:c>
      <x:c r="J81" s="46" t="n">
        <x:v>0.000007730505573771279</x:v>
      </x:c>
      <x:c r="K81" s="19" t="str">
        <x:v>1.191392740906849e-05</x:v>
      </x:c>
      <x:c r="L81" s="19" t="str">
        <x:v>1.147104043752734e-05</x:v>
      </x:c>
      <x:c r="M81" s="37" t="n">
        <x:v>2022</x:v>
      </x:c>
    </x:row>
    <x:row r="82" ht="24" customHeight="1">
      <x:c r="A82" s="40" t="str">
        <x:v>FT-Q-V01-078</x:v>
      </x:c>
      <x:c r="B82" s="31" t="str">
        <x:v>water shortages</x:v>
      </x:c>
      <x:c r="C82" s="31" t="str">
        <x:v>harm_loss_consequences</x:v>
      </x:c>
      <x:c r="D82" s="19" t="str">
        <x:v>CONTEXT_REQUIRED</x:v>
      </x:c>
      <x:c r="E82" s="19" t="str">
        <x:v>0</x:v>
      </x:c>
      <x:c r="F82" s="19" t="str">
        <x:v>4.131899500325886e-08</x:v>
      </x:c>
      <x:c r="G82" s="19" t="str">
        <x:v>1.448085923394515e-07</x:v>
      </x:c>
      <x:c r="H82" s="19" t="str">
        <x:v>2.040491388077825e-07</x:v>
      </x:c>
      <x:c r="I82" s="19" t="str">
        <x:v>2.140380712667422e-07</x:v>
      </x:c>
      <x:c r="J82" s="46" t="n">
        <x:v>2.090436050372624e-7</x:v>
      </x:c>
      <x:c r="K82" s="19" t="str">
        <x:v>1.87883369612285e-07</x:v>
      </x:c>
      <x:c r="L82" s="19" t="str">
        <x:v>1.740838606878459e-07</x:v>
      </x:c>
      <x:c r="M82" s="37" t="n">
        <x:v>2022</x:v>
      </x:c>
    </x:row>
    <x:row r="83" ht="24" customHeight="1">
      <x:c r="A83" s="40" t="str">
        <x:v>FT-Q-V01-079</x:v>
      </x:c>
      <x:c r="B83" s="31" t="str">
        <x:v>coastal flooding</x:v>
      </x:c>
      <x:c r="C83" s="31" t="str">
        <x:v>harm_loss_consequences</x:v>
      </x:c>
      <x:c r="D83" s="19" t="str">
        <x:v>CONTEXT_REQUIRED</x:v>
      </x:c>
      <x:c r="E83" s="19" t="str">
        <x:v>0</x:v>
      </x:c>
      <x:c r="F83" s="19" t="str">
        <x:v>4.454877994275463e-10</x:v>
      </x:c>
      <x:c r="G83" s="19" t="str">
        <x:v>2.620769057326555e-08</x:v>
      </x:c>
      <x:c r="H83" s="19" t="str">
        <x:v>4.335529258867044e-08</x:v>
      </x:c>
      <x:c r="I83" s="19" t="str">
        <x:v>5.518485168831688e-08</x:v>
      </x:c>
      <x:c r="J83" s="46" t="n">
        <x:v>4.927007213849366e-8</x:v>
      </x:c>
      <x:c r="K83" s="19" t="str">
        <x:v>5.272690167812399e-08</x:v>
      </x:c>
      <x:c r="L83" s="19" t="str">
        <x:v>1.034327956617176e-07</x:v>
      </x:c>
      <x:c r="M83" s="37" t="n">
        <x:v>2022</x:v>
      </x:c>
    </x:row>
    <x:row r="84" ht="24" customHeight="1">
      <x:c r="A84" s="40" t="str">
        <x:v>FT-Q-V01-080</x:v>
      </x:c>
      <x:c r="B84" s="31" t="str">
        <x:v>worst impacts</x:v>
      </x:c>
      <x:c r="C84" s="31" t="str">
        <x:v>harm_loss_consequences</x:v>
      </x:c>
      <x:c r="D84" s="19" t="str">
        <x:v>CONTEXT_REQUIRED</x:v>
      </x:c>
      <x:c r="E84" s="19" t="str">
        <x:v>0</x:v>
      </x:c>
      <x:c r="F84" s="19" t="str">
        <x:v>1.113719533263335e-10</x:v>
      </x:c>
      <x:c r="G84" s="19" t="str">
        <x:v>1.332594479208637e-09</x:v>
      </x:c>
      <x:c r="H84" s="19" t="str">
        <x:v>7.691329351189324e-09</x:v>
      </x:c>
      <x:c r="I84" s="19" t="str">
        <x:v>8.09557739248068e-09</x:v>
      </x:c>
      <x:c r="J84" s="46" t="n">
        <x:v>7.893453371835002e-9</x:v>
      </x:c>
      <x:c r="K84" s="19" t="str">
        <x:v>1.125525539436012e-08</x:v>
      </x:c>
      <x:c r="L84" s="19" t="str">
        <x:v>1.9288579872212e-08</x:v>
      </x:c>
      <x:c r="M84" s="37" t="n">
        <x:v>2022</x:v>
      </x:c>
    </x:row>
    <x:row r="85" ht="24" customHeight="1">
      <x:c r="A85" s="40" t="str">
        <x:v>FT-Q-V01-081</x:v>
      </x:c>
      <x:c r="B85" s="31" t="str">
        <x:v>climate change</x:v>
      </x:c>
      <x:c r="C85" s="31" t="str">
        <x:v>climate</x:v>
      </x:c>
      <x:c r="D85" s="19" t="str">
        <x:v>CLIMATE_SPECIFIC</x:v>
      </x:c>
      <x:c r="E85" s="19" t="str">
        <x:v>5.159906557583582e-09</x:v>
      </x:c>
      <x:c r="F85" s="19" t="str">
        <x:v>2.561554912627884e-09</x:v>
      </x:c>
      <x:c r="G85" s="19" t="str">
        <x:v>1.240793510930149e-06</x:v>
      </x:c>
      <x:c r="H85" s="19" t="str">
        <x:v>8.716473492563492e-06</x:v>
      </x:c>
      <x:c r="I85" s="19" t="str">
        <x:v>1.319138383155949e-05</x:v>
      </x:c>
      <x:c r="J85" s="46" t="n">
        <x:v>0.00001095392866206149</x:v>
      </x:c>
      <x:c r="K85" s="19" t="str">
        <x:v>1.967096413684616e-05</x:v>
      </x:c>
      <x:c r="L85" s="19" t="str">
        <x:v>2.890008815206735e-05</x:v>
      </x:c>
      <x:c r="M85" s="37" t="n">
        <x:v>2022</x:v>
      </x:c>
    </x:row>
    <x:row r="86" ht="24" customHeight="1">
      <x:c r="A86" s="40" t="str">
        <x:v>FT-Q-V01-082</x:v>
      </x:c>
      <x:c r="B86" s="31" t="str">
        <x:v>threat of climate change</x:v>
      </x:c>
      <x:c r="C86" s="31" t="str">
        <x:v>climate</x:v>
      </x:c>
      <x:c r="D86" s="19" t="str">
        <x:v>CONTEXT_REQUIRED</x:v>
      </x:c>
      <x:c r="E86" s="19" t="str">
        <x:v>0</x:v>
      </x:c>
      <x:c r="F86" s="19" t="str">
        <x:v>0</x:v>
      </x:c>
      <x:c r="G86" s="19" t="str">
        <x:v>2.210996594143033e-09</x:v>
      </x:c>
      <x:c r="H86" s="19" t="str">
        <x:v>2.31571378392359e-08</x:v>
      </x:c>
      <x:c r="I86" s="19" t="str">
        <x:v>3.566648866526467e-08</x:v>
      </x:c>
      <x:c r="J86" s="46" t="n">
        <x:v>2.941181325225029e-8</x:v>
      </x:c>
      <x:c r="K86" s="19" t="str">
        <x:v>4.538047629343289e-08</x:v>
      </x:c>
      <x:c r="L86" s="19" t="str">
        <x:v>1.140722242637393e-07</x:v>
      </x:c>
      <x:c r="M86" s="37" t="n">
        <x:v>2022</x:v>
      </x:c>
    </x:row>
    <x:row r="87" ht="24" customHeight="1">
      <x:c r="A87" s="40" t="str">
        <x:v>FT-Q-V01-083</x:v>
      </x:c>
      <x:c r="B87" s="31" t="str">
        <x:v>global average temperature</x:v>
      </x:c>
      <x:c r="C87" s="31" t="str">
        <x:v>temperature_threshold</x:v>
      </x:c>
      <x:c r="D87" s="19" t="str">
        <x:v>CLIMATE_SPECIFIC</x:v>
      </x:c>
      <x:c r="E87" s="19" t="str">
        <x:v>0</x:v>
      </x:c>
      <x:c r="F87" s="19" t="str">
        <x:v>0</x:v>
      </x:c>
      <x:c r="G87" s="19" t="str">
        <x:v>6.216928000180033e-09</x:v>
      </x:c>
      <x:c r="H87" s="19" t="str">
        <x:v>1.575490385374856e-08</x:v>
      </x:c>
      <x:c r="I87" s="19" t="str">
        <x:v>2.793995544647654e-08</x:v>
      </x:c>
      <x:c r="J87" s="46" t="n">
        <x:v>2.184742965011255e-8</x:v>
      </x:c>
      <x:c r="K87" s="19" t="str">
        <x:v>4.038937463646253e-08</x:v>
      </x:c>
      <x:c r="L87" s="19" t="str">
        <x:v>7.577234045763603e-08</x:v>
      </x:c>
      <x:c r="M87" s="37" t="n">
        <x:v>2022</x:v>
      </x:c>
    </x:row>
    <x:row r="88" ht="24" customHeight="1">
      <x:c r="A88" s="40" t="str">
        <x:v>FT-Q-V01-084</x:v>
      </x:c>
      <x:c r="B88" s="31" t="str">
        <x:v>well below 2°C above pre-industrial levels</x:v>
      </x:c>
      <x:c r="C88" s="31" t="str">
        <x:v>temperature_threshold</x:v>
      </x:c>
      <x:c r="D88" s="19" t="str">
        <x:v>CONTEXT_REQUIRED</x:v>
      </x:c>
      <x:c r="E88" s="19" t="str"/>
      <x:c r="F88" s="19" t="str"/>
      <x:c r="G88" s="19" t="str"/>
      <x:c r="H88" s="19" t="str"/>
      <x:c r="I88" s="19" t="str"/>
      <x:c r="J88" s="46" t="str"/>
      <x:c r="K88" s="19" t="str"/>
      <x:c r="L88" s="19" t="str"/>
      <x:c r="M88" s="37" t="n">
        <x:v>2022</x:v>
      </x:c>
    </x:row>
    <x:row r="89" ht="24" customHeight="1">
      <x:c r="A89" s="40" t="str">
        <x:v>FT-Q-V01-085</x:v>
      </x:c>
      <x:c r="B89" s="31" t="str">
        <x:v>1.5°C above pre-industrial levels</x:v>
      </x:c>
      <x:c r="C89" s="31" t="str">
        <x:v>temperature_threshold</x:v>
      </x:c>
      <x:c r="D89" s="19" t="str">
        <x:v>CONTEXT_REQUIRED</x:v>
      </x:c>
      <x:c r="E89" s="19" t="str"/>
      <x:c r="F89" s="19" t="str"/>
      <x:c r="G89" s="19" t="str"/>
      <x:c r="H89" s="19" t="str"/>
      <x:c r="I89" s="19" t="str"/>
      <x:c r="J89" s="46" t="str"/>
      <x:c r="K89" s="19" t="str"/>
      <x:c r="L89" s="19" t="str"/>
      <x:c r="M89" s="37" t="n">
        <x:v>2022</x:v>
      </x:c>
    </x:row>
    <x:row r="90" ht="24" customHeight="1">
      <x:c r="A90" s="40" t="str">
        <x:v>FT-Q-V01-086</x:v>
      </x:c>
      <x:c r="B90" s="31" t="str">
        <x:v>pre-industrial levels</x:v>
      </x:c>
      <x:c r="C90" s="31" t="str">
        <x:v>climate</x:v>
      </x:c>
      <x:c r="D90" s="19" t="str">
        <x:v>CONTEXT_REQUIRED</x:v>
      </x:c>
      <x:c r="E90" s="19" t="str">
        <x:v>0</x:v>
      </x:c>
      <x:c r="F90" s="19" t="str">
        <x:v>0</x:v>
      </x:c>
      <x:c r="G90" s="19" t="str">
        <x:v>3.406129822636217e-09</x:v>
      </x:c>
      <x:c r="H90" s="19" t="str">
        <x:v>1.92166460591392e-08</x:v>
      </x:c>
      <x:c r="I90" s="19" t="str">
        <x:v>2.43588904463854e-08</x:v>
      </x:c>
      <x:c r="J90" s="46" t="n">
        <x:v>2.17877682527623e-8</x:v>
      </x:c>
      <x:c r="K90" s="19" t="str">
        <x:v>3.183085471591962e-08</x:v>
      </x:c>
      <x:c r="L90" s="19" t="str">
        <x:v>1.564491737549023e-07</x:v>
      </x:c>
      <x:c r="M90" s="37" t="n">
        <x:v>2022</x:v>
      </x:c>
    </x:row>
    <x:row r="91" ht="24" customHeight="1">
      <x:c r="A91" s="40" t="str">
        <x:v>FT-Q-V01-087</x:v>
      </x:c>
      <x:c r="B91" s="31" t="str">
        <x:v>risks and impacts</x:v>
      </x:c>
      <x:c r="C91" s="31" t="str">
        <x:v>risk</x:v>
      </x:c>
      <x:c r="D91" s="19" t="str">
        <x:v>CONTEXT_REQUIRED</x:v>
      </x:c>
      <x:c r="E91" s="19" t="str">
        <x:v>0</x:v>
      </x:c>
      <x:c r="F91" s="19" t="str">
        <x:v>0</x:v>
      </x:c>
      <x:c r="G91" s="19" t="str">
        <x:v>3.730156780679117e-09</x:v>
      </x:c>
      <x:c r="H91" s="19" t="str">
        <x:v>8.719695195058552e-09</x:v>
      </x:c>
      <x:c r="I91" s="19" t="str">
        <x:v>1.171048619186266e-08</x:v>
      </x:c>
      <x:c r="J91" s="46" t="n">
        <x:v>1.02150906934606e-8</x:v>
      </x:c>
      <x:c r="K91" s="19" t="str">
        <x:v>1.904498948129829e-08</x:v>
      </x:c>
      <x:c r="L91" s="19" t="str">
        <x:v>4.441337393690237e-08</x:v>
      </x:c>
      <x:c r="M91" s="37" t="n">
        <x:v>2022</x:v>
      </x:c>
    </x:row>
    <x:row r="92" ht="24" customHeight="1">
      <x:c r="A92" s="40" t="str">
        <x:v>FT-Q-V01-088</x:v>
      </x:c>
      <x:c r="B92" s="31" t="str">
        <x:v>adverse impacts</x:v>
      </x:c>
      <x:c r="C92" s="31" t="str">
        <x:v>harm_loss_consequences</x:v>
      </x:c>
      <x:c r="D92" s="19" t="str">
        <x:v>CONTEXT_REQUIRED</x:v>
      </x:c>
      <x:c r="E92" s="19" t="str">
        <x:v>0</x:v>
      </x:c>
      <x:c r="F92" s="19" t="str">
        <x:v>3.341158461012128e-10</x:v>
      </x:c>
      <x:c r="G92" s="19" t="str">
        <x:v>7.824303560610701e-07</x:v>
      </x:c>
      <x:c r="H92" s="19" t="str">
        <x:v>1.002482367784552e-06</x:v>
      </x:c>
      <x:c r="I92" s="19" t="str">
        <x:v>8.86375771003145e-07</x:v>
      </x:c>
      <x:c r="J92" s="46" t="n">
        <x:v>9.444290693938484e-7</x:v>
      </x:c>
      <x:c r="K92" s="19" t="str">
        <x:v>2.372477044543242e-07</x:v>
      </x:c>
      <x:c r="L92" s="19" t="str">
        <x:v>3.134836589757661e-07</x:v>
      </x:c>
      <x:c r="M92" s="37" t="n">
        <x:v>2022</x:v>
      </x:c>
    </x:row>
    <x:row r="93" ht="24" customHeight="1">
      <x:c r="A93" s="40" t="str">
        <x:v>FT-Q-V01-089</x:v>
      </x:c>
      <x:c r="B93" s="31" t="str">
        <x:v>adverse effects of climate change</x:v>
      </x:c>
      <x:c r="C93" s="31" t="str">
        <x:v>climate</x:v>
      </x:c>
      <x:c r="D93" s="19" t="str">
        <x:v>CONTEXT_REQUIRED</x:v>
      </x:c>
      <x:c r="E93" s="19" t="str">
        <x:v>0</x:v>
      </x:c>
      <x:c r="F93" s="19" t="str">
        <x:v>0</x:v>
      </x:c>
      <x:c r="G93" s="19" t="str">
        <x:v>8.47171111040268e-10</x:v>
      </x:c>
      <x:c r="H93" s="19" t="str">
        <x:v>1.892433779820957e-08</x:v>
      </x:c>
      <x:c r="I93" s="19" t="str">
        <x:v>1.759132076811776e-08</x:v>
      </x:c>
      <x:c r="J93" s="46" t="n">
        <x:v>1.825782928316366e-8</x:v>
      </x:c>
      <x:c r="K93" s="19" t="str">
        <x:v>3.449535698751838e-08</x:v>
      </x:c>
      <x:c r="L93" s="19" t="str">
        <x:v>6.007298156140983e-08</x:v>
      </x:c>
      <x:c r="M93" s="37" t="n">
        <x:v>2022</x:v>
      </x:c>
    </x:row>
    <x:row r="94" ht="24" customHeight="1">
      <x:c r="A94" s="40" t="str">
        <x:v>FT-Q-V01-090</x:v>
      </x:c>
      <x:c r="B94" s="31" t="str">
        <x:v>greenhouse gas emissions</x:v>
      </x:c>
      <x:c r="C94" s="31" t="str">
        <x:v>carbon_greenhouse</x:v>
      </x:c>
      <x:c r="D94" s="19" t="str">
        <x:v>CONTEXT_REQUIRED</x:v>
      </x:c>
      <x:c r="E94" s="19" t="str">
        <x:v>0</x:v>
      </x:c>
      <x:c r="F94" s="19" t="str">
        <x:v>0</x:v>
      </x:c>
      <x:c r="G94" s="19" t="str">
        <x:v>6.1250253577394e-08</x:v>
      </x:c>
      <x:c r="H94" s="19" t="str">
        <x:v>1.090903233809393e-06</x:v>
      </x:c>
      <x:c r="I94" s="19" t="str">
        <x:v>1.668671410881561e-06</x:v>
      </x:c>
      <x:c r="J94" s="46" t="n">
        <x:v>0.000001379787322345477</x:v>
      </x:c>
      <x:c r="K94" s="19" t="str">
        <x:v>1.287461367946441e-06</x:v>
      </x:c>
      <x:c r="L94" s="19" t="str">
        <x:v>1.669261770767538e-06</x:v>
      </x:c>
      <x:c r="M94" s="37" t="n">
        <x:v>2022</x:v>
      </x:c>
    </x:row>
    <x:row r="95" ht="24" customHeight="1">
      <x:c r="A95" s="40" t="str">
        <x:v>FT-Q-V01-091</x:v>
      </x:c>
      <x:c r="B95" s="31" t="str">
        <x:v>climate resilience</x:v>
      </x:c>
      <x:c r="C95" s="31" t="str">
        <x:v>harm_loss_consequences</x:v>
      </x:c>
      <x:c r="D95" s="19" t="str">
        <x:v>CONTEXT_REQUIRED</x:v>
      </x:c>
      <x:c r="E95" s="19" t="str">
        <x:v>0</x:v>
      </x:c>
      <x:c r="F95" s="19" t="str">
        <x:v>0</x:v>
      </x:c>
      <x:c r="G95" s="19" t="str">
        <x:v>0</x:v>
      </x:c>
      <x:c r="H95" s="19" t="str">
        <x:v>7.782892767760341e-10</x:v>
      </x:c>
      <x:c r="I95" s="19" t="str">
        <x:v>1.07941033888892e-09</x:v>
      </x:c>
      <x:c r="J95" s="46" t="n">
        <x:v>9.288498078324769e-10</x:v>
      </x:c>
      <x:c r="K95" s="19" t="str">
        <x:v>6.192725596904092e-08</x:v>
      </x:c>
      <x:c r="L95" s="19" t="str">
        <x:v>2.377892628357969e-07</x:v>
      </x:c>
      <x:c r="M95" s="37" t="n">
        <x:v>2022</x:v>
      </x:c>
    </x:row>
    <x:row r="96" ht="24" customHeight="1">
      <x:c r="A96" s="40" t="str">
        <x:v>FT-Q-V01-092</x:v>
      </x:c>
      <x:c r="B96" s="31" t="str">
        <x:v>vulnerability</x:v>
      </x:c>
      <x:c r="C96" s="31" t="str">
        <x:v>harm_loss_consequences</x:v>
      </x:c>
      <x:c r="D96" s="19" t="str">
        <x:v>CONTEXT_REQUIRED</x:v>
      </x:c>
      <x:c r="E96" s="19" t="str">
        <x:v>4.866453906515744e-09</x:v>
      </x:c>
      <x:c r="F96" s="19" t="str">
        <x:v>3.175859246695723e-07</x:v>
      </x:c>
      <x:c r="G96" s="19" t="str">
        <x:v>3.529738691554485e-06</x:v>
      </x:c>
      <x:c r="H96" s="19" t="str">
        <x:v>7.107033283659803e-06</x:v>
      </x:c>
      <x:c r="I96" s="19" t="str">
        <x:v>7.274388785560859e-06</x:v>
      </x:c>
      <x:c r="J96" s="46" t="n">
        <x:v>0.000007190711034610331</x:v>
      </x:c>
      <x:c r="K96" s="19" t="str">
        <x:v>9.355508542086e-06</x:v>
      </x:c>
      <x:c r="L96" s="19" t="str">
        <x:v>1.17803589603227e-05</x:v>
      </x:c>
      <x:c r="M96" s="37" t="n">
        <x:v>2022</x:v>
      </x:c>
    </x:row>
    <x:row r="97" ht="24" customHeight="1">
      <x:c r="A97" s="40" t="str">
        <x:v>FT-Q-V01-093</x:v>
      </x:c>
      <x:c r="B97" s="31" t="str">
        <x:v>vulnerable groups</x:v>
      </x:c>
      <x:c r="C97" s="31" t="str">
        <x:v>harm_loss_consequences</x:v>
      </x:c>
      <x:c r="D97" s="19" t="str">
        <x:v>CONTEXT_REQUIRED</x:v>
      </x:c>
      <x:c r="E97" s="19" t="str">
        <x:v>0</x:v>
      </x:c>
      <x:c r="F97" s="19" t="str">
        <x:v>2.561554898750096e-09</x:v>
      </x:c>
      <x:c r="G97" s="19" t="str">
        <x:v>1.830589990703402e-07</x:v>
      </x:c>
      <x:c r="H97" s="19" t="str">
        <x:v>5.319378349119552e-07</x:v>
      </x:c>
      <x:c r="I97" s="19" t="str">
        <x:v>4.877135600170335e-07</x:v>
      </x:c>
      <x:c r="J97" s="46" t="n">
        <x:v>5.098256974644944e-7</x:v>
      </x:c>
      <x:c r="K97" s="19" t="str">
        <x:v>4.145763595753138e-07</x:v>
      </x:c>
      <x:c r="L97" s="19" t="str">
        <x:v>6.561656151760076e-07</x:v>
      </x:c>
      <x:c r="M97" s="37" t="n">
        <x:v>2022</x:v>
      </x:c>
    </x:row>
    <x:row r="98" ht="24" customHeight="1">
      <x:c r="A98" s="40" t="str">
        <x:v>FT-Q-V01-094</x:v>
      </x:c>
      <x:c r="B98" s="31" t="str">
        <x:v>loss and damage</x:v>
      </x:c>
      <x:c r="C98" s="31" t="str">
        <x:v>harm_loss_consequences</x:v>
      </x:c>
      <x:c r="D98" s="19" t="str">
        <x:v>CLIMATE_SPECIFIC</x:v>
      </x:c>
      <x:c r="E98" s="19" t="str">
        <x:v>1.379619247732222e-07</x:v>
      </x:c>
      <x:c r="F98" s="19" t="str">
        <x:v>8.379211266507092e-07</x:v>
      </x:c>
      <x:c r="G98" s="19" t="str">
        <x:v>1.054715317444499e-07</x:v>
      </x:c>
      <x:c r="H98" s="19" t="str">
        <x:v>7.471193348013161e-08</x:v>
      </x:c>
      <x:c r="I98" s="19" t="str">
        <x:v>7.050587146062437e-08</x:v>
      </x:c>
      <x:c r="J98" s="46" t="n">
        <x:v>7.260890247037799e-8</x:v>
      </x:c>
      <x:c r="K98" s="19" t="str">
        <x:v>8.407788263178895e-08</x:v>
      </x:c>
      <x:c r="L98" s="19" t="str">
        <x:v>1.615246781744295e-07</x:v>
      </x:c>
      <x:c r="M98" s="37" t="n">
        <x:v>2022</x:v>
      </x:c>
    </x:row>
    <x:row r="99" ht="24" customHeight="1">
      <x:c r="A99" s="40" t="str">
        <x:v>FT-Q-V01-095</x:v>
      </x:c>
      <x:c r="B99" s="31" t="str">
        <x:v>extreme weather events</x:v>
      </x:c>
      <x:c r="C99" s="31" t="str">
        <x:v>harm_loss_consequences</x:v>
      </x:c>
      <x:c r="D99" s="19" t="str">
        <x:v>CONTEXT_REQUIRED</x:v>
      </x:c>
      <x:c r="E99" s="19" t="str">
        <x:v>0</x:v>
      </x:c>
      <x:c r="F99" s="19" t="str">
        <x:v>0</x:v>
      </x:c>
      <x:c r="G99" s="19" t="str">
        <x:v>3.405795367950049e-09</x:v>
      </x:c>
      <x:c r="H99" s="19" t="str">
        <x:v>8.521520449000786e-08</x:v>
      </x:c>
      <x:c r="I99" s="19" t="str">
        <x:v>1.065605648165047e-07</x:v>
      </x:c>
      <x:c r="J99" s="46" t="n">
        <x:v>9.588788465325626e-8</x:v>
      </x:c>
      <x:c r="K99" s="19" t="str">
        <x:v>2.641805035841216e-07</x:v>
      </x:c>
      <x:c r="L99" s="19" t="str">
        <x:v>4.511812501384327e-07</x:v>
      </x:c>
      <x:c r="M99" s="37" t="n">
        <x:v>2022</x:v>
      </x:c>
    </x:row>
    <x:row r="100" ht="24" customHeight="1">
      <x:c r="A100" s="40" t="str">
        <x:v>FT-Q-V01-096</x:v>
      </x:c>
      <x:c r="B100" s="31" t="str">
        <x:v>slow onset events</x:v>
      </x:c>
      <x:c r="C100" s="31" t="str">
        <x:v>harm_loss_consequences</x:v>
      </x:c>
      <x:c r="D100" s="19" t="str">
        <x:v>CONTEXT_REQUIRED</x:v>
      </x:c>
      <x:c r="E100" s="19" t="str">
        <x:v>0</x:v>
      </x:c>
      <x:c r="F100" s="19" t="str">
        <x:v>0</x:v>
      </x:c>
      <x:c r="G100" s="19" t="str">
        <x:v>0</x:v>
      </x:c>
      <x:c r="H100" s="19" t="str">
        <x:v>2.477186233917905e-10</x:v>
      </x:c>
      <x:c r="I100" s="19" t="str">
        <x:v>4.859122965106266e-10</x:v>
      </x:c>
      <x:c r="J100" s="46" t="n">
        <x:v>3.668154599512086e-10</x:v>
      </x:c>
      <x:c r="K100" s="19" t="str">
        <x:v>2.049460948172488e-09</x:v>
      </x:c>
      <x:c r="L100" s="19" t="str">
        <x:v>5.013650494767319e-09</x:v>
      </x:c>
      <x:c r="M100" s="37" t="n">
        <x:v>2022</x:v>
      </x:c>
    </x:row>
    <x:row r="101" ht="24" customHeight="1">
      <x:c r="A101" s="40" t="str">
        <x:v>FT-Q-V01-097</x:v>
      </x:c>
      <x:c r="B101" s="31" t="str">
        <x:v>risk of loss and damage</x:v>
      </x:c>
      <x:c r="C101" s="31" t="str">
        <x:v>risk</x:v>
      </x:c>
      <x:c r="D101" s="19" t="str">
        <x:v>CONTEXT_REQUIRED</x:v>
      </x:c>
      <x:c r="E101" s="19" t="str">
        <x:v>7.81099351865322e-10</x:v>
      </x:c>
      <x:c r="F101" s="19" t="str">
        <x:v>5.767837332748549e-09</x:v>
      </x:c>
      <x:c r="G101" s="19" t="str">
        <x:v>6.516700790104579e-10</x:v>
      </x:c>
      <x:c r="H101" s="19" t="str">
        <x:v>8.152023084351256e-10</x:v>
      </x:c>
      <x:c r="I101" s="19" t="str">
        <x:v>6.262282359337235e-10</x:v>
      </x:c>
      <x:c r="J101" s="46" t="n">
        <x:v>7.207152721844245e-10</x:v>
      </x:c>
      <x:c r="K101" s="19" t="str">
        <x:v>9.214118357192547e-10</x:v>
      </x:c>
      <x:c r="L101" s="19" t="str">
        <x:v>2.065858161620637e-09</x:v>
      </x:c>
      <x:c r="M101" s="37" t="n">
        <x:v>2022</x:v>
      </x:c>
    </x:row>
    <x:row r="102" ht="24" customHeight="1">
      <x:c r="A102" s="40" t="str">
        <x:v>FT-Q-V01-098</x:v>
      </x:c>
      <x:c r="B102" s="31" t="str">
        <x:v>early warning systems</x:v>
      </x:c>
      <x:c r="C102" s="31" t="str">
        <x:v>harm_loss_consequences</x:v>
      </x:c>
      <x:c r="D102" s="19" t="str">
        <x:v>CONTEXT_REQUIRED</x:v>
      </x:c>
      <x:c r="E102" s="19" t="str">
        <x:v>0</x:v>
      </x:c>
      <x:c r="F102" s="19" t="str">
        <x:v>0</x:v>
      </x:c>
      <x:c r="G102" s="19" t="str">
        <x:v>9.379452314828285e-08</x:v>
      </x:c>
      <x:c r="H102" s="19" t="str">
        <x:v>1.387224217164196e-07</x:v>
      </x:c>
      <x:c r="I102" s="19" t="str">
        <x:v>1.297385822940367e-07</x:v>
      </x:c>
      <x:c r="J102" s="46" t="n">
        <x:v>1.342305020052281e-7</x:v>
      </x:c>
      <x:c r="K102" s="19" t="str">
        <x:v>1.42312563317093e-07</x:v>
      </x:c>
      <x:c r="L102" s="19" t="str">
        <x:v>2.00640613789993e-07</x:v>
      </x:c>
      <x:c r="M102" s="37" t="n">
        <x:v>2022</x:v>
      </x:c>
    </x:row>
    <x:row r="103" ht="24" customHeight="1">
      <x:c r="A103" s="40" t="str">
        <x:v>FT-Q-V01-099</x:v>
      </x:c>
      <x:c r="B103" s="31" t="str">
        <x:v>emergency preparedness</x:v>
      </x:c>
      <x:c r="C103" s="31" t="str">
        <x:v>crisis_emergency</x:v>
      </x:c>
      <x:c r="D103" s="19" t="str">
        <x:v>CONTEXT_REQUIRED</x:v>
      </x:c>
      <x:c r="E103" s="19" t="str">
        <x:v>0</x:v>
      </x:c>
      <x:c r="F103" s="19" t="str">
        <x:v>3.563902506442673e-09</x:v>
      </x:c>
      <x:c r="G103" s="19" t="str">
        <x:v>1.046481490560303e-06</x:v>
      </x:c>
      <x:c r="H103" s="19" t="str">
        <x:v>8.403235325082914e-07</x:v>
      </x:c>
      <x:c r="I103" s="19" t="str">
        <x:v>7.499652697369463e-07</x:v>
      </x:c>
      <x:c r="J103" s="46" t="n">
        <x:v>7.951444011226189e-7</x:v>
      </x:c>
      <x:c r="K103" s="19" t="str">
        <x:v>3.295314575553487e-07</x:v>
      </x:c>
      <x:c r="L103" s="19" t="str">
        <x:v>2.663239674349782e-07</x:v>
      </x:c>
      <x:c r="M103" s="37" t="n">
        <x:v>2022</x:v>
      </x:c>
    </x:row>
    <x:row r="104" ht="24" customHeight="1">
      <x:c r="A104" s="40" t="str">
        <x:v>FT-Q-V01-100</x:v>
      </x:c>
      <x:c r="B104" s="31" t="str">
        <x:v>irreversible and permanent loss and damage</x:v>
      </x:c>
      <x:c r="C104" s="31" t="str">
        <x:v>harm_loss_consequences</x:v>
      </x:c>
      <x:c r="D104" s="19" t="str">
        <x:v>CONTEXT_REQUIRED</x:v>
      </x:c>
      <x:c r="E104" s="19" t="str">
        <x:v>0</x:v>
      </x:c>
      <x:c r="F104" s="19" t="str">
        <x:v>0</x:v>
      </x:c>
      <x:c r="G104" s="19" t="str">
        <x:v>0</x:v>
      </x:c>
      <x:c r="H104" s="19" t="str">
        <x:v>0</x:v>
      </x:c>
      <x:c r="I104" s="19" t="str">
        <x:v>0</x:v>
      </x:c>
      <x:c r="J104" s="46" t="n">
        <x:v>0</x:v>
      </x:c>
      <x:c r="K104" s="19" t="str">
        <x:v>6.163167892703214e-11</x:v>
      </x:c>
      <x:c r="L104" s="19" t="str">
        <x:v>6.393428564344106e-10</x:v>
      </x:c>
      <x:c r="M104" s="37" t="n">
        <x:v>2022</x:v>
      </x:c>
    </x:row>
    <x:row r="105" ht="24" customHeight="1">
      <x:c r="A105" s="40" t="str">
        <x:v>FT-Q-V01-101</x:v>
      </x:c>
      <x:c r="B105" s="31" t="str">
        <x:v>climate change</x:v>
      </x:c>
      <x:c r="C105" s="31" t="str">
        <x:v>climate</x:v>
      </x:c>
      <x:c r="D105" s="19" t="str">
        <x:v>CLIMATE_SPECIFIC</x:v>
      </x:c>
      <x:c r="E105" s="19" t="str">
        <x:v>5.159906557583582e-09</x:v>
      </x:c>
      <x:c r="F105" s="19" t="str">
        <x:v>2.561554912627884e-09</x:v>
      </x:c>
      <x:c r="G105" s="19" t="str">
        <x:v>1.240793510930149e-06</x:v>
      </x:c>
      <x:c r="H105" s="19" t="str">
        <x:v>8.716473492563492e-06</x:v>
      </x:c>
      <x:c r="I105" s="19" t="str">
        <x:v>1.319138383155949e-05</x:v>
      </x:c>
      <x:c r="J105" s="46" t="n">
        <x:v>0.00001095392866206149</x:v>
      </x:c>
      <x:c r="K105" s="19" t="str">
        <x:v>1.967096413684616e-05</x:v>
      </x:c>
      <x:c r="L105" s="19" t="str">
        <x:v>2.890008815206735e-05</x:v>
      </x:c>
      <x:c r="M105" s="37" t="n">
        <x:v>2022</x:v>
      </x:c>
    </x:row>
    <x:row r="106" ht="24" customHeight="1">
      <x:c r="A106" s="40" t="str">
        <x:v>FT-Q-V01-102</x:v>
      </x:c>
      <x:c r="B106" s="31" t="str">
        <x:v>global warming</x:v>
      </x:c>
      <x:c r="C106" s="31" t="str">
        <x:v>warming</x:v>
      </x:c>
      <x:c r="D106" s="19" t="str">
        <x:v>CLIMATE_SPECIFIC</x:v>
      </x:c>
      <x:c r="E106" s="19" t="str">
        <x:v>0</x:v>
      </x:c>
      <x:c r="F106" s="19" t="str">
        <x:v>2.00469511824064e-09</x:v>
      </x:c>
      <x:c r="G106" s="19" t="str">
        <x:v>6.400895369296222e-07</x:v>
      </x:c>
      <x:c r="H106" s="19" t="str">
        <x:v>3.39393631278162e-06</x:v>
      </x:c>
      <x:c r="I106" s="19" t="str">
        <x:v>4.96164442403968e-06</x:v>
      </x:c>
      <x:c r="J106" s="46" t="n">
        <x:v>0.00000417779036841065</x:v>
      </x:c>
      <x:c r="K106" s="19" t="str">
        <x:v>3.293586607857474e-06</x:v>
      </x:c>
      <x:c r="L106" s="19" t="str">
        <x:v>3.963670369644401e-06</x:v>
      </x:c>
      <x:c r="M106" s="37" t="n">
        <x:v>2022</x:v>
      </x:c>
    </x:row>
    <x:row r="107" ht="24" customHeight="1">
      <x:c r="A107" s="40" t="str">
        <x:v>FT-Q-V01-103</x:v>
      </x:c>
      <x:c r="B107" s="31" t="str">
        <x:v>very worried</x:v>
      </x:c>
      <x:c r="C107" s="31" t="str">
        <x:v>worry</x:v>
      </x:c>
      <x:c r="D107" s="19" t="str">
        <x:v>CONTEXT_REQUIRED</x:v>
      </x:c>
      <x:c r="E107" s="19" t="str">
        <x:v>0</x:v>
      </x:c>
      <x:c r="F107" s="19" t="str">
        <x:v>5.757930103544862e-08</x:v>
      </x:c>
      <x:c r="G107" s="19" t="str">
        <x:v>1.573942034760467e-07</x:v>
      </x:c>
      <x:c r="H107" s="19" t="str">
        <x:v>2.430551577989326e-07</x:v>
      </x:c>
      <x:c r="I107" s="19" t="str">
        <x:v>2.654000055557493e-07</x:v>
      </x:c>
      <x:c r="J107" s="46" t="n">
        <x:v>2.542275816773409e-7</x:v>
      </x:c>
      <x:c r="K107" s="19" t="str">
        <x:v>4.244305496919898e-07</x:v>
      </x:c>
      <x:c r="L107" s="19" t="str">
        <x:v>3.79268325273463e-07</x:v>
      </x:c>
      <x:c r="M107" s="37" t="n">
        <x:v>2022</x:v>
      </x:c>
    </x:row>
    <x:row r="108" ht="24" customHeight="1">
      <x:c r="A108" s="40" t="str">
        <x:v>FT-Q-V01-104</x:v>
      </x:c>
      <x:c r="B108" s="31" t="str">
        <x:v>somewhat worried</x:v>
      </x:c>
      <x:c r="C108" s="31" t="str">
        <x:v>worry</x:v>
      </x:c>
      <x:c r="D108" s="19" t="str">
        <x:v>CONTEXT_REQUIRED</x:v>
      </x:c>
      <x:c r="E108" s="19" t="str">
        <x:v>1.289976681029259e-09</x:v>
      </x:c>
      <x:c r="F108" s="19" t="str">
        <x:v>1.046896380696438e-08</x:v>
      </x:c>
      <x:c r="G108" s="19" t="str">
        <x:v>8.686541097535638e-09</x:v>
      </x:c>
      <x:c r="H108" s="19" t="str">
        <x:v>1.190324738775672e-08</x:v>
      </x:c>
      <x:c r="I108" s="19" t="str">
        <x:v>1.241321874456691e-08</x:v>
      </x:c>
      <x:c r="J108" s="46" t="n">
        <x:v>1.215823306616182e-8</x:v>
      </x:c>
      <x:c r="K108" s="19" t="str">
        <x:v>1.569197416104173e-08</x:v>
      </x:c>
      <x:c r="L108" s="19" t="str">
        <x:v>1.698810697670083e-08</x:v>
      </x:c>
      <x:c r="M108" s="37" t="n">
        <x:v>2022</x:v>
      </x:c>
    </x:row>
    <x:row r="109" ht="24" customHeight="1">
      <x:c r="A109" s="40" t="str">
        <x:v>FT-Q-V01-105</x:v>
      </x:c>
      <x:c r="B109" s="31" t="str">
        <x:v>afraid</x:v>
      </x:c>
      <x:c r="C109" s="31" t="str">
        <x:v>fear_afraid</x:v>
      </x:c>
      <x:c r="D109" s="19" t="str">
        <x:v>BACKGROUND_AMBIGUOUS</x:v>
      </x:c>
      <x:c r="E109" s="19" t="str">
        <x:v>2.212168256576774e-05</x:v>
      </x:c>
      <x:c r="F109" s="19" t="str">
        <x:v>1.400559003883473e-05</x:v>
      </x:c>
      <x:c r="G109" s="19" t="str">
        <x:v>1.09846374348882e-05</x:v>
      </x:c>
      <x:c r="H109" s="19" t="str">
        <x:v>1.976880774634537e-05</x:v>
      </x:c>
      <x:c r="I109" s="19" t="str">
        <x:v>2.159649101456107e-05</x:v>
      </x:c>
      <x:c r="J109" s="46" t="n">
        <x:v>0.00002068264938045322</x:v>
      </x:c>
      <x:c r="K109" s="19" t="str">
        <x:v>4.288384451456295e-05</x:v>
      </x:c>
      <x:c r="L109" s="19" t="str">
        <x:v>4.233809789883428e-05</x:v>
      </x:c>
      <x:c r="M109" s="37" t="n">
        <x:v>2022</x:v>
      </x:c>
    </x:row>
    <x:row r="110" ht="24" customHeight="1">
      <x:c r="A110" s="40" t="str">
        <x:v>FT-Q-V01-106</x:v>
      </x:c>
      <x:c r="B110" s="31" t="str">
        <x:v>anxious</x:v>
      </x:c>
      <x:c r="C110" s="31" t="str">
        <x:v>anxiety</x:v>
      </x:c>
      <x:c r="D110" s="19" t="str">
        <x:v>CONTEXT_REQUIRED</x:v>
      </x:c>
      <x:c r="E110" s="19" t="str">
        <x:v>3.869925836497146e-05</x:v>
      </x:c>
      <x:c r="F110" s="19" t="str">
        <x:v>1.130616075784019e-05</x:v>
      </x:c>
      <x:c r="G110" s="19" t="str">
        <x:v>6.107358935025786e-06</x:v>
      </x:c>
      <x:c r="H110" s="19" t="str">
        <x:v>8.508186313434252e-06</x:v>
      </x:c>
      <x:c r="I110" s="19" t="str">
        <x:v>9.368124114672582e-06</x:v>
      </x:c>
      <x:c r="J110" s="46" t="n">
        <x:v>0.000008938155214053417</x:v>
      </x:c>
      <x:c r="K110" s="19" t="str">
        <x:v>1.482205210834309e-05</x:v>
      </x:c>
      <x:c r="L110" s="19" t="str">
        <x:v>1.753054791498593e-05</x:v>
      </x:c>
      <x:c r="M110" s="37" t="n">
        <x:v>2022</x:v>
      </x:c>
    </x:row>
    <x:row r="111" ht="24" customHeight="1">
      <x:c r="A111" s="40" t="str">
        <x:v>FT-Q-V01-107</x:v>
      </x:c>
      <x:c r="B111" s="31" t="str">
        <x:v>hopeless</x:v>
      </x:c>
      <x:c r="C111" s="31" t="str">
        <x:v>distress_depression</x:v>
      </x:c>
      <x:c r="D111" s="19" t="str">
        <x:v>CONTEXT_REQUIRED</x:v>
      </x:c>
      <x:c r="E111" s="19" t="str">
        <x:v>7.749827982905799e-06</x:v>
      </x:c>
      <x:c r="F111" s="19" t="str">
        <x:v>3.078077401852397e-06</x:v>
      </x:c>
      <x:c r="G111" s="19" t="str">
        <x:v>1.574195990450278e-06</x:v>
      </x:c>
      <x:c r="H111" s="19" t="str">
        <x:v>2.366883613547088e-06</x:v>
      </x:c>
      <x:c r="I111" s="19" t="str">
        <x:v>2.603596225725369e-06</x:v>
      </x:c>
      <x:c r="J111" s="46" t="n">
        <x:v>0.000002485239919636228</x:v>
      </x:c>
      <x:c r="K111" s="19" t="str">
        <x:v>4.200327168746298e-06</x:v>
      </x:c>
      <x:c r="L111" s="19" t="str">
        <x:v>4.716772487256549e-06</x:v>
      </x:c>
      <x:c r="M111" s="37" t="n">
        <x:v>2022</x:v>
      </x:c>
    </x:row>
    <x:row r="112" ht="24" customHeight="1">
      <x:c r="A112" s="40" t="str">
        <x:v>FT-Q-V01-108</x:v>
      </x:c>
      <x:c r="B112" s="31" t="str">
        <x:v>sad</x:v>
      </x:c>
      <x:c r="C112" s="31" t="str">
        <x:v>distress_depression</x:v>
      </x:c>
      <x:c r="D112" s="19" t="str">
        <x:v>CONTEXT_REQUIRED</x:v>
      </x:c>
      <x:c r="E112" s="19" t="str">
        <x:v>2.810681350240429e-05</x:v>
      </x:c>
      <x:c r="F112" s="19" t="str">
        <x:v>7.116686279312612e-06</x:v>
      </x:c>
      <x:c r="G112" s="19" t="str">
        <x:v>7.082451503964693e-06</x:v>
      </x:c>
      <x:c r="H112" s="19" t="str">
        <x:v>1.270232452813339e-05</x:v>
      </x:c>
      <x:c r="I112" s="19" t="str">
        <x:v>1.357899595096079e-05</x:v>
      </x:c>
      <x:c r="J112" s="46" t="n">
        <x:v>0.00001314066023954709</x:v>
      </x:c>
      <x:c r="K112" s="19" t="str">
        <x:v>2.244314198969477e-05</x:v>
      </x:c>
      <x:c r="L112" s="19" t="str">
        <x:v>2.540873449891415e-05</x:v>
      </x:c>
      <x:c r="M112" s="37" t="n">
        <x:v>2022</x:v>
      </x:c>
    </x:row>
    <x:row r="113" ht="24" customHeight="1">
      <x:c r="A113" s="40" t="str">
        <x:v>FT-Q-V01-109</x:v>
      </x:c>
      <x:c r="B113" s="31" t="str">
        <x:v>angry</x:v>
      </x:c>
      <x:c r="C113" s="31" t="str">
        <x:v>distress_depression</x:v>
      </x:c>
      <x:c r="D113" s="19" t="str">
        <x:v>CONTEXT_REQUIRED</x:v>
      </x:c>
      <x:c r="E113" s="19" t="str">
        <x:v>1.486580042708852e-05</x:v>
      </x:c>
      <x:c r="F113" s="19" t="str">
        <x:v>4.559940654402794e-06</x:v>
      </x:c>
      <x:c r="G113" s="19" t="str">
        <x:v>7.51778329544095e-06</x:v>
      </x:c>
      <x:c r="H113" s="19" t="str">
        <x:v>1.53830203544203e-05</x:v>
      </x:c>
      <x:c r="I113" s="19" t="str">
        <x:v>1.647590850950564e-05</x:v>
      </x:c>
      <x:c r="J113" s="46" t="n">
        <x:v>0.00001592946443196297</x:v>
      </x:c>
      <x:c r="K113" s="19" t="str">
        <x:v>3.206412924328106e-05</x:v>
      </x:c>
      <x:c r="L113" s="19" t="str">
        <x:v>3.134844381236235e-05</x:v>
      </x:c>
      <x:c r="M113" s="37" t="n">
        <x:v>2022</x:v>
      </x:c>
    </x:row>
    <x:row r="114" ht="24" customHeight="1">
      <x:c r="A114" s="40" t="str">
        <x:v>FT-Q-V01-110</x:v>
      </x:c>
      <x:c r="B114" s="31" t="str">
        <x:v>frustrated</x:v>
      </x:c>
      <x:c r="C114" s="31" t="str">
        <x:v>distress_depression</x:v>
      </x:c>
      <x:c r="D114" s="19" t="str">
        <x:v>CONTEXT_REQUIRED</x:v>
      </x:c>
      <x:c r="E114" s="19" t="str">
        <x:v>2.472158670219216e-06</x:v>
      </x:c>
      <x:c r="F114" s="19" t="str">
        <x:v>9.431432204110024e-07</x:v>
      </x:c>
      <x:c r="G114" s="19" t="str">
        <x:v>3.289961124863794e-06</x:v>
      </x:c>
      <x:c r="H114" s="19" t="str">
        <x:v>5.059109890126479e-06</x:v>
      </x:c>
      <x:c r="I114" s="19" t="str">
        <x:v>5.217783510147456e-06</x:v>
      </x:c>
      <x:c r="J114" s="46" t="n">
        <x:v>0.000005138446700136967</x:v>
      </x:c>
      <x:c r="K114" s="19" t="str">
        <x:v>8.185089514611832e-06</x:v>
      </x:c>
      <x:c r="L114" s="19" t="str">
        <x:v>7.597455986996238e-06</x:v>
      </x:c>
      <x:c r="M114" s="37" t="n">
        <x:v>2022</x:v>
      </x:c>
    </x:row>
    <x:row r="115" ht="24" customHeight="1">
      <x:c r="A115" s="40" t="str">
        <x:v>FT-Q-V01-111</x:v>
      </x:c>
      <x:c r="B115" s="31" t="str">
        <x:v>hopeful</x:v>
      </x:c>
      <x:c r="C115" s="31" t="str">
        <x:v>concern_alarm</x:v>
      </x:c>
      <x:c r="D115" s="19" t="str">
        <x:v>CONTEXT_REQUIRED</x:v>
      </x:c>
      <x:c r="E115" s="19" t="str">
        <x:v>2.357188563451018e-06</x:v>
      </x:c>
      <x:c r="F115" s="19" t="str">
        <x:v>3.194065403278046e-06</x:v>
      </x:c>
      <x:c r="G115" s="19" t="str">
        <x:v>2.021741480007222e-06</x:v>
      </x:c>
      <x:c r="H115" s="19" t="str">
        <x:v>2.639803955872821e-06</x:v>
      </x:c>
      <x:c r="I115" s="19" t="str">
        <x:v>2.804317349003327e-06</x:v>
      </x:c>
      <x:c r="J115" s="46" t="n">
        <x:v>0.000002722060652438074</x:v>
      </x:c>
      <x:c r="K115" s="19" t="str">
        <x:v>4.381402916919797e-06</x:v>
      </x:c>
      <x:c r="L115" s="19" t="str">
        <x:v>4.994718922901598e-06</x:v>
      </x:c>
      <x:c r="M115" s="37" t="n">
        <x:v>2022</x:v>
      </x:c>
    </x:row>
    <x:row r="116" ht="24" customHeight="1">
      <x:c r="A116" s="40" t="str">
        <x:v>FT-Q-V01-112</x:v>
      </x:c>
      <x:c r="B116" s="31" t="str">
        <x:v>disgusted</x:v>
      </x:c>
      <x:c r="C116" s="31" t="str">
        <x:v>distress_depression</x:v>
      </x:c>
      <x:c r="D116" s="19" t="str">
        <x:v>CONTEXT_REQUIRED</x:v>
      </x:c>
      <x:c r="E116" s="19" t="str">
        <x:v>2.792127986595005e-06</x:v>
      </x:c>
      <x:c r="F116" s="19" t="str">
        <x:v>8.480208872896355e-07</x:v>
      </x:c>
      <x:c r="G116" s="19" t="str">
        <x:v>5.909761447986384e-07</x:v>
      </x:c>
      <x:c r="H116" s="19" t="str">
        <x:v>1.171719041792585e-06</x:v>
      </x:c>
      <x:c r="I116" s="19" t="str">
        <x:v>1.319191128779096e-06</x:v>
      </x:c>
      <x:c r="J116" s="46" t="n">
        <x:v>0.00000124545508528584</x:v>
      </x:c>
      <x:c r="K116" s="19" t="str">
        <x:v>2.510783113862658e-06</x:v>
      </x:c>
      <x:c r="L116" s="19" t="str">
        <x:v>2.543607640959067e-06</x:v>
      </x:c>
      <x:c r="M116" s="37" t="n">
        <x:v>2022</x:v>
      </x:c>
    </x:row>
    <x:row r="117" ht="24" customHeight="1">
      <x:c r="A117" s="40" t="str">
        <x:v>FT-Q-V01-113</x:v>
      </x:c>
      <x:c r="B117" s="31" t="str">
        <x:v>outraged</x:v>
      </x:c>
      <x:c r="C117" s="31" t="str">
        <x:v>distress_depression</x:v>
      </x:c>
      <x:c r="D117" s="19" t="str">
        <x:v>CONTEXT_REQUIRED</x:v>
      </x:c>
      <x:c r="E117" s="19" t="str">
        <x:v>1.254328481969935e-06</x:v>
      </x:c>
      <x:c r="F117" s="19" t="str">
        <x:v>6.021347390694487e-07</x:v>
      </x:c>
      <x:c r="G117" s="19" t="str">
        <x:v>8.586316730951893e-07</x:v>
      </x:c>
      <x:c r="H117" s="19" t="str">
        <x:v>1.27507472225119e-06</x:v>
      </x:c>
      <x:c r="I117" s="19" t="str">
        <x:v>1.373316791397627e-06</x:v>
      </x:c>
      <x:c r="J117" s="46" t="n">
        <x:v>0.000001324195756824409</x:v>
      </x:c>
      <x:c r="K117" s="19" t="str">
        <x:v>1.949325438399541e-06</x:v>
      </x:c>
      <x:c r="L117" s="19" t="str">
        <x:v>1.70548937417081e-06</x:v>
      </x:c>
      <x:c r="M117" s="37" t="n">
        <x:v>2022</x:v>
      </x:c>
    </x:row>
    <x:row r="118" ht="24" customHeight="1">
      <x:c r="A118" s="40" t="str">
        <x:v>FT-Q-V01-114</x:v>
      </x:c>
      <x:c r="B118" s="31" t="str">
        <x:v>depressed</x:v>
      </x:c>
      <x:c r="C118" s="31" t="str">
        <x:v>distress_depression</x:v>
      </x:c>
      <x:c r="D118" s="19" t="str">
        <x:v>BACKGROUND_AMBIGUOUS</x:v>
      </x:c>
      <x:c r="E118" s="19" t="str">
        <x:v>9.307701199112728e-06</x:v>
      </x:c>
      <x:c r="F118" s="19" t="str">
        <x:v>6.043337837269291e-06</x:v>
      </x:c>
      <x:c r="G118" s="19" t="str">
        <x:v>7.711703084112287e-06</x:v>
      </x:c>
      <x:c r="H118" s="19" t="str">
        <x:v>6.793051444020648e-06</x:v>
      </x:c>
      <x:c r="I118" s="19" t="str">
        <x:v>7.274933071954592e-06</x:v>
      </x:c>
      <x:c r="J118" s="46" t="n">
        <x:v>0.00000703399225798762</x:v>
      </x:c>
      <x:c r="K118" s="19" t="str">
        <x:v>7.909356614987928e-06</x:v>
      </x:c>
      <x:c r="L118" s="19" t="str">
        <x:v>6.592711166319987e-06</x:v>
      </x:c>
      <x:c r="M118" s="37" t="n">
        <x:v>2022</x:v>
      </x:c>
    </x:row>
    <x:row r="119" ht="24" customHeight="1">
      <x:c r="A119" s="40" t="str">
        <x:v>FT-Q-V01-115</x:v>
      </x:c>
      <x:c r="B119" s="31" t="str">
        <x:v>symptoms of anxiety</x:v>
      </x:c>
      <x:c r="C119" s="31" t="str">
        <x:v>anxiety</x:v>
      </x:c>
      <x:c r="D119" s="19" t="str">
        <x:v>CONTEXT_REQUIRED</x:v>
      </x:c>
      <x:c r="E119" s="19" t="str">
        <x:v>4.118266616615074e-09</x:v>
      </x:c>
      <x:c r="F119" s="19" t="str">
        <x:v>4.033755884869095e-09</x:v>
      </x:c>
      <x:c r="G119" s="19" t="str">
        <x:v>7.033237547915405e-08</x:v>
      </x:c>
      <x:c r="H119" s="19" t="str">
        <x:v>1.017628106780855e-07</x:v>
      </x:c>
      <x:c r="I119" s="19" t="str">
        <x:v>1.071436565580619e-07</x:v>
      </x:c>
      <x:c r="J119" s="46" t="n">
        <x:v>1.044532336180737e-7</x:v>
      </x:c>
      <x:c r="K119" s="19" t="str">
        <x:v>1.362641557159372e-07</x:v>
      </x:c>
      <x:c r="L119" s="19" t="str">
        <x:v>1.926471570046218e-07</x:v>
      </x:c>
      <x:c r="M119" s="37" t="n">
        <x:v>2022</x:v>
      </x:c>
    </x:row>
    <x:row r="120" ht="24" customHeight="1">
      <x:c r="A120" s="40" t="str">
        <x:v>FT-Q-V01-116</x:v>
      </x:c>
      <x:c r="B120" s="31" t="str">
        <x:v>climate anxiety</x:v>
      </x:c>
      <x:c r="C120" s="31" t="str">
        <x:v>anxiety</x:v>
      </x:c>
      <x:c r="D120" s="19" t="str">
        <x:v>CLIMATE_SPECIFIC</x:v>
      </x:c>
      <x:c r="E120" s="19" t="str">
        <x:v>0</x:v>
      </x:c>
      <x:c r="F120" s="19" t="str">
        <x:v>0</x:v>
      </x:c>
      <x:c r="G120" s="19" t="str">
        <x:v>0</x:v>
      </x:c>
      <x:c r="H120" s="19" t="str">
        <x:v>0</x:v>
      </x:c>
      <x:c r="I120" s="19" t="str">
        <x:v>4.497542963055601e-11</x:v>
      </x:c>
      <x:c r="J120" s="46" t="n">
        <x:v>2.2487714815278e-11</x:v>
      </x:c>
      <x:c r="K120" s="19" t="str">
        <x:v>1.86809217400663e-10</x:v>
      </x:c>
      <x:c r="L120" s="19" t="str">
        <x:v>3.579004737019886e-08</x:v>
      </x:c>
      <x:c r="M120" s="37" t="n">
        <x:v>2022</x:v>
      </x:c>
    </x:row>
    <x:row r="121" ht="24" customHeight="1">
      <x:c r="A121" s="40" t="str">
        <x:v>FT-Q-V01-117</x:v>
      </x:c>
      <x:c r="B121" s="31" t="str">
        <x:v>eco-anxiety</x:v>
      </x:c>
      <x:c r="C121" s="31" t="str">
        <x:v>anxiety</x:v>
      </x:c>
      <x:c r="D121" s="19" t="str">
        <x:v>CLIMATE_SPECIFIC</x:v>
      </x:c>
      <x:c r="E121" s="19" t="str">
        <x:v>0</x:v>
      </x:c>
      <x:c r="F121" s="19" t="str">
        <x:v>0</x:v>
      </x:c>
      <x:c r="G121" s="19" t="str">
        <x:v>0</x:v>
      </x:c>
      <x:c r="H121" s="19" t="str">
        <x:v>4.954372329057932e-11</x:v>
      </x:c>
      <x:c r="I121" s="19" t="str">
        <x:v>7.774596660903299e-10</x:v>
      </x:c>
      <x:c r="J121" s="46" t="n">
        <x:v>4.135016946904546e-10</x:v>
      </x:c>
      <x:c r="K121" s="19" t="str">
        <x:v>8.997633402230143e-10</x:v>
      </x:c>
      <x:c r="L121" s="19" t="str">
        <x:v>5.496096178170262e-08</x:v>
      </x:c>
      <x:c r="M121" s="37" t="n">
        <x:v>2022</x:v>
      </x:c>
    </x:row>
    <x:row r="122" ht="24" customHeight="1">
      <x:c r="A122" s="40" t="str">
        <x:v>FT-Q-V01-118</x:v>
      </x:c>
      <x:c r="B122" s="31" t="str">
        <x:v>psychological distress</x:v>
      </x:c>
      <x:c r="C122" s="31" t="str">
        <x:v>distress_depression</x:v>
      </x:c>
      <x:c r="D122" s="19" t="str">
        <x:v>CONTEXT_REQUIRED</x:v>
      </x:c>
      <x:c r="E122" s="19" t="str">
        <x:v>0</x:v>
      </x:c>
      <x:c r="F122" s="19" t="str">
        <x:v>6.682316922024256e-10</x:v>
      </x:c>
      <x:c r="G122" s="19" t="str">
        <x:v>1.915481164793675e-07</x:v>
      </x:c>
      <x:c r="H122" s="19" t="str">
        <x:v>4.426177031557899e-07</x:v>
      </x:c>
      <x:c r="I122" s="19" t="str">
        <x:v>3.763993797756271e-07</x:v>
      </x:c>
      <x:c r="J122" s="46" t="n">
        <x:v>4.095085414657085e-7</x:v>
      </x:c>
      <x:c r="K122" s="19" t="str">
        <x:v>4.692647605497591e-07</x:v>
      </x:c>
      <x:c r="L122" s="19" t="str">
        <x:v>8.442735095481879e-07</x:v>
      </x:c>
      <x:c r="M122" s="37" t="n">
        <x:v>2022</x:v>
      </x:c>
    </x:row>
    <x:row r="123" ht="24" customHeight="1">
      <x:c r="A123" s="40" t="str">
        <x:v>FT-Q-V01-119</x:v>
      </x:c>
      <x:c r="B123" s="31" t="str">
        <x:v>distress</x:v>
      </x:c>
      <x:c r="C123" s="31" t="str">
        <x:v>distress_depression</x:v>
      </x:c>
      <x:c r="D123" s="19" t="str">
        <x:v>BACKGROUND_AMBIGUOUS</x:v>
      </x:c>
      <x:c r="E123" s="19" t="str">
        <x:v>4.52841779292612e-05</x:v>
      </x:c>
      <x:c r="F123" s="19" t="str">
        <x:v>7.339661380001417e-06</x:v>
      </x:c>
      <x:c r="G123" s="19" t="str">
        <x:v>8.156161257488748e-06</x:v>
      </x:c>
      <x:c r="H123" s="19" t="str">
        <x:v>1.067856989322991e-05</x:v>
      </x:c>
      <x:c r="I123" s="19" t="str">
        <x:v>1.097895778201519e-05</x:v>
      </x:c>
      <x:c r="J123" s="46" t="n">
        <x:v>0.00001082876383762255</x:v>
      </x:c>
      <x:c r="K123" s="19" t="str">
        <x:v>1.367328086843145e-05</x:v>
      </x:c>
      <x:c r="L123" s="19" t="str">
        <x:v>1.530569114294167e-05</x:v>
      </x:c>
      <x:c r="M123" s="37" t="n">
        <x:v>2022</x:v>
      </x:c>
    </x:row>
    <x:row r="124" ht="24" customHeight="1">
      <x:c r="A124" s="40" t="str">
        <x:v>FT-Q-V01-120</x:v>
      </x:c>
      <x:c r="B124" s="31" t="str">
        <x:v>powerlessness</x:v>
      </x:c>
      <x:c r="C124" s="31" t="str">
        <x:v>distress_depression</x:v>
      </x:c>
      <x:c r="D124" s="19" t="str">
        <x:v>CONTEXT_REQUIRED</x:v>
      </x:c>
      <x:c r="E124" s="19" t="str">
        <x:v>4.805623099457534e-08</x:v>
      </x:c>
      <x:c r="F124" s="19" t="str">
        <x:v>4.725432958818665e-08</x:v>
      </x:c>
      <x:c r="G124" s="19" t="str">
        <x:v>5.816229462496381e-07</x:v>
      </x:c>
      <x:c r="H124" s="19" t="str">
        <x:v>7.747634387378355e-07</x:v>
      </x:c>
      <x:c r="I124" s="19" t="str">
        <x:v>7.41349112098888e-07</x:v>
      </x:c>
      <x:c r="J124" s="46" t="n">
        <x:v>7.580562754183617e-7</x:v>
      </x:c>
      <x:c r="K124" s="19" t="str">
        <x:v>8.678666019168446e-07</x:v>
      </x:c>
      <x:c r="L124" s="19" t="str">
        <x:v>8.604735197703661e-07</x:v>
      </x:c>
      <x:c r="M124" s="37" t="n">
        <x:v>2022</x:v>
      </x:c>
    </x:row>
    <x:row r="125" ht="24" customHeight="1">
      <x:c r="A125" s="40" t="str">
        <x:v>FT-Q-V01-121</x:v>
      </x:c>
      <x:c r="B125" s="31" t="str">
        <x:v>climatic change</x:v>
      </x:c>
      <x:c r="C125" s="31" t="str">
        <x:v>climate</x:v>
      </x:c>
      <x:c r="D125" s="19" t="str">
        <x:v>CLIMATE_SPECIFIC</x:v>
      </x:c>
      <x:c r="E125" s="19" t="str">
        <x:v>0</x:v>
      </x:c>
      <x:c r="F125" s="19" t="str">
        <x:v>5.535186192728858e-08</x:v>
      </x:c>
      <x:c r="G125" s="19" t="str">
        <x:v>6.100814835992285e-07</x:v>
      </x:c>
      <x:c r="H125" s="19" t="str">
        <x:v>3.489940754372589e-07</x:v>
      </x:c>
      <x:c r="I125" s="19" t="str">
        <x:v>3.570599467934976e-07</x:v>
      </x:c>
      <x:c r="J125" s="46" t="n">
        <x:v>3.530270111153783e-7</x:v>
      </x:c>
      <x:c r="K125" s="19" t="str">
        <x:v>3.089357515362323e-07</x:v>
      </x:c>
      <x:c r="L125" s="19" t="str">
        <x:v>3.561308840049904e-07</x:v>
      </x:c>
      <x:c r="M125" s="37" t="n">
        <x:v>2022</x:v>
      </x:c>
    </x:row>
    <x:row r="126" ht="24" customHeight="1">
      <x:c r="A126" s="40" t="str">
        <x:v>FT-Q-V01-122</x:v>
      </x:c>
      <x:c r="B126" s="31" t="str">
        <x:v>climate system</x:v>
      </x:c>
      <x:c r="C126" s="31" t="str">
        <x:v>climate</x:v>
      </x:c>
      <x:c r="D126" s="19" t="str">
        <x:v>CLIMATE_SPECIFIC</x:v>
      </x:c>
      <x:c r="E126" s="19" t="str">
        <x:v>0</x:v>
      </x:c>
      <x:c r="F126" s="19" t="str">
        <x:v>6.682317199580012e-10</x:v>
      </x:c>
      <x:c r="G126" s="19" t="str">
        <x:v>1.403666166632789e-07</x:v>
      </x:c>
      <x:c r="H126" s="19" t="str">
        <x:v>2.739578170152246e-07</x:v>
      </x:c>
      <x:c r="I126" s="19" t="str">
        <x:v>3.127591374774141e-07</x:v>
      </x:c>
      <x:c r="J126" s="46" t="n">
        <x:v>2.933584772463194e-7</x:v>
      </x:c>
      <x:c r="K126" s="19" t="str">
        <x:v>2.867988619925654e-07</x:v>
      </x:c>
      <x:c r="L126" s="19" t="str">
        <x:v>2.992826562686624e-07</x:v>
      </x:c>
      <x:c r="M126" s="37" t="n">
        <x:v>2022</x:v>
      </x:c>
    </x:row>
    <x:row r="127" ht="24" customHeight="1">
      <x:c r="A127" s="40" t="str">
        <x:v>FT-Q-V01-123</x:v>
      </x:c>
      <x:c r="B127" s="31" t="str">
        <x:v>climate crisis</x:v>
      </x:c>
      <x:c r="C127" s="31" t="str">
        <x:v>crisis_emergency</x:v>
      </x:c>
      <x:c r="D127" s="19" t="str">
        <x:v>CLIMATE_SPECIFIC</x:v>
      </x:c>
      <x:c r="E127" s="19" t="str">
        <x:v>0</x:v>
      </x:c>
      <x:c r="F127" s="19" t="str">
        <x:v>0</x:v>
      </x:c>
      <x:c r="G127" s="19" t="str">
        <x:v>1.974213945099557e-09</x:v>
      </x:c>
      <x:c r="H127" s="19" t="str">
        <x:v>1.721392753339934e-08</x:v>
      </x:c>
      <x:c r="I127" s="19" t="str">
        <x:v>4.511035556209464e-08</x:v>
      </x:c>
      <x:c r="J127" s="46" t="n">
        <x:v>3.116214154774699e-8</x:v>
      </x:c>
      <x:c r="K127" s="19" t="str">
        <x:v>8.700639558822942e-08</x:v>
      </x:c>
      <x:c r="L127" s="19" t="str">
        <x:v>9.38814122442011e-07</x:v>
      </x:c>
      <x:c r="M127" s="37" t="n">
        <x:v>2022</x:v>
      </x:c>
    </x:row>
    <x:row r="128" ht="24" customHeight="1">
      <x:c r="A128" s="40" t="str">
        <x:v>FT-Q-V01-124</x:v>
      </x:c>
      <x:c r="B128" s="31" t="str">
        <x:v>climate emergency</x:v>
      </x:c>
      <x:c r="C128" s="31" t="str">
        <x:v>crisis_emergency</x:v>
      </x:c>
      <x:c r="D128" s="19" t="str">
        <x:v>CLIMATE_SPECIFIC</x:v>
      </x:c>
      <x:c r="E128" s="19" t="str">
        <x:v>0</x:v>
      </x:c>
      <x:c r="F128" s="19" t="str">
        <x:v>0</x:v>
      </x:c>
      <x:c r="G128" s="19" t="str">
        <x:v>0</x:v>
      </x:c>
      <x:c r="H128" s="19" t="str">
        <x:v>4.578172285718551e-10</x:v>
      </x:c>
      <x:c r="I128" s="19" t="str">
        <x:v>1.079410283377769e-09</x:v>
      </x:c>
      <x:c r="J128" s="46" t="n">
        <x:v>7.686137559748119e-10</x:v>
      </x:c>
      <x:c r="K128" s="19" t="str">
        <x:v>6.398215714187305e-09</x:v>
      </x:c>
      <x:c r="L128" s="19" t="str">
        <x:v>2.626078123846298e-07</x:v>
      </x:c>
      <x:c r="M128" s="37" t="n">
        <x:v>2022</x:v>
      </x:c>
    </x:row>
    <x:row r="129" ht="24" customHeight="1">
      <x:c r="A129" s="40" t="str">
        <x:v>FT-Q-V01-125</x:v>
      </x:c>
      <x:c r="B129" s="31" t="str">
        <x:v>heat</x:v>
      </x:c>
      <x:c r="C129" s="31" t="str">
        <x:v>heat</x:v>
      </x:c>
      <x:c r="D129" s="19" t="str">
        <x:v>BACKGROUND_AMBIGUOUS</x:v>
      </x:c>
      <x:c r="E129" s="19" t="str">
        <x:v>7.384357303408251e-05</x:v>
      </x:c>
      <x:c r="F129" s="19" t="str">
        <x:v>8.523965218273921e-05</x:v>
      </x:c>
      <x:c r="G129" s="19" t="str">
        <x:v>8.679989608225552e-05</x:v>
      </x:c>
      <x:c r="H129" s="19" t="str">
        <x:v>6.360847071413406e-05</x:v>
      </x:c>
      <x:c r="I129" s="19" t="str">
        <x:v>6.960987830585685e-05</x:v>
      </x:c>
      <x:c r="J129" s="46" t="n">
        <x:v>0.00006660917450999546</x:v>
      </x:c>
      <x:c r="K129" s="19" t="str">
        <x:v>8.562833311283324e-05</x:v>
      </x:c>
      <x:c r="L129" s="19" t="str">
        <x:v>8.563693643673723e-05</x:v>
      </x:c>
      <x:c r="M129" s="37" t="n">
        <x:v>2022</x:v>
      </x:c>
    </x:row>
    <x:row r="130" ht="24" customHeight="1">
      <x:c r="A130" s="40" t="str">
        <x:v>FT-Q-V01-126</x:v>
      </x:c>
      <x:c r="B130" s="31" t="str">
        <x:v>extreme heat</x:v>
      </x:c>
      <x:c r="C130" s="31" t="str">
        <x:v>heat</x:v>
      </x:c>
      <x:c r="D130" s="19" t="str">
        <x:v>CLIMATE_SPECIFIC</x:v>
      </x:c>
      <x:c r="E130" s="19" t="str">
        <x:v>3.295890467214235e-07</x:v>
      </x:c>
      <x:c r="F130" s="19" t="str">
        <x:v>1.961260114313745e-07</x:v>
      </x:c>
      <x:c r="G130" s="19" t="str">
        <x:v>1.261029182117457e-07</x:v>
      </x:c>
      <x:c r="H130" s="19" t="str">
        <x:v>1.71086288733302e-07</x:v>
      </x:c>
      <x:c r="I130" s="19" t="str">
        <x:v>1.790471816642825e-07</x:v>
      </x:c>
      <x:c r="J130" s="46" t="n">
        <x:v>1.750667351987922e-7</x:v>
      </x:c>
      <x:c r="K130" s="19" t="str">
        <x:v>2.309896030561198e-07</x:v>
      </x:c>
      <x:c r="L130" s="19" t="str">
        <x:v>3.640498242307721e-07</x:v>
      </x:c>
      <x:c r="M130" s="37" t="n">
        <x:v>2022</x:v>
      </x:c>
    </x:row>
    <x:row r="131" ht="24" customHeight="1">
      <x:c r="A131" s="40" t="str">
        <x:v>FT-Q-V01-127</x:v>
      </x:c>
      <x:c r="B131" s="31" t="str">
        <x:v>fear</x:v>
      </x:c>
      <x:c r="C131" s="31" t="str">
        <x:v>fear_afraid</x:v>
      </x:c>
      <x:c r="D131" s="19" t="str">
        <x:v>BACKGROUND_AMBIGUOUS</x:v>
      </x:c>
      <x:c r="E131" s="19" t="str">
        <x:v>9.290729823874244e-05</x:v>
      </x:c>
      <x:c r="F131" s="19" t="str">
        <x:v>2.982965392561709e-05</x:v>
      </x:c>
      <x:c r="G131" s="19" t="str">
        <x:v>3.016979552554824e-05</x:v>
      </x:c>
      <x:c r="H131" s="19" t="str">
        <x:v>5.018035645446006e-05</x:v>
      </x:c>
      <x:c r="I131" s="19" t="str">
        <x:v>5.328952276396903e-05</x:v>
      </x:c>
      <x:c r="J131" s="46" t="n">
        <x:v>0.00005173493960921455</x:v>
      </x:c>
      <x:c r="K131" s="19" t="str">
        <x:v>8.53677230498312e-05</x:v>
      </x:c>
      <x:c r="L131" s="19" t="str">
        <x:v>8.766914891196811e-05</x:v>
      </x:c>
      <x:c r="M131" s="37" t="n">
        <x:v>2022</x:v>
      </x:c>
    </x:row>
    <x:row r="132" ht="24" customHeight="1">
      <x:c r="A132" s="40" t="str">
        <x:v>FT-Q-V01-128</x:v>
      </x:c>
      <x:c r="B132" s="31" t="str">
        <x:v>worry</x:v>
      </x:c>
      <x:c r="C132" s="31" t="str">
        <x:v>worry</x:v>
      </x:c>
      <x:c r="D132" s="19" t="str">
        <x:v>BACKGROUND_AMBIGUOUS</x:v>
      </x:c>
      <x:c r="E132" s="19" t="str">
        <x:v>4.805623241566082e-07</x:v>
      </x:c>
      <x:c r="F132" s="19" t="str">
        <x:v>7.171509579961821e-06</x:v>
      </x:c>
      <x:c r="G132" s="19" t="str">
        <x:v>8.552264262107201e-06</x:v>
      </x:c>
      <x:c r="H132" s="19" t="str">
        <x:v>1.784828057793675e-05</x:v>
      </x:c>
      <x:c r="I132" s="19" t="str">
        <x:v>1.894994632323233e-05</x:v>
      </x:c>
      <x:c r="J132" s="46" t="n">
        <x:v>0.00001839911345058454</x:v>
      </x:c>
      <x:c r="K132" s="19" t="str">
        <x:v>3.979197197168105e-05</x:v>
      </x:c>
      <x:c r="L132" s="19" t="str">
        <x:v>3.846438818300157e-05</x:v>
      </x:c>
      <x:c r="M132" s="37" t="n">
        <x:v>2022</x:v>
      </x:c>
    </x:row>
    <x:row r="133" ht="24" customHeight="1">
      <x:c r="A133" s="40" t="str">
        <x:v>FT-Q-V01-129</x:v>
      </x:c>
      <x:c r="B133" s="31" t="str">
        <x:v>worried</x:v>
      </x:c>
      <x:c r="C133" s="31" t="str">
        <x:v>worry</x:v>
      </x:c>
      <x:c r="D133" s="19" t="str">
        <x:v>BACKGROUND_AMBIGUOUS</x:v>
      </x:c>
      <x:c r="E133" s="19" t="str">
        <x:v>4.769124855030782e-07</x:v>
      </x:c>
      <x:c r="F133" s="19" t="str">
        <x:v>3.260957816664245e-06</x:v>
      </x:c>
      <x:c r="G133" s="19" t="str">
        <x:v>5.68047238402869e-06</x:v>
      </x:c>
      <x:c r="H133" s="19" t="str">
        <x:v>1.124815432973492e-05</x:v>
      </x:c>
      <x:c r="I133" s="19" t="str">
        <x:v>1.229906930433344e-05</x:v>
      </x:c>
      <x:c r="J133" s="46" t="n">
        <x:v>0.00001177361181703418</x:v>
      </x:c>
      <x:c r="K133" s="19" t="str">
        <x:v>2.799075704729148e-05</x:v>
      </x:c>
      <x:c r="L133" s="19" t="str">
        <x:v>2.789063478303433e-05</x:v>
      </x:c>
      <x:c r="M133" s="37" t="n">
        <x:v>2022</x:v>
      </x:c>
    </x:row>
    <x:row r="134" ht="24" customHeight="1">
      <x:c r="A134" s="40" t="str">
        <x:v>FT-Q-V01-130</x:v>
      </x:c>
      <x:c r="B134" s="31" t="str">
        <x:v>concern</x:v>
      </x:c>
      <x:c r="C134" s="31" t="str">
        <x:v>concern_alarm</x:v>
      </x:c>
      <x:c r="D134" s="19" t="str">
        <x:v>BACKGROUND_AMBIGUOUS</x:v>
      </x:c>
      <x:c r="E134" s="19" t="str">
        <x:v>1.612012939489205e-05</x:v>
      </x:c>
      <x:c r="F134" s="19" t="str">
        <x:v>2.328789579256196e-05</x:v>
      </x:c>
      <x:c r="G134" s="19" t="str">
        <x:v>5.265726562726086e-05</x:v>
      </x:c>
      <x:c r="H134" s="19" t="str">
        <x:v>4.750323816384017e-05</x:v>
      </x:c>
      <x:c r="I134" s="19" t="str">
        <x:v>4.754463289202704e-05</x:v>
      </x:c>
      <x:c r="J134" s="46" t="n">
        <x:v>0.0000475239355279336</x:v>
      </x:c>
      <x:c r="K134" s="19" t="str">
        <x:v>4.886092219905103e-05</x:v>
      </x:c>
      <x:c r="L134" s="19" t="str">
        <x:v>4.295100018327641e-05</x:v>
      </x:c>
      <x:c r="M134" s="37" t="n">
        <x:v>2022</x:v>
      </x:c>
    </x:row>
    <x:row r="135" ht="24" customHeight="1">
      <x:c r="A135" s="40" t="str">
        <x:v>FT-Q-V01-131</x:v>
      </x:c>
      <x:c r="B135" s="31" t="str">
        <x:v>anxiety</x:v>
      </x:c>
      <x:c r="C135" s="31" t="str">
        <x:v>anxiety</x:v>
      </x:c>
      <x:c r="D135" s="19" t="str">
        <x:v>BACKGROUND_AMBIGUOUS</x:v>
      </x:c>
      <x:c r="E135" s="19" t="str">
        <x:v>2.187045254231634e-05</x:v>
      </x:c>
      <x:c r="F135" s="19" t="str">
        <x:v>5.693942370044169e-06</x:v>
      </x:c>
      <x:c r="G135" s="19" t="str">
        <x:v>1.336584155353648e-05</x:v>
      </x:c>
      <x:c r="H135" s="19" t="str">
        <x:v>1.985612161092831e-05</x:v>
      </x:c>
      <x:c r="I135" s="19" t="str">
        <x:v>2.133666293957504e-05</x:v>
      </x:c>
      <x:c r="J135" s="46" t="n">
        <x:v>0.00002059639227525167</x:v>
      </x:c>
      <x:c r="K135" s="19" t="str">
        <x:v>3.08450222803458e-05</x:v>
      </x:c>
      <x:c r="L135" s="19" t="str">
        <x:v>3.612426158383641e-05</x:v>
      </x:c>
      <x:c r="M135" s="37" t="n">
        <x:v>2022</x:v>
      </x:c>
    </x:row>
    <x:row r="136" ht="24" customHeight="1">
      <x:c r="A136" s="40" t="str">
        <x:v>FT-Q-V01-132</x:v>
      </x:c>
      <x:c r="B136" s="31" t="str">
        <x:v>danger</x:v>
      </x:c>
      <x:c r="C136" s="31" t="str">
        <x:v>danger_threat</x:v>
      </x:c>
      <x:c r="D136" s="19" t="str">
        <x:v>BACKGROUND_AMBIGUOUS</x:v>
      </x:c>
      <x:c r="E136" s="19" t="str">
        <x:v>6.476216250916877e-05</x:v>
      </x:c>
      <x:c r="F136" s="19" t="str">
        <x:v>3.397146667794004e-05</x:v>
      </x:c>
      <x:c r="G136" s="19" t="str">
        <x:v>1.925716885878628e-05</x:v>
      </x:c>
      <x:c r="H136" s="19" t="str">
        <x:v>2.236469851597117e-05</x:v>
      </x:c>
      <x:c r="I136" s="19" t="str">
        <x:v>2.336907294875346e-05</x:v>
      </x:c>
      <x:c r="J136" s="46" t="n">
        <x:v>0.00002286688573236231</x:v>
      </x:c>
      <x:c r="K136" s="19" t="str">
        <x:v>3.182665381018523e-05</x:v>
      </x:c>
      <x:c r="L136" s="19" t="str">
        <x:v>3.447699095004975e-05</x:v>
      </x:c>
      <x:c r="M136" s="37" t="n">
        <x:v>2022</x:v>
      </x:c>
    </x:row>
    <x:row r="137" ht="24" customHeight="1">
      <x:c r="A137" s="40" t="str">
        <x:v>FT-Q-V01-133</x:v>
      </x:c>
      <x:c r="B137" s="31" t="str">
        <x:v>threat</x:v>
      </x:c>
      <x:c r="C137" s="31" t="str">
        <x:v>danger_threat</x:v>
      </x:c>
      <x:c r="D137" s="19" t="str">
        <x:v>BACKGROUND_AMBIGUOUS</x:v>
      </x:c>
      <x:c r="E137" s="19" t="str">
        <x:v>2.933255078829689e-06</x:v>
      </x:c>
      <x:c r="F137" s="19" t="str">
        <x:v>6.94792089461771e-06</x:v>
      </x:c>
      <x:c r="G137" s="19" t="str">
        <x:v>2.416082722334068e-05</x:v>
      </x:c>
      <x:c r="H137" s="19" t="str">
        <x:v>3.019828658068491e-05</x:v>
      </x:c>
      <x:c r="I137" s="19" t="str">
        <x:v>3.021426681470984e-05</x:v>
      </x:c>
      <x:c r="J137" s="46" t="n">
        <x:v>0.00003020627669769738</x:v>
      </x:c>
      <x:c r="K137" s="19" t="str">
        <x:v>3.481453398990197e-05</x:v>
      </x:c>
      <x:c r="L137" s="19" t="str">
        <x:v>3.306681564652081e-05</x:v>
      </x:c>
      <x:c r="M137" s="37" t="n">
        <x:v>2022</x:v>
      </x:c>
    </x:row>
    <x:row r="138" ht="24" customHeight="1">
      <x:c r="A138" s="40" t="str">
        <x:v>FT-Q-V01-134</x:v>
      </x:c>
      <x:c r="B138" s="31" t="str">
        <x:v>risk</x:v>
      </x:c>
      <x:c r="C138" s="31" t="str">
        <x:v>risk</x:v>
      </x:c>
      <x:c r="D138" s="19" t="str">
        <x:v>BACKGROUND_AMBIGUOUS</x:v>
      </x:c>
      <x:c r="E138" s="19" t="str">
        <x:v>1.945669182745746e-05</x:v>
      </x:c>
      <x:c r="F138" s="19" t="str">
        <x:v>2.148629917542166e-05</x:v>
      </x:c>
      <x:c r="G138" s="19" t="str">
        <x:v>9.523120202559188e-05</x:v>
      </x:c>
      <x:c r="H138" s="19" t="str">
        <x:v>0.0001531028393812021</x:v>
      </x:c>
      <x:c r="I138" s="19" t="str">
        <x:v>0.0001609916869453679</x:v>
      </x:c>
      <x:c r="J138" s="46" t="n">
        <x:v>0.000157047263163285</x:v>
      </x:c>
      <x:c r="K138" s="19" t="str">
        <x:v>0.0001617306934208473</x:v>
      </x:c>
      <x:c r="L138" s="19" t="str">
        <x:v>0.0001606175536089036</x:v>
      </x:c>
      <x:c r="M138" s="37" t="n">
        <x:v>2022</x:v>
      </x:c>
    </x:row>
    <x:row r="139" ht="24" customHeight="1">
      <x:c r="A139" s="40" t="str">
        <x:v>FT-Q-V01-135</x:v>
      </x:c>
      <x:c r="B139" s="31" t="str">
        <x:v>crisis</x:v>
      </x:c>
      <x:c r="C139" s="31" t="str">
        <x:v>crisis_emergency</x:v>
      </x:c>
      <x:c r="D139" s="19" t="str">
        <x:v>BACKGROUND_AMBIGUOUS</x:v>
      </x:c>
      <x:c r="E139" s="19" t="str">
        <x:v>7.94996059028108e-06</x:v>
      </x:c>
      <x:c r="F139" s="19" t="str">
        <x:v>1.376144248865785e-05</x:v>
      </x:c>
      <x:c r="G139" s="19" t="str">
        <x:v>3.130539030934618e-05</x:v>
      </x:c>
      <x:c r="H139" s="19" t="str">
        <x:v>3.28408971757288e-05</x:v>
      </x:c>
      <x:c r="I139" s="19" t="str">
        <x:v>3.38174911674663e-05</x:v>
      </x:c>
      <x:c r="J139" s="46" t="n">
        <x:v>0.00003332919417159755</x:v>
      </x:c>
      <x:c r="K139" s="19" t="str">
        <x:v>4.455437012765295e-05</x:v>
      </x:c>
      <x:c r="L139" s="19" t="str">
        <x:v>4.809110998900065e-05</x:v>
      </x:c>
      <x:c r="M139" s="37" t="n">
        <x:v>2022</x:v>
      </x:c>
    </x:row>
    <x:row r="140" ht="24" customHeight="1">
      <x:c r="A140" s="40" t="str">
        <x:v>FT-Q-V01-136</x:v>
      </x:c>
      <x:c r="B140" s="31" t="str">
        <x:v>emergency</x:v>
      </x:c>
      <x:c r="C140" s="31" t="str">
        <x:v>crisis_emergency</x:v>
      </x:c>
      <x:c r="D140" s="19" t="str">
        <x:v>BACKGROUND_AMBIGUOUS</x:v>
      </x:c>
      <x:c r="E140" s="19" t="str">
        <x:v>4.67909548618195e-06</x:v>
      </x:c>
      <x:c r="F140" s="19" t="str">
        <x:v>4.044305869846387e-05</x:v>
      </x:c>
      <x:c r="G140" s="19" t="str">
        <x:v>4.546920429717924e-05</x:v>
      </x:c>
      <x:c r="H140" s="19" t="str">
        <x:v>4.097540266245411e-05</x:v>
      </x:c>
      <x:c r="I140" s="19" t="str">
        <x:v>4.033688333133362e-05</x:v>
      </x:c>
      <x:c r="J140" s="46" t="n">
        <x:v>0.00004065614299689387</x:v>
      </x:c>
      <x:c r="K140" s="19" t="str">
        <x:v>3.082039562257721e-05</x:v>
      </x:c>
      <x:c r="L140" s="19" t="str">
        <x:v>2.919771714124386e-05</x:v>
      </x:c>
      <x:c r="M140" s="37" t="n">
        <x:v>2022</x:v>
      </x:c>
    </x:row>
    <x:row r="141" ht="24" customHeight="1">
      <x:c r="A141" s="40" t="str">
        <x:v>FT-Q-V01-137</x:v>
      </x:c>
      <x:c r="B141" s="31" t="str">
        <x:v>mortality</x:v>
      </x:c>
      <x:c r="C141" s="31" t="str">
        <x:v>harm_loss_consequences</x:v>
      </x:c>
      <x:c r="D141" s="19" t="str">
        <x:v>BACKGROUND_AMBIGUOUS</x:v>
      </x:c>
      <x:c r="E141" s="19" t="str">
        <x:v>1.566694004395686e-05</x:v>
      </x:c>
      <x:c r="F141" s="19" t="str">
        <x:v>1.688718413106471e-05</x:v>
      </x:c>
      <x:c r="G141" s="19" t="str">
        <x:v>2.448060722329629e-05</x:v>
      </x:c>
      <x:c r="H141" s="19" t="str">
        <x:v>2.124850796292321e-05</x:v>
      </x:c>
      <x:c r="I141" s="19" t="str">
        <x:v>2.165015705683782e-05</x:v>
      </x:c>
      <x:c r="J141" s="46" t="n">
        <x:v>0.00002144933250988051</x:v>
      </x:c>
      <x:c r="K141" s="19" t="str">
        <x:v>1.797212218355992e-05</x:v>
      </x:c>
      <x:c r="L141" s="19" t="str">
        <x:v>1.958383349346185e-05</x:v>
      </x:c>
      <x:c r="M141" s="37" t="n">
        <x:v>2022</x:v>
      </x:c>
    </x:row>
    <x:row r="142" ht="24" customHeight="1">
      <x:c r="A142" s="40" t="str">
        <x:v>FT-Q-V01-138</x:v>
      </x:c>
      <x:c r="B142" s="31" t="str">
        <x:v>heat of the irons</x:v>
      </x:c>
      <x:c r="C142" s="31" t="str">
        <x:v>heat</x:v>
      </x:c>
      <x:c r="D142" s="19" t="str">
        <x:v>CONTEXT_REQUIRED</x:v>
      </x:c>
      <x:c r="E142" s="19" t="str">
        <x:v>1.466886390133482e-09</x:v>
      </x:c>
      <x:c r="F142" s="19" t="str">
        <x:v>1.354462930702738e-10</x:v>
      </x:c>
      <x:c r="G142" s="19" t="str">
        <x:v>5.975666489410614e-11</x:v>
      </x:c>
      <x:c r="H142" s="19" t="str">
        <x:v>0</x:v>
      </x:c>
      <x:c r="I142" s="19" t="str">
        <x:v>0</x:v>
      </x:c>
      <x:c r="J142" s="46" t="n">
        <x:v>0</x:v>
      </x:c>
      <x:c r="K142" s="19" t="str">
        <x:v>1.075366740099781e-10</x:v>
      </x:c>
      <x:c r="L142" s="19" t="str">
        <x:v>1.016233625028562e-10</x:v>
      </x:c>
      <x:c r="M142" s="37" t="n">
        <x:v>2022</x:v>
      </x:c>
    </x:row>
    <x:row r="143" ht="24" customHeight="1">
      <x:c r="A143" s="40" t="str">
        <x:v>FT-Q-V01-139</x:v>
      </x:c>
      <x:c r="B143" s="31" t="str">
        <x:v>heat wave</x:v>
      </x:c>
      <x:c r="C143" s="31" t="str">
        <x:v>heat</x:v>
      </x:c>
      <x:c r="D143" s="19" t="str">
        <x:v>CLIMATE_SPECIFIC</x:v>
      </x:c>
      <x:c r="E143" s="19" t="str">
        <x:v>4.514918217068953e-09</x:v>
      </x:c>
      <x:c r="F143" s="19" t="str">
        <x:v>1.921166252749629e-07</x:v>
      </x:c>
      <x:c r="G143" s="19" t="str">
        <x:v>1.718059701449892e-07</x:v>
      </x:c>
      <x:c r="H143" s="19" t="str">
        <x:v>2.572474944173564e-07</x:v>
      </x:c>
      <x:c r="I143" s="19" t="str">
        <x:v>2.559551631371726e-07</x:v>
      </x:c>
      <x:c r="J143" s="46" t="n">
        <x:v>2.566013287772645e-7</x:v>
      </x:c>
      <x:c r="K143" s="19" t="str">
        <x:v>3.528359153667782e-07</x:v>
      </x:c>
      <x:c r="L143" s="19" t="str">
        <x:v>3.006541136052476e-07</x:v>
      </x:c>
      <x:c r="M143" s="37" t="n">
        <x:v>2022</x:v>
      </x:c>
    </x:row>
    <x:row r="144" ht="24" customHeight="1">
      <x:c r="A144" s="40" t="str">
        <x:v>FT-Q-V01-140</x:v>
      </x:c>
      <x:c r="B144" s="31" t="str">
        <x:v>grave threats</x:v>
      </x:c>
      <x:c r="C144" s="31" t="str">
        <x:v>danger_threat</x:v>
      </x:c>
      <x:c r="D144" s="19" t="str">
        <x:v>CONTEXT_REQUIRED</x:v>
      </x:c>
      <x:c r="E144" s="19" t="str">
        <x:v>0</x:v>
      </x:c>
      <x:c r="F144" s="19" t="str">
        <x:v>2.33881092270849e-09</x:v>
      </x:c>
      <x:c r="G144" s="19" t="str">
        <x:v>1.071011054148974e-08</x:v>
      </x:c>
      <x:c r="H144" s="19" t="str">
        <x:v>1.703080053025441e-08</x:v>
      </x:c>
      <x:c r="I144" s="19" t="str">
        <x:v>1.664090922698369e-08</x:v>
      </x:c>
      <x:c r="J144" s="46" t="n">
        <x:v>1.683585487861905e-8</x:v>
      </x:c>
      <x:c r="K144" s="19" t="str">
        <x:v>1.251621790238078e-08</x:v>
      </x:c>
      <x:c r="L144" s="19" t="str">
        <x:v>9.423090391313949e-09</x:v>
      </x:c>
      <x:c r="M144" s="37" t="n">
        <x:v>2022</x:v>
      </x:c>
    </x:row>
    <x:row r="145" ht="24" customHeight="1">
      <x:c r="A145" s="40" t="str">
        <x:v>FT-Q-V01-141</x:v>
      </x:c>
      <x:c r="B145" s="31" t="str">
        <x:v>Be Worried. Be Very Worried.</x:v>
      </x:c>
      <x:c r="C145" s="31" t="str">
        <x:v>worry</x:v>
      </x:c>
      <x:c r="D145" s="19" t="str">
        <x:v>CLIMATE_SPECIFIC</x:v>
      </x:c>
      <x:c r="E145" s="19" t="str"/>
      <x:c r="F145" s="19" t="str"/>
      <x:c r="G145" s="19" t="str"/>
      <x:c r="H145" s="19" t="str"/>
      <x:c r="I145" s="19" t="str"/>
      <x:c r="J145" s="46" t="str"/>
      <x:c r="K145" s="19" t="str"/>
      <x:c r="L145" s="19" t="str"/>
      <x:c r="M145" s="37" t="n">
        <x:v>2022</x:v>
      </x:c>
    </x:row>
    <x:row r="146" ht="24" customHeight="1">
      <x:c r="A146" s="40" t="str">
        <x:v>FT-Q-V01-142</x:v>
      </x:c>
      <x:c r="B146" s="31" t="str">
        <x:v>comprehensive risk assessment and management</x:v>
      </x:c>
      <x:c r="C146" s="31" t="str">
        <x:v>risk</x:v>
      </x:c>
      <x:c r="D146" s="19" t="str">
        <x:v>CONTEXT_REQUIRED</x:v>
      </x:c>
      <x:c r="E146" s="19" t="str">
        <x:v>0</x:v>
      </x:c>
      <x:c r="F146" s="19" t="str">
        <x:v>0</x:v>
      </x:c>
      <x:c r="G146" s="19" t="str">
        <x:v>1.303340213532067e-10</x:v>
      </x:c>
      <x:c r="H146" s="19" t="str">
        <x:v>1.746862099416546e-10</x:v>
      </x:c>
      <x:c r="I146" s="19" t="str">
        <x:v>1.707895214142496e-10</x:v>
      </x:c>
      <x:c r="J146" s="46" t="n">
        <x:v>1.727378656779521e-10</x:v>
      </x:c>
      <x:c r="K146" s="19" t="str">
        <x:v>2.879411986622671e-10</x:v>
      </x:c>
      <x:c r="L146" s="19" t="str">
        <x:v>7.611056784817549e-10</x:v>
      </x:c>
      <x:c r="M146" s="37" t="n">
        <x:v>2022</x:v>
      </x:c>
    </x:row>
    <x:row r="147" ht="24" customHeight="1">
      <x:c r="A147" s="41" t="str">
        <x:v>FT-Q-V01-143</x:v>
      </x:c>
      <x:c r="B147" s="32" t="str">
        <x:v>guilt</x:v>
      </x:c>
      <x:c r="C147" s="32" t="str">
        <x:v>distress_depression</x:v>
      </x:c>
      <x:c r="D147" s="22" t="str">
        <x:v>CONTEXT_REQUIRED</x:v>
      </x:c>
      <x:c r="E147" s="22" t="str">
        <x:v>1.865798427758136e-05</x:v>
      </x:c>
      <x:c r="F147" s="22" t="str">
        <x:v>3.496206829295412e-06</x:v>
      </x:c>
      <x:c r="G147" s="22" t="str">
        <x:v>8.151257723909566e-06</x:v>
      </x:c>
      <x:c r="H147" s="22" t="str">
        <x:v>1.063899859587991e-05</x:v>
      </x:c>
      <x:c r="I147" s="22" t="str">
        <x:v>1.129985992306265e-05</x:v>
      </x:c>
      <x:c r="J147" s="47" t="n">
        <x:v>0.00001096942925947128</x:v>
      </x:c>
      <x:c r="K147" s="22" t="str">
        <x:v>1.744112144308474e-05</x:v>
      </x:c>
      <x:c r="L147" s="22" t="str">
        <x:v>1.681260062724732e-05</x:v>
      </x:c>
      <x:c r="M147" s="38" t="n">
        <x:v>2022</x:v>
      </x:c>
    </x:row>
  </x:sheetData>
  <x:mergeCells>
    <x:mergeCell ref="A1:M1"/>
    <x:mergeCell ref="A2:M2"/>
  </x:mergeCells>
  <x:pageMargins left="0.7" right="0.7" top="0.75" bottom="0.75" header="0.3" footer="0.3"/>
  <x:tableParts count="1">
    <x:tablePart xmlns:r="http://schemas.openxmlformats.org/officeDocument/2006/relationships" r:id="R00afe00477924637"/>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40" hidden="0" customWidth="1"/>
    <x:col min="11" max="11" width="40" hidden="0" customWidth="1"/>
  </x:cols>
  <x:sheetData>
    <x:row r="1" ht="38" customHeight="1">
      <x:c r="A1" s="3" t="str">
        <x:v>Lexical Family Frequency Summary</x:v>
      </x:c>
      <x:c r="B1" s="3" t="str">
        <x:v>Lexical Family Frequency Summary</x:v>
      </x:c>
      <x:c r="C1" s="3" t="str">
        <x:v>Lexical Family Frequency Summary</x:v>
      </x:c>
      <x:c r="D1" s="3" t="str">
        <x:v>Lexical Family Frequency Summary</x:v>
      </x:c>
      <x:c r="E1" s="3" t="str">
        <x:v>Lexical Family Frequency Summary</x:v>
      </x:c>
      <x:c r="F1" s="3" t="str">
        <x:v>Lexical Family Frequency Summary</x:v>
      </x:c>
      <x:c r="G1" s="3" t="str">
        <x:v>Lexical Family Frequency Summary</x:v>
      </x:c>
      <x:c r="H1" s="3" t="str">
        <x:v>Lexical Family Frequency Summary</x:v>
      </x:c>
      <x:c r="I1" s="3" t="str">
        <x:v>Lexical Family Frequency Summary</x:v>
      </x:c>
      <x:c r="J1" s="3" t="str">
        <x:v>Lexical Family Frequency Summary</x:v>
      </x:c>
      <x:c r="K1" s="3" t="str">
        <x:v>Lexical Family Frequency Summary</x:v>
      </x:c>
    </x:row>
    <x:row r="2" ht="32" customHeight="1">
      <x:c r="A2" s="7" t="str">
        <x:v>Fourteen semantic families; member trajectories are reported individually, not summed.</x:v>
      </x:c>
      <x:c r="B2" s="7" t="str">
        <x:v>Fourteen semantic families; member trajectories are reported individually, not summed.</x:v>
      </x:c>
      <x:c r="C2" s="7" t="str">
        <x:v>Fourteen semantic families; member trajectories are reported individually, not summed.</x:v>
      </x:c>
      <x:c r="D2" s="7" t="str">
        <x:v>Fourteen semantic families; member trajectories are reported individually, not summed.</x:v>
      </x:c>
      <x:c r="E2" s="7" t="str">
        <x:v>Fourteen semantic families; member trajectories are reported individually, not summed.</x:v>
      </x:c>
      <x:c r="F2" s="7" t="str">
        <x:v>Fourteen semantic families; member trajectories are reported individually, not summed.</x:v>
      </x:c>
      <x:c r="G2" s="7" t="str">
        <x:v>Fourteen semantic families; member trajectories are reported individually, not summed.</x:v>
      </x:c>
      <x:c r="H2" s="7" t="str">
        <x:v>Fourteen semantic families; member trajectories are reported individually, not summed.</x:v>
      </x:c>
      <x:c r="I2" s="7" t="str">
        <x:v>Fourteen semantic families; member trajectories are reported individually, not summed.</x:v>
      </x:c>
      <x:c r="J2" s="7" t="str">
        <x:v>Fourteen semantic families; member trajectories are reported individually, not summed.</x:v>
      </x:c>
      <x:c r="K2" s="7" t="str">
        <x:v>Fourteen semantic families; member trajectories are reported individually, not summed.</x:v>
      </x:c>
    </x:row>
    <x:row r="4" ht="42" customHeight="1">
      <x:c r="A4" s="14" t="str">
        <x:v>family_id</x:v>
      </x:c>
      <x:c r="B4" s="14" t="str">
        <x:v>family_code</x:v>
      </x:c>
      <x:c r="C4" s="14" t="str">
        <x:v>members_queried</x:v>
      </x:c>
      <x:c r="D4" s="14" t="str">
        <x:v>query_rule_count</x:v>
      </x:c>
      <x:c r="E4" s="14" t="str">
        <x:v>members_successful</x:v>
      </x:c>
      <x:c r="F4" s="14" t="str">
        <x:v>members_sparse_or_zero</x:v>
      </x:c>
      <x:c r="G4" s="14" t="str">
        <x:v>earliest_observable_member</x:v>
      </x:c>
      <x:c r="H4" s="14" t="str">
        <x:v>representative_terms_by_peak_frequency</x:v>
      </x:c>
      <x:c r="I4" s="14" t="str">
        <x:v>member_peak_years</x:v>
      </x:c>
      <x:c r="J4" s="14" t="str">
        <x:v>anchor_period_notes</x:v>
      </x:c>
      <x:c r="K4" s="14" t="str">
        <x:v>semantic_comparability_warning</x:v>
      </x:c>
    </x:row>
    <x:row r="5" ht="38" customHeight="1">
      <x:c r="A5" s="39" t="str">
        <x:v>FT-F09</x:v>
      </x:c>
      <x:c r="B5" s="30" t="str">
        <x:v>anxiety</x:v>
      </x:c>
      <x:c r="C5" s="16" t="str">
        <x:v>anxious | symptoms of anxiety | climate anxiety | eco-anxiety | anxiety</x:v>
      </x:c>
      <x:c r="D5" s="24" t="n">
        <x:v>5</x:v>
      </x:c>
      <x:c r="E5" s="16" t="str">
        <x:v>5</x:v>
      </x:c>
      <x:c r="F5" s="16" t="str">
        <x:v>0</x:v>
      </x:c>
      <x:c r="G5" s="16" t="str">
        <x:v>anxiety (1842)</x:v>
      </x:c>
      <x:c r="H5" s="45" t="str">
        <x:v>anxious | anxiety | symptoms of anxiety</x:v>
      </x:c>
      <x:c r="I5" s="16" t="str">
        <x:v>anxious:1844 | symptoms of anxiety:2022 | climate anxiety:2022 | eco-anxiety:2022 | anxiety:2022</x:v>
      </x:c>
      <x:c r="J5" s="30" t="str">
        <x:v>Compare member trajectories and anchor values individually; no family total is computed.</x:v>
      </x:c>
      <x:c r="K5" s="42" t="str">
        <x:v>Semantic family is not a synonym set. Overlapping and differently scoped strings are never summed.</x:v>
      </x:c>
    </x:row>
    <x:row r="6" ht="38" customHeight="1">
      <x:c r="A6" s="40" t="str">
        <x:v>FT-F05</x:v>
      </x:c>
      <x:c r="B6" s="31" t="str">
        <x:v>carbon_greenhouse</x:v>
      </x:c>
      <x:c r="C6" s="19" t="str">
        <x:v>artificial production of carbon dioxide | carbon dioxide | fuel combustion | greenhouse effect | anthropogenic CO₂ | anthropogenic GHG emissions | greenhouse gas emissions</x:v>
      </x:c>
      <x:c r="D6" s="25" t="n">
        <x:v>7</x:v>
      </x:c>
      <x:c r="E6" s="19" t="str">
        <x:v>6</x:v>
      </x:c>
      <x:c r="F6" s="19" t="str">
        <x:v>0</x:v>
      </x:c>
      <x:c r="G6" s="19" t="str">
        <x:v>carbon dioxide (1842)</x:v>
      </x:c>
      <x:c r="H6" s="46" t="str">
        <x:v>carbon dioxide | greenhouse gas emissions | greenhouse effect</x:v>
      </x:c>
      <x:c r="I6" s="19" t="str">
        <x:v>artificial production of carbon dioxide:1938 | carbon dioxide:1965 | fuel combustion:1978 | greenhouse effect:1990 | anthropogenic GHG emissions:2022 | greenhouse gas emissions:2009</x:v>
      </x:c>
      <x:c r="J6" s="31" t="str">
        <x:v>Compare member trajectories and anchor values individually; no family total is computed.</x:v>
      </x:c>
      <x:c r="K6" s="43" t="str">
        <x:v>Semantic family is not a synonym set. Overlapping and differently scoped strings are never summed.</x:v>
      </x:c>
    </x:row>
    <x:row r="7" ht="38" customHeight="1">
      <x:c r="A7" s="40" t="str">
        <x:v>FT-F04</x:v>
      </x:c>
      <x:c r="B7" s="31" t="str">
        <x:v>climate</x:v>
      </x:c>
      <x:c r="C7" s="19" t="str">
        <x:v>meteorological observations | meteorological journal | weather | climate | air | atmosphere | radiation absorption coefficients | water vapour | sky radiation | meteorological stations | instrumental measurements | global climate models | global observations | changing atmosphere | unequivocal | climate change | costs and risks of climate change | impacts of climate change | threat of climate change | pre-industrial levels | adverse effects of climate change | climatic change | climate system</x:v>
      </x:c>
      <x:c r="D7" s="25" t="n">
        <x:v>25</x:v>
      </x:c>
      <x:c r="E7" s="19" t="str">
        <x:v>25</x:v>
      </x:c>
      <x:c r="F7" s="19" t="str">
        <x:v>0</x:v>
      </x:c>
      <x:c r="G7" s="19" t="str">
        <x:v>air (1842)</x:v>
      </x:c>
      <x:c r="H7" s="46" t="str">
        <x:v>air | climate | weather</x:v>
      </x:c>
      <x:c r="I7" s="19" t="str">
        <x:v>meteorological observations:1875 | meteorological journal:1842 | weather:1928 | climate:2022 | air:1944 | atmosphere:1965 | radiation absorption coefficients:1982 | water vapour:1960 | sky radiation:1964 | meteorological stations:1965 | instrumental measurements:1974 | global climate models:1994 | global observations:1984 | changing atmosphere:1989 | unequivocal:1844 | climate change:2022 | costs and risks of climate change:2009 | impacts of climate change:2022 | climate change:2022 | threat of climate change:2021 | pre-industrial levels:2022 | adverse effects of climate change:2021 | climate change:2022 | climatic change:1990 | climate system:2013</x:v>
      </x:c>
      <x:c r="J7" s="31" t="str">
        <x:v>Compare member trajectories and anchor values individually; no family total is computed.</x:v>
      </x:c>
      <x:c r="K7" s="43" t="str">
        <x:v>Semantic family is not a synonym set. Overlapping and differently scoped strings are never summed.</x:v>
      </x:c>
    </x:row>
    <x:row r="8" ht="38" customHeight="1">
      <x:c r="A8" s="40" t="str">
        <x:v>FT-F06</x:v>
      </x:c>
      <x:c r="B8" s="31" t="str">
        <x:v>concern_alarm</x:v>
      </x:c>
      <x:c r="C8" s="19" t="str">
        <x:v>rather a coincidence | hopeful | concern</x:v>
      </x:c>
      <x:c r="D8" s="25" t="n">
        <x:v>3</x:v>
      </x:c>
      <x:c r="E8" s="19" t="str">
        <x:v>3</x:v>
      </x:c>
      <x:c r="F8" s="19" t="str">
        <x:v>0</x:v>
      </x:c>
      <x:c r="G8" s="19" t="str">
        <x:v>concern (1842)</x:v>
      </x:c>
      <x:c r="H8" s="46" t="str">
        <x:v>concern | hopeful | rather a coincidence</x:v>
      </x:c>
      <x:c r="I8" s="19" t="str">
        <x:v>rather a coincidence:1934 | hopeful:1862 | concern:1980</x:v>
      </x:c>
      <x:c r="J8" s="31" t="str">
        <x:v>Compare member trajectories and anchor values individually; no family total is computed.</x:v>
      </x:c>
      <x:c r="K8" s="43" t="str">
        <x:v>Semantic family is not a synonym set. Overlapping and differently scoped strings are never summed.</x:v>
      </x:c>
    </x:row>
    <x:row r="9" ht="38" customHeight="1">
      <x:c r="A9" s="40" t="str">
        <x:v>FT-F13</x:v>
      </x:c>
      <x:c r="B9" s="31" t="str">
        <x:v>crisis_emergency</x:v>
      </x:c>
      <x:c r="C9" s="19" t="str">
        <x:v>emergency preparedness | climate crisis | climate emergency | crisis | emergency</x:v>
      </x:c>
      <x:c r="D9" s="25" t="n">
        <x:v>5</x:v>
      </x:c>
      <x:c r="E9" s="19" t="str">
        <x:v>5</x:v>
      </x:c>
      <x:c r="F9" s="19" t="str">
        <x:v>0</x:v>
      </x:c>
      <x:c r="G9" s="19" t="str">
        <x:v>crisis (1842)</x:v>
      </x:c>
      <x:c r="H9" s="46" t="str">
        <x:v>emergency | crisis | emergency preparedness</x:v>
      </x:c>
      <x:c r="I9" s="19" t="str">
        <x:v>emergency preparedness:1986 | climate crisis:2022 | climate emergency:2022 | crisis:2021 | emergency:1942</x:v>
      </x:c>
      <x:c r="J9" s="31" t="str">
        <x:v>Compare member trajectories and anchor values individually; no family total is computed.</x:v>
      </x:c>
      <x:c r="K9" s="43" t="str">
        <x:v>Semantic family is not a synonym set. Overlapping and differently scoped strings are never summed.</x:v>
      </x:c>
    </x:row>
    <x:row r="10" ht="38" customHeight="1">
      <x:c r="A10" s="40" t="str">
        <x:v>FT-F11</x:v>
      </x:c>
      <x:c r="B10" s="31" t="str">
        <x:v>danger_threat</x:v>
      </x:c>
      <x:c r="C10" s="19" t="str">
        <x:v>deadly glaciers | global security | major threat | serious global threat | danger | threat | grave threats</x:v>
      </x:c>
      <x:c r="D10" s="25" t="n">
        <x:v>7</x:v>
      </x:c>
      <x:c r="E10" s="19" t="str">
        <x:v>7</x:v>
      </x:c>
      <x:c r="F10" s="19" t="str">
        <x:v>0</x:v>
      </x:c>
      <x:c r="G10" s="19" t="str">
        <x:v>danger (1842)</x:v>
      </x:c>
      <x:c r="H10" s="46" t="str">
        <x:v>danger | threat | global security</x:v>
      </x:c>
      <x:c r="I10" s="19" t="str">
        <x:v>deadly glaciers:1845 | global security:2009 | major threat:2021 | serious global threat:2022 | danger:1848 | threat:2016 | grave threats:2008</x:v>
      </x:c>
      <x:c r="J10" s="31" t="str">
        <x:v>Compare member trajectories and anchor values individually; no family total is computed.</x:v>
      </x:c>
      <x:c r="K10" s="43" t="str">
        <x:v>Semantic family is not a synonym set. Overlapping and differently scoped strings are never summed.</x:v>
      </x:c>
    </x:row>
    <x:row r="11" ht="38" customHeight="1">
      <x:c r="A11" s="40" t="str">
        <x:v>FT-F10</x:v>
      </x:c>
      <x:c r="B11" s="31" t="str">
        <x:v>distress_depression</x:v>
      </x:c>
      <x:c r="C11" s="19" t="str">
        <x:v>hopeless | sad | angry | frustrated | disgusted | outraged | depressed | psychological distress | distress | powerlessness | guilt</x:v>
      </x:c>
      <x:c r="D11" s="25" t="n">
        <x:v>11</x:v>
      </x:c>
      <x:c r="E11" s="19" t="str">
        <x:v>11</x:v>
      </x:c>
      <x:c r="F11" s="19" t="str">
        <x:v>0</x:v>
      </x:c>
      <x:c r="G11" s="19" t="str">
        <x:v>angry (1842)</x:v>
      </x:c>
      <x:c r="H11" s="46" t="str">
        <x:v>angry | distress | sad</x:v>
      </x:c>
      <x:c r="I11" s="19" t="str">
        <x:v>hopeless:1848 | sad:1850 | angry:2020 | frustrated:2015 | disgusted:2020 | outraged:2014 | depressed:1843 | psychological distress:2022 | distress:1842 | powerlessness:2016 | guilt:1844</x:v>
      </x:c>
      <x:c r="J11" s="31" t="str">
        <x:v>Compare member trajectories and anchor values individually; no family total is computed.</x:v>
      </x:c>
      <x:c r="K11" s="43" t="str">
        <x:v>Semantic family is not a synonym set. Overlapping and differently scoped strings are never summed.</x:v>
      </x:c>
    </x:row>
    <x:row r="12" ht="38" customHeight="1">
      <x:c r="A12" s="40" t="str">
        <x:v>FT-F08</x:v>
      </x:c>
      <x:c r="B12" s="31" t="str">
        <x:v>fear_afraid</x:v>
      </x:c>
      <x:c r="C12" s="19" t="str">
        <x:v>afraid | fear</x:v>
      </x:c>
      <x:c r="D12" s="25" t="n">
        <x:v>2</x:v>
      </x:c>
      <x:c r="E12" s="19" t="str">
        <x:v>2</x:v>
      </x:c>
      <x:c r="F12" s="19" t="str">
        <x:v>0</x:v>
      </x:c>
      <x:c r="G12" s="19" t="str">
        <x:v>afraid (1842)</x:v>
      </x:c>
      <x:c r="H12" s="46" t="str">
        <x:v>fear | afraid</x:v>
      </x:c>
      <x:c r="I12" s="19" t="str">
        <x:v>afraid:2020 | fear:1850</x:v>
      </x:c>
      <x:c r="J12" s="31" t="str">
        <x:v>Compare member trajectories and anchor values individually; no family total is computed.</x:v>
      </x:c>
      <x:c r="K12" s="43" t="str">
        <x:v>Semantic family is not a synonym set. Overlapping and differently scoped strings are never summed.</x:v>
      </x:c>
    </x:row>
    <x:row r="13" ht="38" customHeight="1">
      <x:c r="A13" s="40" t="str">
        <x:v>FT-F14</x:v>
      </x:c>
      <x:c r="B13" s="31" t="str">
        <x:v>harm_loss_consequences</x:v>
      </x:c>
      <x:c r="C13" s="19" t="str">
        <x:v>cause-and-effect relationship | drought | extreme events | changed climatic extremes | harmful consequences | rising global average sea level | widespread melting of snow and ice | urgent global response | damage | hunger | water shortages | coastal flooding | worst impacts | adverse impacts | climate resilience | vulnerability | vulnerable groups | loss and damage | extreme weather events | slow onset events | early warning systems | irreversible and permanent loss and damage | mortality</x:v>
      </x:c>
      <x:c r="D13" s="25" t="n">
        <x:v>23</x:v>
      </x:c>
      <x:c r="E13" s="19" t="str">
        <x:v>22</x:v>
      </x:c>
      <x:c r="F13" s="19" t="str">
        <x:v>1</x:v>
      </x:c>
      <x:c r="G13" s="19" t="str">
        <x:v>damage (1842)</x:v>
      </x:c>
      <x:c r="H13" s="46" t="str">
        <x:v>damage | mortality | drought</x:v>
      </x:c>
      <x:c r="I13" s="19" t="str">
        <x:v>cause-and-effect relationship:2011 | drought:1934 | extreme events:2022 | harmful consequences:2022 | rising global average sea level:2008 | widespread melting of snow and ice:2008 | urgent global response:2007 | damage:1986 | hunger:2015 | water shortages:2009 | coastal flooding:2022 | worst impacts:2022 | adverse impacts:2008 | climate resilience:2022 | vulnerability:2021 | vulnerable groups:2022 | loss and damage:1947 | extreme weather events:2022 | slow onset events:2021 | early warning systems:2022 | irreversible and permanent loss and damage:2021 | mortality:1987</x:v>
      </x:c>
      <x:c r="J13" s="31" t="str">
        <x:v>Compare member trajectories and anchor values individually; no family total is computed.</x:v>
      </x:c>
      <x:c r="K13" s="43" t="str">
        <x:v>Semantic family is not a synonym set. Overlapping and differently scoped strings are never summed.</x:v>
      </x:c>
    </x:row>
    <x:row r="14" ht="38" customHeight="1">
      <x:c r="A14" s="40" t="str">
        <x:v>FT-F02</x:v>
      </x:c>
      <x:c r="B14" s="31" t="str">
        <x:v>heat</x:v>
      </x:c>
      <x:c r="C14" s="19" t="str">
        <x:v>sun's heat | radiation of the heat | excessive heat | heat of the men | Hottest Day for Ten Years | Heat Wave Over Queensland | regional heat waves | heat wave | heat wave/drought occurrences | heat | extreme heat | heat of the irons</x:v>
      </x:c>
      <x:c r="D14" s="25" t="n">
        <x:v>13</x:v>
      </x:c>
      <x:c r="E14" s="19" t="str">
        <x:v>9</x:v>
      </x:c>
      <x:c r="F14" s="19" t="str">
        <x:v>0</x:v>
      </x:c>
      <x:c r="G14" s="19" t="str">
        <x:v>excessive heat (1842)</x:v>
      </x:c>
      <x:c r="H14" s="46" t="str">
        <x:v>heat | excessive heat | extreme heat</x:v>
      </x:c>
      <x:c r="I14" s="19" t="str">
        <x:v>radiation of the heat:1850 | excessive heat:1842 | heat of the men:1864 | regional heat waves:1990 | heat wave:2020 | heat:1962 | extreme heat:1846 | heat of the irons:1843 | heat wave:2020</x:v>
      </x:c>
      <x:c r="J14" s="31" t="str">
        <x:v>Compare member trajectories and anchor values individually; no family total is computed.</x:v>
      </x:c>
      <x:c r="K14" s="43" t="str">
        <x:v>Semantic family is not a synonym set. Overlapping and differently scoped strings are never summed.</x:v>
      </x:c>
    </x:row>
    <x:row r="15" ht="38" customHeight="1">
      <x:c r="A15" s="40" t="str">
        <x:v>FT-F12</x:v>
      </x:c>
      <x:c r="B15" s="31" t="str">
        <x:v>risk</x:v>
      </x:c>
      <x:c r="C15" s="19" t="str">
        <x:v>risks and impacts | risk of loss and damage | risk | comprehensive risk assessment and management</x:v>
      </x:c>
      <x:c r="D15" s="25" t="n">
        <x:v>4</x:v>
      </x:c>
      <x:c r="E15" s="19" t="str">
        <x:v>4</x:v>
      </x:c>
      <x:c r="F15" s="19" t="str">
        <x:v>0</x:v>
      </x:c>
      <x:c r="G15" s="19" t="str">
        <x:v>risk (1842)</x:v>
      </x:c>
      <x:c r="H15" s="46" t="str">
        <x:v>risk | risks and impacts | risk of loss and damage</x:v>
      </x:c>
      <x:c r="I15" s="19" t="str">
        <x:v>risks and impacts:2022 | risk of loss and damage:1956 | risk:2018 | comprehensive risk assessment and management:2018</x:v>
      </x:c>
      <x:c r="J15" s="31" t="str">
        <x:v>Compare member trajectories and anchor values individually; no family total is computed.</x:v>
      </x:c>
      <x:c r="K15" s="43" t="str">
        <x:v>Semantic family is not a synonym set. Overlapping and differently scoped strings are never summed.</x:v>
      </x:c>
    </x:row>
    <x:row r="16" ht="38" customHeight="1">
      <x:c r="A16" s="40" t="str">
        <x:v>FT-F01</x:v>
      </x:c>
      <x:c r="B16" s="31" t="str">
        <x:v>temperature_threshold</x:v>
      </x:c>
      <x:c r="C16" s="19" t="str">
        <x:v>temperature | mean temperature | temperature of the air in shade | maximum temperature | minimum temperature | mean temperature of sea at surface | dew point | standard thermometer | attached thermometer | dry bulb thermometer | wet bulb thermometer | changes of temperature | increase in mean temperature | temperature observations | world temperatures | average rate | small increases in mean temperature | global temperature | warm air | global average air and ocean temperatures | global surface temperature | global average temperature | well below 2°C above pre-industrial levels | 1.5°C above pre-industrial levels</x:v>
      </x:c>
      <x:c r="D16" s="25" t="n">
        <x:v>25</x:v>
      </x:c>
      <x:c r="E16" s="19" t="str">
        <x:v>21</x:v>
      </x:c>
      <x:c r="F16" s="19" t="str">
        <x:v>0</x:v>
      </x:c>
      <x:c r="G16" s="19" t="str">
        <x:v>attached thermometer (1842)</x:v>
      </x:c>
      <x:c r="H16" s="46" t="str">
        <x:v>temperature | average rate | mean temperature</x:v>
      </x:c>
      <x:c r="I16" s="19" t="str">
        <x:v>temperature:1962 | mean temperature:1858 | temperature of the air in shade:1858 | maximum temperature:1958 | minimum temperature:1985 | dew point:1844 | standard thermometer:1875 | attached thermometer:1844 | dry bulb thermometer:1869 | wet bulb thermometer:1869 | changes of temperature:1884 | increase in mean temperature:1868 | mean temperature:1858 | temperature observations:1908 | world temperatures:2007 | average rate:1885 | global temperature:2022 | warm air:1916 | global average air and ocean temperatures:2010 | global surface temperature:2022 | global average temperature:2022</x:v>
      </x:c>
      <x:c r="J16" s="31" t="str">
        <x:v>Compare member trajectories and anchor values individually; no family total is computed.</x:v>
      </x:c>
      <x:c r="K16" s="43" t="str">
        <x:v>Semantic family is not a synonym set. Overlapping and differently scoped strings are never summed.</x:v>
      </x:c>
    </x:row>
    <x:row r="17" ht="38" customHeight="1">
      <x:c r="A17" s="40" t="str">
        <x:v>FT-F03</x:v>
      </x:c>
      <x:c r="B17" s="31" t="str">
        <x:v>warming</x:v>
      </x:c>
      <x:c r="C17" s="19" t="str">
        <x:v>actually increased | global warming | earth is warmer | climate warming | warming of the climate system | temperature increase</x:v>
      </x:c>
      <x:c r="D17" s="25" t="n">
        <x:v>8</x:v>
      </x:c>
      <x:c r="E17" s="19" t="str">
        <x:v>8</x:v>
      </x:c>
      <x:c r="F17" s="19" t="str">
        <x:v>0</x:v>
      </x:c>
      <x:c r="G17" s="19" t="str">
        <x:v>actually increased (1842)</x:v>
      </x:c>
      <x:c r="H17" s="46" t="str">
        <x:v>global warming | global warming | global warming</x:v>
      </x:c>
      <x:c r="I17" s="19" t="str">
        <x:v>actually increased:1933 | global warming:2009 | earth is warmer:1857 | climate warming:2022 | warming of the climate system:2008 | temperature increase:2012 | global warming:2009 | global warming:2009</x:v>
      </x:c>
      <x:c r="J17" s="31" t="str">
        <x:v>Compare member trajectories and anchor values individually; no family total is computed.</x:v>
      </x:c>
      <x:c r="K17" s="43" t="str">
        <x:v>Semantic family is not a synonym set. Overlapping and differently scoped strings are never summed.</x:v>
      </x:c>
    </x:row>
    <x:row r="18" ht="38" customHeight="1">
      <x:c r="A18" s="41" t="str">
        <x:v>FT-F07</x:v>
      </x:c>
      <x:c r="B18" s="32" t="str">
        <x:v>worry</x:v>
      </x:c>
      <x:c r="C18" s="22" t="str">
        <x:v>very worried | somewhat worried | worry | worried | Be Worried. Be Very Worried.</x:v>
      </x:c>
      <x:c r="D18" s="26" t="n">
        <x:v>5</x:v>
      </x:c>
      <x:c r="E18" s="22" t="str">
        <x:v>4</x:v>
      </x:c>
      <x:c r="F18" s="22" t="str">
        <x:v>0</x:v>
      </x:c>
      <x:c r="G18" s="22" t="str">
        <x:v>somewhat worried (1842)</x:v>
      </x:c>
      <x:c r="H18" s="47" t="str">
        <x:v>worry | worried | very worried</x:v>
      </x:c>
      <x:c r="I18" s="22" t="str">
        <x:v>very worried:2020 | somewhat worried:2020 | worry:2020 | worried:2020</x:v>
      </x:c>
      <x:c r="J18" s="32" t="str">
        <x:v>Compare member trajectories and anchor values individually; no family total is computed.</x:v>
      </x:c>
      <x:c r="K18" s="44" t="str">
        <x:v>Semantic family is not a synonym set. Overlapping and differently scoped strings are never summed.</x:v>
      </x:c>
    </x:row>
  </x:sheetData>
  <x:mergeCells>
    <x:mergeCell ref="A1:K1"/>
    <x:mergeCell ref="A2:K2"/>
  </x:mergeCells>
  <x:pageMargins left="0.7" right="0.7" top="0.75" bottom="0.75" header="0.3" footer="0.3"/>
  <x:tableParts count="1">
    <x:tablePart xmlns:r="http://schemas.openxmlformats.org/officeDocument/2006/relationships" r:id="Rd500d91900da4e62"/>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23" hidden="0" customWidth="1"/>
    <x:col min="5" max="5" width="24" hidden="0" customWidth="1"/>
    <x:col min="6" max="6" width="40" hidden="0" customWidth="1"/>
  </x:cols>
  <x:sheetData>
    <x:row r="1" ht="38" customHeight="1">
      <x:c r="A1" s="3" t="str">
        <x:v>Six Anchors × Five Voices</x:v>
      </x:c>
      <x:c r="B1" s="3" t="str">
        <x:v>Six Anchors × Five Voices</x:v>
      </x:c>
      <x:c r="C1" s="3" t="str">
        <x:v>Six Anchors × Five Voices</x:v>
      </x:c>
      <x:c r="D1" s="3" t="str">
        <x:v>Six Anchors × Five Voices</x:v>
      </x:c>
      <x:c r="E1" s="3" t="str">
        <x:v>Six Anchors × Five Voices</x:v>
      </x:c>
      <x:c r="F1" s="3" t="str">
        <x:v>Six Anchors × Five Voices</x:v>
      </x:c>
      <x:c r="G1" s="3" t="str">
        <x:v>Six Anchors × Five Voices</x:v>
      </x:c>
      <x:c r="H1" s="3" t="str">
        <x:v>Six Anchors × Five Voices</x:v>
      </x:c>
    </x:row>
    <x:row r="2" ht="32" customHeight="1">
      <x:c r="A2" s="7" t="str">
        <x:v>Evidence-backed cells only; historically unsupported cells remain visible.</x:v>
      </x:c>
      <x:c r="B2" s="7" t="str">
        <x:v>Evidence-backed cells only; historically unsupported cells remain visible.</x:v>
      </x:c>
      <x:c r="C2" s="7" t="str">
        <x:v>Evidence-backed cells only; historically unsupported cells remain visible.</x:v>
      </x:c>
      <x:c r="D2" s="7" t="str">
        <x:v>Evidence-backed cells only; historically unsupported cells remain visible.</x:v>
      </x:c>
      <x:c r="E2" s="7" t="str">
        <x:v>Evidence-backed cells only; historically unsupported cells remain visible.</x:v>
      </x:c>
      <x:c r="F2" s="7" t="str">
        <x:v>Evidence-backed cells only; historically unsupported cells remain visible.</x:v>
      </x:c>
      <x:c r="G2" s="7" t="str">
        <x:v>Evidence-backed cells only; historically unsupported cells remain visible.</x:v>
      </x:c>
      <x:c r="H2" s="7" t="str">
        <x:v>Evidence-backed cells only; historically unsupported cells remain visible.</x:v>
      </x:c>
    </x:row>
    <x:row r="4" ht="42" customHeight="1">
      <x:c r="A4" s="14" t="str">
        <x:v>anchor_id</x:v>
      </x:c>
      <x:c r="B4" s="14" t="str">
        <x:v>anchor_label</x:v>
      </x:c>
      <x:c r="C4" s="14" t="str">
        <x:v>voice_code</x:v>
      </x:c>
      <x:c r="D4" s="14" t="str">
        <x:v>coverage_status</x:v>
      </x:c>
      <x:c r="E4" s="14" t="str">
        <x:v>representative_high_value_lexical_forms</x:v>
      </x:c>
      <x:c r="F4" s="14" t="str">
        <x:v>source_evidence_note</x:v>
      </x:c>
    </x:row>
    <x:row r="5" ht="42" customHeight="1">
      <x:c r="A5" s="15" t="str">
        <x:v>FT-A1842</x:v>
      </x:c>
      <x:c r="B5" s="16" t="str">
        <x:v>1842</x:v>
      </x:c>
      <x:c r="C5" s="16" t="str">
        <x:v>V1</x:v>
      </x:c>
      <x:c r="D5" s="30" t="str">
        <x:v>STRONG</x:v>
      </x:c>
      <x:c r="E5" s="30" t="str">
        <x:v>wet bulb temperature; mean temperature; meteorological observations</x:v>
      </x:c>
      <x:c r="F5" s="42" t="str">
        <x:v>Royal Society Colaba and Ross observation records; measurement-centred.</x:v>
      </x:c>
    </x:row>
    <x:row r="6" ht="42" customHeight="1">
      <x:c r="A6" s="18" t="str">
        <x:v>FT-A1842</x:v>
      </x:c>
      <x:c r="B6" s="19" t="str">
        <x:v>1842</x:v>
      </x:c>
      <x:c r="C6" s="19" t="str">
        <x:v>V2</x:v>
      </x:c>
      <x:c r="D6" s="31" t="str">
        <x:v>THIN_CONTEXTUAL</x:v>
      </x:c>
      <x:c r="E6" s="31" t="str">
        <x:v>changes of temperature; sickness and mortality</x:v>
      </x:c>
      <x:c r="F6" s="43" t="str">
        <x:v>Institutional inquiry context is present, but substantive worker testimony remains V5.</x:v>
      </x:c>
    </x:row>
    <x:row r="7" ht="42" customHeight="1">
      <x:c r="A7" s="18" t="str">
        <x:v>FT-A1842</x:v>
      </x:c>
      <x:c r="B7" s="19" t="str">
        <x:v>1842</x:v>
      </x:c>
      <x:c r="C7" s="19" t="str">
        <x:v>V3</x:v>
      </x:c>
      <x:c r="D7" s="31" t="str">
        <x:v>THIN_CONTEXTUAL</x:v>
      </x:c>
      <x:c r="E7" s="31" t="str">
        <x:v>alarm to the public</x:v>
      </x:c>
      <x:c r="F7" s="43" t="str">
        <x:v>Possible/negated public-health formulation; not proof that a public reported alarm.</x:v>
      </x:c>
    </x:row>
    <x:row r="8" ht="42" customHeight="1">
      <x:c r="A8" s="18" t="str">
        <x:v>FT-A1842</x:v>
      </x:c>
      <x:c r="B8" s="19" t="str">
        <x:v>1842</x:v>
      </x:c>
      <x:c r="C8" s="19" t="str">
        <x:v>V4</x:v>
      </x:c>
      <x:c r="D8" s="31" t="str">
        <x:v>NOT_LOCATED</x:v>
      </x:c>
      <x:c r="E8" s="31" t="str"/>
      <x:c r="F8" s="43" t="str">
        <x:v>No defensible organised-civic stratum located; cell intentionally unfilled.</x:v>
      </x:c>
    </x:row>
    <x:row r="9" ht="42" customHeight="1">
      <x:c r="A9" s="18" t="str">
        <x:v>FT-A1842</x:v>
      </x:c>
      <x:c r="B9" s="19" t="str">
        <x:v>1842</x:v>
      </x:c>
      <x:c r="C9" s="19" t="str">
        <x:v>V5</x:v>
      </x:c>
      <x:c r="D9" s="31" t="str">
        <x:v>ATTESTED</x:v>
      </x:c>
      <x:c r="E9" s="31" t="str">
        <x:v>heat of the irons; most suffocating; faint away; depressing effect</x:v>
      </x:c>
      <x:c r="F9" s="43" t="str">
        <x:v>Worker testimony and correspondence show embodied heat experience, not climate fear.</x:v>
      </x:c>
    </x:row>
    <x:row r="10" ht="42" customHeight="1">
      <x:c r="A10" s="18" t="str">
        <x:v>FT-A1938</x:v>
      </x:c>
      <x:c r="B10" s="19" t="str">
        <x:v>1938</x:v>
      </x:c>
      <x:c r="C10" s="19" t="str">
        <x:v>V1</x:v>
      </x:c>
      <x:c r="D10" s="31" t="str">
        <x:v>STRONG</x:v>
      </x:c>
      <x:c r="E10" s="31" t="str">
        <x:v>artificial production of carbon dioxide; mean temperature; radiation absorption</x:v>
      </x:c>
      <x:c r="F10" s="43" t="str">
        <x:v>Callendar causal-science configuration.</x:v>
      </x:c>
    </x:row>
    <x:row r="11" ht="42" customHeight="1">
      <x:c r="A11" s="18" t="str">
        <x:v>FT-A1938</x:v>
      </x:c>
      <x:c r="B11" s="19" t="str">
        <x:v>1938</x:v>
      </x:c>
      <x:c r="C11" s="19" t="str">
        <x:v>V2</x:v>
      </x:c>
      <x:c r="D11" s="31" t="str">
        <x:v>THIN_CONTEXTUAL</x:v>
      </x:c>
      <x:c r="E11" s="31" t="str">
        <x:v>meteorological stations</x:v>
      </x:c>
      <x:c r="F11" s="43" t="str">
        <x:v>Official/institutional material is secondary to the scientific anchor.</x:v>
      </x:c>
    </x:row>
    <x:row r="12" ht="42" customHeight="1">
      <x:c r="A12" s="18" t="str">
        <x:v>FT-A1938</x:v>
      </x:c>
      <x:c r="B12" s="19" t="str">
        <x:v>1938</x:v>
      </x:c>
      <x:c r="C12" s="19" t="str">
        <x:v>V3</x:v>
      </x:c>
      <x:c r="D12" s="31" t="str">
        <x:v>ATTESTED</x:v>
      </x:c>
      <x:c r="E12" s="31" t="str">
        <x:v>heat wave; scorching westerly wind; pitiless sun; unbearable heat</x:v>
      </x:c>
      <x:c r="F12" s="43" t="str">
        <x:v>Heat-event journalism, partly from secondary reproduction; not reception of Callendar.</x:v>
      </x:c>
    </x:row>
    <x:row r="13" ht="42" customHeight="1">
      <x:c r="A13" s="18" t="str">
        <x:v>FT-A1938</x:v>
      </x:c>
      <x:c r="B13" s="19" t="str">
        <x:v>1938</x:v>
      </x:c>
      <x:c r="C13" s="19" t="str">
        <x:v>V4</x:v>
      </x:c>
      <x:c r="D13" s="31" t="str">
        <x:v>NOT_LOCATED</x:v>
      </x:c>
      <x:c r="E13" s="31" t="str"/>
      <x:c r="F13" s="43" t="str">
        <x:v>No defensible organised-civic stratum located; cell intentionally unfilled.</x:v>
      </x:c>
    </x:row>
    <x:row r="14" ht="42" customHeight="1">
      <x:c r="A14" s="18" t="str">
        <x:v>FT-A1938</x:v>
      </x:c>
      <x:c r="B14" s="19" t="str">
        <x:v>1938</x:v>
      </x:c>
      <x:c r="C14" s="19" t="str">
        <x:v>V5</x:v>
      </x:c>
      <x:c r="D14" s="31" t="str">
        <x:v>NOT_LOCATED</x:v>
      </x:c>
      <x:c r="E14" s="31" t="str"/>
      <x:c r="F14" s="43" t="str">
        <x:v>No strong exact-year lay reception of Callendar located.</x:v>
      </x:c>
    </x:row>
    <x:row r="15" ht="42" customHeight="1">
      <x:c r="A15" s="18" t="str">
        <x:v>FT-A1988</x:v>
      </x:c>
      <x:c r="B15" s="19" t="str">
        <x:v>1988</x:v>
      </x:c>
      <x:c r="C15" s="19" t="str">
        <x:v>V1</x:v>
      </x:c>
      <x:c r="D15" s="31" t="str">
        <x:v>STRONG</x:v>
      </x:c>
      <x:c r="E15" s="31" t="str">
        <x:v>greenhouse effect; global warming; global temperature; regional heat waves</x:v>
      </x:c>
      <x:c r="F15" s="43" t="str">
        <x:v>Hansen scientific work/testimony.</x:v>
      </x:c>
    </x:row>
    <x:row r="16" ht="42" customHeight="1">
      <x:c r="A16" s="18" t="str">
        <x:v>FT-A1988</x:v>
      </x:c>
      <x:c r="B16" s="19" t="str">
        <x:v>1988</x:v>
      </x:c>
      <x:c r="C16" s="19" t="str">
        <x:v>V2</x:v>
      </x:c>
      <x:c r="D16" s="31" t="str">
        <x:v>STRONG</x:v>
      </x:c>
      <x:c r="E16" s="31" t="str">
        <x:v>global security; major threat; impending crisis; harmful consequences</x:v>
      </x:c>
      <x:c r="F16" s="43" t="str">
        <x:v>Toronto institutional threat/security framing.</x:v>
      </x:c>
    </x:row>
    <x:row r="17" ht="42" customHeight="1">
      <x:c r="A17" s="18" t="str">
        <x:v>FT-A1988</x:v>
      </x:c>
      <x:c r="B17" s="19" t="str">
        <x:v>1988</x:v>
      </x:c>
      <x:c r="C17" s="19" t="str">
        <x:v>V3</x:v>
      </x:c>
      <x:c r="D17" s="31" t="str">
        <x:v>ATTESTED</x:v>
      </x:c>
      <x:c r="E17" s="31" t="str">
        <x:v>Global Warming Has Begun; too much carbon dioxide is dangerous</x:v>
      </x:c>
      <x:c r="F17" s="43" t="str">
        <x:v>Public-facing journalism; does not substitute for V5 evidence.</x:v>
      </x:c>
    </x:row>
    <x:row r="18" ht="42" customHeight="1">
      <x:c r="A18" s="18" t="str">
        <x:v>FT-A1988</x:v>
      </x:c>
      <x:c r="B18" s="19" t="str">
        <x:v>1988</x:v>
      </x:c>
      <x:c r="C18" s="19" t="str">
        <x:v>V4</x:v>
      </x:c>
      <x:c r="D18" s="31" t="str">
        <x:v>THIN_NOT_ALLOCATED</x:v>
      </x:c>
      <x:c r="E18" s="31" t="str"/>
      <x:c r="F18" s="43" t="str">
        <x:v>No strong exact-year V4 passage allocation in the current pilot plan.</x:v>
      </x:c>
    </x:row>
    <x:row r="19" ht="42" customHeight="1">
      <x:c r="A19" s="18" t="str">
        <x:v>FT-A1988</x:v>
      </x:c>
      <x:c r="B19" s="19" t="str">
        <x:v>1988</x:v>
      </x:c>
      <x:c r="C19" s="19" t="str">
        <x:v>V5</x:v>
      </x:c>
      <x:c r="D19" s="31" t="str">
        <x:v>NOT_LOCATED</x:v>
      </x:c>
      <x:c r="E19" s="31" t="str"/>
      <x:c r="F19" s="43" t="str">
        <x:v>Exact-year direct-public fear/worry/anxiety evidence remains weak/not located.</x:v>
      </x:c>
    </x:row>
    <x:row r="20" ht="42" customHeight="1">
      <x:c r="A20" s="18" t="str">
        <x:v>FT-A0607</x:v>
      </x:c>
      <x:c r="B20" s="19" t="str">
        <x:v>2006–2007</x:v>
      </x:c>
      <x:c r="C20" s="19" t="str">
        <x:v>V1</x:v>
      </x:c>
      <x:c r="D20" s="31" t="str">
        <x:v>STRONG</x:v>
      </x:c>
      <x:c r="E20" s="31" t="str">
        <x:v>warming of the climate system; unequivocal; temperature increase</x:v>
      </x:c>
      <x:c r="F20" s="43" t="str">
        <x:v>IPCC scientific assessment language.</x:v>
      </x:c>
    </x:row>
    <x:row r="21" ht="42" customHeight="1">
      <x:c r="A21" s="18" t="str">
        <x:v>FT-A0607</x:v>
      </x:c>
      <x:c r="B21" s="19" t="str">
        <x:v>2006–2007</x:v>
      </x:c>
      <x:c r="C21" s="19" t="str">
        <x:v>V2</x:v>
      </x:c>
      <x:c r="D21" s="31" t="str">
        <x:v>STRONG</x:v>
      </x:c>
      <x:c r="E21" s="31" t="str">
        <x:v>serious global threat; costs and risks; damage</x:v>
      </x:c>
      <x:c r="F21" s="43" t="str">
        <x:v>Stern and institutional risk/governance framing.</x:v>
      </x:c>
    </x:row>
    <x:row r="22" ht="42" customHeight="1">
      <x:c r="A22" s="18" t="str">
        <x:v>FT-A0607</x:v>
      </x:c>
      <x:c r="B22" s="19" t="str">
        <x:v>2006–2007</x:v>
      </x:c>
      <x:c r="C22" s="19" t="str">
        <x:v>V3</x:v>
      </x:c>
      <x:c r="D22" s="31" t="str">
        <x:v>ATTESTED</x:v>
      </x:c>
      <x:c r="E22" s="31" t="str">
        <x:v>Be Worried. Be Very Worried.; global warming</x:v>
      </x:c>
      <x:c r="F22" s="43" t="str">
        <x:v>Media-prescribed affect; not evidence readers felt worried.</x:v>
      </x:c>
    </x:row>
    <x:row r="23" ht="42" customHeight="1">
      <x:c r="A23" s="18" t="str">
        <x:v>FT-A0607</x:v>
      </x:c>
      <x:c r="B23" s="19" t="str">
        <x:v>2006–2007</x:v>
      </x:c>
      <x:c r="C23" s="19" t="str">
        <x:v>V4</x:v>
      </x:c>
      <x:c r="D23" s="31" t="str">
        <x:v>ATTESTED</x:v>
      </x:c>
      <x:c r="E23" s="31" t="str">
        <x:v>dangerous climate change; serious negative effects</x:v>
      </x:c>
      <x:c r="F23" s="43" t="str">
        <x:v>Organised civic/advocacy framing.</x:v>
      </x:c>
    </x:row>
    <x:row r="24" ht="42" customHeight="1">
      <x:c r="A24" s="18" t="str">
        <x:v>FT-A0607</x:v>
      </x:c>
      <x:c r="B24" s="19" t="str">
        <x:v>2006–2007</x:v>
      </x:c>
      <x:c r="C24" s="19" t="str">
        <x:v>V5</x:v>
      </x:c>
      <x:c r="D24" s="31" t="str">
        <x:v>ATTESTED_ELICITED</x:v>
      </x:c>
      <x:c r="E24" s="31" t="str">
        <x:v>personally worry; worry a great deal; urgent threat</x:v>
      </x:c>
      <x:c r="F24" s="43" t="str">
        <x:v>Survey/instrument evidence; participant endorsement is E3.</x:v>
      </x:c>
    </x:row>
    <x:row r="25" ht="42" customHeight="1">
      <x:c r="A25" s="18" t="str">
        <x:v>FT-A2015</x:v>
      </x:c>
      <x:c r="B25" s="19" t="str">
        <x:v>2015</x:v>
      </x:c>
      <x:c r="C25" s="19" t="str">
        <x:v>V1</x:v>
      </x:c>
      <x:c r="D25" s="31" t="str">
        <x:v>THIN_CONTEXTUAL</x:v>
      </x:c>
      <x:c r="E25" s="31" t="str">
        <x:v>global average temperature; climate change</x:v>
      </x:c>
      <x:c r="F25" s="43" t="str">
        <x:v>Scientific context supports governance thresholds but is not the dominant documentary voice.</x:v>
      </x:c>
    </x:row>
    <x:row r="26" ht="42" customHeight="1">
      <x:c r="A26" s="18" t="str">
        <x:v>FT-A2015</x:v>
      </x:c>
      <x:c r="B26" s="19" t="str">
        <x:v>2015</x:v>
      </x:c>
      <x:c r="C26" s="19" t="str">
        <x:v>V2</x:v>
      </x:c>
      <x:c r="D26" s="31" t="str">
        <x:v>STRONG</x:v>
      </x:c>
      <x:c r="E26" s="31" t="str">
        <x:v>well below 2°C; 1.5°C; common concern of humankind; loss and damage</x:v>
      </x:c>
      <x:c r="F26" s="43" t="str">
        <x:v>Paris legal/governance language; common concern is not personal affect.</x:v>
      </x:c>
    </x:row>
    <x:row r="27" ht="42" customHeight="1">
      <x:c r="A27" s="18" t="str">
        <x:v>FT-A2015</x:v>
      </x:c>
      <x:c r="B27" s="19" t="str">
        <x:v>2015</x:v>
      </x:c>
      <x:c r="C27" s="19" t="str">
        <x:v>V3</x:v>
      </x:c>
      <x:c r="D27" s="31" t="str">
        <x:v>ATTESTED</x:v>
      </x:c>
      <x:c r="E27" s="31" t="str">
        <x:v>extreme heat; climate change</x:v>
      </x:c>
      <x:c r="F27" s="43" t="str">
        <x:v>Public-facing circulation exists but is not the anchor's strongest evidence stratum.</x:v>
      </x:c>
    </x:row>
    <x:row r="28" ht="42" customHeight="1">
      <x:c r="A28" s="18" t="str">
        <x:v>FT-A2015</x:v>
      </x:c>
      <x:c r="B28" s="19" t="str">
        <x:v>2015</x:v>
      </x:c>
      <x:c r="C28" s="19" t="str">
        <x:v>V4</x:v>
      </x:c>
      <x:c r="D28" s="31" t="str">
        <x:v>ATTESTED</x:v>
      </x:c>
      <x:c r="E28" s="31" t="str">
        <x:v>climate justice; red line; We are nature defending itself</x:v>
      </x:c>
      <x:c r="F28" s="43" t="str">
        <x:v>COP21 mobilisation and protest.</x:v>
      </x:c>
    </x:row>
    <x:row r="29" ht="42" customHeight="1">
      <x:c r="A29" s="18" t="str">
        <x:v>FT-A2015</x:v>
      </x:c>
      <x:c r="B29" s="19" t="str">
        <x:v>2015</x:v>
      </x:c>
      <x:c r="C29" s="19" t="str">
        <x:v>V5</x:v>
      </x:c>
      <x:c r="D29" s="31" t="str">
        <x:v>ATTESTED_ELICITED</x:v>
      </x:c>
      <x:c r="E29" s="31" t="str">
        <x:v>very worried; serious problem; harm them personally</x:v>
      </x:c>
      <x:c r="F29" s="43" t="str">
        <x:v>Survey-elicited public appraisal.</x:v>
      </x:c>
    </x:row>
    <x:row r="30" ht="42" customHeight="1">
      <x:c r="A30" s="18" t="str">
        <x:v>FT-A2022</x:v>
      </x:c>
      <x:c r="B30" s="19" t="str">
        <x:v>2022</x:v>
      </x:c>
      <x:c r="C30" s="19" t="str">
        <x:v>V1</x:v>
      </x:c>
      <x:c r="D30" s="31" t="str">
        <x:v>STRONG</x:v>
      </x:c>
      <x:c r="E30" s="31" t="str">
        <x:v>climate anxiety; eco-anxiety; anxiety and stress; heat-related mortality</x:v>
      </x:c>
      <x:c r="F30" s="43" t="str">
        <x:v>Research constructs and assessment categories; not automatically participant self-labelling.</x:v>
      </x:c>
    </x:row>
    <x:row r="31" ht="42" customHeight="1">
      <x:c r="A31" s="18" t="str">
        <x:v>FT-A2022</x:v>
      </x:c>
      <x:c r="B31" s="19" t="str">
        <x:v>2022</x:v>
      </x:c>
      <x:c r="C31" s="19" t="str">
        <x:v>V2</x:v>
      </x:c>
      <x:c r="D31" s="31" t="str">
        <x:v>ATTESTED</x:v>
      </x:c>
      <x:c r="E31" s="31" t="str">
        <x:v>climate-related risk; heatwaves; mental-health challenges</x:v>
      </x:c>
      <x:c r="F31" s="43" t="str">
        <x:v>Institutional/assessment framing remains distinct from individual affect.</x:v>
      </x:c>
    </x:row>
    <x:row r="32" ht="42" customHeight="1">
      <x:c r="A32" s="18" t="str">
        <x:v>FT-A2022</x:v>
      </x:c>
      <x:c r="B32" s="19" t="str">
        <x:v>2022</x:v>
      </x:c>
      <x:c r="C32" s="19" t="str">
        <x:v>V3</x:v>
      </x:c>
      <x:c r="D32" s="31" t="str">
        <x:v>ATTESTED</x:v>
      </x:c>
      <x:c r="E32" s="31" t="str">
        <x:v>extreme heat; climate emergency</x:v>
      </x:c>
      <x:c r="F32" s="43" t="str">
        <x:v>Public-facing media framing requires source-specific verification.</x:v>
      </x:c>
    </x:row>
    <x:row r="33" ht="42" customHeight="1">
      <x:c r="A33" s="18" t="str">
        <x:v>FT-A2022</x:v>
      </x:c>
      <x:c r="B33" s="19" t="str">
        <x:v>2022</x:v>
      </x:c>
      <x:c r="C33" s="19" t="str">
        <x:v>V4</x:v>
      </x:c>
      <x:c r="D33" s="31" t="str">
        <x:v>ATTESTED</x:v>
      </x:c>
      <x:c r="E33" s="31" t="str">
        <x:v>climate crisis; climate emergency</x:v>
      </x:c>
      <x:c r="F33" s="43" t="str">
        <x:v>Advocacy/threat framing; crisis is not itself affect.</x:v>
      </x:c>
    </x:row>
    <x:row r="34" ht="42" customHeight="1">
      <x:c r="A34" s="21" t="str">
        <x:v>FT-A2022</x:v>
      </x:c>
      <x:c r="B34" s="22" t="str">
        <x:v>2022</x:v>
      </x:c>
      <x:c r="C34" s="22" t="str">
        <x:v>V5</x:v>
      </x:c>
      <x:c r="D34" s="32" t="str">
        <x:v>STRONG_ELICITED</x:v>
      </x:c>
      <x:c r="E34" s="32" t="str">
        <x:v>very worried; afraid; anxious; hopeless</x:v>
      </x:c>
      <x:c r="F34" s="44" t="str">
        <x:v>Dense survey-elicited endorsement; instrument wording and participant-generated wording remain separate.</x:v>
      </x:c>
    </x:row>
  </x:sheetData>
  <x:mergeCells>
    <x:mergeCell ref="A1:H1"/>
    <x:mergeCell ref="A2:H2"/>
  </x:mergeCells>
  <x:conditionalFormatting sqref="D5:D34">
    <x:cfRule type="containsText" dxfId="138" priority="1" operator="containsText" text="COMPLETE"/>
    <x:cfRule type="containsText" dxfId="139" priority="2" operator="containsText" text="TRACEABLE"/>
    <x:cfRule type="containsText" dxfId="140" priority="3" operator="containsText" text="ZERO"/>
    <x:cfRule type="containsText" dxfId="141" priority="4" operator="containsText" text="UNRESOLVED"/>
    <x:cfRule type="containsText" dxfId="142" priority="5" operator="containsText" text="NOT_"/>
    <x:cfRule type="containsText" dxfId="143" priority="6" operator="containsText" text="PARTIAL"/>
  </x:conditionalFormatting>
  <x:pageMargins left="0.7" right="0.7" top="0.75" bottom="0.75" header="0.3" footer="0.3"/>
  <x:tableParts count="1">
    <x:tablePart xmlns:r="http://schemas.openxmlformats.org/officeDocument/2006/relationships" r:id="R947689f8fd244eeb"/>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4" hidden="0" customWidth="1"/>
    <x:col min="4" max="4" width="16" hidden="0" customWidth="1"/>
    <x:col min="5" max="5" width="23" hidden="0" customWidth="1"/>
    <x:col min="6" max="6" width="16" hidden="0" customWidth="1"/>
    <x:col min="7" max="7" width="40" hidden="0" customWidth="1"/>
    <x:col min="8" max="8" width="16" hidden="0" customWidth="1"/>
    <x:col min="9" max="9" width="32" hidden="0" customWidth="1"/>
    <x:col min="10" max="10" width="32" hidden="0" customWidth="1"/>
    <x:col min="11" max="11" width="40" hidden="0" customWidth="1"/>
  </x:cols>
  <x:sheetData>
    <x:row r="1" ht="38" customHeight="1">
      <x:c r="A1" s="3" t="str">
        <x:v>Ngram Compatibility Audit</x:v>
      </x:c>
      <x:c r="B1" s="3" t="str">
        <x:v>Ngram Compatibility Audit</x:v>
      </x:c>
      <x:c r="C1" s="3" t="str">
        <x:v>Ngram Compatibility Audit</x:v>
      </x:c>
      <x:c r="D1" s="3" t="str">
        <x:v>Ngram Compatibility Audit</x:v>
      </x:c>
      <x:c r="E1" s="3" t="str">
        <x:v>Ngram Compatibility Audit</x:v>
      </x:c>
      <x:c r="F1" s="3" t="str">
        <x:v>Ngram Compatibility Audit</x:v>
      </x:c>
      <x:c r="G1" s="3" t="str">
        <x:v>Ngram Compatibility Audit</x:v>
      </x:c>
      <x:c r="H1" s="3" t="str">
        <x:v>Ngram Compatibility Audit</x:v>
      </x:c>
      <x:c r="I1" s="3" t="str">
        <x:v>Ngram Compatibility Audit</x:v>
      </x:c>
      <x:c r="J1" s="3" t="str">
        <x:v>Ngram Compatibility Audit</x:v>
      </x:c>
      <x:c r="K1" s="3" t="str">
        <x:v>Ngram Compatibility Audit</x:v>
      </x:c>
    </x:row>
    <x:row r="2" ht="32" customHeight="1">
      <x:c r="A2" s="7" t="str">
        <x:v>Compatibility, reason and provenance for each provisional rule.</x:v>
      </x:c>
      <x:c r="B2" s="7" t="str">
        <x:v>Compatibility, reason and provenance for each provisional rule.</x:v>
      </x:c>
      <x:c r="C2" s="7" t="str">
        <x:v>Compatibility, reason and provenance for each provisional rule.</x:v>
      </x:c>
      <x:c r="D2" s="7" t="str">
        <x:v>Compatibility, reason and provenance for each provisional rule.</x:v>
      </x:c>
      <x:c r="E2" s="7" t="str">
        <x:v>Compatibility, reason and provenance for each provisional rule.</x:v>
      </x:c>
      <x:c r="F2" s="7" t="str">
        <x:v>Compatibility, reason and provenance for each provisional rule.</x:v>
      </x:c>
      <x:c r="G2" s="7" t="str">
        <x:v>Compatibility, reason and provenance for each provisional rule.</x:v>
      </x:c>
      <x:c r="H2" s="7" t="str">
        <x:v>Compatibility, reason and provenance for each provisional rule.</x:v>
      </x:c>
      <x:c r="I2" s="7" t="str">
        <x:v>Compatibility, reason and provenance for each provisional rule.</x:v>
      </x:c>
      <x:c r="J2" s="7" t="str">
        <x:v>Compatibility, reason and provenance for each provisional rule.</x:v>
      </x:c>
      <x:c r="K2" s="7" t="str">
        <x:v>Compatibility, reason and provenance for each provisional rule.</x:v>
      </x:c>
    </x:row>
    <x:row r="4" ht="42" customHeight="1">
      <x:c r="A4" s="14" t="str">
        <x:v>query_id</x:v>
      </x:c>
      <x:c r="B4" s="14" t="str">
        <x:v>anchor</x:v>
      </x:c>
      <x:c r="C4" s="14" t="str">
        <x:v>surface_form</x:v>
      </x:c>
      <x:c r="D4" s="14" t="str">
        <x:v>classification</x:v>
      </x:c>
      <x:c r="E4" s="14" t="str">
        <x:v>compatibility_status</x:v>
      </x:c>
      <x:c r="F4" s="14" t="str">
        <x:v>execution_eligible</x:v>
      </x:c>
      <x:c r="G4" s="14" t="str">
        <x:v>reason</x:v>
      </x:c>
      <x:c r="H4" s="14" t="str">
        <x:v>interpretation_class</x:v>
      </x:c>
      <x:c r="I4" s="14" t="str">
        <x:v>source_report</x:v>
      </x:c>
      <x:c r="J4" s="14" t="str">
        <x:v>source_page</x:v>
      </x:c>
      <x:c r="K4" s="14" t="str">
        <x:v>provenance_status</x:v>
      </x:c>
    </x:row>
    <x:row r="5" ht="28" customHeight="1">
      <x:c r="A5" s="39" t="str">
        <x:v>FT-Q-V01-001</x:v>
      </x:c>
      <x:c r="B5" s="16" t="str">
        <x:v>1842</x:v>
      </x:c>
      <x:c r="C5" s="30" t="str">
        <x:v>temperature</x:v>
      </x:c>
      <x:c r="D5" s="16" t="str">
        <x:v>BACKGROUND_AMBIGUOUS</x:v>
      </x:c>
      <x:c r="E5" s="30" t="str">
        <x:v>COMPATIBLE</x:v>
      </x:c>
      <x:c r="F5" s="54" t="b">
        <x:v>1</x:v>
      </x:c>
      <x:c r="G5" s="30" t="str">
        <x:v>Compatible exact string/phrase for unsmoothed public Ngram retrieval (current interface supports up to seven words).</x:v>
      </x:c>
      <x:c r="H5" s="16" t="str">
        <x:v>BACKGROUND_AMBIGUOUS</x:v>
      </x:c>
      <x:c r="I5" s="30" t="str">
        <x:v>Fear of Temperature_ Stratified Lexical Expansion, Voice Mapping, and Semantic-Relational Pre-Valida.pdf</x:v>
      </x:c>
      <x:c r="J5" s="30" t="str">
        <x:v>6</x:v>
      </x:c>
      <x:c r="K5" s="42" t="str">
        <x:v>RECONSTRUCTED_FROM_REPORT</x:v>
      </x:c>
    </x:row>
    <x:row r="6" ht="28" customHeight="1">
      <x:c r="A6" s="40" t="str">
        <x:v>FT-Q-V01-002</x:v>
      </x:c>
      <x:c r="B6" s="19" t="str">
        <x:v>1842</x:v>
      </x:c>
      <x:c r="C6" s="31" t="str">
        <x:v>mean temperature</x:v>
      </x:c>
      <x:c r="D6" s="19" t="str">
        <x:v>EXECUTABLE_NGRAM</x:v>
      </x:c>
      <x:c r="E6" s="31" t="str">
        <x:v>COMPATIBLE</x:v>
      </x:c>
      <x:c r="F6" s="55" t="b">
        <x:v>1</x:v>
      </x:c>
      <x:c r="G6" s="31" t="str">
        <x:v>Compatible exact string/phrase for unsmoothed public Ngram retrieval (current interface supports up to seven words).</x:v>
      </x:c>
      <x:c r="H6" s="19" t="str">
        <x:v>CONTEXT_REQUIRED</x:v>
      </x:c>
      <x:c r="I6" s="31" t="str">
        <x:v>Fear of Temperature_ Stratified Lexical Expansion, Voice Mapping, and Semantic-Relational Pre-Valida.pdf</x:v>
      </x:c>
      <x:c r="J6" s="31" t="str">
        <x:v>6</x:v>
      </x:c>
      <x:c r="K6" s="43" t="str">
        <x:v>RECONSTRUCTED_FROM_REPORT</x:v>
      </x:c>
    </x:row>
    <x:row r="7" ht="28" customHeight="1">
      <x:c r="A7" s="40" t="str">
        <x:v>FT-Q-V01-003</x:v>
      </x:c>
      <x:c r="B7" s="19" t="str">
        <x:v>1842</x:v>
      </x:c>
      <x:c r="C7" s="31" t="str">
        <x:v>temperature of the air in shade</x:v>
      </x:c>
      <x:c r="D7" s="19" t="str">
        <x:v>EXECUTABLE_NGRAM</x:v>
      </x:c>
      <x:c r="E7" s="31" t="str">
        <x:v>COMPATIBLE</x:v>
      </x:c>
      <x:c r="F7" s="55" t="b">
        <x:v>1</x:v>
      </x:c>
      <x:c r="G7" s="31" t="str">
        <x:v>Compatible exact string/phrase for unsmoothed public Ngram retrieval (current interface supports up to seven words).</x:v>
      </x:c>
      <x:c r="H7" s="19" t="str">
        <x:v>CONTEXT_REQUIRED</x:v>
      </x:c>
      <x:c r="I7" s="31" t="str">
        <x:v>Fear of Temperature_ Stratified Lexical Expansion, Voice Mapping, and Semantic-Relational Pre-Valida.pdf</x:v>
      </x:c>
      <x:c r="J7" s="31" t="str">
        <x:v>6</x:v>
      </x:c>
      <x:c r="K7" s="43" t="str">
        <x:v>RECONSTRUCTED_FROM_REPORT</x:v>
      </x:c>
    </x:row>
    <x:row r="8" ht="28" customHeight="1">
      <x:c r="A8" s="40" t="str">
        <x:v>FT-Q-V01-004</x:v>
      </x:c>
      <x:c r="B8" s="19" t="str">
        <x:v>1842</x:v>
      </x:c>
      <x:c r="C8" s="31" t="str">
        <x:v>maximum temperature</x:v>
      </x:c>
      <x:c r="D8" s="19" t="str">
        <x:v>EXECUTABLE_NGRAM</x:v>
      </x:c>
      <x:c r="E8" s="31" t="str">
        <x:v>COMPATIBLE</x:v>
      </x:c>
      <x:c r="F8" s="55" t="b">
        <x:v>1</x:v>
      </x:c>
      <x:c r="G8" s="31" t="str">
        <x:v>Compatible exact string/phrase for unsmoothed public Ngram retrieval (current interface supports up to seven words).</x:v>
      </x:c>
      <x:c r="H8" s="19" t="str">
        <x:v>CONTEXT_REQUIRED</x:v>
      </x:c>
      <x:c r="I8" s="31" t="str">
        <x:v>Fear of Temperature_ Stratified Lexical Expansion, Voice Mapping, and Semantic-Relational Pre-Valida.pdf</x:v>
      </x:c>
      <x:c r="J8" s="31" t="str">
        <x:v>6</x:v>
      </x:c>
      <x:c r="K8" s="43" t="str">
        <x:v>RECONSTRUCTED_FROM_REPORT</x:v>
      </x:c>
    </x:row>
    <x:row r="9" ht="28" customHeight="1">
      <x:c r="A9" s="40" t="str">
        <x:v>FT-Q-V01-005</x:v>
      </x:c>
      <x:c r="B9" s="19" t="str">
        <x:v>1842</x:v>
      </x:c>
      <x:c r="C9" s="31" t="str">
        <x:v>minimum temperature</x:v>
      </x:c>
      <x:c r="D9" s="19" t="str">
        <x:v>EXECUTABLE_NGRAM</x:v>
      </x:c>
      <x:c r="E9" s="31" t="str">
        <x:v>COMPATIBLE</x:v>
      </x:c>
      <x:c r="F9" s="55" t="b">
        <x:v>1</x:v>
      </x:c>
      <x:c r="G9" s="31" t="str">
        <x:v>Compatible exact string/phrase for unsmoothed public Ngram retrieval (current interface supports up to seven words).</x:v>
      </x:c>
      <x:c r="H9" s="19" t="str">
        <x:v>CONTEXT_REQUIRED</x:v>
      </x:c>
      <x:c r="I9" s="31" t="str">
        <x:v>Fear of Temperature_ Stratified Lexical Expansion, Voice Mapping, and Semantic-Relational Pre-Valida.pdf</x:v>
      </x:c>
      <x:c r="J9" s="31" t="str">
        <x:v>6</x:v>
      </x:c>
      <x:c r="K9" s="43" t="str">
        <x:v>RECONSTRUCTED_FROM_REPORT</x:v>
      </x:c>
    </x:row>
    <x:row r="10" ht="28" customHeight="1">
      <x:c r="A10" s="40" t="str">
        <x:v>FT-Q-V01-006</x:v>
      </x:c>
      <x:c r="B10" s="19" t="str">
        <x:v>1842</x:v>
      </x:c>
      <x:c r="C10" s="31" t="str">
        <x:v>mean temperature of sea at surface</x:v>
      </x:c>
      <x:c r="D10" s="19" t="str">
        <x:v>EXECUTABLE_NGRAM</x:v>
      </x:c>
      <x:c r="E10" s="31" t="str">
        <x:v>COMPATIBLE</x:v>
      </x:c>
      <x:c r="F10" s="55" t="b">
        <x:v>1</x:v>
      </x:c>
      <x:c r="G10" s="31" t="str">
        <x:v>Compatible exact string/phrase for unsmoothed public Ngram retrieval (current interface supports up to seven words).</x:v>
      </x:c>
      <x:c r="H10" s="19" t="str">
        <x:v>CONTEXT_REQUIRED</x:v>
      </x:c>
      <x:c r="I10" s="31" t="str">
        <x:v>Fear of Temperature_ Stratified Lexical Expansion, Voice Mapping, and Semantic-Relational Pre-Valida.pdf</x:v>
      </x:c>
      <x:c r="J10" s="31" t="str">
        <x:v>6</x:v>
      </x:c>
      <x:c r="K10" s="43" t="str">
        <x:v>RECONSTRUCTED_FROM_REPORT</x:v>
      </x:c>
    </x:row>
    <x:row r="11" ht="28" customHeight="1">
      <x:c r="A11" s="40" t="str">
        <x:v>FT-Q-V01-007</x:v>
      </x:c>
      <x:c r="B11" s="19" t="str">
        <x:v>1842</x:v>
      </x:c>
      <x:c r="C11" s="31" t="str">
        <x:v>dew point</x:v>
      </x:c>
      <x:c r="D11" s="19" t="str">
        <x:v>EXECUTABLE_NGRAM</x:v>
      </x:c>
      <x:c r="E11" s="31" t="str">
        <x:v>COMPATIBLE</x:v>
      </x:c>
      <x:c r="F11" s="55" t="b">
        <x:v>1</x:v>
      </x:c>
      <x:c r="G11" s="31" t="str">
        <x:v>Compatible exact string/phrase for unsmoothed public Ngram retrieval (current interface supports up to seven words).</x:v>
      </x:c>
      <x:c r="H11" s="19" t="str">
        <x:v>CONTEXT_REQUIRED</x:v>
      </x:c>
      <x:c r="I11" s="31" t="str">
        <x:v>Fear of Temperature_ Stratified Lexical Expansion, Voice Mapping, and Semantic-Relational Pre-Valida.pdf</x:v>
      </x:c>
      <x:c r="J11" s="31" t="str">
        <x:v>6</x:v>
      </x:c>
      <x:c r="K11" s="43" t="str">
        <x:v>RECONSTRUCTED_FROM_REPORT</x:v>
      </x:c>
    </x:row>
    <x:row r="12" ht="28" customHeight="1">
      <x:c r="A12" s="40" t="str">
        <x:v>FT-Q-V01-008</x:v>
      </x:c>
      <x:c r="B12" s="19" t="str">
        <x:v>1842</x:v>
      </x:c>
      <x:c r="C12" s="31" t="str">
        <x:v>standard thermometer</x:v>
      </x:c>
      <x:c r="D12" s="19" t="str">
        <x:v>EXECUTABLE_NGRAM</x:v>
      </x:c>
      <x:c r="E12" s="31" t="str">
        <x:v>COMPATIBLE</x:v>
      </x:c>
      <x:c r="F12" s="55" t="b">
        <x:v>1</x:v>
      </x:c>
      <x:c r="G12" s="31" t="str">
        <x:v>Compatible exact string/phrase for unsmoothed public Ngram retrieval (current interface supports up to seven words).</x:v>
      </x:c>
      <x:c r="H12" s="19" t="str">
        <x:v>CONTEXT_REQUIRED</x:v>
      </x:c>
      <x:c r="I12" s="31" t="str">
        <x:v>Fear of Temperature_ Stratified Lexical Expansion, Voice Mapping, and Semantic-Relational Pre-Valida.pdf</x:v>
      </x:c>
      <x:c r="J12" s="31" t="str">
        <x:v>7</x:v>
      </x:c>
      <x:c r="K12" s="43" t="str">
        <x:v>RECONSTRUCTED_FROM_REPORT</x:v>
      </x:c>
    </x:row>
    <x:row r="13" ht="28" customHeight="1">
      <x:c r="A13" s="40" t="str">
        <x:v>FT-Q-V01-009</x:v>
      </x:c>
      <x:c r="B13" s="19" t="str">
        <x:v>1842</x:v>
      </x:c>
      <x:c r="C13" s="31" t="str">
        <x:v>attached thermometer</x:v>
      </x:c>
      <x:c r="D13" s="19" t="str">
        <x:v>EXECUTABLE_NGRAM</x:v>
      </x:c>
      <x:c r="E13" s="31" t="str">
        <x:v>COMPATIBLE</x:v>
      </x:c>
      <x:c r="F13" s="55" t="b">
        <x:v>1</x:v>
      </x:c>
      <x:c r="G13" s="31" t="str">
        <x:v>Compatible exact string/phrase for unsmoothed public Ngram retrieval (current interface supports up to seven words).</x:v>
      </x:c>
      <x:c r="H13" s="19" t="str">
        <x:v>CONTEXT_REQUIRED</x:v>
      </x:c>
      <x:c r="I13" s="31" t="str">
        <x:v>Fear of Temperature_ Stratified Lexical Expansion, Voice Mapping, and Semantic-Relational Pre-Valida.pdf</x:v>
      </x:c>
      <x:c r="J13" s="31" t="str">
        <x:v>7</x:v>
      </x:c>
      <x:c r="K13" s="43" t="str">
        <x:v>RECONSTRUCTED_FROM_REPORT</x:v>
      </x:c>
    </x:row>
    <x:row r="14" ht="28" customHeight="1">
      <x:c r="A14" s="40" t="str">
        <x:v>FT-Q-V01-010</x:v>
      </x:c>
      <x:c r="B14" s="19" t="str">
        <x:v>1842</x:v>
      </x:c>
      <x:c r="C14" s="31" t="str">
        <x:v>dry bulb thermometer</x:v>
      </x:c>
      <x:c r="D14" s="19" t="str">
        <x:v>EXECUTABLE_NGRAM</x:v>
      </x:c>
      <x:c r="E14" s="31" t="str">
        <x:v>COMPATIBLE</x:v>
      </x:c>
      <x:c r="F14" s="55" t="b">
        <x:v>1</x:v>
      </x:c>
      <x:c r="G14" s="31" t="str">
        <x:v>Compatible exact string/phrase for unsmoothed public Ngram retrieval (current interface supports up to seven words).</x:v>
      </x:c>
      <x:c r="H14" s="19" t="str">
        <x:v>CONTEXT_REQUIRED</x:v>
      </x:c>
      <x:c r="I14" s="31" t="str">
        <x:v>Fear of Temperature_ Stratified Lexical Expansion, Voice Mapping, and Semantic-Relational Pre-Valida.pdf</x:v>
      </x:c>
      <x:c r="J14" s="31" t="str">
        <x:v>7</x:v>
      </x:c>
      <x:c r="K14" s="43" t="str">
        <x:v>RECONSTRUCTED_FROM_REPORT</x:v>
      </x:c>
    </x:row>
    <x:row r="15" ht="28" customHeight="1">
      <x:c r="A15" s="40" t="str">
        <x:v>FT-Q-V01-011</x:v>
      </x:c>
      <x:c r="B15" s="19" t="str">
        <x:v>1842</x:v>
      </x:c>
      <x:c r="C15" s="31" t="str">
        <x:v>wet bulb thermometer</x:v>
      </x:c>
      <x:c r="D15" s="19" t="str">
        <x:v>EXECUTABLE_NGRAM</x:v>
      </x:c>
      <x:c r="E15" s="31" t="str">
        <x:v>COMPATIBLE</x:v>
      </x:c>
      <x:c r="F15" s="55" t="b">
        <x:v>1</x:v>
      </x:c>
      <x:c r="G15" s="31" t="str">
        <x:v>Compatible exact string/phrase for unsmoothed public Ngram retrieval (current interface supports up to seven words).</x:v>
      </x:c>
      <x:c r="H15" s="19" t="str">
        <x:v>CONTEXT_REQUIRED</x:v>
      </x:c>
      <x:c r="I15" s="31" t="str">
        <x:v>Fear of Temperature_ Stratified Lexical Expansion, Voice Mapping, and Semantic-Relational Pre-Valida.pdf</x:v>
      </x:c>
      <x:c r="J15" s="31" t="str">
        <x:v>6</x:v>
      </x:c>
      <x:c r="K15" s="43" t="str">
        <x:v>RECONSTRUCTED_FROM_REPORT</x:v>
      </x:c>
    </x:row>
    <x:row r="16" ht="28" customHeight="1">
      <x:c r="A16" s="40" t="str">
        <x:v>FT-Q-V01-012</x:v>
      </x:c>
      <x:c r="B16" s="19" t="str">
        <x:v>1842</x:v>
      </x:c>
      <x:c r="C16" s="31" t="str">
        <x:v>meteorological observations</x:v>
      </x:c>
      <x:c r="D16" s="19" t="str">
        <x:v>EXECUTABLE_NGRAM</x:v>
      </x:c>
      <x:c r="E16" s="31" t="str">
        <x:v>COMPATIBLE</x:v>
      </x:c>
      <x:c r="F16" s="55" t="b">
        <x:v>1</x:v>
      </x:c>
      <x:c r="G16" s="31" t="str">
        <x:v>Compatible exact string/phrase for unsmoothed public Ngram retrieval (current interface supports up to seven words).</x:v>
      </x:c>
      <x:c r="H16" s="19" t="str">
        <x:v>CONTEXT_REQUIRED</x:v>
      </x:c>
      <x:c r="I16" s="31" t="str">
        <x:v>Fear of Temperature_ Stratified Lexical Expansion, Voice Mapping, and Semantic-Relational Pre-Valida.pdf</x:v>
      </x:c>
      <x:c r="J16" s="31" t="str">
        <x:v>6</x:v>
      </x:c>
      <x:c r="K16" s="43" t="str">
        <x:v>RECONSTRUCTED_FROM_REPORT</x:v>
      </x:c>
    </x:row>
    <x:row r="17" ht="28" customHeight="1">
      <x:c r="A17" s="40" t="str">
        <x:v>FT-Q-V01-013</x:v>
      </x:c>
      <x:c r="B17" s="19" t="str">
        <x:v>1842</x:v>
      </x:c>
      <x:c r="C17" s="31" t="str">
        <x:v>meteorological journal</x:v>
      </x:c>
      <x:c r="D17" s="19" t="str">
        <x:v>EXECUTABLE_NGRAM</x:v>
      </x:c>
      <x:c r="E17" s="31" t="str">
        <x:v>COMPATIBLE</x:v>
      </x:c>
      <x:c r="F17" s="55" t="b">
        <x:v>1</x:v>
      </x:c>
      <x:c r="G17" s="31" t="str">
        <x:v>Compatible exact string/phrase for unsmoothed public Ngram retrieval (current interface supports up to seven words).</x:v>
      </x:c>
      <x:c r="H17" s="19" t="str">
        <x:v>CONTEXT_REQUIRED</x:v>
      </x:c>
      <x:c r="I17" s="31" t="str">
        <x:v>Fear of Temperature_ Stratified Lexical Expansion, Voice Mapping, and Semantic-Relational Pre-Valida.pdf</x:v>
      </x:c>
      <x:c r="J17" s="31" t="str">
        <x:v>6</x:v>
      </x:c>
      <x:c r="K17" s="43" t="str">
        <x:v>RECONSTRUCTED_FROM_REPORT</x:v>
      </x:c>
    </x:row>
    <x:row r="18" ht="28" customHeight="1">
      <x:c r="A18" s="40" t="str">
        <x:v>FT-Q-V01-014</x:v>
      </x:c>
      <x:c r="B18" s="19" t="str">
        <x:v>1842</x:v>
      </x:c>
      <x:c r="C18" s="31" t="str">
        <x:v>weather</x:v>
      </x:c>
      <x:c r="D18" s="19" t="str">
        <x:v>BACKGROUND_AMBIGUOUS</x:v>
      </x:c>
      <x:c r="E18" s="31" t="str">
        <x:v>COMPATIBLE</x:v>
      </x:c>
      <x:c r="F18" s="55" t="b">
        <x:v>1</x:v>
      </x:c>
      <x:c r="G18" s="31" t="str">
        <x:v>Compatible exact string/phrase for unsmoothed public Ngram retrieval (current interface supports up to seven words).</x:v>
      </x:c>
      <x:c r="H18" s="19" t="str">
        <x:v>BACKGROUND_AMBIGUOUS</x:v>
      </x:c>
      <x:c r="I18" s="31" t="str">
        <x:v>Fear of Temperature_ Stratified Lexical Expansion, Voice Mapping, and Semantic-Relational Pre-Valida.pdf</x:v>
      </x:c>
      <x:c r="J18" s="31" t="str">
        <x:v>6</x:v>
      </x:c>
      <x:c r="K18" s="43" t="str">
        <x:v>RECONSTRUCTED_FROM_REPORT</x:v>
      </x:c>
    </x:row>
    <x:row r="19" ht="28" customHeight="1">
      <x:c r="A19" s="40" t="str">
        <x:v>FT-Q-V01-015</x:v>
      </x:c>
      <x:c r="B19" s="19" t="str">
        <x:v>1842</x:v>
      </x:c>
      <x:c r="C19" s="31" t="str">
        <x:v>climate</x:v>
      </x:c>
      <x:c r="D19" s="19" t="str">
        <x:v>BACKGROUND_AMBIGUOUS</x:v>
      </x:c>
      <x:c r="E19" s="31" t="str">
        <x:v>COMPATIBLE</x:v>
      </x:c>
      <x:c r="F19" s="55" t="b">
        <x:v>1</x:v>
      </x:c>
      <x:c r="G19" s="31" t="str">
        <x:v>Compatible exact string/phrase for unsmoothed public Ngram retrieval (current interface supports up to seven words).</x:v>
      </x:c>
      <x:c r="H19" s="19" t="str">
        <x:v>BACKGROUND_AMBIGUOUS</x:v>
      </x:c>
      <x:c r="I19" s="31" t="str">
        <x:v>Fear of Temperature_ Stratified Lexical Expansion, Voice Mapping, and Semantic-Relational Pre-Valida.pdf</x:v>
      </x:c>
      <x:c r="J19" s="31" t="str">
        <x:v>6</x:v>
      </x:c>
      <x:c r="K19" s="43" t="str">
        <x:v>RECONSTRUCTED_FROM_REPORT</x:v>
      </x:c>
    </x:row>
    <x:row r="20" ht="28" customHeight="1">
      <x:c r="A20" s="40" t="str">
        <x:v>FT-Q-V01-016</x:v>
      </x:c>
      <x:c r="B20" s="19" t="str">
        <x:v>1842</x:v>
      </x:c>
      <x:c r="C20" s="31" t="str">
        <x:v>sun's heat</x:v>
      </x:c>
      <x:c r="D20" s="19" t="str">
        <x:v>EXECUTABLE_NGRAM</x:v>
      </x:c>
      <x:c r="E20" s="31" t="str">
        <x:v>COMPATIBLE</x:v>
      </x:c>
      <x:c r="F20" s="55" t="b">
        <x:v>1</x:v>
      </x:c>
      <x:c r="G20" s="31" t="str">
        <x:v>Compatible exact string/phrase for unsmoothed public Ngram retrieval (current interface supports up to seven words).</x:v>
      </x:c>
      <x:c r="H20" s="19" t="str">
        <x:v>CONTEXT_REQUIRED</x:v>
      </x:c>
      <x:c r="I20" s="31" t="str">
        <x:v>Fear of Temperature_ Stratified Lexical Expansion, Voice Mapping, and Semantic-Relational Pre-Valida.pdf</x:v>
      </x:c>
      <x:c r="J20" s="31" t="str">
        <x:v>6</x:v>
      </x:c>
      <x:c r="K20" s="43" t="str">
        <x:v>RECONSTRUCTED_FROM_REPORT</x:v>
      </x:c>
    </x:row>
    <x:row r="21" ht="28" customHeight="1">
      <x:c r="A21" s="40" t="str">
        <x:v>FT-Q-V01-017</x:v>
      </x:c>
      <x:c r="B21" s="19" t="str">
        <x:v>1842</x:v>
      </x:c>
      <x:c r="C21" s="31" t="str">
        <x:v>radiation of the heat</x:v>
      </x:c>
      <x:c r="D21" s="19" t="str">
        <x:v>EXECUTABLE_NGRAM</x:v>
      </x:c>
      <x:c r="E21" s="31" t="str">
        <x:v>COMPATIBLE</x:v>
      </x:c>
      <x:c r="F21" s="55" t="b">
        <x:v>1</x:v>
      </x:c>
      <x:c r="G21" s="31" t="str">
        <x:v>Compatible exact string/phrase for unsmoothed public Ngram retrieval (current interface supports up to seven words).</x:v>
      </x:c>
      <x:c r="H21" s="19" t="str">
        <x:v>CONTEXT_REQUIRED</x:v>
      </x:c>
      <x:c r="I21" s="31" t="str">
        <x:v>Fear of Temperature_ Stratified Lexical Expansion, Voice Mapping, and Semantic-Relational Pre-Valida.pdf</x:v>
      </x:c>
      <x:c r="J21" s="31" t="str">
        <x:v>6</x:v>
      </x:c>
      <x:c r="K21" s="43" t="str">
        <x:v>RECONSTRUCTED_FROM_REPORT</x:v>
      </x:c>
    </x:row>
    <x:row r="22" ht="28" customHeight="1">
      <x:c r="A22" s="40" t="str">
        <x:v>FT-Q-V01-018</x:v>
      </x:c>
      <x:c r="B22" s="19" t="str">
        <x:v>1842</x:v>
      </x:c>
      <x:c r="C22" s="31" t="str">
        <x:v>changes of temperature</x:v>
      </x:c>
      <x:c r="D22" s="19" t="str">
        <x:v>EXECUTABLE_NGRAM</x:v>
      </x:c>
      <x:c r="E22" s="31" t="str">
        <x:v>COMPATIBLE</x:v>
      </x:c>
      <x:c r="F22" s="55" t="b">
        <x:v>1</x:v>
      </x:c>
      <x:c r="G22" s="31" t="str">
        <x:v>Compatible exact string/phrase for unsmoothed public Ngram retrieval (current interface supports up to seven words).</x:v>
      </x:c>
      <x:c r="H22" s="19" t="str">
        <x:v>CONTEXT_REQUIRED</x:v>
      </x:c>
      <x:c r="I22" s="31" t="str">
        <x:v>Fear of Temperature_ Stratified Lexical Expansion, Voice Mapping, and Semantic-Relational Pre-Valida.pdf</x:v>
      </x:c>
      <x:c r="J22" s="31" t="str">
        <x:v>7</x:v>
      </x:c>
      <x:c r="K22" s="43" t="str">
        <x:v>RECONSTRUCTED_FROM_REPORT</x:v>
      </x:c>
    </x:row>
    <x:row r="23" ht="28" customHeight="1">
      <x:c r="A23" s="40" t="str">
        <x:v>FT-Q-V01-019</x:v>
      </x:c>
      <x:c r="B23" s="19" t="str">
        <x:v>1842</x:v>
      </x:c>
      <x:c r="C23" s="31" t="str">
        <x:v>excessive heat</x:v>
      </x:c>
      <x:c r="D23" s="19" t="str">
        <x:v>EXECUTABLE_NGRAM</x:v>
      </x:c>
      <x:c r="E23" s="31" t="str">
        <x:v>COMPATIBLE</x:v>
      </x:c>
      <x:c r="F23" s="55" t="b">
        <x:v>1</x:v>
      </x:c>
      <x:c r="G23" s="31" t="str">
        <x:v>Compatible exact string/phrase for unsmoothed public Ngram retrieval (current interface supports up to seven words).</x:v>
      </x:c>
      <x:c r="H23" s="19" t="str">
        <x:v>CONTEXT_REQUIRED</x:v>
      </x:c>
      <x:c r="I23" s="31" t="str">
        <x:v>Fear of Temperature_ Stratified Lexical Expansion, Voice Mapping, and Semantic-Relational Pre-Valida.pdf</x:v>
      </x:c>
      <x:c r="J23" s="31" t="str">
        <x:v>7</x:v>
      </x:c>
      <x:c r="K23" s="43" t="str">
        <x:v>RECONSTRUCTED_FROM_REPORT</x:v>
      </x:c>
    </x:row>
    <x:row r="24" ht="28" customHeight="1">
      <x:c r="A24" s="40" t="str">
        <x:v>FT-Q-V01-020</x:v>
      </x:c>
      <x:c r="B24" s="19" t="str">
        <x:v>1842</x:v>
      </x:c>
      <x:c r="C24" s="31" t="str">
        <x:v>heat of the men</x:v>
      </x:c>
      <x:c r="D24" s="19" t="str">
        <x:v>EXECUTABLE_NGRAM</x:v>
      </x:c>
      <x:c r="E24" s="31" t="str">
        <x:v>COMPATIBLE</x:v>
      </x:c>
      <x:c r="F24" s="55" t="b">
        <x:v>1</x:v>
      </x:c>
      <x:c r="G24" s="31" t="str">
        <x:v>Compatible exact string/phrase for unsmoothed public Ngram retrieval (current interface supports up to seven words).</x:v>
      </x:c>
      <x:c r="H24" s="19" t="str">
        <x:v>CONTEXT_REQUIRED</x:v>
      </x:c>
      <x:c r="I24" s="31" t="str">
        <x:v>Fear of Temperature_ Stratified Lexical Expansion, Voice Mapping, and Semantic-Relational Pre-Valida.pdf</x:v>
      </x:c>
      <x:c r="J24" s="31" t="str">
        <x:v>7</x:v>
      </x:c>
      <x:c r="K24" s="43" t="str">
        <x:v>RECONSTRUCTED_FROM_REPORT</x:v>
      </x:c>
    </x:row>
    <x:row r="25" ht="28" customHeight="1">
      <x:c r="A25" s="40" t="str">
        <x:v>FT-Q-V01-021</x:v>
      </x:c>
      <x:c r="B25" s="19" t="str">
        <x:v>1938</x:v>
      </x:c>
      <x:c r="C25" s="31" t="str">
        <x:v>artificial production of carbon dioxide</x:v>
      </x:c>
      <x:c r="D25" s="19" t="str">
        <x:v>EXECUTABLE_NGRAM</x:v>
      </x:c>
      <x:c r="E25" s="31" t="str">
        <x:v>COMPATIBLE</x:v>
      </x:c>
      <x:c r="F25" s="55" t="b">
        <x:v>1</x:v>
      </x:c>
      <x:c r="G25" s="31" t="str">
        <x:v>Compatible exact string/phrase for unsmoothed public Ngram retrieval (current interface supports up to seven words).</x:v>
      </x:c>
      <x:c r="H25" s="19" t="str">
        <x:v>CONTEXT_REQUIRED</x:v>
      </x:c>
      <x:c r="I25" s="31" t="str">
        <x:v>Fear of Temperature_ Stratified Lexical Expansion, Voice Mapping, and Semantic-Relational Pre-Valida.pdf</x:v>
      </x:c>
      <x:c r="J25" s="31" t="str">
        <x:v>7</x:v>
      </x:c>
      <x:c r="K25" s="43" t="str">
        <x:v>RECONSTRUCTED_FROM_REPORT</x:v>
      </x:c>
    </x:row>
    <x:row r="26" ht="28" customHeight="1">
      <x:c r="A26" s="40" t="str">
        <x:v>FT-Q-V01-022</x:v>
      </x:c>
      <x:c r="B26" s="19" t="str">
        <x:v>1938</x:v>
      </x:c>
      <x:c r="C26" s="31" t="str">
        <x:v>carbon dioxide</x:v>
      </x:c>
      <x:c r="D26" s="19" t="str">
        <x:v>EXECUTABLE_NGRAM</x:v>
      </x:c>
      <x:c r="E26" s="31" t="str">
        <x:v>COMPATIBLE</x:v>
      </x:c>
      <x:c r="F26" s="55" t="b">
        <x:v>1</x:v>
      </x:c>
      <x:c r="G26" s="31" t="str">
        <x:v>Compatible exact string/phrase for unsmoothed public Ngram retrieval (current interface supports up to seven words).</x:v>
      </x:c>
      <x:c r="H26" s="19" t="str">
        <x:v>CONTEXT_REQUIRED</x:v>
      </x:c>
      <x:c r="I26" s="31" t="str">
        <x:v>Fear of Temperature_ Stratified Lexical Expansion, Voice Mapping, and Semantic-Relational Pre-Valida.pdf</x:v>
      </x:c>
      <x:c r="J26" s="31" t="str">
        <x:v>7</x:v>
      </x:c>
      <x:c r="K26" s="43" t="str">
        <x:v>RECONSTRUCTED_FROM_REPORT</x:v>
      </x:c>
    </x:row>
    <x:row r="27" ht="28" customHeight="1">
      <x:c r="A27" s="40" t="str">
        <x:v>FT-Q-V01-023</x:v>
      </x:c>
      <x:c r="B27" s="19" t="str">
        <x:v>1938</x:v>
      </x:c>
      <x:c r="C27" s="31" t="str">
        <x:v>fuel combustion</x:v>
      </x:c>
      <x:c r="D27" s="19" t="str">
        <x:v>EXECUTABLE_NGRAM</x:v>
      </x:c>
      <x:c r="E27" s="31" t="str">
        <x:v>COMPATIBLE</x:v>
      </x:c>
      <x:c r="F27" s="55" t="b">
        <x:v>1</x:v>
      </x:c>
      <x:c r="G27" s="31" t="str">
        <x:v>Compatible exact string/phrase for unsmoothed public Ngram retrieval (current interface supports up to seven words).</x:v>
      </x:c>
      <x:c r="H27" s="19" t="str">
        <x:v>CONTEXT_REQUIRED</x:v>
      </x:c>
      <x:c r="I27" s="31" t="str">
        <x:v>Fear of Temperature_ Stratified Lexical Expansion, Voice Mapping, and Semantic-Relational Pre-Valida.pdf</x:v>
      </x:c>
      <x:c r="J27" s="31" t="str">
        <x:v>8</x:v>
      </x:c>
      <x:c r="K27" s="43" t="str">
        <x:v>RECONSTRUCTED_FROM_REPORT</x:v>
      </x:c>
    </x:row>
    <x:row r="28" ht="28" customHeight="1">
      <x:c r="A28" s="40" t="str">
        <x:v>FT-Q-V01-024</x:v>
      </x:c>
      <x:c r="B28" s="19" t="str">
        <x:v>1938</x:v>
      </x:c>
      <x:c r="C28" s="31" t="str">
        <x:v>air</x:v>
      </x:c>
      <x:c r="D28" s="19" t="str">
        <x:v>BACKGROUND_AMBIGUOUS</x:v>
      </x:c>
      <x:c r="E28" s="31" t="str">
        <x:v>COMPATIBLE</x:v>
      </x:c>
      <x:c r="F28" s="55" t="b">
        <x:v>1</x:v>
      </x:c>
      <x:c r="G28" s="31" t="str">
        <x:v>Compatible exact string/phrase for unsmoothed public Ngram retrieval (current interface supports up to seven words).</x:v>
      </x:c>
      <x:c r="H28" s="19" t="str">
        <x:v>BACKGROUND_AMBIGUOUS</x:v>
      </x:c>
      <x:c r="I28" s="31" t="str">
        <x:v>Fear of Temperature_ Stratified Lexical Expansion, Voice Mapping, and Semantic-Relational Pre-Valida.pdf</x:v>
      </x:c>
      <x:c r="J28" s="31" t="str">
        <x:v>8</x:v>
      </x:c>
      <x:c r="K28" s="43" t="str">
        <x:v>RECONSTRUCTED_FROM_REPORT</x:v>
      </x:c>
    </x:row>
    <x:row r="29" ht="28" customHeight="1">
      <x:c r="A29" s="40" t="str">
        <x:v>FT-Q-V01-025</x:v>
      </x:c>
      <x:c r="B29" s="19" t="str">
        <x:v>1938</x:v>
      </x:c>
      <x:c r="C29" s="31" t="str">
        <x:v>atmosphere</x:v>
      </x:c>
      <x:c r="D29" s="19" t="str">
        <x:v>BACKGROUND_AMBIGUOUS</x:v>
      </x:c>
      <x:c r="E29" s="31" t="str">
        <x:v>COMPATIBLE</x:v>
      </x:c>
      <x:c r="F29" s="55" t="b">
        <x:v>1</x:v>
      </x:c>
      <x:c r="G29" s="31" t="str">
        <x:v>Compatible exact string/phrase for unsmoothed public Ngram retrieval (current interface supports up to seven words).</x:v>
      </x:c>
      <x:c r="H29" s="19" t="str">
        <x:v>BACKGROUND_AMBIGUOUS</x:v>
      </x:c>
      <x:c r="I29" s="31" t="str">
        <x:v>Fear of Temperature_ Stratified Lexical Expansion, Voice Mapping, and Semantic-Relational Pre-Valida.pdf</x:v>
      </x:c>
      <x:c r="J29" s="31" t="str">
        <x:v>8</x:v>
      </x:c>
      <x:c r="K29" s="43" t="str">
        <x:v>RECONSTRUCTED_FROM_REPORT</x:v>
      </x:c>
    </x:row>
    <x:row r="30" ht="28" customHeight="1">
      <x:c r="A30" s="40" t="str">
        <x:v>FT-Q-V01-026</x:v>
      </x:c>
      <x:c r="B30" s="19" t="str">
        <x:v>1938</x:v>
      </x:c>
      <x:c r="C30" s="31" t="str">
        <x:v>radiation absorption coefficients</x:v>
      </x:c>
      <x:c r="D30" s="19" t="str">
        <x:v>EXECUTABLE_NGRAM</x:v>
      </x:c>
      <x:c r="E30" s="31" t="str">
        <x:v>COMPATIBLE</x:v>
      </x:c>
      <x:c r="F30" s="55" t="b">
        <x:v>1</x:v>
      </x:c>
      <x:c r="G30" s="31" t="str">
        <x:v>Compatible exact string/phrase for unsmoothed public Ngram retrieval (current interface supports up to seven words).</x:v>
      </x:c>
      <x:c r="H30" s="19" t="str">
        <x:v>CONTEXT_REQUIRED</x:v>
      </x:c>
      <x:c r="I30" s="31" t="str">
        <x:v>Fear of Temperature_ Stratified Lexical Expansion, Voice Mapping, and Semantic-Relational Pre-Valida.pdf</x:v>
      </x:c>
      <x:c r="J30" s="31" t="str">
        <x:v>8</x:v>
      </x:c>
      <x:c r="K30" s="43" t="str">
        <x:v>RECONSTRUCTED_FROM_REPORT</x:v>
      </x:c>
    </x:row>
    <x:row r="31" ht="28" customHeight="1">
      <x:c r="A31" s="40" t="str">
        <x:v>FT-Q-V01-027</x:v>
      </x:c>
      <x:c r="B31" s="19" t="str">
        <x:v>1938</x:v>
      </x:c>
      <x:c r="C31" s="31" t="str">
        <x:v>water vapour</x:v>
      </x:c>
      <x:c r="D31" s="19" t="str">
        <x:v>EXECUTABLE_NGRAM</x:v>
      </x:c>
      <x:c r="E31" s="31" t="str">
        <x:v>COMPATIBLE</x:v>
      </x:c>
      <x:c r="F31" s="55" t="b">
        <x:v>1</x:v>
      </x:c>
      <x:c r="G31" s="31" t="str">
        <x:v>Compatible exact string/phrase for unsmoothed public Ngram retrieval (current interface supports up to seven words).</x:v>
      </x:c>
      <x:c r="H31" s="19" t="str">
        <x:v>CONTEXT_REQUIRED</x:v>
      </x:c>
      <x:c r="I31" s="31" t="str">
        <x:v>Fear of Temperature_ Stratified Lexical Expansion, Voice Mapping, and Semantic-Relational Pre-Valida.pdf</x:v>
      </x:c>
      <x:c r="J31" s="31" t="str">
        <x:v>8</x:v>
      </x:c>
      <x:c r="K31" s="43" t="str">
        <x:v>RECONSTRUCTED_FROM_REPORT</x:v>
      </x:c>
    </x:row>
    <x:row r="32" ht="28" customHeight="1">
      <x:c r="A32" s="40" t="str">
        <x:v>FT-Q-V01-028</x:v>
      </x:c>
      <x:c r="B32" s="19" t="str">
        <x:v>1938</x:v>
      </x:c>
      <x:c r="C32" s="31" t="str">
        <x:v>sky radiation</x:v>
      </x:c>
      <x:c r="D32" s="19" t="str">
        <x:v>EXECUTABLE_NGRAM</x:v>
      </x:c>
      <x:c r="E32" s="31" t="str">
        <x:v>COMPATIBLE</x:v>
      </x:c>
      <x:c r="F32" s="55" t="b">
        <x:v>1</x:v>
      </x:c>
      <x:c r="G32" s="31" t="str">
        <x:v>Compatible exact string/phrase for unsmoothed public Ngram retrieval (current interface supports up to seven words).</x:v>
      </x:c>
      <x:c r="H32" s="19" t="str">
        <x:v>CONTEXT_REQUIRED</x:v>
      </x:c>
      <x:c r="I32" s="31" t="str">
        <x:v>Fear of Temperature_ Stratified Lexical Expansion, Voice Mapping, and Semantic-Relational Pre-Valida.pdf</x:v>
      </x:c>
      <x:c r="J32" s="31" t="str">
        <x:v>8</x:v>
      </x:c>
      <x:c r="K32" s="43" t="str">
        <x:v>RECONSTRUCTED_FROM_REPORT</x:v>
      </x:c>
    </x:row>
    <x:row r="33" ht="28" customHeight="1">
      <x:c r="A33" s="40" t="str">
        <x:v>FT-Q-V01-029</x:v>
      </x:c>
      <x:c r="B33" s="19" t="str">
        <x:v>1938</x:v>
      </x:c>
      <x:c r="C33" s="31" t="str">
        <x:v>increase in mean temperature</x:v>
      </x:c>
      <x:c r="D33" s="19" t="str">
        <x:v>EXECUTABLE_NGRAM</x:v>
      </x:c>
      <x:c r="E33" s="31" t="str">
        <x:v>COMPATIBLE</x:v>
      </x:c>
      <x:c r="F33" s="55" t="b">
        <x:v>1</x:v>
      </x:c>
      <x:c r="G33" s="31" t="str">
        <x:v>Compatible exact string/phrase for unsmoothed public Ngram retrieval (current interface supports up to seven words).</x:v>
      </x:c>
      <x:c r="H33" s="19" t="str">
        <x:v>CONTEXT_REQUIRED</x:v>
      </x:c>
      <x:c r="I33" s="31" t="str">
        <x:v>Fear of Temperature_ Stratified Lexical Expansion, Voice Mapping, and Semantic-Relational Pre-Valida.pdf</x:v>
      </x:c>
      <x:c r="J33" s="31" t="str">
        <x:v>8</x:v>
      </x:c>
      <x:c r="K33" s="43" t="str">
        <x:v>RECONSTRUCTED_FROM_REPORT</x:v>
      </x:c>
    </x:row>
    <x:row r="34" ht="28" customHeight="1">
      <x:c r="A34" s="40" t="str">
        <x:v>FT-Q-V01-030</x:v>
      </x:c>
      <x:c r="B34" s="19" t="str">
        <x:v>1938</x:v>
      </x:c>
      <x:c r="C34" s="31" t="str">
        <x:v>mean temperature</x:v>
      </x:c>
      <x:c r="D34" s="19" t="str">
        <x:v>EXECUTABLE_NGRAM</x:v>
      </x:c>
      <x:c r="E34" s="31" t="str">
        <x:v>COMPATIBLE</x:v>
      </x:c>
      <x:c r="F34" s="55" t="b">
        <x:v>1</x:v>
      </x:c>
      <x:c r="G34" s="31" t="str">
        <x:v>Compatible exact string/phrase for unsmoothed public Ngram retrieval (current interface supports up to seven words).</x:v>
      </x:c>
      <x:c r="H34" s="19" t="str">
        <x:v>CONTEXT_REQUIRED</x:v>
      </x:c>
      <x:c r="I34" s="31" t="str">
        <x:v>Fear of Temperature_ Stratified Lexical Expansion, Voice Mapping, and Semantic-Relational Pre-Valida.pdf</x:v>
      </x:c>
      <x:c r="J34" s="31" t="str">
        <x:v>8</x:v>
      </x:c>
      <x:c r="K34" s="43" t="str">
        <x:v>RECONSTRUCTED_FROM_REPORT</x:v>
      </x:c>
    </x:row>
    <x:row r="35" ht="28" customHeight="1">
      <x:c r="A35" s="40" t="str">
        <x:v>FT-Q-V01-031</x:v>
      </x:c>
      <x:c r="B35" s="19" t="str">
        <x:v>1938</x:v>
      </x:c>
      <x:c r="C35" s="31" t="str">
        <x:v>temperature observations</x:v>
      </x:c>
      <x:c r="D35" s="19" t="str">
        <x:v>EXECUTABLE_NGRAM</x:v>
      </x:c>
      <x:c r="E35" s="31" t="str">
        <x:v>COMPATIBLE</x:v>
      </x:c>
      <x:c r="F35" s="55" t="b">
        <x:v>1</x:v>
      </x:c>
      <x:c r="G35" s="31" t="str">
        <x:v>Compatible exact string/phrase for unsmoothed public Ngram retrieval (current interface supports up to seven words).</x:v>
      </x:c>
      <x:c r="H35" s="19" t="str">
        <x:v>CONTEXT_REQUIRED</x:v>
      </x:c>
      <x:c r="I35" s="31" t="str">
        <x:v>Fear of Temperature_ Stratified Lexical Expansion, Voice Mapping, and Semantic-Relational Pre-Valida.pdf</x:v>
      </x:c>
      <x:c r="J35" s="31" t="str">
        <x:v>7</x:v>
      </x:c>
      <x:c r="K35" s="43" t="str">
        <x:v>RECONSTRUCTED_FROM_REPORT</x:v>
      </x:c>
    </x:row>
    <x:row r="36" ht="28" customHeight="1">
      <x:c r="A36" s="40" t="str">
        <x:v>FT-Q-V01-032</x:v>
      </x:c>
      <x:c r="B36" s="19" t="str">
        <x:v>1938</x:v>
      </x:c>
      <x:c r="C36" s="31" t="str">
        <x:v>meteorological stations</x:v>
      </x:c>
      <x:c r="D36" s="19" t="str">
        <x:v>EXECUTABLE_NGRAM</x:v>
      </x:c>
      <x:c r="E36" s="31" t="str">
        <x:v>COMPATIBLE</x:v>
      </x:c>
      <x:c r="F36" s="55" t="b">
        <x:v>1</x:v>
      </x:c>
      <x:c r="G36" s="31" t="str">
        <x:v>Compatible exact string/phrase for unsmoothed public Ngram retrieval (current interface supports up to seven words).</x:v>
      </x:c>
      <x:c r="H36" s="19" t="str">
        <x:v>CONTEXT_REQUIRED</x:v>
      </x:c>
      <x:c r="I36" s="31" t="str">
        <x:v>Fear of Temperature_ Stratified Lexical Expansion, Voice Mapping, and Semantic-Relational Pre-Valida.pdf</x:v>
      </x:c>
      <x:c r="J36" s="31" t="str">
        <x:v>7</x:v>
      </x:c>
      <x:c r="K36" s="43" t="str">
        <x:v>RECONSTRUCTED_FROM_REPORT</x:v>
      </x:c>
    </x:row>
    <x:row r="37" ht="28" customHeight="1">
      <x:c r="A37" s="40" t="str">
        <x:v>FT-Q-V01-033</x:v>
      </x:c>
      <x:c r="B37" s="19" t="str">
        <x:v>1938</x:v>
      </x:c>
      <x:c r="C37" s="31" t="str">
        <x:v>world temperatures</x:v>
      </x:c>
      <x:c r="D37" s="19" t="str">
        <x:v>EXECUTABLE_NGRAM</x:v>
      </x:c>
      <x:c r="E37" s="31" t="str">
        <x:v>COMPATIBLE</x:v>
      </x:c>
      <x:c r="F37" s="55" t="b">
        <x:v>1</x:v>
      </x:c>
      <x:c r="G37" s="31" t="str">
        <x:v>Compatible exact string/phrase for unsmoothed public Ngram retrieval (current interface supports up to seven words).</x:v>
      </x:c>
      <x:c r="H37" s="19" t="str">
        <x:v>CONTEXT_REQUIRED</x:v>
      </x:c>
      <x:c r="I37" s="31" t="str">
        <x:v>Fear of Temperature_ Stratified Lexical Expansion, Voice Mapping, and Semantic-Relational Pre-Valida.pdf</x:v>
      </x:c>
      <x:c r="J37" s="31" t="str">
        <x:v>8</x:v>
      </x:c>
      <x:c r="K37" s="43" t="str">
        <x:v>RECONSTRUCTED_FROM_REPORT</x:v>
      </x:c>
    </x:row>
    <x:row r="38" ht="28" customHeight="1">
      <x:c r="A38" s="40" t="str">
        <x:v>FT-Q-V01-034</x:v>
      </x:c>
      <x:c r="B38" s="19" t="str">
        <x:v>1938</x:v>
      </x:c>
      <x:c r="C38" s="31" t="str">
        <x:v>actually increased</x:v>
      </x:c>
      <x:c r="D38" s="19" t="str">
        <x:v>EXECUTABLE_NGRAM</x:v>
      </x:c>
      <x:c r="E38" s="31" t="str">
        <x:v>COMPATIBLE</x:v>
      </x:c>
      <x:c r="F38" s="55" t="b">
        <x:v>1</x:v>
      </x:c>
      <x:c r="G38" s="31" t="str">
        <x:v>Compatible exact string/phrase for unsmoothed public Ngram retrieval (current interface supports up to seven words).</x:v>
      </x:c>
      <x:c r="H38" s="19" t="str">
        <x:v>CONTEXT_REQUIRED</x:v>
      </x:c>
      <x:c r="I38" s="31" t="str">
        <x:v>Fear of Temperature_ Stratified Lexical Expansion, Voice Mapping, and Semantic-Relational Pre-Valida.pdf</x:v>
      </x:c>
      <x:c r="J38" s="31" t="str">
        <x:v>8</x:v>
      </x:c>
      <x:c r="K38" s="43" t="str">
        <x:v>RECONSTRUCTED_FROM_REPORT</x:v>
      </x:c>
    </x:row>
    <x:row r="39" ht="28" customHeight="1">
      <x:c r="A39" s="40" t="str">
        <x:v>FT-Q-V01-035</x:v>
      </x:c>
      <x:c r="B39" s="19" t="str">
        <x:v>1938</x:v>
      </x:c>
      <x:c r="C39" s="31" t="str">
        <x:v>average rate</x:v>
      </x:c>
      <x:c r="D39" s="19" t="str">
        <x:v>EXECUTABLE_NGRAM</x:v>
      </x:c>
      <x:c r="E39" s="31" t="str">
        <x:v>COMPATIBLE</x:v>
      </x:c>
      <x:c r="F39" s="55" t="b">
        <x:v>1</x:v>
      </x:c>
      <x:c r="G39" s="31" t="str">
        <x:v>Compatible exact string/phrase for unsmoothed public Ngram retrieval (current interface supports up to seven words).</x:v>
      </x:c>
      <x:c r="H39" s="19" t="str">
        <x:v>CONTEXT_REQUIRED</x:v>
      </x:c>
      <x:c r="I39" s="31" t="str">
        <x:v>Fear of Temperature_ Stratified Lexical Expansion, Voice Mapping, and Semantic-Relational Pre-Valida.pdf</x:v>
      </x:c>
      <x:c r="J39" s="31" t="str">
        <x:v>8</x:v>
      </x:c>
      <x:c r="K39" s="43" t="str">
        <x:v>RECONSTRUCTED_FROM_REPORT</x:v>
      </x:c>
    </x:row>
    <x:row r="40" ht="28" customHeight="1">
      <x:c r="A40" s="40" t="str">
        <x:v>FT-Q-V01-036</x:v>
      </x:c>
      <x:c r="B40" s="19" t="str">
        <x:v>1938</x:v>
      </x:c>
      <x:c r="C40" s="31" t="str">
        <x:v>small increases in mean temperature</x:v>
      </x:c>
      <x:c r="D40" s="19" t="str">
        <x:v>EXECUTABLE_NGRAM</x:v>
      </x:c>
      <x:c r="E40" s="31" t="str">
        <x:v>COMPATIBLE</x:v>
      </x:c>
      <x:c r="F40" s="55" t="b">
        <x:v>1</x:v>
      </x:c>
      <x:c r="G40" s="31" t="str">
        <x:v>Compatible exact string/phrase for unsmoothed public Ngram retrieval (current interface supports up to seven words).</x:v>
      </x:c>
      <x:c r="H40" s="19" t="str">
        <x:v>CONTEXT_REQUIRED</x:v>
      </x:c>
      <x:c r="I40" s="31" t="str">
        <x:v>Fear of Temperature_ Stratified Lexical Expansion, Voice Mapping, and Semantic-Relational Pre-Valida.pdf</x:v>
      </x:c>
      <x:c r="J40" s="31" t="str">
        <x:v>8</x:v>
      </x:c>
      <x:c r="K40" s="43" t="str">
        <x:v>RECONSTRUCTED_FROM_REPORT</x:v>
      </x:c>
    </x:row>
    <x:row r="41" ht="28" customHeight="1">
      <x:c r="A41" s="40" t="str">
        <x:v>FT-Q-V01-037</x:v>
      </x:c>
      <x:c r="B41" s="19" t="str">
        <x:v>1938</x:v>
      </x:c>
      <x:c r="C41" s="31" t="str">
        <x:v>deadly glaciers</x:v>
      </x:c>
      <x:c r="D41" s="19" t="str">
        <x:v>EXECUTABLE_NGRAM</x:v>
      </x:c>
      <x:c r="E41" s="31" t="str">
        <x:v>COMPATIBLE</x:v>
      </x:c>
      <x:c r="F41" s="55" t="b">
        <x:v>1</x:v>
      </x:c>
      <x:c r="G41" s="31" t="str">
        <x:v>Compatible exact string/phrase for unsmoothed public Ngram retrieval (current interface supports up to seven words).</x:v>
      </x:c>
      <x:c r="H41" s="19" t="str">
        <x:v>CONTEXT_REQUIRED</x:v>
      </x:c>
      <x:c r="I41" s="31" t="str">
        <x:v>Fear of Temperature_ Stratified Lexical Expansion, Voice Mapping, and Semantic-Relational Pre-Valida.pdf</x:v>
      </x:c>
      <x:c r="J41" s="31" t="str">
        <x:v>8</x:v>
      </x:c>
      <x:c r="K41" s="43" t="str">
        <x:v>RECONSTRUCTED_FROM_REPORT</x:v>
      </x:c>
    </x:row>
    <x:row r="42" ht="28" customHeight="1">
      <x:c r="A42" s="40" t="str">
        <x:v>FT-Q-V01-038</x:v>
      </x:c>
      <x:c r="B42" s="19" t="str">
        <x:v>1938</x:v>
      </x:c>
      <x:c r="C42" s="31" t="str">
        <x:v>rather a coincidence</x:v>
      </x:c>
      <x:c r="D42" s="19" t="str">
        <x:v>EXECUTABLE_NGRAM</x:v>
      </x:c>
      <x:c r="E42" s="31" t="str">
        <x:v>COMPATIBLE</x:v>
      </x:c>
      <x:c r="F42" s="55" t="b">
        <x:v>1</x:v>
      </x:c>
      <x:c r="G42" s="31" t="str">
        <x:v>Compatible exact string/phrase for unsmoothed public Ngram retrieval (current interface supports up to seven words).</x:v>
      </x:c>
      <x:c r="H42" s="19" t="str">
        <x:v>CONTEXT_REQUIRED</x:v>
      </x:c>
      <x:c r="I42" s="31" t="str">
        <x:v>Fear of Temperature_ Stratified Lexical Expansion, Voice Mapping, and Semantic-Relational Pre-Valida.pdf</x:v>
      </x:c>
      <x:c r="J42" s="31" t="str">
        <x:v>8</x:v>
      </x:c>
      <x:c r="K42" s="43" t="str">
        <x:v>RECONSTRUCTED_FROM_REPORT</x:v>
      </x:c>
    </x:row>
    <x:row r="43" ht="28" customHeight="1">
      <x:c r="A43" s="40" t="str">
        <x:v>FT-Q-V01-039</x:v>
      </x:c>
      <x:c r="B43" s="19" t="str">
        <x:v>1938</x:v>
      </x:c>
      <x:c r="C43" s="31" t="str">
        <x:v>Hottest Day for Ten Years</x:v>
      </x:c>
      <x:c r="D43" s="19" t="str">
        <x:v>EXECUTABLE_NGRAM</x:v>
      </x:c>
      <x:c r="E43" s="31" t="str">
        <x:v>COMPATIBLE</x:v>
      </x:c>
      <x:c r="F43" s="55" t="b">
        <x:v>1</x:v>
      </x:c>
      <x:c r="G43" s="31" t="str">
        <x:v>Compatible exact string/phrase for unsmoothed public Ngram retrieval (current interface supports up to seven words).</x:v>
      </x:c>
      <x:c r="H43" s="19" t="str">
        <x:v>CONTEXT_REQUIRED</x:v>
      </x:c>
      <x:c r="I43" s="31" t="str">
        <x:v>Fear of Temperature_ Stratified Lexical Expansion, Voice Mapping, and Semantic-Relational Pre-Valida.pdf</x:v>
      </x:c>
      <x:c r="J43" s="31" t="str">
        <x:v>8</x:v>
      </x:c>
      <x:c r="K43" s="43" t="str">
        <x:v>RECONSTRUCTED_FROM_REPORT</x:v>
      </x:c>
    </x:row>
    <x:row r="44" ht="28" customHeight="1">
      <x:c r="A44" s="40" t="str">
        <x:v>FT-Q-V01-040</x:v>
      </x:c>
      <x:c r="B44" s="19" t="str">
        <x:v>1938</x:v>
      </x:c>
      <x:c r="C44" s="31" t="str">
        <x:v>Heat Wave Over Queensland</x:v>
      </x:c>
      <x:c r="D44" s="19" t="str">
        <x:v>EXECUTABLE_NGRAM</x:v>
      </x:c>
      <x:c r="E44" s="31" t="str">
        <x:v>COMPATIBLE</x:v>
      </x:c>
      <x:c r="F44" s="55" t="b">
        <x:v>1</x:v>
      </x:c>
      <x:c r="G44" s="31" t="str">
        <x:v>Compatible exact string/phrase for unsmoothed public Ngram retrieval (current interface supports up to seven words).</x:v>
      </x:c>
      <x:c r="H44" s="19" t="str">
        <x:v>CONTEXT_REQUIRED</x:v>
      </x:c>
      <x:c r="I44" s="31" t="str">
        <x:v>Fear of Temperature_ Stratified Lexical Expansion, Voice Mapping, and Semantic-Relational Pre-Valida.pdf</x:v>
      </x:c>
      <x:c r="J44" s="31" t="str">
        <x:v>8</x:v>
      </x:c>
      <x:c r="K44" s="43" t="str">
        <x:v>RECONSTRUCTED_FROM_REPORT</x:v>
      </x:c>
    </x:row>
    <x:row r="45" ht="28" customHeight="1">
      <x:c r="A45" s="40" t="str">
        <x:v>FT-Q-V01-041</x:v>
      </x:c>
      <x:c r="B45" s="19" t="str">
        <x:v>1988</x:v>
      </x:c>
      <x:c r="C45" s="31" t="str">
        <x:v>greenhouse effect</x:v>
      </x:c>
      <x:c r="D45" s="19" t="str">
        <x:v>EXECUTABLE_NGRAM</x:v>
      </x:c>
      <x:c r="E45" s="31" t="str">
        <x:v>COMPATIBLE</x:v>
      </x:c>
      <x:c r="F45" s="55" t="b">
        <x:v>1</x:v>
      </x:c>
      <x:c r="G45" s="31" t="str">
        <x:v>Compatible exact string/phrase for unsmoothed public Ngram retrieval (current interface supports up to seven words).</x:v>
      </x:c>
      <x:c r="H45" s="19" t="str">
        <x:v>CLIMATE_SPECIFIC</x:v>
      </x:c>
      <x:c r="I45" s="31" t="str">
        <x:v>Fear of Temperature_ Stratified Lexical Expansion, Voice Mapping, and Semantic-Relational Pre-Valida.pdf</x:v>
      </x:c>
      <x:c r="J45" s="31" t="str">
        <x:v>9</x:v>
      </x:c>
      <x:c r="K45" s="43" t="str">
        <x:v>RECONSTRUCTED_FROM_REPORT</x:v>
      </x:c>
    </x:row>
    <x:row r="46" ht="28" customHeight="1">
      <x:c r="A46" s="40" t="str">
        <x:v>FT-Q-V01-042</x:v>
      </x:c>
      <x:c r="B46" s="19" t="str">
        <x:v>1988</x:v>
      </x:c>
      <x:c r="C46" s="31" t="str">
        <x:v>global warming</x:v>
      </x:c>
      <x:c r="D46" s="19" t="str">
        <x:v>EXECUTABLE_NGRAM</x:v>
      </x:c>
      <x:c r="E46" s="31" t="str">
        <x:v>COMPATIBLE</x:v>
      </x:c>
      <x:c r="F46" s="55" t="b">
        <x:v>1</x:v>
      </x:c>
      <x:c r="G46" s="31" t="str">
        <x:v>Compatible exact string/phrase for unsmoothed public Ngram retrieval (current interface supports up to seven words).</x:v>
      </x:c>
      <x:c r="H46" s="19" t="str">
        <x:v>CLIMATE_SPECIFIC</x:v>
      </x:c>
      <x:c r="I46" s="31" t="str">
        <x:v>Fear of Temperature_ Stratified Lexical Expansion, Voice Mapping, and Semantic-Relational Pre-Valida.pdf</x:v>
      </x:c>
      <x:c r="J46" s="31" t="str">
        <x:v>9</x:v>
      </x:c>
      <x:c r="K46" s="43" t="str">
        <x:v>RECONSTRUCTED_FROM_REPORT</x:v>
      </x:c>
    </x:row>
    <x:row r="47" ht="28" customHeight="1">
      <x:c r="A47" s="40" t="str">
        <x:v>FT-Q-V01-043</x:v>
      </x:c>
      <x:c r="B47" s="19" t="str">
        <x:v>1988</x:v>
      </x:c>
      <x:c r="C47" s="31" t="str">
        <x:v>earth is warmer</x:v>
      </x:c>
      <x:c r="D47" s="19" t="str">
        <x:v>EXECUTABLE_NGRAM</x:v>
      </x:c>
      <x:c r="E47" s="31" t="str">
        <x:v>COMPATIBLE</x:v>
      </x:c>
      <x:c r="F47" s="55" t="b">
        <x:v>1</x:v>
      </x:c>
      <x:c r="G47" s="31" t="str">
        <x:v>Compatible exact string/phrase for unsmoothed public Ngram retrieval (current interface supports up to seven words).</x:v>
      </x:c>
      <x:c r="H47" s="19" t="str">
        <x:v>CONTEXT_REQUIRED</x:v>
      </x:c>
      <x:c r="I47" s="31" t="str">
        <x:v>Fear of Temperature_ Stratified Lexical Expansion, Voice Mapping, and Semantic-Relational Pre-Valida.pdf</x:v>
      </x:c>
      <x:c r="J47" s="31" t="str">
        <x:v>9</x:v>
      </x:c>
      <x:c r="K47" s="43" t="str">
        <x:v>RECONSTRUCTED_FROM_REPORT</x:v>
      </x:c>
    </x:row>
    <x:row r="48" ht="28" customHeight="1">
      <x:c r="A48" s="40" t="str">
        <x:v>FT-Q-V01-044</x:v>
      </x:c>
      <x:c r="B48" s="19" t="str">
        <x:v>1988</x:v>
      </x:c>
      <x:c r="C48" s="31" t="str">
        <x:v>instrumental measurements</x:v>
      </x:c>
      <x:c r="D48" s="19" t="str">
        <x:v>EXECUTABLE_NGRAM</x:v>
      </x:c>
      <x:c r="E48" s="31" t="str">
        <x:v>COMPATIBLE</x:v>
      </x:c>
      <x:c r="F48" s="55" t="b">
        <x:v>1</x:v>
      </x:c>
      <x:c r="G48" s="31" t="str">
        <x:v>Compatible exact string/phrase for unsmoothed public Ngram retrieval (current interface supports up to seven words).</x:v>
      </x:c>
      <x:c r="H48" s="19" t="str">
        <x:v>CONTEXT_REQUIRED</x:v>
      </x:c>
      <x:c r="I48" s="31" t="str">
        <x:v>Fear of Temperature_ Stratified Lexical Expansion, Voice Mapping, and Semantic-Relational Pre-Valida.pdf</x:v>
      </x:c>
      <x:c r="J48" s="31" t="str">
        <x:v>9</x:v>
      </x:c>
      <x:c r="K48" s="43" t="str">
        <x:v>RECONSTRUCTED_FROM_REPORT</x:v>
      </x:c>
    </x:row>
    <x:row r="49" ht="28" customHeight="1">
      <x:c r="A49" s="40" t="str">
        <x:v>FT-Q-V01-045</x:v>
      </x:c>
      <x:c r="B49" s="19" t="str">
        <x:v>1988</x:v>
      </x:c>
      <x:c r="C49" s="31" t="str">
        <x:v>cause-and-effect relationship</x:v>
      </x:c>
      <x:c r="D49" s="19" t="str">
        <x:v>EXECUTABLE_NGRAM</x:v>
      </x:c>
      <x:c r="E49" s="31" t="str">
        <x:v>COMPATIBLE</x:v>
      </x:c>
      <x:c r="F49" s="55" t="b">
        <x:v>1</x:v>
      </x:c>
      <x:c r="G49" s="31" t="str">
        <x:v>Compatible exact string/phrase for unsmoothed public Ngram retrieval (current interface supports up to seven words).</x:v>
      </x:c>
      <x:c r="H49" s="19" t="str">
        <x:v>CONTEXT_REQUIRED</x:v>
      </x:c>
      <x:c r="I49" s="31" t="str">
        <x:v>Fear of Temperature_ Stratified Lexical Expansion, Voice Mapping, and Semantic-Relational Pre-Valida.pdf</x:v>
      </x:c>
      <x:c r="J49" s="31" t="str">
        <x:v>9</x:v>
      </x:c>
      <x:c r="K49" s="43" t="str">
        <x:v>RECONSTRUCTED_FROM_REPORT</x:v>
      </x:c>
    </x:row>
    <x:row r="50" ht="28" customHeight="1">
      <x:c r="A50" s="40" t="str">
        <x:v>FT-Q-V01-046</x:v>
      </x:c>
      <x:c r="B50" s="19" t="str">
        <x:v>1988</x:v>
      </x:c>
      <x:c r="C50" s="31" t="str">
        <x:v>global temperature</x:v>
      </x:c>
      <x:c r="D50" s="19" t="str">
        <x:v>EXECUTABLE_NGRAM</x:v>
      </x:c>
      <x:c r="E50" s="31" t="str">
        <x:v>COMPATIBLE</x:v>
      </x:c>
      <x:c r="F50" s="55" t="b">
        <x:v>1</x:v>
      </x:c>
      <x:c r="G50" s="31" t="str">
        <x:v>Compatible exact string/phrase for unsmoothed public Ngram retrieval (current interface supports up to seven words).</x:v>
      </x:c>
      <x:c r="H50" s="19" t="str">
        <x:v>CONTEXT_REQUIRED</x:v>
      </x:c>
      <x:c r="I50" s="31" t="str">
        <x:v>Fear of Temperature_ Stratified Lexical Expansion, Voice Mapping, and Semantic-Relational Pre-Valida.pdf</x:v>
      </x:c>
      <x:c r="J50" s="31" t="str">
        <x:v>9</x:v>
      </x:c>
      <x:c r="K50" s="43" t="str">
        <x:v>RECONSTRUCTED_FROM_REPORT</x:v>
      </x:c>
    </x:row>
    <x:row r="51" ht="28" customHeight="1">
      <x:c r="A51" s="40" t="str">
        <x:v>FT-Q-V01-047</x:v>
      </x:c>
      <x:c r="B51" s="19" t="str">
        <x:v>1988</x:v>
      </x:c>
      <x:c r="C51" s="31" t="str">
        <x:v>regional heat waves</x:v>
      </x:c>
      <x:c r="D51" s="19" t="str">
        <x:v>EXECUTABLE_NGRAM</x:v>
      </x:c>
      <x:c r="E51" s="31" t="str">
        <x:v>COMPATIBLE</x:v>
      </x:c>
      <x:c r="F51" s="55" t="b">
        <x:v>1</x:v>
      </x:c>
      <x:c r="G51" s="31" t="str">
        <x:v>Compatible exact string/phrase for unsmoothed public Ngram retrieval (current interface supports up to seven words).</x:v>
      </x:c>
      <x:c r="H51" s="19" t="str">
        <x:v>CONTEXT_REQUIRED</x:v>
      </x:c>
      <x:c r="I51" s="31" t="str">
        <x:v>Fear of Temperature_ Stratified Lexical Expansion, Voice Mapping, and Semantic-Relational Pre-Valida.pdf</x:v>
      </x:c>
      <x:c r="J51" s="31" t="str">
        <x:v>9</x:v>
      </x:c>
      <x:c r="K51" s="43" t="str">
        <x:v>RECONSTRUCTED_FROM_REPORT</x:v>
      </x:c>
    </x:row>
    <x:row r="52" ht="28" customHeight="1">
      <x:c r="A52" s="40" t="str">
        <x:v>FT-Q-V01-048</x:v>
      </x:c>
      <x:c r="B52" s="19" t="str">
        <x:v>1988</x:v>
      </x:c>
      <x:c r="C52" s="31" t="str">
        <x:v>heat wave</x:v>
      </x:c>
      <x:c r="D52" s="19" t="str">
        <x:v>EXECUTABLE_NGRAM</x:v>
      </x:c>
      <x:c r="E52" s="31" t="str">
        <x:v>COMPATIBLE</x:v>
      </x:c>
      <x:c r="F52" s="55" t="b">
        <x:v>1</x:v>
      </x:c>
      <x:c r="G52" s="31" t="str">
        <x:v>Compatible exact string/phrase for unsmoothed public Ngram retrieval (current interface supports up to seven words).</x:v>
      </x:c>
      <x:c r="H52" s="19" t="str">
        <x:v>CLIMATE_SPECIFIC</x:v>
      </x:c>
      <x:c r="I52" s="31" t="str">
        <x:v>Fear of Temperature_ Stratified Lexical Expansion, Voice Mapping, and Semantic-Relational Pre-Valida.pdf</x:v>
      </x:c>
      <x:c r="J52" s="31" t="str">
        <x:v>9</x:v>
      </x:c>
      <x:c r="K52" s="43" t="str">
        <x:v>RECONSTRUCTED_FROM_REPORT</x:v>
      </x:c>
    </x:row>
    <x:row r="53" ht="28" customHeight="1">
      <x:c r="A53" s="40" t="str">
        <x:v>FT-Q-V01-049</x:v>
      </x:c>
      <x:c r="B53" s="19" t="str">
        <x:v>1988</x:v>
      </x:c>
      <x:c r="C53" s="31" t="str">
        <x:v>drought</x:v>
      </x:c>
      <x:c r="D53" s="19" t="str">
        <x:v>BACKGROUND_AMBIGUOUS</x:v>
      </x:c>
      <x:c r="E53" s="31" t="str">
        <x:v>COMPATIBLE</x:v>
      </x:c>
      <x:c r="F53" s="55" t="b">
        <x:v>1</x:v>
      </x:c>
      <x:c r="G53" s="31" t="str">
        <x:v>Compatible exact string/phrase for unsmoothed public Ngram retrieval (current interface supports up to seven words).</x:v>
      </x:c>
      <x:c r="H53" s="19" t="str">
        <x:v>BACKGROUND_AMBIGUOUS</x:v>
      </x:c>
      <x:c r="I53" s="31" t="str">
        <x:v>Fear of Temperature_ Stratified Lexical Expansion, Voice Mapping, and Semantic-Relational Pre-Valida.pdf</x:v>
      </x:c>
      <x:c r="J53" s="31" t="str">
        <x:v>9</x:v>
      </x:c>
      <x:c r="K53" s="43" t="str">
        <x:v>RECONSTRUCTED_FROM_REPORT</x:v>
      </x:c>
    </x:row>
    <x:row r="54" ht="28" customHeight="1">
      <x:c r="A54" s="40" t="str">
        <x:v>FT-Q-V01-050</x:v>
      </x:c>
      <x:c r="B54" s="19" t="str">
        <x:v>1988</x:v>
      </x:c>
      <x:c r="C54" s="31" t="str">
        <x:v>heat wave/drought occurrences</x:v>
      </x:c>
      <x:c r="D54" s="19" t="str">
        <x:v>EXECUTABLE_CORPUS_ONLY</x:v>
      </x:c>
      <x:c r="E54" s="31" t="str">
        <x:v>STRUCTURALLY_UNSUPPORTED</x:v>
      </x:c>
      <x:c r="F54" s="55" t="b">
        <x:v>0</x:v>
      </x:c>
      <x:c r="G54" s="31" t="str">
        <x:v>Slash construction is not a defensible isolated Ngram phrase.</x:v>
      </x:c>
      <x:c r="H54" s="19" t="str">
        <x:v>CONTEXT_REQUIRED</x:v>
      </x:c>
      <x:c r="I54" s="31" t="str">
        <x:v>Fear of Temperature_ Stratified Lexical Expansion, Voice Mapping, and Semantic-Relational Pre-Valida.pdf</x:v>
      </x:c>
      <x:c r="J54" s="31" t="str">
        <x:v>9</x:v>
      </x:c>
      <x:c r="K54" s="43" t="str">
        <x:v>RECONSTRUCTED_FROM_REPORT</x:v>
      </x:c>
    </x:row>
    <x:row r="55" ht="28" customHeight="1">
      <x:c r="A55" s="40" t="str">
        <x:v>FT-Q-V01-051</x:v>
      </x:c>
      <x:c r="B55" s="19" t="str">
        <x:v>1988</x:v>
      </x:c>
      <x:c r="C55" s="31" t="str">
        <x:v>extreme events</x:v>
      </x:c>
      <x:c r="D55" s="19" t="str">
        <x:v>EXECUTABLE_NGRAM</x:v>
      </x:c>
      <x:c r="E55" s="31" t="str">
        <x:v>COMPATIBLE</x:v>
      </x:c>
      <x:c r="F55" s="55" t="b">
        <x:v>1</x:v>
      </x:c>
      <x:c r="G55" s="31" t="str">
        <x:v>Compatible exact string/phrase for unsmoothed public Ngram retrieval (current interface supports up to seven words).</x:v>
      </x:c>
      <x:c r="H55" s="19" t="str">
        <x:v>CONTEXT_REQUIRED</x:v>
      </x:c>
      <x:c r="I55" s="31" t="str">
        <x:v>Fear of Temperature_ Stratified Lexical Expansion, Voice Mapping, and Semantic-Relational Pre-Valida.pdf</x:v>
      </x:c>
      <x:c r="J55" s="31" t="str">
        <x:v>9</x:v>
      </x:c>
      <x:c r="K55" s="43" t="str">
        <x:v>RECONSTRUCTED_FROM_REPORT</x:v>
      </x:c>
    </x:row>
    <x:row r="56" ht="28" customHeight="1">
      <x:c r="A56" s="40" t="str">
        <x:v>FT-Q-V01-052</x:v>
      </x:c>
      <x:c r="B56" s="19" t="str">
        <x:v>1988</x:v>
      </x:c>
      <x:c r="C56" s="31" t="str">
        <x:v>global climate models</x:v>
      </x:c>
      <x:c r="D56" s="19" t="str">
        <x:v>EXECUTABLE_NGRAM</x:v>
      </x:c>
      <x:c r="E56" s="31" t="str">
        <x:v>COMPATIBLE</x:v>
      </x:c>
      <x:c r="F56" s="55" t="b">
        <x:v>1</x:v>
      </x:c>
      <x:c r="G56" s="31" t="str">
        <x:v>Compatible exact string/phrase for unsmoothed public Ngram retrieval (current interface supports up to seven words).</x:v>
      </x:c>
      <x:c r="H56" s="19" t="str">
        <x:v>CONTEXT_REQUIRED</x:v>
      </x:c>
      <x:c r="I56" s="31" t="str">
        <x:v>Fear of Temperature_ Stratified Lexical Expansion, Voice Mapping, and Semantic-Relational Pre-Valida.pdf</x:v>
      </x:c>
      <x:c r="J56" s="31" t="str">
        <x:v>9</x:v>
      </x:c>
      <x:c r="K56" s="43" t="str">
        <x:v>RECONSTRUCTED_FROM_REPORT</x:v>
      </x:c>
    </x:row>
    <x:row r="57" ht="28" customHeight="1">
      <x:c r="A57" s="40" t="str">
        <x:v>FT-Q-V01-053</x:v>
      </x:c>
      <x:c r="B57" s="19" t="str">
        <x:v>1988</x:v>
      </x:c>
      <x:c r="C57" s="31" t="str">
        <x:v>global observations</x:v>
      </x:c>
      <x:c r="D57" s="19" t="str">
        <x:v>EXECUTABLE_NGRAM</x:v>
      </x:c>
      <x:c r="E57" s="31" t="str">
        <x:v>COMPATIBLE</x:v>
      </x:c>
      <x:c r="F57" s="55" t="b">
        <x:v>1</x:v>
      </x:c>
      <x:c r="G57" s="31" t="str">
        <x:v>Compatible exact string/phrase for unsmoothed public Ngram retrieval (current interface supports up to seven words).</x:v>
      </x:c>
      <x:c r="H57" s="19" t="str">
        <x:v>CONTEXT_REQUIRED</x:v>
      </x:c>
      <x:c r="I57" s="31" t="str">
        <x:v>Fear of Temperature_ Stratified Lexical Expansion, Voice Mapping, and Semantic-Relational Pre-Valida.pdf</x:v>
      </x:c>
      <x:c r="J57" s="31" t="str">
        <x:v>9</x:v>
      </x:c>
      <x:c r="K57" s="43" t="str">
        <x:v>RECONSTRUCTED_FROM_REPORT</x:v>
      </x:c>
    </x:row>
    <x:row r="58" ht="28" customHeight="1">
      <x:c r="A58" s="40" t="str">
        <x:v>FT-Q-V01-054</x:v>
      </x:c>
      <x:c r="B58" s="19" t="str">
        <x:v>1988</x:v>
      </x:c>
      <x:c r="C58" s="31" t="str">
        <x:v>warm air</x:v>
      </x:c>
      <x:c r="D58" s="19" t="str">
        <x:v>EXECUTABLE_NGRAM</x:v>
      </x:c>
      <x:c r="E58" s="31" t="str">
        <x:v>COMPATIBLE</x:v>
      </x:c>
      <x:c r="F58" s="55" t="b">
        <x:v>1</x:v>
      </x:c>
      <x:c r="G58" s="31" t="str">
        <x:v>Compatible exact string/phrase for unsmoothed public Ngram retrieval (current interface supports up to seven words).</x:v>
      </x:c>
      <x:c r="H58" s="19" t="str">
        <x:v>CONTEXT_REQUIRED</x:v>
      </x:c>
      <x:c r="I58" s="31" t="str">
        <x:v>Fear of Temperature_ Stratified Lexical Expansion, Voice Mapping, and Semantic-Relational Pre-Valida.pdf</x:v>
      </x:c>
      <x:c r="J58" s="31" t="str">
        <x:v>9</x:v>
      </x:c>
      <x:c r="K58" s="43" t="str">
        <x:v>RECONSTRUCTED_FROM_REPORT</x:v>
      </x:c>
    </x:row>
    <x:row r="59" ht="28" customHeight="1">
      <x:c r="A59" s="40" t="str">
        <x:v>FT-Q-V01-055</x:v>
      </x:c>
      <x:c r="B59" s="19" t="str">
        <x:v>1988</x:v>
      </x:c>
      <x:c r="C59" s="31" t="str">
        <x:v>changing atmosphere</x:v>
      </x:c>
      <x:c r="D59" s="19" t="str">
        <x:v>EXECUTABLE_NGRAM</x:v>
      </x:c>
      <x:c r="E59" s="31" t="str">
        <x:v>COMPATIBLE</x:v>
      </x:c>
      <x:c r="F59" s="55" t="b">
        <x:v>1</x:v>
      </x:c>
      <x:c r="G59" s="31" t="str">
        <x:v>Compatible exact string/phrase for unsmoothed public Ngram retrieval (current interface supports up to seven words).</x:v>
      </x:c>
      <x:c r="H59" s="19" t="str">
        <x:v>CLIMATE_SPECIFIC</x:v>
      </x:c>
      <x:c r="I59" s="31" t="str">
        <x:v>Fear of Temperature_ Stratified Lexical Expansion, Voice Mapping, and Semantic-Relational Pre-Valida.pdf</x:v>
      </x:c>
      <x:c r="J59" s="31" t="str">
        <x:v>9</x:v>
      </x:c>
      <x:c r="K59" s="43" t="str">
        <x:v>RECONSTRUCTED_FROM_REPORT</x:v>
      </x:c>
    </x:row>
    <x:row r="60" ht="28" customHeight="1">
      <x:c r="A60" s="40" t="str">
        <x:v>FT-Q-V01-056</x:v>
      </x:c>
      <x:c r="B60" s="19" t="str">
        <x:v>1988</x:v>
      </x:c>
      <x:c r="C60" s="31" t="str">
        <x:v>global security</x:v>
      </x:c>
      <x:c r="D60" s="19" t="str">
        <x:v>EXECUTABLE_NGRAM</x:v>
      </x:c>
      <x:c r="E60" s="31" t="str">
        <x:v>COMPATIBLE</x:v>
      </x:c>
      <x:c r="F60" s="55" t="b">
        <x:v>1</x:v>
      </x:c>
      <x:c r="G60" s="31" t="str">
        <x:v>Compatible exact string/phrase for unsmoothed public Ngram retrieval (current interface supports up to seven words).</x:v>
      </x:c>
      <x:c r="H60" s="19" t="str">
        <x:v>CONTEXT_REQUIRED</x:v>
      </x:c>
      <x:c r="I60" s="31" t="str">
        <x:v>Fear of Temperature_ Stratified Lexical Expansion, Voice Mapping, and Semantic-Relational Pre-Valida.pdf</x:v>
      </x:c>
      <x:c r="J60" s="31" t="str">
        <x:v>9</x:v>
      </x:c>
      <x:c r="K60" s="43" t="str">
        <x:v>RECONSTRUCTED_FROM_REPORT</x:v>
      </x:c>
    </x:row>
    <x:row r="61" ht="28" customHeight="1">
      <x:c r="A61" s="40" t="str">
        <x:v>FT-Q-V01-057</x:v>
      </x:c>
      <x:c r="B61" s="19" t="str">
        <x:v>1988</x:v>
      </x:c>
      <x:c r="C61" s="31" t="str">
        <x:v>climate warming</x:v>
      </x:c>
      <x:c r="D61" s="19" t="str">
        <x:v>EXECUTABLE_NGRAM</x:v>
      </x:c>
      <x:c r="E61" s="31" t="str">
        <x:v>COMPATIBLE</x:v>
      </x:c>
      <x:c r="F61" s="55" t="b">
        <x:v>1</x:v>
      </x:c>
      <x:c r="G61" s="31" t="str">
        <x:v>Compatible exact string/phrase for unsmoothed public Ngram retrieval (current interface supports up to seven words).</x:v>
      </x:c>
      <x:c r="H61" s="19" t="str">
        <x:v>CONTEXT_REQUIRED</x:v>
      </x:c>
      <x:c r="I61" s="31" t="str">
        <x:v>Fear of Temperature_ Stratified Lexical Expansion, Voice Mapping, and Semantic-Relational Pre-Valida.pdf</x:v>
      </x:c>
      <x:c r="J61" s="31" t="str">
        <x:v>9</x:v>
      </x:c>
      <x:c r="K61" s="43" t="str">
        <x:v>RECONSTRUCTED_FROM_REPORT</x:v>
      </x:c>
    </x:row>
    <x:row r="62" ht="28" customHeight="1">
      <x:c r="A62" s="40" t="str">
        <x:v>FT-Q-V01-058</x:v>
      </x:c>
      <x:c r="B62" s="19" t="str">
        <x:v>1988</x:v>
      </x:c>
      <x:c r="C62" s="31" t="str">
        <x:v>changed climatic extremes</x:v>
      </x:c>
      <x:c r="D62" s="19" t="str">
        <x:v>EXECUTABLE_NGRAM</x:v>
      </x:c>
      <x:c r="E62" s="31" t="str">
        <x:v>COMPATIBLE</x:v>
      </x:c>
      <x:c r="F62" s="55" t="b">
        <x:v>1</x:v>
      </x:c>
      <x:c r="G62" s="31" t="str">
        <x:v>Compatible exact string/phrase for unsmoothed public Ngram retrieval (current interface supports up to seven words).</x:v>
      </x:c>
      <x:c r="H62" s="19" t="str">
        <x:v>CONTEXT_REQUIRED</x:v>
      </x:c>
      <x:c r="I62" s="31" t="str">
        <x:v>Fear of Temperature_ Stratified Lexical Expansion, Voice Mapping, and Semantic-Relational Pre-Valida.pdf</x:v>
      </x:c>
      <x:c r="J62" s="31" t="str">
        <x:v>9</x:v>
      </x:c>
      <x:c r="K62" s="43" t="str">
        <x:v>RECONSTRUCTED_FROM_REPORT</x:v>
      </x:c>
    </x:row>
    <x:row r="63" ht="28" customHeight="1">
      <x:c r="A63" s="40" t="str">
        <x:v>FT-Q-V01-059</x:v>
      </x:c>
      <x:c r="B63" s="19" t="str">
        <x:v>1988</x:v>
      </x:c>
      <x:c r="C63" s="31" t="str">
        <x:v>major threat</x:v>
      </x:c>
      <x:c r="D63" s="19" t="str">
        <x:v>EXECUTABLE_NGRAM</x:v>
      </x:c>
      <x:c r="E63" s="31" t="str">
        <x:v>COMPATIBLE</x:v>
      </x:c>
      <x:c r="F63" s="55" t="b">
        <x:v>1</x:v>
      </x:c>
      <x:c r="G63" s="31" t="str">
        <x:v>Compatible exact string/phrase for unsmoothed public Ngram retrieval (current interface supports up to seven words).</x:v>
      </x:c>
      <x:c r="H63" s="19" t="str">
        <x:v>CONTEXT_REQUIRED</x:v>
      </x:c>
      <x:c r="I63" s="31" t="str">
        <x:v>Fear of Temperature_ Stratified Lexical Expansion, Voice Mapping, and Semantic-Relational Pre-Valida.pdf</x:v>
      </x:c>
      <x:c r="J63" s="31" t="str">
        <x:v>9</x:v>
      </x:c>
      <x:c r="K63" s="43" t="str">
        <x:v>RECONSTRUCTED_FROM_REPORT</x:v>
      </x:c>
    </x:row>
    <x:row r="64" ht="28" customHeight="1">
      <x:c r="A64" s="40" t="str">
        <x:v>FT-Q-V01-060</x:v>
      </x:c>
      <x:c r="B64" s="19" t="str">
        <x:v>1988</x:v>
      </x:c>
      <x:c r="C64" s="31" t="str">
        <x:v>harmful consequences</x:v>
      </x:c>
      <x:c r="D64" s="19" t="str">
        <x:v>EXECUTABLE_NGRAM</x:v>
      </x:c>
      <x:c r="E64" s="31" t="str">
        <x:v>COMPATIBLE</x:v>
      </x:c>
      <x:c r="F64" s="55" t="b">
        <x:v>1</x:v>
      </x:c>
      <x:c r="G64" s="31" t="str">
        <x:v>Compatible exact string/phrase for unsmoothed public Ngram retrieval (current interface supports up to seven words).</x:v>
      </x:c>
      <x:c r="H64" s="19" t="str">
        <x:v>CONTEXT_REQUIRED</x:v>
      </x:c>
      <x:c r="I64" s="31" t="str">
        <x:v>Fear of Temperature_ Stratified Lexical Expansion, Voice Mapping, and Semantic-Relational Pre-Valida.pdf</x:v>
      </x:c>
      <x:c r="J64" s="31" t="str">
        <x:v>9</x:v>
      </x:c>
      <x:c r="K64" s="43" t="str">
        <x:v>RECONSTRUCTED_FROM_REPORT</x:v>
      </x:c>
    </x:row>
    <x:row r="65" ht="28" customHeight="1">
      <x:c r="A65" s="40" t="str">
        <x:v>FT-Q-V01-061</x:v>
      </x:c>
      <x:c r="B65" s="19" t="str">
        <x:v>2006–2007</x:v>
      </x:c>
      <x:c r="C65" s="31" t="str">
        <x:v>warming of the climate system</x:v>
      </x:c>
      <x:c r="D65" s="19" t="str">
        <x:v>EXECUTABLE_NGRAM</x:v>
      </x:c>
      <x:c r="E65" s="31" t="str">
        <x:v>COMPATIBLE</x:v>
      </x:c>
      <x:c r="F65" s="55" t="b">
        <x:v>1</x:v>
      </x:c>
      <x:c r="G65" s="31" t="str">
        <x:v>Compatible exact string/phrase for unsmoothed public Ngram retrieval (current interface supports up to seven words).</x:v>
      </x:c>
      <x:c r="H65" s="19" t="str">
        <x:v>CONTEXT_REQUIRED</x:v>
      </x:c>
      <x:c r="I65" s="31" t="str">
        <x:v>Fear of Temperature_ Stratified Lexical Expansion, Voice Mapping, and Semantic-Relational Pre-Valida.pdf</x:v>
      </x:c>
      <x:c r="J65" s="31" t="str">
        <x:v>10</x:v>
      </x:c>
      <x:c r="K65" s="43" t="str">
        <x:v>RECONSTRUCTED_FROM_REPORT</x:v>
      </x:c>
    </x:row>
    <x:row r="66" ht="28" customHeight="1">
      <x:c r="A66" s="40" t="str">
        <x:v>FT-Q-V01-062</x:v>
      </x:c>
      <x:c r="B66" s="19" t="str">
        <x:v>2006–2007</x:v>
      </x:c>
      <x:c r="C66" s="31" t="str">
        <x:v>unequivocal</x:v>
      </x:c>
      <x:c r="D66" s="19" t="str">
        <x:v>EXECUTABLE_NGRAM</x:v>
      </x:c>
      <x:c r="E66" s="31" t="str">
        <x:v>COMPATIBLE</x:v>
      </x:c>
      <x:c r="F66" s="55" t="b">
        <x:v>1</x:v>
      </x:c>
      <x:c r="G66" s="31" t="str">
        <x:v>Compatible exact string/phrase for unsmoothed public Ngram retrieval (current interface supports up to seven words).</x:v>
      </x:c>
      <x:c r="H66" s="19" t="str">
        <x:v>CONTEXT_REQUIRED</x:v>
      </x:c>
      <x:c r="I66" s="31" t="str">
        <x:v>Fear of Temperature_ Stratified Lexical Expansion, Voice Mapping, and Semantic-Relational Pre-Valida.pdf</x:v>
      </x:c>
      <x:c r="J66" s="31" t="str">
        <x:v>10</x:v>
      </x:c>
      <x:c r="K66" s="43" t="str">
        <x:v>RECONSTRUCTED_FROM_REPORT</x:v>
      </x:c>
    </x:row>
    <x:row r="67" ht="28" customHeight="1">
      <x:c r="A67" s="40" t="str">
        <x:v>FT-Q-V01-063</x:v>
      </x:c>
      <x:c r="B67" s="19" t="str">
        <x:v>2006–2007</x:v>
      </x:c>
      <x:c r="C67" s="31" t="str">
        <x:v>global average air and ocean temperatures</x:v>
      </x:c>
      <x:c r="D67" s="19" t="str">
        <x:v>EXECUTABLE_NGRAM</x:v>
      </x:c>
      <x:c r="E67" s="31" t="str">
        <x:v>COMPATIBLE</x:v>
      </x:c>
      <x:c r="F67" s="55" t="b">
        <x:v>1</x:v>
      </x:c>
      <x:c r="G67" s="31" t="str">
        <x:v>Compatible exact string/phrase for unsmoothed public Ngram retrieval (current interface supports up to seven words).</x:v>
      </x:c>
      <x:c r="H67" s="19" t="str">
        <x:v>CONTEXT_REQUIRED</x:v>
      </x:c>
      <x:c r="I67" s="31" t="str">
        <x:v>Fear of Temperature_ Stratified Lexical Expansion, Voice Mapping, and Semantic-Relational Pre-Valida.pdf</x:v>
      </x:c>
      <x:c r="J67" s="31" t="str">
        <x:v>10</x:v>
      </x:c>
      <x:c r="K67" s="43" t="str">
        <x:v>RECONSTRUCTED_FROM_REPORT</x:v>
      </x:c>
    </x:row>
    <x:row r="68" ht="28" customHeight="1">
      <x:c r="A68" s="40" t="str">
        <x:v>FT-Q-V01-064</x:v>
      </x:c>
      <x:c r="B68" s="19" t="str">
        <x:v>2006–2007</x:v>
      </x:c>
      <x:c r="C68" s="31" t="str">
        <x:v>global surface temperature</x:v>
      </x:c>
      <x:c r="D68" s="19" t="str">
        <x:v>EXECUTABLE_NGRAM</x:v>
      </x:c>
      <x:c r="E68" s="31" t="str">
        <x:v>COMPATIBLE</x:v>
      </x:c>
      <x:c r="F68" s="55" t="b">
        <x:v>1</x:v>
      </x:c>
      <x:c r="G68" s="31" t="str">
        <x:v>Compatible exact string/phrase for unsmoothed public Ngram retrieval (current interface supports up to seven words).</x:v>
      </x:c>
      <x:c r="H68" s="19" t="str">
        <x:v>CONTEXT_REQUIRED</x:v>
      </x:c>
      <x:c r="I68" s="31" t="str">
        <x:v>Fear of Temperature_ Stratified Lexical Expansion, Voice Mapping, and Semantic-Relational Pre-Valida.pdf</x:v>
      </x:c>
      <x:c r="J68" s="31" t="str">
        <x:v>10</x:v>
      </x:c>
      <x:c r="K68" s="43" t="str">
        <x:v>RECONSTRUCTED_FROM_REPORT</x:v>
      </x:c>
    </x:row>
    <x:row r="69" ht="28" customHeight="1">
      <x:c r="A69" s="40" t="str">
        <x:v>FT-Q-V01-065</x:v>
      </x:c>
      <x:c r="B69" s="19" t="str">
        <x:v>2006–2007</x:v>
      </x:c>
      <x:c r="C69" s="31" t="str">
        <x:v>temperature increase</x:v>
      </x:c>
      <x:c r="D69" s="19" t="str">
        <x:v>EXECUTABLE_NGRAM</x:v>
      </x:c>
      <x:c r="E69" s="31" t="str">
        <x:v>COMPATIBLE</x:v>
      </x:c>
      <x:c r="F69" s="55" t="b">
        <x:v>1</x:v>
      </x:c>
      <x:c r="G69" s="31" t="str">
        <x:v>Compatible exact string/phrase for unsmoothed public Ngram retrieval (current interface supports up to seven words).</x:v>
      </x:c>
      <x:c r="H69" s="19" t="str">
        <x:v>CLIMATE_SPECIFIC</x:v>
      </x:c>
      <x:c r="I69" s="31" t="str">
        <x:v>Fear of Temperature_ Stratified Lexical Expansion, Voice Mapping, and Semantic-Relational Pre-Valida.pdf</x:v>
      </x:c>
      <x:c r="J69" s="31" t="str">
        <x:v>10</x:v>
      </x:c>
      <x:c r="K69" s="43" t="str">
        <x:v>RECONSTRUCTED_FROM_REPORT</x:v>
      </x:c>
    </x:row>
    <x:row r="70" ht="28" customHeight="1">
      <x:c r="A70" s="40" t="str">
        <x:v>FT-Q-V01-066</x:v>
      </x:c>
      <x:c r="B70" s="19" t="str">
        <x:v>2006–2007</x:v>
      </x:c>
      <x:c r="C70" s="31" t="str">
        <x:v>rising global average sea level</x:v>
      </x:c>
      <x:c r="D70" s="19" t="str">
        <x:v>EXECUTABLE_NGRAM</x:v>
      </x:c>
      <x:c r="E70" s="31" t="str">
        <x:v>COMPATIBLE</x:v>
      </x:c>
      <x:c r="F70" s="55" t="b">
        <x:v>1</x:v>
      </x:c>
      <x:c r="G70" s="31" t="str">
        <x:v>Compatible exact string/phrase for unsmoothed public Ngram retrieval (current interface supports up to seven words).</x:v>
      </x:c>
      <x:c r="H70" s="19" t="str">
        <x:v>CONTEXT_REQUIRED</x:v>
      </x:c>
      <x:c r="I70" s="31" t="str">
        <x:v>Fear of Temperature_ Stratified Lexical Expansion, Voice Mapping, and Semantic-Relational Pre-Valida.pdf</x:v>
      </x:c>
      <x:c r="J70" s="31" t="str">
        <x:v>10</x:v>
      </x:c>
      <x:c r="K70" s="43" t="str">
        <x:v>RECONSTRUCTED_FROM_REPORT</x:v>
      </x:c>
    </x:row>
    <x:row r="71" ht="28" customHeight="1">
      <x:c r="A71" s="40" t="str">
        <x:v>FT-Q-V01-067</x:v>
      </x:c>
      <x:c r="B71" s="19" t="str">
        <x:v>2006–2007</x:v>
      </x:c>
      <x:c r="C71" s="31" t="str">
        <x:v>widespread melting of snow and ice</x:v>
      </x:c>
      <x:c r="D71" s="19" t="str">
        <x:v>EXECUTABLE_NGRAM</x:v>
      </x:c>
      <x:c r="E71" s="31" t="str">
        <x:v>COMPATIBLE</x:v>
      </x:c>
      <x:c r="F71" s="55" t="b">
        <x:v>1</x:v>
      </x:c>
      <x:c r="G71" s="31" t="str">
        <x:v>Compatible exact string/phrase for unsmoothed public Ngram retrieval (current interface supports up to seven words).</x:v>
      </x:c>
      <x:c r="H71" s="19" t="str">
        <x:v>CONTEXT_REQUIRED</x:v>
      </x:c>
      <x:c r="I71" s="31" t="str">
        <x:v>Fear of Temperature_ Stratified Lexical Expansion, Voice Mapping, and Semantic-Relational Pre-Valida.pdf</x:v>
      </x:c>
      <x:c r="J71" s="31" t="str">
        <x:v>10</x:v>
      </x:c>
      <x:c r="K71" s="43" t="str">
        <x:v>RECONSTRUCTED_FROM_REPORT</x:v>
      </x:c>
    </x:row>
    <x:row r="72" ht="28" customHeight="1">
      <x:c r="A72" s="40" t="str">
        <x:v>FT-Q-V01-068</x:v>
      </x:c>
      <x:c r="B72" s="19" t="str">
        <x:v>2006–2007</x:v>
      </x:c>
      <x:c r="C72" s="31" t="str">
        <x:v>anthropogenic CO₂</x:v>
      </x:c>
      <x:c r="D72" s="19" t="str">
        <x:v>EXECUTABLE_CORPUS_ONLY</x:v>
      </x:c>
      <x:c r="E72" s="31" t="str">
        <x:v>NUMERIC_OR_SYMBOLIC</x:v>
      </x:c>
      <x:c r="F72" s="55" t="b">
        <x:v>0</x:v>
      </x:c>
      <x:c r="G72" s="31" t="str">
        <x:v>Degree/subscript notation is not queried as an isolated public-interface Ngram.</x:v>
      </x:c>
      <x:c r="H72" s="19" t="str">
        <x:v>CONTEXT_REQUIRED</x:v>
      </x:c>
      <x:c r="I72" s="31" t="str">
        <x:v>Fear of Temperature_ Stratified Lexical Expansion, Voice Mapping, and Semantic-Relational Pre-Valida.pdf</x:v>
      </x:c>
      <x:c r="J72" s="31" t="str">
        <x:v>10</x:v>
      </x:c>
      <x:c r="K72" s="43" t="str">
        <x:v>RECONSTRUCTED_FROM_REPORT</x:v>
      </x:c>
    </x:row>
    <x:row r="73" ht="28" customHeight="1">
      <x:c r="A73" s="40" t="str">
        <x:v>FT-Q-V01-069</x:v>
      </x:c>
      <x:c r="B73" s="19" t="str">
        <x:v>2006–2007</x:v>
      </x:c>
      <x:c r="C73" s="31" t="str">
        <x:v>anthropogenic GHG emissions</x:v>
      </x:c>
      <x:c r="D73" s="19" t="str">
        <x:v>EXECUTABLE_NGRAM</x:v>
      </x:c>
      <x:c r="E73" s="31" t="str">
        <x:v>COMPATIBLE</x:v>
      </x:c>
      <x:c r="F73" s="55" t="b">
        <x:v>1</x:v>
      </x:c>
      <x:c r="G73" s="31" t="str">
        <x:v>Compatible exact string/phrase for unsmoothed public Ngram retrieval (current interface supports up to seven words).</x:v>
      </x:c>
      <x:c r="H73" s="19" t="str">
        <x:v>CONTEXT_REQUIRED</x:v>
      </x:c>
      <x:c r="I73" s="31" t="str">
        <x:v>Fear of Temperature_ Stratified Lexical Expansion, Voice Mapping, and Semantic-Relational Pre-Valida.pdf</x:v>
      </x:c>
      <x:c r="J73" s="31" t="str">
        <x:v>10</x:v>
      </x:c>
      <x:c r="K73" s="43" t="str">
        <x:v>RECONSTRUCTED_FROM_REPORT</x:v>
      </x:c>
    </x:row>
    <x:row r="74" ht="28" customHeight="1">
      <x:c r="A74" s="40" t="str">
        <x:v>FT-Q-V01-070</x:v>
      </x:c>
      <x:c r="B74" s="19" t="str">
        <x:v>2006–2007</x:v>
      </x:c>
      <x:c r="C74" s="31" t="str">
        <x:v>climate change</x:v>
      </x:c>
      <x:c r="D74" s="19" t="str">
        <x:v>EXECUTABLE_NGRAM</x:v>
      </x:c>
      <x:c r="E74" s="31" t="str">
        <x:v>COMPATIBLE</x:v>
      </x:c>
      <x:c r="F74" s="55" t="b">
        <x:v>1</x:v>
      </x:c>
      <x:c r="G74" s="31" t="str">
        <x:v>Compatible exact string/phrase for unsmoothed public Ngram retrieval (current interface supports up to seven words).</x:v>
      </x:c>
      <x:c r="H74" s="19" t="str">
        <x:v>CLIMATE_SPECIFIC</x:v>
      </x:c>
      <x:c r="I74" s="31" t="str">
        <x:v>Fear of Temperature_ Stratified Lexical Expansion, Voice Mapping, and Semantic-Relational Pre-Valida.pdf</x:v>
      </x:c>
      <x:c r="J74" s="31" t="str">
        <x:v>10</x:v>
      </x:c>
      <x:c r="K74" s="43" t="str">
        <x:v>RECONSTRUCTED_FROM_REPORT</x:v>
      </x:c>
    </x:row>
    <x:row r="75" ht="28" customHeight="1">
      <x:c r="A75" s="40" t="str">
        <x:v>FT-Q-V01-071</x:v>
      </x:c>
      <x:c r="B75" s="19" t="str">
        <x:v>2006–2007</x:v>
      </x:c>
      <x:c r="C75" s="31" t="str">
        <x:v>global warming</x:v>
      </x:c>
      <x:c r="D75" s="19" t="str">
        <x:v>EXECUTABLE_NGRAM</x:v>
      </x:c>
      <x:c r="E75" s="31" t="str">
        <x:v>COMPATIBLE</x:v>
      </x:c>
      <x:c r="F75" s="55" t="b">
        <x:v>1</x:v>
      </x:c>
      <x:c r="G75" s="31" t="str">
        <x:v>Compatible exact string/phrase for unsmoothed public Ngram retrieval (current interface supports up to seven words).</x:v>
      </x:c>
      <x:c r="H75" s="19" t="str">
        <x:v>CLIMATE_SPECIFIC</x:v>
      </x:c>
      <x:c r="I75" s="31" t="str">
        <x:v>Fear of Temperature_ Stratified Lexical Expansion, Voice Mapping, and Semantic-Relational Pre-Valida.pdf</x:v>
      </x:c>
      <x:c r="J75" s="31" t="str">
        <x:v>10</x:v>
      </x:c>
      <x:c r="K75" s="43" t="str">
        <x:v>RECONSTRUCTED_FROM_REPORT</x:v>
      </x:c>
    </x:row>
    <x:row r="76" ht="28" customHeight="1">
      <x:c r="A76" s="40" t="str">
        <x:v>FT-Q-V01-072</x:v>
      </x:c>
      <x:c r="B76" s="19" t="str">
        <x:v>2006–2007</x:v>
      </x:c>
      <x:c r="C76" s="31" t="str">
        <x:v>serious global threat</x:v>
      </x:c>
      <x:c r="D76" s="19" t="str">
        <x:v>EXECUTABLE_NGRAM</x:v>
      </x:c>
      <x:c r="E76" s="31" t="str">
        <x:v>COMPATIBLE</x:v>
      </x:c>
      <x:c r="F76" s="55" t="b">
        <x:v>1</x:v>
      </x:c>
      <x:c r="G76" s="31" t="str">
        <x:v>Compatible exact string/phrase for unsmoothed public Ngram retrieval (current interface supports up to seven words).</x:v>
      </x:c>
      <x:c r="H76" s="19" t="str">
        <x:v>CONTEXT_REQUIRED</x:v>
      </x:c>
      <x:c r="I76" s="31" t="str">
        <x:v>Fear of Temperature_ Stratified Lexical Expansion, Voice Mapping, and Semantic-Relational Pre-Valida.pdf</x:v>
      </x:c>
      <x:c r="J76" s="31" t="str">
        <x:v>10</x:v>
      </x:c>
      <x:c r="K76" s="43" t="str">
        <x:v>RECONSTRUCTED_FROM_REPORT</x:v>
      </x:c>
    </x:row>
    <x:row r="77" ht="28" customHeight="1">
      <x:c r="A77" s="40" t="str">
        <x:v>FT-Q-V01-073</x:v>
      </x:c>
      <x:c r="B77" s="19" t="str">
        <x:v>2006–2007</x:v>
      </x:c>
      <x:c r="C77" s="31" t="str">
        <x:v>urgent global response</x:v>
      </x:c>
      <x:c r="D77" s="19" t="str">
        <x:v>EXECUTABLE_NGRAM</x:v>
      </x:c>
      <x:c r="E77" s="31" t="str">
        <x:v>COMPATIBLE</x:v>
      </x:c>
      <x:c r="F77" s="55" t="b">
        <x:v>1</x:v>
      </x:c>
      <x:c r="G77" s="31" t="str">
        <x:v>Compatible exact string/phrase for unsmoothed public Ngram retrieval (current interface supports up to seven words).</x:v>
      </x:c>
      <x:c r="H77" s="19" t="str">
        <x:v>CONTEXT_REQUIRED</x:v>
      </x:c>
      <x:c r="I77" s="31" t="str">
        <x:v>Fear of Temperature_ Stratified Lexical Expansion, Voice Mapping, and Semantic-Relational Pre-Valida.pdf</x:v>
      </x:c>
      <x:c r="J77" s="31" t="str">
        <x:v>10</x:v>
      </x:c>
      <x:c r="K77" s="43" t="str">
        <x:v>RECONSTRUCTED_FROM_REPORT</x:v>
      </x:c>
    </x:row>
    <x:row r="78" ht="28" customHeight="1">
      <x:c r="A78" s="40" t="str">
        <x:v>FT-Q-V01-074</x:v>
      </x:c>
      <x:c r="B78" s="19" t="str">
        <x:v>2006–2007</x:v>
      </x:c>
      <x:c r="C78" s="31" t="str">
        <x:v>costs and risks of climate change</x:v>
      </x:c>
      <x:c r="D78" s="19" t="str">
        <x:v>EXECUTABLE_NGRAM</x:v>
      </x:c>
      <x:c r="E78" s="31" t="str">
        <x:v>COMPATIBLE</x:v>
      </x:c>
      <x:c r="F78" s="55" t="b">
        <x:v>1</x:v>
      </x:c>
      <x:c r="G78" s="31" t="str">
        <x:v>Compatible exact string/phrase for unsmoothed public Ngram retrieval (current interface supports up to seven words).</x:v>
      </x:c>
      <x:c r="H78" s="19" t="str">
        <x:v>CONTEXT_REQUIRED</x:v>
      </x:c>
      <x:c r="I78" s="31" t="str">
        <x:v>Fear of Temperature_ Stratified Lexical Expansion, Voice Mapping, and Semantic-Relational Pre-Valida.pdf</x:v>
      </x:c>
      <x:c r="J78" s="31" t="str">
        <x:v>10</x:v>
      </x:c>
      <x:c r="K78" s="43" t="str">
        <x:v>RECONSTRUCTED_FROM_REPORT</x:v>
      </x:c>
    </x:row>
    <x:row r="79" ht="28" customHeight="1">
      <x:c r="A79" s="40" t="str">
        <x:v>FT-Q-V01-075</x:v>
      </x:c>
      <x:c r="B79" s="19" t="str">
        <x:v>2006–2007</x:v>
      </x:c>
      <x:c r="C79" s="31" t="str">
        <x:v>impacts of climate change</x:v>
      </x:c>
      <x:c r="D79" s="19" t="str">
        <x:v>EXECUTABLE_NGRAM</x:v>
      </x:c>
      <x:c r="E79" s="31" t="str">
        <x:v>COMPATIBLE</x:v>
      </x:c>
      <x:c r="F79" s="55" t="b">
        <x:v>1</x:v>
      </x:c>
      <x:c r="G79" s="31" t="str">
        <x:v>Compatible exact string/phrase for unsmoothed public Ngram retrieval (current interface supports up to seven words).</x:v>
      </x:c>
      <x:c r="H79" s="19" t="str">
        <x:v>CONTEXT_REQUIRED</x:v>
      </x:c>
      <x:c r="I79" s="31" t="str">
        <x:v>Fear of Temperature_ Stratified Lexical Expansion, Voice Mapping, and Semantic-Relational Pre-Valida.pdf</x:v>
      </x:c>
      <x:c r="J79" s="31" t="str">
        <x:v>10</x:v>
      </x:c>
      <x:c r="K79" s="43" t="str">
        <x:v>RECONSTRUCTED_FROM_REPORT</x:v>
      </x:c>
    </x:row>
    <x:row r="80" ht="28" customHeight="1">
      <x:c r="A80" s="40" t="str">
        <x:v>FT-Q-V01-076</x:v>
      </x:c>
      <x:c r="B80" s="19" t="str">
        <x:v>2006–2007</x:v>
      </x:c>
      <x:c r="C80" s="31" t="str">
        <x:v>damage</x:v>
      </x:c>
      <x:c r="D80" s="19" t="str">
        <x:v>BACKGROUND_AMBIGUOUS</x:v>
      </x:c>
      <x:c r="E80" s="31" t="str">
        <x:v>COMPATIBLE</x:v>
      </x:c>
      <x:c r="F80" s="55" t="b">
        <x:v>1</x:v>
      </x:c>
      <x:c r="G80" s="31" t="str">
        <x:v>Compatible exact string/phrase for unsmoothed public Ngram retrieval (current interface supports up to seven words).</x:v>
      </x:c>
      <x:c r="H80" s="19" t="str">
        <x:v>BACKGROUND_AMBIGUOUS</x:v>
      </x:c>
      <x:c r="I80" s="31" t="str">
        <x:v>Fear of Temperature_ Stratified Lexical Expansion, Voice Mapping, and Semantic-Relational Pre-Valida.pdf</x:v>
      </x:c>
      <x:c r="J80" s="31" t="str">
        <x:v>10</x:v>
      </x:c>
      <x:c r="K80" s="43" t="str">
        <x:v>RECONSTRUCTED_FROM_REPORT</x:v>
      </x:c>
    </x:row>
    <x:row r="81" ht="28" customHeight="1">
      <x:c r="A81" s="40" t="str">
        <x:v>FT-Q-V01-077</x:v>
      </x:c>
      <x:c r="B81" s="19" t="str">
        <x:v>2006–2007</x:v>
      </x:c>
      <x:c r="C81" s="31" t="str">
        <x:v>hunger</x:v>
      </x:c>
      <x:c r="D81" s="19" t="str">
        <x:v>EXECUTABLE_NGRAM</x:v>
      </x:c>
      <x:c r="E81" s="31" t="str">
        <x:v>COMPATIBLE</x:v>
      </x:c>
      <x:c r="F81" s="55" t="b">
        <x:v>1</x:v>
      </x:c>
      <x:c r="G81" s="31" t="str">
        <x:v>Compatible exact string/phrase for unsmoothed public Ngram retrieval (current interface supports up to seven words).</x:v>
      </x:c>
      <x:c r="H81" s="19" t="str">
        <x:v>CONTEXT_REQUIRED</x:v>
      </x:c>
      <x:c r="I81" s="31" t="str">
        <x:v>Fear of Temperature_ Stratified Lexical Expansion, Voice Mapping, and Semantic-Relational Pre-Valida.pdf</x:v>
      </x:c>
      <x:c r="J81" s="31" t="str">
        <x:v>10</x:v>
      </x:c>
      <x:c r="K81" s="43" t="str">
        <x:v>RECONSTRUCTED_FROM_REPORT</x:v>
      </x:c>
    </x:row>
    <x:row r="82" ht="28" customHeight="1">
      <x:c r="A82" s="40" t="str">
        <x:v>FT-Q-V01-078</x:v>
      </x:c>
      <x:c r="B82" s="19" t="str">
        <x:v>2006–2007</x:v>
      </x:c>
      <x:c r="C82" s="31" t="str">
        <x:v>water shortages</x:v>
      </x:c>
      <x:c r="D82" s="19" t="str">
        <x:v>EXECUTABLE_NGRAM</x:v>
      </x:c>
      <x:c r="E82" s="31" t="str">
        <x:v>COMPATIBLE</x:v>
      </x:c>
      <x:c r="F82" s="55" t="b">
        <x:v>1</x:v>
      </x:c>
      <x:c r="G82" s="31" t="str">
        <x:v>Compatible exact string/phrase for unsmoothed public Ngram retrieval (current interface supports up to seven words).</x:v>
      </x:c>
      <x:c r="H82" s="19" t="str">
        <x:v>CONTEXT_REQUIRED</x:v>
      </x:c>
      <x:c r="I82" s="31" t="str">
        <x:v>Fear of Temperature_ Stratified Lexical Expansion, Voice Mapping, and Semantic-Relational Pre-Valida.pdf</x:v>
      </x:c>
      <x:c r="J82" s="31" t="str">
        <x:v>10</x:v>
      </x:c>
      <x:c r="K82" s="43" t="str">
        <x:v>RECONSTRUCTED_FROM_REPORT</x:v>
      </x:c>
    </x:row>
    <x:row r="83" ht="28" customHeight="1">
      <x:c r="A83" s="40" t="str">
        <x:v>FT-Q-V01-079</x:v>
      </x:c>
      <x:c r="B83" s="19" t="str">
        <x:v>2006–2007</x:v>
      </x:c>
      <x:c r="C83" s="31" t="str">
        <x:v>coastal flooding</x:v>
      </x:c>
      <x:c r="D83" s="19" t="str">
        <x:v>EXECUTABLE_NGRAM</x:v>
      </x:c>
      <x:c r="E83" s="31" t="str">
        <x:v>COMPATIBLE</x:v>
      </x:c>
      <x:c r="F83" s="55" t="b">
        <x:v>1</x:v>
      </x:c>
      <x:c r="G83" s="31" t="str">
        <x:v>Compatible exact string/phrase for unsmoothed public Ngram retrieval (current interface supports up to seven words).</x:v>
      </x:c>
      <x:c r="H83" s="19" t="str">
        <x:v>CONTEXT_REQUIRED</x:v>
      </x:c>
      <x:c r="I83" s="31" t="str">
        <x:v>Fear of Temperature_ Stratified Lexical Expansion, Voice Mapping, and Semantic-Relational Pre-Valida.pdf</x:v>
      </x:c>
      <x:c r="J83" s="31" t="str">
        <x:v>10</x:v>
      </x:c>
      <x:c r="K83" s="43" t="str">
        <x:v>RECONSTRUCTED_FROM_REPORT</x:v>
      </x:c>
    </x:row>
    <x:row r="84" ht="28" customHeight="1">
      <x:c r="A84" s="40" t="str">
        <x:v>FT-Q-V01-080</x:v>
      </x:c>
      <x:c r="B84" s="19" t="str">
        <x:v>2006–2007</x:v>
      </x:c>
      <x:c r="C84" s="31" t="str">
        <x:v>worst impacts</x:v>
      </x:c>
      <x:c r="D84" s="19" t="str">
        <x:v>EXECUTABLE_NGRAM</x:v>
      </x:c>
      <x:c r="E84" s="31" t="str">
        <x:v>COMPATIBLE</x:v>
      </x:c>
      <x:c r="F84" s="55" t="b">
        <x:v>1</x:v>
      </x:c>
      <x:c r="G84" s="31" t="str">
        <x:v>Compatible exact string/phrase for unsmoothed public Ngram retrieval (current interface supports up to seven words).</x:v>
      </x:c>
      <x:c r="H84" s="19" t="str">
        <x:v>CONTEXT_REQUIRED</x:v>
      </x:c>
      <x:c r="I84" s="31" t="str">
        <x:v>Fear of Temperature_ Stratified Lexical Expansion, Voice Mapping, and Semantic-Relational Pre-Valida.pdf</x:v>
      </x:c>
      <x:c r="J84" s="31" t="str">
        <x:v>10</x:v>
      </x:c>
      <x:c r="K84" s="43" t="str">
        <x:v>RECONSTRUCTED_FROM_REPORT</x:v>
      </x:c>
    </x:row>
    <x:row r="85" ht="28" customHeight="1">
      <x:c r="A85" s="40" t="str">
        <x:v>FT-Q-V01-081</x:v>
      </x:c>
      <x:c r="B85" s="19" t="str">
        <x:v>2015</x:v>
      </x:c>
      <x:c r="C85" s="31" t="str">
        <x:v>climate change</x:v>
      </x:c>
      <x:c r="D85" s="19" t="str">
        <x:v>EXECUTABLE_NGRAM</x:v>
      </x:c>
      <x:c r="E85" s="31" t="str">
        <x:v>COMPATIBLE</x:v>
      </x:c>
      <x:c r="F85" s="55" t="b">
        <x:v>1</x:v>
      </x:c>
      <x:c r="G85" s="31" t="str">
        <x:v>Compatible exact string/phrase for unsmoothed public Ngram retrieval (current interface supports up to seven words).</x:v>
      </x:c>
      <x:c r="H85" s="19" t="str">
        <x:v>CLIMATE_SPECIFIC</x:v>
      </x:c>
      <x:c r="I85" s="31" t="str">
        <x:v>Fear of Temperature_ Stratified Lexical Expansion, Voice Mapping, and Semantic-Relational Pre-Valida.pdf</x:v>
      </x:c>
      <x:c r="J85" s="31" t="str">
        <x:v>11</x:v>
      </x:c>
      <x:c r="K85" s="43" t="str">
        <x:v>RECONSTRUCTED_FROM_REPORT</x:v>
      </x:c>
    </x:row>
    <x:row r="86" ht="28" customHeight="1">
      <x:c r="A86" s="40" t="str">
        <x:v>FT-Q-V01-082</x:v>
      </x:c>
      <x:c r="B86" s="19" t="str">
        <x:v>2015</x:v>
      </x:c>
      <x:c r="C86" s="31" t="str">
        <x:v>threat of climate change</x:v>
      </x:c>
      <x:c r="D86" s="19" t="str">
        <x:v>EXECUTABLE_NGRAM</x:v>
      </x:c>
      <x:c r="E86" s="31" t="str">
        <x:v>COMPATIBLE</x:v>
      </x:c>
      <x:c r="F86" s="55" t="b">
        <x:v>1</x:v>
      </x:c>
      <x:c r="G86" s="31" t="str">
        <x:v>Compatible exact string/phrase for unsmoothed public Ngram retrieval (current interface supports up to seven words).</x:v>
      </x:c>
      <x:c r="H86" s="19" t="str">
        <x:v>CONTEXT_REQUIRED</x:v>
      </x:c>
      <x:c r="I86" s="31" t="str">
        <x:v>Fear of Temperature_ Stratified Lexical Expansion, Voice Mapping, and Semantic-Relational Pre-Valida.pdf</x:v>
      </x:c>
      <x:c r="J86" s="31" t="str">
        <x:v>11</x:v>
      </x:c>
      <x:c r="K86" s="43" t="str">
        <x:v>RECONSTRUCTED_FROM_REPORT</x:v>
      </x:c>
    </x:row>
    <x:row r="87" ht="28" customHeight="1">
      <x:c r="A87" s="40" t="str">
        <x:v>FT-Q-V01-083</x:v>
      </x:c>
      <x:c r="B87" s="19" t="str">
        <x:v>2015</x:v>
      </x:c>
      <x:c r="C87" s="31" t="str">
        <x:v>global average temperature</x:v>
      </x:c>
      <x:c r="D87" s="19" t="str">
        <x:v>EXECUTABLE_NGRAM</x:v>
      </x:c>
      <x:c r="E87" s="31" t="str">
        <x:v>COMPATIBLE</x:v>
      </x:c>
      <x:c r="F87" s="55" t="b">
        <x:v>1</x:v>
      </x:c>
      <x:c r="G87" s="31" t="str">
        <x:v>Compatible exact string/phrase for unsmoothed public Ngram retrieval (current interface supports up to seven words).</x:v>
      </x:c>
      <x:c r="H87" s="19" t="str">
        <x:v>CLIMATE_SPECIFIC</x:v>
      </x:c>
      <x:c r="I87" s="31" t="str">
        <x:v>Fear of Temperature_ Stratified Lexical Expansion, Voice Mapping, and Semantic-Relational Pre-Valida.pdf</x:v>
      </x:c>
      <x:c r="J87" s="31" t="str">
        <x:v>11</x:v>
      </x:c>
      <x:c r="K87" s="43" t="str">
        <x:v>RECONSTRUCTED_FROM_REPORT</x:v>
      </x:c>
    </x:row>
    <x:row r="88" ht="28" customHeight="1">
      <x:c r="A88" s="40" t="str">
        <x:v>FT-Q-V01-084</x:v>
      </x:c>
      <x:c r="B88" s="19" t="str">
        <x:v>2015</x:v>
      </x:c>
      <x:c r="C88" s="31" t="str">
        <x:v>well below 2°C above pre-industrial levels</x:v>
      </x:c>
      <x:c r="D88" s="19" t="str">
        <x:v>EXECUTABLE_CORPUS_ONLY</x:v>
      </x:c>
      <x:c r="E88" s="31" t="str">
        <x:v>NUMERIC_OR_SYMBOLIC</x:v>
      </x:c>
      <x:c r="F88" s="55" t="b">
        <x:v>0</x:v>
      </x:c>
      <x:c r="G88" s="31" t="str">
        <x:v>Degree/subscript notation is not queried as an isolated public-interface Ngram.</x:v>
      </x:c>
      <x:c r="H88" s="19" t="str">
        <x:v>CONTEXT_REQUIRED</x:v>
      </x:c>
      <x:c r="I88" s="31" t="str">
        <x:v>Fear of Temperature_ Stratified Lexical Expansion, Voice Mapping, and Semantic-Relational Pre-Valida.pdf</x:v>
      </x:c>
      <x:c r="J88" s="31" t="str">
        <x:v>11</x:v>
      </x:c>
      <x:c r="K88" s="43" t="str">
        <x:v>RECONSTRUCTED_FROM_REPORT</x:v>
      </x:c>
    </x:row>
    <x:row r="89" ht="28" customHeight="1">
      <x:c r="A89" s="40" t="str">
        <x:v>FT-Q-V01-085</x:v>
      </x:c>
      <x:c r="B89" s="19" t="str">
        <x:v>2015</x:v>
      </x:c>
      <x:c r="C89" s="31" t="str">
        <x:v>1.5°C above pre-industrial levels</x:v>
      </x:c>
      <x:c r="D89" s="19" t="str">
        <x:v>EXECUTABLE_CORPUS_ONLY</x:v>
      </x:c>
      <x:c r="E89" s="31" t="str">
        <x:v>NUMERIC_OR_SYMBOLIC</x:v>
      </x:c>
      <x:c r="F89" s="55" t="b">
        <x:v>0</x:v>
      </x:c>
      <x:c r="G89" s="31" t="str">
        <x:v>Degree/subscript notation is not queried as an isolated public-interface Ngram.</x:v>
      </x:c>
      <x:c r="H89" s="19" t="str">
        <x:v>CONTEXT_REQUIRED</x:v>
      </x:c>
      <x:c r="I89" s="31" t="str">
        <x:v>Fear of Temperature_ Stratified Lexical Expansion, Voice Mapping, and Semantic-Relational Pre-Valida.pdf</x:v>
      </x:c>
      <x:c r="J89" s="31" t="str">
        <x:v>11</x:v>
      </x:c>
      <x:c r="K89" s="43" t="str">
        <x:v>RECONSTRUCTED_FROM_REPORT</x:v>
      </x:c>
    </x:row>
    <x:row r="90" ht="28" customHeight="1">
      <x:c r="A90" s="40" t="str">
        <x:v>FT-Q-V01-086</x:v>
      </x:c>
      <x:c r="B90" s="19" t="str">
        <x:v>2015</x:v>
      </x:c>
      <x:c r="C90" s="31" t="str">
        <x:v>pre-industrial levels</x:v>
      </x:c>
      <x:c r="D90" s="19" t="str">
        <x:v>EXECUTABLE_NGRAM</x:v>
      </x:c>
      <x:c r="E90" s="31" t="str">
        <x:v>COMPATIBLE</x:v>
      </x:c>
      <x:c r="F90" s="55" t="b">
        <x:v>1</x:v>
      </x:c>
      <x:c r="G90" s="31" t="str">
        <x:v>Compatible exact string/phrase for unsmoothed public Ngram retrieval (current interface supports up to seven words).</x:v>
      </x:c>
      <x:c r="H90" s="19" t="str">
        <x:v>CONTEXT_REQUIRED</x:v>
      </x:c>
      <x:c r="I90" s="31" t="str">
        <x:v>Fear of Temperature_ Stratified Lexical Expansion, Voice Mapping, and Semantic-Relational Pre-Valida.pdf</x:v>
      </x:c>
      <x:c r="J90" s="31" t="str">
        <x:v>11</x:v>
      </x:c>
      <x:c r="K90" s="43" t="str">
        <x:v>RECONSTRUCTED_FROM_REPORT</x:v>
      </x:c>
    </x:row>
    <x:row r="91" ht="28" customHeight="1">
      <x:c r="A91" s="40" t="str">
        <x:v>FT-Q-V01-087</x:v>
      </x:c>
      <x:c r="B91" s="19" t="str">
        <x:v>2015</x:v>
      </x:c>
      <x:c r="C91" s="31" t="str">
        <x:v>risks and impacts</x:v>
      </x:c>
      <x:c r="D91" s="19" t="str">
        <x:v>EXECUTABLE_NGRAM</x:v>
      </x:c>
      <x:c r="E91" s="31" t="str">
        <x:v>COMPATIBLE</x:v>
      </x:c>
      <x:c r="F91" s="55" t="b">
        <x:v>1</x:v>
      </x:c>
      <x:c r="G91" s="31" t="str">
        <x:v>Compatible exact string/phrase for unsmoothed public Ngram retrieval (current interface supports up to seven words).</x:v>
      </x:c>
      <x:c r="H91" s="19" t="str">
        <x:v>CONTEXT_REQUIRED</x:v>
      </x:c>
      <x:c r="I91" s="31" t="str">
        <x:v>Fear of Temperature_ Stratified Lexical Expansion, Voice Mapping, and Semantic-Relational Pre-Valida.pdf</x:v>
      </x:c>
      <x:c r="J91" s="31" t="str">
        <x:v>11</x:v>
      </x:c>
      <x:c r="K91" s="43" t="str">
        <x:v>RECONSTRUCTED_FROM_REPORT</x:v>
      </x:c>
    </x:row>
    <x:row r="92" ht="28" customHeight="1">
      <x:c r="A92" s="40" t="str">
        <x:v>FT-Q-V01-088</x:v>
      </x:c>
      <x:c r="B92" s="19" t="str">
        <x:v>2015</x:v>
      </x:c>
      <x:c r="C92" s="31" t="str">
        <x:v>adverse impacts</x:v>
      </x:c>
      <x:c r="D92" s="19" t="str">
        <x:v>EXECUTABLE_NGRAM</x:v>
      </x:c>
      <x:c r="E92" s="31" t="str">
        <x:v>COMPATIBLE</x:v>
      </x:c>
      <x:c r="F92" s="55" t="b">
        <x:v>1</x:v>
      </x:c>
      <x:c r="G92" s="31" t="str">
        <x:v>Compatible exact string/phrase for unsmoothed public Ngram retrieval (current interface supports up to seven words).</x:v>
      </x:c>
      <x:c r="H92" s="19" t="str">
        <x:v>CONTEXT_REQUIRED</x:v>
      </x:c>
      <x:c r="I92" s="31" t="str">
        <x:v>Fear of Temperature_ Stratified Lexical Expansion, Voice Mapping, and Semantic-Relational Pre-Valida.pdf</x:v>
      </x:c>
      <x:c r="J92" s="31" t="str">
        <x:v>11</x:v>
      </x:c>
      <x:c r="K92" s="43" t="str">
        <x:v>RECONSTRUCTED_FROM_REPORT</x:v>
      </x:c>
    </x:row>
    <x:row r="93" ht="28" customHeight="1">
      <x:c r="A93" s="40" t="str">
        <x:v>FT-Q-V01-089</x:v>
      </x:c>
      <x:c r="B93" s="19" t="str">
        <x:v>2015</x:v>
      </x:c>
      <x:c r="C93" s="31" t="str">
        <x:v>adverse effects of climate change</x:v>
      </x:c>
      <x:c r="D93" s="19" t="str">
        <x:v>EXECUTABLE_NGRAM</x:v>
      </x:c>
      <x:c r="E93" s="31" t="str">
        <x:v>COMPATIBLE</x:v>
      </x:c>
      <x:c r="F93" s="55" t="b">
        <x:v>1</x:v>
      </x:c>
      <x:c r="G93" s="31" t="str">
        <x:v>Compatible exact string/phrase for unsmoothed public Ngram retrieval (current interface supports up to seven words).</x:v>
      </x:c>
      <x:c r="H93" s="19" t="str">
        <x:v>CONTEXT_REQUIRED</x:v>
      </x:c>
      <x:c r="I93" s="31" t="str">
        <x:v>Fear of Temperature_ Stratified Lexical Expansion, Voice Mapping, and Semantic-Relational Pre-Valida.pdf</x:v>
      </x:c>
      <x:c r="J93" s="31" t="str">
        <x:v>11</x:v>
      </x:c>
      <x:c r="K93" s="43" t="str">
        <x:v>RECONSTRUCTED_FROM_REPORT</x:v>
      </x:c>
    </x:row>
    <x:row r="94" ht="28" customHeight="1">
      <x:c r="A94" s="40" t="str">
        <x:v>FT-Q-V01-090</x:v>
      </x:c>
      <x:c r="B94" s="19" t="str">
        <x:v>2015</x:v>
      </x:c>
      <x:c r="C94" s="31" t="str">
        <x:v>greenhouse gas emissions</x:v>
      </x:c>
      <x:c r="D94" s="19" t="str">
        <x:v>EXECUTABLE_NGRAM</x:v>
      </x:c>
      <x:c r="E94" s="31" t="str">
        <x:v>COMPATIBLE</x:v>
      </x:c>
      <x:c r="F94" s="55" t="b">
        <x:v>1</x:v>
      </x:c>
      <x:c r="G94" s="31" t="str">
        <x:v>Compatible exact string/phrase for unsmoothed public Ngram retrieval (current interface supports up to seven words).</x:v>
      </x:c>
      <x:c r="H94" s="19" t="str">
        <x:v>CONTEXT_REQUIRED</x:v>
      </x:c>
      <x:c r="I94" s="31" t="str">
        <x:v>Fear of Temperature_ Stratified Lexical Expansion, Voice Mapping, and Semantic-Relational Pre-Valida.pdf</x:v>
      </x:c>
      <x:c r="J94" s="31" t="str">
        <x:v>11</x:v>
      </x:c>
      <x:c r="K94" s="43" t="str">
        <x:v>RECONSTRUCTED_FROM_REPORT</x:v>
      </x:c>
    </x:row>
    <x:row r="95" ht="28" customHeight="1">
      <x:c r="A95" s="40" t="str">
        <x:v>FT-Q-V01-091</x:v>
      </x:c>
      <x:c r="B95" s="19" t="str">
        <x:v>2015</x:v>
      </x:c>
      <x:c r="C95" s="31" t="str">
        <x:v>climate resilience</x:v>
      </x:c>
      <x:c r="D95" s="19" t="str">
        <x:v>EXECUTABLE_NGRAM</x:v>
      </x:c>
      <x:c r="E95" s="31" t="str">
        <x:v>COMPATIBLE</x:v>
      </x:c>
      <x:c r="F95" s="55" t="b">
        <x:v>1</x:v>
      </x:c>
      <x:c r="G95" s="31" t="str">
        <x:v>Compatible exact string/phrase for unsmoothed public Ngram retrieval (current interface supports up to seven words).</x:v>
      </x:c>
      <x:c r="H95" s="19" t="str">
        <x:v>CONTEXT_REQUIRED</x:v>
      </x:c>
      <x:c r="I95" s="31" t="str">
        <x:v>Fear of Temperature_ Stratified Lexical Expansion, Voice Mapping, and Semantic-Relational Pre-Valida.pdf</x:v>
      </x:c>
      <x:c r="J95" s="31" t="str">
        <x:v>11</x:v>
      </x:c>
      <x:c r="K95" s="43" t="str">
        <x:v>RECONSTRUCTED_FROM_REPORT</x:v>
      </x:c>
    </x:row>
    <x:row r="96" ht="28" customHeight="1">
      <x:c r="A96" s="40" t="str">
        <x:v>FT-Q-V01-092</x:v>
      </x:c>
      <x:c r="B96" s="19" t="str">
        <x:v>2015</x:v>
      </x:c>
      <x:c r="C96" s="31" t="str">
        <x:v>vulnerability</x:v>
      </x:c>
      <x:c r="D96" s="19" t="str">
        <x:v>EXECUTABLE_NGRAM</x:v>
      </x:c>
      <x:c r="E96" s="31" t="str">
        <x:v>COMPATIBLE</x:v>
      </x:c>
      <x:c r="F96" s="55" t="b">
        <x:v>1</x:v>
      </x:c>
      <x:c r="G96" s="31" t="str">
        <x:v>Compatible exact string/phrase for unsmoothed public Ngram retrieval (current interface supports up to seven words).</x:v>
      </x:c>
      <x:c r="H96" s="19" t="str">
        <x:v>CONTEXT_REQUIRED</x:v>
      </x:c>
      <x:c r="I96" s="31" t="str">
        <x:v>Fear of Temperature_ Stratified Lexical Expansion, Voice Mapping, and Semantic-Relational Pre-Valida.pdf</x:v>
      </x:c>
      <x:c r="J96" s="31" t="str">
        <x:v>11</x:v>
      </x:c>
      <x:c r="K96" s="43" t="str">
        <x:v>RECONSTRUCTED_FROM_REPORT</x:v>
      </x:c>
    </x:row>
    <x:row r="97" ht="28" customHeight="1">
      <x:c r="A97" s="40" t="str">
        <x:v>FT-Q-V01-093</x:v>
      </x:c>
      <x:c r="B97" s="19" t="str">
        <x:v>2015</x:v>
      </x:c>
      <x:c r="C97" s="31" t="str">
        <x:v>vulnerable groups</x:v>
      </x:c>
      <x:c r="D97" s="19" t="str">
        <x:v>EXECUTABLE_NGRAM</x:v>
      </x:c>
      <x:c r="E97" s="31" t="str">
        <x:v>COMPATIBLE</x:v>
      </x:c>
      <x:c r="F97" s="55" t="b">
        <x:v>1</x:v>
      </x:c>
      <x:c r="G97" s="31" t="str">
        <x:v>Compatible exact string/phrase for unsmoothed public Ngram retrieval (current interface supports up to seven words).</x:v>
      </x:c>
      <x:c r="H97" s="19" t="str">
        <x:v>CONTEXT_REQUIRED</x:v>
      </x:c>
      <x:c r="I97" s="31" t="str">
        <x:v>Fear of Temperature_ Stratified Lexical Expansion, Voice Mapping, and Semantic-Relational Pre-Valida.pdf</x:v>
      </x:c>
      <x:c r="J97" s="31" t="str">
        <x:v>11</x:v>
      </x:c>
      <x:c r="K97" s="43" t="str">
        <x:v>RECONSTRUCTED_FROM_REPORT</x:v>
      </x:c>
    </x:row>
    <x:row r="98" ht="28" customHeight="1">
      <x:c r="A98" s="40" t="str">
        <x:v>FT-Q-V01-094</x:v>
      </x:c>
      <x:c r="B98" s="19" t="str">
        <x:v>2015</x:v>
      </x:c>
      <x:c r="C98" s="31" t="str">
        <x:v>loss and damage</x:v>
      </x:c>
      <x:c r="D98" s="19" t="str">
        <x:v>EXECUTABLE_NGRAM</x:v>
      </x:c>
      <x:c r="E98" s="31" t="str">
        <x:v>COMPATIBLE</x:v>
      </x:c>
      <x:c r="F98" s="55" t="b">
        <x:v>1</x:v>
      </x:c>
      <x:c r="G98" s="31" t="str">
        <x:v>Compatible exact string/phrase for unsmoothed public Ngram retrieval (current interface supports up to seven words).</x:v>
      </x:c>
      <x:c r="H98" s="19" t="str">
        <x:v>CLIMATE_SPECIFIC</x:v>
      </x:c>
      <x:c r="I98" s="31" t="str">
        <x:v>Fear of Temperature_ Stratified Lexical Expansion, Voice Mapping, and Semantic-Relational Pre-Valida.pdf</x:v>
      </x:c>
      <x:c r="J98" s="31" t="str">
        <x:v>11</x:v>
      </x:c>
      <x:c r="K98" s="43" t="str">
        <x:v>RECONSTRUCTED_FROM_REPORT</x:v>
      </x:c>
    </x:row>
    <x:row r="99" ht="28" customHeight="1">
      <x:c r="A99" s="40" t="str">
        <x:v>FT-Q-V01-095</x:v>
      </x:c>
      <x:c r="B99" s="19" t="str">
        <x:v>2015</x:v>
      </x:c>
      <x:c r="C99" s="31" t="str">
        <x:v>extreme weather events</x:v>
      </x:c>
      <x:c r="D99" s="19" t="str">
        <x:v>EXECUTABLE_NGRAM</x:v>
      </x:c>
      <x:c r="E99" s="31" t="str">
        <x:v>COMPATIBLE</x:v>
      </x:c>
      <x:c r="F99" s="55" t="b">
        <x:v>1</x:v>
      </x:c>
      <x:c r="G99" s="31" t="str">
        <x:v>Compatible exact string/phrase for unsmoothed public Ngram retrieval (current interface supports up to seven words).</x:v>
      </x:c>
      <x:c r="H99" s="19" t="str">
        <x:v>CONTEXT_REQUIRED</x:v>
      </x:c>
      <x:c r="I99" s="31" t="str">
        <x:v>Fear of Temperature_ Stratified Lexical Expansion, Voice Mapping, and Semantic-Relational Pre-Valida.pdf</x:v>
      </x:c>
      <x:c r="J99" s="31" t="str">
        <x:v>11</x:v>
      </x:c>
      <x:c r="K99" s="43" t="str">
        <x:v>RECONSTRUCTED_FROM_REPORT</x:v>
      </x:c>
    </x:row>
    <x:row r="100" ht="28" customHeight="1">
      <x:c r="A100" s="40" t="str">
        <x:v>FT-Q-V01-096</x:v>
      </x:c>
      <x:c r="B100" s="19" t="str">
        <x:v>2015</x:v>
      </x:c>
      <x:c r="C100" s="31" t="str">
        <x:v>slow onset events</x:v>
      </x:c>
      <x:c r="D100" s="19" t="str">
        <x:v>EXECUTABLE_NGRAM</x:v>
      </x:c>
      <x:c r="E100" s="31" t="str">
        <x:v>COMPATIBLE</x:v>
      </x:c>
      <x:c r="F100" s="55" t="b">
        <x:v>1</x:v>
      </x:c>
      <x:c r="G100" s="31" t="str">
        <x:v>Compatible exact string/phrase for unsmoothed public Ngram retrieval (current interface supports up to seven words).</x:v>
      </x:c>
      <x:c r="H100" s="19" t="str">
        <x:v>CONTEXT_REQUIRED</x:v>
      </x:c>
      <x:c r="I100" s="31" t="str">
        <x:v>Fear of Temperature_ Stratified Lexical Expansion, Voice Mapping, and Semantic-Relational Pre-Valida.pdf</x:v>
      </x:c>
      <x:c r="J100" s="31" t="str">
        <x:v>11</x:v>
      </x:c>
      <x:c r="K100" s="43" t="str">
        <x:v>RECONSTRUCTED_FROM_REPORT</x:v>
      </x:c>
    </x:row>
    <x:row r="101" ht="28" customHeight="1">
      <x:c r="A101" s="40" t="str">
        <x:v>FT-Q-V01-097</x:v>
      </x:c>
      <x:c r="B101" s="19" t="str">
        <x:v>2015</x:v>
      </x:c>
      <x:c r="C101" s="31" t="str">
        <x:v>risk of loss and damage</x:v>
      </x:c>
      <x:c r="D101" s="19" t="str">
        <x:v>EXECUTABLE_NGRAM</x:v>
      </x:c>
      <x:c r="E101" s="31" t="str">
        <x:v>COMPATIBLE</x:v>
      </x:c>
      <x:c r="F101" s="55" t="b">
        <x:v>1</x:v>
      </x:c>
      <x:c r="G101" s="31" t="str">
        <x:v>Compatible exact string/phrase for unsmoothed public Ngram retrieval (current interface supports up to seven words).</x:v>
      </x:c>
      <x:c r="H101" s="19" t="str">
        <x:v>CONTEXT_REQUIRED</x:v>
      </x:c>
      <x:c r="I101" s="31" t="str">
        <x:v>Fear of Temperature_ Stratified Lexical Expansion, Voice Mapping, and Semantic-Relational Pre-Valida.pdf</x:v>
      </x:c>
      <x:c r="J101" s="31" t="str">
        <x:v>11</x:v>
      </x:c>
      <x:c r="K101" s="43" t="str">
        <x:v>RECONSTRUCTED_FROM_REPORT</x:v>
      </x:c>
    </x:row>
    <x:row r="102" ht="28" customHeight="1">
      <x:c r="A102" s="40" t="str">
        <x:v>FT-Q-V01-098</x:v>
      </x:c>
      <x:c r="B102" s="19" t="str">
        <x:v>2015</x:v>
      </x:c>
      <x:c r="C102" s="31" t="str">
        <x:v>early warning systems</x:v>
      </x:c>
      <x:c r="D102" s="19" t="str">
        <x:v>EXECUTABLE_NGRAM</x:v>
      </x:c>
      <x:c r="E102" s="31" t="str">
        <x:v>COMPATIBLE</x:v>
      </x:c>
      <x:c r="F102" s="55" t="b">
        <x:v>1</x:v>
      </x:c>
      <x:c r="G102" s="31" t="str">
        <x:v>Compatible exact string/phrase for unsmoothed public Ngram retrieval (current interface supports up to seven words).</x:v>
      </x:c>
      <x:c r="H102" s="19" t="str">
        <x:v>CONTEXT_REQUIRED</x:v>
      </x:c>
      <x:c r="I102" s="31" t="str">
        <x:v>Fear of Temperature_ Stratified Lexical Expansion, Voice Mapping, and Semantic-Relational Pre-Valida.pdf</x:v>
      </x:c>
      <x:c r="J102" s="31" t="str">
        <x:v>11</x:v>
      </x:c>
      <x:c r="K102" s="43" t="str">
        <x:v>RECONSTRUCTED_FROM_REPORT</x:v>
      </x:c>
    </x:row>
    <x:row r="103" ht="28" customHeight="1">
      <x:c r="A103" s="40" t="str">
        <x:v>FT-Q-V01-099</x:v>
      </x:c>
      <x:c r="B103" s="19" t="str">
        <x:v>2015</x:v>
      </x:c>
      <x:c r="C103" s="31" t="str">
        <x:v>emergency preparedness</x:v>
      </x:c>
      <x:c r="D103" s="19" t="str">
        <x:v>EXECUTABLE_NGRAM</x:v>
      </x:c>
      <x:c r="E103" s="31" t="str">
        <x:v>COMPATIBLE</x:v>
      </x:c>
      <x:c r="F103" s="55" t="b">
        <x:v>1</x:v>
      </x:c>
      <x:c r="G103" s="31" t="str">
        <x:v>Compatible exact string/phrase for unsmoothed public Ngram retrieval (current interface supports up to seven words).</x:v>
      </x:c>
      <x:c r="H103" s="19" t="str">
        <x:v>CONTEXT_REQUIRED</x:v>
      </x:c>
      <x:c r="I103" s="31" t="str">
        <x:v>Fear of Temperature_ Stratified Lexical Expansion, Voice Mapping, and Semantic-Relational Pre-Valida.pdf</x:v>
      </x:c>
      <x:c r="J103" s="31" t="str">
        <x:v>11</x:v>
      </x:c>
      <x:c r="K103" s="43" t="str">
        <x:v>RECONSTRUCTED_FROM_REPORT</x:v>
      </x:c>
    </x:row>
    <x:row r="104" ht="28" customHeight="1">
      <x:c r="A104" s="40" t="str">
        <x:v>FT-Q-V01-100</x:v>
      </x:c>
      <x:c r="B104" s="19" t="str">
        <x:v>2015</x:v>
      </x:c>
      <x:c r="C104" s="31" t="str">
        <x:v>irreversible and permanent loss and damage</x:v>
      </x:c>
      <x:c r="D104" s="19" t="str">
        <x:v>EXECUTABLE_NGRAM</x:v>
      </x:c>
      <x:c r="E104" s="31" t="str">
        <x:v>COMPATIBLE</x:v>
      </x:c>
      <x:c r="F104" s="55" t="b">
        <x:v>1</x:v>
      </x:c>
      <x:c r="G104" s="31" t="str">
        <x:v>Compatible exact string/phrase for unsmoothed public Ngram retrieval (current interface supports up to seven words).</x:v>
      </x:c>
      <x:c r="H104" s="19" t="str">
        <x:v>CONTEXT_REQUIRED</x:v>
      </x:c>
      <x:c r="I104" s="31" t="str">
        <x:v>Fear of Temperature_ Stratified Lexical Expansion, Voice Mapping, and Semantic-Relational Pre-Valida.pdf</x:v>
      </x:c>
      <x:c r="J104" s="31" t="str">
        <x:v>11</x:v>
      </x:c>
      <x:c r="K104" s="43" t="str">
        <x:v>RECONSTRUCTED_FROM_REPORT</x:v>
      </x:c>
    </x:row>
    <x:row r="105" ht="28" customHeight="1">
      <x:c r="A105" s="40" t="str">
        <x:v>FT-Q-V01-101</x:v>
      </x:c>
      <x:c r="B105" s="19" t="str">
        <x:v>2022</x:v>
      </x:c>
      <x:c r="C105" s="31" t="str">
        <x:v>climate change</x:v>
      </x:c>
      <x:c r="D105" s="19" t="str">
        <x:v>EXECUTABLE_NGRAM</x:v>
      </x:c>
      <x:c r="E105" s="31" t="str">
        <x:v>COMPATIBLE</x:v>
      </x:c>
      <x:c r="F105" s="55" t="b">
        <x:v>1</x:v>
      </x:c>
      <x:c r="G105" s="31" t="str">
        <x:v>Compatible exact string/phrase for unsmoothed public Ngram retrieval (current interface supports up to seven words).</x:v>
      </x:c>
      <x:c r="H105" s="19" t="str">
        <x:v>CLIMATE_SPECIFIC</x:v>
      </x:c>
      <x:c r="I105" s="31" t="str">
        <x:v>Fear of Temperature_ Stratified Lexical Expansion, Voice Mapping, and Semantic-Relational Pre-Valida.pdf</x:v>
      </x:c>
      <x:c r="J105" s="31" t="str">
        <x:v>12</x:v>
      </x:c>
      <x:c r="K105" s="43" t="str">
        <x:v>RECONSTRUCTED_FROM_REPORT</x:v>
      </x:c>
    </x:row>
    <x:row r="106" ht="28" customHeight="1">
      <x:c r="A106" s="40" t="str">
        <x:v>FT-Q-V01-102</x:v>
      </x:c>
      <x:c r="B106" s="19" t="str">
        <x:v>2022</x:v>
      </x:c>
      <x:c r="C106" s="31" t="str">
        <x:v>global warming</x:v>
      </x:c>
      <x:c r="D106" s="19" t="str">
        <x:v>EXECUTABLE_NGRAM</x:v>
      </x:c>
      <x:c r="E106" s="31" t="str">
        <x:v>COMPATIBLE</x:v>
      </x:c>
      <x:c r="F106" s="55" t="b">
        <x:v>1</x:v>
      </x:c>
      <x:c r="G106" s="31" t="str">
        <x:v>Compatible exact string/phrase for unsmoothed public Ngram retrieval (current interface supports up to seven words).</x:v>
      </x:c>
      <x:c r="H106" s="19" t="str">
        <x:v>CLIMATE_SPECIFIC</x:v>
      </x:c>
      <x:c r="I106" s="31" t="str">
        <x:v>Fear of Temperature_ Stratified Lexical Expansion, Voice Mapping, and Semantic-Relational Pre-Valida.pdf</x:v>
      </x:c>
      <x:c r="J106" s="31" t="str">
        <x:v>12</x:v>
      </x:c>
      <x:c r="K106" s="43" t="str">
        <x:v>RECONSTRUCTED_FROM_REPORT</x:v>
      </x:c>
    </x:row>
    <x:row r="107" ht="28" customHeight="1">
      <x:c r="A107" s="40" t="str">
        <x:v>FT-Q-V01-103</x:v>
      </x:c>
      <x:c r="B107" s="19" t="str">
        <x:v>2022</x:v>
      </x:c>
      <x:c r="C107" s="31" t="str">
        <x:v>very worried</x:v>
      </x:c>
      <x:c r="D107" s="19" t="str">
        <x:v>EXECUTABLE_NGRAM</x:v>
      </x:c>
      <x:c r="E107" s="31" t="str">
        <x:v>COMPATIBLE</x:v>
      </x:c>
      <x:c r="F107" s="55" t="b">
        <x:v>1</x:v>
      </x:c>
      <x:c r="G107" s="31" t="str">
        <x:v>Compatible exact string/phrase for unsmoothed public Ngram retrieval (current interface supports up to seven words).</x:v>
      </x:c>
      <x:c r="H107" s="19" t="str">
        <x:v>CONTEXT_REQUIRED</x:v>
      </x:c>
      <x:c r="I107" s="31" t="str">
        <x:v>Fear of Temperature_ Stratified Lexical Expansion, Voice Mapping, and Semantic-Relational Pre-Valida.pdf</x:v>
      </x:c>
      <x:c r="J107" s="31" t="str">
        <x:v>12</x:v>
      </x:c>
      <x:c r="K107" s="43" t="str">
        <x:v>RECONSTRUCTED_FROM_REPORT</x:v>
      </x:c>
    </x:row>
    <x:row r="108" ht="28" customHeight="1">
      <x:c r="A108" s="40" t="str">
        <x:v>FT-Q-V01-104</x:v>
      </x:c>
      <x:c r="B108" s="19" t="str">
        <x:v>2022</x:v>
      </x:c>
      <x:c r="C108" s="31" t="str">
        <x:v>somewhat worried</x:v>
      </x:c>
      <x:c r="D108" s="19" t="str">
        <x:v>EXECUTABLE_NGRAM</x:v>
      </x:c>
      <x:c r="E108" s="31" t="str">
        <x:v>COMPATIBLE</x:v>
      </x:c>
      <x:c r="F108" s="55" t="b">
        <x:v>1</x:v>
      </x:c>
      <x:c r="G108" s="31" t="str">
        <x:v>Compatible exact string/phrase for unsmoothed public Ngram retrieval (current interface supports up to seven words).</x:v>
      </x:c>
      <x:c r="H108" s="19" t="str">
        <x:v>CONTEXT_REQUIRED</x:v>
      </x:c>
      <x:c r="I108" s="31" t="str">
        <x:v>Fear of Temperature_ Stratified Lexical Expansion, Voice Mapping, and Semantic-Relational Pre-Valida.pdf</x:v>
      </x:c>
      <x:c r="J108" s="31" t="str">
        <x:v>12</x:v>
      </x:c>
      <x:c r="K108" s="43" t="str">
        <x:v>RECONSTRUCTED_FROM_REPORT</x:v>
      </x:c>
    </x:row>
    <x:row r="109" ht="28" customHeight="1">
      <x:c r="A109" s="40" t="str">
        <x:v>FT-Q-V01-105</x:v>
      </x:c>
      <x:c r="B109" s="19" t="str">
        <x:v>2022</x:v>
      </x:c>
      <x:c r="C109" s="31" t="str">
        <x:v>afraid</x:v>
      </x:c>
      <x:c r="D109" s="19" t="str">
        <x:v>BACKGROUND_AMBIGUOUS</x:v>
      </x:c>
      <x:c r="E109" s="31" t="str">
        <x:v>COMPATIBLE</x:v>
      </x:c>
      <x:c r="F109" s="55" t="b">
        <x:v>1</x:v>
      </x:c>
      <x:c r="G109" s="31" t="str">
        <x:v>Compatible exact string/phrase for unsmoothed public Ngram retrieval (current interface supports up to seven words).</x:v>
      </x:c>
      <x:c r="H109" s="19" t="str">
        <x:v>BACKGROUND_AMBIGUOUS</x:v>
      </x:c>
      <x:c r="I109" s="31" t="str">
        <x:v>Fear of Temperature_ Stratified Lexical Expansion, Voice Mapping, and Semantic-Relational Pre-Valida.pdf</x:v>
      </x:c>
      <x:c r="J109" s="31" t="str">
        <x:v>12</x:v>
      </x:c>
      <x:c r="K109" s="43" t="str">
        <x:v>RECONSTRUCTED_FROM_REPORT</x:v>
      </x:c>
    </x:row>
    <x:row r="110" ht="28" customHeight="1">
      <x:c r="A110" s="40" t="str">
        <x:v>FT-Q-V01-106</x:v>
      </x:c>
      <x:c r="B110" s="19" t="str">
        <x:v>2022</x:v>
      </x:c>
      <x:c r="C110" s="31" t="str">
        <x:v>anxious</x:v>
      </x:c>
      <x:c r="D110" s="19" t="str">
        <x:v>EXECUTABLE_NGRAM</x:v>
      </x:c>
      <x:c r="E110" s="31" t="str">
        <x:v>COMPATIBLE</x:v>
      </x:c>
      <x:c r="F110" s="55" t="b">
        <x:v>1</x:v>
      </x:c>
      <x:c r="G110" s="31" t="str">
        <x:v>Compatible exact string/phrase for unsmoothed public Ngram retrieval (current interface supports up to seven words).</x:v>
      </x:c>
      <x:c r="H110" s="19" t="str">
        <x:v>CONTEXT_REQUIRED</x:v>
      </x:c>
      <x:c r="I110" s="31" t="str">
        <x:v>Fear of Temperature_ Stratified Lexical Expansion, Voice Mapping, and Semantic-Relational Pre-Valida.pdf</x:v>
      </x:c>
      <x:c r="J110" s="31" t="str">
        <x:v>12</x:v>
      </x:c>
      <x:c r="K110" s="43" t="str">
        <x:v>RECONSTRUCTED_FROM_REPORT</x:v>
      </x:c>
    </x:row>
    <x:row r="111" ht="28" customHeight="1">
      <x:c r="A111" s="40" t="str">
        <x:v>FT-Q-V01-107</x:v>
      </x:c>
      <x:c r="B111" s="19" t="str">
        <x:v>2022</x:v>
      </x:c>
      <x:c r="C111" s="31" t="str">
        <x:v>hopeless</x:v>
      </x:c>
      <x:c r="D111" s="19" t="str">
        <x:v>EXECUTABLE_NGRAM</x:v>
      </x:c>
      <x:c r="E111" s="31" t="str">
        <x:v>COMPATIBLE</x:v>
      </x:c>
      <x:c r="F111" s="55" t="b">
        <x:v>1</x:v>
      </x:c>
      <x:c r="G111" s="31" t="str">
        <x:v>Compatible exact string/phrase for unsmoothed public Ngram retrieval (current interface supports up to seven words).</x:v>
      </x:c>
      <x:c r="H111" s="19" t="str">
        <x:v>CONTEXT_REQUIRED</x:v>
      </x:c>
      <x:c r="I111" s="31" t="str">
        <x:v>Fear of Temperature_ Stratified Lexical Expansion, Voice Mapping, and Semantic-Relational Pre-Valida.pdf</x:v>
      </x:c>
      <x:c r="J111" s="31" t="str">
        <x:v>12</x:v>
      </x:c>
      <x:c r="K111" s="43" t="str">
        <x:v>RECONSTRUCTED_FROM_REPORT</x:v>
      </x:c>
    </x:row>
    <x:row r="112" ht="28" customHeight="1">
      <x:c r="A112" s="40" t="str">
        <x:v>FT-Q-V01-108</x:v>
      </x:c>
      <x:c r="B112" s="19" t="str">
        <x:v>2022</x:v>
      </x:c>
      <x:c r="C112" s="31" t="str">
        <x:v>sad</x:v>
      </x:c>
      <x:c r="D112" s="19" t="str">
        <x:v>EXECUTABLE_NGRAM</x:v>
      </x:c>
      <x:c r="E112" s="31" t="str">
        <x:v>COMPATIBLE</x:v>
      </x:c>
      <x:c r="F112" s="55" t="b">
        <x:v>1</x:v>
      </x:c>
      <x:c r="G112" s="31" t="str">
        <x:v>Compatible exact string/phrase for unsmoothed public Ngram retrieval (current interface supports up to seven words).</x:v>
      </x:c>
      <x:c r="H112" s="19" t="str">
        <x:v>CONTEXT_REQUIRED</x:v>
      </x:c>
      <x:c r="I112" s="31" t="str">
        <x:v>Fear of Temperature_ Stratified Lexical Expansion, Voice Mapping, and Semantic-Relational Pre-Valida.pdf</x:v>
      </x:c>
      <x:c r="J112" s="31" t="str">
        <x:v>12</x:v>
      </x:c>
      <x:c r="K112" s="43" t="str">
        <x:v>RECONSTRUCTED_FROM_REPORT</x:v>
      </x:c>
    </x:row>
    <x:row r="113" ht="28" customHeight="1">
      <x:c r="A113" s="40" t="str">
        <x:v>FT-Q-V01-109</x:v>
      </x:c>
      <x:c r="B113" s="19" t="str">
        <x:v>2022</x:v>
      </x:c>
      <x:c r="C113" s="31" t="str">
        <x:v>angry</x:v>
      </x:c>
      <x:c r="D113" s="19" t="str">
        <x:v>EXECUTABLE_NGRAM</x:v>
      </x:c>
      <x:c r="E113" s="31" t="str">
        <x:v>COMPATIBLE</x:v>
      </x:c>
      <x:c r="F113" s="55" t="b">
        <x:v>1</x:v>
      </x:c>
      <x:c r="G113" s="31" t="str">
        <x:v>Compatible exact string/phrase for unsmoothed public Ngram retrieval (current interface supports up to seven words).</x:v>
      </x:c>
      <x:c r="H113" s="19" t="str">
        <x:v>CONTEXT_REQUIRED</x:v>
      </x:c>
      <x:c r="I113" s="31" t="str">
        <x:v>Fear of Temperature_ Stratified Lexical Expansion, Voice Mapping, and Semantic-Relational Pre-Valida.pdf</x:v>
      </x:c>
      <x:c r="J113" s="31" t="str">
        <x:v>13</x:v>
      </x:c>
      <x:c r="K113" s="43" t="str">
        <x:v>RECONSTRUCTED_FROM_REPORT</x:v>
      </x:c>
    </x:row>
    <x:row r="114" ht="28" customHeight="1">
      <x:c r="A114" s="40" t="str">
        <x:v>FT-Q-V01-110</x:v>
      </x:c>
      <x:c r="B114" s="19" t="str">
        <x:v>2022</x:v>
      </x:c>
      <x:c r="C114" s="31" t="str">
        <x:v>frustrated</x:v>
      </x:c>
      <x:c r="D114" s="19" t="str">
        <x:v>EXECUTABLE_NGRAM</x:v>
      </x:c>
      <x:c r="E114" s="31" t="str">
        <x:v>COMPATIBLE</x:v>
      </x:c>
      <x:c r="F114" s="55" t="b">
        <x:v>1</x:v>
      </x:c>
      <x:c r="G114" s="31" t="str">
        <x:v>Compatible exact string/phrase for unsmoothed public Ngram retrieval (current interface supports up to seven words).</x:v>
      </x:c>
      <x:c r="H114" s="19" t="str">
        <x:v>CONTEXT_REQUIRED</x:v>
      </x:c>
      <x:c r="I114" s="31" t="str">
        <x:v>Fear of Temperature_ Stratified Lexical Expansion, Voice Mapping, and Semantic-Relational Pre-Valida.pdf</x:v>
      </x:c>
      <x:c r="J114" s="31" t="str">
        <x:v>13</x:v>
      </x:c>
      <x:c r="K114" s="43" t="str">
        <x:v>RECONSTRUCTED_FROM_REPORT</x:v>
      </x:c>
    </x:row>
    <x:row r="115" ht="28" customHeight="1">
      <x:c r="A115" s="40" t="str">
        <x:v>FT-Q-V01-111</x:v>
      </x:c>
      <x:c r="B115" s="19" t="str">
        <x:v>2022</x:v>
      </x:c>
      <x:c r="C115" s="31" t="str">
        <x:v>hopeful</x:v>
      </x:c>
      <x:c r="D115" s="19" t="str">
        <x:v>EXECUTABLE_NGRAM</x:v>
      </x:c>
      <x:c r="E115" s="31" t="str">
        <x:v>COMPATIBLE</x:v>
      </x:c>
      <x:c r="F115" s="55" t="b">
        <x:v>1</x:v>
      </x:c>
      <x:c r="G115" s="31" t="str">
        <x:v>Compatible exact string/phrase for unsmoothed public Ngram retrieval (current interface supports up to seven words).</x:v>
      </x:c>
      <x:c r="H115" s="19" t="str">
        <x:v>CONTEXT_REQUIRED</x:v>
      </x:c>
      <x:c r="I115" s="31" t="str">
        <x:v>Fear of Temperature_ Stratified Lexical Expansion, Voice Mapping, and Semantic-Relational Pre-Valida.pdf</x:v>
      </x:c>
      <x:c r="J115" s="31" t="str">
        <x:v>12</x:v>
      </x:c>
      <x:c r="K115" s="43" t="str">
        <x:v>RECONSTRUCTED_FROM_REPORT</x:v>
      </x:c>
    </x:row>
    <x:row r="116" ht="28" customHeight="1">
      <x:c r="A116" s="40" t="str">
        <x:v>FT-Q-V01-112</x:v>
      </x:c>
      <x:c r="B116" s="19" t="str">
        <x:v>2022</x:v>
      </x:c>
      <x:c r="C116" s="31" t="str">
        <x:v>disgusted</x:v>
      </x:c>
      <x:c r="D116" s="19" t="str">
        <x:v>EXECUTABLE_NGRAM</x:v>
      </x:c>
      <x:c r="E116" s="31" t="str">
        <x:v>COMPATIBLE</x:v>
      </x:c>
      <x:c r="F116" s="55" t="b">
        <x:v>1</x:v>
      </x:c>
      <x:c r="G116" s="31" t="str">
        <x:v>Compatible exact string/phrase for unsmoothed public Ngram retrieval (current interface supports up to seven words).</x:v>
      </x:c>
      <x:c r="H116" s="19" t="str">
        <x:v>CONTEXT_REQUIRED</x:v>
      </x:c>
      <x:c r="I116" s="31" t="str">
        <x:v>Fear of Temperature_ Stratified Lexical Expansion, Voice Mapping, and Semantic-Relational Pre-Valida.pdf</x:v>
      </x:c>
      <x:c r="J116" s="31" t="str">
        <x:v>12</x:v>
      </x:c>
      <x:c r="K116" s="43" t="str">
        <x:v>RECONSTRUCTED_FROM_REPORT</x:v>
      </x:c>
    </x:row>
    <x:row r="117" ht="28" customHeight="1">
      <x:c r="A117" s="40" t="str">
        <x:v>FT-Q-V01-113</x:v>
      </x:c>
      <x:c r="B117" s="19" t="str">
        <x:v>2022</x:v>
      </x:c>
      <x:c r="C117" s="31" t="str">
        <x:v>outraged</x:v>
      </x:c>
      <x:c r="D117" s="19" t="str">
        <x:v>EXECUTABLE_NGRAM</x:v>
      </x:c>
      <x:c r="E117" s="31" t="str">
        <x:v>COMPATIBLE</x:v>
      </x:c>
      <x:c r="F117" s="55" t="b">
        <x:v>1</x:v>
      </x:c>
      <x:c r="G117" s="31" t="str">
        <x:v>Compatible exact string/phrase for unsmoothed public Ngram retrieval (current interface supports up to seven words).</x:v>
      </x:c>
      <x:c r="H117" s="19" t="str">
        <x:v>CONTEXT_REQUIRED</x:v>
      </x:c>
      <x:c r="I117" s="31" t="str">
        <x:v>Fear of Temperature_ Stratified Lexical Expansion, Voice Mapping, and Semantic-Relational Pre-Valida.pdf</x:v>
      </x:c>
      <x:c r="J117" s="31" t="str">
        <x:v>12</x:v>
      </x:c>
      <x:c r="K117" s="43" t="str">
        <x:v>RECONSTRUCTED_FROM_REPORT</x:v>
      </x:c>
    </x:row>
    <x:row r="118" ht="28" customHeight="1">
      <x:c r="A118" s="40" t="str">
        <x:v>FT-Q-V01-114</x:v>
      </x:c>
      <x:c r="B118" s="19" t="str">
        <x:v>2022</x:v>
      </x:c>
      <x:c r="C118" s="31" t="str">
        <x:v>depressed</x:v>
      </x:c>
      <x:c r="D118" s="19" t="str">
        <x:v>BACKGROUND_AMBIGUOUS</x:v>
      </x:c>
      <x:c r="E118" s="31" t="str">
        <x:v>COMPATIBLE</x:v>
      </x:c>
      <x:c r="F118" s="55" t="b">
        <x:v>1</x:v>
      </x:c>
      <x:c r="G118" s="31" t="str">
        <x:v>Compatible exact string/phrase for unsmoothed public Ngram retrieval (current interface supports up to seven words).</x:v>
      </x:c>
      <x:c r="H118" s="19" t="str">
        <x:v>BACKGROUND_AMBIGUOUS</x:v>
      </x:c>
      <x:c r="I118" s="31" t="str">
        <x:v>Fear of Temperature_ Stratified Lexical Expansion, Voice Mapping, and Semantic-Relational Pre-Valida.pdf</x:v>
      </x:c>
      <x:c r="J118" s="31" t="str">
        <x:v>12</x:v>
      </x:c>
      <x:c r="K118" s="43" t="str">
        <x:v>RECONSTRUCTED_FROM_REPORT</x:v>
      </x:c>
    </x:row>
    <x:row r="119" ht="28" customHeight="1">
      <x:c r="A119" s="40" t="str">
        <x:v>FT-Q-V01-115</x:v>
      </x:c>
      <x:c r="B119" s="19" t="str">
        <x:v>2022</x:v>
      </x:c>
      <x:c r="C119" s="31" t="str">
        <x:v>symptoms of anxiety</x:v>
      </x:c>
      <x:c r="D119" s="19" t="str">
        <x:v>EXECUTABLE_NGRAM</x:v>
      </x:c>
      <x:c r="E119" s="31" t="str">
        <x:v>COMPATIBLE</x:v>
      </x:c>
      <x:c r="F119" s="55" t="b">
        <x:v>1</x:v>
      </x:c>
      <x:c r="G119" s="31" t="str">
        <x:v>Compatible exact string/phrase for unsmoothed public Ngram retrieval (current interface supports up to seven words).</x:v>
      </x:c>
      <x:c r="H119" s="19" t="str">
        <x:v>CONTEXT_REQUIRED</x:v>
      </x:c>
      <x:c r="I119" s="31" t="str">
        <x:v>Fear of Temperature_ Stratified Lexical Expansion, Voice Mapping, and Semantic-Relational Pre-Valida.pdf</x:v>
      </x:c>
      <x:c r="J119" s="31" t="str">
        <x:v>12</x:v>
      </x:c>
      <x:c r="K119" s="43" t="str">
        <x:v>RECONSTRUCTED_FROM_REPORT</x:v>
      </x:c>
    </x:row>
    <x:row r="120" ht="28" customHeight="1">
      <x:c r="A120" s="40" t="str">
        <x:v>FT-Q-V01-116</x:v>
      </x:c>
      <x:c r="B120" s="19" t="str">
        <x:v>2022</x:v>
      </x:c>
      <x:c r="C120" s="31" t="str">
        <x:v>climate anxiety</x:v>
      </x:c>
      <x:c r="D120" s="19" t="str">
        <x:v>EXECUTABLE_NGRAM</x:v>
      </x:c>
      <x:c r="E120" s="31" t="str">
        <x:v>COMPATIBLE</x:v>
      </x:c>
      <x:c r="F120" s="55" t="b">
        <x:v>1</x:v>
      </x:c>
      <x:c r="G120" s="31" t="str">
        <x:v>Compatible exact string/phrase for unsmoothed public Ngram retrieval (current interface supports up to seven words).</x:v>
      </x:c>
      <x:c r="H120" s="19" t="str">
        <x:v>CLIMATE_SPECIFIC</x:v>
      </x:c>
      <x:c r="I120" s="31" t="str">
        <x:v>Fear of Temperature_ Stratified Lexical Expansion, Voice Mapping, and Semantic-Relational Pre-Valida.pdf</x:v>
      </x:c>
      <x:c r="J120" s="31" t="str">
        <x:v>12</x:v>
      </x:c>
      <x:c r="K120" s="43" t="str">
        <x:v>RECONSTRUCTED_FROM_REPORT</x:v>
      </x:c>
    </x:row>
    <x:row r="121" ht="28" customHeight="1">
      <x:c r="A121" s="40" t="str">
        <x:v>FT-Q-V01-117</x:v>
      </x:c>
      <x:c r="B121" s="19" t="str">
        <x:v>2022</x:v>
      </x:c>
      <x:c r="C121" s="31" t="str">
        <x:v>eco-anxiety</x:v>
      </x:c>
      <x:c r="D121" s="19" t="str">
        <x:v>EXECUTABLE_NGRAM</x:v>
      </x:c>
      <x:c r="E121" s="31" t="str">
        <x:v>COMPATIBLE</x:v>
      </x:c>
      <x:c r="F121" s="55" t="b">
        <x:v>1</x:v>
      </x:c>
      <x:c r="G121" s="31" t="str">
        <x:v>Compatible exact string/phrase for unsmoothed public Ngram retrieval (current interface supports up to seven words).</x:v>
      </x:c>
      <x:c r="H121" s="19" t="str">
        <x:v>CLIMATE_SPECIFIC</x:v>
      </x:c>
      <x:c r="I121" s="31" t="str">
        <x:v>Fear of Temperature_ Stratified Lexical Expansion, Voice Mapping, and Semantic-Relational Pre-Valida.pdf</x:v>
      </x:c>
      <x:c r="J121" s="31" t="str">
        <x:v>12</x:v>
      </x:c>
      <x:c r="K121" s="43" t="str">
        <x:v>RECONSTRUCTED_FROM_REPORT</x:v>
      </x:c>
    </x:row>
    <x:row r="122" ht="28" customHeight="1">
      <x:c r="A122" s="40" t="str">
        <x:v>FT-Q-V01-118</x:v>
      </x:c>
      <x:c r="B122" s="19" t="str">
        <x:v>2022</x:v>
      </x:c>
      <x:c r="C122" s="31" t="str">
        <x:v>psychological distress</x:v>
      </x:c>
      <x:c r="D122" s="19" t="str">
        <x:v>EXECUTABLE_NGRAM</x:v>
      </x:c>
      <x:c r="E122" s="31" t="str">
        <x:v>COMPATIBLE</x:v>
      </x:c>
      <x:c r="F122" s="55" t="b">
        <x:v>1</x:v>
      </x:c>
      <x:c r="G122" s="31" t="str">
        <x:v>Compatible exact string/phrase for unsmoothed public Ngram retrieval (current interface supports up to seven words).</x:v>
      </x:c>
      <x:c r="H122" s="19" t="str">
        <x:v>CONTEXT_REQUIRED</x:v>
      </x:c>
      <x:c r="I122" s="31" t="str">
        <x:v>Fear of Temperature_ Stratified Lexical Expansion, Voice Mapping, and Semantic-Relational Pre-Valida.pdf</x:v>
      </x:c>
      <x:c r="J122" s="31" t="str">
        <x:v>12</x:v>
      </x:c>
      <x:c r="K122" s="43" t="str">
        <x:v>RECONSTRUCTED_FROM_REPORT</x:v>
      </x:c>
    </x:row>
    <x:row r="123" ht="28" customHeight="1">
      <x:c r="A123" s="40" t="str">
        <x:v>FT-Q-V01-119</x:v>
      </x:c>
      <x:c r="B123" s="19" t="str">
        <x:v>2022</x:v>
      </x:c>
      <x:c r="C123" s="31" t="str">
        <x:v>distress</x:v>
      </x:c>
      <x:c r="D123" s="19" t="str">
        <x:v>BACKGROUND_AMBIGUOUS</x:v>
      </x:c>
      <x:c r="E123" s="31" t="str">
        <x:v>COMPATIBLE</x:v>
      </x:c>
      <x:c r="F123" s="55" t="b">
        <x:v>1</x:v>
      </x:c>
      <x:c r="G123" s="31" t="str">
        <x:v>Compatible exact string/phrase for unsmoothed public Ngram retrieval (current interface supports up to seven words).</x:v>
      </x:c>
      <x:c r="H123" s="19" t="str">
        <x:v>BACKGROUND_AMBIGUOUS</x:v>
      </x:c>
      <x:c r="I123" s="31" t="str">
        <x:v>Fear of Temperature_ Stratified Lexical Expansion, Voice Mapping, and Semantic-Relational Pre-Valida.pdf</x:v>
      </x:c>
      <x:c r="J123" s="31" t="str">
        <x:v>13</x:v>
      </x:c>
      <x:c r="K123" s="43" t="str">
        <x:v>RECONSTRUCTED_FROM_REPORT</x:v>
      </x:c>
    </x:row>
    <x:row r="124" ht="28" customHeight="1">
      <x:c r="A124" s="40" t="str">
        <x:v>FT-Q-V01-120</x:v>
      </x:c>
      <x:c r="B124" s="19" t="str">
        <x:v>2022</x:v>
      </x:c>
      <x:c r="C124" s="31" t="str">
        <x:v>powerlessness</x:v>
      </x:c>
      <x:c r="D124" s="19" t="str">
        <x:v>EXECUTABLE_NGRAM</x:v>
      </x:c>
      <x:c r="E124" s="31" t="str">
        <x:v>COMPATIBLE</x:v>
      </x:c>
      <x:c r="F124" s="55" t="b">
        <x:v>1</x:v>
      </x:c>
      <x:c r="G124" s="31" t="str">
        <x:v>Compatible exact string/phrase for unsmoothed public Ngram retrieval (current interface supports up to seven words).</x:v>
      </x:c>
      <x:c r="H124" s="19" t="str">
        <x:v>CONTEXT_REQUIRED</x:v>
      </x:c>
      <x:c r="I124" s="31" t="str">
        <x:v>Fear of Temperature_ Stratified Lexical Expansion, Voice Mapping, and Semantic-Relational Pre-Valida.pdf</x:v>
      </x:c>
      <x:c r="J124" s="31" t="str">
        <x:v>13</x:v>
      </x:c>
      <x:c r="K124" s="43" t="str">
        <x:v>RECONSTRUCTED_FROM_REPORT</x:v>
      </x:c>
    </x:row>
    <x:row r="125" ht="28" customHeight="1">
      <x:c r="A125" s="40" t="str">
        <x:v>FT-Q-V01-121</x:v>
      </x:c>
      <x:c r="B125" s="19" t="str">
        <x:v>1938</x:v>
      </x:c>
      <x:c r="C125" s="31" t="str">
        <x:v>climatic change</x:v>
      </x:c>
      <x:c r="D125" s="19" t="str">
        <x:v>EXECUTABLE_NGRAM</x:v>
      </x:c>
      <x:c r="E125" s="31" t="str">
        <x:v>COMPATIBLE</x:v>
      </x:c>
      <x:c r="F125" s="55" t="b">
        <x:v>1</x:v>
      </x:c>
      <x:c r="G125" s="31" t="str">
        <x:v>Compatible exact string/phrase for unsmoothed public Ngram retrieval (current interface supports up to seven words).</x:v>
      </x:c>
      <x:c r="H125" s="19" t="str">
        <x:v>CLIMATE_SPECIFIC</x:v>
      </x:c>
      <x:c r="I125" s="31" t="str">
        <x:v>Fear of Temperature — Deep Research Round Two_ Historical Semantic Validation, Cross-Voice Relationa.pdf</x:v>
      </x:c>
      <x:c r="J125" s="31" t="str">
        <x:v>14–17</x:v>
      </x:c>
      <x:c r="K125" s="43" t="str">
        <x:v>RECONSTRUCTED_FROM_REPORT</x:v>
      </x:c>
    </x:row>
    <x:row r="126" ht="28" customHeight="1">
      <x:c r="A126" s="40" t="str">
        <x:v>FT-Q-V01-122</x:v>
      </x:c>
      <x:c r="B126" s="19" t="str">
        <x:v>2006–2007</x:v>
      </x:c>
      <x:c r="C126" s="31" t="str">
        <x:v>climate system</x:v>
      </x:c>
      <x:c r="D126" s="19" t="str">
        <x:v>EXECUTABLE_NGRAM</x:v>
      </x:c>
      <x:c r="E126" s="31" t="str">
        <x:v>COMPATIBLE</x:v>
      </x:c>
      <x:c r="F126" s="55" t="b">
        <x:v>1</x:v>
      </x:c>
      <x:c r="G126" s="31" t="str">
        <x:v>Compatible exact string/phrase for unsmoothed public Ngram retrieval (current interface supports up to seven words).</x:v>
      </x:c>
      <x:c r="H126" s="19" t="str">
        <x:v>CLIMATE_SPECIFIC</x:v>
      </x:c>
      <x:c r="I126" s="31" t="str">
        <x:v>Fear of Temperature — Deep Research Round Two_ Historical Semantic Validation, Cross-Voice Relationa.pdf</x:v>
      </x:c>
      <x:c r="J126" s="31" t="str">
        <x:v>14–17</x:v>
      </x:c>
      <x:c r="K126" s="43" t="str">
        <x:v>RECONSTRUCTED_FROM_REPORT</x:v>
      </x:c>
    </x:row>
    <x:row r="127" ht="28" customHeight="1">
      <x:c r="A127" s="40" t="str">
        <x:v>FT-Q-V01-123</x:v>
      </x:c>
      <x:c r="B127" s="19" t="str">
        <x:v>2022</x:v>
      </x:c>
      <x:c r="C127" s="31" t="str">
        <x:v>climate crisis</x:v>
      </x:c>
      <x:c r="D127" s="19" t="str">
        <x:v>EXECUTABLE_NGRAM</x:v>
      </x:c>
      <x:c r="E127" s="31" t="str">
        <x:v>COMPATIBLE</x:v>
      </x:c>
      <x:c r="F127" s="55" t="b">
        <x:v>1</x:v>
      </x:c>
      <x:c r="G127" s="31" t="str">
        <x:v>Compatible exact string/phrase for unsmoothed public Ngram retrieval (current interface supports up to seven words).</x:v>
      </x:c>
      <x:c r="H127" s="19" t="str">
        <x:v>CLIMATE_SPECIFIC</x:v>
      </x:c>
      <x:c r="I127" s="31" t="str">
        <x:v>Fear of Temperature — Deep Research Round Two_ Historical Semantic Validation, Cross-Voice Relationa.pdf</x:v>
      </x:c>
      <x:c r="J127" s="31" t="str">
        <x:v>14–17</x:v>
      </x:c>
      <x:c r="K127" s="43" t="str">
        <x:v>RECONSTRUCTED_FROM_REPORT</x:v>
      </x:c>
    </x:row>
    <x:row r="128" ht="28" customHeight="1">
      <x:c r="A128" s="40" t="str">
        <x:v>FT-Q-V01-124</x:v>
      </x:c>
      <x:c r="B128" s="19" t="str">
        <x:v>2022</x:v>
      </x:c>
      <x:c r="C128" s="31" t="str">
        <x:v>climate emergency</x:v>
      </x:c>
      <x:c r="D128" s="19" t="str">
        <x:v>EXECUTABLE_NGRAM</x:v>
      </x:c>
      <x:c r="E128" s="31" t="str">
        <x:v>COMPATIBLE</x:v>
      </x:c>
      <x:c r="F128" s="55" t="b">
        <x:v>1</x:v>
      </x:c>
      <x:c r="G128" s="31" t="str">
        <x:v>Compatible exact string/phrase for unsmoothed public Ngram retrieval (current interface supports up to seven words).</x:v>
      </x:c>
      <x:c r="H128" s="19" t="str">
        <x:v>CLIMATE_SPECIFIC</x:v>
      </x:c>
      <x:c r="I128" s="31" t="str">
        <x:v>Fear of Temperature — Deep Research Round Two_ Historical Semantic Validation, Cross-Voice Relationa.pdf</x:v>
      </x:c>
      <x:c r="J128" s="31" t="str">
        <x:v>14–17</x:v>
      </x:c>
      <x:c r="K128" s="43" t="str">
        <x:v>RECONSTRUCTED_FROM_REPORT</x:v>
      </x:c>
    </x:row>
    <x:row r="129" ht="28" customHeight="1">
      <x:c r="A129" s="40" t="str">
        <x:v>FT-Q-V01-125</x:v>
      </x:c>
      <x:c r="B129" s="19" t="str">
        <x:v>1842</x:v>
      </x:c>
      <x:c r="C129" s="31" t="str">
        <x:v>heat</x:v>
      </x:c>
      <x:c r="D129" s="19" t="str">
        <x:v>BACKGROUND_AMBIGUOUS</x:v>
      </x:c>
      <x:c r="E129" s="31" t="str">
        <x:v>COMPATIBLE</x:v>
      </x:c>
      <x:c r="F129" s="55" t="b">
        <x:v>1</x:v>
      </x:c>
      <x:c r="G129" s="31" t="str">
        <x:v>Compatible exact string/phrase for unsmoothed public Ngram retrieval (current interface supports up to seven words).</x:v>
      </x:c>
      <x:c r="H129" s="19" t="str">
        <x:v>BACKGROUND_AMBIGUOUS</x:v>
      </x:c>
      <x:c r="I129" s="31" t="str">
        <x:v>Fear of Temperature — Deep Research Round Two_ Historical Semantic Validation, Cross-Voice Relationa.pdf</x:v>
      </x:c>
      <x:c r="J129" s="31" t="str">
        <x:v>14–17</x:v>
      </x:c>
      <x:c r="K129" s="43" t="str">
        <x:v>RECONSTRUCTED_FROM_REPORT</x:v>
      </x:c>
    </x:row>
    <x:row r="130" ht="28" customHeight="1">
      <x:c r="A130" s="40" t="str">
        <x:v>FT-Q-V01-126</x:v>
      </x:c>
      <x:c r="B130" s="19" t="str">
        <x:v>2022</x:v>
      </x:c>
      <x:c r="C130" s="31" t="str">
        <x:v>extreme heat</x:v>
      </x:c>
      <x:c r="D130" s="19" t="str">
        <x:v>EXECUTABLE_NGRAM</x:v>
      </x:c>
      <x:c r="E130" s="31" t="str">
        <x:v>COMPATIBLE</x:v>
      </x:c>
      <x:c r="F130" s="55" t="b">
        <x:v>1</x:v>
      </x:c>
      <x:c r="G130" s="31" t="str">
        <x:v>Compatible exact string/phrase for unsmoothed public Ngram retrieval (current interface supports up to seven words).</x:v>
      </x:c>
      <x:c r="H130" s="19" t="str">
        <x:v>CLIMATE_SPECIFIC</x:v>
      </x:c>
      <x:c r="I130" s="31" t="str">
        <x:v>Fear of Temperature — Deep Research Round Two_ Historical Semantic Validation, Cross-Voice Relationa.pdf</x:v>
      </x:c>
      <x:c r="J130" s="31" t="str">
        <x:v>14–17</x:v>
      </x:c>
      <x:c r="K130" s="43" t="str">
        <x:v>RECONSTRUCTED_FROM_REPORT</x:v>
      </x:c>
    </x:row>
    <x:row r="131" ht="28" customHeight="1">
      <x:c r="A131" s="40" t="str">
        <x:v>FT-Q-V01-127</x:v>
      </x:c>
      <x:c r="B131" s="19" t="str">
        <x:v>2022</x:v>
      </x:c>
      <x:c r="C131" s="31" t="str">
        <x:v>fear</x:v>
      </x:c>
      <x:c r="D131" s="19" t="str">
        <x:v>BACKGROUND_AMBIGUOUS</x:v>
      </x:c>
      <x:c r="E131" s="31" t="str">
        <x:v>COMPATIBLE</x:v>
      </x:c>
      <x:c r="F131" s="55" t="b">
        <x:v>1</x:v>
      </x:c>
      <x:c r="G131" s="31" t="str">
        <x:v>Compatible exact string/phrase for unsmoothed public Ngram retrieval (current interface supports up to seven words).</x:v>
      </x:c>
      <x:c r="H131" s="19" t="str">
        <x:v>BACKGROUND_AMBIGUOUS</x:v>
      </x:c>
      <x:c r="I131" s="31" t="str">
        <x:v>Fear of Temperature — Deep Research Round Two_ Historical Semantic Validation, Cross-Voice Relationa.pdf</x:v>
      </x:c>
      <x:c r="J131" s="31" t="str">
        <x:v>14–17</x:v>
      </x:c>
      <x:c r="K131" s="43" t="str">
        <x:v>RECONSTRUCTED_FROM_REPORT</x:v>
      </x:c>
    </x:row>
    <x:row r="132" ht="28" customHeight="1">
      <x:c r="A132" s="40" t="str">
        <x:v>FT-Q-V01-128</x:v>
      </x:c>
      <x:c r="B132" s="19" t="str">
        <x:v>2006–2007</x:v>
      </x:c>
      <x:c r="C132" s="31" t="str">
        <x:v>worry</x:v>
      </x:c>
      <x:c r="D132" s="19" t="str">
        <x:v>BACKGROUND_AMBIGUOUS</x:v>
      </x:c>
      <x:c r="E132" s="31" t="str">
        <x:v>COMPATIBLE</x:v>
      </x:c>
      <x:c r="F132" s="55" t="b">
        <x:v>1</x:v>
      </x:c>
      <x:c r="G132" s="31" t="str">
        <x:v>Compatible exact string/phrase for unsmoothed public Ngram retrieval (current interface supports up to seven words).</x:v>
      </x:c>
      <x:c r="H132" s="19" t="str">
        <x:v>BACKGROUND_AMBIGUOUS</x:v>
      </x:c>
      <x:c r="I132" s="31" t="str">
        <x:v>Fear of Temperature — Deep Research Round Two_ Historical Semantic Validation, Cross-Voice Relationa.pdf</x:v>
      </x:c>
      <x:c r="J132" s="31" t="str">
        <x:v>14–17</x:v>
      </x:c>
      <x:c r="K132" s="43" t="str">
        <x:v>RECONSTRUCTED_FROM_REPORT</x:v>
      </x:c>
    </x:row>
    <x:row r="133" ht="28" customHeight="1">
      <x:c r="A133" s="40" t="str">
        <x:v>FT-Q-V01-129</x:v>
      </x:c>
      <x:c r="B133" s="19" t="str">
        <x:v>2006–2007</x:v>
      </x:c>
      <x:c r="C133" s="31" t="str">
        <x:v>worried</x:v>
      </x:c>
      <x:c r="D133" s="19" t="str">
        <x:v>BACKGROUND_AMBIGUOUS</x:v>
      </x:c>
      <x:c r="E133" s="31" t="str">
        <x:v>COMPATIBLE</x:v>
      </x:c>
      <x:c r="F133" s="55" t="b">
        <x:v>1</x:v>
      </x:c>
      <x:c r="G133" s="31" t="str">
        <x:v>Compatible exact string/phrase for unsmoothed public Ngram retrieval (current interface supports up to seven words).</x:v>
      </x:c>
      <x:c r="H133" s="19" t="str">
        <x:v>BACKGROUND_AMBIGUOUS</x:v>
      </x:c>
      <x:c r="I133" s="31" t="str">
        <x:v>Fear of Temperature — Deep Research Round Two_ Historical Semantic Validation, Cross-Voice Relationa.pdf</x:v>
      </x:c>
      <x:c r="J133" s="31" t="str">
        <x:v>14–17</x:v>
      </x:c>
      <x:c r="K133" s="43" t="str">
        <x:v>RECONSTRUCTED_FROM_REPORT</x:v>
      </x:c>
    </x:row>
    <x:row r="134" ht="28" customHeight="1">
      <x:c r="A134" s="40" t="str">
        <x:v>FT-Q-V01-130</x:v>
      </x:c>
      <x:c r="B134" s="19" t="str">
        <x:v>2015</x:v>
      </x:c>
      <x:c r="C134" s="31" t="str">
        <x:v>concern</x:v>
      </x:c>
      <x:c r="D134" s="19" t="str">
        <x:v>BACKGROUND_AMBIGUOUS</x:v>
      </x:c>
      <x:c r="E134" s="31" t="str">
        <x:v>COMPATIBLE</x:v>
      </x:c>
      <x:c r="F134" s="55" t="b">
        <x:v>1</x:v>
      </x:c>
      <x:c r="G134" s="31" t="str">
        <x:v>Compatible exact string/phrase for unsmoothed public Ngram retrieval (current interface supports up to seven words).</x:v>
      </x:c>
      <x:c r="H134" s="19" t="str">
        <x:v>BACKGROUND_AMBIGUOUS</x:v>
      </x:c>
      <x:c r="I134" s="31" t="str">
        <x:v>Fear of Temperature — Deep Research Round Two_ Historical Semantic Validation, Cross-Voice Relationa.pdf</x:v>
      </x:c>
      <x:c r="J134" s="31" t="str">
        <x:v>14–17</x:v>
      </x:c>
      <x:c r="K134" s="43" t="str">
        <x:v>RECONSTRUCTED_FROM_REPORT</x:v>
      </x:c>
    </x:row>
    <x:row r="135" ht="28" customHeight="1">
      <x:c r="A135" s="40" t="str">
        <x:v>FT-Q-V01-131</x:v>
      </x:c>
      <x:c r="B135" s="19" t="str">
        <x:v>2022</x:v>
      </x:c>
      <x:c r="C135" s="31" t="str">
        <x:v>anxiety</x:v>
      </x:c>
      <x:c r="D135" s="19" t="str">
        <x:v>BACKGROUND_AMBIGUOUS</x:v>
      </x:c>
      <x:c r="E135" s="31" t="str">
        <x:v>COMPATIBLE</x:v>
      </x:c>
      <x:c r="F135" s="55" t="b">
        <x:v>1</x:v>
      </x:c>
      <x:c r="G135" s="31" t="str">
        <x:v>Compatible exact string/phrase for unsmoothed public Ngram retrieval (current interface supports up to seven words).</x:v>
      </x:c>
      <x:c r="H135" s="19" t="str">
        <x:v>BACKGROUND_AMBIGUOUS</x:v>
      </x:c>
      <x:c r="I135" s="31" t="str">
        <x:v>Fear of Temperature — Deep Research Round Two_ Historical Semantic Validation, Cross-Voice Relationa.pdf</x:v>
      </x:c>
      <x:c r="J135" s="31" t="str">
        <x:v>14–17</x:v>
      </x:c>
      <x:c r="K135" s="43" t="str">
        <x:v>RECONSTRUCTED_FROM_REPORT</x:v>
      </x:c>
    </x:row>
    <x:row r="136" ht="28" customHeight="1">
      <x:c r="A136" s="40" t="str">
        <x:v>FT-Q-V01-132</x:v>
      </x:c>
      <x:c r="B136" s="19" t="str">
        <x:v>2006–2007</x:v>
      </x:c>
      <x:c r="C136" s="31" t="str">
        <x:v>danger</x:v>
      </x:c>
      <x:c r="D136" s="19" t="str">
        <x:v>BACKGROUND_AMBIGUOUS</x:v>
      </x:c>
      <x:c r="E136" s="31" t="str">
        <x:v>COMPATIBLE</x:v>
      </x:c>
      <x:c r="F136" s="55" t="b">
        <x:v>1</x:v>
      </x:c>
      <x:c r="G136" s="31" t="str">
        <x:v>Compatible exact string/phrase for unsmoothed public Ngram retrieval (current interface supports up to seven words).</x:v>
      </x:c>
      <x:c r="H136" s="19" t="str">
        <x:v>BACKGROUND_AMBIGUOUS</x:v>
      </x:c>
      <x:c r="I136" s="31" t="str">
        <x:v>Fear of Temperature — Deep Research Round Two_ Historical Semantic Validation, Cross-Voice Relationa.pdf</x:v>
      </x:c>
      <x:c r="J136" s="31" t="str">
        <x:v>14–17</x:v>
      </x:c>
      <x:c r="K136" s="43" t="str">
        <x:v>RECONSTRUCTED_FROM_REPORT</x:v>
      </x:c>
    </x:row>
    <x:row r="137" ht="28" customHeight="1">
      <x:c r="A137" s="40" t="str">
        <x:v>FT-Q-V01-133</x:v>
      </x:c>
      <x:c r="B137" s="19" t="str">
        <x:v>1988</x:v>
      </x:c>
      <x:c r="C137" s="31" t="str">
        <x:v>threat</x:v>
      </x:c>
      <x:c r="D137" s="19" t="str">
        <x:v>BACKGROUND_AMBIGUOUS</x:v>
      </x:c>
      <x:c r="E137" s="31" t="str">
        <x:v>COMPATIBLE</x:v>
      </x:c>
      <x:c r="F137" s="55" t="b">
        <x:v>1</x:v>
      </x:c>
      <x:c r="G137" s="31" t="str">
        <x:v>Compatible exact string/phrase for unsmoothed public Ngram retrieval (current interface supports up to seven words).</x:v>
      </x:c>
      <x:c r="H137" s="19" t="str">
        <x:v>BACKGROUND_AMBIGUOUS</x:v>
      </x:c>
      <x:c r="I137" s="31" t="str">
        <x:v>Fear of Temperature — Deep Research Round Two_ Historical Semantic Validation, Cross-Voice Relationa.pdf</x:v>
      </x:c>
      <x:c r="J137" s="31" t="str">
        <x:v>14–17</x:v>
      </x:c>
      <x:c r="K137" s="43" t="str">
        <x:v>RECONSTRUCTED_FROM_REPORT</x:v>
      </x:c>
    </x:row>
    <x:row r="138" ht="28" customHeight="1">
      <x:c r="A138" s="40" t="str">
        <x:v>FT-Q-V01-134</x:v>
      </x:c>
      <x:c r="B138" s="19" t="str">
        <x:v>2015</x:v>
      </x:c>
      <x:c r="C138" s="31" t="str">
        <x:v>risk</x:v>
      </x:c>
      <x:c r="D138" s="19" t="str">
        <x:v>BACKGROUND_AMBIGUOUS</x:v>
      </x:c>
      <x:c r="E138" s="31" t="str">
        <x:v>COMPATIBLE</x:v>
      </x:c>
      <x:c r="F138" s="55" t="b">
        <x:v>1</x:v>
      </x:c>
      <x:c r="G138" s="31" t="str">
        <x:v>Compatible exact string/phrase for unsmoothed public Ngram retrieval (current interface supports up to seven words).</x:v>
      </x:c>
      <x:c r="H138" s="19" t="str">
        <x:v>BACKGROUND_AMBIGUOUS</x:v>
      </x:c>
      <x:c r="I138" s="31" t="str">
        <x:v>Fear of Temperature — Deep Research Round Two_ Historical Semantic Validation, Cross-Voice Relationa.pdf</x:v>
      </x:c>
      <x:c r="J138" s="31" t="str">
        <x:v>14–17</x:v>
      </x:c>
      <x:c r="K138" s="43" t="str">
        <x:v>RECONSTRUCTED_FROM_REPORT</x:v>
      </x:c>
    </x:row>
    <x:row r="139" ht="28" customHeight="1">
      <x:c r="A139" s="40" t="str">
        <x:v>FT-Q-V01-135</x:v>
      </x:c>
      <x:c r="B139" s="19" t="str">
        <x:v>1988</x:v>
      </x:c>
      <x:c r="C139" s="31" t="str">
        <x:v>crisis</x:v>
      </x:c>
      <x:c r="D139" s="19" t="str">
        <x:v>BACKGROUND_AMBIGUOUS</x:v>
      </x:c>
      <x:c r="E139" s="31" t="str">
        <x:v>COMPATIBLE</x:v>
      </x:c>
      <x:c r="F139" s="55" t="b">
        <x:v>1</x:v>
      </x:c>
      <x:c r="G139" s="31" t="str">
        <x:v>Compatible exact string/phrase for unsmoothed public Ngram retrieval (current interface supports up to seven words).</x:v>
      </x:c>
      <x:c r="H139" s="19" t="str">
        <x:v>BACKGROUND_AMBIGUOUS</x:v>
      </x:c>
      <x:c r="I139" s="31" t="str">
        <x:v>Fear of Temperature — Deep Research Round Two_ Historical Semantic Validation, Cross-Voice Relationa.pdf</x:v>
      </x:c>
      <x:c r="J139" s="31" t="str">
        <x:v>14–17</x:v>
      </x:c>
      <x:c r="K139" s="43" t="str">
        <x:v>RECONSTRUCTED_FROM_REPORT</x:v>
      </x:c>
    </x:row>
    <x:row r="140" ht="28" customHeight="1">
      <x:c r="A140" s="40" t="str">
        <x:v>FT-Q-V01-136</x:v>
      </x:c>
      <x:c r="B140" s="19" t="str">
        <x:v>2015</x:v>
      </x:c>
      <x:c r="C140" s="31" t="str">
        <x:v>emergency</x:v>
      </x:c>
      <x:c r="D140" s="19" t="str">
        <x:v>BACKGROUND_AMBIGUOUS</x:v>
      </x:c>
      <x:c r="E140" s="31" t="str">
        <x:v>COMPATIBLE</x:v>
      </x:c>
      <x:c r="F140" s="55" t="b">
        <x:v>1</x:v>
      </x:c>
      <x:c r="G140" s="31" t="str">
        <x:v>Compatible exact string/phrase for unsmoothed public Ngram retrieval (current interface supports up to seven words).</x:v>
      </x:c>
      <x:c r="H140" s="19" t="str">
        <x:v>BACKGROUND_AMBIGUOUS</x:v>
      </x:c>
      <x:c r="I140" s="31" t="str">
        <x:v>Fear of Temperature — Deep Research Round Two_ Historical Semantic Validation, Cross-Voice Relationa.pdf</x:v>
      </x:c>
      <x:c r="J140" s="31" t="str">
        <x:v>14–17</x:v>
      </x:c>
      <x:c r="K140" s="43" t="str">
        <x:v>RECONSTRUCTED_FROM_REPORT</x:v>
      </x:c>
    </x:row>
    <x:row r="141" ht="28" customHeight="1">
      <x:c r="A141" s="40" t="str">
        <x:v>FT-Q-V01-137</x:v>
      </x:c>
      <x:c r="B141" s="19" t="str">
        <x:v>2022</x:v>
      </x:c>
      <x:c r="C141" s="31" t="str">
        <x:v>mortality</x:v>
      </x:c>
      <x:c r="D141" s="19" t="str">
        <x:v>BACKGROUND_AMBIGUOUS</x:v>
      </x:c>
      <x:c r="E141" s="31" t="str">
        <x:v>COMPATIBLE</x:v>
      </x:c>
      <x:c r="F141" s="55" t="b">
        <x:v>1</x:v>
      </x:c>
      <x:c r="G141" s="31" t="str">
        <x:v>Compatible exact string/phrase for unsmoothed public Ngram retrieval (current interface supports up to seven words).</x:v>
      </x:c>
      <x:c r="H141" s="19" t="str">
        <x:v>BACKGROUND_AMBIGUOUS</x:v>
      </x:c>
      <x:c r="I141" s="31" t="str">
        <x:v>Fear of Temperature — Deep Research Round Two_ Historical Semantic Validation, Cross-Voice Relationa.pdf</x:v>
      </x:c>
      <x:c r="J141" s="31" t="str">
        <x:v>14–17</x:v>
      </x:c>
      <x:c r="K141" s="43" t="str">
        <x:v>RECONSTRUCTED_FROM_REPORT</x:v>
      </x:c>
    </x:row>
    <x:row r="142" ht="28" customHeight="1">
      <x:c r="A142" s="40" t="str">
        <x:v>FT-Q-V01-138</x:v>
      </x:c>
      <x:c r="B142" s="19" t="str">
        <x:v>1842</x:v>
      </x:c>
      <x:c r="C142" s="31" t="str">
        <x:v>heat of the irons</x:v>
      </x:c>
      <x:c r="D142" s="19" t="str">
        <x:v>EXECUTABLE_NGRAM</x:v>
      </x:c>
      <x:c r="E142" s="31" t="str">
        <x:v>COMPATIBLE</x:v>
      </x:c>
      <x:c r="F142" s="55" t="b">
        <x:v>1</x:v>
      </x:c>
      <x:c r="G142" s="31" t="str">
        <x:v>Compatible exact string/phrase for unsmoothed public Ngram retrieval (current interface supports up to seven words).</x:v>
      </x:c>
      <x:c r="H142" s="19" t="str">
        <x:v>CONTEXT_REQUIRED</x:v>
      </x:c>
      <x:c r="I142" s="31" t="str">
        <x:v>Fear of Temperature_ Stratified Lexical Expansion, Voice Mapping, and Semantic-Relational Pre-Valida.pdf</x:v>
      </x:c>
      <x:c r="J142" s="31" t="str">
        <x:v>6</x:v>
      </x:c>
      <x:c r="K142" s="43" t="str">
        <x:v>RECONSTRUCTED_FROM_REPORT</x:v>
      </x:c>
    </x:row>
    <x:row r="143" ht="28" customHeight="1">
      <x:c r="A143" s="40" t="str">
        <x:v>FT-Q-V01-139</x:v>
      </x:c>
      <x:c r="B143" s="19" t="str">
        <x:v>1938</x:v>
      </x:c>
      <x:c r="C143" s="31" t="str">
        <x:v>heat wave</x:v>
      </x:c>
      <x:c r="D143" s="19" t="str">
        <x:v>EXECUTABLE_NGRAM</x:v>
      </x:c>
      <x:c r="E143" s="31" t="str">
        <x:v>COMPATIBLE</x:v>
      </x:c>
      <x:c r="F143" s="55" t="b">
        <x:v>1</x:v>
      </x:c>
      <x:c r="G143" s="31" t="str">
        <x:v>Compatible exact string/phrase for unsmoothed public Ngram retrieval (current interface supports up to seven words).</x:v>
      </x:c>
      <x:c r="H143" s="19" t="str">
        <x:v>CLIMATE_SPECIFIC</x:v>
      </x:c>
      <x:c r="I143" s="31" t="str">
        <x:v>Fear of Temperature_ Stratified Lexical Expansion, Voice Mapping, and Semantic-Relational Pre-Valida.pdf</x:v>
      </x:c>
      <x:c r="J143" s="31" t="str">
        <x:v>7</x:v>
      </x:c>
      <x:c r="K143" s="43" t="str">
        <x:v>RECONSTRUCTED_FROM_REPORT</x:v>
      </x:c>
    </x:row>
    <x:row r="144" ht="28" customHeight="1">
      <x:c r="A144" s="40" t="str">
        <x:v>FT-Q-V01-140</x:v>
      </x:c>
      <x:c r="B144" s="19" t="str">
        <x:v>1988</x:v>
      </x:c>
      <x:c r="C144" s="31" t="str">
        <x:v>grave threats</x:v>
      </x:c>
      <x:c r="D144" s="19" t="str">
        <x:v>EXECUTABLE_NGRAM</x:v>
      </x:c>
      <x:c r="E144" s="31" t="str">
        <x:v>COMPATIBLE</x:v>
      </x:c>
      <x:c r="F144" s="55" t="b">
        <x:v>1</x:v>
      </x:c>
      <x:c r="G144" s="31" t="str">
        <x:v>Compatible exact string/phrase for unsmoothed public Ngram retrieval (current interface supports up to seven words).</x:v>
      </x:c>
      <x:c r="H144" s="19" t="str">
        <x:v>CONTEXT_REQUIRED</x:v>
      </x:c>
      <x:c r="I144" s="31" t="str">
        <x:v>Fear of Temperature_ Stratified Lexical Expansion, Voice Mapping, and Semantic-Relational Pre-Valida.pdf</x:v>
      </x:c>
      <x:c r="J144" s="31" t="str">
        <x:v>9</x:v>
      </x:c>
      <x:c r="K144" s="43" t="str">
        <x:v>RECONSTRUCTED_FROM_REPORT</x:v>
      </x:c>
    </x:row>
    <x:row r="145" ht="28" customHeight="1">
      <x:c r="A145" s="40" t="str">
        <x:v>FT-Q-V01-141</x:v>
      </x:c>
      <x:c r="B145" s="19" t="str">
        <x:v>2006–2007</x:v>
      </x:c>
      <x:c r="C145" s="31" t="str">
        <x:v>Be Worried. Be Very Worried.</x:v>
      </x:c>
      <x:c r="D145" s="19" t="str">
        <x:v>EXECUTABLE_CORPUS_ONLY</x:v>
      </x:c>
      <x:c r="E145" s="31" t="str">
        <x:v>PUNCTUATION_HEAVY</x:v>
      </x:c>
      <x:c r="F145" s="55" t="b">
        <x:v>0</x:v>
      </x:c>
      <x:c r="G145" s="31" t="str">
        <x:v>Sentence-level punctuation makes this a corpus-context rule, not an Ngram phrase.</x:v>
      </x:c>
      <x:c r="H145" s="19" t="str">
        <x:v>CLIMATE_SPECIFIC</x:v>
      </x:c>
      <x:c r="I145" s="31" t="str">
        <x:v>Fear of Temperature_ Stratified Lexical Expansion, Voice Mapping, and Semantic-Relational Pre-Valida.pdf</x:v>
      </x:c>
      <x:c r="J145" s="31" t="str">
        <x:v>10</x:v>
      </x:c>
      <x:c r="K145" s="43" t="str">
        <x:v>RECONSTRUCTED_FROM_REPORT</x:v>
      </x:c>
    </x:row>
    <x:row r="146" ht="28" customHeight="1">
      <x:c r="A146" s="40" t="str">
        <x:v>FT-Q-V01-142</x:v>
      </x:c>
      <x:c r="B146" s="19" t="str">
        <x:v>2015</x:v>
      </x:c>
      <x:c r="C146" s="31" t="str">
        <x:v>comprehensive risk assessment and management</x:v>
      </x:c>
      <x:c r="D146" s="19" t="str">
        <x:v>EXECUTABLE_NGRAM</x:v>
      </x:c>
      <x:c r="E146" s="31" t="str">
        <x:v>COMPATIBLE</x:v>
      </x:c>
      <x:c r="F146" s="55" t="b">
        <x:v>1</x:v>
      </x:c>
      <x:c r="G146" s="31" t="str">
        <x:v>Compatible exact string/phrase for unsmoothed public Ngram retrieval (current interface supports up to seven words).</x:v>
      </x:c>
      <x:c r="H146" s="19" t="str">
        <x:v>CONTEXT_REQUIRED</x:v>
      </x:c>
      <x:c r="I146" s="31" t="str">
        <x:v>Fear of Temperature_ Stratified Lexical Expansion, Voice Mapping, and Semantic-Relational Pre-Valida.pdf</x:v>
      </x:c>
      <x:c r="J146" s="31" t="str">
        <x:v>11</x:v>
      </x:c>
      <x:c r="K146" s="43" t="str">
        <x:v>RECONSTRUCTED_FROM_REPORT</x:v>
      </x:c>
    </x:row>
    <x:row r="147" ht="28" customHeight="1">
      <x:c r="A147" s="41" t="str">
        <x:v>FT-Q-V01-143</x:v>
      </x:c>
      <x:c r="B147" s="22" t="str">
        <x:v>2022</x:v>
      </x:c>
      <x:c r="C147" s="32" t="str">
        <x:v>guilt</x:v>
      </x:c>
      <x:c r="D147" s="22" t="str">
        <x:v>EXECUTABLE_NGRAM</x:v>
      </x:c>
      <x:c r="E147" s="32" t="str">
        <x:v>COMPATIBLE</x:v>
      </x:c>
      <x:c r="F147" s="56" t="b">
        <x:v>1</x:v>
      </x:c>
      <x:c r="G147" s="32" t="str">
        <x:v>Compatible exact string/phrase for unsmoothed public Ngram retrieval (current interface supports up to seven words).</x:v>
      </x:c>
      <x:c r="H147" s="22" t="str">
        <x:v>CONTEXT_REQUIRED</x:v>
      </x:c>
      <x:c r="I147" s="32" t="str">
        <x:v>Fear of Temperature_ Stratified Lexical Expansion, Voice Mapping, and Semantic-Relational Pre-Valida.pdf</x:v>
      </x:c>
      <x:c r="J147" s="32" t="str">
        <x:v>12</x:v>
      </x:c>
      <x:c r="K147" s="44" t="str">
        <x:v>RECONSTRUCTED_FROM_REPORT</x:v>
      </x:c>
    </x:row>
  </x:sheetData>
  <x:mergeCells>
    <x:mergeCell ref="A1:K1"/>
    <x:mergeCell ref="A2:K2"/>
  </x:mergeCells>
  <x:conditionalFormatting sqref="E5:E147">
    <x:cfRule type="containsText" dxfId="144" priority="1" operator="containsText" text="COMPLETE"/>
    <x:cfRule type="containsText" dxfId="145" priority="2" operator="containsText" text="TRACEABLE"/>
    <x:cfRule type="containsText" dxfId="146" priority="3" operator="containsText" text="ZERO"/>
    <x:cfRule type="containsText" dxfId="147" priority="4" operator="containsText" text="UNRESOLVED"/>
    <x:cfRule type="containsText" dxfId="148" priority="5" operator="containsText" text="NOT_"/>
    <x:cfRule type="containsText" dxfId="149" priority="6" operator="containsText" text="PARTIAL"/>
  </x:conditionalFormatting>
  <x:conditionalFormatting sqref="K5:K147">
    <x:cfRule type="containsText" dxfId="150" priority="7" operator="containsText" text="COMPLETE"/>
    <x:cfRule type="containsText" dxfId="151" priority="8" operator="containsText" text="TRACEABLE"/>
    <x:cfRule type="containsText" dxfId="152" priority="9" operator="containsText" text="ZERO"/>
    <x:cfRule type="containsText" dxfId="153" priority="10" operator="containsText" text="UNRESOLVED"/>
    <x:cfRule type="containsText" dxfId="154" priority="11" operator="containsText" text="NOT_"/>
    <x:cfRule type="containsText" dxfId="155" priority="12" operator="containsText" text="PARTIAL"/>
  </x:conditionalFormatting>
  <x:pageMargins left="0.7" right="0.7" top="0.75" bottom="0.75" header="0.3" footer="0.3"/>
  <x:tableParts count="1">
    <x:tablePart xmlns:r="http://schemas.openxmlformats.org/officeDocument/2006/relationships" r:id="Rb4d507e8afc34b03"/>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3" hidden="0" customWidth="1"/>
    <x:col min="4" max="4" width="16" hidden="0" customWidth="1"/>
    <x:col min="5" max="5" width="16" hidden="0" customWidth="1"/>
    <x:col min="6" max="6" width="16" hidden="0" customWidth="1"/>
    <x:col min="7" max="7" width="32" hidden="0" customWidth="1"/>
    <x:col min="8" max="8" width="16" hidden="0" customWidth="1"/>
    <x:col min="9" max="9" width="40" hidden="0" customWidth="1"/>
    <x:col min="10" max="10" width="16" hidden="0" customWidth="1"/>
    <x:col min="11" max="11" width="32" hidden="0" customWidth="1"/>
    <x:col min="12" max="12" width="16" hidden="0" customWidth="1"/>
  </x:cols>
  <x:sheetData>
    <x:row r="1" ht="38" customHeight="1">
      <x:c r="A1" s="3" t="str">
        <x:v>Raw Ngram Execution Status</x:v>
      </x:c>
      <x:c r="B1" s="3" t="str">
        <x:v>Raw Ngram Execution Status</x:v>
      </x:c>
      <x:c r="C1" s="3" t="str">
        <x:v>Raw Ngram Execution Status</x:v>
      </x:c>
      <x:c r="D1" s="3" t="str">
        <x:v>Raw Ngram Execution Status</x:v>
      </x:c>
      <x:c r="E1" s="3" t="str">
        <x:v>Raw Ngram Execution Status</x:v>
      </x:c>
      <x:c r="F1" s="3" t="str">
        <x:v>Raw Ngram Execution Status</x:v>
      </x:c>
      <x:c r="G1" s="3" t="str">
        <x:v>Raw Ngram Execution Status</x:v>
      </x:c>
      <x:c r="H1" s="3" t="str">
        <x:v>Raw Ngram Execution Status</x:v>
      </x:c>
      <x:c r="I1" s="3" t="str">
        <x:v>Raw Ngram Execution Status</x:v>
      </x:c>
      <x:c r="J1" s="3" t="str">
        <x:v>Raw Ngram Execution Status</x:v>
      </x:c>
      <x:c r="K1" s="3" t="str">
        <x:v>Raw Ngram Execution Status</x:v>
      </x:c>
      <x:c r="L1" s="3" t="str">
        <x:v>Raw Ngram Execution Status</x:v>
      </x:c>
    </x:row>
    <x:row r="2" ht="32" customHeight="1">
      <x:c r="A2" s="7" t="str">
        <x:v>Provider response accounting, checksums, timestamps and explicit zero/incompatible outcomes.</x:v>
      </x:c>
      <x:c r="B2" s="7" t="str">
        <x:v>Provider response accounting, checksums, timestamps and explicit zero/incompatible outcomes.</x:v>
      </x:c>
      <x:c r="C2" s="7" t="str">
        <x:v>Provider response accounting, checksums, timestamps and explicit zero/incompatible outcomes.</x:v>
      </x:c>
      <x:c r="D2" s="7" t="str">
        <x:v>Provider response accounting, checksums, timestamps and explicit zero/incompatible outcomes.</x:v>
      </x:c>
      <x:c r="E2" s="7" t="str">
        <x:v>Provider response accounting, checksums, timestamps and explicit zero/incompatible outcomes.</x:v>
      </x:c>
      <x:c r="F2" s="7" t="str">
        <x:v>Provider response accounting, checksums, timestamps and explicit zero/incompatible outcomes.</x:v>
      </x:c>
      <x:c r="G2" s="7" t="str">
        <x:v>Provider response accounting, checksums, timestamps and explicit zero/incompatible outcomes.</x:v>
      </x:c>
      <x:c r="H2" s="7" t="str">
        <x:v>Provider response accounting, checksums, timestamps and explicit zero/incompatible outcomes.</x:v>
      </x:c>
      <x:c r="I2" s="7" t="str">
        <x:v>Provider response accounting, checksums, timestamps and explicit zero/incompatible outcomes.</x:v>
      </x:c>
      <x:c r="J2" s="7" t="str">
        <x:v>Provider response accounting, checksums, timestamps and explicit zero/incompatible outcomes.</x:v>
      </x:c>
      <x:c r="K2" s="7" t="str">
        <x:v>Provider response accounting, checksums, timestamps and explicit zero/incompatible outcomes.</x:v>
      </x:c>
      <x:c r="L2" s="7" t="str">
        <x:v>Provider response accounting, checksums, timestamps and explicit zero/incompatible outcomes.</x:v>
      </x:c>
    </x:row>
    <x:row r="4" ht="42" customHeight="1">
      <x:c r="A4" s="14" t="str">
        <x:v>query_id</x:v>
      </x:c>
      <x:c r="B4" s="14" t="str">
        <x:v>request_surface_form</x:v>
      </x:c>
      <x:c r="C4" s="14" t="str">
        <x:v>execution_status</x:v>
      </x:c>
      <x:c r="D4" s="14" t="str">
        <x:v>attempt_count</x:v>
      </x:c>
      <x:c r="E4" s="14" t="str">
        <x:v>observation_count</x:v>
      </x:c>
      <x:c r="F4" s="14" t="str">
        <x:v>first_response_ngram</x:v>
      </x:c>
      <x:c r="G4" s="14" t="str">
        <x:v>raw_response_path</x:v>
      </x:c>
      <x:c r="H4" s="14" t="str">
        <x:v>raw_payload_sha256</x:v>
      </x:c>
      <x:c r="I4" s="14" t="str">
        <x:v>error_reason</x:v>
      </x:c>
      <x:c r="J4" s="14" t="str">
        <x:v>retrieved_at</x:v>
      </x:c>
      <x:c r="K4" s="14" t="str">
        <x:v>request_url</x:v>
      </x:c>
      <x:c r="L4" s="14" t="str">
        <x:v>content_type</x:v>
      </x:c>
    </x:row>
    <x:row r="5" ht="26" customHeight="1">
      <x:c r="A5" s="39" t="str">
        <x:v>FT-Q-V01-001</x:v>
      </x:c>
      <x:c r="B5" s="30" t="str">
        <x:v>temperature</x:v>
      </x:c>
      <x:c r="C5" s="30" t="str">
        <x:v>SUCCEEDED</x:v>
      </x:c>
      <x:c r="D5" s="24" t="n">
        <x:v>0</x:v>
      </x:c>
      <x:c r="E5" s="24" t="n">
        <x:v>181</x:v>
      </x:c>
      <x:c r="F5" s="16" t="str">
        <x:v>temperature (All)</x:v>
      </x:c>
      <x:c r="G5" s="30" t="str">
        <x:v>data/fear-temperature/ngram/raw/179a52b9336531c34b94ed0259d967ff017a402a8b91c8b496d5e31653598f08.json</x:v>
      </x:c>
      <x:c r="H5" s="16" t="str">
        <x:v>7b1ac8fa84bb224c6710a58bfcebdfa405b91a35f16b0993dddc025192051e21</x:v>
      </x:c>
      <x:c r="I5" s="30" t="str"/>
      <x:c r="J5" s="16" t="n">
        <x:v>46260.106770833336</x:v>
      </x:c>
      <x:c r="K5" s="30" t="str">
        <x:v>https://books.google.com/ngrams/json?content=temperature&amp;year_start=1842&amp;year_end=2022&amp;corpus=eng&amp;smoothing=0&amp;case_insensitive=true</x:v>
      </x:c>
      <x:c r="L5" s="17" t="str">
        <x:v>application/json (cached)</x:v>
      </x:c>
    </x:row>
    <x:row r="6" ht="26" customHeight="1">
      <x:c r="A6" s="40" t="str">
        <x:v>FT-Q-V01-002</x:v>
      </x:c>
      <x:c r="B6" s="31" t="str">
        <x:v>mean temperature</x:v>
      </x:c>
      <x:c r="C6" s="31" t="str">
        <x:v>SUCCEEDED</x:v>
      </x:c>
      <x:c r="D6" s="25" t="n">
        <x:v>0</x:v>
      </x:c>
      <x:c r="E6" s="25" t="n">
        <x:v>181</x:v>
      </x:c>
      <x:c r="F6" s="19" t="str">
        <x:v>mean temperature (All)</x:v>
      </x:c>
      <x:c r="G6" s="31" t="str">
        <x:v>data/fear-temperature/ngram/raw/264e2d12fe20c5aa6284ae43253eabc03ec9e11aa2056afde9e77d33d8e97530.json</x:v>
      </x:c>
      <x:c r="H6" s="19" t="str">
        <x:v>0d049bebf2e700224bc9339569434af87e3983662263462216b4b91cca41460d</x:v>
      </x:c>
      <x:c r="I6" s="31" t="str"/>
      <x:c r="J6" s="19" t="n">
        <x:v>46260.106782407405</x:v>
      </x:c>
      <x:c r="K6" s="31" t="str">
        <x:v>https://books.google.com/ngrams/json?content=mean+temperature&amp;year_start=1842&amp;year_end=2022&amp;corpus=eng&amp;smoothing=0&amp;case_insensitive=true</x:v>
      </x:c>
      <x:c r="L6" s="20" t="str">
        <x:v>application/json (cached)</x:v>
      </x:c>
    </x:row>
    <x:row r="7" ht="26" customHeight="1">
      <x:c r="A7" s="40" t="str">
        <x:v>FT-Q-V01-003</x:v>
      </x:c>
      <x:c r="B7" s="31" t="str">
        <x:v>temperature of the air in shade</x:v>
      </x:c>
      <x:c r="C7" s="31" t="str">
        <x:v>SUCCEEDED</x:v>
      </x:c>
      <x:c r="D7" s="25" t="n">
        <x:v>0</x:v>
      </x:c>
      <x:c r="E7" s="25" t="n">
        <x:v>181</x:v>
      </x:c>
      <x:c r="F7" s="19" t="str">
        <x:v>temperature of the air in shade</x:v>
      </x:c>
      <x:c r="G7" s="31" t="str">
        <x:v>data/fear-temperature/ngram/raw/1524427f0c535f347e97e3332fb50571eca9bae9e865c6017848e2e009d95b39.json</x:v>
      </x:c>
      <x:c r="H7" s="19" t="str">
        <x:v>250caa923d54487a5a3bc3708b3e20595f2a4f76a5b9c32eafd5ea9a114d410e</x:v>
      </x:c>
      <x:c r="I7" s="31" t="str"/>
      <x:c r="J7" s="19" t="n">
        <x:v>46260.10679398148</x:v>
      </x:c>
      <x:c r="K7" s="31" t="str">
        <x:v>https://books.google.com/ngrams/json?content=temperature+of+the+air+in+shade&amp;year_start=1842&amp;year_end=2022&amp;corpus=eng&amp;smoothing=0&amp;case_insensitive=true</x:v>
      </x:c>
      <x:c r="L7" s="20" t="str">
        <x:v>application/json (cached)</x:v>
      </x:c>
    </x:row>
    <x:row r="8" ht="26" customHeight="1">
      <x:c r="A8" s="40" t="str">
        <x:v>FT-Q-V01-004</x:v>
      </x:c>
      <x:c r="B8" s="31" t="str">
        <x:v>maximum temperature</x:v>
      </x:c>
      <x:c r="C8" s="31" t="str">
        <x:v>SUCCEEDED</x:v>
      </x:c>
      <x:c r="D8" s="25" t="n">
        <x:v>0</x:v>
      </x:c>
      <x:c r="E8" s="25" t="n">
        <x:v>181</x:v>
      </x:c>
      <x:c r="F8" s="19" t="str">
        <x:v>maximum temperature (All)</x:v>
      </x:c>
      <x:c r="G8" s="31" t="str">
        <x:v>data/fear-temperature/ngram/raw/9ef1e684d6470a99165d520c50c1782090e9e2db528fdf5e71f55f8f1d4f7ce2.json</x:v>
      </x:c>
      <x:c r="H8" s="19" t="str">
        <x:v>28f029f228a6a5f33352648bfa6c4b4b1c052cd8d2099dc7b0a0edb3cf22a8bd</x:v>
      </x:c>
      <x:c r="I8" s="31" t="str"/>
      <x:c r="J8" s="19" t="n">
        <x:v>46260.10680555556</x:v>
      </x:c>
      <x:c r="K8" s="31" t="str">
        <x:v>https://books.google.com/ngrams/json?content=maximum+temperature&amp;year_start=1842&amp;year_end=2022&amp;corpus=eng&amp;smoothing=0&amp;case_insensitive=true</x:v>
      </x:c>
      <x:c r="L8" s="20" t="str">
        <x:v>application/json (cached)</x:v>
      </x:c>
    </x:row>
    <x:row r="9" ht="26" customHeight="1">
      <x:c r="A9" s="40" t="str">
        <x:v>FT-Q-V01-005</x:v>
      </x:c>
      <x:c r="B9" s="31" t="str">
        <x:v>minimum temperature</x:v>
      </x:c>
      <x:c r="C9" s="31" t="str">
        <x:v>SUCCEEDED</x:v>
      </x:c>
      <x:c r="D9" s="25" t="n">
        <x:v>0</x:v>
      </x:c>
      <x:c r="E9" s="25" t="n">
        <x:v>181</x:v>
      </x:c>
      <x:c r="F9" s="19" t="str">
        <x:v>minimum temperature (All)</x:v>
      </x:c>
      <x:c r="G9" s="31" t="str">
        <x:v>data/fear-temperature/ngram/raw/f32958ead9a4b7905bc78d007acd99b3363766a0ba25f1c363d262f5614f0be2.json</x:v>
      </x:c>
      <x:c r="H9" s="19" t="str">
        <x:v>cb4937cf3c5e61cba23f17e6b3b008d1d901e8f46f706f8854c043ed5362a30f</x:v>
      </x:c>
      <x:c r="I9" s="31" t="str"/>
      <x:c r="J9" s="19" t="n">
        <x:v>46260.10681712963</x:v>
      </x:c>
      <x:c r="K9" s="31" t="str">
        <x:v>https://books.google.com/ngrams/json?content=minimum+temperature&amp;year_start=1842&amp;year_end=2022&amp;corpus=eng&amp;smoothing=0&amp;case_insensitive=true</x:v>
      </x:c>
      <x:c r="L9" s="20" t="str">
        <x:v>application/json (cached)</x:v>
      </x:c>
    </x:row>
    <x:row r="10" ht="26" customHeight="1">
      <x:c r="A10" s="40" t="str">
        <x:v>FT-Q-V01-006</x:v>
      </x:c>
      <x:c r="B10" s="31" t="str">
        <x:v>mean temperature of sea at surface</x:v>
      </x:c>
      <x:c r="C10" s="31" t="str">
        <x:v>ZERO_RESULT</x:v>
      </x:c>
      <x:c r="D10" s="25" t="n">
        <x:v>0</x:v>
      </x:c>
      <x:c r="E10" s="25" t="n">
        <x:v>0</x:v>
      </x:c>
      <x:c r="F10" s="19" t="str"/>
      <x:c r="G10" s="31" t="str">
        <x:v>data/fear-temperature/ngram/raw/3821c7b527e63ea16225f9ddeb9ceaf467e51e1486c0c84fca0bc5502dcf20d4.json</x:v>
      </x:c>
      <x:c r="H10" s="19" t="str">
        <x:v>4f53cda18c2baa0c0354bb5f9a3ecbe5ed12ab4d8e11ba873c2f11161202b945</x:v>
      </x:c>
      <x:c r="I10" s="31" t="str"/>
      <x:c r="J10" s="19" t="n">
        <x:v>46260.10681712963</x:v>
      </x:c>
      <x:c r="K10" s="31" t="str">
        <x:v>https://books.google.com/ngrams/json?content=mean+temperature+of+sea+at+surface&amp;year_start=1842&amp;year_end=2022&amp;corpus=eng&amp;smoothing=0&amp;case_insensitive=true</x:v>
      </x:c>
      <x:c r="L10" s="20" t="str">
        <x:v>application/json (cached)</x:v>
      </x:c>
    </x:row>
    <x:row r="11" ht="26" customHeight="1">
      <x:c r="A11" s="40" t="str">
        <x:v>FT-Q-V01-007</x:v>
      </x:c>
      <x:c r="B11" s="31" t="str">
        <x:v>dew point</x:v>
      </x:c>
      <x:c r="C11" s="31" t="str">
        <x:v>SUCCEEDED</x:v>
      </x:c>
      <x:c r="D11" s="25" t="n">
        <x:v>0</x:v>
      </x:c>
      <x:c r="E11" s="25" t="n">
        <x:v>181</x:v>
      </x:c>
      <x:c r="F11" s="19" t="str">
        <x:v>dew point (All)</x:v>
      </x:c>
      <x:c r="G11" s="31" t="str">
        <x:v>data/fear-temperature/ngram/raw/4898435e13db75c393f88431adaa7c57e859e86e427c2a0c7f85ffed43c9489d.json</x:v>
      </x:c>
      <x:c r="H11" s="19" t="str">
        <x:v>b9e4619dcf3e1a5a8ef4241db90057077bb2a84c43f8b339efefff04c99478ae</x:v>
      </x:c>
      <x:c r="I11" s="31" t="str"/>
      <x:c r="J11" s="19" t="n">
        <x:v>46260.106828703705</x:v>
      </x:c>
      <x:c r="K11" s="31" t="str">
        <x:v>https://books.google.com/ngrams/json?content=dew+point&amp;year_start=1842&amp;year_end=2022&amp;corpus=eng&amp;smoothing=0&amp;case_insensitive=true</x:v>
      </x:c>
      <x:c r="L11" s="20" t="str">
        <x:v>application/json (cached)</x:v>
      </x:c>
    </x:row>
    <x:row r="12" ht="26" customHeight="1">
      <x:c r="A12" s="40" t="str">
        <x:v>FT-Q-V01-008</x:v>
      </x:c>
      <x:c r="B12" s="31" t="str">
        <x:v>standard thermometer</x:v>
      </x:c>
      <x:c r="C12" s="31" t="str">
        <x:v>SUCCEEDED</x:v>
      </x:c>
      <x:c r="D12" s="25" t="n">
        <x:v>0</x:v>
      </x:c>
      <x:c r="E12" s="25" t="n">
        <x:v>181</x:v>
      </x:c>
      <x:c r="F12" s="19" t="str">
        <x:v>standard thermometer (All)</x:v>
      </x:c>
      <x:c r="G12" s="31" t="str">
        <x:v>data/fear-temperature/ngram/raw/1b5489f7c11dc47a84c822f25bba9106c5bb57ed260344f09cccb40c2a47e5ab.json</x:v>
      </x:c>
      <x:c r="H12" s="19" t="str">
        <x:v>c1cfa95abfec15203a98da604e7f82af601f7015f3cc2da0ac62fe18e736fe0a</x:v>
      </x:c>
      <x:c r="I12" s="31" t="str"/>
      <x:c r="J12" s="19" t="n">
        <x:v>46260.106840277775</x:v>
      </x:c>
      <x:c r="K12" s="31" t="str">
        <x:v>https://books.google.com/ngrams/json?content=standard+thermometer&amp;year_start=1842&amp;year_end=2022&amp;corpus=eng&amp;smoothing=0&amp;case_insensitive=true</x:v>
      </x:c>
      <x:c r="L12" s="20" t="str">
        <x:v>application/json (cached)</x:v>
      </x:c>
    </x:row>
    <x:row r="13" ht="26" customHeight="1">
      <x:c r="A13" s="40" t="str">
        <x:v>FT-Q-V01-009</x:v>
      </x:c>
      <x:c r="B13" s="31" t="str">
        <x:v>attached thermometer</x:v>
      </x:c>
      <x:c r="C13" s="31" t="str">
        <x:v>SUCCEEDED</x:v>
      </x:c>
      <x:c r="D13" s="25" t="n">
        <x:v>0</x:v>
      </x:c>
      <x:c r="E13" s="25" t="n">
        <x:v>181</x:v>
      </x:c>
      <x:c r="F13" s="19" t="str">
        <x:v>attached thermometer (All)</x:v>
      </x:c>
      <x:c r="G13" s="31" t="str">
        <x:v>data/fear-temperature/ngram/raw/6a0588ceb7b0cd726403d59e6ae13eb6618e91f3b5f21baa3ed0fa972b12fdf6.json</x:v>
      </x:c>
      <x:c r="H13" s="19" t="str">
        <x:v>59a1407d0cf2bd7a984e4b5daefd48fce43fdfda233e90f0e15253ccb38a5a1c</x:v>
      </x:c>
      <x:c r="I13" s="31" t="str"/>
      <x:c r="J13" s="19" t="n">
        <x:v>46260.10685185185</x:v>
      </x:c>
      <x:c r="K13" s="31" t="str">
        <x:v>https://books.google.com/ngrams/json?content=attached+thermometer&amp;year_start=1842&amp;year_end=2022&amp;corpus=eng&amp;smoothing=0&amp;case_insensitive=true</x:v>
      </x:c>
      <x:c r="L13" s="20" t="str">
        <x:v>application/json (cached)</x:v>
      </x:c>
    </x:row>
    <x:row r="14" ht="26" customHeight="1">
      <x:c r="A14" s="40" t="str">
        <x:v>FT-Q-V01-010</x:v>
      </x:c>
      <x:c r="B14" s="31" t="str">
        <x:v>dry bulb thermometer</x:v>
      </x:c>
      <x:c r="C14" s="31" t="str">
        <x:v>SUCCEEDED</x:v>
      </x:c>
      <x:c r="D14" s="25" t="n">
        <x:v>0</x:v>
      </x:c>
      <x:c r="E14" s="25" t="n">
        <x:v>181</x:v>
      </x:c>
      <x:c r="F14" s="19" t="str">
        <x:v>dry bulb thermometer (All)</x:v>
      </x:c>
      <x:c r="G14" s="31" t="str">
        <x:v>data/fear-temperature/ngram/raw/ccf7b062d1c1fa3d9074e3f27879fdf37eb632c5d285dd90fa3bbaaeca5e0586.json</x:v>
      </x:c>
      <x:c r="H14" s="19" t="str">
        <x:v>8c09120e509519427381f873a7d0a9a62003137ee5ceba10bcaf908e05767047</x:v>
      </x:c>
      <x:c r="I14" s="31" t="str"/>
      <x:c r="J14" s="19" t="n">
        <x:v>46260.10686342593</x:v>
      </x:c>
      <x:c r="K14" s="31" t="str">
        <x:v>https://books.google.com/ngrams/json?content=dry+bulb+thermometer&amp;year_start=1842&amp;year_end=2022&amp;corpus=eng&amp;smoothing=0&amp;case_insensitive=true</x:v>
      </x:c>
      <x:c r="L14" s="20" t="str">
        <x:v>application/json (cached)</x:v>
      </x:c>
    </x:row>
    <x:row r="15" ht="26" customHeight="1">
      <x:c r="A15" s="40" t="str">
        <x:v>FT-Q-V01-011</x:v>
      </x:c>
      <x:c r="B15" s="31" t="str">
        <x:v>wet bulb thermometer</x:v>
      </x:c>
      <x:c r="C15" s="31" t="str">
        <x:v>SUCCEEDED</x:v>
      </x:c>
      <x:c r="D15" s="25" t="n">
        <x:v>0</x:v>
      </x:c>
      <x:c r="E15" s="25" t="n">
        <x:v>181</x:v>
      </x:c>
      <x:c r="F15" s="19" t="str">
        <x:v>wet bulb thermometer (All)</x:v>
      </x:c>
      <x:c r="G15" s="31" t="str">
        <x:v>data/fear-temperature/ngram/raw/39268f7b0edac2a3caeb7bce6236c526ab82e48a6b48cb0cc06bf5cf840cbe9a.json</x:v>
      </x:c>
      <x:c r="H15" s="19" t="str">
        <x:v>d35055a0b9c6a637171bbd8239bfe1bc58480ec784c994c23cb833d3a9ad128e</x:v>
      </x:c>
      <x:c r="I15" s="31" t="str"/>
      <x:c r="J15" s="19" t="n">
        <x:v>46260.106875</x:v>
      </x:c>
      <x:c r="K15" s="31" t="str">
        <x:v>https://books.google.com/ngrams/json?content=wet+bulb+thermometer&amp;year_start=1842&amp;year_end=2022&amp;corpus=eng&amp;smoothing=0&amp;case_insensitive=true</x:v>
      </x:c>
      <x:c r="L15" s="20" t="str">
        <x:v>application/json (cached)</x:v>
      </x:c>
    </x:row>
    <x:row r="16" ht="26" customHeight="1">
      <x:c r="A16" s="40" t="str">
        <x:v>FT-Q-V01-012</x:v>
      </x:c>
      <x:c r="B16" s="31" t="str">
        <x:v>meteorological observations</x:v>
      </x:c>
      <x:c r="C16" s="31" t="str">
        <x:v>SUCCEEDED</x:v>
      </x:c>
      <x:c r="D16" s="25" t="n">
        <x:v>0</x:v>
      </x:c>
      <x:c r="E16" s="25" t="n">
        <x:v>181</x:v>
      </x:c>
      <x:c r="F16" s="19" t="str">
        <x:v>meteorological observations (All)</x:v>
      </x:c>
      <x:c r="G16" s="31" t="str">
        <x:v>data/fear-temperature/ngram/raw/32e5ce8ef7371cdbf27a5865c35c03777dcd78911b87337158ac77f129ae383f.json</x:v>
      </x:c>
      <x:c r="H16" s="19" t="str">
        <x:v>0905be99bac63e06ac6c8e689f3bfbe505ac621dca092ce408faaf136cd061a7</x:v>
      </x:c>
      <x:c r="I16" s="31" t="str"/>
      <x:c r="J16" s="19" t="n">
        <x:v>46260.106886574074</x:v>
      </x:c>
      <x:c r="K16" s="31" t="str">
        <x:v>https://books.google.com/ngrams/json?content=meteorological+observations&amp;year_start=1842&amp;year_end=2022&amp;corpus=eng&amp;smoothing=0&amp;case_insensitive=true</x:v>
      </x:c>
      <x:c r="L16" s="20" t="str">
        <x:v>application/json (cached)</x:v>
      </x:c>
    </x:row>
    <x:row r="17" ht="26" customHeight="1">
      <x:c r="A17" s="40" t="str">
        <x:v>FT-Q-V01-013</x:v>
      </x:c>
      <x:c r="B17" s="31" t="str">
        <x:v>meteorological journal</x:v>
      </x:c>
      <x:c r="C17" s="31" t="str">
        <x:v>SUCCEEDED</x:v>
      </x:c>
      <x:c r="D17" s="25" t="n">
        <x:v>0</x:v>
      </x:c>
      <x:c r="E17" s="25" t="n">
        <x:v>181</x:v>
      </x:c>
      <x:c r="F17" s="19" t="str">
        <x:v>meteorological journal (All)</x:v>
      </x:c>
      <x:c r="G17" s="31" t="str">
        <x:v>data/fear-temperature/ngram/raw/e11a874b3aa528b4ca775a4792b211f9ae21d79d674027de8fdaf55138f5e246.json</x:v>
      </x:c>
      <x:c r="H17" s="19" t="str">
        <x:v>13edc32ce4e15cc2ce6084d18fb145eef7b82ccb515d23a482a404e4b6411bb0</x:v>
      </x:c>
      <x:c r="I17" s="31" t="str"/>
      <x:c r="J17" s="19" t="n">
        <x:v>46260.106886574074</x:v>
      </x:c>
      <x:c r="K17" s="31" t="str">
        <x:v>https://books.google.com/ngrams/json?content=meteorological+journal&amp;year_start=1842&amp;year_end=2022&amp;corpus=eng&amp;smoothing=0&amp;case_insensitive=true</x:v>
      </x:c>
      <x:c r="L17" s="20" t="str">
        <x:v>application/json (cached)</x:v>
      </x:c>
    </x:row>
    <x:row r="18" ht="26" customHeight="1">
      <x:c r="A18" s="40" t="str">
        <x:v>FT-Q-V01-014</x:v>
      </x:c>
      <x:c r="B18" s="31" t="str">
        <x:v>weather</x:v>
      </x:c>
      <x:c r="C18" s="31" t="str">
        <x:v>SUCCEEDED</x:v>
      </x:c>
      <x:c r="D18" s="25" t="n">
        <x:v>0</x:v>
      </x:c>
      <x:c r="E18" s="25" t="n">
        <x:v>181</x:v>
      </x:c>
      <x:c r="F18" s="19" t="str">
        <x:v>weather (All)</x:v>
      </x:c>
      <x:c r="G18" s="31" t="str">
        <x:v>data/fear-temperature/ngram/raw/b1c235e1f9b54d9c47f30260c9750c598212bb32714ef6ab727ce897ed2fe408.json</x:v>
      </x:c>
      <x:c r="H18" s="19" t="str">
        <x:v>81c3fdb4504f11cc591d1094b7f7e132e70acb0cb11aa2a35823019cf3ecc4d9</x:v>
      </x:c>
      <x:c r="I18" s="31" t="str"/>
      <x:c r="J18" s="19" t="n">
        <x:v>46260.10689814815</x:v>
      </x:c>
      <x:c r="K18" s="31" t="str">
        <x:v>https://books.google.com/ngrams/json?content=weather&amp;year_start=1842&amp;year_end=2022&amp;corpus=eng&amp;smoothing=0&amp;case_insensitive=true</x:v>
      </x:c>
      <x:c r="L18" s="20" t="str">
        <x:v>application/json (cached)</x:v>
      </x:c>
    </x:row>
    <x:row r="19" ht="26" customHeight="1">
      <x:c r="A19" s="40" t="str">
        <x:v>FT-Q-V01-015</x:v>
      </x:c>
      <x:c r="B19" s="31" t="str">
        <x:v>climate</x:v>
      </x:c>
      <x:c r="C19" s="31" t="str">
        <x:v>SUCCEEDED</x:v>
      </x:c>
      <x:c r="D19" s="25" t="n">
        <x:v>0</x:v>
      </x:c>
      <x:c r="E19" s="25" t="n">
        <x:v>181</x:v>
      </x:c>
      <x:c r="F19" s="19" t="str">
        <x:v>climate (All)</x:v>
      </x:c>
      <x:c r="G19" s="31" t="str">
        <x:v>data/fear-temperature/ngram/raw/15b0e51d7801a15c04a08d94fa0d6eafde8f1970a7229d0a666bcb7896395fae.json</x:v>
      </x:c>
      <x:c r="H19" s="19" t="str">
        <x:v>497b1e86894d256ceba1b428edc7ff112ec189615241b53db1c94f3f850e6b68</x:v>
      </x:c>
      <x:c r="I19" s="31" t="str"/>
      <x:c r="J19" s="19" t="n">
        <x:v>46260.10690972222</x:v>
      </x:c>
      <x:c r="K19" s="31" t="str">
        <x:v>https://books.google.com/ngrams/json?content=climate&amp;year_start=1842&amp;year_end=2022&amp;corpus=eng&amp;smoothing=0&amp;case_insensitive=true</x:v>
      </x:c>
      <x:c r="L19" s="20" t="str">
        <x:v>application/json (cached)</x:v>
      </x:c>
    </x:row>
    <x:row r="20" ht="26" customHeight="1">
      <x:c r="A20" s="40" t="str">
        <x:v>FT-Q-V01-016</x:v>
      </x:c>
      <x:c r="B20" s="31" t="str">
        <x:v>sun's heat</x:v>
      </x:c>
      <x:c r="C20" s="31" t="str">
        <x:v>ZERO_RESULT</x:v>
      </x:c>
      <x:c r="D20" s="25" t="n">
        <x:v>0</x:v>
      </x:c>
      <x:c r="E20" s="25" t="n">
        <x:v>0</x:v>
      </x:c>
      <x:c r="F20" s="19" t="str"/>
      <x:c r="G20" s="31" t="str">
        <x:v>data/fear-temperature/ngram/raw/a5e0c6f662bea7df30da2af8d6f74cfa8d7e2db15acbb2556c3ecd3d4ba34a26.json</x:v>
      </x:c>
      <x:c r="H20" s="19" t="str">
        <x:v>4f53cda18c2baa0c0354bb5f9a3ecbe5ed12ab4d8e11ba873c2f11161202b945</x:v>
      </x:c>
      <x:c r="I20" s="31" t="str"/>
      <x:c r="J20" s="19" t="n">
        <x:v>46260.1069212963</x:v>
      </x:c>
      <x:c r="K20" s="31" t="str">
        <x:v>https://books.google.com/ngrams/json?content=sun%27s+heat&amp;year_start=1842&amp;year_end=2022&amp;corpus=eng&amp;smoothing=0&amp;case_insensitive=true</x:v>
      </x:c>
      <x:c r="L20" s="20" t="str">
        <x:v>application/json (cached)</x:v>
      </x:c>
    </x:row>
    <x:row r="21" ht="26" customHeight="1">
      <x:c r="A21" s="40" t="str">
        <x:v>FT-Q-V01-017</x:v>
      </x:c>
      <x:c r="B21" s="31" t="str">
        <x:v>radiation of the heat</x:v>
      </x:c>
      <x:c r="C21" s="31" t="str">
        <x:v>SUCCEEDED</x:v>
      </x:c>
      <x:c r="D21" s="25" t="n">
        <x:v>0</x:v>
      </x:c>
      <x:c r="E21" s="25" t="n">
        <x:v>181</x:v>
      </x:c>
      <x:c r="F21" s="19" t="str">
        <x:v>radiation of the heat (All)</x:v>
      </x:c>
      <x:c r="G21" s="31" t="str">
        <x:v>data/fear-temperature/ngram/raw/b1d91453b664fdcc21e4e3d3431ebf93f214078ffc9208777f1b541cd6603b40.json</x:v>
      </x:c>
      <x:c r="H21" s="19" t="str">
        <x:v>5b539f367ffe9914083998b2749e39e0b726e55e37756d5b8d0dbaf5c75df734</x:v>
      </x:c>
      <x:c r="I21" s="31" t="str"/>
      <x:c r="J21" s="19" t="n">
        <x:v>46260.10693287037</x:v>
      </x:c>
      <x:c r="K21" s="31" t="str">
        <x:v>https://books.google.com/ngrams/json?content=radiation+of+the+heat&amp;year_start=1842&amp;year_end=2022&amp;corpus=eng&amp;smoothing=0&amp;case_insensitive=true</x:v>
      </x:c>
      <x:c r="L21" s="20" t="str">
        <x:v>application/json (cached)</x:v>
      </x:c>
    </x:row>
    <x:row r="22" ht="26" customHeight="1">
      <x:c r="A22" s="40" t="str">
        <x:v>FT-Q-V01-018</x:v>
      </x:c>
      <x:c r="B22" s="31" t="str">
        <x:v>changes of temperature</x:v>
      </x:c>
      <x:c r="C22" s="31" t="str">
        <x:v>SUCCEEDED</x:v>
      </x:c>
      <x:c r="D22" s="25" t="n">
        <x:v>0</x:v>
      </x:c>
      <x:c r="E22" s="25" t="n">
        <x:v>181</x:v>
      </x:c>
      <x:c r="F22" s="19" t="str">
        <x:v>changes of temperature (All)</x:v>
      </x:c>
      <x:c r="G22" s="31" t="str">
        <x:v>data/fear-temperature/ngram/raw/e6b380a089b14610402078727599ceb65a1975ef78d3de6b2dc206afdbe3ddba.json</x:v>
      </x:c>
      <x:c r="H22" s="19" t="str">
        <x:v>080dc94b39011e4da65776e12ece9845800098be171ee8c1b24afa91a751ea3b</x:v>
      </x:c>
      <x:c r="I22" s="31" t="str"/>
      <x:c r="J22" s="19" t="n">
        <x:v>46260.106944444444</x:v>
      </x:c>
      <x:c r="K22" s="31" t="str">
        <x:v>https://books.google.com/ngrams/json?content=changes+of+temperature&amp;year_start=1842&amp;year_end=2022&amp;corpus=eng&amp;smoothing=0&amp;case_insensitive=true</x:v>
      </x:c>
      <x:c r="L22" s="20" t="str">
        <x:v>application/json (cached)</x:v>
      </x:c>
    </x:row>
    <x:row r="23" ht="26" customHeight="1">
      <x:c r="A23" s="40" t="str">
        <x:v>FT-Q-V01-019</x:v>
      </x:c>
      <x:c r="B23" s="31" t="str">
        <x:v>excessive heat</x:v>
      </x:c>
      <x:c r="C23" s="31" t="str">
        <x:v>SUCCEEDED</x:v>
      </x:c>
      <x:c r="D23" s="25" t="n">
        <x:v>0</x:v>
      </x:c>
      <x:c r="E23" s="25" t="n">
        <x:v>181</x:v>
      </x:c>
      <x:c r="F23" s="19" t="str">
        <x:v>excessive heat (All)</x:v>
      </x:c>
      <x:c r="G23" s="31" t="str">
        <x:v>data/fear-temperature/ngram/raw/f7c0a10c571c1deb244f8aad5b8580355924bf82e62e8910fbf3e507732cb56e.json</x:v>
      </x:c>
      <x:c r="H23" s="19" t="str">
        <x:v>cc8006ffcb3fe6076f98567d0d500509f3533b04ced7153830c62dfe297d0de3</x:v>
      </x:c>
      <x:c r="I23" s="31" t="str"/>
      <x:c r="J23" s="19" t="n">
        <x:v>46260.106944444444</x:v>
      </x:c>
      <x:c r="K23" s="31" t="str">
        <x:v>https://books.google.com/ngrams/json?content=excessive+heat&amp;year_start=1842&amp;year_end=2022&amp;corpus=eng&amp;smoothing=0&amp;case_insensitive=true</x:v>
      </x:c>
      <x:c r="L23" s="20" t="str">
        <x:v>application/json (cached)</x:v>
      </x:c>
    </x:row>
    <x:row r="24" ht="26" customHeight="1">
      <x:c r="A24" s="40" t="str">
        <x:v>FT-Q-V01-020</x:v>
      </x:c>
      <x:c r="B24" s="31" t="str">
        <x:v>heat of the men</x:v>
      </x:c>
      <x:c r="C24" s="31" t="str">
        <x:v>SUCCEEDED</x:v>
      </x:c>
      <x:c r="D24" s="25" t="n">
        <x:v>0</x:v>
      </x:c>
      <x:c r="E24" s="25" t="n">
        <x:v>181</x:v>
      </x:c>
      <x:c r="F24" s="19" t="str">
        <x:v>heat of the men</x:v>
      </x:c>
      <x:c r="G24" s="31" t="str">
        <x:v>data/fear-temperature/ngram/raw/092dbc9916c5011136639ba399e86bd9ee47958643e7546a67c81d6201da72e9.json</x:v>
      </x:c>
      <x:c r="H24" s="19" t="str">
        <x:v>85120697d4c2ec437cc3ea2a4c686fc42ab6389635aabd58bb86e2eb1fc84f24</x:v>
      </x:c>
      <x:c r="I24" s="31" t="str"/>
      <x:c r="J24" s="19" t="n">
        <x:v>46260.10695601852</x:v>
      </x:c>
      <x:c r="K24" s="31" t="str">
        <x:v>https://books.google.com/ngrams/json?content=heat+of+the+men&amp;year_start=1842&amp;year_end=2022&amp;corpus=eng&amp;smoothing=0&amp;case_insensitive=true</x:v>
      </x:c>
      <x:c r="L24" s="20" t="str">
        <x:v>application/json (cached)</x:v>
      </x:c>
    </x:row>
    <x:row r="25" ht="26" customHeight="1">
      <x:c r="A25" s="40" t="str">
        <x:v>FT-Q-V01-021</x:v>
      </x:c>
      <x:c r="B25" s="31" t="str">
        <x:v>artificial production of carbon dioxide</x:v>
      </x:c>
      <x:c r="C25" s="31" t="str">
        <x:v>SUCCEEDED</x:v>
      </x:c>
      <x:c r="D25" s="25" t="n">
        <x:v>0</x:v>
      </x:c>
      <x:c r="E25" s="25" t="n">
        <x:v>181</x:v>
      </x:c>
      <x:c r="F25" s="19" t="str">
        <x:v>artificial production of carbon dioxide (All)</x:v>
      </x:c>
      <x:c r="G25" s="31" t="str">
        <x:v>data/fear-temperature/ngram/raw/2070ecc01d91fb37ee4d7883be04c16d4a7880b3a2dff5f0827d4e72b3e577c0.json</x:v>
      </x:c>
      <x:c r="H25" s="19" t="str">
        <x:v>f5423761dba07093eab528001d454329accbcbef9b6106139045774d51243ae4</x:v>
      </x:c>
      <x:c r="I25" s="31" t="str"/>
      <x:c r="J25" s="19" t="n">
        <x:v>46260.10696759259</x:v>
      </x:c>
      <x:c r="K25" s="31" t="str">
        <x:v>https://books.google.com/ngrams/json?content=artificial+production+of+carbon+dioxide&amp;year_start=1842&amp;year_end=2022&amp;corpus=eng&amp;smoothing=0&amp;case_insensitive=true</x:v>
      </x:c>
      <x:c r="L25" s="20" t="str">
        <x:v>application/json (cached)</x:v>
      </x:c>
    </x:row>
    <x:row r="26" ht="26" customHeight="1">
      <x:c r="A26" s="40" t="str">
        <x:v>FT-Q-V01-022</x:v>
      </x:c>
      <x:c r="B26" s="31" t="str">
        <x:v>carbon dioxide</x:v>
      </x:c>
      <x:c r="C26" s="31" t="str">
        <x:v>SUCCEEDED</x:v>
      </x:c>
      <x:c r="D26" s="25" t="n">
        <x:v>0</x:v>
      </x:c>
      <x:c r="E26" s="25" t="n">
        <x:v>181</x:v>
      </x:c>
      <x:c r="F26" s="19" t="str">
        <x:v>carbon dioxide (All)</x:v>
      </x:c>
      <x:c r="G26" s="31" t="str">
        <x:v>data/fear-temperature/ngram/raw/4cb80f44edde6549156066466a74bfc57366da8f1cf6ad90b5890db731dd8d38.json</x:v>
      </x:c>
      <x:c r="H26" s="19" t="str">
        <x:v>48113e3d3205ec18e7a5090548a782b9e47ab9cba22c54d7740a706f13225f21</x:v>
      </x:c>
      <x:c r="I26" s="31" t="str"/>
      <x:c r="J26" s="19" t="n">
        <x:v>46260.10697916667</x:v>
      </x:c>
      <x:c r="K26" s="31" t="str">
        <x:v>https://books.google.com/ngrams/json?content=carbon+dioxide&amp;year_start=1842&amp;year_end=2022&amp;corpus=eng&amp;smoothing=0&amp;case_insensitive=true</x:v>
      </x:c>
      <x:c r="L26" s="20" t="str">
        <x:v>application/json (cached)</x:v>
      </x:c>
    </x:row>
    <x:row r="27" ht="26" customHeight="1">
      <x:c r="A27" s="40" t="str">
        <x:v>FT-Q-V01-023</x:v>
      </x:c>
      <x:c r="B27" s="31" t="str">
        <x:v>fuel combustion</x:v>
      </x:c>
      <x:c r="C27" s="31" t="str">
        <x:v>SUCCEEDED</x:v>
      </x:c>
      <x:c r="D27" s="25" t="n">
        <x:v>0</x:v>
      </x:c>
      <x:c r="E27" s="25" t="n">
        <x:v>181</x:v>
      </x:c>
      <x:c r="F27" s="19" t="str">
        <x:v>fuel combustion (All)</x:v>
      </x:c>
      <x:c r="G27" s="31" t="str">
        <x:v>data/fear-temperature/ngram/raw/12a8595c1716a3689b1352a631f6c4cb21fd6f97651228f8731d5c059da7ddcd.json</x:v>
      </x:c>
      <x:c r="H27" s="19" t="str">
        <x:v>244ceafe1a112e8748b2a3cd2a6cabbfc3e2828f5f28f5778e8b3d81fb111dfd</x:v>
      </x:c>
      <x:c r="I27" s="31" t="str"/>
      <x:c r="J27" s="19" t="n">
        <x:v>46260.106990740744</x:v>
      </x:c>
      <x:c r="K27" s="31" t="str">
        <x:v>https://books.google.com/ngrams/json?content=fuel+combustion&amp;year_start=1842&amp;year_end=2022&amp;corpus=eng&amp;smoothing=0&amp;case_insensitive=true</x:v>
      </x:c>
      <x:c r="L27" s="20" t="str">
        <x:v>application/json (cached)</x:v>
      </x:c>
    </x:row>
    <x:row r="28" ht="26" customHeight="1">
      <x:c r="A28" s="40" t="str">
        <x:v>FT-Q-V01-024</x:v>
      </x:c>
      <x:c r="B28" s="31" t="str">
        <x:v>air</x:v>
      </x:c>
      <x:c r="C28" s="31" t="str">
        <x:v>SUCCEEDED</x:v>
      </x:c>
      <x:c r="D28" s="25" t="n">
        <x:v>0</x:v>
      </x:c>
      <x:c r="E28" s="25" t="n">
        <x:v>181</x:v>
      </x:c>
      <x:c r="F28" s="19" t="str">
        <x:v>air (All)</x:v>
      </x:c>
      <x:c r="G28" s="31" t="str">
        <x:v>data/fear-temperature/ngram/raw/d1d71646f7752f96d980c2569f429edc861dee3fe41954ab8819ae80ac484917.json</x:v>
      </x:c>
      <x:c r="H28" s="19" t="str">
        <x:v>b0041edf36e3d95fedb2fe877b9a64ddc622b5166bb8bae9208f83dbb8b6f3e4</x:v>
      </x:c>
      <x:c r="I28" s="31" t="str"/>
      <x:c r="J28" s="19" t="n">
        <x:v>46260.10700231481</x:v>
      </x:c>
      <x:c r="K28" s="31" t="str">
        <x:v>https://books.google.com/ngrams/json?content=air&amp;year_start=1842&amp;year_end=2022&amp;corpus=eng&amp;smoothing=0&amp;case_insensitive=true</x:v>
      </x:c>
      <x:c r="L28" s="20" t="str">
        <x:v>application/json (cached)</x:v>
      </x:c>
    </x:row>
    <x:row r="29" ht="26" customHeight="1">
      <x:c r="A29" s="40" t="str">
        <x:v>FT-Q-V01-025</x:v>
      </x:c>
      <x:c r="B29" s="31" t="str">
        <x:v>atmosphere</x:v>
      </x:c>
      <x:c r="C29" s="31" t="str">
        <x:v>SUCCEEDED</x:v>
      </x:c>
      <x:c r="D29" s="25" t="n">
        <x:v>0</x:v>
      </x:c>
      <x:c r="E29" s="25" t="n">
        <x:v>181</x:v>
      </x:c>
      <x:c r="F29" s="19" t="str">
        <x:v>atmosphere (All)</x:v>
      </x:c>
      <x:c r="G29" s="31" t="str">
        <x:v>data/fear-temperature/ngram/raw/02abb1ffa0f647541454d9a403cb3fde6448b9c7ffe5a64372a582db79e9c276.json</x:v>
      </x:c>
      <x:c r="H29" s="19" t="str">
        <x:v>01b831b06cfb1018234a37db43abc0667a82c36388beaf342b71cdf531d34577</x:v>
      </x:c>
      <x:c r="I29" s="31" t="str"/>
      <x:c r="J29" s="19" t="n">
        <x:v>46260.10701388889</x:v>
      </x:c>
      <x:c r="K29" s="31" t="str">
        <x:v>https://books.google.com/ngrams/json?content=atmosphere&amp;year_start=1842&amp;year_end=2022&amp;corpus=eng&amp;smoothing=0&amp;case_insensitive=true</x:v>
      </x:c>
      <x:c r="L29" s="20" t="str">
        <x:v>application/json (cached)</x:v>
      </x:c>
    </x:row>
    <x:row r="30" ht="26" customHeight="1">
      <x:c r="A30" s="40" t="str">
        <x:v>FT-Q-V01-026</x:v>
      </x:c>
      <x:c r="B30" s="31" t="str">
        <x:v>radiation absorption coefficients</x:v>
      </x:c>
      <x:c r="C30" s="31" t="str">
        <x:v>SUCCEEDED</x:v>
      </x:c>
      <x:c r="D30" s="25" t="n">
        <x:v>0</x:v>
      </x:c>
      <x:c r="E30" s="25" t="n">
        <x:v>181</x:v>
      </x:c>
      <x:c r="F30" s="19" t="str">
        <x:v>radiation absorption coefficients (All)</x:v>
      </x:c>
      <x:c r="G30" s="31" t="str">
        <x:v>data/fear-temperature/ngram/raw/2171601fde96b2bd2865c8be4c2da3ae797032f05534d51e6686631886ce7cdb.json</x:v>
      </x:c>
      <x:c r="H30" s="19" t="str">
        <x:v>4aac3954e8bef6ac1877e3fef39fc9ddbabeef2b1e170714656bb83e2ce1e528</x:v>
      </x:c>
      <x:c r="I30" s="31" t="str"/>
      <x:c r="J30" s="19" t="n">
        <x:v>46260.10701388889</x:v>
      </x:c>
      <x:c r="K30" s="31" t="str">
        <x:v>https://books.google.com/ngrams/json?content=radiation+absorption+coefficients&amp;year_start=1842&amp;year_end=2022&amp;corpus=eng&amp;smoothing=0&amp;case_insensitive=true</x:v>
      </x:c>
      <x:c r="L30" s="20" t="str">
        <x:v>application/json (cached)</x:v>
      </x:c>
    </x:row>
    <x:row r="31" ht="26" customHeight="1">
      <x:c r="A31" s="40" t="str">
        <x:v>FT-Q-V01-027</x:v>
      </x:c>
      <x:c r="B31" s="31" t="str">
        <x:v>water vapour</x:v>
      </x:c>
      <x:c r="C31" s="31" t="str">
        <x:v>SUCCEEDED</x:v>
      </x:c>
      <x:c r="D31" s="25" t="n">
        <x:v>0</x:v>
      </x:c>
      <x:c r="E31" s="25" t="n">
        <x:v>181</x:v>
      </x:c>
      <x:c r="F31" s="19" t="str">
        <x:v>water vapour (All)</x:v>
      </x:c>
      <x:c r="G31" s="31" t="str">
        <x:v>data/fear-temperature/ngram/raw/f51ff51dc09cac2d8a00e7b237acf835741ce26e1efca30bbc7f9b4da5279a28.json</x:v>
      </x:c>
      <x:c r="H31" s="19" t="str">
        <x:v>761aea14257443c413894e7eaf46e5946d911d1d4afab42642a6b38b7dd741a0</x:v>
      </x:c>
      <x:c r="I31" s="31" t="str"/>
      <x:c r="J31" s="19" t="n">
        <x:v>46260.10702546296</x:v>
      </x:c>
      <x:c r="K31" s="31" t="str">
        <x:v>https://books.google.com/ngrams/json?content=water+vapour&amp;year_start=1842&amp;year_end=2022&amp;corpus=eng&amp;smoothing=0&amp;case_insensitive=true</x:v>
      </x:c>
      <x:c r="L31" s="20" t="str">
        <x:v>application/json (cached)</x:v>
      </x:c>
    </x:row>
    <x:row r="32" ht="26" customHeight="1">
      <x:c r="A32" s="40" t="str">
        <x:v>FT-Q-V01-028</x:v>
      </x:c>
      <x:c r="B32" s="31" t="str">
        <x:v>sky radiation</x:v>
      </x:c>
      <x:c r="C32" s="31" t="str">
        <x:v>SUCCEEDED</x:v>
      </x:c>
      <x:c r="D32" s="25" t="n">
        <x:v>0</x:v>
      </x:c>
      <x:c r="E32" s="25" t="n">
        <x:v>181</x:v>
      </x:c>
      <x:c r="F32" s="19" t="str">
        <x:v>sky radiation (All)</x:v>
      </x:c>
      <x:c r="G32" s="31" t="str">
        <x:v>data/fear-temperature/ngram/raw/25f6f758b041c15280f5b78e2745bcaf174c736ac625ba6c8fa3f9e9b8acb3d0.json</x:v>
      </x:c>
      <x:c r="H32" s="19" t="str">
        <x:v>cfb78a6207414f9558ad0aa06605126a2a33fe0f8bfdc3c0a25d33f4719c7920</x:v>
      </x:c>
      <x:c r="I32" s="31" t="str"/>
      <x:c r="J32" s="19" t="n">
        <x:v>46260.107037037036</x:v>
      </x:c>
      <x:c r="K32" s="31" t="str">
        <x:v>https://books.google.com/ngrams/json?content=sky+radiation&amp;year_start=1842&amp;year_end=2022&amp;corpus=eng&amp;smoothing=0&amp;case_insensitive=true</x:v>
      </x:c>
      <x:c r="L32" s="20" t="str">
        <x:v>application/json (cached)</x:v>
      </x:c>
    </x:row>
    <x:row r="33" ht="26" customHeight="1">
      <x:c r="A33" s="40" t="str">
        <x:v>FT-Q-V01-029</x:v>
      </x:c>
      <x:c r="B33" s="31" t="str">
        <x:v>increase in mean temperature</x:v>
      </x:c>
      <x:c r="C33" s="31" t="str">
        <x:v>SUCCEEDED</x:v>
      </x:c>
      <x:c r="D33" s="25" t="n">
        <x:v>0</x:v>
      </x:c>
      <x:c r="E33" s="25" t="n">
        <x:v>181</x:v>
      </x:c>
      <x:c r="F33" s="19" t="str">
        <x:v>increase in mean temperature (All)</x:v>
      </x:c>
      <x:c r="G33" s="31" t="str">
        <x:v>data/fear-temperature/ngram/raw/f17eca0292278251b17b3815a9781852804a5b948c3f6ebb56f9d678e7907143.json</x:v>
      </x:c>
      <x:c r="H33" s="19" t="str">
        <x:v>3b8207f1add4405c93ce8330b8f2b7f87cd9c2ebcc226afc169d0f5482626786</x:v>
      </x:c>
      <x:c r="I33" s="31" t="str"/>
      <x:c r="J33" s="19" t="n">
        <x:v>46260.10704861111</x:v>
      </x:c>
      <x:c r="K33" s="31" t="str">
        <x:v>https://books.google.com/ngrams/json?content=increase+in+mean+temperature&amp;year_start=1842&amp;year_end=2022&amp;corpus=eng&amp;smoothing=0&amp;case_insensitive=true</x:v>
      </x:c>
      <x:c r="L33" s="20" t="str">
        <x:v>application/json (cached)</x:v>
      </x:c>
    </x:row>
    <x:row r="34" ht="26" customHeight="1">
      <x:c r="A34" s="40" t="str">
        <x:v>FT-Q-V01-030</x:v>
      </x:c>
      <x:c r="B34" s="31" t="str">
        <x:v>mean temperature</x:v>
      </x:c>
      <x:c r="C34" s="31" t="str">
        <x:v>SUCCEEDED</x:v>
      </x:c>
      <x:c r="D34" s="25" t="n">
        <x:v>0</x:v>
      </x:c>
      <x:c r="E34" s="25" t="n">
        <x:v>181</x:v>
      </x:c>
      <x:c r="F34" s="19" t="str">
        <x:v>mean temperature (All)</x:v>
      </x:c>
      <x:c r="G34" s="31" t="str">
        <x:v>data/fear-temperature/ngram/raw/264e2d12fe20c5aa6284ae43253eabc03ec9e11aa2056afde9e77d33d8e97530.json</x:v>
      </x:c>
      <x:c r="H34" s="19" t="str">
        <x:v>0d049bebf2e700224bc9339569434af87e3983662263462216b4b91cca41460d</x:v>
      </x:c>
      <x:c r="I34" s="31" t="str"/>
      <x:c r="J34" s="19" t="n">
        <x:v>46260.106782407405</x:v>
      </x:c>
      <x:c r="K34" s="31" t="str">
        <x:v>https://books.google.com/ngrams/json?content=mean+temperature&amp;year_start=1842&amp;year_end=2022&amp;corpus=eng&amp;smoothing=0&amp;case_insensitive=true</x:v>
      </x:c>
      <x:c r="L34" s="20" t="str">
        <x:v>application/json (cached)</x:v>
      </x:c>
    </x:row>
    <x:row r="35" ht="26" customHeight="1">
      <x:c r="A35" s="40" t="str">
        <x:v>FT-Q-V01-031</x:v>
      </x:c>
      <x:c r="B35" s="31" t="str">
        <x:v>temperature observations</x:v>
      </x:c>
      <x:c r="C35" s="31" t="str">
        <x:v>SUCCEEDED</x:v>
      </x:c>
      <x:c r="D35" s="25" t="n">
        <x:v>0</x:v>
      </x:c>
      <x:c r="E35" s="25" t="n">
        <x:v>181</x:v>
      </x:c>
      <x:c r="F35" s="19" t="str">
        <x:v>temperature observations (All)</x:v>
      </x:c>
      <x:c r="G35" s="31" t="str">
        <x:v>data/fear-temperature/ngram/raw/66206e9216362147b860e1e6c3a8001945a83264107212b1c0f3c3d2fd551522.json</x:v>
      </x:c>
      <x:c r="H35" s="19" t="str">
        <x:v>a865035ec64b9a084b3eb1b5db51b1366d21dba4ed9edfde4fe7236541c02e91</x:v>
      </x:c>
      <x:c r="I35" s="31" t="str"/>
      <x:c r="J35" s="19" t="n">
        <x:v>46260.107152777775</x:v>
      </x:c>
      <x:c r="K35" s="31" t="str">
        <x:v>https://books.google.com/ngrams/json?content=temperature+observations&amp;year_start=1842&amp;year_end=2022&amp;corpus=eng&amp;smoothing=0&amp;case_insensitive=true</x:v>
      </x:c>
      <x:c r="L35" s="20" t="str">
        <x:v>application/json (cached)</x:v>
      </x:c>
    </x:row>
    <x:row r="36" ht="26" customHeight="1">
      <x:c r="A36" s="40" t="str">
        <x:v>FT-Q-V01-032</x:v>
      </x:c>
      <x:c r="B36" s="31" t="str">
        <x:v>meteorological stations</x:v>
      </x:c>
      <x:c r="C36" s="31" t="str">
        <x:v>SUCCEEDED</x:v>
      </x:c>
      <x:c r="D36" s="25" t="n">
        <x:v>0</x:v>
      </x:c>
      <x:c r="E36" s="25" t="n">
        <x:v>181</x:v>
      </x:c>
      <x:c r="F36" s="19" t="str">
        <x:v>meteorological stations (All)</x:v>
      </x:c>
      <x:c r="G36" s="31" t="str">
        <x:v>data/fear-temperature/ngram/raw/e9d57e4d27daeaa5ff3a311226643238760265d483bb429b63cf1eaf703e26ff.json</x:v>
      </x:c>
      <x:c r="H36" s="19" t="str">
        <x:v>f6e21222c0b563f3c5c13707a8c0d6677b89213285e3d5b51034e457dd2da382</x:v>
      </x:c>
      <x:c r="I36" s="31" t="str"/>
      <x:c r="J36" s="19" t="n">
        <x:v>46260.10716435185</x:v>
      </x:c>
      <x:c r="K36" s="31" t="str">
        <x:v>https://books.google.com/ngrams/json?content=meteorological+stations&amp;year_start=1842&amp;year_end=2022&amp;corpus=eng&amp;smoothing=0&amp;case_insensitive=true</x:v>
      </x:c>
      <x:c r="L36" s="20" t="str">
        <x:v>application/json (cached)</x:v>
      </x:c>
    </x:row>
    <x:row r="37" ht="26" customHeight="1">
      <x:c r="A37" s="40" t="str">
        <x:v>FT-Q-V01-033</x:v>
      </x:c>
      <x:c r="B37" s="31" t="str">
        <x:v>world temperatures</x:v>
      </x:c>
      <x:c r="C37" s="31" t="str">
        <x:v>SUCCEEDED</x:v>
      </x:c>
      <x:c r="D37" s="25" t="n">
        <x:v>0</x:v>
      </x:c>
      <x:c r="E37" s="25" t="n">
        <x:v>181</x:v>
      </x:c>
      <x:c r="F37" s="19" t="str">
        <x:v>world temperatures (All)</x:v>
      </x:c>
      <x:c r="G37" s="31" t="str">
        <x:v>data/fear-temperature/ngram/raw/c7e50063801250140864a7c772bbe06a1a5b4b6b0adaa4ccb81beedc0fdd8bbc.json</x:v>
      </x:c>
      <x:c r="H37" s="19" t="str">
        <x:v>9d6bc09ea2864f6f77a071e5b53a862eb05ae205a31160769b0f0371128a0c11</x:v>
      </x:c>
      <x:c r="I37" s="31" t="str"/>
      <x:c r="J37" s="19" t="n">
        <x:v>46260.10717592593</x:v>
      </x:c>
      <x:c r="K37" s="31" t="str">
        <x:v>https://books.google.com/ngrams/json?content=world+temperatures&amp;year_start=1842&amp;year_end=2022&amp;corpus=eng&amp;smoothing=0&amp;case_insensitive=true</x:v>
      </x:c>
      <x:c r="L37" s="20" t="str">
        <x:v>application/json (cached)</x:v>
      </x:c>
    </x:row>
    <x:row r="38" ht="26" customHeight="1">
      <x:c r="A38" s="40" t="str">
        <x:v>FT-Q-V01-034</x:v>
      </x:c>
      <x:c r="B38" s="31" t="str">
        <x:v>actually increased</x:v>
      </x:c>
      <x:c r="C38" s="31" t="str">
        <x:v>SUCCEEDED</x:v>
      </x:c>
      <x:c r="D38" s="25" t="n">
        <x:v>0</x:v>
      </x:c>
      <x:c r="E38" s="25" t="n">
        <x:v>181</x:v>
      </x:c>
      <x:c r="F38" s="19" t="str">
        <x:v>actually increased (All)</x:v>
      </x:c>
      <x:c r="G38" s="31" t="str">
        <x:v>data/fear-temperature/ngram/raw/9167b97ea3895d8f249f2aa5de33317b397ec2743be4c95d3c595b1798795eb5.json</x:v>
      </x:c>
      <x:c r="H38" s="19" t="str">
        <x:v>f0d3dc867797b40552e6f415e3058c20f810f218854efd8ede34ec4a4064a695</x:v>
      </x:c>
      <x:c r="I38" s="31" t="str"/>
      <x:c r="J38" s="19" t="n">
        <x:v>46260.1071875</x:v>
      </x:c>
      <x:c r="K38" s="31" t="str">
        <x:v>https://books.google.com/ngrams/json?content=actually+increased&amp;year_start=1842&amp;year_end=2022&amp;corpus=eng&amp;smoothing=0&amp;case_insensitive=true</x:v>
      </x:c>
      <x:c r="L38" s="20" t="str">
        <x:v>application/json (cached)</x:v>
      </x:c>
    </x:row>
    <x:row r="39" ht="26" customHeight="1">
      <x:c r="A39" s="40" t="str">
        <x:v>FT-Q-V01-035</x:v>
      </x:c>
      <x:c r="B39" s="31" t="str">
        <x:v>average rate</x:v>
      </x:c>
      <x:c r="C39" s="31" t="str">
        <x:v>SUCCEEDED</x:v>
      </x:c>
      <x:c r="D39" s="25" t="n">
        <x:v>0</x:v>
      </x:c>
      <x:c r="E39" s="25" t="n">
        <x:v>181</x:v>
      </x:c>
      <x:c r="F39" s="19" t="str">
        <x:v>average rate (All)</x:v>
      </x:c>
      <x:c r="G39" s="31" t="str">
        <x:v>data/fear-temperature/ngram/raw/e427f2da752395cacbd7c32fdf3f8f75639075e807d2631a0c0fc4f137209b9f.json</x:v>
      </x:c>
      <x:c r="H39" s="19" t="str">
        <x:v>2b17c381f626f175c184f79053b5b9cad2f1dd035e954ed8a1d93983f89fa8a8</x:v>
      </x:c>
      <x:c r="I39" s="31" t="str"/>
      <x:c r="J39" s="19" t="n">
        <x:v>46260.107199074075</x:v>
      </x:c>
      <x:c r="K39" s="31" t="str">
        <x:v>https://books.google.com/ngrams/json?content=average+rate&amp;year_start=1842&amp;year_end=2022&amp;corpus=eng&amp;smoothing=0&amp;case_insensitive=true</x:v>
      </x:c>
      <x:c r="L39" s="20" t="str">
        <x:v>application/json (cached)</x:v>
      </x:c>
    </x:row>
    <x:row r="40" ht="26" customHeight="1">
      <x:c r="A40" s="40" t="str">
        <x:v>FT-Q-V01-036</x:v>
      </x:c>
      <x:c r="B40" s="31" t="str">
        <x:v>small increases in mean temperature</x:v>
      </x:c>
      <x:c r="C40" s="31" t="str">
        <x:v>ZERO_RESULT</x:v>
      </x:c>
      <x:c r="D40" s="25" t="n">
        <x:v>0</x:v>
      </x:c>
      <x:c r="E40" s="25" t="n">
        <x:v>0</x:v>
      </x:c>
      <x:c r="F40" s="19" t="str"/>
      <x:c r="G40" s="31" t="str">
        <x:v>data/fear-temperature/ngram/raw/d6d0759da43a3f360d038f003e572d16c77ddbfc718996d3d12107850601cb5e.json</x:v>
      </x:c>
      <x:c r="H40" s="19" t="str">
        <x:v>4f53cda18c2baa0c0354bb5f9a3ecbe5ed12ab4d8e11ba873c2f11161202b945</x:v>
      </x:c>
      <x:c r="I40" s="31" t="str"/>
      <x:c r="J40" s="19" t="n">
        <x:v>46260.107199074075</x:v>
      </x:c>
      <x:c r="K40" s="31" t="str">
        <x:v>https://books.google.com/ngrams/json?content=small+increases+in+mean+temperature&amp;year_start=1842&amp;year_end=2022&amp;corpus=eng&amp;smoothing=0&amp;case_insensitive=true</x:v>
      </x:c>
      <x:c r="L40" s="20" t="str">
        <x:v>application/json (cached)</x:v>
      </x:c>
    </x:row>
    <x:row r="41" ht="26" customHeight="1">
      <x:c r="A41" s="40" t="str">
        <x:v>FT-Q-V01-037</x:v>
      </x:c>
      <x:c r="B41" s="31" t="str">
        <x:v>deadly glaciers</x:v>
      </x:c>
      <x:c r="C41" s="31" t="str">
        <x:v>SUCCEEDED</x:v>
      </x:c>
      <x:c r="D41" s="25" t="n">
        <x:v>0</x:v>
      </x:c>
      <x:c r="E41" s="25" t="n">
        <x:v>181</x:v>
      </x:c>
      <x:c r="F41" s="19" t="str">
        <x:v>deadly glaciers</x:v>
      </x:c>
      <x:c r="G41" s="31" t="str">
        <x:v>data/fear-temperature/ngram/raw/acd1c78d49da2b3a6c3ef64dbd5a9c1d23715156d453753d86190a592a0bf21f.json</x:v>
      </x:c>
      <x:c r="H41" s="19" t="str">
        <x:v>4d3f95cda81f4c64bb3d91cd7c585ce3165ee2d0ae3bd7da22ced9606e4610dd</x:v>
      </x:c>
      <x:c r="I41" s="31" t="str"/>
      <x:c r="J41" s="19" t="n">
        <x:v>46260.10721064815</x:v>
      </x:c>
      <x:c r="K41" s="31" t="str">
        <x:v>https://books.google.com/ngrams/json?content=deadly+glaciers&amp;year_start=1842&amp;year_end=2022&amp;corpus=eng&amp;smoothing=0&amp;case_insensitive=true</x:v>
      </x:c>
      <x:c r="L41" s="20" t="str">
        <x:v>application/json (cached)</x:v>
      </x:c>
    </x:row>
    <x:row r="42" ht="26" customHeight="1">
      <x:c r="A42" s="40" t="str">
        <x:v>FT-Q-V01-038</x:v>
      </x:c>
      <x:c r="B42" s="31" t="str">
        <x:v>rather a coincidence</x:v>
      </x:c>
      <x:c r="C42" s="31" t="str">
        <x:v>SUCCEEDED</x:v>
      </x:c>
      <x:c r="D42" s="25" t="n">
        <x:v>0</x:v>
      </x:c>
      <x:c r="E42" s="25" t="n">
        <x:v>181</x:v>
      </x:c>
      <x:c r="F42" s="19" t="str">
        <x:v>rather a coincidence (All)</x:v>
      </x:c>
      <x:c r="G42" s="31" t="str">
        <x:v>data/fear-temperature/ngram/raw/bca4b0be62a4f63b3d0e7919b771c514c52a4bdc627ec3a3afe9095da1caf1ba.json</x:v>
      </x:c>
      <x:c r="H42" s="19" t="str">
        <x:v>76256aa11332fa1c24234bbac1e01598b531efe888c20291cd31fc8d6d0af22f</x:v>
      </x:c>
      <x:c r="I42" s="31" t="str"/>
      <x:c r="J42" s="19" t="n">
        <x:v>46260.10722222222</x:v>
      </x:c>
      <x:c r="K42" s="31" t="str">
        <x:v>https://books.google.com/ngrams/json?content=rather+a+coincidence&amp;year_start=1842&amp;year_end=2022&amp;corpus=eng&amp;smoothing=0&amp;case_insensitive=true</x:v>
      </x:c>
      <x:c r="L42" s="20" t="str">
        <x:v>application/json (cached)</x:v>
      </x:c>
    </x:row>
    <x:row r="43" ht="26" customHeight="1">
      <x:c r="A43" s="40" t="str">
        <x:v>FT-Q-V01-039</x:v>
      </x:c>
      <x:c r="B43" s="31" t="str">
        <x:v>Hottest Day for Ten Years</x:v>
      </x:c>
      <x:c r="C43" s="31" t="str">
        <x:v>ZERO_RESULT</x:v>
      </x:c>
      <x:c r="D43" s="25" t="n">
        <x:v>0</x:v>
      </x:c>
      <x:c r="E43" s="25" t="n">
        <x:v>0</x:v>
      </x:c>
      <x:c r="F43" s="19" t="str"/>
      <x:c r="G43" s="31" t="str">
        <x:v>data/fear-temperature/ngram/raw/7c1cabc675b2da12af25d48ca83988bcbc1381ceee50bb7b5e8500626cbe9b00.json</x:v>
      </x:c>
      <x:c r="H43" s="19" t="str">
        <x:v>4f53cda18c2baa0c0354bb5f9a3ecbe5ed12ab4d8e11ba873c2f11161202b945</x:v>
      </x:c>
      <x:c r="I43" s="31" t="str"/>
      <x:c r="J43" s="19" t="n">
        <x:v>46260.1072337963</x:v>
      </x:c>
      <x:c r="K43" s="31" t="str">
        <x:v>https://books.google.com/ngrams/json?content=Hottest+Day+for+Ten+Years&amp;year_start=1842&amp;year_end=2022&amp;corpus=eng&amp;smoothing=0&amp;case_insensitive=true</x:v>
      </x:c>
      <x:c r="L43" s="20" t="str">
        <x:v>application/json (cached)</x:v>
      </x:c>
    </x:row>
    <x:row r="44" ht="26" customHeight="1">
      <x:c r="A44" s="40" t="str">
        <x:v>FT-Q-V01-040</x:v>
      </x:c>
      <x:c r="B44" s="31" t="str">
        <x:v>Heat Wave Over Queensland</x:v>
      </x:c>
      <x:c r="C44" s="31" t="str">
        <x:v>ZERO_RESULT</x:v>
      </x:c>
      <x:c r="D44" s="25" t="n">
        <x:v>0</x:v>
      </x:c>
      <x:c r="E44" s="25" t="n">
        <x:v>0</x:v>
      </x:c>
      <x:c r="F44" s="19" t="str"/>
      <x:c r="G44" s="31" t="str">
        <x:v>data/fear-temperature/ngram/raw/ff4de47b36b0ffff4f03545db968f819af528c6de47ea4be4984876b37550a41.json</x:v>
      </x:c>
      <x:c r="H44" s="19" t="str">
        <x:v>4f53cda18c2baa0c0354bb5f9a3ecbe5ed12ab4d8e11ba873c2f11161202b945</x:v>
      </x:c>
      <x:c r="I44" s="31" t="str"/>
      <x:c r="J44" s="19" t="n">
        <x:v>46260.10724537037</x:v>
      </x:c>
      <x:c r="K44" s="31" t="str">
        <x:v>https://books.google.com/ngrams/json?content=Heat+Wave+Over+Queensland&amp;year_start=1842&amp;year_end=2022&amp;corpus=eng&amp;smoothing=0&amp;case_insensitive=true</x:v>
      </x:c>
      <x:c r="L44" s="20" t="str">
        <x:v>application/json (cached)</x:v>
      </x:c>
    </x:row>
    <x:row r="45" ht="26" customHeight="1">
      <x:c r="A45" s="40" t="str">
        <x:v>FT-Q-V01-041</x:v>
      </x:c>
      <x:c r="B45" s="31" t="str">
        <x:v>greenhouse effect</x:v>
      </x:c>
      <x:c r="C45" s="31" t="str">
        <x:v>SUCCEEDED</x:v>
      </x:c>
      <x:c r="D45" s="25" t="n">
        <x:v>0</x:v>
      </x:c>
      <x:c r="E45" s="25" t="n">
        <x:v>181</x:v>
      </x:c>
      <x:c r="F45" s="19" t="str">
        <x:v>greenhouse effect (All)</x:v>
      </x:c>
      <x:c r="G45" s="31" t="str">
        <x:v>data/fear-temperature/ngram/raw/205959f263c8ae6824e66753a55df505e51b40905b28c4cb916bd1952aea4bdb.json</x:v>
      </x:c>
      <x:c r="H45" s="19" t="str">
        <x:v>4286ccb83770f8e9550a4b862463947b8edb637081d5f43cfee319f9d7681262</x:v>
      </x:c>
      <x:c r="I45" s="31" t="str"/>
      <x:c r="J45" s="19" t="n">
        <x:v>46260.10724537037</x:v>
      </x:c>
      <x:c r="K45" s="31" t="str">
        <x:v>https://books.google.com/ngrams/json?content=greenhouse+effect&amp;year_start=1842&amp;year_end=2022&amp;corpus=eng&amp;smoothing=0&amp;case_insensitive=true</x:v>
      </x:c>
      <x:c r="L45" s="20" t="str">
        <x:v>application/json (cached)</x:v>
      </x:c>
    </x:row>
    <x:row r="46" ht="26" customHeight="1">
      <x:c r="A46" s="40" t="str">
        <x:v>FT-Q-V01-042</x:v>
      </x:c>
      <x:c r="B46" s="31" t="str">
        <x:v>global warming</x:v>
      </x:c>
      <x:c r="C46" s="31" t="str">
        <x:v>SUCCEEDED</x:v>
      </x:c>
      <x:c r="D46" s="25" t="n">
        <x:v>0</x:v>
      </x:c>
      <x:c r="E46" s="25" t="n">
        <x:v>181</x:v>
      </x:c>
      <x:c r="F46" s="19" t="str">
        <x:v>global warming (All)</x:v>
      </x:c>
      <x:c r="G46" s="31" t="str">
        <x:v>data/fear-temperature/ngram/raw/e982c3b5d6e77fc759f19bb2931d892bfaa9221ade4a44977579a8d5a8afab71.json</x:v>
      </x:c>
      <x:c r="H46" s="19" t="str">
        <x:v>edd5437f92999c829c0fea3e5822ab6cb22f6b319b6eab7bc697d0dc4f6023f9</x:v>
      </x:c>
      <x:c r="I46" s="31" t="str"/>
      <x:c r="J46" s="19" t="n">
        <x:v>46260.107256944444</x:v>
      </x:c>
      <x:c r="K46" s="31" t="str">
        <x:v>https://books.google.com/ngrams/json?content=global+warming&amp;year_start=1842&amp;year_end=2022&amp;corpus=eng&amp;smoothing=0&amp;case_insensitive=true</x:v>
      </x:c>
      <x:c r="L46" s="20" t="str">
        <x:v>application/json (cached)</x:v>
      </x:c>
    </x:row>
    <x:row r="47" ht="26" customHeight="1">
      <x:c r="A47" s="40" t="str">
        <x:v>FT-Q-V01-043</x:v>
      </x:c>
      <x:c r="B47" s="31" t="str">
        <x:v>earth is warmer</x:v>
      </x:c>
      <x:c r="C47" s="31" t="str">
        <x:v>SUCCEEDED</x:v>
      </x:c>
      <x:c r="D47" s="25" t="n">
        <x:v>0</x:v>
      </x:c>
      <x:c r="E47" s="25" t="n">
        <x:v>181</x:v>
      </x:c>
      <x:c r="F47" s="19" t="str">
        <x:v>earth is warmer (All)</x:v>
      </x:c>
      <x:c r="G47" s="31" t="str">
        <x:v>data/fear-temperature/ngram/raw/ae93b0533e9e2ca24d879c60ebc4c416dc7f4834ae02aa0e97387d0fc291a9d5.json</x:v>
      </x:c>
      <x:c r="H47" s="19" t="str">
        <x:v>f848a3f0be8780fa8aff8fc0d227d15ea0a131684e7a17dd3b76b346023ffffa</x:v>
      </x:c>
      <x:c r="I47" s="31" t="str"/>
      <x:c r="J47" s="19" t="n">
        <x:v>46260.10726851852</x:v>
      </x:c>
      <x:c r="K47" s="31" t="str">
        <x:v>https://books.google.com/ngrams/json?content=earth+is+warmer&amp;year_start=1842&amp;year_end=2022&amp;corpus=eng&amp;smoothing=0&amp;case_insensitive=true</x:v>
      </x:c>
      <x:c r="L47" s="20" t="str">
        <x:v>application/json (cached)</x:v>
      </x:c>
    </x:row>
    <x:row r="48" ht="26" customHeight="1">
      <x:c r="A48" s="40" t="str">
        <x:v>FT-Q-V01-044</x:v>
      </x:c>
      <x:c r="B48" s="31" t="str">
        <x:v>instrumental measurements</x:v>
      </x:c>
      <x:c r="C48" s="31" t="str">
        <x:v>SUCCEEDED</x:v>
      </x:c>
      <x:c r="D48" s="25" t="n">
        <x:v>0</x:v>
      </x:c>
      <x:c r="E48" s="25" t="n">
        <x:v>181</x:v>
      </x:c>
      <x:c r="F48" s="19" t="str">
        <x:v>instrumental measurements (All)</x:v>
      </x:c>
      <x:c r="G48" s="31" t="str">
        <x:v>data/fear-temperature/ngram/raw/c3041954c2284cf34bcd5a29020d6fdb5062957ed9d066a23d0fa6dec11d5477.json</x:v>
      </x:c>
      <x:c r="H48" s="19" t="str">
        <x:v>614e6efe10364a6f0c4c0ad4f0a15603efe8de4e36f4312ead7fbfc5641c1d17</x:v>
      </x:c>
      <x:c r="I48" s="31" t="str"/>
      <x:c r="J48" s="19" t="n">
        <x:v>46260.10728009259</x:v>
      </x:c>
      <x:c r="K48" s="31" t="str">
        <x:v>https://books.google.com/ngrams/json?content=instrumental+measurements&amp;year_start=1842&amp;year_end=2022&amp;corpus=eng&amp;smoothing=0&amp;case_insensitive=true</x:v>
      </x:c>
      <x:c r="L48" s="20" t="str">
        <x:v>application/json (cached)</x:v>
      </x:c>
    </x:row>
    <x:row r="49" ht="26" customHeight="1">
      <x:c r="A49" s="40" t="str">
        <x:v>FT-Q-V01-045</x:v>
      </x:c>
      <x:c r="B49" s="31" t="str">
        <x:v>cause-and-effect relationship</x:v>
      </x:c>
      <x:c r="C49" s="31" t="str">
        <x:v>SUCCEEDED</x:v>
      </x:c>
      <x:c r="D49" s="25" t="n">
        <x:v>0</x:v>
      </x:c>
      <x:c r="E49" s="25" t="n">
        <x:v>181</x:v>
      </x:c>
      <x:c r="F49" s="19" t="str">
        <x:v>cause - and - effect relationship (All)</x:v>
      </x:c>
      <x:c r="G49" s="31" t="str">
        <x:v>data/fear-temperature/ngram/raw/e8efe8017919981d401ccd71f2302b528ff86d0e6a69149a56ed3d7dde862bfc.json</x:v>
      </x:c>
      <x:c r="H49" s="19" t="str">
        <x:v>c29d507b2761f1c572bd9273b2544b9ddee587ffb7fc5070610c23817cdb85ed</x:v>
      </x:c>
      <x:c r="I49" s="31" t="str"/>
      <x:c r="J49" s="19" t="n">
        <x:v>46260.10729166667</x:v>
      </x:c>
      <x:c r="K49" s="31" t="str">
        <x:v>https://books.google.com/ngrams/json?content=cause-and-effect+relationship&amp;year_start=1842&amp;year_end=2022&amp;corpus=eng&amp;smoothing=0&amp;case_insensitive=true</x:v>
      </x:c>
      <x:c r="L49" s="20" t="str">
        <x:v>application/json (cached)</x:v>
      </x:c>
    </x:row>
    <x:row r="50" ht="26" customHeight="1">
      <x:c r="A50" s="40" t="str">
        <x:v>FT-Q-V01-046</x:v>
      </x:c>
      <x:c r="B50" s="31" t="str">
        <x:v>global temperature</x:v>
      </x:c>
      <x:c r="C50" s="31" t="str">
        <x:v>SUCCEEDED</x:v>
      </x:c>
      <x:c r="D50" s="25" t="n">
        <x:v>0</x:v>
      </x:c>
      <x:c r="E50" s="25" t="n">
        <x:v>181</x:v>
      </x:c>
      <x:c r="F50" s="19" t="str">
        <x:v>global temperature (All)</x:v>
      </x:c>
      <x:c r="G50" s="31" t="str">
        <x:v>data/fear-temperature/ngram/raw/9d665931c5878a5de16bd731767c2e6571f77c1eb6e01bf9fa50497db3ebbd93.json</x:v>
      </x:c>
      <x:c r="H50" s="19" t="str">
        <x:v>dfccce7cf0455733d8ecdee75ed8daa3d838ba44face6a1a8e02e22ef16cebee</x:v>
      </x:c>
      <x:c r="I50" s="31" t="str"/>
      <x:c r="J50" s="19" t="n">
        <x:v>46260.10729166667</x:v>
      </x:c>
      <x:c r="K50" s="31" t="str">
        <x:v>https://books.google.com/ngrams/json?content=global+temperature&amp;year_start=1842&amp;year_end=2022&amp;corpus=eng&amp;smoothing=0&amp;case_insensitive=true</x:v>
      </x:c>
      <x:c r="L50" s="20" t="str">
        <x:v>application/json (cached)</x:v>
      </x:c>
    </x:row>
    <x:row r="51" ht="26" customHeight="1">
      <x:c r="A51" s="40" t="str">
        <x:v>FT-Q-V01-047</x:v>
      </x:c>
      <x:c r="B51" s="31" t="str">
        <x:v>regional heat waves</x:v>
      </x:c>
      <x:c r="C51" s="31" t="str">
        <x:v>SUCCEEDED</x:v>
      </x:c>
      <x:c r="D51" s="25" t="n">
        <x:v>0</x:v>
      </x:c>
      <x:c r="E51" s="25" t="n">
        <x:v>181</x:v>
      </x:c>
      <x:c r="F51" s="19" t="str">
        <x:v>regional heat waves (All)</x:v>
      </x:c>
      <x:c r="G51" s="31" t="str">
        <x:v>data/fear-temperature/ngram/raw/9937ebec5dbc305d8752f541539d2c1d1521c4688bdf38c7075d02cee934d6b0.json</x:v>
      </x:c>
      <x:c r="H51" s="19" t="str">
        <x:v>c1f7b893ef7aa6e62187de96f33ead717ed46628217e2cddbdd7ac8874271d71</x:v>
      </x:c>
      <x:c r="I51" s="31" t="str"/>
      <x:c r="J51" s="19" t="n">
        <x:v>46260.107303240744</x:v>
      </x:c>
      <x:c r="K51" s="31" t="str">
        <x:v>https://books.google.com/ngrams/json?content=regional+heat+waves&amp;year_start=1842&amp;year_end=2022&amp;corpus=eng&amp;smoothing=0&amp;case_insensitive=true</x:v>
      </x:c>
      <x:c r="L51" s="20" t="str">
        <x:v>application/json (cached)</x:v>
      </x:c>
    </x:row>
    <x:row r="52" ht="26" customHeight="1">
      <x:c r="A52" s="40" t="str">
        <x:v>FT-Q-V01-048</x:v>
      </x:c>
      <x:c r="B52" s="31" t="str">
        <x:v>heat wave</x:v>
      </x:c>
      <x:c r="C52" s="31" t="str">
        <x:v>SUCCEEDED</x:v>
      </x:c>
      <x:c r="D52" s="25" t="n">
        <x:v>0</x:v>
      </x:c>
      <x:c r="E52" s="25" t="n">
        <x:v>181</x:v>
      </x:c>
      <x:c r="F52" s="19" t="str">
        <x:v>heat wave (All)</x:v>
      </x:c>
      <x:c r="G52" s="31" t="str">
        <x:v>data/fear-temperature/ngram/raw/306e212ec9cdb980f5e1f91f3e6734e7998c99820aa93fd4a8109533d1676f5a.json</x:v>
      </x:c>
      <x:c r="H52" s="19" t="str">
        <x:v>2200e466cdeea1c919a9efd658599043ca1621d3175da78ab13e6b29984795b5</x:v>
      </x:c>
      <x:c r="I52" s="31" t="str"/>
      <x:c r="J52" s="19" t="n">
        <x:v>46260.10731481481</x:v>
      </x:c>
      <x:c r="K52" s="31" t="str">
        <x:v>https://books.google.com/ngrams/json?content=heat+wave&amp;year_start=1842&amp;year_end=2022&amp;corpus=eng&amp;smoothing=0&amp;case_insensitive=true</x:v>
      </x:c>
      <x:c r="L52" s="20" t="str">
        <x:v>application/json (cached)</x:v>
      </x:c>
    </x:row>
    <x:row r="53" ht="26" customHeight="1">
      <x:c r="A53" s="40" t="str">
        <x:v>FT-Q-V01-049</x:v>
      </x:c>
      <x:c r="B53" s="31" t="str">
        <x:v>drought</x:v>
      </x:c>
      <x:c r="C53" s="31" t="str">
        <x:v>SUCCEEDED</x:v>
      </x:c>
      <x:c r="D53" s="25" t="n">
        <x:v>0</x:v>
      </x:c>
      <x:c r="E53" s="25" t="n">
        <x:v>181</x:v>
      </x:c>
      <x:c r="F53" s="19" t="str">
        <x:v>drought (All)</x:v>
      </x:c>
      <x:c r="G53" s="31" t="str">
        <x:v>data/fear-temperature/ngram/raw/a3bdefd3e410e2b0f75ef6e82328b0b053a2b9a4d162237384d67e405f89fe96.json</x:v>
      </x:c>
      <x:c r="H53" s="19" t="str">
        <x:v>7111144594039704bb360fddab4543676f02b68eeeb68174dac206fabbd85276</x:v>
      </x:c>
      <x:c r="I53" s="31" t="str"/>
      <x:c r="J53" s="19" t="n">
        <x:v>46260.10732638889</x:v>
      </x:c>
      <x:c r="K53" s="31" t="str">
        <x:v>https://books.google.com/ngrams/json?content=drought&amp;year_start=1842&amp;year_end=2022&amp;corpus=eng&amp;smoothing=0&amp;case_insensitive=true</x:v>
      </x:c>
      <x:c r="L53" s="20" t="str">
        <x:v>application/json (cached)</x:v>
      </x:c>
    </x:row>
    <x:row r="54" ht="26" customHeight="1">
      <x:c r="A54" s="40" t="str">
        <x:v>FT-Q-V01-050</x:v>
      </x:c>
      <x:c r="B54" s="31" t="str">
        <x:v>heat wave/drought occurrences</x:v>
      </x:c>
      <x:c r="C54" s="31" t="str">
        <x:v>NOT_RUN_INCOMPATIBLE</x:v>
      </x:c>
      <x:c r="D54" s="25" t="n">
        <x:v>0</x:v>
      </x:c>
      <x:c r="E54" s="25" t="n">
        <x:v>0</x:v>
      </x:c>
      <x:c r="F54" s="19" t="str"/>
      <x:c r="G54" s="31" t="str"/>
      <x:c r="H54" s="19" t="str"/>
      <x:c r="I54" s="31" t="str">
        <x:v>Slash construction is not a defensible isolated Ngram phrase.</x:v>
      </x:c>
      <x:c r="J54" s="19" t="str"/>
      <x:c r="K54" s="31" t="str"/>
      <x:c r="L54" s="20" t="str"/>
    </x:row>
    <x:row r="55" ht="26" customHeight="1">
      <x:c r="A55" s="40" t="str">
        <x:v>FT-Q-V01-051</x:v>
      </x:c>
      <x:c r="B55" s="31" t="str">
        <x:v>extreme events</x:v>
      </x:c>
      <x:c r="C55" s="31" t="str">
        <x:v>SUCCEEDED</x:v>
      </x:c>
      <x:c r="D55" s="25" t="n">
        <x:v>0</x:v>
      </x:c>
      <x:c r="E55" s="25" t="n">
        <x:v>181</x:v>
      </x:c>
      <x:c r="F55" s="19" t="str">
        <x:v>extreme events (All)</x:v>
      </x:c>
      <x:c r="G55" s="31" t="str">
        <x:v>data/fear-temperature/ngram/raw/2f8cbf9b55aae32ec25fe5c485850b9461d5296a85a191304d2d582edd1a8448.json</x:v>
      </x:c>
      <x:c r="H55" s="19" t="str">
        <x:v>ad5840b011a0912ecaf681cb30e88d3950dac4d8fcd25c82510abaaf728525b3</x:v>
      </x:c>
      <x:c r="I55" s="31" t="str"/>
      <x:c r="J55" s="19" t="n">
        <x:v>46260.10733796296</x:v>
      </x:c>
      <x:c r="K55" s="31" t="str">
        <x:v>https://books.google.com/ngrams/json?content=extreme+events&amp;year_start=1842&amp;year_end=2022&amp;corpus=eng&amp;smoothing=0&amp;case_insensitive=true</x:v>
      </x:c>
      <x:c r="L55" s="20" t="str">
        <x:v>application/json (cached)</x:v>
      </x:c>
    </x:row>
    <x:row r="56" ht="26" customHeight="1">
      <x:c r="A56" s="40" t="str">
        <x:v>FT-Q-V01-052</x:v>
      </x:c>
      <x:c r="B56" s="31" t="str">
        <x:v>global climate models</x:v>
      </x:c>
      <x:c r="C56" s="31" t="str">
        <x:v>SUCCEEDED</x:v>
      </x:c>
      <x:c r="D56" s="25" t="n">
        <x:v>0</x:v>
      </x:c>
      <x:c r="E56" s="25" t="n">
        <x:v>181</x:v>
      </x:c>
      <x:c r="F56" s="19" t="str">
        <x:v>global climate models (All)</x:v>
      </x:c>
      <x:c r="G56" s="31" t="str">
        <x:v>data/fear-temperature/ngram/raw/804d613b38ca8ff6fa01fb2e1f4e6d91e7b874a9e4472af082eb9e1155863731.json</x:v>
      </x:c>
      <x:c r="H56" s="19" t="str">
        <x:v>b2c858df5d7dbe43967cc2a9f1c6d8038e498b18b37e6a7754e8d912b76c8686</x:v>
      </x:c>
      <x:c r="I56" s="31" t="str"/>
      <x:c r="J56" s="19" t="n">
        <x:v>46260.10733796296</x:v>
      </x:c>
      <x:c r="K56" s="31" t="str">
        <x:v>https://books.google.com/ngrams/json?content=global+climate+models&amp;year_start=1842&amp;year_end=2022&amp;corpus=eng&amp;smoothing=0&amp;case_insensitive=true</x:v>
      </x:c>
      <x:c r="L56" s="20" t="str">
        <x:v>application/json (cached)</x:v>
      </x:c>
    </x:row>
    <x:row r="57" ht="26" customHeight="1">
      <x:c r="A57" s="40" t="str">
        <x:v>FT-Q-V01-053</x:v>
      </x:c>
      <x:c r="B57" s="31" t="str">
        <x:v>global observations</x:v>
      </x:c>
      <x:c r="C57" s="31" t="str">
        <x:v>SUCCEEDED</x:v>
      </x:c>
      <x:c r="D57" s="25" t="n">
        <x:v>0</x:v>
      </x:c>
      <x:c r="E57" s="25" t="n">
        <x:v>181</x:v>
      </x:c>
      <x:c r="F57" s="19" t="str">
        <x:v>global observations (All)</x:v>
      </x:c>
      <x:c r="G57" s="31" t="str">
        <x:v>data/fear-temperature/ngram/raw/d002a730e85fdef3f5ec37960af0518814de2fb4a5adf229395a737b937a15d9.json</x:v>
      </x:c>
      <x:c r="H57" s="19" t="str">
        <x:v>a82afdcd24b9816acfc44960d7262d4be1def3885e065d18c16e97d7de12b8de</x:v>
      </x:c>
      <x:c r="I57" s="31" t="str"/>
      <x:c r="J57" s="19" t="n">
        <x:v>46260.10734953704</x:v>
      </x:c>
      <x:c r="K57" s="31" t="str">
        <x:v>https://books.google.com/ngrams/json?content=global+observations&amp;year_start=1842&amp;year_end=2022&amp;corpus=eng&amp;smoothing=0&amp;case_insensitive=true</x:v>
      </x:c>
      <x:c r="L57" s="20" t="str">
        <x:v>application/json (cached)</x:v>
      </x:c>
    </x:row>
    <x:row r="58" ht="26" customHeight="1">
      <x:c r="A58" s="40" t="str">
        <x:v>FT-Q-V01-054</x:v>
      </x:c>
      <x:c r="B58" s="31" t="str">
        <x:v>warm air</x:v>
      </x:c>
      <x:c r="C58" s="31" t="str">
        <x:v>SUCCEEDED</x:v>
      </x:c>
      <x:c r="D58" s="25" t="n">
        <x:v>0</x:v>
      </x:c>
      <x:c r="E58" s="25" t="n">
        <x:v>181</x:v>
      </x:c>
      <x:c r="F58" s="19" t="str">
        <x:v>warm air (All)</x:v>
      </x:c>
      <x:c r="G58" s="31" t="str">
        <x:v>data/fear-temperature/ngram/raw/815c60311238a418153e263ec5d032bdb11f2ad98f6938675e0f2291e0d31283.json</x:v>
      </x:c>
      <x:c r="H58" s="19" t="str">
        <x:v>e06b45e6e93b1d44a12b27ffc3aa6edb8cc5547b608631e5879b29270cb3f21d</x:v>
      </x:c>
      <x:c r="I58" s="31" t="str"/>
      <x:c r="J58" s="19" t="n">
        <x:v>46260.10736111111</x:v>
      </x:c>
      <x:c r="K58" s="31" t="str">
        <x:v>https://books.google.com/ngrams/json?content=warm+air&amp;year_start=1842&amp;year_end=2022&amp;corpus=eng&amp;smoothing=0&amp;case_insensitive=true</x:v>
      </x:c>
      <x:c r="L58" s="20" t="str">
        <x:v>application/json (cached)</x:v>
      </x:c>
    </x:row>
    <x:row r="59" ht="26" customHeight="1">
      <x:c r="A59" s="40" t="str">
        <x:v>FT-Q-V01-055</x:v>
      </x:c>
      <x:c r="B59" s="31" t="str">
        <x:v>changing atmosphere</x:v>
      </x:c>
      <x:c r="C59" s="31" t="str">
        <x:v>SUCCEEDED</x:v>
      </x:c>
      <x:c r="D59" s="25" t="n">
        <x:v>0</x:v>
      </x:c>
      <x:c r="E59" s="25" t="n">
        <x:v>181</x:v>
      </x:c>
      <x:c r="F59" s="19" t="str">
        <x:v>changing atmosphere (All)</x:v>
      </x:c>
      <x:c r="G59" s="31" t="str">
        <x:v>data/fear-temperature/ngram/raw/d85a605bd6ea660c1f4aa52a4a83b71832a460c045386101932b8aac3fb6f215.json</x:v>
      </x:c>
      <x:c r="H59" s="19" t="str">
        <x:v>31a39f8cb024096a38cc401e55f642e5372e1f3746523f6714899f6de8fc5b47</x:v>
      </x:c>
      <x:c r="I59" s="31" t="str"/>
      <x:c r="J59" s="19" t="n">
        <x:v>46260.10737268518</x:v>
      </x:c>
      <x:c r="K59" s="31" t="str">
        <x:v>https://books.google.com/ngrams/json?content=changing+atmosphere&amp;year_start=1842&amp;year_end=2022&amp;corpus=eng&amp;smoothing=0&amp;case_insensitive=true</x:v>
      </x:c>
      <x:c r="L59" s="20" t="str">
        <x:v>application/json (cached)</x:v>
      </x:c>
    </x:row>
    <x:row r="60" ht="26" customHeight="1">
      <x:c r="A60" s="40" t="str">
        <x:v>FT-Q-V01-056</x:v>
      </x:c>
      <x:c r="B60" s="31" t="str">
        <x:v>global security</x:v>
      </x:c>
      <x:c r="C60" s="31" t="str">
        <x:v>SUCCEEDED</x:v>
      </x:c>
      <x:c r="D60" s="25" t="n">
        <x:v>0</x:v>
      </x:c>
      <x:c r="E60" s="25" t="n">
        <x:v>181</x:v>
      </x:c>
      <x:c r="F60" s="19" t="str">
        <x:v>global security (All)</x:v>
      </x:c>
      <x:c r="G60" s="31" t="str">
        <x:v>data/fear-temperature/ngram/raw/37f3c91b5bdb2434e5e7fbfc823d1f62804dd9a06082e829967508e3305f442f.json</x:v>
      </x:c>
      <x:c r="H60" s="19" t="str">
        <x:v>40c340cadb5c19fbb7e4af9c4df80f4d671949496be1e4157721c7c6ed89cbaf</x:v>
      </x:c>
      <x:c r="I60" s="31" t="str"/>
      <x:c r="J60" s="19" t="n">
        <x:v>46260.10738425926</x:v>
      </x:c>
      <x:c r="K60" s="31" t="str">
        <x:v>https://books.google.com/ngrams/json?content=global+security&amp;year_start=1842&amp;year_end=2022&amp;corpus=eng&amp;smoothing=0&amp;case_insensitive=true</x:v>
      </x:c>
      <x:c r="L60" s="20" t="str">
        <x:v>application/json (cached)</x:v>
      </x:c>
    </x:row>
    <x:row r="61" ht="26" customHeight="1">
      <x:c r="A61" s="40" t="str">
        <x:v>FT-Q-V01-057</x:v>
      </x:c>
      <x:c r="B61" s="31" t="str">
        <x:v>climate warming</x:v>
      </x:c>
      <x:c r="C61" s="31" t="str">
        <x:v>SUCCEEDED</x:v>
      </x:c>
      <x:c r="D61" s="25" t="n">
        <x:v>0</x:v>
      </x:c>
      <x:c r="E61" s="25" t="n">
        <x:v>181</x:v>
      </x:c>
      <x:c r="F61" s="19" t="str">
        <x:v>climate warming (All)</x:v>
      </x:c>
      <x:c r="G61" s="31" t="str">
        <x:v>data/fear-temperature/ngram/raw/b007c4e4f28b0d91c852846fb12cbb9f19e181cbfebe2c7ad3081912a94fdef1.json</x:v>
      </x:c>
      <x:c r="H61" s="19" t="str">
        <x:v>64f3ea2a95693e01b62353ae6f01b6dc48d197b5300fdba5f5ba37be9848235a</x:v>
      </x:c>
      <x:c r="I61" s="31" t="str"/>
      <x:c r="J61" s="19" t="n">
        <x:v>46260.107395833336</x:v>
      </x:c>
      <x:c r="K61" s="31" t="str">
        <x:v>https://books.google.com/ngrams/json?content=climate+warming&amp;year_start=1842&amp;year_end=2022&amp;corpus=eng&amp;smoothing=0&amp;case_insensitive=true</x:v>
      </x:c>
      <x:c r="L61" s="20" t="str">
        <x:v>application/json (cached)</x:v>
      </x:c>
    </x:row>
    <x:row r="62" ht="26" customHeight="1">
      <x:c r="A62" s="40" t="str">
        <x:v>FT-Q-V01-058</x:v>
      </x:c>
      <x:c r="B62" s="31" t="str">
        <x:v>changed climatic extremes</x:v>
      </x:c>
      <x:c r="C62" s="31" t="str">
        <x:v>ZERO_RESULT</x:v>
      </x:c>
      <x:c r="D62" s="25" t="n">
        <x:v>0</x:v>
      </x:c>
      <x:c r="E62" s="25" t="n">
        <x:v>0</x:v>
      </x:c>
      <x:c r="F62" s="19" t="str"/>
      <x:c r="G62" s="31" t="str">
        <x:v>data/fear-temperature/ngram/raw/e3c721797f491dbfd313d1ebf26dce903f725eee8b0becece08b3766489bec5e.json</x:v>
      </x:c>
      <x:c r="H62" s="19" t="str">
        <x:v>4f53cda18c2baa0c0354bb5f9a3ecbe5ed12ab4d8e11ba873c2f11161202b945</x:v>
      </x:c>
      <x:c r="I62" s="31" t="str"/>
      <x:c r="J62" s="19" t="n">
        <x:v>46260.107407407406</x:v>
      </x:c>
      <x:c r="K62" s="31" t="str">
        <x:v>https://books.google.com/ngrams/json?content=changed+climatic+extremes&amp;year_start=1842&amp;year_end=2022&amp;corpus=eng&amp;smoothing=0&amp;case_insensitive=true</x:v>
      </x:c>
      <x:c r="L62" s="20" t="str">
        <x:v>application/json (cached)</x:v>
      </x:c>
    </x:row>
    <x:row r="63" ht="26" customHeight="1">
      <x:c r="A63" s="40" t="str">
        <x:v>FT-Q-V01-059</x:v>
      </x:c>
      <x:c r="B63" s="31" t="str">
        <x:v>major threat</x:v>
      </x:c>
      <x:c r="C63" s="31" t="str">
        <x:v>SUCCEEDED</x:v>
      </x:c>
      <x:c r="D63" s="25" t="n">
        <x:v>0</x:v>
      </x:c>
      <x:c r="E63" s="25" t="n">
        <x:v>181</x:v>
      </x:c>
      <x:c r="F63" s="19" t="str">
        <x:v>major threat (All)</x:v>
      </x:c>
      <x:c r="G63" s="31" t="str">
        <x:v>data/fear-temperature/ngram/raw/3852fb8c0602dd1dd7e82aede6ff96df951ae0ab14e8dff39d9436087f4b2d1e.json</x:v>
      </x:c>
      <x:c r="H63" s="19" t="str">
        <x:v>75522bbfc20fa16dbf0791e33c6bf5c01b88ee0ed211777e3ccb4fb64780c903</x:v>
      </x:c>
      <x:c r="I63" s="31" t="str"/>
      <x:c r="J63" s="19" t="n">
        <x:v>46260.10741898148</x:v>
      </x:c>
      <x:c r="K63" s="31" t="str">
        <x:v>https://books.google.com/ngrams/json?content=major+threat&amp;year_start=1842&amp;year_end=2022&amp;corpus=eng&amp;smoothing=0&amp;case_insensitive=true</x:v>
      </x:c>
      <x:c r="L63" s="20" t="str">
        <x:v>application/json (cached)</x:v>
      </x:c>
    </x:row>
    <x:row r="64" ht="26" customHeight="1">
      <x:c r="A64" s="40" t="str">
        <x:v>FT-Q-V01-060</x:v>
      </x:c>
      <x:c r="B64" s="31" t="str">
        <x:v>harmful consequences</x:v>
      </x:c>
      <x:c r="C64" s="31" t="str">
        <x:v>SUCCEEDED</x:v>
      </x:c>
      <x:c r="D64" s="25" t="n">
        <x:v>0</x:v>
      </x:c>
      <x:c r="E64" s="25" t="n">
        <x:v>181</x:v>
      </x:c>
      <x:c r="F64" s="19" t="str">
        <x:v>harmful consequences (All)</x:v>
      </x:c>
      <x:c r="G64" s="31" t="str">
        <x:v>data/fear-temperature/ngram/raw/ca8b82883f6811093ecec7cb6aa37b2187c9c8705f722490a53620e189c7b504.json</x:v>
      </x:c>
      <x:c r="H64" s="19" t="str">
        <x:v>0963b9881889fcc26999dd17bafb948569ea495660dc2b3a1e99698028c8242b</x:v>
      </x:c>
      <x:c r="I64" s="31" t="str"/>
      <x:c r="J64" s="19" t="n">
        <x:v>46260.10741898148</x:v>
      </x:c>
      <x:c r="K64" s="31" t="str">
        <x:v>https://books.google.com/ngrams/json?content=harmful+consequences&amp;year_start=1842&amp;year_end=2022&amp;corpus=eng&amp;smoothing=0&amp;case_insensitive=true</x:v>
      </x:c>
      <x:c r="L64" s="20" t="str">
        <x:v>application/json (cached)</x:v>
      </x:c>
    </x:row>
    <x:row r="65" ht="26" customHeight="1">
      <x:c r="A65" s="40" t="str">
        <x:v>FT-Q-V01-061</x:v>
      </x:c>
      <x:c r="B65" s="31" t="str">
        <x:v>warming of the climate system</x:v>
      </x:c>
      <x:c r="C65" s="31" t="str">
        <x:v>SUCCEEDED</x:v>
      </x:c>
      <x:c r="D65" s="25" t="n">
        <x:v>0</x:v>
      </x:c>
      <x:c r="E65" s="25" t="n">
        <x:v>181</x:v>
      </x:c>
      <x:c r="F65" s="19" t="str">
        <x:v>warming of the climate system (All)</x:v>
      </x:c>
      <x:c r="G65" s="31" t="str">
        <x:v>data/fear-temperature/ngram/raw/8dcf3248dddb111a1f30bab5b3545357d072f4605eedc0c49e65add20572aa70.json</x:v>
      </x:c>
      <x:c r="H65" s="19" t="str">
        <x:v>6e96cf29b410ee27b3bd7c39ea8508de692f0e94b87248f664b9c39cb7645fba</x:v>
      </x:c>
      <x:c r="I65" s="31" t="str"/>
      <x:c r="J65" s="19" t="n">
        <x:v>46260.10743055555</x:v>
      </x:c>
      <x:c r="K65" s="31" t="str">
        <x:v>https://books.google.com/ngrams/json?content=warming+of+the+climate+system&amp;year_start=1842&amp;year_end=2022&amp;corpus=eng&amp;smoothing=0&amp;case_insensitive=true</x:v>
      </x:c>
      <x:c r="L65" s="20" t="str">
        <x:v>application/json (cached)</x:v>
      </x:c>
    </x:row>
    <x:row r="66" ht="26" customHeight="1">
      <x:c r="A66" s="40" t="str">
        <x:v>FT-Q-V01-062</x:v>
      </x:c>
      <x:c r="B66" s="31" t="str">
        <x:v>unequivocal</x:v>
      </x:c>
      <x:c r="C66" s="31" t="str">
        <x:v>SUCCEEDED</x:v>
      </x:c>
      <x:c r="D66" s="25" t="n">
        <x:v>0</x:v>
      </x:c>
      <x:c r="E66" s="25" t="n">
        <x:v>181</x:v>
      </x:c>
      <x:c r="F66" s="19" t="str">
        <x:v>unequivocal (All)</x:v>
      </x:c>
      <x:c r="G66" s="31" t="str">
        <x:v>data/fear-temperature/ngram/raw/589b222dcaad46517e9261b3de8c0a74d95549534dafe4e4c9401053bb014a0f.json</x:v>
      </x:c>
      <x:c r="H66" s="19" t="str">
        <x:v>7800a7f4bcd0b09bb658bc653965495ebefdcf8d057631f1acb2e2746d5723af</x:v>
      </x:c>
      <x:c r="I66" s="31" t="str"/>
      <x:c r="J66" s="19" t="n">
        <x:v>46260.10753472222</x:v>
      </x:c>
      <x:c r="K66" s="31" t="str">
        <x:v>https://books.google.com/ngrams/json?content=unequivocal&amp;year_start=1842&amp;year_end=2022&amp;corpus=eng&amp;smoothing=0&amp;case_insensitive=true</x:v>
      </x:c>
      <x:c r="L66" s="20" t="str">
        <x:v>application/json (cached)</x:v>
      </x:c>
    </x:row>
    <x:row r="67" ht="26" customHeight="1">
      <x:c r="A67" s="40" t="str">
        <x:v>FT-Q-V01-063</x:v>
      </x:c>
      <x:c r="B67" s="31" t="str">
        <x:v>global average air and ocean temperatures</x:v>
      </x:c>
      <x:c r="C67" s="31" t="str">
        <x:v>SUCCEEDED</x:v>
      </x:c>
      <x:c r="D67" s="25" t="n">
        <x:v>0</x:v>
      </x:c>
      <x:c r="E67" s="25" t="n">
        <x:v>181</x:v>
      </x:c>
      <x:c r="F67" s="19" t="str">
        <x:v>global average air and ocean temperatures</x:v>
      </x:c>
      <x:c r="G67" s="31" t="str">
        <x:v>data/fear-temperature/ngram/raw/f73af1ae45c262eb8a777b662382952c3959bd2b5435d50eb84ffa31953e7815.json</x:v>
      </x:c>
      <x:c r="H67" s="19" t="str">
        <x:v>ecc6ac3c5c0c513120f22f13b54486d0855591b50660fb832c5cf6c08986a4d2</x:v>
      </x:c>
      <x:c r="I67" s="31" t="str"/>
      <x:c r="J67" s="19" t="n">
        <x:v>46260.1075462963</x:v>
      </x:c>
      <x:c r="K67" s="31" t="str">
        <x:v>https://books.google.com/ngrams/json?content=global+average+air+and+ocean+temperatures&amp;year_start=1842&amp;year_end=2022&amp;corpus=eng&amp;smoothing=0&amp;case_insensitive=true</x:v>
      </x:c>
      <x:c r="L67" s="20" t="str">
        <x:v>application/json (cached)</x:v>
      </x:c>
    </x:row>
    <x:row r="68" ht="26" customHeight="1">
      <x:c r="A68" s="40" t="str">
        <x:v>FT-Q-V01-064</x:v>
      </x:c>
      <x:c r="B68" s="31" t="str">
        <x:v>global surface temperature</x:v>
      </x:c>
      <x:c r="C68" s="31" t="str">
        <x:v>SUCCEEDED</x:v>
      </x:c>
      <x:c r="D68" s="25" t="n">
        <x:v>0</x:v>
      </x:c>
      <x:c r="E68" s="25" t="n">
        <x:v>181</x:v>
      </x:c>
      <x:c r="F68" s="19" t="str">
        <x:v>global surface temperature (All)</x:v>
      </x:c>
      <x:c r="G68" s="31" t="str">
        <x:v>data/fear-temperature/ngram/raw/0c509bcbc95a5c5d481b3d693eaf5548c14084450a9268d3c1f9640d9ccedf23.json</x:v>
      </x:c>
      <x:c r="H68" s="19" t="str">
        <x:v>f8d387438c05441d2930497940e0e198dd1eddbc18e0688c5fa2f4f60fd733d1</x:v>
      </x:c>
      <x:c r="I68" s="31" t="str"/>
      <x:c r="J68" s="19" t="n">
        <x:v>46260.10755787037</x:v>
      </x:c>
      <x:c r="K68" s="31" t="str">
        <x:v>https://books.google.com/ngrams/json?content=global+surface+temperature&amp;year_start=1842&amp;year_end=2022&amp;corpus=eng&amp;smoothing=0&amp;case_insensitive=true</x:v>
      </x:c>
      <x:c r="L68" s="20" t="str">
        <x:v>application/json (cached)</x:v>
      </x:c>
    </x:row>
    <x:row r="69" ht="26" customHeight="1">
      <x:c r="A69" s="40" t="str">
        <x:v>FT-Q-V01-065</x:v>
      </x:c>
      <x:c r="B69" s="31" t="str">
        <x:v>temperature increase</x:v>
      </x:c>
      <x:c r="C69" s="31" t="str">
        <x:v>SUCCEEDED</x:v>
      </x:c>
      <x:c r="D69" s="25" t="n">
        <x:v>0</x:v>
      </x:c>
      <x:c r="E69" s="25" t="n">
        <x:v>181</x:v>
      </x:c>
      <x:c r="F69" s="19" t="str">
        <x:v>temperature increase (All)</x:v>
      </x:c>
      <x:c r="G69" s="31" t="str">
        <x:v>data/fear-temperature/ngram/raw/e6efba58d92f6e3c0b60cedfb131afc6f4d35abfc0f251f7d7b486284e4283e4.json</x:v>
      </x:c>
      <x:c r="H69" s="19" t="str">
        <x:v>00c9723642a182ca6e365180d49ecc183f017932096d07681aced9b41a5d400f</x:v>
      </x:c>
      <x:c r="I69" s="31" t="str"/>
      <x:c r="J69" s="19" t="n">
        <x:v>46260.107569444444</x:v>
      </x:c>
      <x:c r="K69" s="31" t="str">
        <x:v>https://books.google.com/ngrams/json?content=temperature+increase&amp;year_start=1842&amp;year_end=2022&amp;corpus=eng&amp;smoothing=0&amp;case_insensitive=true</x:v>
      </x:c>
      <x:c r="L69" s="20" t="str">
        <x:v>application/json (cached)</x:v>
      </x:c>
    </x:row>
    <x:row r="70" ht="26" customHeight="1">
      <x:c r="A70" s="40" t="str">
        <x:v>FT-Q-V01-066</x:v>
      </x:c>
      <x:c r="B70" s="31" t="str">
        <x:v>rising global average sea level</x:v>
      </x:c>
      <x:c r="C70" s="31" t="str">
        <x:v>SUCCEEDED</x:v>
      </x:c>
      <x:c r="D70" s="25" t="n">
        <x:v>0</x:v>
      </x:c>
      <x:c r="E70" s="25" t="n">
        <x:v>181</x:v>
      </x:c>
      <x:c r="F70" s="19" t="str">
        <x:v>rising global average sea level</x:v>
      </x:c>
      <x:c r="G70" s="31" t="str">
        <x:v>data/fear-temperature/ngram/raw/87718eb09b1ce320108dbcce3dd7b6faaf2c6f10134af590aa1e6d5c0f1f5363.json</x:v>
      </x:c>
      <x:c r="H70" s="19" t="str">
        <x:v>fcc202b5ca670d2c82631d432d3656639876be2e5c7ecf4102191dae228ee2e9</x:v>
      </x:c>
      <x:c r="I70" s="31" t="str"/>
      <x:c r="J70" s="19" t="n">
        <x:v>46260.107569444444</x:v>
      </x:c>
      <x:c r="K70" s="31" t="str">
        <x:v>https://books.google.com/ngrams/json?content=rising+global+average+sea+level&amp;year_start=1842&amp;year_end=2022&amp;corpus=eng&amp;smoothing=0&amp;case_insensitive=true</x:v>
      </x:c>
      <x:c r="L70" s="20" t="str">
        <x:v>application/json (cached)</x:v>
      </x:c>
    </x:row>
    <x:row r="71" ht="26" customHeight="1">
      <x:c r="A71" s="40" t="str">
        <x:v>FT-Q-V01-067</x:v>
      </x:c>
      <x:c r="B71" s="31" t="str">
        <x:v>widespread melting of snow and ice</x:v>
      </x:c>
      <x:c r="C71" s="31" t="str">
        <x:v>SUCCEEDED</x:v>
      </x:c>
      <x:c r="D71" s="25" t="n">
        <x:v>0</x:v>
      </x:c>
      <x:c r="E71" s="25" t="n">
        <x:v>181</x:v>
      </x:c>
      <x:c r="F71" s="19" t="str">
        <x:v>widespread melting of snow and ice</x:v>
      </x:c>
      <x:c r="G71" s="31" t="str">
        <x:v>data/fear-temperature/ngram/raw/806fa1b4d7e70879a062cfd1acba0fee5db80a00c9014f31015edfe13f8f81fa.json</x:v>
      </x:c>
      <x:c r="H71" s="19" t="str">
        <x:v>c557bf5c0d1d86491aeec29fc8b84bfcc149ea2dc20e3334e342fa9fcde72618</x:v>
      </x:c>
      <x:c r="I71" s="31" t="str"/>
      <x:c r="J71" s="19" t="n">
        <x:v>46260.10758101852</x:v>
      </x:c>
      <x:c r="K71" s="31" t="str">
        <x:v>https://books.google.com/ngrams/json?content=widespread+melting+of+snow+and+ice&amp;year_start=1842&amp;year_end=2022&amp;corpus=eng&amp;smoothing=0&amp;case_insensitive=true</x:v>
      </x:c>
      <x:c r="L71" s="20" t="str">
        <x:v>application/json (cached)</x:v>
      </x:c>
    </x:row>
    <x:row r="72" ht="26" customHeight="1">
      <x:c r="A72" s="40" t="str">
        <x:v>FT-Q-V01-068</x:v>
      </x:c>
      <x:c r="B72" s="31" t="str">
        <x:v>anthropogenic CO₂</x:v>
      </x:c>
      <x:c r="C72" s="31" t="str">
        <x:v>NOT_RUN_INCOMPATIBLE</x:v>
      </x:c>
      <x:c r="D72" s="25" t="n">
        <x:v>0</x:v>
      </x:c>
      <x:c r="E72" s="25" t="n">
        <x:v>0</x:v>
      </x:c>
      <x:c r="F72" s="19" t="str"/>
      <x:c r="G72" s="31" t="str"/>
      <x:c r="H72" s="19" t="str"/>
      <x:c r="I72" s="31" t="str">
        <x:v>Degree/subscript notation is not queried as an isolated public-interface Ngram.</x:v>
      </x:c>
      <x:c r="J72" s="19" t="str"/>
      <x:c r="K72" s="31" t="str"/>
      <x:c r="L72" s="20" t="str"/>
    </x:row>
    <x:row r="73" ht="26" customHeight="1">
      <x:c r="A73" s="40" t="str">
        <x:v>FT-Q-V01-069</x:v>
      </x:c>
      <x:c r="B73" s="31" t="str">
        <x:v>anthropogenic GHG emissions</x:v>
      </x:c>
      <x:c r="C73" s="31" t="str">
        <x:v>SUCCEEDED</x:v>
      </x:c>
      <x:c r="D73" s="25" t="n">
        <x:v>0</x:v>
      </x:c>
      <x:c r="E73" s="25" t="n">
        <x:v>181</x:v>
      </x:c>
      <x:c r="F73" s="19" t="str">
        <x:v>anthropogenic GHG emissions (All)</x:v>
      </x:c>
      <x:c r="G73" s="31" t="str">
        <x:v>data/fear-temperature/ngram/raw/914334e57db329f472c585240f860566f4453aba88a7a68d703eb2b8ba0b7e47.json</x:v>
      </x:c>
      <x:c r="H73" s="19" t="str">
        <x:v>d721e9b11ff827f5408f78543bb5d474928d30128846e6f28ce0cbfb2c9511fd</x:v>
      </x:c>
      <x:c r="I73" s="31" t="str"/>
      <x:c r="J73" s="19" t="n">
        <x:v>46260.10759259259</x:v>
      </x:c>
      <x:c r="K73" s="31" t="str">
        <x:v>https://books.google.com/ngrams/json?content=anthropogenic+GHG+emissions&amp;year_start=1842&amp;year_end=2022&amp;corpus=eng&amp;smoothing=0&amp;case_insensitive=true</x:v>
      </x:c>
      <x:c r="L73" s="20" t="str">
        <x:v>application/json (cached)</x:v>
      </x:c>
    </x:row>
    <x:row r="74" ht="26" customHeight="1">
      <x:c r="A74" s="40" t="str">
        <x:v>FT-Q-V01-070</x:v>
      </x:c>
      <x:c r="B74" s="31" t="str">
        <x:v>climate change</x:v>
      </x:c>
      <x:c r="C74" s="31" t="str">
        <x:v>SUCCEEDED</x:v>
      </x:c>
      <x:c r="D74" s="25" t="n">
        <x:v>0</x:v>
      </x:c>
      <x:c r="E74" s="25" t="n">
        <x:v>181</x:v>
      </x:c>
      <x:c r="F74" s="19" t="str">
        <x:v>climate change (All)</x:v>
      </x:c>
      <x:c r="G74" s="31" t="str">
        <x:v>data/fear-temperature/ngram/raw/c0c3021f09dbdf3542c85e1a8bd4e013bd4d99d85af63bbd55f5e05a6a7ddd2b.json</x:v>
      </x:c>
      <x:c r="H74" s="19" t="str">
        <x:v>f147d9b61eec9310d5a36c21ef68d14904b4782ed7663bc02178e865991f6aa6</x:v>
      </x:c>
      <x:c r="I74" s="31" t="str"/>
      <x:c r="J74" s="19" t="n">
        <x:v>46260.10760416667</x:v>
      </x:c>
      <x:c r="K74" s="31" t="str">
        <x:v>https://books.google.com/ngrams/json?content=climate+change&amp;year_start=1842&amp;year_end=2022&amp;corpus=eng&amp;smoothing=0&amp;case_insensitive=true</x:v>
      </x:c>
      <x:c r="L74" s="20" t="str">
        <x:v>application/json (cached)</x:v>
      </x:c>
    </x:row>
    <x:row r="75" ht="26" customHeight="1">
      <x:c r="A75" s="40" t="str">
        <x:v>FT-Q-V01-071</x:v>
      </x:c>
      <x:c r="B75" s="31" t="str">
        <x:v>global warming</x:v>
      </x:c>
      <x:c r="C75" s="31" t="str">
        <x:v>SUCCEEDED</x:v>
      </x:c>
      <x:c r="D75" s="25" t="n">
        <x:v>0</x:v>
      </x:c>
      <x:c r="E75" s="25" t="n">
        <x:v>181</x:v>
      </x:c>
      <x:c r="F75" s="19" t="str">
        <x:v>global warming (All)</x:v>
      </x:c>
      <x:c r="G75" s="31" t="str">
        <x:v>data/fear-temperature/ngram/raw/e982c3b5d6e77fc759f19bb2931d892bfaa9221ade4a44977579a8d5a8afab71.json</x:v>
      </x:c>
      <x:c r="H75" s="19" t="str">
        <x:v>edd5437f92999c829c0fea3e5822ab6cb22f6b319b6eab7bc697d0dc4f6023f9</x:v>
      </x:c>
      <x:c r="I75" s="31" t="str"/>
      <x:c r="J75" s="19" t="n">
        <x:v>46260.107256944444</x:v>
      </x:c>
      <x:c r="K75" s="31" t="str">
        <x:v>https://books.google.com/ngrams/json?content=global+warming&amp;year_start=1842&amp;year_end=2022&amp;corpus=eng&amp;smoothing=0&amp;case_insensitive=true</x:v>
      </x:c>
      <x:c r="L75" s="20" t="str">
        <x:v>application/json (cached)</x:v>
      </x:c>
    </x:row>
    <x:row r="76" ht="26" customHeight="1">
      <x:c r="A76" s="40" t="str">
        <x:v>FT-Q-V01-072</x:v>
      </x:c>
      <x:c r="B76" s="31" t="str">
        <x:v>serious global threat</x:v>
      </x:c>
      <x:c r="C76" s="31" t="str">
        <x:v>SUCCEEDED</x:v>
      </x:c>
      <x:c r="D76" s="25" t="n">
        <x:v>0</x:v>
      </x:c>
      <x:c r="E76" s="25" t="n">
        <x:v>181</x:v>
      </x:c>
      <x:c r="F76" s="19" t="str">
        <x:v>serious global threat</x:v>
      </x:c>
      <x:c r="G76" s="31" t="str">
        <x:v>data/fear-temperature/ngram/raw/5b32321ca744b813f5972199bf6100cca59a22ed8377107ee90f3439bdecbfa6.json</x:v>
      </x:c>
      <x:c r="H76" s="19" t="str">
        <x:v>f3ee1bb3c2e96faa19207ed0d89c6c95080e4dfc4299d35742d8c4f9ab015f3e</x:v>
      </x:c>
      <x:c r="I76" s="31" t="str"/>
      <x:c r="J76" s="19" t="n">
        <x:v>46260.107615740744</x:v>
      </x:c>
      <x:c r="K76" s="31" t="str">
        <x:v>https://books.google.com/ngrams/json?content=serious+global+threat&amp;year_start=1842&amp;year_end=2022&amp;corpus=eng&amp;smoothing=0&amp;case_insensitive=true</x:v>
      </x:c>
      <x:c r="L76" s="20" t="str">
        <x:v>application/json (cached)</x:v>
      </x:c>
    </x:row>
    <x:row r="77" ht="26" customHeight="1">
      <x:c r="A77" s="40" t="str">
        <x:v>FT-Q-V01-073</x:v>
      </x:c>
      <x:c r="B77" s="31" t="str">
        <x:v>urgent global response</x:v>
      </x:c>
      <x:c r="C77" s="31" t="str">
        <x:v>SUCCEEDED</x:v>
      </x:c>
      <x:c r="D77" s="25" t="n">
        <x:v>0</x:v>
      </x:c>
      <x:c r="E77" s="25" t="n">
        <x:v>181</x:v>
      </x:c>
      <x:c r="F77" s="19" t="str">
        <x:v>urgent global response</x:v>
      </x:c>
      <x:c r="G77" s="31" t="str">
        <x:v>data/fear-temperature/ngram/raw/2b3e1b1685a35825228a411e6215b23d8f9bb83c5a827b09d9abd02b86000899.json</x:v>
      </x:c>
      <x:c r="H77" s="19" t="str">
        <x:v>9e0517e5492bebadc3f145f79a0769fa3244659c743f96d08c4b222bcf489975</x:v>
      </x:c>
      <x:c r="I77" s="31" t="str"/>
      <x:c r="J77" s="19" t="n">
        <x:v>46260.107615740744</x:v>
      </x:c>
      <x:c r="K77" s="31" t="str">
        <x:v>https://books.google.com/ngrams/json?content=urgent+global+response&amp;year_start=1842&amp;year_end=2022&amp;corpus=eng&amp;smoothing=0&amp;case_insensitive=true</x:v>
      </x:c>
      <x:c r="L77" s="20" t="str">
        <x:v>application/json (cached)</x:v>
      </x:c>
    </x:row>
    <x:row r="78" ht="26" customHeight="1">
      <x:c r="A78" s="40" t="str">
        <x:v>FT-Q-V01-074</x:v>
      </x:c>
      <x:c r="B78" s="31" t="str">
        <x:v>costs and risks of climate change</x:v>
      </x:c>
      <x:c r="C78" s="31" t="str">
        <x:v>SUCCEEDED</x:v>
      </x:c>
      <x:c r="D78" s="25" t="n">
        <x:v>0</x:v>
      </x:c>
      <x:c r="E78" s="25" t="n">
        <x:v>181</x:v>
      </x:c>
      <x:c r="F78" s="19" t="str">
        <x:v>costs and risks of climate change</x:v>
      </x:c>
      <x:c r="G78" s="31" t="str">
        <x:v>data/fear-temperature/ngram/raw/8bd78b7ad15e9e48d2ac43434782eef178ec9ab9fe62373cb5361adae97daf18.json</x:v>
      </x:c>
      <x:c r="H78" s="19" t="str">
        <x:v>dcb1385c951417cc4a644d7215574d8b2d857a68230b5eba73b48a7cb5b69f4f</x:v>
      </x:c>
      <x:c r="I78" s="31" t="str"/>
      <x:c r="J78" s="19" t="n">
        <x:v>46260.107627314814</x:v>
      </x:c>
      <x:c r="K78" s="31" t="str">
        <x:v>https://books.google.com/ngrams/json?content=costs+and+risks+of+climate+change&amp;year_start=1842&amp;year_end=2022&amp;corpus=eng&amp;smoothing=0&amp;case_insensitive=true</x:v>
      </x:c>
      <x:c r="L78" s="20" t="str">
        <x:v>application/json (cached)</x:v>
      </x:c>
    </x:row>
    <x:row r="79" ht="26" customHeight="1">
      <x:c r="A79" s="40" t="str">
        <x:v>FT-Q-V01-075</x:v>
      </x:c>
      <x:c r="B79" s="31" t="str">
        <x:v>impacts of climate change</x:v>
      </x:c>
      <x:c r="C79" s="31" t="str">
        <x:v>SUCCEEDED</x:v>
      </x:c>
      <x:c r="D79" s="25" t="n">
        <x:v>0</x:v>
      </x:c>
      <x:c r="E79" s="25" t="n">
        <x:v>181</x:v>
      </x:c>
      <x:c r="F79" s="19" t="str">
        <x:v>impacts of climate change (All)</x:v>
      </x:c>
      <x:c r="G79" s="31" t="str">
        <x:v>data/fear-temperature/ngram/raw/10edc30626c2300c5c7fd37f88b17289d17de5d55c5e717eb20c37a82770241c.json</x:v>
      </x:c>
      <x:c r="H79" s="19" t="str">
        <x:v>44b635143823eb938cfa9be17f4d41975ecc1c7e4b3fd57c1a7d6f53975ed33d</x:v>
      </x:c>
      <x:c r="I79" s="31" t="str"/>
      <x:c r="J79" s="19" t="n">
        <x:v>46260.10763888889</x:v>
      </x:c>
      <x:c r="K79" s="31" t="str">
        <x:v>https://books.google.com/ngrams/json?content=impacts+of+climate+change&amp;year_start=1842&amp;year_end=2022&amp;corpus=eng&amp;smoothing=0&amp;case_insensitive=true</x:v>
      </x:c>
      <x:c r="L79" s="20" t="str">
        <x:v>application/json (cached)</x:v>
      </x:c>
    </x:row>
    <x:row r="80" ht="26" customHeight="1">
      <x:c r="A80" s="40" t="str">
        <x:v>FT-Q-V01-076</x:v>
      </x:c>
      <x:c r="B80" s="31" t="str">
        <x:v>damage</x:v>
      </x:c>
      <x:c r="C80" s="31" t="str">
        <x:v>SUCCEEDED</x:v>
      </x:c>
      <x:c r="D80" s="25" t="n">
        <x:v>0</x:v>
      </x:c>
      <x:c r="E80" s="25" t="n">
        <x:v>181</x:v>
      </x:c>
      <x:c r="F80" s="19" t="str">
        <x:v>damage (All)</x:v>
      </x:c>
      <x:c r="G80" s="31" t="str">
        <x:v>data/fear-temperature/ngram/raw/d01f41629ee6773134a211a7026f5208a1c2513b8707a3bed0900691e7c0f8c8.json</x:v>
      </x:c>
      <x:c r="H80" s="19" t="str">
        <x:v>e2b6224da5004cdbd469f78455aff54e59c94bd58527d0541fb8346c5d45d622</x:v>
      </x:c>
      <x:c r="I80" s="31" t="str"/>
      <x:c r="J80" s="19" t="n">
        <x:v>46260.10765046296</x:v>
      </x:c>
      <x:c r="K80" s="31" t="str">
        <x:v>https://books.google.com/ngrams/json?content=damage&amp;year_start=1842&amp;year_end=2022&amp;corpus=eng&amp;smoothing=0&amp;case_insensitive=true</x:v>
      </x:c>
      <x:c r="L80" s="20" t="str">
        <x:v>application/json (cached)</x:v>
      </x:c>
    </x:row>
    <x:row r="81" ht="26" customHeight="1">
      <x:c r="A81" s="40" t="str">
        <x:v>FT-Q-V01-077</x:v>
      </x:c>
      <x:c r="B81" s="31" t="str">
        <x:v>hunger</x:v>
      </x:c>
      <x:c r="C81" s="31" t="str">
        <x:v>SUCCEEDED</x:v>
      </x:c>
      <x:c r="D81" s="25" t="n">
        <x:v>0</x:v>
      </x:c>
      <x:c r="E81" s="25" t="n">
        <x:v>181</x:v>
      </x:c>
      <x:c r="F81" s="19" t="str">
        <x:v>hunger (All)</x:v>
      </x:c>
      <x:c r="G81" s="31" t="str">
        <x:v>data/fear-temperature/ngram/raw/316db15cf9762a5992d3f01731d219bae77ccddd5b4e7b3a3624d6529956f51c.json</x:v>
      </x:c>
      <x:c r="H81" s="19" t="str">
        <x:v>ca2b1f89311ada24ba36c7861d796bdde355cc9e275a0ba432cdcc4201c82a03</x:v>
      </x:c>
      <x:c r="I81" s="31" t="str"/>
      <x:c r="J81" s="19" t="n">
        <x:v>46260.10766203704</x:v>
      </x:c>
      <x:c r="K81" s="31" t="str">
        <x:v>https://books.google.com/ngrams/json?content=hunger&amp;year_start=1842&amp;year_end=2022&amp;corpus=eng&amp;smoothing=0&amp;case_insensitive=true</x:v>
      </x:c>
      <x:c r="L81" s="20" t="str">
        <x:v>application/json (cached)</x:v>
      </x:c>
    </x:row>
    <x:row r="82" ht="26" customHeight="1">
      <x:c r="A82" s="40" t="str">
        <x:v>FT-Q-V01-078</x:v>
      </x:c>
      <x:c r="B82" s="31" t="str">
        <x:v>water shortages</x:v>
      </x:c>
      <x:c r="C82" s="31" t="str">
        <x:v>SUCCEEDED</x:v>
      </x:c>
      <x:c r="D82" s="25" t="n">
        <x:v>0</x:v>
      </x:c>
      <x:c r="E82" s="25" t="n">
        <x:v>181</x:v>
      </x:c>
      <x:c r="F82" s="19" t="str">
        <x:v>water shortages (All)</x:v>
      </x:c>
      <x:c r="G82" s="31" t="str">
        <x:v>data/fear-temperature/ngram/raw/1efef2d790a347bb687eb3d223fce6047f4cbe50b45e07fb13a40f36a37a8053.json</x:v>
      </x:c>
      <x:c r="H82" s="19" t="str">
        <x:v>8a02a93d01cdac26a5a26050052a7fa416ae298e799feb32a7e04ce748e1c9b2</x:v>
      </x:c>
      <x:c r="I82" s="31" t="str"/>
      <x:c r="J82" s="19" t="n">
        <x:v>46260.10766203704</x:v>
      </x:c>
      <x:c r="K82" s="31" t="str">
        <x:v>https://books.google.com/ngrams/json?content=water+shortages&amp;year_start=1842&amp;year_end=2022&amp;corpus=eng&amp;smoothing=0&amp;case_insensitive=true</x:v>
      </x:c>
      <x:c r="L82" s="20" t="str">
        <x:v>application/json (cached)</x:v>
      </x:c>
    </x:row>
    <x:row r="83" ht="26" customHeight="1">
      <x:c r="A83" s="40" t="str">
        <x:v>FT-Q-V01-079</x:v>
      </x:c>
      <x:c r="B83" s="31" t="str">
        <x:v>coastal flooding</x:v>
      </x:c>
      <x:c r="C83" s="31" t="str">
        <x:v>SUCCEEDED</x:v>
      </x:c>
      <x:c r="D83" s="25" t="n">
        <x:v>0</x:v>
      </x:c>
      <x:c r="E83" s="25" t="n">
        <x:v>181</x:v>
      </x:c>
      <x:c r="F83" s="19" t="str">
        <x:v>coastal flooding (All)</x:v>
      </x:c>
      <x:c r="G83" s="31" t="str">
        <x:v>data/fear-temperature/ngram/raw/52bfa613753c4eadca65ad755383bb46d16281d2f73bd1c629782b94ca7ca635.json</x:v>
      </x:c>
      <x:c r="H83" s="19" t="str">
        <x:v>afd0afb4ad590b0b562d7c9eaf9ec1a042f698a5f73224a04d449cc9af4849cf</x:v>
      </x:c>
      <x:c r="I83" s="31" t="str"/>
      <x:c r="J83" s="19" t="n">
        <x:v>46260.10767361111</x:v>
      </x:c>
      <x:c r="K83" s="31" t="str">
        <x:v>https://books.google.com/ngrams/json?content=coastal+flooding&amp;year_start=1842&amp;year_end=2022&amp;corpus=eng&amp;smoothing=0&amp;case_insensitive=true</x:v>
      </x:c>
      <x:c r="L83" s="20" t="str">
        <x:v>application/json (cached)</x:v>
      </x:c>
    </x:row>
    <x:row r="84" ht="26" customHeight="1">
      <x:c r="A84" s="40" t="str">
        <x:v>FT-Q-V01-080</x:v>
      </x:c>
      <x:c r="B84" s="31" t="str">
        <x:v>worst impacts</x:v>
      </x:c>
      <x:c r="C84" s="31" t="str">
        <x:v>SUCCEEDED</x:v>
      </x:c>
      <x:c r="D84" s="25" t="n">
        <x:v>0</x:v>
      </x:c>
      <x:c r="E84" s="25" t="n">
        <x:v>181</x:v>
      </x:c>
      <x:c r="F84" s="19" t="str">
        <x:v>worst impacts (All)</x:v>
      </x:c>
      <x:c r="G84" s="31" t="str">
        <x:v>data/fear-temperature/ngram/raw/ef191d5d6d10d37fbddf1313d24b7921544ca0578b9663de780c6b926ed9497b.json</x:v>
      </x:c>
      <x:c r="H84" s="19" t="str">
        <x:v>c81f1acf5f8312c53ed5cd0b2b4a024d4dfdaa50768e6ccf9f35b7ba63cfd959</x:v>
      </x:c>
      <x:c r="I84" s="31" t="str"/>
      <x:c r="J84" s="19" t="n">
        <x:v>46260.10768518518</x:v>
      </x:c>
      <x:c r="K84" s="31" t="str">
        <x:v>https://books.google.com/ngrams/json?content=worst+impacts&amp;year_start=1842&amp;year_end=2022&amp;corpus=eng&amp;smoothing=0&amp;case_insensitive=true</x:v>
      </x:c>
      <x:c r="L84" s="20" t="str">
        <x:v>application/json (cached)</x:v>
      </x:c>
    </x:row>
    <x:row r="85" ht="26" customHeight="1">
      <x:c r="A85" s="40" t="str">
        <x:v>FT-Q-V01-081</x:v>
      </x:c>
      <x:c r="B85" s="31" t="str">
        <x:v>climate change</x:v>
      </x:c>
      <x:c r="C85" s="31" t="str">
        <x:v>SUCCEEDED</x:v>
      </x:c>
      <x:c r="D85" s="25" t="n">
        <x:v>0</x:v>
      </x:c>
      <x:c r="E85" s="25" t="n">
        <x:v>181</x:v>
      </x:c>
      <x:c r="F85" s="19" t="str">
        <x:v>climate change (All)</x:v>
      </x:c>
      <x:c r="G85" s="31" t="str">
        <x:v>data/fear-temperature/ngram/raw/c0c3021f09dbdf3542c85e1a8bd4e013bd4d99d85af63bbd55f5e05a6a7ddd2b.json</x:v>
      </x:c>
      <x:c r="H85" s="19" t="str">
        <x:v>f147d9b61eec9310d5a36c21ef68d14904b4782ed7663bc02178e865991f6aa6</x:v>
      </x:c>
      <x:c r="I85" s="31" t="str"/>
      <x:c r="J85" s="19" t="n">
        <x:v>46260.10760416667</x:v>
      </x:c>
      <x:c r="K85" s="31" t="str">
        <x:v>https://books.google.com/ngrams/json?content=climate+change&amp;year_start=1842&amp;year_end=2022&amp;corpus=eng&amp;smoothing=0&amp;case_insensitive=true</x:v>
      </x:c>
      <x:c r="L85" s="20" t="str">
        <x:v>application/json (cached)</x:v>
      </x:c>
    </x:row>
    <x:row r="86" ht="26" customHeight="1">
      <x:c r="A86" s="40" t="str">
        <x:v>FT-Q-V01-082</x:v>
      </x:c>
      <x:c r="B86" s="31" t="str">
        <x:v>threat of climate change</x:v>
      </x:c>
      <x:c r="C86" s="31" t="str">
        <x:v>SUCCEEDED</x:v>
      </x:c>
      <x:c r="D86" s="25" t="n">
        <x:v>0</x:v>
      </x:c>
      <x:c r="E86" s="25" t="n">
        <x:v>181</x:v>
      </x:c>
      <x:c r="F86" s="19" t="str">
        <x:v>threat of climate change (All)</x:v>
      </x:c>
      <x:c r="G86" s="31" t="str">
        <x:v>data/fear-temperature/ngram/raw/80f335fb2f081618fb98e644333ac39d4ab1da3118610e2c37f4c52eaba6f01e.json</x:v>
      </x:c>
      <x:c r="H86" s="19" t="str">
        <x:v>4d3e308400740f2f45205ec13300cc268f5273c9661c773904bc082b92df5747</x:v>
      </x:c>
      <x:c r="I86" s="31" t="str"/>
      <x:c r="J86" s="19" t="n">
        <x:v>46260.10769675926</x:v>
      </x:c>
      <x:c r="K86" s="31" t="str">
        <x:v>https://books.google.com/ngrams/json?content=threat+of+climate+change&amp;year_start=1842&amp;year_end=2022&amp;corpus=eng&amp;smoothing=0&amp;case_insensitive=true</x:v>
      </x:c>
      <x:c r="L86" s="20" t="str">
        <x:v>application/json (cached)</x:v>
      </x:c>
    </x:row>
    <x:row r="87" ht="26" customHeight="1">
      <x:c r="A87" s="40" t="str">
        <x:v>FT-Q-V01-083</x:v>
      </x:c>
      <x:c r="B87" s="31" t="str">
        <x:v>global average temperature</x:v>
      </x:c>
      <x:c r="C87" s="31" t="str">
        <x:v>SUCCEEDED</x:v>
      </x:c>
      <x:c r="D87" s="25" t="n">
        <x:v>0</x:v>
      </x:c>
      <x:c r="E87" s="25" t="n">
        <x:v>181</x:v>
      </x:c>
      <x:c r="F87" s="19" t="str">
        <x:v>global average temperature (All)</x:v>
      </x:c>
      <x:c r="G87" s="31" t="str">
        <x:v>data/fear-temperature/ngram/raw/fec10abcfbf0091d0548b70a06317daaadc5fc16f753d8243a75bd2e1dbbcb94.json</x:v>
      </x:c>
      <x:c r="H87" s="19" t="str">
        <x:v>0117d142a11216609a781a08a4a9de2b558452c187b6875846db292dd9d75016</x:v>
      </x:c>
      <x:c r="I87" s="31" t="str"/>
      <x:c r="J87" s="19" t="n">
        <x:v>46260.10770833334</x:v>
      </x:c>
      <x:c r="K87" s="31" t="str">
        <x:v>https://books.google.com/ngrams/json?content=global+average+temperature&amp;year_start=1842&amp;year_end=2022&amp;corpus=eng&amp;smoothing=0&amp;case_insensitive=true</x:v>
      </x:c>
      <x:c r="L87" s="20" t="str">
        <x:v>application/json (cached)</x:v>
      </x:c>
    </x:row>
    <x:row r="88" ht="26" customHeight="1">
      <x:c r="A88" s="40" t="str">
        <x:v>FT-Q-V01-084</x:v>
      </x:c>
      <x:c r="B88" s="31" t="str">
        <x:v>well below 2°C above pre-industrial levels</x:v>
      </x:c>
      <x:c r="C88" s="31" t="str">
        <x:v>NOT_RUN_INCOMPATIBLE</x:v>
      </x:c>
      <x:c r="D88" s="25" t="n">
        <x:v>0</x:v>
      </x:c>
      <x:c r="E88" s="25" t="n">
        <x:v>0</x:v>
      </x:c>
      <x:c r="F88" s="19" t="str"/>
      <x:c r="G88" s="31" t="str"/>
      <x:c r="H88" s="19" t="str"/>
      <x:c r="I88" s="31" t="str">
        <x:v>Degree/subscript notation is not queried as an isolated public-interface Ngram.</x:v>
      </x:c>
      <x:c r="J88" s="19" t="str"/>
      <x:c r="K88" s="31" t="str"/>
      <x:c r="L88" s="20" t="str"/>
    </x:row>
    <x:row r="89" ht="26" customHeight="1">
      <x:c r="A89" s="40" t="str">
        <x:v>FT-Q-V01-085</x:v>
      </x:c>
      <x:c r="B89" s="31" t="str">
        <x:v>1.5°C above pre-industrial levels</x:v>
      </x:c>
      <x:c r="C89" s="31" t="str">
        <x:v>NOT_RUN_INCOMPATIBLE</x:v>
      </x:c>
      <x:c r="D89" s="25" t="n">
        <x:v>0</x:v>
      </x:c>
      <x:c r="E89" s="25" t="n">
        <x:v>0</x:v>
      </x:c>
      <x:c r="F89" s="19" t="str"/>
      <x:c r="G89" s="31" t="str"/>
      <x:c r="H89" s="19" t="str"/>
      <x:c r="I89" s="31" t="str">
        <x:v>Degree/subscript notation is not queried as an isolated public-interface Ngram.</x:v>
      </x:c>
      <x:c r="J89" s="19" t="str"/>
      <x:c r="K89" s="31" t="str"/>
      <x:c r="L89" s="20" t="str"/>
    </x:row>
    <x:row r="90" ht="26" customHeight="1">
      <x:c r="A90" s="40" t="str">
        <x:v>FT-Q-V01-086</x:v>
      </x:c>
      <x:c r="B90" s="31" t="str">
        <x:v>pre-industrial levels</x:v>
      </x:c>
      <x:c r="C90" s="31" t="str">
        <x:v>SUCCEEDED</x:v>
      </x:c>
      <x:c r="D90" s="25" t="n">
        <x:v>0</x:v>
      </x:c>
      <x:c r="E90" s="25" t="n">
        <x:v>181</x:v>
      </x:c>
      <x:c r="F90" s="19" t="str">
        <x:v>pre - industrial levels (All)</x:v>
      </x:c>
      <x:c r="G90" s="31" t="str">
        <x:v>data/fear-temperature/ngram/raw/2881b2893bb9f90b34c6b55e69b178f175071000fb539d5b087f62591c3d0923.json</x:v>
      </x:c>
      <x:c r="H90" s="19" t="str">
        <x:v>ec9e2888d07942e45c2fe376fa89cf72b9fb858a4ba564af2cc26c8a06c546a2</x:v>
      </x:c>
      <x:c r="I90" s="31" t="str"/>
      <x:c r="J90" s="19" t="n">
        <x:v>46260.107719907406</x:v>
      </x:c>
      <x:c r="K90" s="31" t="str">
        <x:v>https://books.google.com/ngrams/json?content=pre-industrial+levels&amp;year_start=1842&amp;year_end=2022&amp;corpus=eng&amp;smoothing=0&amp;case_insensitive=true</x:v>
      </x:c>
      <x:c r="L90" s="20" t="str">
        <x:v>application/json (cached)</x:v>
      </x:c>
    </x:row>
    <x:row r="91" ht="26" customHeight="1">
      <x:c r="A91" s="40" t="str">
        <x:v>FT-Q-V01-087</x:v>
      </x:c>
      <x:c r="B91" s="31" t="str">
        <x:v>risks and impacts</x:v>
      </x:c>
      <x:c r="C91" s="31" t="str">
        <x:v>SUCCEEDED</x:v>
      </x:c>
      <x:c r="D91" s="25" t="n">
        <x:v>0</x:v>
      </x:c>
      <x:c r="E91" s="25" t="n">
        <x:v>181</x:v>
      </x:c>
      <x:c r="F91" s="19" t="str">
        <x:v>risks and impacts (All)</x:v>
      </x:c>
      <x:c r="G91" s="31" t="str">
        <x:v>data/fear-temperature/ngram/raw/f2eee010d3ab2ac253dad16e8a988ee29a535b3f9fd3c70274c871172742c1fa.json</x:v>
      </x:c>
      <x:c r="H91" s="19" t="str">
        <x:v>73692f4f2f2cdc5ac3af9de33c28590f08ed8a8f3f42fac6ad08df8071aee3bf</x:v>
      </x:c>
      <x:c r="I91" s="31" t="str"/>
      <x:c r="J91" s="19" t="n">
        <x:v>46260.107719907406</x:v>
      </x:c>
      <x:c r="K91" s="31" t="str">
        <x:v>https://books.google.com/ngrams/json?content=risks+and+impacts&amp;year_start=1842&amp;year_end=2022&amp;corpus=eng&amp;smoothing=0&amp;case_insensitive=true</x:v>
      </x:c>
      <x:c r="L91" s="20" t="str">
        <x:v>application/json (cached)</x:v>
      </x:c>
    </x:row>
    <x:row r="92" ht="26" customHeight="1">
      <x:c r="A92" s="40" t="str">
        <x:v>FT-Q-V01-088</x:v>
      </x:c>
      <x:c r="B92" s="31" t="str">
        <x:v>adverse impacts</x:v>
      </x:c>
      <x:c r="C92" s="31" t="str">
        <x:v>SUCCEEDED</x:v>
      </x:c>
      <x:c r="D92" s="25" t="n">
        <x:v>0</x:v>
      </x:c>
      <x:c r="E92" s="25" t="n">
        <x:v>181</x:v>
      </x:c>
      <x:c r="F92" s="19" t="str">
        <x:v>adverse impacts (All)</x:v>
      </x:c>
      <x:c r="G92" s="31" t="str">
        <x:v>data/fear-temperature/ngram/raw/ca32195a736f01bebb286362f731491393c9174f8b7dda50446f400cf3ec81ea.json</x:v>
      </x:c>
      <x:c r="H92" s="19" t="str">
        <x:v>9ec283d996fd291327672247b273c3d7c75ea2f1e8156fb54cebadc8edbf5234</x:v>
      </x:c>
      <x:c r="I92" s="31" t="str"/>
      <x:c r="J92" s="19" t="n">
        <x:v>46260.10773148148</x:v>
      </x:c>
      <x:c r="K92" s="31" t="str">
        <x:v>https://books.google.com/ngrams/json?content=adverse+impacts&amp;year_start=1842&amp;year_end=2022&amp;corpus=eng&amp;smoothing=0&amp;case_insensitive=true</x:v>
      </x:c>
      <x:c r="L92" s="20" t="str">
        <x:v>application/json (cached)</x:v>
      </x:c>
    </x:row>
    <x:row r="93" ht="26" customHeight="1">
      <x:c r="A93" s="40" t="str">
        <x:v>FT-Q-V01-089</x:v>
      </x:c>
      <x:c r="B93" s="31" t="str">
        <x:v>adverse effects of climate change</x:v>
      </x:c>
      <x:c r="C93" s="31" t="str">
        <x:v>SUCCEEDED</x:v>
      </x:c>
      <x:c r="D93" s="25" t="n">
        <x:v>0</x:v>
      </x:c>
      <x:c r="E93" s="25" t="n">
        <x:v>181</x:v>
      </x:c>
      <x:c r="F93" s="19" t="str">
        <x:v>adverse effects of climate change (All)</x:v>
      </x:c>
      <x:c r="G93" s="31" t="str">
        <x:v>data/fear-temperature/ngram/raw/6cd471adbfc5a4ba1c140cf1b0bb66ae2800dcb64e4a80dc1708e81d2b1e0278.json</x:v>
      </x:c>
      <x:c r="H93" s="19" t="str">
        <x:v>c4d134f0b6e57ad77f407369e5a1702d717b12ee1ab313d9c30aba26ad52ae0b</x:v>
      </x:c>
      <x:c r="I93" s="31" t="str"/>
      <x:c r="J93" s="19" t="n">
        <x:v>46260.10774305555</x:v>
      </x:c>
      <x:c r="K93" s="31" t="str">
        <x:v>https://books.google.com/ngrams/json?content=adverse+effects+of+climate+change&amp;year_start=1842&amp;year_end=2022&amp;corpus=eng&amp;smoothing=0&amp;case_insensitive=true</x:v>
      </x:c>
      <x:c r="L93" s="20" t="str">
        <x:v>application/json (cached)</x:v>
      </x:c>
    </x:row>
    <x:row r="94" ht="26" customHeight="1">
      <x:c r="A94" s="40" t="str">
        <x:v>FT-Q-V01-090</x:v>
      </x:c>
      <x:c r="B94" s="31" t="str">
        <x:v>greenhouse gas emissions</x:v>
      </x:c>
      <x:c r="C94" s="31" t="str">
        <x:v>SUCCEEDED</x:v>
      </x:c>
      <x:c r="D94" s="25" t="n">
        <x:v>0</x:v>
      </x:c>
      <x:c r="E94" s="25" t="n">
        <x:v>181</x:v>
      </x:c>
      <x:c r="F94" s="19" t="str">
        <x:v>greenhouse gas emissions (All)</x:v>
      </x:c>
      <x:c r="G94" s="31" t="str">
        <x:v>data/fear-temperature/ngram/raw/76b11e33a5bc00d4a70cd7cd5a433e1f985ce44395b87f40f95baf9a424ebb9f.json</x:v>
      </x:c>
      <x:c r="H94" s="19" t="str">
        <x:v>6677cd747d4f32472ebe8d57bd2e11f1e1e8a0a6b6c2a0539182477e9edf4c47</x:v>
      </x:c>
      <x:c r="I94" s="31" t="str"/>
      <x:c r="J94" s="19" t="n">
        <x:v>46260.10775462963</x:v>
      </x:c>
      <x:c r="K94" s="31" t="str">
        <x:v>https://books.google.com/ngrams/json?content=greenhouse+gas+emissions&amp;year_start=1842&amp;year_end=2022&amp;corpus=eng&amp;smoothing=0&amp;case_insensitive=true</x:v>
      </x:c>
      <x:c r="L94" s="20" t="str">
        <x:v>application/json (cached)</x:v>
      </x:c>
    </x:row>
    <x:row r="95" ht="26" customHeight="1">
      <x:c r="A95" s="40" t="str">
        <x:v>FT-Q-V01-091</x:v>
      </x:c>
      <x:c r="B95" s="31" t="str">
        <x:v>climate resilience</x:v>
      </x:c>
      <x:c r="C95" s="31" t="str">
        <x:v>SUCCEEDED</x:v>
      </x:c>
      <x:c r="D95" s="25" t="n">
        <x:v>0</x:v>
      </x:c>
      <x:c r="E95" s="25" t="n">
        <x:v>181</x:v>
      </x:c>
      <x:c r="F95" s="19" t="str">
        <x:v>climate resilience (All)</x:v>
      </x:c>
      <x:c r="G95" s="31" t="str">
        <x:v>data/fear-temperature/ngram/raw/92704c26947e3df5352fb6efc8254b2c45a554c7aeacf18289357f8535c68963.json</x:v>
      </x:c>
      <x:c r="H95" s="19" t="str">
        <x:v>766bd2cb6b1915713f93365c1fe976a8f1da310ba9adf37066ef4158f0c31dc1</x:v>
      </x:c>
      <x:c r="I95" s="31" t="str"/>
      <x:c r="J95" s="19" t="n">
        <x:v>46260.107766203706</x:v>
      </x:c>
      <x:c r="K95" s="31" t="str">
        <x:v>https://books.google.com/ngrams/json?content=climate+resilience&amp;year_start=1842&amp;year_end=2022&amp;corpus=eng&amp;smoothing=0&amp;case_insensitive=true</x:v>
      </x:c>
      <x:c r="L95" s="20" t="str">
        <x:v>application/json (cached)</x:v>
      </x:c>
    </x:row>
    <x:row r="96" ht="26" customHeight="1">
      <x:c r="A96" s="40" t="str">
        <x:v>FT-Q-V01-092</x:v>
      </x:c>
      <x:c r="B96" s="31" t="str">
        <x:v>vulnerability</x:v>
      </x:c>
      <x:c r="C96" s="31" t="str">
        <x:v>SUCCEEDED</x:v>
      </x:c>
      <x:c r="D96" s="25" t="n">
        <x:v>0</x:v>
      </x:c>
      <x:c r="E96" s="25" t="n">
        <x:v>181</x:v>
      </x:c>
      <x:c r="F96" s="19" t="str">
        <x:v>vulnerability (All)</x:v>
      </x:c>
      <x:c r="G96" s="31" t="str">
        <x:v>data/fear-temperature/ngram/raw/e3aaf62677c5b9972e9e9767131d1c45ead25c9c6ac869d7f84391f12e762596.json</x:v>
      </x:c>
      <x:c r="H96" s="19" t="str">
        <x:v>b563cc63ba587ba13a5237f0980afedd88fc1bce39788d39bb9fa6f8c257137b</x:v>
      </x:c>
      <x:c r="I96" s="31" t="str"/>
      <x:c r="J96" s="19" t="n">
        <x:v>46260.107777777775</x:v>
      </x:c>
      <x:c r="K96" s="31" t="str">
        <x:v>https://books.google.com/ngrams/json?content=vulnerability&amp;year_start=1842&amp;year_end=2022&amp;corpus=eng&amp;smoothing=0&amp;case_insensitive=true</x:v>
      </x:c>
      <x:c r="L96" s="20" t="str">
        <x:v>application/json (cached)</x:v>
      </x:c>
    </x:row>
    <x:row r="97" ht="26" customHeight="1">
      <x:c r="A97" s="40" t="str">
        <x:v>FT-Q-V01-093</x:v>
      </x:c>
      <x:c r="B97" s="31" t="str">
        <x:v>vulnerable groups</x:v>
      </x:c>
      <x:c r="C97" s="31" t="str">
        <x:v>SUCCEEDED</x:v>
      </x:c>
      <x:c r="D97" s="25" t="n">
        <x:v>0</x:v>
      </x:c>
      <x:c r="E97" s="25" t="n">
        <x:v>181</x:v>
      </x:c>
      <x:c r="F97" s="19" t="str">
        <x:v>vulnerable groups (All)</x:v>
      </x:c>
      <x:c r="G97" s="31" t="str">
        <x:v>data/fear-temperature/ngram/raw/c1c2349a76191b6ffd2a6c32c4dea78e0f8dec919502a5c3d1bfe00aad11a917.json</x:v>
      </x:c>
      <x:c r="H97" s="19" t="str">
        <x:v>4f0a135c9d244b22c6fb17eb2ffa9768d7f02c9fc5b82b39990add84188686fc</x:v>
      </x:c>
      <x:c r="I97" s="31" t="str"/>
      <x:c r="J97" s="19" t="n">
        <x:v>46260.107777777775</x:v>
      </x:c>
      <x:c r="K97" s="31" t="str">
        <x:v>https://books.google.com/ngrams/json?content=vulnerable+groups&amp;year_start=1842&amp;year_end=2022&amp;corpus=eng&amp;smoothing=0&amp;case_insensitive=true</x:v>
      </x:c>
      <x:c r="L97" s="20" t="str">
        <x:v>application/json (cached)</x:v>
      </x:c>
    </x:row>
    <x:row r="98" ht="26" customHeight="1">
      <x:c r="A98" s="40" t="str">
        <x:v>FT-Q-V01-094</x:v>
      </x:c>
      <x:c r="B98" s="31" t="str">
        <x:v>loss and damage</x:v>
      </x:c>
      <x:c r="C98" s="31" t="str">
        <x:v>SUCCEEDED</x:v>
      </x:c>
      <x:c r="D98" s="25" t="n">
        <x:v>0</x:v>
      </x:c>
      <x:c r="E98" s="25" t="n">
        <x:v>181</x:v>
      </x:c>
      <x:c r="F98" s="19" t="str">
        <x:v>loss and damage (All)</x:v>
      </x:c>
      <x:c r="G98" s="31" t="str">
        <x:v>data/fear-temperature/ngram/raw/2a8f32859c14ca29219aef3fba343d7b66fdc9599f2050be8c5c3ae3c3caff20.json</x:v>
      </x:c>
      <x:c r="H98" s="19" t="str">
        <x:v>f1df54152d54f224c3e657cd7f64a26b8c47d1cc61b8096d52807847e3900a5e</x:v>
      </x:c>
      <x:c r="I98" s="31" t="str"/>
      <x:c r="J98" s="19" t="n">
        <x:v>46260.10778935185</x:v>
      </x:c>
      <x:c r="K98" s="31" t="str">
        <x:v>https://books.google.com/ngrams/json?content=loss+and+damage&amp;year_start=1842&amp;year_end=2022&amp;corpus=eng&amp;smoothing=0&amp;case_insensitive=true</x:v>
      </x:c>
      <x:c r="L98" s="20" t="str">
        <x:v>application/json (cached)</x:v>
      </x:c>
    </x:row>
    <x:row r="99" ht="26" customHeight="1">
      <x:c r="A99" s="40" t="str">
        <x:v>FT-Q-V01-095</x:v>
      </x:c>
      <x:c r="B99" s="31" t="str">
        <x:v>extreme weather events</x:v>
      </x:c>
      <x:c r="C99" s="31" t="str">
        <x:v>SUCCEEDED</x:v>
      </x:c>
      <x:c r="D99" s="25" t="n">
        <x:v>0</x:v>
      </x:c>
      <x:c r="E99" s="25" t="n">
        <x:v>181</x:v>
      </x:c>
      <x:c r="F99" s="19" t="str">
        <x:v>extreme weather events (All)</x:v>
      </x:c>
      <x:c r="G99" s="31" t="str">
        <x:v>data/fear-temperature/ngram/raw/41ea78235d646a87a5662d877bdd2935cd19152295e4a22d8c9909ea0c9b64d1.json</x:v>
      </x:c>
      <x:c r="H99" s="19" t="str">
        <x:v>f394ef9e4b9dbbb66ea6d52997da1132bb58a657a07a128feaa84b93da42ecc1</x:v>
      </x:c>
      <x:c r="I99" s="31" t="str"/>
      <x:c r="J99" s="19" t="n">
        <x:v>46260.10780092593</x:v>
      </x:c>
      <x:c r="K99" s="31" t="str">
        <x:v>https://books.google.com/ngrams/json?content=extreme+weather+events&amp;year_start=1842&amp;year_end=2022&amp;corpus=eng&amp;smoothing=0&amp;case_insensitive=true</x:v>
      </x:c>
      <x:c r="L99" s="20" t="str">
        <x:v>application/json (cached)</x:v>
      </x:c>
    </x:row>
    <x:row r="100" ht="26" customHeight="1">
      <x:c r="A100" s="40" t="str">
        <x:v>FT-Q-V01-096</x:v>
      </x:c>
      <x:c r="B100" s="31" t="str">
        <x:v>slow onset events</x:v>
      </x:c>
      <x:c r="C100" s="31" t="str">
        <x:v>SUCCEEDED</x:v>
      </x:c>
      <x:c r="D100" s="25" t="n">
        <x:v>0</x:v>
      </x:c>
      <x:c r="E100" s="25" t="n">
        <x:v>181</x:v>
      </x:c>
      <x:c r="F100" s="19" t="str">
        <x:v>slow onset events (All)</x:v>
      </x:c>
      <x:c r="G100" s="31" t="str">
        <x:v>data/fear-temperature/ngram/raw/5439fab30f12eefa137527403d8b5cd053c082ce42c62d8a7a910a9e8ddf7ada.json</x:v>
      </x:c>
      <x:c r="H100" s="19" t="str">
        <x:v>5ad637c1f97d8dabf3c7258b5d8cb33d9debd5e381048f09b697da8780110704</x:v>
      </x:c>
      <x:c r="I100" s="31" t="str"/>
      <x:c r="J100" s="19" t="n">
        <x:v>46260.1078125</x:v>
      </x:c>
      <x:c r="K100" s="31" t="str">
        <x:v>https://books.google.com/ngrams/json?content=slow+onset+events&amp;year_start=1842&amp;year_end=2022&amp;corpus=eng&amp;smoothing=0&amp;case_insensitive=true</x:v>
      </x:c>
      <x:c r="L100" s="20" t="str">
        <x:v>application/json (cached)</x:v>
      </x:c>
    </x:row>
    <x:row r="101" ht="26" customHeight="1">
      <x:c r="A101" s="40" t="str">
        <x:v>FT-Q-V01-097</x:v>
      </x:c>
      <x:c r="B101" s="31" t="str">
        <x:v>risk of loss and damage</x:v>
      </x:c>
      <x:c r="C101" s="31" t="str">
        <x:v>SUCCEEDED</x:v>
      </x:c>
      <x:c r="D101" s="25" t="n">
        <x:v>0</x:v>
      </x:c>
      <x:c r="E101" s="25" t="n">
        <x:v>181</x:v>
      </x:c>
      <x:c r="F101" s="19" t="str">
        <x:v>risk of loss and damage (All)</x:v>
      </x:c>
      <x:c r="G101" s="31" t="str">
        <x:v>data/fear-temperature/ngram/raw/b6bda48b4b592fbca5ae78c2cb683e73c7e0fff263baea2b4c915799da173acf.json</x:v>
      </x:c>
      <x:c r="H101" s="19" t="str">
        <x:v>7a4cbeb7aca87ec900892d352108eb2b644716a82bec4a894e57c170ad1d1ca9</x:v>
      </x:c>
      <x:c r="I101" s="31" t="str"/>
      <x:c r="J101" s="19" t="n">
        <x:v>46260.10791666667</x:v>
      </x:c>
      <x:c r="K101" s="31" t="str">
        <x:v>https://books.google.com/ngrams/json?content=risk+of+loss+and+damage&amp;year_start=1842&amp;year_end=2022&amp;corpus=eng&amp;smoothing=0&amp;case_insensitive=true</x:v>
      </x:c>
      <x:c r="L101" s="20" t="str">
        <x:v>application/json (cached)</x:v>
      </x:c>
    </x:row>
    <x:row r="102" ht="26" customHeight="1">
      <x:c r="A102" s="40" t="str">
        <x:v>FT-Q-V01-098</x:v>
      </x:c>
      <x:c r="B102" s="31" t="str">
        <x:v>early warning systems</x:v>
      </x:c>
      <x:c r="C102" s="31" t="str">
        <x:v>SUCCEEDED</x:v>
      </x:c>
      <x:c r="D102" s="25" t="n">
        <x:v>0</x:v>
      </x:c>
      <x:c r="E102" s="25" t="n">
        <x:v>181</x:v>
      </x:c>
      <x:c r="F102" s="19" t="str">
        <x:v>early warning systems (All)</x:v>
      </x:c>
      <x:c r="G102" s="31" t="str">
        <x:v>data/fear-temperature/ngram/raw/db7720e0093df08b9b566f8653346c9ee2ee9d6f76372c131ccb58cb8b5cbdc9.json</x:v>
      </x:c>
      <x:c r="H102" s="19" t="str">
        <x:v>919a0cbd0ff74812cbaaa0b3c4eb71fed09f21c3c48ca5e0c3bb959e772bfcf8</x:v>
      </x:c>
      <x:c r="I102" s="31" t="str"/>
      <x:c r="J102" s="19" t="n">
        <x:v>46260.10792824074</x:v>
      </x:c>
      <x:c r="K102" s="31" t="str">
        <x:v>https://books.google.com/ngrams/json?content=early+warning+systems&amp;year_start=1842&amp;year_end=2022&amp;corpus=eng&amp;smoothing=0&amp;case_insensitive=true</x:v>
      </x:c>
      <x:c r="L102" s="20" t="str">
        <x:v>application/json (cached)</x:v>
      </x:c>
    </x:row>
    <x:row r="103" ht="26" customHeight="1">
      <x:c r="A103" s="40" t="str">
        <x:v>FT-Q-V01-099</x:v>
      </x:c>
      <x:c r="B103" s="31" t="str">
        <x:v>emergency preparedness</x:v>
      </x:c>
      <x:c r="C103" s="31" t="str">
        <x:v>SUCCEEDED</x:v>
      </x:c>
      <x:c r="D103" s="25" t="n">
        <x:v>0</x:v>
      </x:c>
      <x:c r="E103" s="25" t="n">
        <x:v>181</x:v>
      </x:c>
      <x:c r="F103" s="19" t="str">
        <x:v>emergency preparedness (All)</x:v>
      </x:c>
      <x:c r="G103" s="31" t="str">
        <x:v>data/fear-temperature/ngram/raw/6b662c4eda6184bd92d9d0037f495d86d50dc584d45cc46a4545b53d474d2828.json</x:v>
      </x:c>
      <x:c r="H103" s="19" t="str">
        <x:v>149c501b29017a73b237ab26cd30fe0ff42a9f7338678e6eba4e40a9d11558a7</x:v>
      </x:c>
      <x:c r="I103" s="31" t="str"/>
      <x:c r="J103" s="19" t="n">
        <x:v>46260.107939814814</x:v>
      </x:c>
      <x:c r="K103" s="31" t="str">
        <x:v>https://books.google.com/ngrams/json?content=emergency+preparedness&amp;year_start=1842&amp;year_end=2022&amp;corpus=eng&amp;smoothing=0&amp;case_insensitive=true</x:v>
      </x:c>
      <x:c r="L103" s="20" t="str">
        <x:v>application/json (cached)</x:v>
      </x:c>
    </x:row>
    <x:row r="104" ht="26" customHeight="1">
      <x:c r="A104" s="40" t="str">
        <x:v>FT-Q-V01-100</x:v>
      </x:c>
      <x:c r="B104" s="31" t="str">
        <x:v>irreversible and permanent loss and damage</x:v>
      </x:c>
      <x:c r="C104" s="31" t="str">
        <x:v>SUCCEEDED</x:v>
      </x:c>
      <x:c r="D104" s="25" t="n">
        <x:v>0</x:v>
      </x:c>
      <x:c r="E104" s="25" t="n">
        <x:v>181</x:v>
      </x:c>
      <x:c r="F104" s="19" t="str">
        <x:v>irreversible and permanent loss and damage</x:v>
      </x:c>
      <x:c r="G104" s="31" t="str">
        <x:v>data/fear-temperature/ngram/raw/0ef67b7c065caacb93d84434be0b418fa5d590360386c1b856d05e4d43e9bbfd.json</x:v>
      </x:c>
      <x:c r="H104" s="19" t="str">
        <x:v>be8a86c84a720f4e7bef8683b9e984b88bb8833c1cb7d464a56dfbe16478cf7a</x:v>
      </x:c>
      <x:c r="I104" s="31" t="str"/>
      <x:c r="J104" s="19" t="n">
        <x:v>46260.10795138889</x:v>
      </x:c>
      <x:c r="K104" s="31" t="str">
        <x:v>https://books.google.com/ngrams/json?content=irreversible+and+permanent+loss+and+damage&amp;year_start=1842&amp;year_end=2022&amp;corpus=eng&amp;smoothing=0&amp;case_insensitive=true</x:v>
      </x:c>
      <x:c r="L104" s="20" t="str">
        <x:v>application/json (cached)</x:v>
      </x:c>
    </x:row>
    <x:row r="105" ht="26" customHeight="1">
      <x:c r="A105" s="40" t="str">
        <x:v>FT-Q-V01-101</x:v>
      </x:c>
      <x:c r="B105" s="31" t="str">
        <x:v>climate change</x:v>
      </x:c>
      <x:c r="C105" s="31" t="str">
        <x:v>SUCCEEDED</x:v>
      </x:c>
      <x:c r="D105" s="25" t="n">
        <x:v>0</x:v>
      </x:c>
      <x:c r="E105" s="25" t="n">
        <x:v>181</x:v>
      </x:c>
      <x:c r="F105" s="19" t="str">
        <x:v>climate change (All)</x:v>
      </x:c>
      <x:c r="G105" s="31" t="str">
        <x:v>data/fear-temperature/ngram/raw/c0c3021f09dbdf3542c85e1a8bd4e013bd4d99d85af63bbd55f5e05a6a7ddd2b.json</x:v>
      </x:c>
      <x:c r="H105" s="19" t="str">
        <x:v>f147d9b61eec9310d5a36c21ef68d14904b4782ed7663bc02178e865991f6aa6</x:v>
      </x:c>
      <x:c r="I105" s="31" t="str"/>
      <x:c r="J105" s="19" t="n">
        <x:v>46260.10760416667</x:v>
      </x:c>
      <x:c r="K105" s="31" t="str">
        <x:v>https://books.google.com/ngrams/json?content=climate+change&amp;year_start=1842&amp;year_end=2022&amp;corpus=eng&amp;smoothing=0&amp;case_insensitive=true</x:v>
      </x:c>
      <x:c r="L105" s="20" t="str">
        <x:v>application/json (cached)</x:v>
      </x:c>
    </x:row>
    <x:row r="106" ht="26" customHeight="1">
      <x:c r="A106" s="40" t="str">
        <x:v>FT-Q-V01-102</x:v>
      </x:c>
      <x:c r="B106" s="31" t="str">
        <x:v>global warming</x:v>
      </x:c>
      <x:c r="C106" s="31" t="str">
        <x:v>SUCCEEDED</x:v>
      </x:c>
      <x:c r="D106" s="25" t="n">
        <x:v>0</x:v>
      </x:c>
      <x:c r="E106" s="25" t="n">
        <x:v>181</x:v>
      </x:c>
      <x:c r="F106" s="19" t="str">
        <x:v>global warming (All)</x:v>
      </x:c>
      <x:c r="G106" s="31" t="str">
        <x:v>data/fear-temperature/ngram/raw/e982c3b5d6e77fc759f19bb2931d892bfaa9221ade4a44977579a8d5a8afab71.json</x:v>
      </x:c>
      <x:c r="H106" s="19" t="str">
        <x:v>edd5437f92999c829c0fea3e5822ab6cb22f6b319b6eab7bc697d0dc4f6023f9</x:v>
      </x:c>
      <x:c r="I106" s="31" t="str"/>
      <x:c r="J106" s="19" t="n">
        <x:v>46260.107256944444</x:v>
      </x:c>
      <x:c r="K106" s="31" t="str">
        <x:v>https://books.google.com/ngrams/json?content=global+warming&amp;year_start=1842&amp;year_end=2022&amp;corpus=eng&amp;smoothing=0&amp;case_insensitive=true</x:v>
      </x:c>
      <x:c r="L106" s="20" t="str">
        <x:v>application/json (cached)</x:v>
      </x:c>
    </x:row>
    <x:row r="107" ht="26" customHeight="1">
      <x:c r="A107" s="40" t="str">
        <x:v>FT-Q-V01-103</x:v>
      </x:c>
      <x:c r="B107" s="31" t="str">
        <x:v>very worried</x:v>
      </x:c>
      <x:c r="C107" s="31" t="str">
        <x:v>SUCCEEDED</x:v>
      </x:c>
      <x:c r="D107" s="25" t="n">
        <x:v>0</x:v>
      </x:c>
      <x:c r="E107" s="25" t="n">
        <x:v>181</x:v>
      </x:c>
      <x:c r="F107" s="19" t="str">
        <x:v>very worried (All)</x:v>
      </x:c>
      <x:c r="G107" s="31" t="str">
        <x:v>data/fear-temperature/ngram/raw/f526cd2f784872130404682caca300afe87335e50333313d2bc99fcd1c9e6323.json</x:v>
      </x:c>
      <x:c r="H107" s="19" t="str">
        <x:v>c4e356dda2574c2271551a62700781713d69099b10808f5c3bfec13fd90daf25</x:v>
      </x:c>
      <x:c r="I107" s="31" t="str"/>
      <x:c r="J107" s="19" t="n">
        <x:v>46260.10796296296</x:v>
      </x:c>
      <x:c r="K107" s="31" t="str">
        <x:v>https://books.google.com/ngrams/json?content=very+worried&amp;year_start=1842&amp;year_end=2022&amp;corpus=eng&amp;smoothing=0&amp;case_insensitive=true</x:v>
      </x:c>
      <x:c r="L107" s="20" t="str">
        <x:v>application/json (cached)</x:v>
      </x:c>
    </x:row>
    <x:row r="108" ht="26" customHeight="1">
      <x:c r="A108" s="40" t="str">
        <x:v>FT-Q-V01-104</x:v>
      </x:c>
      <x:c r="B108" s="31" t="str">
        <x:v>somewhat worried</x:v>
      </x:c>
      <x:c r="C108" s="31" t="str">
        <x:v>SUCCEEDED</x:v>
      </x:c>
      <x:c r="D108" s="25" t="n">
        <x:v>0</x:v>
      </x:c>
      <x:c r="E108" s="25" t="n">
        <x:v>181</x:v>
      </x:c>
      <x:c r="F108" s="19" t="str">
        <x:v>somewhat worried (All)</x:v>
      </x:c>
      <x:c r="G108" s="31" t="str">
        <x:v>data/fear-temperature/ngram/raw/5acfc1306b3a13d5d65432940489e2b50940bd9a14347e9c6f374920fc2eeb52.json</x:v>
      </x:c>
      <x:c r="H108" s="19" t="str">
        <x:v>54918ea3d9f4743416885098238b4075b9ca4d1f92cda82f176c53f72be64531</x:v>
      </x:c>
      <x:c r="I108" s="31" t="str"/>
      <x:c r="J108" s="19" t="n">
        <x:v>46260.10797453704</x:v>
      </x:c>
      <x:c r="K108" s="31" t="str">
        <x:v>https://books.google.com/ngrams/json?content=somewhat+worried&amp;year_start=1842&amp;year_end=2022&amp;corpus=eng&amp;smoothing=0&amp;case_insensitive=true</x:v>
      </x:c>
      <x:c r="L108" s="20" t="str">
        <x:v>application/json (cached)</x:v>
      </x:c>
    </x:row>
    <x:row r="109" ht="26" customHeight="1">
      <x:c r="A109" s="40" t="str">
        <x:v>FT-Q-V01-105</x:v>
      </x:c>
      <x:c r="B109" s="31" t="str">
        <x:v>afraid</x:v>
      </x:c>
      <x:c r="C109" s="31" t="str">
        <x:v>SUCCEEDED</x:v>
      </x:c>
      <x:c r="D109" s="25" t="n">
        <x:v>0</x:v>
      </x:c>
      <x:c r="E109" s="25" t="n">
        <x:v>181</x:v>
      </x:c>
      <x:c r="F109" s="19" t="str">
        <x:v>afraid (All)</x:v>
      </x:c>
      <x:c r="G109" s="31" t="str">
        <x:v>data/fear-temperature/ngram/raw/62c539c6f003ab8a35487500472daf71f2a80584f1fa1ea2da6aa2bce785ebb8.json</x:v>
      </x:c>
      <x:c r="H109" s="19" t="str">
        <x:v>a561bb7c3888410601291c825c2eac285f641ce232c3cadbb9f1c6bc310513c1</x:v>
      </x:c>
      <x:c r="I109" s="31" t="str"/>
      <x:c r="J109" s="19" t="n">
        <x:v>46260.10797453704</x:v>
      </x:c>
      <x:c r="K109" s="31" t="str">
        <x:v>https://books.google.com/ngrams/json?content=afraid&amp;year_start=1842&amp;year_end=2022&amp;corpus=eng&amp;smoothing=0&amp;case_insensitive=true</x:v>
      </x:c>
      <x:c r="L109" s="20" t="str">
        <x:v>application/json (cached)</x:v>
      </x:c>
    </x:row>
    <x:row r="110" ht="26" customHeight="1">
      <x:c r="A110" s="40" t="str">
        <x:v>FT-Q-V01-106</x:v>
      </x:c>
      <x:c r="B110" s="31" t="str">
        <x:v>anxious</x:v>
      </x:c>
      <x:c r="C110" s="31" t="str">
        <x:v>SUCCEEDED</x:v>
      </x:c>
      <x:c r="D110" s="25" t="n">
        <x:v>0</x:v>
      </x:c>
      <x:c r="E110" s="25" t="n">
        <x:v>181</x:v>
      </x:c>
      <x:c r="F110" s="19" t="str">
        <x:v>anxious (All)</x:v>
      </x:c>
      <x:c r="G110" s="31" t="str">
        <x:v>data/fear-temperature/ngram/raw/2107eccb0485a4ca882ccf647c440758210c000f228ba9db9af26d8c66a765d7.json</x:v>
      </x:c>
      <x:c r="H110" s="19" t="str">
        <x:v>8a5c18afa3a1c5955f5e941356beb5f222867dce0a548678b52af9634f05ae55</x:v>
      </x:c>
      <x:c r="I110" s="31" t="str"/>
      <x:c r="J110" s="19" t="n">
        <x:v>46260.107986111114</x:v>
      </x:c>
      <x:c r="K110" s="31" t="str">
        <x:v>https://books.google.com/ngrams/json?content=anxious&amp;year_start=1842&amp;year_end=2022&amp;corpus=eng&amp;smoothing=0&amp;case_insensitive=true</x:v>
      </x:c>
      <x:c r="L110" s="20" t="str">
        <x:v>application/json (cached)</x:v>
      </x:c>
    </x:row>
    <x:row r="111" ht="26" customHeight="1">
      <x:c r="A111" s="40" t="str">
        <x:v>FT-Q-V01-107</x:v>
      </x:c>
      <x:c r="B111" s="31" t="str">
        <x:v>hopeless</x:v>
      </x:c>
      <x:c r="C111" s="31" t="str">
        <x:v>SUCCEEDED</x:v>
      </x:c>
      <x:c r="D111" s="25" t="n">
        <x:v>0</x:v>
      </x:c>
      <x:c r="E111" s="25" t="n">
        <x:v>181</x:v>
      </x:c>
      <x:c r="F111" s="19" t="str">
        <x:v>hopeless (All)</x:v>
      </x:c>
      <x:c r="G111" s="31" t="str">
        <x:v>data/fear-temperature/ngram/raw/5e7eb5b7a08faad04d037212a71a6f31398290267b6855e9bb04c5f2cfe60f53.json</x:v>
      </x:c>
      <x:c r="H111" s="19" t="str">
        <x:v>7e5ae9cf5f0782a5d56f3d2aa57ae13f25360fc2f6bcb4b4630fe252005fe55d</x:v>
      </x:c>
      <x:c r="I111" s="31" t="str"/>
      <x:c r="J111" s="19" t="n">
        <x:v>46260.10799768518</x:v>
      </x:c>
      <x:c r="K111" s="31" t="str">
        <x:v>https://books.google.com/ngrams/json?content=hopeless&amp;year_start=1842&amp;year_end=2022&amp;corpus=eng&amp;smoothing=0&amp;case_insensitive=true</x:v>
      </x:c>
      <x:c r="L111" s="20" t="str">
        <x:v>application/json (cached)</x:v>
      </x:c>
    </x:row>
    <x:row r="112" ht="26" customHeight="1">
      <x:c r="A112" s="40" t="str">
        <x:v>FT-Q-V01-108</x:v>
      </x:c>
      <x:c r="B112" s="31" t="str">
        <x:v>sad</x:v>
      </x:c>
      <x:c r="C112" s="31" t="str">
        <x:v>SUCCEEDED</x:v>
      </x:c>
      <x:c r="D112" s="25" t="n">
        <x:v>0</x:v>
      </x:c>
      <x:c r="E112" s="25" t="n">
        <x:v>181</x:v>
      </x:c>
      <x:c r="F112" s="19" t="str">
        <x:v>sad (All)</x:v>
      </x:c>
      <x:c r="G112" s="31" t="str">
        <x:v>data/fear-temperature/ngram/raw/953b2016da3c902bd89fed3fb5f48705d4ce54ad9ad3dd228629c0c4849f2491.json</x:v>
      </x:c>
      <x:c r="H112" s="19" t="str">
        <x:v>c30500f7eb80e2502c998d410900c93f34da285d9d396f5e4f9918d564ea5c5d</x:v>
      </x:c>
      <x:c r="I112" s="31" t="str"/>
      <x:c r="J112" s="19" t="n">
        <x:v>46260.10800925926</x:v>
      </x:c>
      <x:c r="K112" s="31" t="str">
        <x:v>https://books.google.com/ngrams/json?content=sad&amp;year_start=1842&amp;year_end=2022&amp;corpus=eng&amp;smoothing=0&amp;case_insensitive=true</x:v>
      </x:c>
      <x:c r="L112" s="20" t="str">
        <x:v>application/json (cached)</x:v>
      </x:c>
    </x:row>
    <x:row r="113" ht="26" customHeight="1">
      <x:c r="A113" s="40" t="str">
        <x:v>FT-Q-V01-109</x:v>
      </x:c>
      <x:c r="B113" s="31" t="str">
        <x:v>angry</x:v>
      </x:c>
      <x:c r="C113" s="31" t="str">
        <x:v>SUCCEEDED</x:v>
      </x:c>
      <x:c r="D113" s="25" t="n">
        <x:v>0</x:v>
      </x:c>
      <x:c r="E113" s="25" t="n">
        <x:v>181</x:v>
      </x:c>
      <x:c r="F113" s="19" t="str">
        <x:v>angry (All)</x:v>
      </x:c>
      <x:c r="G113" s="31" t="str">
        <x:v>data/fear-temperature/ngram/raw/1cceb7003946894218df8f23071e2fba77be57b1ee95b996a43348a160450fbd.json</x:v>
      </x:c>
      <x:c r="H113" s="19" t="str">
        <x:v>bef8ea13ec5d967c104296f9a9037e4816a823266d3884c3cfebb5fff3c8cf99</x:v>
      </x:c>
      <x:c r="I113" s="31" t="str"/>
      <x:c r="J113" s="19" t="n">
        <x:v>46260.10802083334</x:v>
      </x:c>
      <x:c r="K113" s="31" t="str">
        <x:v>https://books.google.com/ngrams/json?content=angry&amp;year_start=1842&amp;year_end=2022&amp;corpus=eng&amp;smoothing=0&amp;case_insensitive=true</x:v>
      </x:c>
      <x:c r="L113" s="20" t="str">
        <x:v>application/json (cached)</x:v>
      </x:c>
    </x:row>
    <x:row r="114" ht="26" customHeight="1">
      <x:c r="A114" s="40" t="str">
        <x:v>FT-Q-V01-110</x:v>
      </x:c>
      <x:c r="B114" s="31" t="str">
        <x:v>frustrated</x:v>
      </x:c>
      <x:c r="C114" s="31" t="str">
        <x:v>SUCCEEDED</x:v>
      </x:c>
      <x:c r="D114" s="25" t="n">
        <x:v>0</x:v>
      </x:c>
      <x:c r="E114" s="25" t="n">
        <x:v>181</x:v>
      </x:c>
      <x:c r="F114" s="19" t="str">
        <x:v>frustrated (All)</x:v>
      </x:c>
      <x:c r="G114" s="31" t="str">
        <x:v>data/fear-temperature/ngram/raw/9329bf8b3df7723e136f5cc98ba235a05dd2f56642d3399a06703f75d57157f7.json</x:v>
      </x:c>
      <x:c r="H114" s="19" t="str">
        <x:v>ad1854c64054f95e587dfc3e8d96327496f51152e76fb63a8eb5001631e983b8</x:v>
      </x:c>
      <x:c r="I114" s="31" t="str"/>
      <x:c r="J114" s="19" t="n">
        <x:v>46260.10803240741</x:v>
      </x:c>
      <x:c r="K114" s="31" t="str">
        <x:v>https://books.google.com/ngrams/json?content=frustrated&amp;year_start=1842&amp;year_end=2022&amp;corpus=eng&amp;smoothing=0&amp;case_insensitive=true</x:v>
      </x:c>
      <x:c r="L114" s="20" t="str">
        <x:v>application/json (cached)</x:v>
      </x:c>
    </x:row>
    <x:row r="115" ht="26" customHeight="1">
      <x:c r="A115" s="40" t="str">
        <x:v>FT-Q-V01-111</x:v>
      </x:c>
      <x:c r="B115" s="31" t="str">
        <x:v>hopeful</x:v>
      </x:c>
      <x:c r="C115" s="31" t="str">
        <x:v>SUCCEEDED</x:v>
      </x:c>
      <x:c r="D115" s="25" t="n">
        <x:v>0</x:v>
      </x:c>
      <x:c r="E115" s="25" t="n">
        <x:v>181</x:v>
      </x:c>
      <x:c r="F115" s="19" t="str">
        <x:v>hopeful (All)</x:v>
      </x:c>
      <x:c r="G115" s="31" t="str">
        <x:v>data/fear-temperature/ngram/raw/ba6a435a485847d46be014c9428192105ae5255c0ad7a7e0783a223d028b671c.json</x:v>
      </x:c>
      <x:c r="H115" s="19" t="str">
        <x:v>580836dec9b8558397ee0ce9ff542c10603a10288fc5e38f1bddaffa3623cf36</x:v>
      </x:c>
      <x:c r="I115" s="31" t="str"/>
      <x:c r="J115" s="19" t="n">
        <x:v>46260.10804398148</x:v>
      </x:c>
      <x:c r="K115" s="31" t="str">
        <x:v>https://books.google.com/ngrams/json?content=hopeful&amp;year_start=1842&amp;year_end=2022&amp;corpus=eng&amp;smoothing=0&amp;case_insensitive=true</x:v>
      </x:c>
      <x:c r="L115" s="20" t="str">
        <x:v>application/json (cached)</x:v>
      </x:c>
    </x:row>
    <x:row r="116" ht="26" customHeight="1">
      <x:c r="A116" s="40" t="str">
        <x:v>FT-Q-V01-112</x:v>
      </x:c>
      <x:c r="B116" s="31" t="str">
        <x:v>disgusted</x:v>
      </x:c>
      <x:c r="C116" s="31" t="str">
        <x:v>SUCCEEDED</x:v>
      </x:c>
      <x:c r="D116" s="25" t="n">
        <x:v>0</x:v>
      </x:c>
      <x:c r="E116" s="25" t="n">
        <x:v>181</x:v>
      </x:c>
      <x:c r="F116" s="19" t="str">
        <x:v>disgusted (All)</x:v>
      </x:c>
      <x:c r="G116" s="31" t="str">
        <x:v>data/fear-temperature/ngram/raw/f210204c4e717ccb60d443280a0631eb5726d577e81139674d3ac30bcd9f2998.json</x:v>
      </x:c>
      <x:c r="H116" s="19" t="str">
        <x:v>3949b235472d1bdde358b672f2de0d59d66343d3c583183ea7b2e92b7c714994</x:v>
      </x:c>
      <x:c r="I116" s="31" t="str"/>
      <x:c r="J116" s="19" t="n">
        <x:v>46260.10804398148</x:v>
      </x:c>
      <x:c r="K116" s="31" t="str">
        <x:v>https://books.google.com/ngrams/json?content=disgusted&amp;year_start=1842&amp;year_end=2022&amp;corpus=eng&amp;smoothing=0&amp;case_insensitive=true</x:v>
      </x:c>
      <x:c r="L116" s="20" t="str">
        <x:v>application/json (cached)</x:v>
      </x:c>
    </x:row>
    <x:row r="117" ht="26" customHeight="1">
      <x:c r="A117" s="40" t="str">
        <x:v>FT-Q-V01-113</x:v>
      </x:c>
      <x:c r="B117" s="31" t="str">
        <x:v>outraged</x:v>
      </x:c>
      <x:c r="C117" s="31" t="str">
        <x:v>SUCCEEDED</x:v>
      </x:c>
      <x:c r="D117" s="25" t="n">
        <x:v>0</x:v>
      </x:c>
      <x:c r="E117" s="25" t="n">
        <x:v>181</x:v>
      </x:c>
      <x:c r="F117" s="19" t="str">
        <x:v>outraged (All)</x:v>
      </x:c>
      <x:c r="G117" s="31" t="str">
        <x:v>data/fear-temperature/ngram/raw/f40285eec2f0032bdb5bfbc2c085fc4cadc9ba551a688c6439d3a5237ef977c7.json</x:v>
      </x:c>
      <x:c r="H117" s="19" t="str">
        <x:v>f97ea344d73e4e87abb2dd140214ba4d93a98685966bf5ad866214509611c202</x:v>
      </x:c>
      <x:c r="I117" s="31" t="str"/>
      <x:c r="J117" s="19" t="n">
        <x:v>46260.10805555555</x:v>
      </x:c>
      <x:c r="K117" s="31" t="str">
        <x:v>https://books.google.com/ngrams/json?content=outraged&amp;year_start=1842&amp;year_end=2022&amp;corpus=eng&amp;smoothing=0&amp;case_insensitive=true</x:v>
      </x:c>
      <x:c r="L117" s="20" t="str">
        <x:v>application/json (cached)</x:v>
      </x:c>
    </x:row>
    <x:row r="118" ht="26" customHeight="1">
      <x:c r="A118" s="40" t="str">
        <x:v>FT-Q-V01-114</x:v>
      </x:c>
      <x:c r="B118" s="31" t="str">
        <x:v>depressed</x:v>
      </x:c>
      <x:c r="C118" s="31" t="str">
        <x:v>SUCCEEDED</x:v>
      </x:c>
      <x:c r="D118" s="25" t="n">
        <x:v>0</x:v>
      </x:c>
      <x:c r="E118" s="25" t="n">
        <x:v>181</x:v>
      </x:c>
      <x:c r="F118" s="19" t="str">
        <x:v>depressed (All)</x:v>
      </x:c>
      <x:c r="G118" s="31" t="str">
        <x:v>data/fear-temperature/ngram/raw/1e2c67caed74063005c91a921bdcebefacae62473cda222cb6b54f2d0f494115.json</x:v>
      </x:c>
      <x:c r="H118" s="19" t="str">
        <x:v>860a27b58656abacadd7f50714c6c413d59b394853cc7f8c215e856ba2b0bb07</x:v>
      </x:c>
      <x:c r="I118" s="31" t="str"/>
      <x:c r="J118" s="19" t="n">
        <x:v>46260.10806712963</x:v>
      </x:c>
      <x:c r="K118" s="31" t="str">
        <x:v>https://books.google.com/ngrams/json?content=depressed&amp;year_start=1842&amp;year_end=2022&amp;corpus=eng&amp;smoothing=0&amp;case_insensitive=true</x:v>
      </x:c>
      <x:c r="L118" s="20" t="str">
        <x:v>application/json (cached)</x:v>
      </x:c>
    </x:row>
    <x:row r="119" ht="26" customHeight="1">
      <x:c r="A119" s="40" t="str">
        <x:v>FT-Q-V01-115</x:v>
      </x:c>
      <x:c r="B119" s="31" t="str">
        <x:v>symptoms of anxiety</x:v>
      </x:c>
      <x:c r="C119" s="31" t="str">
        <x:v>SUCCEEDED</x:v>
      </x:c>
      <x:c r="D119" s="25" t="n">
        <x:v>0</x:v>
      </x:c>
      <x:c r="E119" s="25" t="n">
        <x:v>181</x:v>
      </x:c>
      <x:c r="F119" s="19" t="str">
        <x:v>symptoms of anxiety (All)</x:v>
      </x:c>
      <x:c r="G119" s="31" t="str">
        <x:v>data/fear-temperature/ngram/raw/1b1b0a9675ab8a7678713746fdd62646f8c5451626f2103eb483512a2277f6c7.json</x:v>
      </x:c>
      <x:c r="H119" s="19" t="str">
        <x:v>a249df571965d071ee8e8c0b2ea3e065f28289cb6f34bba1630bd55da3f95d84</x:v>
      </x:c>
      <x:c r="I119" s="31" t="str"/>
      <x:c r="J119" s="19" t="n">
        <x:v>46260.108078703706</x:v>
      </x:c>
      <x:c r="K119" s="31" t="str">
        <x:v>https://books.google.com/ngrams/json?content=symptoms+of+anxiety&amp;year_start=1842&amp;year_end=2022&amp;corpus=eng&amp;smoothing=0&amp;case_insensitive=true</x:v>
      </x:c>
      <x:c r="L119" s="20" t="str">
        <x:v>application/json (cached)</x:v>
      </x:c>
    </x:row>
    <x:row r="120" ht="26" customHeight="1">
      <x:c r="A120" s="40" t="str">
        <x:v>FT-Q-V01-116</x:v>
      </x:c>
      <x:c r="B120" s="31" t="str">
        <x:v>climate anxiety</x:v>
      </x:c>
      <x:c r="C120" s="31" t="str">
        <x:v>SUCCEEDED</x:v>
      </x:c>
      <x:c r="D120" s="25" t="n">
        <x:v>0</x:v>
      </x:c>
      <x:c r="E120" s="25" t="n">
        <x:v>181</x:v>
      </x:c>
      <x:c r="F120" s="19" t="str">
        <x:v>climate anxiety (All)</x:v>
      </x:c>
      <x:c r="G120" s="31" t="str">
        <x:v>data/fear-temperature/ngram/raw/d00250b2ef40b968bd0aa5befdc2b2cb971793fb2c476d828ffc5ab3fab1830a.json</x:v>
      </x:c>
      <x:c r="H120" s="19" t="str">
        <x:v>4bfe5a3b9d7ed748ae188b0946b31c1056933757c12a370c99a1beb82275c00c</x:v>
      </x:c>
      <x:c r="I120" s="31" t="str"/>
      <x:c r="J120" s="19" t="n">
        <x:v>46260.108078703706</x:v>
      </x:c>
      <x:c r="K120" s="31" t="str">
        <x:v>https://books.google.com/ngrams/json?content=climate+anxiety&amp;year_start=1842&amp;year_end=2022&amp;corpus=eng&amp;smoothing=0&amp;case_insensitive=true</x:v>
      </x:c>
      <x:c r="L120" s="20" t="str">
        <x:v>application/json (cached)</x:v>
      </x:c>
    </x:row>
    <x:row r="121" ht="26" customHeight="1">
      <x:c r="A121" s="40" t="str">
        <x:v>FT-Q-V01-117</x:v>
      </x:c>
      <x:c r="B121" s="31" t="str">
        <x:v>eco-anxiety</x:v>
      </x:c>
      <x:c r="C121" s="31" t="str">
        <x:v>SUCCEEDED</x:v>
      </x:c>
      <x:c r="D121" s="25" t="n">
        <x:v>0</x:v>
      </x:c>
      <x:c r="E121" s="25" t="n">
        <x:v>181</x:v>
      </x:c>
      <x:c r="F121" s="19" t="str">
        <x:v>eco - anxiety (All)</x:v>
      </x:c>
      <x:c r="G121" s="31" t="str">
        <x:v>data/fear-temperature/ngram/raw/4dec744e176b02d5b58560cc5e870a26c6e15a00884d43da40bc682039cdf566.json</x:v>
      </x:c>
      <x:c r="H121" s="19" t="str">
        <x:v>f6763b45b1506c0270b0f32d40a486756757632c62b09198e837f8fdfd1885b1</x:v>
      </x:c>
      <x:c r="I121" s="31" t="str"/>
      <x:c r="J121" s="19" t="n">
        <x:v>46260.108090277776</x:v>
      </x:c>
      <x:c r="K121" s="31" t="str">
        <x:v>https://books.google.com/ngrams/json?content=eco-anxiety&amp;year_start=1842&amp;year_end=2022&amp;corpus=eng&amp;smoothing=0&amp;case_insensitive=true</x:v>
      </x:c>
      <x:c r="L121" s="20" t="str">
        <x:v>application/json (cached)</x:v>
      </x:c>
    </x:row>
    <x:row r="122" ht="26" customHeight="1">
      <x:c r="A122" s="40" t="str">
        <x:v>FT-Q-V01-118</x:v>
      </x:c>
      <x:c r="B122" s="31" t="str">
        <x:v>psychological distress</x:v>
      </x:c>
      <x:c r="C122" s="31" t="str">
        <x:v>SUCCEEDED</x:v>
      </x:c>
      <x:c r="D122" s="25" t="n">
        <x:v>0</x:v>
      </x:c>
      <x:c r="E122" s="25" t="n">
        <x:v>181</x:v>
      </x:c>
      <x:c r="F122" s="19" t="str">
        <x:v>psychological distress (All)</x:v>
      </x:c>
      <x:c r="G122" s="31" t="str">
        <x:v>data/fear-temperature/ngram/raw/36dab6d94430baaff9d42a62e3c2af4716d35c6323cbc1f9c41cbd36969e7647.json</x:v>
      </x:c>
      <x:c r="H122" s="19" t="str">
        <x:v>12a3ab979e0d1a4235f6ff4bb5fda2da51208d378281955e44b8bb57d3cf99e6</x:v>
      </x:c>
      <x:c r="I122" s="31" t="str"/>
      <x:c r="J122" s="19" t="n">
        <x:v>46260.10810185185</x:v>
      </x:c>
      <x:c r="K122" s="31" t="str">
        <x:v>https://books.google.com/ngrams/json?content=psychological+distress&amp;year_start=1842&amp;year_end=2022&amp;corpus=eng&amp;smoothing=0&amp;case_insensitive=true</x:v>
      </x:c>
      <x:c r="L122" s="20" t="str">
        <x:v>application/json (cached)</x:v>
      </x:c>
    </x:row>
    <x:row r="123" ht="26" customHeight="1">
      <x:c r="A123" s="40" t="str">
        <x:v>FT-Q-V01-119</x:v>
      </x:c>
      <x:c r="B123" s="31" t="str">
        <x:v>distress</x:v>
      </x:c>
      <x:c r="C123" s="31" t="str">
        <x:v>SUCCEEDED</x:v>
      </x:c>
      <x:c r="D123" s="25" t="n">
        <x:v>0</x:v>
      </x:c>
      <x:c r="E123" s="25" t="n">
        <x:v>181</x:v>
      </x:c>
      <x:c r="F123" s="19" t="str">
        <x:v>distress (All)</x:v>
      </x:c>
      <x:c r="G123" s="31" t="str">
        <x:v>data/fear-temperature/ngram/raw/69a25d3b4abb2591bf0e8cc23730cd85d5e6133b29f60ddf50c84a4afc8a5d9a.json</x:v>
      </x:c>
      <x:c r="H123" s="19" t="str">
        <x:v>f05d358ad9a129a9d964930bfee0941fa34aaaa056d9215a25cb4d2372c95d01</x:v>
      </x:c>
      <x:c r="I123" s="31" t="str"/>
      <x:c r="J123" s="19" t="n">
        <x:v>46260.10811342593</x:v>
      </x:c>
      <x:c r="K123" s="31" t="str">
        <x:v>https://books.google.com/ngrams/json?content=distress&amp;year_start=1842&amp;year_end=2022&amp;corpus=eng&amp;smoothing=0&amp;case_insensitive=true</x:v>
      </x:c>
      <x:c r="L123" s="20" t="str">
        <x:v>application/json (cached)</x:v>
      </x:c>
    </x:row>
    <x:row r="124" ht="26" customHeight="1">
      <x:c r="A124" s="40" t="str">
        <x:v>FT-Q-V01-120</x:v>
      </x:c>
      <x:c r="B124" s="31" t="str">
        <x:v>powerlessness</x:v>
      </x:c>
      <x:c r="C124" s="31" t="str">
        <x:v>SUCCEEDED</x:v>
      </x:c>
      <x:c r="D124" s="25" t="n">
        <x:v>0</x:v>
      </x:c>
      <x:c r="E124" s="25" t="n">
        <x:v>181</x:v>
      </x:c>
      <x:c r="F124" s="19" t="str">
        <x:v>powerlessness (All)</x:v>
      </x:c>
      <x:c r="G124" s="31" t="str">
        <x:v>data/fear-temperature/ngram/raw/3cf4985d3f59ca9bec554eac71523373ea46987c9f956c1e518194c8ba5701b4.json</x:v>
      </x:c>
      <x:c r="H124" s="19" t="str">
        <x:v>deb1e89de6282e8d96786b75226f8ccca53555e1f70f743d6021c137c7cd0512</x:v>
      </x:c>
      <x:c r="I124" s="31" t="str"/>
      <x:c r="J124" s="19" t="n">
        <x:v>46260.10811342593</x:v>
      </x:c>
      <x:c r="K124" s="31" t="str">
        <x:v>https://books.google.com/ngrams/json?content=powerlessness&amp;year_start=1842&amp;year_end=2022&amp;corpus=eng&amp;smoothing=0&amp;case_insensitive=true</x:v>
      </x:c>
      <x:c r="L124" s="20" t="str">
        <x:v>application/json (cached)</x:v>
      </x:c>
    </x:row>
    <x:row r="125" ht="26" customHeight="1">
      <x:c r="A125" s="40" t="str">
        <x:v>FT-Q-V01-121</x:v>
      </x:c>
      <x:c r="B125" s="31" t="str">
        <x:v>climatic change</x:v>
      </x:c>
      <x:c r="C125" s="31" t="str">
        <x:v>SUCCEEDED</x:v>
      </x:c>
      <x:c r="D125" s="25" t="n">
        <x:v>0</x:v>
      </x:c>
      <x:c r="E125" s="25" t="n">
        <x:v>181</x:v>
      </x:c>
      <x:c r="F125" s="19" t="str">
        <x:v>climatic change (All)</x:v>
      </x:c>
      <x:c r="G125" s="31" t="str">
        <x:v>data/fear-temperature/ngram/raw/0a04941be5651b2bc9de7c1d97a1ec296ca7d83fbf14cbae1d4cb6dce5e31d80.json</x:v>
      </x:c>
      <x:c r="H125" s="19" t="str">
        <x:v>d7902abbc080f4d2003d5f1a590f735baa3506f990d5c6b1c2d156f0cbd926e2</x:v>
      </x:c>
      <x:c r="I125" s="31" t="str"/>
      <x:c r="J125" s="19" t="n">
        <x:v>46260.108125</x:v>
      </x:c>
      <x:c r="K125" s="31" t="str">
        <x:v>https://books.google.com/ngrams/json?content=climatic+change&amp;year_start=1842&amp;year_end=2022&amp;corpus=eng&amp;smoothing=0&amp;case_insensitive=true</x:v>
      </x:c>
      <x:c r="L125" s="20" t="str">
        <x:v>application/json (cached)</x:v>
      </x:c>
    </x:row>
    <x:row r="126" ht="26" customHeight="1">
      <x:c r="A126" s="40" t="str">
        <x:v>FT-Q-V01-122</x:v>
      </x:c>
      <x:c r="B126" s="31" t="str">
        <x:v>climate system</x:v>
      </x:c>
      <x:c r="C126" s="31" t="str">
        <x:v>SUCCEEDED</x:v>
      </x:c>
      <x:c r="D126" s="25" t="n">
        <x:v>0</x:v>
      </x:c>
      <x:c r="E126" s="25" t="n">
        <x:v>181</x:v>
      </x:c>
      <x:c r="F126" s="19" t="str">
        <x:v>climate system (All)</x:v>
      </x:c>
      <x:c r="G126" s="31" t="str">
        <x:v>data/fear-temperature/ngram/raw/44123082f140b34693c19e6c204f15f36cbfab06a2fb516dea8b50cb69f5544f.json</x:v>
      </x:c>
      <x:c r="H126" s="19" t="str">
        <x:v>f05a5e3324ef7e65b80d502af737cc0cf691fd70170359c91a05aa14d593d8a4</x:v>
      </x:c>
      <x:c r="I126" s="31" t="str"/>
      <x:c r="J126" s="19" t="n">
        <x:v>46260.108136574076</x:v>
      </x:c>
      <x:c r="K126" s="31" t="str">
        <x:v>https://books.google.com/ngrams/json?content=climate+system&amp;year_start=1842&amp;year_end=2022&amp;corpus=eng&amp;smoothing=0&amp;case_insensitive=true</x:v>
      </x:c>
      <x:c r="L126" s="20" t="str">
        <x:v>application/json (cached)</x:v>
      </x:c>
    </x:row>
    <x:row r="127" ht="26" customHeight="1">
      <x:c r="A127" s="40" t="str">
        <x:v>FT-Q-V01-123</x:v>
      </x:c>
      <x:c r="B127" s="31" t="str">
        <x:v>climate crisis</x:v>
      </x:c>
      <x:c r="C127" s="31" t="str">
        <x:v>SUCCEEDED</x:v>
      </x:c>
      <x:c r="D127" s="25" t="n">
        <x:v>0</x:v>
      </x:c>
      <x:c r="E127" s="25" t="n">
        <x:v>181</x:v>
      </x:c>
      <x:c r="F127" s="19" t="str">
        <x:v>climate crisis (All)</x:v>
      </x:c>
      <x:c r="G127" s="31" t="str">
        <x:v>data/fear-temperature/ngram/raw/23354bc43bed6570702eab740469c8b00c388007e8cf69ff8fd38735d57ed065.json</x:v>
      </x:c>
      <x:c r="H127" s="19" t="str">
        <x:v>6482a18b04148e0058b499b2ea480b7ceb14738d3dc486f8f5f6821bd85f433e</x:v>
      </x:c>
      <x:c r="I127" s="31" t="str"/>
      <x:c r="J127" s="19" t="n">
        <x:v>46260.108148148145</x:v>
      </x:c>
      <x:c r="K127" s="31" t="str">
        <x:v>https://books.google.com/ngrams/json?content=climate+crisis&amp;year_start=1842&amp;year_end=2022&amp;corpus=eng&amp;smoothing=0&amp;case_insensitive=true</x:v>
      </x:c>
      <x:c r="L127" s="20" t="str">
        <x:v>application/json (cached)</x:v>
      </x:c>
    </x:row>
    <x:row r="128" ht="26" customHeight="1">
      <x:c r="A128" s="40" t="str">
        <x:v>FT-Q-V01-124</x:v>
      </x:c>
      <x:c r="B128" s="31" t="str">
        <x:v>climate emergency</x:v>
      </x:c>
      <x:c r="C128" s="31" t="str">
        <x:v>SUCCEEDED</x:v>
      </x:c>
      <x:c r="D128" s="25" t="n">
        <x:v>0</x:v>
      </x:c>
      <x:c r="E128" s="25" t="n">
        <x:v>181</x:v>
      </x:c>
      <x:c r="F128" s="19" t="str">
        <x:v>climate emergency (All)</x:v>
      </x:c>
      <x:c r="G128" s="31" t="str">
        <x:v>data/fear-temperature/ngram/raw/3237c9c334be43668f3ba7cf3a2aa06f34c5080255b6e1461b714d92a123b591.json</x:v>
      </x:c>
      <x:c r="H128" s="19" t="str">
        <x:v>7c2eeb3c644ac32eb5a37cb902c6614c6b5fff18114c5a78c55e650cae9c6555</x:v>
      </x:c>
      <x:c r="I128" s="31" t="str"/>
      <x:c r="J128" s="19" t="n">
        <x:v>46260.108148148145</x:v>
      </x:c>
      <x:c r="K128" s="31" t="str">
        <x:v>https://books.google.com/ngrams/json?content=climate+emergency&amp;year_start=1842&amp;year_end=2022&amp;corpus=eng&amp;smoothing=0&amp;case_insensitive=true</x:v>
      </x:c>
      <x:c r="L128" s="20" t="str">
        <x:v>application/json (cached)</x:v>
      </x:c>
    </x:row>
    <x:row r="129" ht="26" customHeight="1">
      <x:c r="A129" s="40" t="str">
        <x:v>FT-Q-V01-125</x:v>
      </x:c>
      <x:c r="B129" s="31" t="str">
        <x:v>heat</x:v>
      </x:c>
      <x:c r="C129" s="31" t="str">
        <x:v>SUCCEEDED</x:v>
      </x:c>
      <x:c r="D129" s="25" t="n">
        <x:v>0</x:v>
      </x:c>
      <x:c r="E129" s="25" t="n">
        <x:v>181</x:v>
      </x:c>
      <x:c r="F129" s="19" t="str">
        <x:v>heat (All)</x:v>
      </x:c>
      <x:c r="G129" s="31" t="str">
        <x:v>data/fear-temperature/ngram/raw/c4a2fddf7c4162769bbd0a82f12e004a6ee58ba1f0ff17f2b453dcf677494b07.json</x:v>
      </x:c>
      <x:c r="H129" s="19" t="str">
        <x:v>bbae9861c8d54e6c725641b44c46d68a518371c40032563a1e52f08023071d17</x:v>
      </x:c>
      <x:c r="I129" s="31" t="str"/>
      <x:c r="J129" s="19" t="n">
        <x:v>46260.10815972222</x:v>
      </x:c>
      <x:c r="K129" s="31" t="str">
        <x:v>https://books.google.com/ngrams/json?content=heat&amp;year_start=1842&amp;year_end=2022&amp;corpus=eng&amp;smoothing=0&amp;case_insensitive=true</x:v>
      </x:c>
      <x:c r="L129" s="20" t="str">
        <x:v>application/json (cached)</x:v>
      </x:c>
    </x:row>
    <x:row r="130" ht="26" customHeight="1">
      <x:c r="A130" s="40" t="str">
        <x:v>FT-Q-V01-126</x:v>
      </x:c>
      <x:c r="B130" s="31" t="str">
        <x:v>extreme heat</x:v>
      </x:c>
      <x:c r="C130" s="31" t="str">
        <x:v>SUCCEEDED</x:v>
      </x:c>
      <x:c r="D130" s="25" t="n">
        <x:v>0</x:v>
      </x:c>
      <x:c r="E130" s="25" t="n">
        <x:v>181</x:v>
      </x:c>
      <x:c r="F130" s="19" t="str">
        <x:v>extreme heat (All)</x:v>
      </x:c>
      <x:c r="G130" s="31" t="str">
        <x:v>data/fear-temperature/ngram/raw/f78acfa1d100e2ca03e0287a6e355eeb4633059fd59d841bf6e3f477f083c054.json</x:v>
      </x:c>
      <x:c r="H130" s="19" t="str">
        <x:v>7dd3950bffce17c14d781cfcb69963ee14d12337f5acf8ab8706bd558107c6e3</x:v>
      </x:c>
      <x:c r="I130" s="31" t="str"/>
      <x:c r="J130" s="19" t="n">
        <x:v>46260.1081712963</x:v>
      </x:c>
      <x:c r="K130" s="31" t="str">
        <x:v>https://books.google.com/ngrams/json?content=extreme+heat&amp;year_start=1842&amp;year_end=2022&amp;corpus=eng&amp;smoothing=0&amp;case_insensitive=true</x:v>
      </x:c>
      <x:c r="L130" s="20" t="str">
        <x:v>application/json (cached)</x:v>
      </x:c>
    </x:row>
    <x:row r="131" ht="26" customHeight="1">
      <x:c r="A131" s="40" t="str">
        <x:v>FT-Q-V01-127</x:v>
      </x:c>
      <x:c r="B131" s="31" t="str">
        <x:v>fear</x:v>
      </x:c>
      <x:c r="C131" s="31" t="str">
        <x:v>SUCCEEDED</x:v>
      </x:c>
      <x:c r="D131" s="25" t="n">
        <x:v>0</x:v>
      </x:c>
      <x:c r="E131" s="25" t="n">
        <x:v>181</x:v>
      </x:c>
      <x:c r="F131" s="19" t="str">
        <x:v>fear (All)</x:v>
      </x:c>
      <x:c r="G131" s="31" t="str">
        <x:v>data/fear-temperature/ngram/raw/9a82a1e3ac136df19ab9c86fccf9b11d26bd9aa0af615506d9063f8b7db4b821.json</x:v>
      </x:c>
      <x:c r="H131" s="19" t="str">
        <x:v>939e4006e0b2f39121a9e87f232305c7e7c3df2ae1f1f74acd4eac2d5eda483b</x:v>
      </x:c>
      <x:c r="I131" s="31" t="str"/>
      <x:c r="J131" s="19" t="n">
        <x:v>46260.1081712963</x:v>
      </x:c>
      <x:c r="K131" s="31" t="str">
        <x:v>https://books.google.com/ngrams/json?content=fear&amp;year_start=1842&amp;year_end=2022&amp;corpus=eng&amp;smoothing=0&amp;case_insensitive=true</x:v>
      </x:c>
      <x:c r="L131" s="20" t="str">
        <x:v>application/json (cached)</x:v>
      </x:c>
    </x:row>
    <x:row r="132" ht="26" customHeight="1">
      <x:c r="A132" s="40" t="str">
        <x:v>FT-Q-V01-128</x:v>
      </x:c>
      <x:c r="B132" s="31" t="str">
        <x:v>worry</x:v>
      </x:c>
      <x:c r="C132" s="31" t="str">
        <x:v>SUCCEEDED</x:v>
      </x:c>
      <x:c r="D132" s="25" t="n">
        <x:v>0</x:v>
      </x:c>
      <x:c r="E132" s="25" t="n">
        <x:v>181</x:v>
      </x:c>
      <x:c r="F132" s="19" t="str">
        <x:v>worry (All)</x:v>
      </x:c>
      <x:c r="G132" s="31" t="str">
        <x:v>data/fear-temperature/ngram/raw/a637a16642bc8126e12038a79352c7309b624c759631dc6fb805a314dd5f39ce.json</x:v>
      </x:c>
      <x:c r="H132" s="19" t="str">
        <x:v>e8e9eb06e8b2781b870574383589fe60889c166d75f085b10920885aaf3603de</x:v>
      </x:c>
      <x:c r="I132" s="31" t="str"/>
      <x:c r="J132" s="19" t="n">
        <x:v>46260.10818287037</x:v>
      </x:c>
      <x:c r="K132" s="31" t="str">
        <x:v>https://books.google.com/ngrams/json?content=worry&amp;year_start=1842&amp;year_end=2022&amp;corpus=eng&amp;smoothing=0&amp;case_insensitive=true</x:v>
      </x:c>
      <x:c r="L132" s="20" t="str">
        <x:v>application/json (cached)</x:v>
      </x:c>
    </x:row>
    <x:row r="133" ht="26" customHeight="1">
      <x:c r="A133" s="40" t="str">
        <x:v>FT-Q-V01-129</x:v>
      </x:c>
      <x:c r="B133" s="31" t="str">
        <x:v>worried</x:v>
      </x:c>
      <x:c r="C133" s="31" t="str">
        <x:v>SUCCEEDED</x:v>
      </x:c>
      <x:c r="D133" s="25" t="n">
        <x:v>0</x:v>
      </x:c>
      <x:c r="E133" s="25" t="n">
        <x:v>181</x:v>
      </x:c>
      <x:c r="F133" s="19" t="str">
        <x:v>worried (All)</x:v>
      </x:c>
      <x:c r="G133" s="31" t="str">
        <x:v>data/fear-temperature/ngram/raw/663a933fc48043f250f90a98b66b006334ad658684ce96825d57307b8d52b76d.json</x:v>
      </x:c>
      <x:c r="H133" s="19" t="str">
        <x:v>4eb0b82ba6fa0a3cf1243842ca78ee01374ee5df5052ad6c2de9971bfec56251</x:v>
      </x:c>
      <x:c r="I133" s="31" t="str"/>
      <x:c r="J133" s="19" t="n">
        <x:v>46260.10828703704</x:v>
      </x:c>
      <x:c r="K133" s="31" t="str">
        <x:v>https://books.google.com/ngrams/json?content=worried&amp;year_start=1842&amp;year_end=2022&amp;corpus=eng&amp;smoothing=0&amp;case_insensitive=true</x:v>
      </x:c>
      <x:c r="L133" s="20" t="str">
        <x:v>application/json (cached)</x:v>
      </x:c>
    </x:row>
    <x:row r="134" ht="26" customHeight="1">
      <x:c r="A134" s="40" t="str">
        <x:v>FT-Q-V01-130</x:v>
      </x:c>
      <x:c r="B134" s="31" t="str">
        <x:v>concern</x:v>
      </x:c>
      <x:c r="C134" s="31" t="str">
        <x:v>SUCCEEDED</x:v>
      </x:c>
      <x:c r="D134" s="25" t="n">
        <x:v>0</x:v>
      </x:c>
      <x:c r="E134" s="25" t="n">
        <x:v>181</x:v>
      </x:c>
      <x:c r="F134" s="19" t="str">
        <x:v>concern (All)</x:v>
      </x:c>
      <x:c r="G134" s="31" t="str">
        <x:v>data/fear-temperature/ngram/raw/4643a1a18409e446a85be4d799f0377db1c82b28463617e3e93dfc9e103700e6.json</x:v>
      </x:c>
      <x:c r="H134" s="19" t="str">
        <x:v>86759331e2f1559211c82990d4bb396d4c809519fe0ab47d1a733aa373b986f6</x:v>
      </x:c>
      <x:c r="I134" s="31" t="str"/>
      <x:c r="J134" s="19" t="n">
        <x:v>46260.108298611114</x:v>
      </x:c>
      <x:c r="K134" s="31" t="str">
        <x:v>https://books.google.com/ngrams/json?content=concern&amp;year_start=1842&amp;year_end=2022&amp;corpus=eng&amp;smoothing=0&amp;case_insensitive=true</x:v>
      </x:c>
      <x:c r="L134" s="20" t="str">
        <x:v>application/json (cached)</x:v>
      </x:c>
    </x:row>
    <x:row r="135" ht="26" customHeight="1">
      <x:c r="A135" s="40" t="str">
        <x:v>FT-Q-V01-131</x:v>
      </x:c>
      <x:c r="B135" s="31" t="str">
        <x:v>anxiety</x:v>
      </x:c>
      <x:c r="C135" s="31" t="str">
        <x:v>SUCCEEDED</x:v>
      </x:c>
      <x:c r="D135" s="25" t="n">
        <x:v>0</x:v>
      </x:c>
      <x:c r="E135" s="25" t="n">
        <x:v>181</x:v>
      </x:c>
      <x:c r="F135" s="19" t="str">
        <x:v>anxiety (All)</x:v>
      </x:c>
      <x:c r="G135" s="31" t="str">
        <x:v>data/fear-temperature/ngram/raw/b9681b24d3f5a1319cae6436236bc0f5b64d75ea848bbbe2dbfc5b26c0042582.json</x:v>
      </x:c>
      <x:c r="H135" s="19" t="str">
        <x:v>9cb6b1d35dff3151fa282cfee0f1c44107cc306f301075e9570f15b27cfc5005</x:v>
      </x:c>
      <x:c r="I135" s="31" t="str"/>
      <x:c r="J135" s="19" t="n">
        <x:v>46260.108298611114</x:v>
      </x:c>
      <x:c r="K135" s="31" t="str">
        <x:v>https://books.google.com/ngrams/json?content=anxiety&amp;year_start=1842&amp;year_end=2022&amp;corpus=eng&amp;smoothing=0&amp;case_insensitive=true</x:v>
      </x:c>
      <x:c r="L135" s="20" t="str">
        <x:v>application/json (cached)</x:v>
      </x:c>
    </x:row>
    <x:row r="136" ht="26" customHeight="1">
      <x:c r="A136" s="40" t="str">
        <x:v>FT-Q-V01-132</x:v>
      </x:c>
      <x:c r="B136" s="31" t="str">
        <x:v>danger</x:v>
      </x:c>
      <x:c r="C136" s="31" t="str">
        <x:v>SUCCEEDED</x:v>
      </x:c>
      <x:c r="D136" s="25" t="n">
        <x:v>0</x:v>
      </x:c>
      <x:c r="E136" s="25" t="n">
        <x:v>181</x:v>
      </x:c>
      <x:c r="F136" s="19" t="str">
        <x:v>danger (All)</x:v>
      </x:c>
      <x:c r="G136" s="31" t="str">
        <x:v>data/fear-temperature/ngram/raw/d1a6b726471d63c6003c4338e335ea4b6d0c7bf5b03bfb510d338867d19b8d4d.json</x:v>
      </x:c>
      <x:c r="H136" s="19" t="str">
        <x:v>2798643f29a502d3ac9f4d9ee18afc1c63a61d3462775d430bd667cbd935deb8</x:v>
      </x:c>
      <x:c r="I136" s="31" t="str"/>
      <x:c r="J136" s="19" t="n">
        <x:v>46260.108310185184</x:v>
      </x:c>
      <x:c r="K136" s="31" t="str">
        <x:v>https://books.google.com/ngrams/json?content=danger&amp;year_start=1842&amp;year_end=2022&amp;corpus=eng&amp;smoothing=0&amp;case_insensitive=true</x:v>
      </x:c>
      <x:c r="L136" s="20" t="str">
        <x:v>application/json (cached)</x:v>
      </x:c>
    </x:row>
    <x:row r="137" ht="26" customHeight="1">
      <x:c r="A137" s="40" t="str">
        <x:v>FT-Q-V01-133</x:v>
      </x:c>
      <x:c r="B137" s="31" t="str">
        <x:v>threat</x:v>
      </x:c>
      <x:c r="C137" s="31" t="str">
        <x:v>SUCCEEDED</x:v>
      </x:c>
      <x:c r="D137" s="25" t="n">
        <x:v>0</x:v>
      </x:c>
      <x:c r="E137" s="25" t="n">
        <x:v>181</x:v>
      </x:c>
      <x:c r="F137" s="19" t="str">
        <x:v>threat (All)</x:v>
      </x:c>
      <x:c r="G137" s="31" t="str">
        <x:v>data/fear-temperature/ngram/raw/66e5485b36228b44bc5b3b9a522cc35739a50a73b1b41bb1439c84b0c452c1bb.json</x:v>
      </x:c>
      <x:c r="H137" s="19" t="str">
        <x:v>d4e9a09fe712913bb38c9f904d163f0a87c3210a5f00e39de622e3a963854923</x:v>
      </x:c>
      <x:c r="I137" s="31" t="str"/>
      <x:c r="J137" s="19" t="n">
        <x:v>46260.10832175926</x:v>
      </x:c>
      <x:c r="K137" s="31" t="str">
        <x:v>https://books.google.com/ngrams/json?content=threat&amp;year_start=1842&amp;year_end=2022&amp;corpus=eng&amp;smoothing=0&amp;case_insensitive=true</x:v>
      </x:c>
      <x:c r="L137" s="20" t="str">
        <x:v>application/json (cached)</x:v>
      </x:c>
    </x:row>
    <x:row r="138" ht="26" customHeight="1">
      <x:c r="A138" s="40" t="str">
        <x:v>FT-Q-V01-134</x:v>
      </x:c>
      <x:c r="B138" s="31" t="str">
        <x:v>risk</x:v>
      </x:c>
      <x:c r="C138" s="31" t="str">
        <x:v>SUCCEEDED</x:v>
      </x:c>
      <x:c r="D138" s="25" t="n">
        <x:v>0</x:v>
      </x:c>
      <x:c r="E138" s="25" t="n">
        <x:v>181</x:v>
      </x:c>
      <x:c r="F138" s="19" t="str">
        <x:v>risk (All)</x:v>
      </x:c>
      <x:c r="G138" s="31" t="str">
        <x:v>data/fear-temperature/ngram/raw/a81a666e861de5f55d081039af6b25250d329cbe655211e018749975fe62522d.json</x:v>
      </x:c>
      <x:c r="H138" s="19" t="str">
        <x:v>168c859c89970fd061e22f7559c0116c0e7d9fc506abe53de55011c8f38e484c</x:v>
      </x:c>
      <x:c r="I138" s="31" t="str"/>
      <x:c r="J138" s="19" t="n">
        <x:v>46260.10833333333</x:v>
      </x:c>
      <x:c r="K138" s="31" t="str">
        <x:v>https://books.google.com/ngrams/json?content=risk&amp;year_start=1842&amp;year_end=2022&amp;corpus=eng&amp;smoothing=0&amp;case_insensitive=true</x:v>
      </x:c>
      <x:c r="L138" s="20" t="str">
        <x:v>application/json (cached)</x:v>
      </x:c>
    </x:row>
    <x:row r="139" ht="26" customHeight="1">
      <x:c r="A139" s="40" t="str">
        <x:v>FT-Q-V01-135</x:v>
      </x:c>
      <x:c r="B139" s="31" t="str">
        <x:v>crisis</x:v>
      </x:c>
      <x:c r="C139" s="31" t="str">
        <x:v>SUCCEEDED</x:v>
      </x:c>
      <x:c r="D139" s="25" t="n">
        <x:v>0</x:v>
      </x:c>
      <x:c r="E139" s="25" t="n">
        <x:v>181</x:v>
      </x:c>
      <x:c r="F139" s="19" t="str">
        <x:v>crisis (All)</x:v>
      </x:c>
      <x:c r="G139" s="31" t="str">
        <x:v>data/fear-temperature/ngram/raw/51f107a3bb3ac7010decceb94d2ae2bf077c7cdba099bdf39d277bd64b1a1a9e.json</x:v>
      </x:c>
      <x:c r="H139" s="19" t="str">
        <x:v>eef50ec5ab4384c575d09c91f3c82ab9369fb467df37b33e738f7fd377e8e1cd</x:v>
      </x:c>
      <x:c r="I139" s="31" t="str"/>
      <x:c r="J139" s="19" t="n">
        <x:v>46260.10833333333</x:v>
      </x:c>
      <x:c r="K139" s="31" t="str">
        <x:v>https://books.google.com/ngrams/json?content=crisis&amp;year_start=1842&amp;year_end=2022&amp;corpus=eng&amp;smoothing=0&amp;case_insensitive=true</x:v>
      </x:c>
      <x:c r="L139" s="20" t="str">
        <x:v>application/json (cached)</x:v>
      </x:c>
    </x:row>
    <x:row r="140" ht="26" customHeight="1">
      <x:c r="A140" s="40" t="str">
        <x:v>FT-Q-V01-136</x:v>
      </x:c>
      <x:c r="B140" s="31" t="str">
        <x:v>emergency</x:v>
      </x:c>
      <x:c r="C140" s="31" t="str">
        <x:v>SUCCEEDED</x:v>
      </x:c>
      <x:c r="D140" s="25" t="n">
        <x:v>0</x:v>
      </x:c>
      <x:c r="E140" s="25" t="n">
        <x:v>181</x:v>
      </x:c>
      <x:c r="F140" s="19" t="str">
        <x:v>emergency (All)</x:v>
      </x:c>
      <x:c r="G140" s="31" t="str">
        <x:v>data/fear-temperature/ngram/raw/c5162a664882434d77d4c5d3bffd7a896165ae13d26ba78263febba6d337d60e.json</x:v>
      </x:c>
      <x:c r="H140" s="19" t="str">
        <x:v>968f2fe32e398ed2870e5565b7c3721b7cd995b428e55bf57a0c4c7d82449020</x:v>
      </x:c>
      <x:c r="I140" s="31" t="str"/>
      <x:c r="J140" s="19" t="n">
        <x:v>46260.10834490741</x:v>
      </x:c>
      <x:c r="K140" s="31" t="str">
        <x:v>https://books.google.com/ngrams/json?content=emergency&amp;year_start=1842&amp;year_end=2022&amp;corpus=eng&amp;smoothing=0&amp;case_insensitive=true</x:v>
      </x:c>
      <x:c r="L140" s="20" t="str">
        <x:v>application/json (cached)</x:v>
      </x:c>
    </x:row>
    <x:row r="141" ht="26" customHeight="1">
      <x:c r="A141" s="40" t="str">
        <x:v>FT-Q-V01-137</x:v>
      </x:c>
      <x:c r="B141" s="31" t="str">
        <x:v>mortality</x:v>
      </x:c>
      <x:c r="C141" s="31" t="str">
        <x:v>SUCCEEDED</x:v>
      </x:c>
      <x:c r="D141" s="25" t="n">
        <x:v>0</x:v>
      </x:c>
      <x:c r="E141" s="25" t="n">
        <x:v>181</x:v>
      </x:c>
      <x:c r="F141" s="19" t="str">
        <x:v>mortality (All)</x:v>
      </x:c>
      <x:c r="G141" s="31" t="str">
        <x:v>data/fear-temperature/ngram/raw/8e9bd7f9f8db93306a8194efc16e753c9591ba2cf84f600e436012188897e8db.json</x:v>
      </x:c>
      <x:c r="H141" s="19" t="str">
        <x:v>ccda095640e21dcd5c4c9df8006327a78909f3c8c290489ecac073a6876582f9</x:v>
      </x:c>
      <x:c r="I141" s="31" t="str"/>
      <x:c r="J141" s="19" t="n">
        <x:v>46260.10835648148</x:v>
      </x:c>
      <x:c r="K141" s="31" t="str">
        <x:v>https://books.google.com/ngrams/json?content=mortality&amp;year_start=1842&amp;year_end=2022&amp;corpus=eng&amp;smoothing=0&amp;case_insensitive=true</x:v>
      </x:c>
      <x:c r="L141" s="20" t="str">
        <x:v>application/json (cached)</x:v>
      </x:c>
    </x:row>
    <x:row r="142" ht="26" customHeight="1">
      <x:c r="A142" s="40" t="str">
        <x:v>FT-Q-V01-138</x:v>
      </x:c>
      <x:c r="B142" s="31" t="str">
        <x:v>heat of the irons</x:v>
      </x:c>
      <x:c r="C142" s="31" t="str">
        <x:v>SUCCEEDED</x:v>
      </x:c>
      <x:c r="D142" s="25" t="n">
        <x:v>0</x:v>
      </x:c>
      <x:c r="E142" s="25" t="n">
        <x:v>181</x:v>
      </x:c>
      <x:c r="F142" s="19" t="str">
        <x:v>heat of the irons</x:v>
      </x:c>
      <x:c r="G142" s="31" t="str">
        <x:v>data/fear-temperature/ngram/raw/6e0dd6ba68158e1e452d6bca05216b6ea57e3abfb75c80405a05fbd06153ad7a.json</x:v>
      </x:c>
      <x:c r="H142" s="19" t="str">
        <x:v>e70f9af32f32152fad7f01517ef4f74bdf5469052a7d7518898e532344180515</x:v>
      </x:c>
      <x:c r="I142" s="31" t="str"/>
      <x:c r="J142" s="19" t="n">
        <x:v>46260.10836805555</x:v>
      </x:c>
      <x:c r="K142" s="31" t="str">
        <x:v>https://books.google.com/ngrams/json?content=heat+of+the+irons&amp;year_start=1842&amp;year_end=2022&amp;corpus=eng&amp;smoothing=0&amp;case_insensitive=true</x:v>
      </x:c>
      <x:c r="L142" s="20" t="str">
        <x:v>application/json (cached)</x:v>
      </x:c>
    </x:row>
    <x:row r="143" ht="26" customHeight="1">
      <x:c r="A143" s="40" t="str">
        <x:v>FT-Q-V01-139</x:v>
      </x:c>
      <x:c r="B143" s="31" t="str">
        <x:v>heat wave</x:v>
      </x:c>
      <x:c r="C143" s="31" t="str">
        <x:v>SUCCEEDED</x:v>
      </x:c>
      <x:c r="D143" s="25" t="n">
        <x:v>0</x:v>
      </x:c>
      <x:c r="E143" s="25" t="n">
        <x:v>181</x:v>
      </x:c>
      <x:c r="F143" s="19" t="str">
        <x:v>heat wave (All)</x:v>
      </x:c>
      <x:c r="G143" s="31" t="str">
        <x:v>data/fear-temperature/ngram/raw/306e212ec9cdb980f5e1f91f3e6734e7998c99820aa93fd4a8109533d1676f5a.json</x:v>
      </x:c>
      <x:c r="H143" s="19" t="str">
        <x:v>2200e466cdeea1c919a9efd658599043ca1621d3175da78ab13e6b29984795b5</x:v>
      </x:c>
      <x:c r="I143" s="31" t="str"/>
      <x:c r="J143" s="19" t="n">
        <x:v>46260.10731481481</x:v>
      </x:c>
      <x:c r="K143" s="31" t="str">
        <x:v>https://books.google.com/ngrams/json?content=heat+wave&amp;year_start=1842&amp;year_end=2022&amp;corpus=eng&amp;smoothing=0&amp;case_insensitive=true</x:v>
      </x:c>
      <x:c r="L143" s="20" t="str">
        <x:v>application/json (cached)</x:v>
      </x:c>
    </x:row>
    <x:row r="144" ht="26" customHeight="1">
      <x:c r="A144" s="40" t="str">
        <x:v>FT-Q-V01-140</x:v>
      </x:c>
      <x:c r="B144" s="31" t="str">
        <x:v>grave threats</x:v>
      </x:c>
      <x:c r="C144" s="31" t="str">
        <x:v>SUCCEEDED</x:v>
      </x:c>
      <x:c r="D144" s="25" t="n">
        <x:v>0</x:v>
      </x:c>
      <x:c r="E144" s="25" t="n">
        <x:v>181</x:v>
      </x:c>
      <x:c r="F144" s="19" t="str">
        <x:v>grave threats (All)</x:v>
      </x:c>
      <x:c r="G144" s="31" t="str">
        <x:v>data/fear-temperature/ngram/raw/199a2de4dde46b1f28e8d82214a736fd2943900d1124288ca73d431bc50f76b4.json</x:v>
      </x:c>
      <x:c r="H144" s="19" t="str">
        <x:v>8d4655588a182f997bbb8205967ddb29f2cbdeef3114c2c0b348af4282c5198a</x:v>
      </x:c>
      <x:c r="I144" s="31" t="str"/>
      <x:c r="J144" s="19" t="n">
        <x:v>46260.10837962963</x:v>
      </x:c>
      <x:c r="K144" s="31" t="str">
        <x:v>https://books.google.com/ngrams/json?content=grave+threats&amp;year_start=1842&amp;year_end=2022&amp;corpus=eng&amp;smoothing=0&amp;case_insensitive=true</x:v>
      </x:c>
      <x:c r="L144" s="20" t="str">
        <x:v>application/json (cached)</x:v>
      </x:c>
    </x:row>
    <x:row r="145" ht="26" customHeight="1">
      <x:c r="A145" s="40" t="str">
        <x:v>FT-Q-V01-141</x:v>
      </x:c>
      <x:c r="B145" s="31" t="str">
        <x:v>Be Worried. Be Very Worried.</x:v>
      </x:c>
      <x:c r="C145" s="31" t="str">
        <x:v>NOT_RUN_INCOMPATIBLE</x:v>
      </x:c>
      <x:c r="D145" s="25" t="n">
        <x:v>0</x:v>
      </x:c>
      <x:c r="E145" s="25" t="n">
        <x:v>0</x:v>
      </x:c>
      <x:c r="F145" s="19" t="str"/>
      <x:c r="G145" s="31" t="str"/>
      <x:c r="H145" s="19" t="str"/>
      <x:c r="I145" s="31" t="str">
        <x:v>Sentence-level punctuation makes this a corpus-context rule, not an Ngram phrase.</x:v>
      </x:c>
      <x:c r="J145" s="19" t="str"/>
      <x:c r="K145" s="31" t="str"/>
      <x:c r="L145" s="20" t="str"/>
    </x:row>
    <x:row r="146" ht="26" customHeight="1">
      <x:c r="A146" s="40" t="str">
        <x:v>FT-Q-V01-142</x:v>
      </x:c>
      <x:c r="B146" s="31" t="str">
        <x:v>comprehensive risk assessment and management</x:v>
      </x:c>
      <x:c r="C146" s="31" t="str">
        <x:v>SUCCEEDED</x:v>
      </x:c>
      <x:c r="D146" s="25" t="n">
        <x:v>0</x:v>
      </x:c>
      <x:c r="E146" s="25" t="n">
        <x:v>181</x:v>
      </x:c>
      <x:c r="F146" s="19" t="str">
        <x:v>comprehensive risk assessment and management (All)</x:v>
      </x:c>
      <x:c r="G146" s="31" t="str">
        <x:v>data/fear-temperature/ngram/raw/98133fcfa53e45c78d53cec796f58bcdaf049d4f7b7d689a9b32d8a79abe6afd.json</x:v>
      </x:c>
      <x:c r="H146" s="19" t="str">
        <x:v>148c6f17b3b5559f195af99bb9bc120439f5e7798335a76ec6e15b12c1b592a9</x:v>
      </x:c>
      <x:c r="I146" s="31" t="str"/>
      <x:c r="J146" s="19" t="n">
        <x:v>46260.10839120371</x:v>
      </x:c>
      <x:c r="K146" s="31" t="str">
        <x:v>https://books.google.com/ngrams/json?content=comprehensive+risk+assessment+and+management&amp;year_start=1842&amp;year_end=2022&amp;corpus=eng&amp;smoothing=0&amp;case_insensitive=true</x:v>
      </x:c>
      <x:c r="L146" s="20" t="str">
        <x:v>application/json (cached)</x:v>
      </x:c>
    </x:row>
    <x:row r="147" ht="26" customHeight="1">
      <x:c r="A147" s="41" t="str">
        <x:v>FT-Q-V01-143</x:v>
      </x:c>
      <x:c r="B147" s="32" t="str">
        <x:v>guilt</x:v>
      </x:c>
      <x:c r="C147" s="32" t="str">
        <x:v>SUCCEEDED</x:v>
      </x:c>
      <x:c r="D147" s="26" t="n">
        <x:v>0</x:v>
      </x:c>
      <x:c r="E147" s="26" t="n">
        <x:v>181</x:v>
      </x:c>
      <x:c r="F147" s="22" t="str">
        <x:v>guilt (All)</x:v>
      </x:c>
      <x:c r="G147" s="32" t="str">
        <x:v>data/fear-temperature/ngram/raw/5b4a6bef176c04f9daabd6c22aca47c6b2abebd8c7e08193bc29846a6873320a.json</x:v>
      </x:c>
      <x:c r="H147" s="22" t="str">
        <x:v>07717c3535ccb7abacd2ec31041b02f16bfe9f8f020853938c5ee04674893ff0</x:v>
      </x:c>
      <x:c r="I147" s="32" t="str"/>
      <x:c r="J147" s="22" t="n">
        <x:v>46260.10839120371</x:v>
      </x:c>
      <x:c r="K147" s="32" t="str">
        <x:v>https://books.google.com/ngrams/json?content=guilt&amp;year_start=1842&amp;year_end=2022&amp;corpus=eng&amp;smoothing=0&amp;case_insensitive=true</x:v>
      </x:c>
      <x:c r="L147" s="23" t="str">
        <x:v>application/json (cached)</x:v>
      </x:c>
    </x:row>
  </x:sheetData>
  <x:mergeCells>
    <x:mergeCell ref="A1:L1"/>
    <x:mergeCell ref="A2:L2"/>
  </x:mergeCells>
  <x:conditionalFormatting sqref="C5:C147">
    <x:cfRule type="containsText" dxfId="156" priority="1" operator="containsText" text="COMPLETE"/>
    <x:cfRule type="containsText" dxfId="157" priority="2" operator="containsText" text="TRACEABLE"/>
    <x:cfRule type="containsText" dxfId="158" priority="3" operator="containsText" text="ZERO"/>
    <x:cfRule type="containsText" dxfId="159" priority="4" operator="containsText" text="UNRESOLVED"/>
    <x:cfRule type="containsText" dxfId="160" priority="5" operator="containsText" text="NOT_"/>
    <x:cfRule type="containsText" dxfId="161" priority="6" operator="containsText" text="PARTIAL"/>
  </x:conditionalFormatting>
  <x:pageMargins left="0.7" right="0.7" top="0.75" bottom="0.75" header="0.3" footer="0.3"/>
  <x:tableParts count="1">
    <x:tablePart xmlns:r="http://schemas.openxmlformats.org/officeDocument/2006/relationships" r:id="R6cc8c749af454b97"/>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38" customHeight="1">
      <x:c r="A1" s="3" t="str">
        <x:v>Keyword Discovery Method</x:v>
      </x:c>
      <x:c r="B1" s="3" t="str">
        <x:v>Keyword Discovery Method</x:v>
      </x:c>
      <x:c r="C1" s="3" t="str">
        <x:v>Keyword Discovery Method</x:v>
      </x:c>
      <x:c r="D1" s="3" t="str">
        <x:v>Keyword Discovery Method</x:v>
      </x:c>
      <x:c r="E1" s="3" t="str">
        <x:v>Keyword Discovery Method</x:v>
      </x:c>
      <x:c r="F1" s="3" t="str">
        <x:v>Keyword Discovery Method</x:v>
      </x:c>
      <x:c r="G1" s="3" t="str">
        <x:v>Keyword Discovery Method</x:v>
      </x:c>
      <x:c r="H1" s="3" t="str">
        <x:v>Keyword Discovery Method</x:v>
      </x:c>
      <x:c r="I1" s="3" t="str">
        <x:v>Keyword Discovery Method</x:v>
      </x:c>
      <x:c r="J1" s="3" t="str">
        <x:v>Keyword Discovery Method</x:v>
      </x:c>
      <x:c r="K1" s="3" t="str">
        <x:v>Keyword Discovery Method</x:v>
      </x:c>
      <x:c r="L1" s="3" t="str">
        <x:v>Keyword Discovery Method</x:v>
      </x:c>
    </x:row>
    <x:row r="2" ht="32" customHeight="1">
      <x:c r="A2" s="7" t="str">
        <x:v>Presentation-facing account of how the historical lexicon was constructed and computationally audited.</x:v>
      </x:c>
      <x:c r="B2" s="7" t="str">
        <x:v>Presentation-facing account of how the historical lexicon was constructed and computationally audited.</x:v>
      </x:c>
      <x:c r="C2" s="7" t="str">
        <x:v>Presentation-facing account of how the historical lexicon was constructed and computationally audited.</x:v>
      </x:c>
      <x:c r="D2" s="7" t="str">
        <x:v>Presentation-facing account of how the historical lexicon was constructed and computationally audited.</x:v>
      </x:c>
      <x:c r="E2" s="7" t="str">
        <x:v>Presentation-facing account of how the historical lexicon was constructed and computationally audited.</x:v>
      </x:c>
      <x:c r="F2" s="7" t="str">
        <x:v>Presentation-facing account of how the historical lexicon was constructed and computationally audited.</x:v>
      </x:c>
      <x:c r="G2" s="7" t="str">
        <x:v>Presentation-facing account of how the historical lexicon was constructed and computationally audited.</x:v>
      </x:c>
      <x:c r="H2" s="7" t="str">
        <x:v>Presentation-facing account of how the historical lexicon was constructed and computationally audited.</x:v>
      </x:c>
      <x:c r="I2" s="7" t="str">
        <x:v>Presentation-facing account of how the historical lexicon was constructed and computationally audited.</x:v>
      </x:c>
      <x:c r="J2" s="7" t="str">
        <x:v>Presentation-facing account of how the historical lexicon was constructed and computationally audited.</x:v>
      </x:c>
      <x:c r="K2" s="7" t="str">
        <x:v>Presentation-facing account of how the historical lexicon was constructed and computationally audited.</x:v>
      </x:c>
      <x:c r="L2" s="7" t="str">
        <x:v>Presentation-facing account of how the historical lexicon was constructed and computationally audited.</x:v>
      </x:c>
    </x:row>
    <x:row r="4">
      <x:c r="A4" s="86" t="str">
        <x:v>Research question</x:v>
      </x:c>
      <x:c r="B4" s="86" t="str">
        <x:v>Research question</x:v>
      </x:c>
      <x:c r="C4" s="86" t="str">
        <x:v>Research question</x:v>
      </x:c>
      <x:c r="D4" s="86" t="str">
        <x:v>Research question</x:v>
      </x:c>
      <x:c r="E4" s="86" t="str">
        <x:v>Research question</x:v>
      </x:c>
      <x:c r="F4" s="86" t="str">
        <x:v>Research question</x:v>
      </x:c>
      <x:c r="G4" s="86" t="str">
        <x:v>Research question</x:v>
      </x:c>
      <x:c r="H4" s="86" t="str">
        <x:v>Research question</x:v>
      </x:c>
      <x:c r="I4" s="86" t="str">
        <x:v>Research question</x:v>
      </x:c>
      <x:c r="J4" s="86" t="str">
        <x:v>Research question</x:v>
      </x:c>
      <x:c r="K4" s="86" t="str">
        <x:v>Research question</x:v>
      </x:c>
      <x:c r="L4" s="86" t="str">
        <x:v>Research question</x:v>
      </x:c>
    </x:row>
    <x:row r="5">
      <x:c r="A5" s="92" t="str">
        <x:v>Which historically available lexical forms represented temperature/physical phenomena, climate/causal framing, affect, and threat/risk/harm at six research anchors — and through which speakers, sources and expression modes?</x:v>
      </x:c>
      <x:c r="B5" s="92" t="str">
        <x:v>Which historically available lexical forms represented temperature/physical phenomena, climate/causal framing, affect, and threat/risk/harm at six research anchors — and through which speakers, sources and expression modes?</x:v>
      </x:c>
      <x:c r="C5" s="92" t="str">
        <x:v>Which historically available lexical forms represented temperature/physical phenomena, climate/causal framing, affect, and threat/risk/harm at six research anchors — and through which speakers, sources and expression modes?</x:v>
      </x:c>
      <x:c r="D5" s="92" t="str">
        <x:v>Which historically available lexical forms represented temperature/physical phenomena, climate/causal framing, affect, and threat/risk/harm at six research anchors — and through which speakers, sources and expression modes?</x:v>
      </x:c>
      <x:c r="E5" s="92" t="str">
        <x:v>Which historically available lexical forms represented temperature/physical phenomena, climate/causal framing, affect, and threat/risk/harm at six research anchors — and through which speakers, sources and expression modes?</x:v>
      </x:c>
      <x:c r="F5" s="92" t="str">
        <x:v>Which historically available lexical forms represented temperature/physical phenomena, climate/causal framing, affect, and threat/risk/harm at six research anchors — and through which speakers, sources and expression modes?</x:v>
      </x:c>
      <x:c r="G5" s="92" t="str">
        <x:v>Which historically available lexical forms represented temperature/physical phenomena, climate/causal framing, affect, and threat/risk/harm at six research anchors — and through which speakers, sources and expression modes?</x:v>
      </x:c>
      <x:c r="H5" s="92" t="str">
        <x:v>Which historically available lexical forms represented temperature/physical phenomena, climate/causal framing, affect, and threat/risk/harm at six research anchors — and through which speakers, sources and expression modes?</x:v>
      </x:c>
      <x:c r="I5" s="92" t="str">
        <x:v>Which historically available lexical forms represented temperature/physical phenomena, climate/causal framing, affect, and threat/risk/harm at six research anchors — and through which speakers, sources and expression modes?</x:v>
      </x:c>
      <x:c r="J5" s="92" t="str">
        <x:v>Which historically available lexical forms represented temperature/physical phenomena, climate/causal framing, affect, and threat/risk/harm at six research anchors — and through which speakers, sources and expression modes?</x:v>
      </x:c>
      <x:c r="K5" s="92" t="str">
        <x:v>Which historically available lexical forms represented temperature/physical phenomena, climate/causal framing, affect, and threat/risk/harm at six research anchors — and through which speakers, sources and expression modes?</x:v>
      </x:c>
      <x:c r="L5" s="92" t="str">
        <x:v>Which historically available lexical forms represented temperature/physical phenomena, climate/causal framing, affect, and threat/risk/harm at six research anchors — and through which speakers, sources and expression modes?</x:v>
      </x:c>
    </x:row>
    <x:row r="6">
      <x:c r="A6" s="92" t="str">
        <x:v>Which historically available lexical forms represented temperature/physical phenomena, climate/causal framing, affect, and threat/risk/harm at six research anchors — and through which speakers, sources and expression modes?</x:v>
      </x:c>
      <x:c r="B6" s="92" t="str">
        <x:v>Which historically available lexical forms represented temperature/physical phenomena, climate/causal framing, affect, and threat/risk/harm at six research anchors — and through which speakers, sources and expression modes?</x:v>
      </x:c>
      <x:c r="C6" s="92" t="str">
        <x:v>Which historically available lexical forms represented temperature/physical phenomena, climate/causal framing, affect, and threat/risk/harm at six research anchors — and through which speakers, sources and expression modes?</x:v>
      </x:c>
      <x:c r="D6" s="92" t="str">
        <x:v>Which historically available lexical forms represented temperature/physical phenomena, climate/causal framing, affect, and threat/risk/harm at six research anchors — and through which speakers, sources and expression modes?</x:v>
      </x:c>
      <x:c r="E6" s="92" t="str">
        <x:v>Which historically available lexical forms represented temperature/physical phenomena, climate/causal framing, affect, and threat/risk/harm at six research anchors — and through which speakers, sources and expression modes?</x:v>
      </x:c>
      <x:c r="F6" s="92" t="str">
        <x:v>Which historically available lexical forms represented temperature/physical phenomena, climate/causal framing, affect, and threat/risk/harm at six research anchors — and through which speakers, sources and expression modes?</x:v>
      </x:c>
      <x:c r="G6" s="92" t="str">
        <x:v>Which historically available lexical forms represented temperature/physical phenomena, climate/causal framing, affect, and threat/risk/harm at six research anchors — and through which speakers, sources and expression modes?</x:v>
      </x:c>
      <x:c r="H6" s="92" t="str">
        <x:v>Which historically available lexical forms represented temperature/physical phenomena, climate/causal framing, affect, and threat/risk/harm at six research anchors — and through which speakers, sources and expression modes?</x:v>
      </x:c>
      <x:c r="I6" s="92" t="str">
        <x:v>Which historically available lexical forms represented temperature/physical phenomena, climate/causal framing, affect, and threat/risk/harm at six research anchors — and through which speakers, sources and expression modes?</x:v>
      </x:c>
      <x:c r="J6" s="92" t="str">
        <x:v>Which historically available lexical forms represented temperature/physical phenomena, climate/causal framing, affect, and threat/risk/harm at six research anchors — and through which speakers, sources and expression modes?</x:v>
      </x:c>
      <x:c r="K6" s="92" t="str">
        <x:v>Which historically available lexical forms represented temperature/physical phenomena, climate/causal framing, affect, and threat/risk/harm at six research anchors — and through which speakers, sources and expression modes?</x:v>
      </x:c>
      <x:c r="L6" s="92" t="str">
        <x:v>Which historically available lexical forms represented temperature/physical phenomena, climate/causal framing, affect, and threat/risk/harm at six research anchors — and through which speakers, sources and expression modes?</x:v>
      </x:c>
    </x:row>
    <x:row r="7">
      <x:c r="A7" s="92" t="str">
        <x:v>Which historically available lexical forms represented temperature/physical phenomena, climate/causal framing, affect, and threat/risk/harm at six research anchors — and through which speakers, sources and expression modes?</x:v>
      </x:c>
      <x:c r="B7" s="92" t="str">
        <x:v>Which historically available lexical forms represented temperature/physical phenomena, climate/causal framing, affect, and threat/risk/harm at six research anchors — and through which speakers, sources and expression modes?</x:v>
      </x:c>
      <x:c r="C7" s="92" t="str">
        <x:v>Which historically available lexical forms represented temperature/physical phenomena, climate/causal framing, affect, and threat/risk/harm at six research anchors — and through which speakers, sources and expression modes?</x:v>
      </x:c>
      <x:c r="D7" s="92" t="str">
        <x:v>Which historically available lexical forms represented temperature/physical phenomena, climate/causal framing, affect, and threat/risk/harm at six research anchors — and through which speakers, sources and expression modes?</x:v>
      </x:c>
      <x:c r="E7" s="92" t="str">
        <x:v>Which historically available lexical forms represented temperature/physical phenomena, climate/causal framing, affect, and threat/risk/harm at six research anchors — and through which speakers, sources and expression modes?</x:v>
      </x:c>
      <x:c r="F7" s="92" t="str">
        <x:v>Which historically available lexical forms represented temperature/physical phenomena, climate/causal framing, affect, and threat/risk/harm at six research anchors — and through which speakers, sources and expression modes?</x:v>
      </x:c>
      <x:c r="G7" s="92" t="str">
        <x:v>Which historically available lexical forms represented temperature/physical phenomena, climate/causal framing, affect, and threat/risk/harm at six research anchors — and through which speakers, sources and expression modes?</x:v>
      </x:c>
      <x:c r="H7" s="92" t="str">
        <x:v>Which historically available lexical forms represented temperature/physical phenomena, climate/causal framing, affect, and threat/risk/harm at six research anchors — and through which speakers, sources and expression modes?</x:v>
      </x:c>
      <x:c r="I7" s="92" t="str">
        <x:v>Which historically available lexical forms represented temperature/physical phenomena, climate/causal framing, affect, and threat/risk/harm at six research anchors — and through which speakers, sources and expression modes?</x:v>
      </x:c>
      <x:c r="J7" s="92" t="str">
        <x:v>Which historically available lexical forms represented temperature/physical phenomena, climate/causal framing, affect, and threat/risk/harm at six research anchors — and through which speakers, sources and expression modes?</x:v>
      </x:c>
      <x:c r="K7" s="92" t="str">
        <x:v>Which historically available lexical forms represented temperature/physical phenomena, climate/causal framing, affect, and threat/risk/harm at six research anchors — and through which speakers, sources and expression modes?</x:v>
      </x:c>
      <x:c r="L7" s="92" t="str">
        <x:v>Which historically available lexical forms represented temperature/physical phenomena, climate/causal framing, affect, and threat/risk/harm at six research anchors — and through which speakers, sources and expression modes?</x:v>
      </x:c>
    </x:row>
    <x:row r="8">
      <x:c r="A8" s="92" t="str">
        <x:v>Which historically available lexical forms represented temperature/physical phenomena, climate/causal framing, affect, and threat/risk/harm at six research anchors — and through which speakers, sources and expression modes?</x:v>
      </x:c>
      <x:c r="B8" s="92" t="str">
        <x:v>Which historically available lexical forms represented temperature/physical phenomena, climate/causal framing, affect, and threat/risk/harm at six research anchors — and through which speakers, sources and expression modes?</x:v>
      </x:c>
      <x:c r="C8" s="92" t="str">
        <x:v>Which historically available lexical forms represented temperature/physical phenomena, climate/causal framing, affect, and threat/risk/harm at six research anchors — and through which speakers, sources and expression modes?</x:v>
      </x:c>
      <x:c r="D8" s="92" t="str">
        <x:v>Which historically available lexical forms represented temperature/physical phenomena, climate/causal framing, affect, and threat/risk/harm at six research anchors — and through which speakers, sources and expression modes?</x:v>
      </x:c>
      <x:c r="E8" s="92" t="str">
        <x:v>Which historically available lexical forms represented temperature/physical phenomena, climate/causal framing, affect, and threat/risk/harm at six research anchors — and through which speakers, sources and expression modes?</x:v>
      </x:c>
      <x:c r="F8" s="92" t="str">
        <x:v>Which historically available lexical forms represented temperature/physical phenomena, climate/causal framing, affect, and threat/risk/harm at six research anchors — and through which speakers, sources and expression modes?</x:v>
      </x:c>
      <x:c r="G8" s="92" t="str">
        <x:v>Which historically available lexical forms represented temperature/physical phenomena, climate/causal framing, affect, and threat/risk/harm at six research anchors — and through which speakers, sources and expression modes?</x:v>
      </x:c>
      <x:c r="H8" s="92" t="str">
        <x:v>Which historically available lexical forms represented temperature/physical phenomena, climate/causal framing, affect, and threat/risk/harm at six research anchors — and through which speakers, sources and expression modes?</x:v>
      </x:c>
      <x:c r="I8" s="92" t="str">
        <x:v>Which historically available lexical forms represented temperature/physical phenomena, climate/causal framing, affect, and threat/risk/harm at six research anchors — and through which speakers, sources and expression modes?</x:v>
      </x:c>
      <x:c r="J8" s="92" t="str">
        <x:v>Which historically available lexical forms represented temperature/physical phenomena, climate/causal framing, affect, and threat/risk/harm at six research anchors — and through which speakers, sources and expression modes?</x:v>
      </x:c>
      <x:c r="K8" s="92" t="str">
        <x:v>Which historically available lexical forms represented temperature/physical phenomena, climate/causal framing, affect, and threat/risk/harm at six research anchors — and through which speakers, sources and expression modes?</x:v>
      </x:c>
      <x:c r="L8" s="92" t="str">
        <x:v>Which historically available lexical forms represented temperature/physical phenomena, climate/causal framing, affect, and threat/risk/harm at six research anchors — and through which speakers, sources and expression modes?</x:v>
      </x:c>
    </x:row>
    <x:row r="10">
      <x:c r="A10" s="94" t="str">
        <x:v>Discovery workflow</x:v>
      </x:c>
      <x:c r="B10" s="94" t="str">
        <x:v>Discovery workflow</x:v>
      </x:c>
      <x:c r="C10" s="94" t="str">
        <x:v>Discovery workflow</x:v>
      </x:c>
      <x:c r="D10" s="94" t="str">
        <x:v>Discovery workflow</x:v>
      </x:c>
      <x:c r="E10" s="94" t="str">
        <x:v>Discovery workflow</x:v>
      </x:c>
      <x:c r="F10" s="94" t="str">
        <x:v>Discovery workflow</x:v>
      </x:c>
      <x:c r="G10" s="94" t="str">
        <x:v>Discovery workflow</x:v>
      </x:c>
      <x:c r="H10" s="94" t="str">
        <x:v>Discovery workflow</x:v>
      </x:c>
      <x:c r="I10" s="94" t="str">
        <x:v>Discovery workflow</x:v>
      </x:c>
      <x:c r="J10" s="94" t="str">
        <x:v>Discovery workflow</x:v>
      </x:c>
      <x:c r="K10" s="94" t="str">
        <x:v>Discovery workflow</x:v>
      </x:c>
      <x:c r="L10" s="94" t="str">
        <x:v>Discovery workflow</x:v>
      </x:c>
    </x:row>
    <x:row r="12">
      <x:c r="A12" s="100" t="str">
        <x:v>Topic definition</x:v>
      </x:c>
      <x:c r="B12" s="105" t="str">
        <x:v>A–D conceptual seed</x:v>
      </x:c>
      <x:c r="C12" s="100" t="str">
        <x:v>Six-anchor source retrieval</x:v>
      </x:c>
      <x:c r="D12" s="105" t="str">
        <x:v>Exact lexical-form extraction</x:v>
      </x:c>
      <x:c r="E12" s="100" t="str">
        <x:v>Source + voice + provenance</x:v>
      </x:c>
      <x:c r="F12" s="105" t="str">
        <x:v>Candidate normalisation</x:v>
      </x:c>
      <x:c r="G12" s="100" t="str">
        <x:v>30 Priority per anchor</x:v>
      </x:c>
      <x:c r="H12" s="105" t="str">
        <x:v>Expansion candidates</x:v>
      </x:c>
      <x:c r="I12" s="100" t="str">
        <x:v>Dictionary / Ngram / search validation</x:v>
      </x:c>
      <x:c r="J12" s="105" t="str">
        <x:v>Later passage-level validation</x:v>
      </x:c>
    </x:row>
    <x:row r="13">
      <x:c r="A13" s="100" t="str">
        <x:v>Topic definition</x:v>
      </x:c>
      <x:c r="B13" s="105" t="str">
        <x:v>A–D conceptual seed</x:v>
      </x:c>
      <x:c r="C13" s="100" t="str">
        <x:v>Six-anchor source retrieval</x:v>
      </x:c>
      <x:c r="D13" s="105" t="str">
        <x:v>Exact lexical-form extraction</x:v>
      </x:c>
      <x:c r="E13" s="100" t="str">
        <x:v>Source + voice + provenance</x:v>
      </x:c>
      <x:c r="F13" s="105" t="str">
        <x:v>Candidate normalisation</x:v>
      </x:c>
      <x:c r="G13" s="100" t="str">
        <x:v>30 Priority per anchor</x:v>
      </x:c>
      <x:c r="H13" s="105" t="str">
        <x:v>Expansion candidates</x:v>
      </x:c>
      <x:c r="I13" s="100" t="str">
        <x:v>Dictionary / Ngram / search validation</x:v>
      </x:c>
      <x:c r="J13" s="105" t="str">
        <x:v>Later passage-level validation</x:v>
      </x:c>
    </x:row>
    <x:row r="14">
      <x:c r="A14" s="100" t="str">
        <x:v>Topic definition</x:v>
      </x:c>
      <x:c r="B14" s="105" t="str">
        <x:v>A–D conceptual seed</x:v>
      </x:c>
      <x:c r="C14" s="100" t="str">
        <x:v>Six-anchor source retrieval</x:v>
      </x:c>
      <x:c r="D14" s="105" t="str">
        <x:v>Exact lexical-form extraction</x:v>
      </x:c>
      <x:c r="E14" s="100" t="str">
        <x:v>Source + voice + provenance</x:v>
      </x:c>
      <x:c r="F14" s="105" t="str">
        <x:v>Candidate normalisation</x:v>
      </x:c>
      <x:c r="G14" s="100" t="str">
        <x:v>30 Priority per anchor</x:v>
      </x:c>
      <x:c r="H14" s="105" t="str">
        <x:v>Expansion candidates</x:v>
      </x:c>
      <x:c r="I14" s="100" t="str">
        <x:v>Dictionary / Ngram / search validation</x:v>
      </x:c>
      <x:c r="J14" s="105" t="str">
        <x:v>Later passage-level validation</x:v>
      </x:c>
    </x:row>
    <x:row r="15">
      <x:c r="A15" t="str">
        <x:v>→</x:v>
      </x:c>
      <x:c r="B15" t="str">
        <x:v>→</x:v>
      </x:c>
      <x:c r="C15" t="str">
        <x:v>→</x:v>
      </x:c>
      <x:c r="D15" t="str">
        <x:v>→</x:v>
      </x:c>
      <x:c r="E15" t="str">
        <x:v>→</x:v>
      </x:c>
      <x:c r="F15" t="str">
        <x:v>→</x:v>
      </x:c>
      <x:c r="G15" t="str">
        <x:v>→</x:v>
      </x:c>
      <x:c r="H15" t="str">
        <x:v>→</x:v>
      </x:c>
      <x:c r="I15" t="str">
        <x:v>→</x:v>
      </x:c>
    </x:row>
    <x:row r="17">
      <x:c r="A17" s="110" t="str">
        <x:v>Keywords were not selected because they were frequent.
Frequency was excluded from initial candidate selection to avoid circularity and cherry-picking.</x:v>
      </x:c>
      <x:c r="B17" s="110" t="str">
        <x:v>Keywords were not selected because they were frequent.
Frequency was excluded from initial candidate selection to avoid circularity and cherry-picking.</x:v>
      </x:c>
      <x:c r="C17" s="110" t="str">
        <x:v>Keywords were not selected because they were frequent.
Frequency was excluded from initial candidate selection to avoid circularity and cherry-picking.</x:v>
      </x:c>
      <x:c r="D17" s="110" t="str">
        <x:v>Keywords were not selected because they were frequent.
Frequency was excluded from initial candidate selection to avoid circularity and cherry-picking.</x:v>
      </x:c>
      <x:c r="E17" s="110" t="str">
        <x:v>Keywords were not selected because they were frequent.
Frequency was excluded from initial candidate selection to avoid circularity and cherry-picking.</x:v>
      </x:c>
      <x:c r="F17" s="110" t="str">
        <x:v>Keywords were not selected because they were frequent.
Frequency was excluded from initial candidate selection to avoid circularity and cherry-picking.</x:v>
      </x:c>
      <x:c r="G17" s="110" t="str">
        <x:v>Keywords were not selected because they were frequent.
Frequency was excluded from initial candidate selection to avoid circularity and cherry-picking.</x:v>
      </x:c>
      <x:c r="H17" s="110" t="str">
        <x:v>Keywords were not selected because they were frequent.
Frequency was excluded from initial candidate selection to avoid circularity and cherry-picking.</x:v>
      </x:c>
      <x:c r="I17" s="110" t="str">
        <x:v>Keywords were not selected because they were frequent.
Frequency was excluded from initial candidate selection to avoid circularity and cherry-picking.</x:v>
      </x:c>
      <x:c r="J17" s="110" t="str">
        <x:v>Keywords were not selected because they were frequent.
Frequency was excluded from initial candidate selection to avoid circularity and cherry-picking.</x:v>
      </x:c>
      <x:c r="K17" s="110" t="str">
        <x:v>Keywords were not selected because they were frequent.
Frequency was excluded from initial candidate selection to avoid circularity and cherry-picking.</x:v>
      </x:c>
      <x:c r="L17" s="110" t="str">
        <x:v>Keywords were not selected because they were frequent.
Frequency was excluded from initial candidate selection to avoid circularity and cherry-picking.</x:v>
      </x:c>
    </x:row>
    <x:row r="18">
      <x:c r="A18" s="110" t="str">
        <x:v>Keywords were not selected because they were frequent.
Frequency was excluded from initial candidate selection to avoid circularity and cherry-picking.</x:v>
      </x:c>
      <x:c r="B18" s="110" t="str">
        <x:v>Keywords were not selected because they were frequent.
Frequency was excluded from initial candidate selection to avoid circularity and cherry-picking.</x:v>
      </x:c>
      <x:c r="C18" s="110" t="str">
        <x:v>Keywords were not selected because they were frequent.
Frequency was excluded from initial candidate selection to avoid circularity and cherry-picking.</x:v>
      </x:c>
      <x:c r="D18" s="110" t="str">
        <x:v>Keywords were not selected because they were frequent.
Frequency was excluded from initial candidate selection to avoid circularity and cherry-picking.</x:v>
      </x:c>
      <x:c r="E18" s="110" t="str">
        <x:v>Keywords were not selected because they were frequent.
Frequency was excluded from initial candidate selection to avoid circularity and cherry-picking.</x:v>
      </x:c>
      <x:c r="F18" s="110" t="str">
        <x:v>Keywords were not selected because they were frequent.
Frequency was excluded from initial candidate selection to avoid circularity and cherry-picking.</x:v>
      </x:c>
      <x:c r="G18" s="110" t="str">
        <x:v>Keywords were not selected because they were frequent.
Frequency was excluded from initial candidate selection to avoid circularity and cherry-picking.</x:v>
      </x:c>
      <x:c r="H18" s="110" t="str">
        <x:v>Keywords were not selected because they were frequent.
Frequency was excluded from initial candidate selection to avoid circularity and cherry-picking.</x:v>
      </x:c>
      <x:c r="I18" s="110" t="str">
        <x:v>Keywords were not selected because they were frequent.
Frequency was excluded from initial candidate selection to avoid circularity and cherry-picking.</x:v>
      </x:c>
      <x:c r="J18" s="110" t="str">
        <x:v>Keywords were not selected because they were frequent.
Frequency was excluded from initial candidate selection to avoid circularity and cherry-picking.</x:v>
      </x:c>
      <x:c r="K18" s="110" t="str">
        <x:v>Keywords were not selected because they were frequent.
Frequency was excluded from initial candidate selection to avoid circularity and cherry-picking.</x:v>
      </x:c>
      <x:c r="L18" s="110" t="str">
        <x:v>Keywords were not selected because they were frequent.
Frequency was excluded from initial candidate selection to avoid circularity and cherry-picking.</x:v>
      </x:c>
    </x:row>
    <x:row r="19">
      <x:c r="A19" s="110" t="str">
        <x:v>Keywords were not selected because they were frequent.
Frequency was excluded from initial candidate selection to avoid circularity and cherry-picking.</x:v>
      </x:c>
      <x:c r="B19" s="110" t="str">
        <x:v>Keywords were not selected because they were frequent.
Frequency was excluded from initial candidate selection to avoid circularity and cherry-picking.</x:v>
      </x:c>
      <x:c r="C19" s="110" t="str">
        <x:v>Keywords were not selected because they were frequent.
Frequency was excluded from initial candidate selection to avoid circularity and cherry-picking.</x:v>
      </x:c>
      <x:c r="D19" s="110" t="str">
        <x:v>Keywords were not selected because they were frequent.
Frequency was excluded from initial candidate selection to avoid circularity and cherry-picking.</x:v>
      </x:c>
      <x:c r="E19" s="110" t="str">
        <x:v>Keywords were not selected because they were frequent.
Frequency was excluded from initial candidate selection to avoid circularity and cherry-picking.</x:v>
      </x:c>
      <x:c r="F19" s="110" t="str">
        <x:v>Keywords were not selected because they were frequent.
Frequency was excluded from initial candidate selection to avoid circularity and cherry-picking.</x:v>
      </x:c>
      <x:c r="G19" s="110" t="str">
        <x:v>Keywords were not selected because they were frequent.
Frequency was excluded from initial candidate selection to avoid circularity and cherry-picking.</x:v>
      </x:c>
      <x:c r="H19" s="110" t="str">
        <x:v>Keywords were not selected because they were frequent.
Frequency was excluded from initial candidate selection to avoid circularity and cherry-picking.</x:v>
      </x:c>
      <x:c r="I19" s="110" t="str">
        <x:v>Keywords were not selected because they were frequent.
Frequency was excluded from initial candidate selection to avoid circularity and cherry-picking.</x:v>
      </x:c>
      <x:c r="J19" s="110" t="str">
        <x:v>Keywords were not selected because they were frequent.
Frequency was excluded from initial candidate selection to avoid circularity and cherry-picking.</x:v>
      </x:c>
      <x:c r="K19" s="110" t="str">
        <x:v>Keywords were not selected because they were frequent.
Frequency was excluded from initial candidate selection to avoid circularity and cherry-picking.</x:v>
      </x:c>
      <x:c r="L19" s="110" t="str">
        <x:v>Keywords were not selected because they were frequent.
Frequency was excluded from initial candidate selection to avoid circularity and cherry-picking.</x:v>
      </x:c>
    </x:row>
    <x:row r="20">
      <x:c r="A20" s="110" t="str">
        <x:v>Keywords were not selected because they were frequent.
Frequency was excluded from initial candidate selection to avoid circularity and cherry-picking.</x:v>
      </x:c>
      <x:c r="B20" s="110" t="str">
        <x:v>Keywords were not selected because they were frequent.
Frequency was excluded from initial candidate selection to avoid circularity and cherry-picking.</x:v>
      </x:c>
      <x:c r="C20" s="110" t="str">
        <x:v>Keywords were not selected because they were frequent.
Frequency was excluded from initial candidate selection to avoid circularity and cherry-picking.</x:v>
      </x:c>
      <x:c r="D20" s="110" t="str">
        <x:v>Keywords were not selected because they were frequent.
Frequency was excluded from initial candidate selection to avoid circularity and cherry-picking.</x:v>
      </x:c>
      <x:c r="E20" s="110" t="str">
        <x:v>Keywords were not selected because they were frequent.
Frequency was excluded from initial candidate selection to avoid circularity and cherry-picking.</x:v>
      </x:c>
      <x:c r="F20" s="110" t="str">
        <x:v>Keywords were not selected because they were frequent.
Frequency was excluded from initial candidate selection to avoid circularity and cherry-picking.</x:v>
      </x:c>
      <x:c r="G20" s="110" t="str">
        <x:v>Keywords were not selected because they were frequent.
Frequency was excluded from initial candidate selection to avoid circularity and cherry-picking.</x:v>
      </x:c>
      <x:c r="H20" s="110" t="str">
        <x:v>Keywords were not selected because they were frequent.
Frequency was excluded from initial candidate selection to avoid circularity and cherry-picking.</x:v>
      </x:c>
      <x:c r="I20" s="110" t="str">
        <x:v>Keywords were not selected because they were frequent.
Frequency was excluded from initial candidate selection to avoid circularity and cherry-picking.</x:v>
      </x:c>
      <x:c r="J20" s="110" t="str">
        <x:v>Keywords were not selected because they were frequent.
Frequency was excluded from initial candidate selection to avoid circularity and cherry-picking.</x:v>
      </x:c>
      <x:c r="K20" s="110" t="str">
        <x:v>Keywords were not selected because they were frequent.
Frequency was excluded from initial candidate selection to avoid circularity and cherry-picking.</x:v>
      </x:c>
      <x:c r="L20" s="110" t="str">
        <x:v>Keywords were not selected because they were frequent.
Frequency was excluded from initial candidate selection to avoid circularity and cherry-picking.</x:v>
      </x:c>
    </x:row>
    <x:row r="21">
      <x:c r="A21" s="110" t="str">
        <x:v>Keywords were not selected because they were frequent.
Frequency was excluded from initial candidate selection to avoid circularity and cherry-picking.</x:v>
      </x:c>
      <x:c r="B21" s="110" t="str">
        <x:v>Keywords were not selected because they were frequent.
Frequency was excluded from initial candidate selection to avoid circularity and cherry-picking.</x:v>
      </x:c>
      <x:c r="C21" s="110" t="str">
        <x:v>Keywords were not selected because they were frequent.
Frequency was excluded from initial candidate selection to avoid circularity and cherry-picking.</x:v>
      </x:c>
      <x:c r="D21" s="110" t="str">
        <x:v>Keywords were not selected because they were frequent.
Frequency was excluded from initial candidate selection to avoid circularity and cherry-picking.</x:v>
      </x:c>
      <x:c r="E21" s="110" t="str">
        <x:v>Keywords were not selected because they were frequent.
Frequency was excluded from initial candidate selection to avoid circularity and cherry-picking.</x:v>
      </x:c>
      <x:c r="F21" s="110" t="str">
        <x:v>Keywords were not selected because they were frequent.
Frequency was excluded from initial candidate selection to avoid circularity and cherry-picking.</x:v>
      </x:c>
      <x:c r="G21" s="110" t="str">
        <x:v>Keywords were not selected because they were frequent.
Frequency was excluded from initial candidate selection to avoid circularity and cherry-picking.</x:v>
      </x:c>
      <x:c r="H21" s="110" t="str">
        <x:v>Keywords were not selected because they were frequent.
Frequency was excluded from initial candidate selection to avoid circularity and cherry-picking.</x:v>
      </x:c>
      <x:c r="I21" s="110" t="str">
        <x:v>Keywords were not selected because they were frequent.
Frequency was excluded from initial candidate selection to avoid circularity and cherry-picking.</x:v>
      </x:c>
      <x:c r="J21" s="110" t="str">
        <x:v>Keywords were not selected because they were frequent.
Frequency was excluded from initial candidate selection to avoid circularity and cherry-picking.</x:v>
      </x:c>
      <x:c r="K21" s="110" t="str">
        <x:v>Keywords were not selected because they were frequent.
Frequency was excluded from initial candidate selection to avoid circularity and cherry-picking.</x:v>
      </x:c>
      <x:c r="L21" s="110" t="str">
        <x:v>Keywords were not selected because they were frequent.
Frequency was excluded from initial candidate selection to avoid circularity and cherry-picking.</x:v>
      </x:c>
    </x:row>
    <x:row r="23">
      <x:c r="A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4">
      <x:c r="A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5">
      <x:c r="A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6">
      <x:c r="A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7">
      <x:c r="A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8">
      <x:c r="A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9">
      <x:c r="A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0">
      <x:c r="A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1">
      <x:c r="A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2">
      <x:c r="A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3">
      <x:c r="A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4">
      <x:c r="A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sheetData>
  <x:mergeCells>
    <x:mergeCell ref="A1:L1"/>
    <x:mergeCell ref="A2:L2"/>
    <x:mergeCell ref="A4:L4"/>
    <x:mergeCell ref="A5:L8"/>
    <x:mergeCell ref="A10:L10"/>
    <x:mergeCell ref="A12:A14"/>
    <x:mergeCell ref="B12:B14"/>
    <x:mergeCell ref="C12:C14"/>
    <x:mergeCell ref="D12:D14"/>
    <x:mergeCell ref="E12:E14"/>
    <x:mergeCell ref="F12:F14"/>
    <x:mergeCell ref="G12:G14"/>
    <x:mergeCell ref="H12:H14"/>
    <x:mergeCell ref="I12:I14"/>
    <x:mergeCell ref="J12:J14"/>
    <x:mergeCell ref="A17:L21"/>
    <x:mergeCell ref="A23:F34"/>
    <x:mergeCell ref="G23:L34"/>
  </x:mergeCells>
  <x:pageMargins left="0.7" right="0.7" top="0.75" bottom="0.75" header="0.3" footer="0.3"/>
</x:worksheet>
</file>

<file path=xl/worksheets/sheet27.xml><?xml version="1.0" encoding="utf-8"?>
<x:worksheet xmlns:x="http://schemas.openxmlformats.org/spreadsheetml/2006/main">
  <x:sheetViews>
    <x:sheetView showGridLines="0" workbookViewId="0"/>
  </x:sheetViews>
  <x:sheetFormatPr defaultRowHeight="15"/>
  <x:cols>
    <x:col min="1" max="1" width="34" hidden="0" customWidth="1"/>
    <x:col min="2" max="2" width="24" hidden="0" customWidth="1"/>
  </x:cols>
  <x:sheetData>
    <x:row r="1" ht="38" customHeight="1">
      <x:c r="A1" s="3" t="str">
        <x:v>Fear of Temperature — EDA v0.2 Summary</x:v>
      </x:c>
      <x:c r="B1" s="3" t="str">
        <x:v>Fear of Temperature — EDA v0.2 Summary</x:v>
      </x:c>
      <x:c r="C1" s="3" t="str">
        <x:v>Fear of Temperature — EDA v0.2 Summary</x:v>
      </x:c>
      <x:c r="D1" s="3" t="str">
        <x:v>Fear of Temperature — EDA v0.2 Summary</x:v>
      </x:c>
      <x:c r="E1" s="3" t="str">
        <x:v>Fear of Temperature — EDA v0.2 Summary</x:v>
      </x:c>
      <x:c r="F1" s="3" t="str">
        <x:v>Fear of Temperature — EDA v0.2 Summary</x:v>
      </x:c>
      <x:c r="G1" s="3" t="str">
        <x:v>Fear of Temperature — EDA v0.2 Summary</x:v>
      </x:c>
      <x:c r="H1" s="3" t="str">
        <x:v>Fear of Temperature — EDA v0.2 Summary</x:v>
      </x:c>
    </x:row>
    <x:row r="2" ht="32" customHeight="1">
      <x:c r="A2" s="7" t="str">
        <x:v>Formula-linked counts from the current workbook and version-controlled project exports.</x:v>
      </x:c>
      <x:c r="B2" s="7" t="str">
        <x:v>Formula-linked counts from the current workbook and version-controlled project exports.</x:v>
      </x:c>
      <x:c r="C2" s="7" t="str">
        <x:v>Formula-linked counts from the current workbook and version-controlled project exports.</x:v>
      </x:c>
      <x:c r="D2" s="7" t="str">
        <x:v>Formula-linked counts from the current workbook and version-controlled project exports.</x:v>
      </x:c>
      <x:c r="E2" s="7" t="str">
        <x:v>Formula-linked counts from the current workbook and version-controlled project exports.</x:v>
      </x:c>
      <x:c r="F2" s="7" t="str">
        <x:v>Formula-linked counts from the current workbook and version-controlled project exports.</x:v>
      </x:c>
      <x:c r="G2" s="7" t="str">
        <x:v>Formula-linked counts from the current workbook and version-controlled project exports.</x:v>
      </x:c>
      <x:c r="H2" s="7" t="str">
        <x:v>Formula-linked counts from the current workbook and version-controlled project exports.</x:v>
      </x:c>
    </x:row>
    <x:row r="4">
      <x:c r="A4" s="122" t="str">
        <x:v>Metric</x:v>
      </x:c>
      <x:c r="B4" s="122" t="str">
        <x:v>Formula-linked value</x:v>
      </x:c>
      <x:c r="D4" s="128" t="str">
        <x:v>Method warning
String frequency is not equivalent to historical fear. Threat is not emotion. Inventory composition is not historical prevalence. Search counts are provider discoverability, not corpus frequency.</x:v>
      </x:c>
      <x:c r="E4" s="128" t="str">
        <x:v>Method warning
String frequency is not equivalent to historical fear. Threat is not emotion. Inventory composition is not historical prevalence. Search counts are provider discoverability, not corpus frequency.</x:v>
      </x:c>
      <x:c r="F4" s="128" t="str">
        <x:v>Method warning
String frequency is not equivalent to historical fear. Threat is not emotion. Inventory composition is not historical prevalence. Search counts are provider discoverability, not corpus frequency.</x:v>
      </x:c>
      <x:c r="G4" s="128" t="str">
        <x:v>Method warning
String frequency is not equivalent to historical fear. Threat is not emotion. Inventory composition is not historical prevalence. Search counts are provider discoverability, not corpus frequency.</x:v>
      </x:c>
      <x:c r="H4" s="128" t="str">
        <x:v>Method warning
String frequency is not equivalent to historical fear. Threat is not emotion. Inventory composition is not historical prevalence. Search counts are provider discoverability, not corpus frequency.</x:v>
      </x:c>
    </x:row>
    <x:row r="5">
      <x:c r="A5" s="123" t="str">
        <x:v>Priority candidates</x:v>
      </x:c>
      <x:c r="B5" s="120" t="n">
        <x:f>COUNTA('Priority 180 Coverage'!A5:A184)</x:f>
        <x:v>180</x:v>
      </x:c>
      <x:c r="D5" s="128" t="str">
        <x:v>Method warning
String frequency is not equivalent to historical fear. Threat is not emotion. Inventory composition is not historical prevalence. Search counts are provider discoverability, not corpus frequency.</x:v>
      </x:c>
      <x:c r="E5" s="128" t="str">
        <x:v>Method warning
String frequency is not equivalent to historical fear. Threat is not emotion. Inventory composition is not historical prevalence. Search counts are provider discoverability, not corpus frequency.</x:v>
      </x:c>
      <x:c r="F5" s="128" t="str">
        <x:v>Method warning
String frequency is not equivalent to historical fear. Threat is not emotion. Inventory composition is not historical prevalence. Search counts are provider discoverability, not corpus frequency.</x:v>
      </x:c>
      <x:c r="G5" s="128" t="str">
        <x:v>Method warning
String frequency is not equivalent to historical fear. Threat is not emotion. Inventory composition is not historical prevalence. Search counts are provider discoverability, not corpus frequency.</x:v>
      </x:c>
      <x:c r="H5" s="128" t="str">
        <x:v>Method warning
String frequency is not equivalent to historical fear. Threat is not emotion. Inventory composition is not historical prevalence. Search counts are provider discoverability, not corpus frequency.</x:v>
      </x:c>
    </x:row>
    <x:row r="6">
      <x:c r="A6" s="123" t="str">
        <x:v>Candidate relations</x:v>
      </x:c>
      <x:c r="B6" s="120" t="n">
        <x:f>COUNTA('Candidate Relations'!A5:A500)</x:f>
        <x:v>337</x:v>
      </x:c>
      <x:c r="D6" s="128" t="str">
        <x:v>Method warning
String frequency is not equivalent to historical fear. Threat is not emotion. Inventory composition is not historical prevalence. Search counts are provider discoverability, not corpus frequency.</x:v>
      </x:c>
      <x:c r="E6" s="128" t="str">
        <x:v>Method warning
String frequency is not equivalent to historical fear. Threat is not emotion. Inventory composition is not historical prevalence. Search counts are provider discoverability, not corpus frequency.</x:v>
      </x:c>
      <x:c r="F6" s="128" t="str">
        <x:v>Method warning
String frequency is not equivalent to historical fear. Threat is not emotion. Inventory composition is not historical prevalence. Search counts are provider discoverability, not corpus frequency.</x:v>
      </x:c>
      <x:c r="G6" s="128" t="str">
        <x:v>Method warning
String frequency is not equivalent to historical fear. Threat is not emotion. Inventory composition is not historical prevalence. Search counts are provider discoverability, not corpus frequency.</x:v>
      </x:c>
      <x:c r="H6" s="128" t="str">
        <x:v>Method warning
String frequency is not equivalent to historical fear. Threat is not emotion. Inventory composition is not historical prevalence. Search counts are provider discoverability, not corpus frequency.</x:v>
      </x:c>
    </x:row>
    <x:row r="7">
      <x:c r="A7" s="123" t="str">
        <x:v>Comparability rows</x:v>
      </x:c>
      <x:c r="B7" s="120" t="n">
        <x:f>COUNTA('Comparability'!A5:A100)</x:f>
        <x:v>32</x:v>
      </x:c>
      <x:c r="D7" s="128" t="str">
        <x:v>Method warning
String frequency is not equivalent to historical fear. Threat is not emotion. Inventory composition is not historical prevalence. Search counts are provider discoverability, not corpus frequency.</x:v>
      </x:c>
      <x:c r="E7" s="128" t="str">
        <x:v>Method warning
String frequency is not equivalent to historical fear. Threat is not emotion. Inventory composition is not historical prevalence. Search counts are provider discoverability, not corpus frequency.</x:v>
      </x:c>
      <x:c r="F7" s="128" t="str">
        <x:v>Method warning
String frequency is not equivalent to historical fear. Threat is not emotion. Inventory composition is not historical prevalence. Search counts are provider discoverability, not corpus frequency.</x:v>
      </x:c>
      <x:c r="G7" s="128" t="str">
        <x:v>Method warning
String frequency is not equivalent to historical fear. Threat is not emotion. Inventory composition is not historical prevalence. Search counts are provider discoverability, not corpus frequency.</x:v>
      </x:c>
      <x:c r="H7" s="128" t="str">
        <x:v>Method warning
String frequency is not equivalent to historical fear. Threat is not emotion. Inventory composition is not historical prevalence. Search counts are provider discoverability, not corpus frequency.</x:v>
      </x:c>
    </x:row>
    <x:row r="8">
      <x:c r="A8" s="123" t="str">
        <x:v>Ngram annual observations</x:v>
      </x:c>
      <x:c r="B8" s="120" t="n">
        <x:f>SUM('Ngram Coverage'!I5:I147)</x:f>
        <x:v>23892</x:v>
      </x:c>
      <x:c r="D8" s="128" t="str">
        <x:v>Method warning
String frequency is not equivalent to historical fear. Threat is not emotion. Inventory composition is not historical prevalence. Search counts are provider discoverability, not corpus frequency.</x:v>
      </x:c>
      <x:c r="E8" s="128" t="str">
        <x:v>Method warning
String frequency is not equivalent to historical fear. Threat is not emotion. Inventory composition is not historical prevalence. Search counts are provider discoverability, not corpus frequency.</x:v>
      </x:c>
      <x:c r="F8" s="128" t="str">
        <x:v>Method warning
String frequency is not equivalent to historical fear. Threat is not emotion. Inventory composition is not historical prevalence. Search counts are provider discoverability, not corpus frequency.</x:v>
      </x:c>
      <x:c r="G8" s="128" t="str">
        <x:v>Method warning
String frequency is not equivalent to historical fear. Threat is not emotion. Inventory composition is not historical prevalence. Search counts are provider discoverability, not corpus frequency.</x:v>
      </x:c>
      <x:c r="H8" s="128" t="str">
        <x:v>Method warning
String frequency is not equivalent to historical fear. Threat is not emotion. Inventory composition is not historical prevalence. Search counts are provider discoverability, not corpus frequency.</x:v>
      </x:c>
    </x:row>
    <x:row r="9">
      <x:c r="A9" s="123" t="str">
        <x:v>Dictionary candidates</x:v>
      </x:c>
      <x:c r="B9" s="120" t="n">
        <x:f>COUNTA('Dictionary 180'!A5:A184)</x:f>
        <x:v>180</x:v>
      </x:c>
      <x:c r="D9" s="128" t="str">
        <x:v>Method warning
String frequency is not equivalent to historical fear. Threat is not emotion. Inventory composition is not historical prevalence. Search counts are provider discoverability, not corpus frequency.</x:v>
      </x:c>
      <x:c r="E9" s="128" t="str">
        <x:v>Method warning
String frequency is not equivalent to historical fear. Threat is not emotion. Inventory composition is not historical prevalence. Search counts are provider discoverability, not corpus frequency.</x:v>
      </x:c>
      <x:c r="F9" s="128" t="str">
        <x:v>Method warning
String frequency is not equivalent to historical fear. Threat is not emotion. Inventory composition is not historical prevalence. Search counts are provider discoverability, not corpus frequency.</x:v>
      </x:c>
      <x:c r="G9" s="128" t="str">
        <x:v>Method warning
String frequency is not equivalent to historical fear. Threat is not emotion. Inventory composition is not historical prevalence. Search counts are provider discoverability, not corpus frequency.</x:v>
      </x:c>
      <x:c r="H9" s="128" t="str">
        <x:v>Method warning
String frequency is not equivalent to historical fear. Threat is not emotion. Inventory composition is not historical prevalence. Search counts are provider discoverability, not corpus frequency.</x:v>
      </x:c>
    </x:row>
    <x:row r="10">
      <x:c r="A10" s="123" t="str">
        <x:v>Search candidates</x:v>
      </x:c>
      <x:c r="B10" s="120" t="n">
        <x:f>COUNTA('Search 180'!A5:A184)</x:f>
        <x:v>180</x:v>
      </x:c>
      <x:c r="D10" s="128" t="str">
        <x:v>Method warning
String frequency is not equivalent to historical fear. Threat is not emotion. Inventory composition is not historical prevalence. Search counts are provider discoverability, not corpus frequency.</x:v>
      </x:c>
      <x:c r="E10" s="128" t="str">
        <x:v>Method warning
String frequency is not equivalent to historical fear. Threat is not emotion. Inventory composition is not historical prevalence. Search counts are provider discoverability, not corpus frequency.</x:v>
      </x:c>
      <x:c r="F10" s="128" t="str">
        <x:v>Method warning
String frequency is not equivalent to historical fear. Threat is not emotion. Inventory composition is not historical prevalence. Search counts are provider discoverability, not corpus frequency.</x:v>
      </x:c>
      <x:c r="G10" s="128" t="str">
        <x:v>Method warning
String frequency is not equivalent to historical fear. Threat is not emotion. Inventory composition is not historical prevalence. Search counts are provider discoverability, not corpus frequency.</x:v>
      </x:c>
      <x:c r="H10" s="128" t="str">
        <x:v>Method warning
String frequency is not equivalent to historical fear. Threat is not emotion. Inventory composition is not historical prevalence. Search counts are provider discoverability, not corpus frequency.</x:v>
      </x:c>
    </x:row>
    <x:row r="11">
      <x:c r="A11" s="123" t="str">
        <x:v>Seed ledger records</x:v>
      </x:c>
      <x:c r="B11" s="120" t="n">
        <x:f>COUNTA('Seed Ledger'!A5:A400)</x:f>
        <x:v>396</x:v>
      </x:c>
    </x:row>
    <x:row r="12">
      <x:c r="A12" s="123" t="str">
        <x:v>Lexical families</x:v>
      </x:c>
      <x:c r="B12" s="120" t="n">
        <x:f>COUNTA('Family Summary'!A5:A18)</x:f>
        <x:v>14</x:v>
      </x:c>
      <x:c r="D12" s="134" t="str">
        <x:v>Generated from the current project database and research exports; source tables remain version-controlled.</x:v>
      </x:c>
      <x:c r="E12" s="134" t="str">
        <x:v>Generated from the current project database and research exports; source tables remain version-controlled.</x:v>
      </x:c>
      <x:c r="F12" s="134" t="str">
        <x:v>Generated from the current project database and research exports; source tables remain version-controlled.</x:v>
      </x:c>
      <x:c r="G12" s="134" t="str">
        <x:v>Generated from the current project database and research exports; source tables remain version-controlled.</x:v>
      </x:c>
      <x:c r="H12" s="134" t="str">
        <x:v>Generated from the current project database and research exports; source tables remain version-controlled.</x:v>
      </x:c>
    </x:row>
    <x:row r="13">
      <x:c r="A13" s="123" t="str">
        <x:v>Figures</x:v>
      </x:c>
      <x:c r="B13" s="120" t="n">
        <x:f>15</x:f>
        <x:v>15</x:v>
      </x:c>
      <x:c r="D13" s="134" t="str">
        <x:v>Generated from the current project database and research exports; source tables remain version-controlled.</x:v>
      </x:c>
      <x:c r="E13" s="134" t="str">
        <x:v>Generated from the current project database and research exports; source tables remain version-controlled.</x:v>
      </x:c>
      <x:c r="F13" s="134" t="str">
        <x:v>Generated from the current project database and research exports; source tables remain version-controlled.</x:v>
      </x:c>
      <x:c r="G13" s="134" t="str">
        <x:v>Generated from the current project database and research exports; source tables remain version-controlled.</x:v>
      </x:c>
      <x:c r="H13" s="134" t="str">
        <x:v>Generated from the current project database and research exports; source tables remain version-controlled.</x:v>
      </x:c>
    </x:row>
    <x:row r="14">
      <x:c r="A14" s="123" t="str">
        <x:v>Ngram unexplained</x:v>
      </x:c>
      <x:c r="B14" s="120" t="n">
        <x:f>COUNTIF('Ngram Coverage'!H5:H147,"UNRESOLVED")</x:f>
        <x:v>0</x:v>
      </x:c>
      <x:c r="D14" s="134" t="str">
        <x:v>Generated from the current project database and research exports; source tables remain version-controlled.</x:v>
      </x:c>
      <x:c r="E14" s="134" t="str">
        <x:v>Generated from the current project database and research exports; source tables remain version-controlled.</x:v>
      </x:c>
      <x:c r="F14" s="134" t="str">
        <x:v>Generated from the current project database and research exports; source tables remain version-controlled.</x:v>
      </x:c>
      <x:c r="G14" s="134" t="str">
        <x:v>Generated from the current project database and research exports; source tables remain version-controlled.</x:v>
      </x:c>
      <x:c r="H14" s="134" t="str">
        <x:v>Generated from the current project database and research exports; source tables remain version-controlled.</x:v>
      </x:c>
    </x:row>
    <x:row r="15">
      <x:c r="A15" s="123" t="str">
        <x:v>Controlled missingness cells</x:v>
      </x:c>
      <x:c r="B15" s="120" t="n">
        <x:f>1310</x:f>
        <x:v>1310</x:v>
      </x:c>
      <x:c r="D15" s="134" t="str">
        <x:v>Generated from the current project database and research exports; source tables remain version-controlled.</x:v>
      </x:c>
      <x:c r="E15" s="134" t="str">
        <x:v>Generated from the current project database and research exports; source tables remain version-controlled.</x:v>
      </x:c>
      <x:c r="F15" s="134" t="str">
        <x:v>Generated from the current project database and research exports; source tables remain version-controlled.</x:v>
      </x:c>
      <x:c r="G15" s="134" t="str">
        <x:v>Generated from the current project database and research exports; source tables remain version-controlled.</x:v>
      </x:c>
      <x:c r="H15" s="134" t="str">
        <x:v>Generated from the current project database and research exports; source tables remain version-controlled.</x:v>
      </x:c>
    </x:row>
    <x:row r="16">
      <x:c r="A16" s="123" t="str">
        <x:v>Workbook stage</x:v>
      </x:c>
      <x:c r="B16" s="120" t="str">
        <x:f>"EDA_STAGES_1_TO_4"</x:f>
        <x:v>EDA_STAGES_1_TO_4</x:v>
      </x:c>
      <x:c r="D16" s="134" t="str">
        <x:v>Generated from the current project database and research exports; source tables remain version-controlled.</x:v>
      </x:c>
      <x:c r="E16" s="134" t="str">
        <x:v>Generated from the current project database and research exports; source tables remain version-controlled.</x:v>
      </x:c>
      <x:c r="F16" s="134" t="str">
        <x:v>Generated from the current project database and research exports; source tables remain version-controlled.</x:v>
      </x:c>
      <x:c r="G16" s="134" t="str">
        <x:v>Generated from the current project database and research exports; source tables remain version-controlled.</x:v>
      </x:c>
      <x:c r="H16" s="134" t="str">
        <x:v>Generated from the current project database and research exports; source tables remain version-controlled.</x:v>
      </x:c>
    </x:row>
  </x:sheetData>
  <x:mergeCells>
    <x:mergeCell ref="A1:H1"/>
    <x:mergeCell ref="A2:H2"/>
    <x:mergeCell ref="D4:H10"/>
    <x:mergeCell ref="D12:H16"/>
  </x:mergeCells>
  <x:pageMargins left="0.7" right="0.7" top="0.75" bottom="0.75" header="0.3" footer="0.3"/>
</x:worksheet>
</file>