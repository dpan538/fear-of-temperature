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b459f5796843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iority_180" sheetId="1" r:id="Rd84b886611614500"/>
    <x:sheet xmlns:r="http://schemas.openxmlformats.org/officeDocument/2006/relationships" name="Ngram_Coverage" sheetId="2" r:id="R0a3732935cbd4cf1"/>
    <x:sheet xmlns:r="http://schemas.openxmlformats.org/officeDocument/2006/relationships" name="Ngram_Anchor_Stats" sheetId="3" r:id="Re0ceacf694664017"/>
    <x:sheet xmlns:r="http://schemas.openxmlformats.org/officeDocument/2006/relationships" name="Dictionary_180" sheetId="4" r:id="Re337b519b11d46ec"/>
    <x:sheet xmlns:r="http://schemas.openxmlformats.org/officeDocument/2006/relationships" name="Search_180" sheetId="5" r:id="Rdf7f84b0f7ac4537"/>
    <x:sheet xmlns:r="http://schemas.openxmlformats.org/officeDocument/2006/relationships" name="Voice_Mapping" sheetId="6" r:id="R9d58c38a02a146f3"/>
    <x:sheet xmlns:r="http://schemas.openxmlformats.org/officeDocument/2006/relationships" name="Lexical_Families" sheetId="7" r:id="R892911ee33654c0f"/>
    <x:sheet xmlns:r="http://schemas.openxmlformats.org/officeDocument/2006/relationships" name="Coverage_Audit" sheetId="8" r:id="R8a466801afde4bea"/>
    <x:sheet xmlns:r="http://schemas.openxmlformats.org/officeDocument/2006/relationships" name="Exceptions" sheetId="9" r:id="R8fef741716f14704"/>
    <x:sheet xmlns:r="http://schemas.openxmlformats.org/officeDocument/2006/relationships" name="Supervisor_Summary" sheetId="10" r:id="Rf496fda45a3143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000000E+00"/>
    <x:numFmt numFmtId="201" formatCode="0"/>
  </x:numFmts>
  <x:fonts count="20">
    <x:font>
      <x:sz val="11"/>
      <x:name val="Carlito"/>
    </x:font>
    <x:font>
      <x:sz val="9"/>
      <x:color rgb="FF243B53"/>
      <x:name val="Arial"/>
    </x:font>
    <x:font>
      <x:b/>
      <x:sz val="9"/>
      <x:color rgb="FFFFFFFF"/>
      <x:name val="Arial"/>
    </x:font>
    <x:font>
      <x:b/>
      <x:sz val="20"/>
      <x:color rgb="FFFFFFFF"/>
      <x:name val="Arial"/>
    </x:font>
    <x:font>
      <x:i/>
      <x:sz val="11"/>
      <x:color rgb="FF17324D"/>
      <x:name val="Arial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sz val="11"/>
      <x:color rgb="FF7B341E"/>
      <x:name val="Arial"/>
    </x:font>
    <x:font>
      <x:sz val="11"/>
      <x:name val="Arial"/>
    </x:font>
    <x:font>
      <x:b/>
      <x:sz val="11"/>
      <x:color rgb="FFFFFFFF"/>
      <x:name val="Arial"/>
    </x:font>
    <x:font>
      <x:b/>
      <x:sz val="11"/>
      <x:color rgb="FF17324D"/>
      <x:name val="Arial"/>
    </x:font>
    <x:font>
      <x:b/>
      <x:sz val="22"/>
      <x:color rgb="FFFFFFFF"/>
      <x:name val="Arial"/>
    </x:font>
    <x:font>
      <x:sz val="11"/>
      <x:color rgb="FF243B53"/>
      <x:name val="Arial"/>
    </x:font>
    <x:font>
      <x:sz val="10"/>
      <x:color rgb="FF7B341E"/>
      <x:name val="Arial"/>
    </x:font>
    <x:font>
      <x:b/>
      <x:sz val="10"/>
      <x:color rgb="FF7B341E"/>
      <x:name val="Arial"/>
    </x:font>
    <x:font>
      <x:sz val="10"/>
      <x:color rgb="FF17324D"/>
      <x:name val="Arial"/>
    </x:font>
    <x:font>
      <x:b/>
      <x:sz val="10"/>
      <x:color rgb="FF0B6E75"/>
      <x:name val="Arial"/>
    </x:font>
    <x:font>
      <x:b/>
      <x:sz val="11"/>
      <x:color rgb="FF102A43"/>
      <x:name val="Carlito"/>
    </x:font>
    <x:font>
      <x:i/>
      <x:sz val="11"/>
      <x:color rgb="FF7B5B12"/>
      <x:name val="Arial"/>
    </x:font>
    <x:font>
      <x:b/>
      <x:sz val="11"/>
      <x:color rgb="FF102A43"/>
      <x:name val="Arial"/>
    </x:font>
  </x:fonts>
  <x:fills count="1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02A43"/>
      </x:patternFill>
    </x:fill>
    <x:fill>
      <x:patternFill patternType="solid">
        <x:fgColor rgb="FFD9EAF0"/>
      </x:patternFill>
    </x:fill>
    <x:fill>
      <x:patternFill patternType="solid">
        <x:fgColor rgb="FF0B6E75"/>
      </x:patternFill>
    </x:fill>
    <x:fill>
      <x:patternFill patternType="solid">
        <x:fgColor rgb="FFEEF4F7"/>
      </x:patternFill>
    </x:fill>
    <x:fill>
      <x:patternFill patternType="solid">
        <x:fgColor rgb="FFFFF3EC"/>
      </x:patternFill>
    </x:fill>
    <x:fill>
      <x:patternFill patternType="solid">
        <x:fgColor rgb="FF6B5CA5"/>
      </x:patternFill>
    </x:fill>
    <x:fill>
      <x:patternFill patternType="solid">
        <x:fgColor rgb="FFF3F0F8"/>
      </x:patternFill>
    </x:fill>
    <x:fill>
      <x:patternFill patternType="solid">
        <x:fgColor rgb="FFC65D3B"/>
      </x:patternFill>
    </x:fill>
    <x:fill>
      <x:patternFill patternType="solid">
        <x:fgColor rgb="FFEDF8F7"/>
      </x:patternFill>
    </x:fill>
    <x:fill>
      <x:patternFill patternType="solid">
        <x:fgColor rgb="FFD49B28"/>
      </x:patternFill>
    </x:fill>
    <x:fill>
      <x:patternFill patternType="solid">
        <x:fgColor rgb="FFFFF8E7"/>
      </x:patternFill>
    </x:fill>
  </x:fills>
  <x:borders count="32">
    <x:border/>
    <x:border/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right style="thin">
        <x:color rgb="FFE8EEF3"/>
      </x:right>
      <x:bottom style="thin">
        <x:color rgb="FFE8EEF3"/>
      </x:bottom>
    </x:border>
    <x:border>
      <x:left style="thin">
        <x:color rgb="FFE8EEF3"/>
      </x:left>
      <x:right style="thin">
        <x:color rgb="FFE8EEF3"/>
      </x:right>
      <x:bottom style="thin">
        <x:color rgb="FFE8EEF3"/>
      </x:bottom>
    </x:border>
    <x:border>
      <x:left style="thin">
        <x:color rgb="FFE8EEF3"/>
      </x:left>
      <x:bottom style="thin">
        <x:color rgb="FFE8EEF3"/>
      </x:bottom>
    </x:border>
    <x:border>
      <x:right style="thin">
        <x:color rgb="FFE8EEF3"/>
      </x:right>
      <x:top style="thin">
        <x:color rgb="FFE8EEF3"/>
      </x:top>
      <x:bottom style="thin">
        <x:color rgb="FFE8EEF3"/>
      </x:bottom>
    </x:border>
    <x:border>
      <x:left style="thin">
        <x:color rgb="FFE8EEF3"/>
      </x:left>
      <x:right style="thin">
        <x:color rgb="FFE8EEF3"/>
      </x:right>
      <x:top style="thin">
        <x:color rgb="FFE8EEF3"/>
      </x:top>
      <x:bottom style="thin">
        <x:color rgb="FFE8EEF3"/>
      </x:bottom>
    </x:border>
    <x:border>
      <x:left style="thin">
        <x:color rgb="FFE8EEF3"/>
      </x:left>
      <x:top style="thin">
        <x:color rgb="FFE8EEF3"/>
      </x:top>
      <x:bottom style="thin">
        <x:color rgb="FFE8EEF3"/>
      </x:bottom>
    </x:border>
    <x:border>
      <x:right style="thin">
        <x:color rgb="FFE8EEF3"/>
      </x:right>
      <x:top style="thin">
        <x:color rgb="FFE8EEF3"/>
      </x:top>
    </x:border>
    <x:border>
      <x:left style="thin">
        <x:color rgb="FFE8EEF3"/>
      </x:left>
      <x:right style="thin">
        <x:color rgb="FFE8EEF3"/>
      </x:right>
      <x:top style="thin">
        <x:color rgb="FFE8EEF3"/>
      </x:top>
    </x:border>
    <x:border>
      <x:left style="thin">
        <x:color rgb="FFE8EEF3"/>
      </x:left>
      <x:top style="thin">
        <x:color rgb="FFE8EEF3"/>
      </x:top>
    </x:border>
    <x:border>
      <x:right style="thin">
        <x:color rgb="FFE8EEF3"/>
      </x:right>
      <x:bottom style="thin">
        <x:color rgb="FFE8EEF3"/>
      </x:bottom>
    </x:border>
    <x:border>
      <x:left style="thin">
        <x:color rgb="FFE8EEF3"/>
      </x:left>
      <x:right style="thin">
        <x:color rgb="FFE8EEF3"/>
      </x:right>
      <x:bottom style="thin">
        <x:color rgb="FFE8EEF3"/>
      </x:bottom>
    </x:border>
    <x:border>
      <x:left style="thin">
        <x:color rgb="FFE8EEF3"/>
      </x:left>
      <x:bottom style="thin">
        <x:color rgb="FFE8EEF3"/>
      </x:bottom>
    </x:border>
    <x:border>
      <x:right style="thin">
        <x:color rgb="FFE8EEF3"/>
      </x:right>
      <x:top style="thin">
        <x:color rgb="FFE8EEF3"/>
      </x:top>
      <x:bottom style="thin">
        <x:color rgb="FFE8EEF3"/>
      </x:bottom>
    </x:border>
    <x:border>
      <x:left style="thin">
        <x:color rgb="FFE8EEF3"/>
      </x:left>
      <x:right style="thin">
        <x:color rgb="FFE8EEF3"/>
      </x:right>
      <x:top style="thin">
        <x:color rgb="FFE8EEF3"/>
      </x:top>
      <x:bottom style="thin">
        <x:color rgb="FFE8EEF3"/>
      </x:bottom>
    </x:border>
    <x:border>
      <x:left style="thin">
        <x:color rgb="FFE8EEF3"/>
      </x:left>
      <x:top style="thin">
        <x:color rgb="FFE8EEF3"/>
      </x:top>
      <x:bottom style="thin">
        <x:color rgb="FFE8EEF3"/>
      </x:bottom>
    </x:border>
    <x:border>
      <x:right style="thin">
        <x:color rgb="FFE8EEF3"/>
      </x:right>
      <x:top style="thin">
        <x:color rgb="FFE8EEF3"/>
      </x:top>
    </x:border>
    <x:border>
      <x:left style="thin">
        <x:color rgb="FFE8EEF3"/>
      </x:left>
      <x:right style="thin">
        <x:color rgb="FFE8EEF3"/>
      </x:right>
      <x:top style="thin">
        <x:color rgb="FFE8EEF3"/>
      </x:top>
    </x:border>
    <x:border>
      <x:left style="thin">
        <x:color rgb="FFE8EEF3"/>
      </x:left>
      <x:top style="thin">
        <x:color rgb="FFE8EEF3"/>
      </x:top>
    </x:border>
    <x:border>
      <x:left style="thin">
        <x:color rgb="FFC9D4DF"/>
      </x:left>
      <x:right style="thin">
        <x:color rgb="FFC9D4DF"/>
      </x:right>
      <x:top style="thin">
        <x:color rgb="FFC9D4DF"/>
      </x:top>
      <x:bottom style="thin">
        <x:color rgb="FFC9D4DF"/>
      </x:bottom>
    </x:border>
    <x:border>
      <x:left style="thin">
        <x:color rgb="FFC9D4DF"/>
      </x:left>
      <x:right style="thin">
        <x:color rgb="FFC9D4DF"/>
      </x:right>
      <x:top style="thin">
        <x:color rgb="FFC9D4DF"/>
      </x:top>
      <x:bottom style="thin">
        <x:color rgb="FFC9D4DF"/>
      </x:bottom>
    </x:border>
    <x:border>
      <x:left style="thin">
        <x:color rgb="FFE9C2AE"/>
      </x:left>
      <x:right style="thin">
        <x:color rgb="FFE9C2AE"/>
      </x:right>
      <x:top style="thin">
        <x:color rgb="FFE9C2AE"/>
      </x:top>
      <x:bottom style="thin">
        <x:color rgb="FFE9C2AE"/>
      </x:bottom>
    </x:border>
    <x:border>
      <x:left style="thin">
        <x:color rgb="FFE9C2AE"/>
      </x:left>
      <x:right style="thin">
        <x:color rgb="FFE9C2AE"/>
      </x:right>
      <x:top style="thin">
        <x:color rgb="FFE9C2AE"/>
      </x:top>
      <x:bottom style="thin">
        <x:color rgb="FFE9C2AE"/>
      </x:bottom>
    </x:border>
    <x:border>
      <x:left style="thin">
        <x:color rgb="FFD8D0E7"/>
      </x:left>
      <x:right style="thin">
        <x:color rgb="FFD8D0E7"/>
      </x:right>
      <x:top style="thin">
        <x:color rgb="FFD8D0E7"/>
      </x:top>
      <x:bottom style="thin">
        <x:color rgb="FFD8D0E7"/>
      </x:bottom>
    </x:border>
    <x:border>
      <x:left style="thin">
        <x:color rgb="FFD8D0E7"/>
      </x:left>
      <x:right style="thin">
        <x:color rgb="FFD8D0E7"/>
      </x:right>
      <x:top style="thin">
        <x:color rgb="FFD8D0E7"/>
      </x:top>
      <x:bottom style="thin">
        <x:color rgb="FFD8D0E7"/>
      </x:bottom>
    </x:border>
    <x:border>
      <x:left style="thin">
        <x:color rgb="FFB7D8D6"/>
      </x:left>
      <x:right style="thin">
        <x:color rgb="FFB7D8D6"/>
      </x:right>
      <x:top style="thin">
        <x:color rgb="FFB7D8D6"/>
      </x:top>
      <x:bottom style="thin">
        <x:color rgb="FFB7D8D6"/>
      </x:bottom>
    </x:border>
    <x:border>
      <x:left style="thin">
        <x:color rgb="FFB7D8D6"/>
      </x:left>
      <x:right style="thin">
        <x:color rgb="FFB7D8D6"/>
      </x:right>
      <x:top style="thin">
        <x:color rgb="FFB7D8D6"/>
      </x:top>
      <x:bottom style="thin">
        <x:color rgb="FFB7D8D6"/>
      </x:bottom>
    </x:border>
    <x:border>
      <x:left style="thin">
        <x:color rgb="FFD49B28"/>
      </x:left>
      <x:right style="thin">
        <x:color rgb="FFD49B28"/>
      </x:right>
      <x:top style="thin">
        <x:color rgb="FFD49B28"/>
      </x:top>
      <x:bottom style="thin">
        <x:color rgb="FFD49B28"/>
      </x:bottom>
    </x:border>
    <x:border>
      <x:left style="thin">
        <x:color rgb="FFD49B28"/>
      </x:left>
      <x:right style="thin">
        <x:color rgb="FFD49B28"/>
      </x:right>
      <x:top style="thin">
        <x:color rgb="FFD49B28"/>
      </x:top>
      <x:bottom style="thin">
        <x:color rgb="FFD49B28"/>
      </x:bottom>
    </x:border>
  </x:borders>
  <x:cellStyleXfs count="1">
    <x:xf numFmtId="0" fontId="0" fillId="0" borderId="0"/>
  </x:cellStyleXfs>
  <x:cellXfs count="189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2" fillId="2" borderId="2" xfId="0" applyNumberFormat="1" applyFont="1" applyFill="1" applyBorder="1" applyAlignment="1">
      <x:alignment wrapText="1"/>
    </x:xf>
    <x:xf numFmtId="0" fontId="2" fillId="2" borderId="3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1" fillId="0" borderId="4" xfId="0" applyNumberFormat="1" applyFont="1" applyFill="1" applyBorder="1" applyAlignment="1">
      <x:alignment wrapText="1"/>
    </x:xf>
    <x:xf numFmtId="0" fontId="1" fillId="0" borderId="5" xfId="0" applyNumberFormat="1" applyFont="1" applyFill="1" applyBorder="1" applyAlignment="1">
      <x:alignment wrapText="1"/>
    </x:xf>
    <x:xf numFmtId="0" fontId="1" fillId="0" borderId="5" xfId="0" applyNumberFormat="1" applyFont="1" applyFill="1" applyBorder="1"/>
    <x:xf numFmtId="0" fontId="1" fillId="0" borderId="6" xfId="0" applyNumberFormat="1" applyFont="1" applyFill="1" applyBorder="1" applyAlignment="1">
      <x:alignment wrapText="1"/>
    </x:xf>
    <x:xf numFmtId="0" fontId="1" fillId="0" borderId="7" xfId="0" applyNumberFormat="1" applyFont="1" applyFill="1" applyBorder="1" applyAlignment="1">
      <x:alignment wrapText="1"/>
    </x:xf>
    <x:xf numFmtId="0" fontId="1" fillId="0" borderId="8" xfId="0" applyNumberFormat="1" applyFont="1" applyFill="1" applyBorder="1" applyAlignment="1">
      <x:alignment wrapText="1"/>
    </x:xf>
    <x:xf numFmtId="0" fontId="1" fillId="0" borderId="8" xfId="0" applyNumberFormat="1" applyFont="1" applyFill="1" applyBorder="1"/>
    <x:xf numFmtId="0" fontId="1" fillId="0" borderId="9" xfId="0" applyNumberFormat="1" applyFont="1" applyFill="1" applyBorder="1" applyAlignment="1">
      <x:alignment wrapText="1"/>
    </x:xf>
    <x:xf numFmtId="0" fontId="1" fillId="0" borderId="10" xfId="0" applyNumberFormat="1" applyFont="1" applyFill="1" applyBorder="1" applyAlignment="1">
      <x:alignment wrapText="1"/>
    </x:xf>
    <x:xf numFmtId="0" fontId="1" fillId="0" borderId="11" xfId="0" applyNumberFormat="1" applyFont="1" applyFill="1" applyBorder="1" applyAlignment="1">
      <x:alignment wrapText="1"/>
    </x:xf>
    <x:xf numFmtId="0" fontId="1" fillId="0" borderId="11" xfId="0" applyNumberFormat="1" applyFont="1" applyFill="1" applyBorder="1"/>
    <x:xf numFmtId="0" fontId="1" fillId="0" borderId="12" xfId="0" applyNumberFormat="1" applyFont="1" applyFill="1" applyBorder="1" applyAlignment="1">
      <x:alignment wrapText="1"/>
    </x:xf>
    <x:xf numFmtId="0" fontId="1" fillId="0" borderId="13" xfId="0" applyNumberFormat="1" applyFont="1" applyFill="1" applyBorder="1" applyAlignment="1">
      <x:alignment wrapText="1"/>
    </x:xf>
    <x:xf numFmtId="0" fontId="1" fillId="0" borderId="14" xfId="0" applyNumberFormat="1" applyFont="1" applyFill="1" applyBorder="1" applyAlignment="1">
      <x:alignment wrapText="1"/>
    </x:xf>
    <x:xf numFmtId="0" fontId="1" fillId="0" borderId="14" xfId="0" applyNumberFormat="1" applyFont="1" applyFill="1" applyBorder="1"/>
    <x:xf numFmtId="0" fontId="1" fillId="0" borderId="15" xfId="0" applyNumberFormat="1" applyFont="1" applyFill="1" applyBorder="1" applyAlignment="1">
      <x:alignment wrapText="1"/>
    </x:xf>
    <x:xf numFmtId="0" fontId="1" fillId="0" borderId="16" xfId="0" applyNumberFormat="1" applyFont="1" applyFill="1" applyBorder="1" applyAlignment="1">
      <x:alignment wrapText="1"/>
    </x:xf>
    <x:xf numFmtId="0" fontId="1" fillId="0" borderId="17" xfId="0" applyNumberFormat="1" applyFont="1" applyFill="1" applyBorder="1" applyAlignment="1">
      <x:alignment wrapText="1"/>
    </x:xf>
    <x:xf numFmtId="0" fontId="1" fillId="0" borderId="17" xfId="0" applyNumberFormat="1" applyFont="1" applyFill="1" applyBorder="1"/>
    <x:xf numFmtId="0" fontId="1" fillId="0" borderId="18" xfId="0" applyNumberFormat="1" applyFont="1" applyFill="1" applyBorder="1" applyAlignment="1">
      <x:alignment wrapText="1"/>
    </x:xf>
    <x:xf numFmtId="0" fontId="1" fillId="0" borderId="19" xfId="0" applyNumberFormat="1" applyFont="1" applyFill="1" applyBorder="1" applyAlignment="1">
      <x:alignment wrapText="1"/>
    </x:xf>
    <x:xf numFmtId="0" fontId="1" fillId="0" borderId="20" xfId="0" applyNumberFormat="1" applyFont="1" applyFill="1" applyBorder="1" applyAlignment="1">
      <x:alignment wrapText="1"/>
    </x:xf>
    <x:xf numFmtId="0" fontId="1" fillId="0" borderId="20" xfId="0" applyNumberFormat="1" applyFont="1" applyFill="1" applyBorder="1"/>
    <x:xf numFmtId="0" fontId="1" fillId="0" borderId="21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  <x:xf numFmtId="200" fontId="1" fillId="0" borderId="1" xfId="0" applyNumberFormat="1" applyFont="1" applyFill="1" applyBorder="1"/>
    <x:xf numFmtId="200" fontId="1" fillId="0" borderId="5" xfId="0" applyNumberFormat="1" applyFont="1" applyFill="1" applyBorder="1"/>
    <x:xf numFmtId="200" fontId="1" fillId="0" borderId="8" xfId="0" applyNumberFormat="1" applyFont="1" applyFill="1" applyBorder="1"/>
    <x:xf numFmtId="200" fontId="1" fillId="0" borderId="11" xfId="0" applyNumberFormat="1" applyFont="1" applyFill="1" applyBorder="1"/>
    <x:xf numFmtId="200" fontId="1" fillId="0" borderId="14" xfId="0" applyNumberFormat="1" applyFont="1" applyFill="1" applyBorder="1"/>
    <x:xf numFmtId="200" fontId="1" fillId="0" borderId="17" xfId="0" applyNumberFormat="1" applyFont="1" applyFill="1" applyBorder="1"/>
    <x:xf numFmtId="200" fontId="1" fillId="0" borderId="20" xfId="0" applyNumberFormat="1" applyFont="1" applyFill="1" applyBorder="1"/>
    <x:xf numFmtId="0" fontId="1" fillId="0" borderId="6" xfId="0" applyNumberFormat="1" applyFont="1" applyFill="1" applyBorder="1"/>
    <x:xf numFmtId="0" fontId="1" fillId="0" borderId="9" xfId="0" applyNumberFormat="1" applyFont="1" applyFill="1" applyBorder="1"/>
    <x:xf numFmtId="0" fontId="1" fillId="0" borderId="12" xfId="0" applyNumberFormat="1" applyFont="1" applyFill="1" applyBorder="1"/>
    <x:xf numFmtId="0" fontId="1" fillId="0" borderId="15" xfId="0" applyNumberFormat="1" applyFont="1" applyFill="1" applyBorder="1"/>
    <x:xf numFmtId="0" fontId="1" fillId="0" borderId="18" xfId="0" applyNumberFormat="1" applyFont="1" applyFill="1" applyBorder="1"/>
    <x:xf numFmtId="0" fontId="1" fillId="0" borderId="21" xfId="0" applyNumberFormat="1" applyFont="1" applyFill="1" applyBorder="1"/>
    <x:xf numFmtId="201" fontId="1" fillId="0" borderId="0" xfId="0" applyNumberFormat="1" applyFont="1" applyFill="1" applyBorder="1"/>
    <x:xf numFmtId="201" fontId="1" fillId="0" borderId="1" xfId="0" applyNumberFormat="1" applyFont="1" applyFill="1" applyBorder="1"/>
    <x:xf numFmtId="201" fontId="1" fillId="0" borderId="5" xfId="0" applyNumberFormat="1" applyFont="1" applyFill="1" applyBorder="1"/>
    <x:xf numFmtId="201" fontId="1" fillId="0" borderId="8" xfId="0" applyNumberFormat="1" applyFont="1" applyFill="1" applyBorder="1"/>
    <x:xf numFmtId="201" fontId="1" fillId="0" borderId="11" xfId="0" applyNumberFormat="1" applyFont="1" applyFill="1" applyBorder="1"/>
    <x:xf numFmtId="201" fontId="1" fillId="0" borderId="14" xfId="0" applyNumberFormat="1" applyFont="1" applyFill="1" applyBorder="1"/>
    <x:xf numFmtId="201" fontId="1" fillId="0" borderId="17" xfId="0" applyNumberFormat="1" applyFont="1" applyFill="1" applyBorder="1"/>
    <x:xf numFmtId="201" fontId="1" fillId="0" borderId="20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5" fillId="5" borderId="0" xfId="0" applyNumberFormat="1" applyFont="1" applyFill="1" applyBorder="1"/>
    <x:xf numFmtId="0" fontId="5" fillId="5" borderId="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0" fontId="0" fillId="6" borderId="22" xfId="0" applyNumberFormat="1" applyFont="1" applyFill="1" applyBorder="1"/>
    <x:xf numFmtId="0" fontId="0" fillId="6" borderId="23" xfId="0" applyNumberFormat="1" applyFont="1" applyFill="1" applyBorder="1"/>
    <x:xf numFmtId="0" fontId="6" fillId="6" borderId="22" xfId="0" applyNumberFormat="1" applyFont="1" applyFill="1" applyBorder="1"/>
    <x:xf numFmtId="0" fontId="6" fillId="6" borderId="23" xfId="0" applyNumberFormat="1" applyFont="1" applyFill="1" applyBorder="1"/>
    <x:xf numFmtId="0" fontId="0" fillId="7" borderId="0" xfId="0" applyNumberFormat="1" applyFont="1" applyFill="1" applyBorder="1"/>
    <x:xf numFmtId="0" fontId="0" fillId="7" borderId="1" xfId="0" applyNumberFormat="1" applyFont="1" applyFill="1" applyBorder="1"/>
    <x:xf numFmtId="0" fontId="7" fillId="7" borderId="0" xfId="0" applyNumberFormat="1" applyFont="1" applyFill="1" applyBorder="1"/>
    <x:xf numFmtId="0" fontId="7" fillId="7" borderId="1" xfId="0" applyNumberFormat="1" applyFont="1" applyFill="1" applyBorder="1"/>
    <x:xf numFmtId="0" fontId="7" fillId="7" borderId="24" xfId="0" applyNumberFormat="1" applyFont="1" applyFill="1" applyBorder="1"/>
    <x:xf numFmtId="0" fontId="7" fillId="7" borderId="25" xfId="0" applyNumberFormat="1" applyFont="1" applyFill="1" applyBorder="1"/>
    <x:xf numFmtId="0" fontId="7" fillId="7" borderId="24" xfId="0" applyNumberFormat="1" applyFont="1" applyFill="1" applyBorder="1" applyAlignment="1">
      <x:alignment wrapText="1"/>
    </x:xf>
    <x:xf numFmtId="0" fontId="7" fillId="7" borderId="25" xfId="0" applyNumberFormat="1" applyFont="1" applyFill="1" applyBorder="1" applyAlignment="1">
      <x:alignment wrapText="1"/>
    </x:xf>
    <x:xf numFmtId="0" fontId="8" fillId="0" borderId="0" xfId="0" applyNumberFormat="1" applyFont="1" applyFill="1" applyBorder="1"/>
    <x:xf numFmtId="0" fontId="9" fillId="5" borderId="0" xfId="0" applyNumberFormat="1" applyFont="1" applyFill="1" applyBorder="1"/>
    <x:xf numFmtId="0" fontId="10" fillId="6" borderId="22" xfId="0" applyNumberFormat="1" applyFont="1" applyFill="1" applyBorder="1"/>
    <x:xf numFmtId="0" fontId="8" fillId="0" borderId="22" xfId="0" applyNumberFormat="1" applyFont="1" applyFill="1" applyBorder="1"/>
    <x:xf numFmtId="0" fontId="8" fillId="0" borderId="1" xfId="0" applyNumberFormat="1" applyFont="1" applyFill="1" applyBorder="1"/>
    <x:xf numFmtId="0" fontId="9" fillId="5" borderId="1" xfId="0" applyNumberFormat="1" applyFont="1" applyFill="1" applyBorder="1"/>
    <x:xf numFmtId="0" fontId="10" fillId="6" borderId="23" xfId="0" applyNumberFormat="1" applyFont="1" applyFill="1" applyBorder="1"/>
    <x:xf numFmtId="0" fontId="8" fillId="0" borderId="23" xfId="0" applyNumberFormat="1" applyFont="1" applyFill="1" applyBorder="1"/>
    <x:xf numFmtId="0" fontId="11" fillId="3" borderId="0" xfId="0" applyNumberFormat="1" applyFont="1" applyFill="1" applyBorder="1"/>
    <x:xf numFmtId="0" fontId="11" fillId="3" borderId="1" xfId="0" applyNumberFormat="1" applyFont="1" applyFill="1" applyBorder="1"/>
    <x:xf numFmtId="0" fontId="0" fillId="8" borderId="0" xfId="0" applyNumberFormat="1" applyFont="1" applyFill="1" applyBorder="1"/>
    <x:xf numFmtId="0" fontId="0" fillId="8" borderId="1" xfId="0" applyNumberFormat="1" applyFont="1" applyFill="1" applyBorder="1"/>
    <x:xf numFmtId="0" fontId="5" fillId="8" borderId="0" xfId="0" applyNumberFormat="1" applyFont="1" applyFill="1" applyBorder="1"/>
    <x:xf numFmtId="0" fontId="5" fillId="8" borderId="1" xfId="0" applyNumberFormat="1" applyFont="1" applyFill="1" applyBorder="1"/>
    <x:xf numFmtId="0" fontId="0" fillId="9" borderId="0" xfId="0" applyNumberFormat="1" applyFont="1" applyFill="1" applyBorder="1"/>
    <x:xf numFmtId="0" fontId="0" fillId="9" borderId="1" xfId="0" applyNumberFormat="1" applyFont="1" applyFill="1" applyBorder="1"/>
    <x:xf numFmtId="0" fontId="12" fillId="9" borderId="0" xfId="0" applyNumberFormat="1" applyFont="1" applyFill="1" applyBorder="1"/>
    <x:xf numFmtId="0" fontId="12" fillId="9" borderId="1" xfId="0" applyNumberFormat="1" applyFont="1" applyFill="1" applyBorder="1"/>
    <x:xf numFmtId="0" fontId="12" fillId="9" borderId="26" xfId="0" applyNumberFormat="1" applyFont="1" applyFill="1" applyBorder="1"/>
    <x:xf numFmtId="0" fontId="12" fillId="9" borderId="27" xfId="0" applyNumberFormat="1" applyFont="1" applyFill="1" applyBorder="1"/>
    <x:xf numFmtId="0" fontId="12" fillId="9" borderId="26" xfId="0" applyNumberFormat="1" applyFont="1" applyFill="1" applyBorder="1" applyAlignment="1">
      <x:alignment wrapText="1"/>
    </x:xf>
    <x:xf numFmtId="0" fontId="12" fillId="9" borderId="27" xfId="0" applyNumberFormat="1" applyFont="1" applyFill="1" applyBorder="1" applyAlignment="1">
      <x:alignment wrapText="1"/>
    </x:xf>
    <x:xf numFmtId="0" fontId="0" fillId="10" borderId="0" xfId="0" applyNumberFormat="1" applyFont="1" applyFill="1" applyBorder="1"/>
    <x:xf numFmtId="0" fontId="0" fillId="10" borderId="1" xfId="0" applyNumberFormat="1" applyFont="1" applyFill="1" applyBorder="1"/>
    <x:xf numFmtId="0" fontId="5" fillId="10" borderId="0" xfId="0" applyNumberFormat="1" applyFont="1" applyFill="1" applyBorder="1"/>
    <x:xf numFmtId="0" fontId="5" fillId="10" borderId="1" xfId="0" applyNumberFormat="1" applyFont="1" applyFill="1" applyBorder="1"/>
    <x:xf numFmtId="0" fontId="13" fillId="7" borderId="0" xfId="0" applyNumberFormat="1" applyFont="1" applyFill="1" applyBorder="1"/>
    <x:xf numFmtId="0" fontId="13" fillId="7" borderId="1" xfId="0" applyNumberFormat="1" applyFont="1" applyFill="1" applyBorder="1"/>
    <x:xf numFmtId="0" fontId="13" fillId="7" borderId="24" xfId="0" applyNumberFormat="1" applyFont="1" applyFill="1" applyBorder="1"/>
    <x:xf numFmtId="0" fontId="13" fillId="7" borderId="25" xfId="0" applyNumberFormat="1" applyFont="1" applyFill="1" applyBorder="1"/>
    <x:xf numFmtId="0" fontId="13" fillId="7" borderId="24" xfId="0" applyNumberFormat="1" applyFont="1" applyFill="1" applyBorder="1" applyAlignment="1">
      <x:alignment wrapText="1"/>
    </x:xf>
    <x:xf numFmtId="0" fontId="13" fillId="7" borderId="25" xfId="0" applyNumberFormat="1" applyFont="1" applyFill="1" applyBorder="1" applyAlignment="1">
      <x:alignment wrapText="1"/>
    </x:xf>
    <x:xf numFmtId="0" fontId="14" fillId="7" borderId="24" xfId="0" applyNumberFormat="1" applyFont="1" applyFill="1" applyBorder="1" applyAlignment="1">
      <x:alignment wrapText="1"/>
    </x:xf>
    <x:xf numFmtId="0" fontId="14" fillId="7" borderId="25" xfId="0" applyNumberFormat="1" applyFont="1" applyFill="1" applyBorder="1" applyAlignment="1">
      <x:alignment wrapText="1"/>
    </x:xf>
    <x:xf numFmtId="0" fontId="0" fillId="11" borderId="0" xfId="0" applyNumberFormat="1" applyFont="1" applyFill="1" applyBorder="1"/>
    <x:xf numFmtId="0" fontId="0" fillId="11" borderId="1" xfId="0" applyNumberFormat="1" applyFont="1" applyFill="1" applyBorder="1"/>
    <x:xf numFmtId="0" fontId="15" fillId="11" borderId="0" xfId="0" applyNumberFormat="1" applyFont="1" applyFill="1" applyBorder="1"/>
    <x:xf numFmtId="0" fontId="15" fillId="11" borderId="1" xfId="0" applyNumberFormat="1" applyFont="1" applyFill="1" applyBorder="1"/>
    <x:xf numFmtId="0" fontId="15" fillId="11" borderId="28" xfId="0" applyNumberFormat="1" applyFont="1" applyFill="1" applyBorder="1"/>
    <x:xf numFmtId="0" fontId="15" fillId="11" borderId="29" xfId="0" applyNumberFormat="1" applyFont="1" applyFill="1" applyBorder="1"/>
    <x:xf numFmtId="0" fontId="15" fillId="11" borderId="28" xfId="0" applyNumberFormat="1" applyFont="1" applyFill="1" applyBorder="1" applyAlignment="1">
      <x:alignment wrapText="1"/>
    </x:xf>
    <x:xf numFmtId="0" fontId="15" fillId="11" borderId="29" xfId="0" applyNumberFormat="1" applyFont="1" applyFill="1" applyBorder="1" applyAlignment="1">
      <x:alignment wrapText="1"/>
    </x:xf>
    <x:xf numFmtId="0" fontId="16" fillId="11" borderId="28" xfId="0" applyNumberFormat="1" applyFont="1" applyFill="1" applyBorder="1" applyAlignment="1">
      <x:alignment wrapText="1"/>
    </x:xf>
    <x:xf numFmtId="0" fontId="16" fillId="11" borderId="29" xfId="0" applyNumberFormat="1" applyFont="1" applyFill="1" applyBorder="1" applyAlignment="1">
      <x:alignment wrapText="1"/>
    </x:xf>
    <x:xf numFmtId="0" fontId="0" fillId="12" borderId="0" xfId="0" applyNumberFormat="1" applyFont="1" applyFill="1" applyBorder="1"/>
    <x:xf numFmtId="0" fontId="0" fillId="12" borderId="1" xfId="0" applyNumberFormat="1" applyFont="1" applyFill="1" applyBorder="1"/>
    <x:xf numFmtId="0" fontId="17" fillId="12" borderId="0" xfId="0" applyNumberFormat="1" applyFont="1" applyFill="1" applyBorder="1"/>
    <x:xf numFmtId="0" fontId="17" fillId="12" borderId="1" xfId="0" applyNumberFormat="1" applyFont="1" applyFill="1" applyBorder="1"/>
    <x:xf numFmtId="0" fontId="0" fillId="13" borderId="0" xfId="0" applyNumberFormat="1" applyFont="1" applyFill="1" applyBorder="1"/>
    <x:xf numFmtId="0" fontId="0" fillId="13" borderId="1" xfId="0" applyNumberFormat="1" applyFont="1" applyFill="1" applyBorder="1"/>
    <x:xf numFmtId="0" fontId="18" fillId="13" borderId="0" xfId="0" applyNumberFormat="1" applyFont="1" applyFill="1" applyBorder="1"/>
    <x:xf numFmtId="0" fontId="18" fillId="13" borderId="1" xfId="0" applyNumberFormat="1" applyFont="1" applyFill="1" applyBorder="1"/>
    <x:xf numFmtId="0" fontId="18" fillId="13" borderId="30" xfId="0" applyNumberFormat="1" applyFont="1" applyFill="1" applyBorder="1"/>
    <x:xf numFmtId="0" fontId="18" fillId="13" borderId="31" xfId="0" applyNumberFormat="1" applyFont="1" applyFill="1" applyBorder="1"/>
    <x:xf numFmtId="0" fontId="18" fillId="13" borderId="30" xfId="0" applyNumberFormat="1" applyFont="1" applyFill="1" applyBorder="1" applyAlignment="1">
      <x:alignment wrapText="1"/>
    </x:xf>
    <x:xf numFmtId="0" fontId="18" fillId="13" borderId="31" xfId="0" applyNumberFormat="1" applyFont="1" applyFill="1" applyBorder="1" applyAlignment="1">
      <x:alignment wrapText="1"/>
    </x:xf>
    <x:xf numFmtId="0" fontId="9" fillId="8" borderId="0" xfId="0" applyNumberFormat="1" applyFont="1" applyFill="1" applyBorder="1"/>
    <x:xf numFmtId="0" fontId="9" fillId="10" borderId="0" xfId="0" applyNumberFormat="1" applyFont="1" applyFill="1" applyBorder="1"/>
    <x:xf numFmtId="0" fontId="19" fillId="12" borderId="0" xfId="0" applyNumberFormat="1" applyFont="1" applyFill="1" applyBorder="1"/>
    <x:xf numFmtId="0" fontId="9" fillId="8" borderId="1" xfId="0" applyNumberFormat="1" applyFont="1" applyFill="1" applyBorder="1"/>
    <x:xf numFmtId="0" fontId="9" fillId="10" borderId="1" xfId="0" applyNumberFormat="1" applyFont="1" applyFill="1" applyBorder="1"/>
    <x:xf numFmtId="0" fontId="19" fillId="12" borderId="1" xfId="0" applyNumberFormat="1" applyFont="1" applyFill="1" applyBorder="1"/>
    <x:xf numFmtId="0" fontId="11" fillId="3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/>
    </x:xf>
    <x:xf numFmtId="0" fontId="9" fillId="5" borderId="0" xfId="0" applyNumberFormat="1" applyFont="1" applyFill="1" applyBorder="1" applyAlignment="1">
      <x:alignment vertical="center"/>
    </x:xf>
    <x:xf numFmtId="0" fontId="9" fillId="8" borderId="0" xfId="0" applyNumberFormat="1" applyFont="1" applyFill="1" applyBorder="1" applyAlignment="1">
      <x:alignment vertical="center"/>
    </x:xf>
    <x:xf numFmtId="0" fontId="10" fillId="6" borderId="22" xfId="0" applyNumberFormat="1" applyFont="1" applyFill="1" applyBorder="1" applyAlignment="1">
      <x:alignment vertical="center"/>
    </x:xf>
    <x:xf numFmtId="0" fontId="8" fillId="0" borderId="22" xfId="0" applyNumberFormat="1" applyFont="1" applyFill="1" applyBorder="1" applyAlignment="1">
      <x:alignment vertical="center"/>
    </x:xf>
    <x:xf numFmtId="0" fontId="12" fillId="9" borderId="26" xfId="0" applyNumberFormat="1" applyFont="1" applyFill="1" applyBorder="1" applyAlignment="1">
      <x:alignment vertical="center" wrapText="1"/>
    </x:xf>
    <x:xf numFmtId="0" fontId="9" fillId="10" borderId="0" xfId="0" applyNumberFormat="1" applyFont="1" applyFill="1" applyBorder="1" applyAlignment="1">
      <x:alignment vertical="center"/>
    </x:xf>
    <x:xf numFmtId="0" fontId="14" fillId="7" borderId="24" xfId="0" applyNumberFormat="1" applyFont="1" applyFill="1" applyBorder="1" applyAlignment="1">
      <x:alignment vertical="center" wrapText="1"/>
    </x:xf>
    <x:xf numFmtId="0" fontId="13" fillId="7" borderId="24" xfId="0" applyNumberFormat="1" applyFont="1" applyFill="1" applyBorder="1" applyAlignment="1">
      <x:alignment vertical="center" wrapText="1"/>
    </x:xf>
    <x:xf numFmtId="0" fontId="16" fillId="11" borderId="28" xfId="0" applyNumberFormat="1" applyFont="1" applyFill="1" applyBorder="1" applyAlignment="1">
      <x:alignment vertical="center" wrapText="1"/>
    </x:xf>
    <x:xf numFmtId="0" fontId="15" fillId="11" borderId="28" xfId="0" applyNumberFormat="1" applyFont="1" applyFill="1" applyBorder="1" applyAlignment="1">
      <x:alignment vertical="center" wrapText="1"/>
    </x:xf>
    <x:xf numFmtId="0" fontId="19" fillId="12" borderId="0" xfId="0" applyNumberFormat="1" applyFont="1" applyFill="1" applyBorder="1" applyAlignment="1">
      <x:alignment vertical="center"/>
    </x:xf>
    <x:xf numFmtId="0" fontId="18" fillId="13" borderId="30" xfId="0" applyNumberFormat="1" applyFont="1" applyFill="1" applyBorder="1" applyAlignment="1">
      <x:alignment vertical="center" wrapText="1"/>
    </x:xf>
    <x:xf numFmtId="0" fontId="11" fillId="3" borderId="1" xfId="0" applyNumberFormat="1" applyFont="1" applyFill="1" applyBorder="1" applyAlignment="1">
      <x:alignment vertical="center"/>
    </x:xf>
    <x:xf numFmtId="0" fontId="4" fillId="4" borderId="1" xfId="0" applyNumberFormat="1" applyFont="1" applyFill="1" applyBorder="1" applyAlignment="1">
      <x:alignment vertical="center"/>
    </x:xf>
    <x:xf numFmtId="0" fontId="8" fillId="0" borderId="1" xfId="0" applyNumberFormat="1" applyFont="1" applyFill="1" applyBorder="1" applyAlignment="1">
      <x:alignment vertical="center"/>
    </x:xf>
    <x:xf numFmtId="0" fontId="9" fillId="5" borderId="1" xfId="0" applyNumberFormat="1" applyFont="1" applyFill="1" applyBorder="1" applyAlignment="1">
      <x:alignment vertical="center"/>
    </x:xf>
    <x:xf numFmtId="0" fontId="9" fillId="8" borderId="1" xfId="0" applyNumberFormat="1" applyFont="1" applyFill="1" applyBorder="1" applyAlignment="1">
      <x:alignment vertical="center"/>
    </x:xf>
    <x:xf numFmtId="0" fontId="10" fillId="6" borderId="23" xfId="0" applyNumberFormat="1" applyFont="1" applyFill="1" applyBorder="1" applyAlignment="1">
      <x:alignment vertical="center"/>
    </x:xf>
    <x:xf numFmtId="0" fontId="8" fillId="0" borderId="23" xfId="0" applyNumberFormat="1" applyFont="1" applyFill="1" applyBorder="1" applyAlignment="1">
      <x:alignment vertical="center"/>
    </x:xf>
    <x:xf numFmtId="0" fontId="12" fillId="9" borderId="27" xfId="0" applyNumberFormat="1" applyFont="1" applyFill="1" applyBorder="1" applyAlignment="1">
      <x:alignment vertical="center" wrapText="1"/>
    </x:xf>
    <x:xf numFmtId="0" fontId="9" fillId="10" borderId="1" xfId="0" applyNumberFormat="1" applyFont="1" applyFill="1" applyBorder="1" applyAlignment="1">
      <x:alignment vertical="center"/>
    </x:xf>
    <x:xf numFmtId="0" fontId="14" fillId="7" borderId="25" xfId="0" applyNumberFormat="1" applyFont="1" applyFill="1" applyBorder="1" applyAlignment="1">
      <x:alignment vertical="center" wrapText="1"/>
    </x:xf>
    <x:xf numFmtId="0" fontId="13" fillId="7" borderId="25" xfId="0" applyNumberFormat="1" applyFont="1" applyFill="1" applyBorder="1" applyAlignment="1">
      <x:alignment vertical="center" wrapText="1"/>
    </x:xf>
    <x:xf numFmtId="0" fontId="16" fillId="11" borderId="29" xfId="0" applyNumberFormat="1" applyFont="1" applyFill="1" applyBorder="1" applyAlignment="1">
      <x:alignment vertical="center" wrapText="1"/>
    </x:xf>
    <x:xf numFmtId="0" fontId="15" fillId="11" borderId="29" xfId="0" applyNumberFormat="1" applyFont="1" applyFill="1" applyBorder="1" applyAlignment="1">
      <x:alignment vertical="center" wrapText="1"/>
    </x:xf>
    <x:xf numFmtId="0" fontId="19" fillId="12" borderId="1" xfId="0" applyNumberFormat="1" applyFont="1" applyFill="1" applyBorder="1" applyAlignment="1">
      <x:alignment vertical="center"/>
    </x:xf>
    <x:xf numFmtId="0" fontId="18" fillId="13" borderId="31" xfId="0" applyNumberFormat="1" applyFont="1" applyFill="1" applyBorder="1" applyAlignment="1">
      <x:alignment vertical="center" wrapText="1"/>
    </x:xf>
    <x:xf numFmtId="0" fontId="11" fillId="3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 applyAlignment="1">
      <x:alignment vertical="center" wrapText="1"/>
    </x:xf>
    <x:xf numFmtId="0" fontId="9" fillId="5" borderId="0" xfId="0" applyNumberFormat="1" applyFont="1" applyFill="1" applyBorder="1" applyAlignment="1">
      <x:alignment vertical="center" wrapText="1"/>
    </x:xf>
    <x:xf numFmtId="0" fontId="9" fillId="8" borderId="0" xfId="0" applyNumberFormat="1" applyFont="1" applyFill="1" applyBorder="1" applyAlignment="1">
      <x:alignment vertical="center" wrapText="1"/>
    </x:xf>
    <x:xf numFmtId="0" fontId="10" fillId="6" borderId="22" xfId="0" applyNumberFormat="1" applyFont="1" applyFill="1" applyBorder="1" applyAlignment="1">
      <x:alignment vertical="center" wrapText="1"/>
    </x:xf>
    <x:xf numFmtId="0" fontId="8" fillId="0" borderId="22" xfId="0" applyNumberFormat="1" applyFont="1" applyFill="1" applyBorder="1" applyAlignment="1">
      <x:alignment vertical="center" wrapText="1"/>
    </x:xf>
    <x:xf numFmtId="0" fontId="9" fillId="10" borderId="0" xfId="0" applyNumberFormat="1" applyFont="1" applyFill="1" applyBorder="1" applyAlignment="1">
      <x:alignment vertical="center" wrapText="1"/>
    </x:xf>
    <x:xf numFmtId="0" fontId="19" fillId="1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2c8d7f42ea4c59" /><Relationship Type="http://schemas.openxmlformats.org/officeDocument/2006/relationships/theme" Target="/xl/theme/theme1.xml" Id="R57d07b230cf642a3" /><Relationship Type="http://schemas.openxmlformats.org/officeDocument/2006/relationships/sharedStrings" Target="/xl/sharedStrings.xml" Id="R9f956fb10fd44251" /><Relationship Type="http://schemas.openxmlformats.org/officeDocument/2006/relationships/worksheet" Target="/xl/worksheets/sheet1.xml" Id="Rd84b886611614500" /><Relationship Type="http://schemas.openxmlformats.org/officeDocument/2006/relationships/worksheet" Target="/xl/worksheets/sheet2.xml" Id="R0a3732935cbd4cf1" /><Relationship Type="http://schemas.openxmlformats.org/officeDocument/2006/relationships/worksheet" Target="/xl/worksheets/sheet3.xml" Id="Re0ceacf694664017" /><Relationship Type="http://schemas.openxmlformats.org/officeDocument/2006/relationships/worksheet" Target="/xl/worksheets/sheet4.xml" Id="Re337b519b11d46ec" /><Relationship Type="http://schemas.openxmlformats.org/officeDocument/2006/relationships/worksheet" Target="/xl/worksheets/sheet5.xml" Id="Rdf7f84b0f7ac4537" /><Relationship Type="http://schemas.openxmlformats.org/officeDocument/2006/relationships/worksheet" Target="/xl/worksheets/sheet6.xml" Id="R9d58c38a02a146f3" /><Relationship Type="http://schemas.openxmlformats.org/officeDocument/2006/relationships/worksheet" Target="/xl/worksheets/sheet7.xml" Id="R892911ee33654c0f" /><Relationship Type="http://schemas.openxmlformats.org/officeDocument/2006/relationships/worksheet" Target="/xl/worksheets/sheet8.xml" Id="R8a466801afde4bea" /><Relationship Type="http://schemas.openxmlformats.org/officeDocument/2006/relationships/worksheet" Target="/xl/worksheets/sheet9.xml" Id="R8fef741716f14704" /><Relationship Type="http://schemas.openxmlformats.org/officeDocument/2006/relationships/worksheet" Target="/xl/worksheets/sheet10.xml" Id="Rf496fda45a3143d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5" hidden="0" customWidth="1"/>
    <x:col min="3" max="3" width="15" hidden="0" customWidth="1"/>
    <x:col min="4" max="4" width="1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42" hidden="0" customWidth="1"/>
    <x:col min="10" max="10" width="25" hidden="0" customWidth="1"/>
    <x:col min="11" max="11" width="15" hidden="0" customWidth="1"/>
    <x:col min="12" max="12" width="25" hidden="0" customWidth="1"/>
    <x:col min="13" max="13" width="15" hidden="0" customWidth="1"/>
    <x:col min="14" max="14" width="15" hidden="0" customWidth="1"/>
    <x:col min="15" max="15" width="15" hidden="0" customWidth="1"/>
    <x:col min="16" max="16" width="25" hidden="0" customWidth="1"/>
    <x:col min="17" max="17" width="25" hidden="0" customWidth="1"/>
    <x:col min="18" max="18" width="25" hidden="0" customWidth="1"/>
    <x:col min="19" max="19" width="15" hidden="0" customWidth="1"/>
    <x:col min="20" max="20" width="25" hidden="0" customWidth="1"/>
    <x:col min="21" max="21" width="42" hidden="0" customWidth="1"/>
    <x:col min="22" max="22" width="42" hidden="0" customWidth="1"/>
    <x:col min="23" max="23" width="42" hidden="0" customWidth="1"/>
    <x:col min="24" max="24" width="42" hidden="0" customWidth="1"/>
  </x:cols>
  <x:sheetData>
    <x:row r="1" ht="38" customHeight="1">
      <x:c r="A1" s="12" t="str">
        <x:v>candidate_id</x:v>
      </x:c>
      <x:c r="B1" s="12" t="str">
        <x:v>anchor_id</x:v>
      </x:c>
      <x:c r="C1" s="12" t="str">
        <x:v>anchor</x:v>
      </x:c>
      <x:c r="D1" s="12" t="str">
        <x:v>priority_rank</x:v>
      </x:c>
      <x:c r="E1" s="12" t="str">
        <x:v>surface_form</x:v>
      </x:c>
      <x:c r="F1" s="12" t="str">
        <x:v>normalized_form</x:v>
      </x:c>
      <x:c r="G1" s="12" t="str">
        <x:v>normalized_concept</x:v>
      </x:c>
      <x:c r="H1" s="12" t="str">
        <x:v>concept_id</x:v>
      </x:c>
      <x:c r="I1" s="12" t="str">
        <x:v>concept_definition</x:v>
      </x:c>
      <x:c r="J1" s="12" t="str">
        <x:v>lexical_form_id</x:v>
      </x:c>
      <x:c r="K1" s="12" t="str">
        <x:v>lexical_family</x:v>
      </x:c>
      <x:c r="L1" s="12" t="str">
        <x:v>family_id</x:v>
      </x:c>
      <x:c r="M1" s="12" t="str">
        <x:v>layer</x:v>
      </x:c>
      <x:c r="N1" s="12" t="str">
        <x:v>primary_voice</x:v>
      </x:c>
      <x:c r="O1" s="12" t="str">
        <x:v>expression_mode</x:v>
      </x:c>
      <x:c r="P1" s="12" t="str">
        <x:v>candidate_provenance</x:v>
      </x:c>
      <x:c r="Q1" s="12" t="str">
        <x:v>ngram_measurement_id</x:v>
      </x:c>
      <x:c r="R1" s="12" t="str">
        <x:v>ngram_measurement_form</x:v>
      </x:c>
      <x:c r="S1" s="12" t="str">
        <x:v>ngram_mapping_type</x:v>
      </x:c>
      <x:c r="T1" s="12" t="str">
        <x:v>ngram_query_id</x:v>
      </x:c>
      <x:c r="U1" s="12" t="str">
        <x:v>ngram_mapping_reason</x:v>
      </x:c>
      <x:c r="V1" s="12" t="str">
        <x:v>source_report</x:v>
      </x:c>
      <x:c r="W1" s="12" t="str">
        <x:v>source_page</x:v>
      </x:c>
      <x:c r="X1" s="12" t="str">
        <x:v>provenance_status</x:v>
      </x:c>
    </x:row>
    <x:row r="2" ht="19" customHeight="1">
      <x:c r="A2" s="16" t="str">
        <x:v>FT-SEED-R1B-P-1842-01</x:v>
      </x:c>
      <x:c r="B2" s="17" t="str">
        <x:v>FT-A1842</x:v>
      </x:c>
      <x:c r="C2" s="18" t="str">
        <x:v>1842</x:v>
      </x:c>
      <x:c r="D2" s="18" t="str">
        <x:v>1</x:v>
      </x:c>
      <x:c r="E2" s="17" t="str">
        <x:v>temperature</x:v>
      </x:c>
      <x:c r="F2" s="17" t="str">
        <x:v>temperature</x:v>
      </x:c>
      <x:c r="G2" s="17" t="str">
        <x:v>local / instrumental temperature</x:v>
      </x:c>
      <x:c r="H2" s="17" t="str">
        <x:v>FT-C-LOCAL_INSTRUMENTAL_TEMPERATURE</x:v>
      </x:c>
      <x:c r="I2" s="17" t="str">
        <x:v>A local or instrument-specific temperature reading.</x:v>
      </x:c>
      <x:c r="J2" s="17" t="str">
        <x:v>FT-LF-TEMPERATURE</x:v>
      </x:c>
      <x:c r="K2" s="18" t="str">
        <x:v>temperature_threshold</x:v>
      </x:c>
      <x:c r="L2" s="17" t="str">
        <x:v>FT-F01</x:v>
      </x:c>
      <x:c r="M2" s="18" t="str">
        <x:v>A</x:v>
      </x:c>
      <x:c r="N2" s="18" t="str">
        <x:v>V1</x:v>
      </x:c>
      <x:c r="O2" s="18" t="str">
        <x:v>E5</x:v>
      </x:c>
      <x:c r="P2" s="17" t="str">
        <x:v>RECONSTRUCTED_FROM_REPORT; Fear of Temperature_ Stratified Lexical Expansion, Voice Mapping, and Semantic-Relational Pre-Valida.pdf; p.6; project candidate FT-SEED-R1B-P-1842-01; original visible ID not available</x:v>
      </x:c>
      <x:c r="Q2" s="17" t="str">
        <x:v>FT-NGM-B314AE60CB741E</x:v>
      </x:c>
      <x:c r="R2" s="17" t="str">
        <x:v>temperature</x:v>
      </x:c>
      <x:c r="S2" s="18" t="str">
        <x:v>EXACT</x:v>
      </x:c>
      <x:c r="T2" s="17" t="str">
        <x:v>FT-Q-V01-001</x:v>
      </x:c>
      <x:c r="U2" s="17" t="str">
        <x:v>Candidate surface form is directly representable in the public Ngram interface.</x:v>
      </x:c>
      <x:c r="V2" s="17" t="str">
        <x:v>Fear of Temperature_ Stratified Lexical Expansion, Voice Mapping, and Semantic-Relational Pre-Valida.pdf</x:v>
      </x:c>
      <x:c r="W2" s="17" t="str">
        <x:v>6</x:v>
      </x:c>
      <x:c r="X2" s="19" t="str">
        <x:v>RECONSTRUCTED_FROM_REPORT</x:v>
      </x:c>
    </x:row>
    <x:row r="3" ht="19" customHeight="1">
      <x:c r="A3" s="20" t="str">
        <x:v>FT-SEED-R1B-P-1842-02</x:v>
      </x:c>
      <x:c r="B3" s="21" t="str">
        <x:v>FT-A1842</x:v>
      </x:c>
      <x:c r="C3" s="22" t="str">
        <x:v>1842</x:v>
      </x:c>
      <x:c r="D3" s="22" t="str">
        <x:v>2</x:v>
      </x:c>
      <x:c r="E3" s="21" t="str">
        <x:v>mean temperature</x:v>
      </x:c>
      <x:c r="F3" s="21" t="str">
        <x:v>mean temperature</x:v>
      </x:c>
      <x:c r="G3" s="21" t="str">
        <x:v>mean temperature</x:v>
      </x:c>
      <x:c r="H3" s="21" t="str">
        <x:v>FT-C-MEAN_TEMPERATURE</x:v>
      </x:c>
      <x:c r="I3" s="21" t="str">
        <x:v>A temporally or spatially averaged temperature value.</x:v>
      </x:c>
      <x:c r="J3" s="21" t="str">
        <x:v>FT-LF-MEAN_TEMPERATURE</x:v>
      </x:c>
      <x:c r="K3" s="22" t="str">
        <x:v>temperature_threshold</x:v>
      </x:c>
      <x:c r="L3" s="21" t="str">
        <x:v>FT-F01</x:v>
      </x:c>
      <x:c r="M3" s="22" t="str">
        <x:v>A</x:v>
      </x:c>
      <x:c r="N3" s="22" t="str">
        <x:v>V1</x:v>
      </x:c>
      <x:c r="O3" s="22" t="str">
        <x:v>E5</x:v>
      </x:c>
      <x:c r="P3" s="21" t="str">
        <x:v>RECONSTRUCTED_FROM_REPORT; Fear of Temperature_ Stratified Lexical Expansion, Voice Mapping, and Semantic-Relational Pre-Valida.pdf; p.6; project candidate FT-SEED-R1B-P-1842-02; original visible ID not available</x:v>
      </x:c>
      <x:c r="Q3" s="21" t="str">
        <x:v>FT-NGM-6BB810586FF4ED</x:v>
      </x:c>
      <x:c r="R3" s="21" t="str">
        <x:v>mean temperature</x:v>
      </x:c>
      <x:c r="S3" s="22" t="str">
        <x:v>EXACT</x:v>
      </x:c>
      <x:c r="T3" s="21" t="str">
        <x:v>FT-Q-V01-002</x:v>
      </x:c>
      <x:c r="U3" s="21" t="str">
        <x:v>Candidate surface form is directly representable in the public Ngram interface.</x:v>
      </x:c>
      <x:c r="V3" s="21" t="str">
        <x:v>Fear of Temperature_ Stratified Lexical Expansion, Voice Mapping, and Semantic-Relational Pre-Valida.pdf</x:v>
      </x:c>
      <x:c r="W3" s="21" t="str">
        <x:v>6</x:v>
      </x:c>
      <x:c r="X3" s="23" t="str">
        <x:v>RECONSTRUCTED_FROM_REPORT</x:v>
      </x:c>
    </x:row>
    <x:row r="4" ht="19" customHeight="1">
      <x:c r="A4" s="20" t="str">
        <x:v>FT-SEED-R1B-P-1842-03</x:v>
      </x:c>
      <x:c r="B4" s="21" t="str">
        <x:v>FT-A1842</x:v>
      </x:c>
      <x:c r="C4" s="22" t="str">
        <x:v>1842</x:v>
      </x:c>
      <x:c r="D4" s="22" t="str">
        <x:v>3</x:v>
      </x:c>
      <x:c r="E4" s="21" t="str">
        <x:v>temperature of the air in shade</x:v>
      </x:c>
      <x:c r="F4" s="21" t="str">
        <x:v>temperature of the air in shade</x:v>
      </x:c>
      <x:c r="G4" s="21" t="str">
        <x:v>local / instrumental temperature</x:v>
      </x:c>
      <x:c r="H4" s="21" t="str">
        <x:v>FT-C-LOCAL_INSTRUMENTAL_TEMPERATURE</x:v>
      </x:c>
      <x:c r="I4" s="21" t="str">
        <x:v>A local or instrument-specific temperature reading.</x:v>
      </x:c>
      <x:c r="J4" s="21" t="str">
        <x:v>FT-LF-Q-4D7B02AFB69C</x:v>
      </x:c>
      <x:c r="K4" s="22" t="str">
        <x:v>temperature_threshold</x:v>
      </x:c>
      <x:c r="L4" s="21" t="str">
        <x:v>FT-F01</x:v>
      </x:c>
      <x:c r="M4" s="22" t="str">
        <x:v>A</x:v>
      </x:c>
      <x:c r="N4" s="22" t="str">
        <x:v>V1</x:v>
      </x:c>
      <x:c r="O4" s="22" t="str">
        <x:v>E5</x:v>
      </x:c>
      <x:c r="P4" s="21" t="str">
        <x:v>RECONSTRUCTED_FROM_REPORT; Fear of Temperature_ Stratified Lexical Expansion, Voice Mapping, and Semantic-Relational Pre-Valida.pdf; p.6; project candidate FT-SEED-R1B-P-1842-03; original visible ID not available</x:v>
      </x:c>
      <x:c r="Q4" s="21" t="str">
        <x:v>FT-NGM-4D7B02AFB69C96</x:v>
      </x:c>
      <x:c r="R4" s="21" t="str">
        <x:v>temperature of the air in shade</x:v>
      </x:c>
      <x:c r="S4" s="22" t="str">
        <x:v>EXACT</x:v>
      </x:c>
      <x:c r="T4" s="21" t="str">
        <x:v>FT-Q-V01-003</x:v>
      </x:c>
      <x:c r="U4" s="21" t="str">
        <x:v>Candidate surface form is directly representable in the public Ngram interface.</x:v>
      </x:c>
      <x:c r="V4" s="21" t="str">
        <x:v>Fear of Temperature_ Stratified Lexical Expansion, Voice Mapping, and Semantic-Relational Pre-Valida.pdf</x:v>
      </x:c>
      <x:c r="W4" s="21" t="str">
        <x:v>6</x:v>
      </x:c>
      <x:c r="X4" s="23" t="str">
        <x:v>RECONSTRUCTED_FROM_REPORT</x:v>
      </x:c>
    </x:row>
    <x:row r="5" ht="19" customHeight="1">
      <x:c r="A5" s="20" t="str">
        <x:v>FT-SEED-R1B-P-1842-04</x:v>
      </x:c>
      <x:c r="B5" s="21" t="str">
        <x:v>FT-A1842</x:v>
      </x:c>
      <x:c r="C5" s="22" t="str">
        <x:v>1842</x:v>
      </x:c>
      <x:c r="D5" s="22" t="str">
        <x:v>4</x:v>
      </x:c>
      <x:c r="E5" s="21" t="str">
        <x:v>maximum temperature</x:v>
      </x:c>
      <x:c r="F5" s="21" t="str">
        <x:v>maximum temperature</x:v>
      </x:c>
      <x:c r="G5" s="21" t="str">
        <x:v>local / instrumental temperature</x:v>
      </x:c>
      <x:c r="H5" s="21" t="str">
        <x:v>FT-C-LOCAL_INSTRUMENTAL_TEMPERATURE</x:v>
      </x:c>
      <x:c r="I5" s="21" t="str">
        <x:v>A local or instrument-specific temperature reading.</x:v>
      </x:c>
      <x:c r="J5" s="21" t="str">
        <x:v>FT-LF-Q-9B181A6008A6</x:v>
      </x:c>
      <x:c r="K5" s="22" t="str">
        <x:v>temperature_threshold</x:v>
      </x:c>
      <x:c r="L5" s="21" t="str">
        <x:v>FT-F01</x:v>
      </x:c>
      <x:c r="M5" s="22" t="str">
        <x:v>A</x:v>
      </x:c>
      <x:c r="N5" s="22" t="str">
        <x:v>V1</x:v>
      </x:c>
      <x:c r="O5" s="22" t="str">
        <x:v>E5</x:v>
      </x:c>
      <x:c r="P5" s="21" t="str">
        <x:v>RECONSTRUCTED_FROM_REPORT; Fear of Temperature_ Stratified Lexical Expansion, Voice Mapping, and Semantic-Relational Pre-Valida.pdf; p.6; project candidate FT-SEED-R1B-P-1842-04; original visible ID not available</x:v>
      </x:c>
      <x:c r="Q5" s="21" t="str">
        <x:v>FT-NGM-9B181A6008A68D</x:v>
      </x:c>
      <x:c r="R5" s="21" t="str">
        <x:v>maximum temperature</x:v>
      </x:c>
      <x:c r="S5" s="22" t="str">
        <x:v>EXACT</x:v>
      </x:c>
      <x:c r="T5" s="21" t="str">
        <x:v>FT-Q-V01-004</x:v>
      </x:c>
      <x:c r="U5" s="21" t="str">
        <x:v>Candidate surface form is directly representable in the public Ngram interface.</x:v>
      </x:c>
      <x:c r="V5" s="21" t="str">
        <x:v>Fear of Temperature_ Stratified Lexical Expansion, Voice Mapping, and Semantic-Relational Pre-Valida.pdf</x:v>
      </x:c>
      <x:c r="W5" s="21" t="str">
        <x:v>6</x:v>
      </x:c>
      <x:c r="X5" s="23" t="str">
        <x:v>RECONSTRUCTED_FROM_REPORT</x:v>
      </x:c>
    </x:row>
    <x:row r="6" ht="19" customHeight="1">
      <x:c r="A6" s="20" t="str">
        <x:v>FT-SEED-R1B-P-1842-05</x:v>
      </x:c>
      <x:c r="B6" s="21" t="str">
        <x:v>FT-A1842</x:v>
      </x:c>
      <x:c r="C6" s="22" t="str">
        <x:v>1842</x:v>
      </x:c>
      <x:c r="D6" s="22" t="str">
        <x:v>5</x:v>
      </x:c>
      <x:c r="E6" s="21" t="str">
        <x:v>minimum temperature</x:v>
      </x:c>
      <x:c r="F6" s="21" t="str">
        <x:v>minimum temperature</x:v>
      </x:c>
      <x:c r="G6" s="21" t="str">
        <x:v>local / instrumental temperature</x:v>
      </x:c>
      <x:c r="H6" s="21" t="str">
        <x:v>FT-C-LOCAL_INSTRUMENTAL_TEMPERATURE</x:v>
      </x:c>
      <x:c r="I6" s="21" t="str">
        <x:v>A local or instrument-specific temperature reading.</x:v>
      </x:c>
      <x:c r="J6" s="21" t="str">
        <x:v>FT-LF-Q-BBD1CED3B4CE</x:v>
      </x:c>
      <x:c r="K6" s="22" t="str">
        <x:v>temperature_threshold</x:v>
      </x:c>
      <x:c r="L6" s="21" t="str">
        <x:v>FT-F01</x:v>
      </x:c>
      <x:c r="M6" s="22" t="str">
        <x:v>A</x:v>
      </x:c>
      <x:c r="N6" s="22" t="str">
        <x:v>V1</x:v>
      </x:c>
      <x:c r="O6" s="22" t="str">
        <x:v>E5</x:v>
      </x:c>
      <x:c r="P6" s="21" t="str">
        <x:v>RECONSTRUCTED_FROM_REPORT; Fear of Temperature_ Stratified Lexical Expansion, Voice Mapping, and Semantic-Relational Pre-Valida.pdf; p.6; project candidate FT-SEED-R1B-P-1842-05; original visible ID not available</x:v>
      </x:c>
      <x:c r="Q6" s="21" t="str">
        <x:v>FT-NGM-BBD1CED3B4CE46</x:v>
      </x:c>
      <x:c r="R6" s="21" t="str">
        <x:v>minimum temperature</x:v>
      </x:c>
      <x:c r="S6" s="22" t="str">
        <x:v>EXACT</x:v>
      </x:c>
      <x:c r="T6" s="21" t="str">
        <x:v>FT-Q-V01-005</x:v>
      </x:c>
      <x:c r="U6" s="21" t="str">
        <x:v>Candidate surface form is directly representable in the public Ngram interface.</x:v>
      </x:c>
      <x:c r="V6" s="21" t="str">
        <x:v>Fear of Temperature_ Stratified Lexical Expansion, Voice Mapping, and Semantic-Relational Pre-Valida.pdf</x:v>
      </x:c>
      <x:c r="W6" s="21" t="str">
        <x:v>6</x:v>
      </x:c>
      <x:c r="X6" s="23" t="str">
        <x:v>RECONSTRUCTED_FROM_REPORT</x:v>
      </x:c>
    </x:row>
    <x:row r="7" ht="19" customHeight="1">
      <x:c r="A7" s="20" t="str">
        <x:v>FT-SEED-R1B-P-1842-06</x:v>
      </x:c>
      <x:c r="B7" s="21" t="str">
        <x:v>FT-A1842</x:v>
      </x:c>
      <x:c r="C7" s="22" t="str">
        <x:v>1842</x:v>
      </x:c>
      <x:c r="D7" s="22" t="str">
        <x:v>6</x:v>
      </x:c>
      <x:c r="E7" s="21" t="str">
        <x:v>mean temperature of sea at surface</x:v>
      </x:c>
      <x:c r="F7" s="21" t="str">
        <x:v>mean temperature of sea at surface</x:v>
      </x:c>
      <x:c r="G7" s="21" t="str">
        <x:v>mean temperature</x:v>
      </x:c>
      <x:c r="H7" s="21" t="str">
        <x:v>FT-C-MEAN_TEMPERATURE</x:v>
      </x:c>
      <x:c r="I7" s="21" t="str">
        <x:v>A temporally or spatially averaged temperature value.</x:v>
      </x:c>
      <x:c r="J7" s="21" t="str">
        <x:v>FT-LF-Q-DB26232B0DDF</x:v>
      </x:c>
      <x:c r="K7" s="22" t="str">
        <x:v>temperature_threshold</x:v>
      </x:c>
      <x:c r="L7" s="21" t="str">
        <x:v>FT-F01</x:v>
      </x:c>
      <x:c r="M7" s="22" t="str">
        <x:v>A</x:v>
      </x:c>
      <x:c r="N7" s="22" t="str">
        <x:v>V1</x:v>
      </x:c>
      <x:c r="O7" s="22" t="str">
        <x:v>E5</x:v>
      </x:c>
      <x:c r="P7" s="21" t="str">
        <x:v>RECONSTRUCTED_FROM_REPORT; Fear of Temperature_ Stratified Lexical Expansion, Voice Mapping, and Semantic-Relational Pre-Valida.pdf; p.6; project candidate FT-SEED-R1B-P-1842-06; original visible ID not available</x:v>
      </x:c>
      <x:c r="Q7" s="21" t="str">
        <x:v>FT-NGM-DB26232B0DDFE7</x:v>
      </x:c>
      <x:c r="R7" s="21" t="str">
        <x:v>mean temperature of sea at surface</x:v>
      </x:c>
      <x:c r="S7" s="22" t="str">
        <x:v>EXACT</x:v>
      </x:c>
      <x:c r="T7" s="21" t="str">
        <x:v>FT-Q-V01-006</x:v>
      </x:c>
      <x:c r="U7" s="21" t="str">
        <x:v>Candidate surface form is directly representable in the public Ngram interface.</x:v>
      </x:c>
      <x:c r="V7" s="21" t="str">
        <x:v>Fear of Temperature_ Stratified Lexical Expansion, Voice Mapping, and Semantic-Relational Pre-Valida.pdf</x:v>
      </x:c>
      <x:c r="W7" s="21" t="str">
        <x:v>6</x:v>
      </x:c>
      <x:c r="X7" s="23" t="str">
        <x:v>RECONSTRUCTED_FROM_REPORT</x:v>
      </x:c>
    </x:row>
    <x:row r="8" ht="19" customHeight="1">
      <x:c r="A8" s="20" t="str">
        <x:v>FT-SEED-R1B-P-1842-07</x:v>
      </x:c>
      <x:c r="B8" s="21" t="str">
        <x:v>FT-A1842</x:v>
      </x:c>
      <x:c r="C8" s="22" t="str">
        <x:v>1842</x:v>
      </x:c>
      <x:c r="D8" s="22" t="str">
        <x:v>7</x:v>
      </x:c>
      <x:c r="E8" s="21" t="str">
        <x:v>dew point</x:v>
      </x:c>
      <x:c r="F8" s="21" t="str">
        <x:v>dew point</x:v>
      </x:c>
      <x:c r="G8" s="21" t="str">
        <x:v>local / instrumental temperature</x:v>
      </x:c>
      <x:c r="H8" s="21" t="str">
        <x:v>FT-C-LOCAL_INSTRUMENTAL_TEMPERATURE</x:v>
      </x:c>
      <x:c r="I8" s="21" t="str">
        <x:v>A local or instrument-specific temperature reading.</x:v>
      </x:c>
      <x:c r="J8" s="21" t="str">
        <x:v>FT-LF-Q-E8702919ACAE</x:v>
      </x:c>
      <x:c r="K8" s="22" t="str">
        <x:v>temperature_threshold</x:v>
      </x:c>
      <x:c r="L8" s="21" t="str">
        <x:v>FT-F01</x:v>
      </x:c>
      <x:c r="M8" s="22" t="str">
        <x:v>A</x:v>
      </x:c>
      <x:c r="N8" s="22" t="str">
        <x:v>V1</x:v>
      </x:c>
      <x:c r="O8" s="22" t="str">
        <x:v>E5</x:v>
      </x:c>
      <x:c r="P8" s="21" t="str">
        <x:v>RECONSTRUCTED_FROM_REPORT; Fear of Temperature_ Stratified Lexical Expansion, Voice Mapping, and Semantic-Relational Pre-Valida.pdf; p.6; project candidate FT-SEED-R1B-P-1842-07; original visible ID not available</x:v>
      </x:c>
      <x:c r="Q8" s="21" t="str">
        <x:v>FT-NGM-E8702919ACAEE1</x:v>
      </x:c>
      <x:c r="R8" s="21" t="str">
        <x:v>dew point</x:v>
      </x:c>
      <x:c r="S8" s="22" t="str">
        <x:v>EXACT</x:v>
      </x:c>
      <x:c r="T8" s="21" t="str">
        <x:v>FT-Q-V01-007</x:v>
      </x:c>
      <x:c r="U8" s="21" t="str">
        <x:v>Candidate surface form is directly representable in the public Ngram interface.</x:v>
      </x:c>
      <x:c r="V8" s="21" t="str">
        <x:v>Fear of Temperature_ Stratified Lexical Expansion, Voice Mapping, and Semantic-Relational Pre-Valida.pdf</x:v>
      </x:c>
      <x:c r="W8" s="21" t="str">
        <x:v>6</x:v>
      </x:c>
      <x:c r="X8" s="23" t="str">
        <x:v>RECONSTRUCTED_FROM_REPORT</x:v>
      </x:c>
    </x:row>
    <x:row r="9" ht="19" customHeight="1">
      <x:c r="A9" s="20" t="str">
        <x:v>FT-SEED-R1B-P-1842-08</x:v>
      </x:c>
      <x:c r="B9" s="21" t="str">
        <x:v>FT-A1842</x:v>
      </x:c>
      <x:c r="C9" s="22" t="str">
        <x:v>1842</x:v>
      </x:c>
      <x:c r="D9" s="22" t="str">
        <x:v>8</x:v>
      </x:c>
      <x:c r="E9" s="21" t="str">
        <x:v>standard thermometer</x:v>
      </x:c>
      <x:c r="F9" s="21" t="str">
        <x:v>standard thermometer</x:v>
      </x:c>
      <x:c r="G9" s="21" t="str">
        <x:v>local / instrumental temperature</x:v>
      </x:c>
      <x:c r="H9" s="21" t="str">
        <x:v>FT-C-LOCAL_INSTRUMENTAL_TEMPERATURE</x:v>
      </x:c>
      <x:c r="I9" s="21" t="str">
        <x:v>A local or instrument-specific temperature reading.</x:v>
      </x:c>
      <x:c r="J9" s="21" t="str">
        <x:v>FT-LF-Q-A3B7BAD260FF</x:v>
      </x:c>
      <x:c r="K9" s="22" t="str">
        <x:v>temperature_threshold</x:v>
      </x:c>
      <x:c r="L9" s="21" t="str">
        <x:v>FT-F01</x:v>
      </x:c>
      <x:c r="M9" s="22" t="str">
        <x:v>A</x:v>
      </x:c>
      <x:c r="N9" s="22" t="str">
        <x:v>V1</x:v>
      </x:c>
      <x:c r="O9" s="22" t="str">
        <x:v>E5</x:v>
      </x:c>
      <x:c r="P9" s="21" t="str">
        <x:v>RECONSTRUCTED_FROM_REPORT; Fear of Temperature_ Stratified Lexical Expansion, Voice Mapping, and Semantic-Relational Pre-Valida.pdf; p.7; project candidate FT-SEED-R1B-P-1842-08; original visible ID not available</x:v>
      </x:c>
      <x:c r="Q9" s="21" t="str">
        <x:v>FT-NGM-A3B7BAD260FF5B</x:v>
      </x:c>
      <x:c r="R9" s="21" t="str">
        <x:v>standard thermometer</x:v>
      </x:c>
      <x:c r="S9" s="22" t="str">
        <x:v>EXACT</x:v>
      </x:c>
      <x:c r="T9" s="21" t="str">
        <x:v>FT-Q-V01-008</x:v>
      </x:c>
      <x:c r="U9" s="21" t="str">
        <x:v>Candidate surface form is directly representable in the public Ngram interface.</x:v>
      </x:c>
      <x:c r="V9" s="21" t="str">
        <x:v>Fear of Temperature_ Stratified Lexical Expansion, Voice Mapping, and Semantic-Relational Pre-Valida.pdf</x:v>
      </x:c>
      <x:c r="W9" s="21" t="str">
        <x:v>7</x:v>
      </x:c>
      <x:c r="X9" s="23" t="str">
        <x:v>RECONSTRUCTED_FROM_REPORT</x:v>
      </x:c>
    </x:row>
    <x:row r="10" ht="19" customHeight="1">
      <x:c r="A10" s="20" t="str">
        <x:v>FT-SEED-R1B-P-1842-09</x:v>
      </x:c>
      <x:c r="B10" s="21" t="str">
        <x:v>FT-A1842</x:v>
      </x:c>
      <x:c r="C10" s="22" t="str">
        <x:v>1842</x:v>
      </x:c>
      <x:c r="D10" s="22" t="str">
        <x:v>9</x:v>
      </x:c>
      <x:c r="E10" s="21" t="str">
        <x:v>attached thermometer</x:v>
      </x:c>
      <x:c r="F10" s="21" t="str">
        <x:v>attached thermometer</x:v>
      </x:c>
      <x:c r="G10" s="21" t="str">
        <x:v>local / instrumental temperature</x:v>
      </x:c>
      <x:c r="H10" s="21" t="str">
        <x:v>FT-C-LOCAL_INSTRUMENTAL_TEMPERATURE</x:v>
      </x:c>
      <x:c r="I10" s="21" t="str">
        <x:v>A local or instrument-specific temperature reading.</x:v>
      </x:c>
      <x:c r="J10" s="21" t="str">
        <x:v>FT-LF-Q-F000E5F45754</x:v>
      </x:c>
      <x:c r="K10" s="22" t="str">
        <x:v>temperature_threshold</x:v>
      </x:c>
      <x:c r="L10" s="21" t="str">
        <x:v>FT-F01</x:v>
      </x:c>
      <x:c r="M10" s="22" t="str">
        <x:v>A</x:v>
      </x:c>
      <x:c r="N10" s="22" t="str">
        <x:v>V1</x:v>
      </x:c>
      <x:c r="O10" s="22" t="str">
        <x:v>E5</x:v>
      </x:c>
      <x:c r="P10" s="21" t="str">
        <x:v>RECONSTRUCTED_FROM_REPORT; Fear of Temperature_ Stratified Lexical Expansion, Voice Mapping, and Semantic-Relational Pre-Valida.pdf; p.7; project candidate FT-SEED-R1B-P-1842-09; original visible ID not available</x:v>
      </x:c>
      <x:c r="Q10" s="21" t="str">
        <x:v>FT-NGM-F000E5F4575434</x:v>
      </x:c>
      <x:c r="R10" s="21" t="str">
        <x:v>attached thermometer</x:v>
      </x:c>
      <x:c r="S10" s="22" t="str">
        <x:v>EXACT</x:v>
      </x:c>
      <x:c r="T10" s="21" t="str">
        <x:v>FT-Q-V01-009</x:v>
      </x:c>
      <x:c r="U10" s="21" t="str">
        <x:v>Candidate surface form is directly representable in the public Ngram interface.</x:v>
      </x:c>
      <x:c r="V10" s="21" t="str">
        <x:v>Fear of Temperature_ Stratified Lexical Expansion, Voice Mapping, and Semantic-Relational Pre-Valida.pdf</x:v>
      </x:c>
      <x:c r="W10" s="21" t="str">
        <x:v>7</x:v>
      </x:c>
      <x:c r="X10" s="23" t="str">
        <x:v>RECONSTRUCTED_FROM_REPORT</x:v>
      </x:c>
    </x:row>
    <x:row r="11" ht="19" customHeight="1">
      <x:c r="A11" s="20" t="str">
        <x:v>FT-SEED-R1B-P-1842-10</x:v>
      </x:c>
      <x:c r="B11" s="21" t="str">
        <x:v>FT-A1842</x:v>
      </x:c>
      <x:c r="C11" s="22" t="str">
        <x:v>1842</x:v>
      </x:c>
      <x:c r="D11" s="22" t="str">
        <x:v>10</x:v>
      </x:c>
      <x:c r="E11" s="21" t="str">
        <x:v>dry bulb thermometer</x:v>
      </x:c>
      <x:c r="F11" s="21" t="str">
        <x:v>dry bulb thermometer</x:v>
      </x:c>
      <x:c r="G11" s="21" t="str">
        <x:v>local / instrumental temperature</x:v>
      </x:c>
      <x:c r="H11" s="21" t="str">
        <x:v>FT-C-LOCAL_INSTRUMENTAL_TEMPERATURE</x:v>
      </x:c>
      <x:c r="I11" s="21" t="str">
        <x:v>A local or instrument-specific temperature reading.</x:v>
      </x:c>
      <x:c r="J11" s="21" t="str">
        <x:v>FT-LF-Q-37D350996846</x:v>
      </x:c>
      <x:c r="K11" s="22" t="str">
        <x:v>temperature_threshold</x:v>
      </x:c>
      <x:c r="L11" s="21" t="str">
        <x:v>FT-F01</x:v>
      </x:c>
      <x:c r="M11" s="22" t="str">
        <x:v>A</x:v>
      </x:c>
      <x:c r="N11" s="22" t="str">
        <x:v>V1</x:v>
      </x:c>
      <x:c r="O11" s="22" t="str">
        <x:v>E5</x:v>
      </x:c>
      <x:c r="P11" s="21" t="str">
        <x:v>RECONSTRUCTED_FROM_REPORT; Fear of Temperature_ Stratified Lexical Expansion, Voice Mapping, and Semantic-Relational Pre-Valida.pdf; p.7; project candidate FT-SEED-R1B-P-1842-10; original visible ID not available</x:v>
      </x:c>
      <x:c r="Q11" s="21" t="str">
        <x:v>FT-NGM-37D35099684656</x:v>
      </x:c>
      <x:c r="R11" s="21" t="str">
        <x:v>dry bulb thermometer</x:v>
      </x:c>
      <x:c r="S11" s="22" t="str">
        <x:v>EXACT</x:v>
      </x:c>
      <x:c r="T11" s="21" t="str">
        <x:v>FT-Q-V01-010</x:v>
      </x:c>
      <x:c r="U11" s="21" t="str">
        <x:v>Candidate surface form is directly representable in the public Ngram interface.</x:v>
      </x:c>
      <x:c r="V11" s="21" t="str">
        <x:v>Fear of Temperature_ Stratified Lexical Expansion, Voice Mapping, and Semantic-Relational Pre-Valida.pdf</x:v>
      </x:c>
      <x:c r="W11" s="21" t="str">
        <x:v>7</x:v>
      </x:c>
      <x:c r="X11" s="23" t="str">
        <x:v>RECONSTRUCTED_FROM_REPORT</x:v>
      </x:c>
    </x:row>
    <x:row r="12" ht="19" customHeight="1">
      <x:c r="A12" s="20" t="str">
        <x:v>FT-SEED-R1B-P-1842-11</x:v>
      </x:c>
      <x:c r="B12" s="21" t="str">
        <x:v>FT-A1842</x:v>
      </x:c>
      <x:c r="C12" s="22" t="str">
        <x:v>1842</x:v>
      </x:c>
      <x:c r="D12" s="22" t="str">
        <x:v>11</x:v>
      </x:c>
      <x:c r="E12" s="21" t="str">
        <x:v>wet bulb thermometer</x:v>
      </x:c>
      <x:c r="F12" s="21" t="str">
        <x:v>wet bulb thermometer</x:v>
      </x:c>
      <x:c r="G12" s="21" t="str">
        <x:v>local / instrumental temperature</x:v>
      </x:c>
      <x:c r="H12" s="21" t="str">
        <x:v>FT-C-LOCAL_INSTRUMENTAL_TEMPERATURE</x:v>
      </x:c>
      <x:c r="I12" s="21" t="str">
        <x:v>A local or instrument-specific temperature reading.</x:v>
      </x:c>
      <x:c r="J12" s="21" t="str">
        <x:v>FT-LF-Q-6ED65D7528DC</x:v>
      </x:c>
      <x:c r="K12" s="22" t="str">
        <x:v>temperature_threshold</x:v>
      </x:c>
      <x:c r="L12" s="21" t="str">
        <x:v>FT-F01</x:v>
      </x:c>
      <x:c r="M12" s="22" t="str">
        <x:v>A</x:v>
      </x:c>
      <x:c r="N12" s="22" t="str">
        <x:v>V1</x:v>
      </x:c>
      <x:c r="O12" s="22" t="str">
        <x:v>E5</x:v>
      </x:c>
      <x:c r="P12" s="21" t="str">
        <x:v>RECONSTRUCTED_FROM_REPORT; Fear of Temperature_ Stratified Lexical Expansion, Voice Mapping, and Semantic-Relational Pre-Valida.pdf; p.6; project candidate FT-SEED-R1B-P-1842-11; original visible ID not available</x:v>
      </x:c>
      <x:c r="Q12" s="21" t="str">
        <x:v>FT-NGM-6ED65D7528DC1F</x:v>
      </x:c>
      <x:c r="R12" s="21" t="str">
        <x:v>wet bulb thermometer</x:v>
      </x:c>
      <x:c r="S12" s="22" t="str">
        <x:v>EXACT</x:v>
      </x:c>
      <x:c r="T12" s="21" t="str">
        <x:v>FT-Q-V01-011</x:v>
      </x:c>
      <x:c r="U12" s="21" t="str">
        <x:v>Candidate surface form is directly representable in the public Ngram interface.</x:v>
      </x:c>
      <x:c r="V12" s="21" t="str">
        <x:v>Fear of Temperature_ Stratified Lexical Expansion, Voice Mapping, and Semantic-Relational Pre-Valida.pdf</x:v>
      </x:c>
      <x:c r="W12" s="21" t="str">
        <x:v>6</x:v>
      </x:c>
      <x:c r="X12" s="23" t="str">
        <x:v>RECONSTRUCTED_FROM_REPORT</x:v>
      </x:c>
    </x:row>
    <x:row r="13" ht="19" customHeight="1">
      <x:c r="A13" s="20" t="str">
        <x:v>FT-SEED-R1B-P-1842-12</x:v>
      </x:c>
      <x:c r="B13" s="21" t="str">
        <x:v>FT-A1842</x:v>
      </x:c>
      <x:c r="C13" s="22" t="str">
        <x:v>1842</x:v>
      </x:c>
      <x:c r="D13" s="22" t="str">
        <x:v>12</x:v>
      </x:c>
      <x:c r="E13" s="21" t="str">
        <x:v>meteorological observations</x:v>
      </x:c>
      <x:c r="F13" s="21" t="str">
        <x:v>meteorological observations</x:v>
      </x:c>
      <x:c r="G13" s="21" t="str">
        <x:v>historical climate / climatological condition</x:v>
      </x:c>
      <x:c r="H13" s="21" t="str">
        <x:v>FT-C-HISTORICAL_CLIMATE_CONDITION</x:v>
      </x:c>
      <x:c r="I13" s="21" t="str">
        <x:v>Climate as a historical, geographical, seasonal, or climatological condition.</x:v>
      </x:c>
      <x:c r="J13" s="21" t="str">
        <x:v>FT-LF-Q-503E96757F1B</x:v>
      </x:c>
      <x:c r="K13" s="22" t="str">
        <x:v>climate</x:v>
      </x:c>
      <x:c r="L13" s="21" t="str">
        <x:v>FT-F04</x:v>
      </x:c>
      <x:c r="M13" s="22" t="str">
        <x:v>B</x:v>
      </x:c>
      <x:c r="N13" s="22" t="str">
        <x:v>V1</x:v>
      </x:c>
      <x:c r="O13" s="22" t="str">
        <x:v>E5</x:v>
      </x:c>
      <x:c r="P13" s="21" t="str">
        <x:v>RECONSTRUCTED_FROM_REPORT; Fear of Temperature_ Stratified Lexical Expansion, Voice Mapping, and Semantic-Relational Pre-Valida.pdf; p.6; project candidate FT-SEED-R1B-P-1842-12; original visible ID not available</x:v>
      </x:c>
      <x:c r="Q13" s="21" t="str">
        <x:v>FT-NGM-503E96757F1B22</x:v>
      </x:c>
      <x:c r="R13" s="21" t="str">
        <x:v>meteorological observations</x:v>
      </x:c>
      <x:c r="S13" s="22" t="str">
        <x:v>EXACT</x:v>
      </x:c>
      <x:c r="T13" s="21" t="str">
        <x:v>FT-Q-V01-012</x:v>
      </x:c>
      <x:c r="U13" s="21" t="str">
        <x:v>Candidate surface form is directly representable in the public Ngram interface.</x:v>
      </x:c>
      <x:c r="V13" s="21" t="str">
        <x:v>Fear of Temperature_ Stratified Lexical Expansion, Voice Mapping, and Semantic-Relational Pre-Valida.pdf</x:v>
      </x:c>
      <x:c r="W13" s="21" t="str">
        <x:v>6</x:v>
      </x:c>
      <x:c r="X13" s="23" t="str">
        <x:v>RECONSTRUCTED_FROM_REPORT</x:v>
      </x:c>
    </x:row>
    <x:row r="14" ht="19" customHeight="1">
      <x:c r="A14" s="20" t="str">
        <x:v>FT-SEED-R1B-P-1842-13</x:v>
      </x:c>
      <x:c r="B14" s="21" t="str">
        <x:v>FT-A1842</x:v>
      </x:c>
      <x:c r="C14" s="22" t="str">
        <x:v>1842</x:v>
      </x:c>
      <x:c r="D14" s="22" t="str">
        <x:v>13</x:v>
      </x:c>
      <x:c r="E14" s="21" t="str">
        <x:v>meteorological journal</x:v>
      </x:c>
      <x:c r="F14" s="21" t="str">
        <x:v>meteorological journal</x:v>
      </x:c>
      <x:c r="G14" s="21" t="str">
        <x:v>historical climate / climatological condition</x:v>
      </x:c>
      <x:c r="H14" s="21" t="str">
        <x:v>FT-C-HISTORICAL_CLIMATE_CONDITION</x:v>
      </x:c>
      <x:c r="I14" s="21" t="str">
        <x:v>Climate as a historical, geographical, seasonal, or climatological condition.</x:v>
      </x:c>
      <x:c r="J14" s="21" t="str">
        <x:v>FT-LF-Q-75CD74B4B7CB</x:v>
      </x:c>
      <x:c r="K14" s="22" t="str">
        <x:v>climate</x:v>
      </x:c>
      <x:c r="L14" s="21" t="str">
        <x:v>FT-F04</x:v>
      </x:c>
      <x:c r="M14" s="22" t="str">
        <x:v>B</x:v>
      </x:c>
      <x:c r="N14" s="22" t="str">
        <x:v>V1</x:v>
      </x:c>
      <x:c r="O14" s="22" t="str">
        <x:v>E5</x:v>
      </x:c>
      <x:c r="P14" s="21" t="str">
        <x:v>RECONSTRUCTED_FROM_REPORT; Fear of Temperature_ Stratified Lexical Expansion, Voice Mapping, and Semantic-Relational Pre-Valida.pdf; p.6; project candidate FT-SEED-R1B-P-1842-13; original visible ID not available</x:v>
      </x:c>
      <x:c r="Q14" s="21" t="str">
        <x:v>FT-NGM-75CD74B4B7CB3C</x:v>
      </x:c>
      <x:c r="R14" s="21" t="str">
        <x:v>meteorological journal</x:v>
      </x:c>
      <x:c r="S14" s="22" t="str">
        <x:v>EXACT</x:v>
      </x:c>
      <x:c r="T14" s="21" t="str">
        <x:v>FT-Q-V01-013</x:v>
      </x:c>
      <x:c r="U14" s="21" t="str">
        <x:v>Candidate surface form is directly representable in the public Ngram interface.</x:v>
      </x:c>
      <x:c r="V14" s="21" t="str">
        <x:v>Fear of Temperature_ Stratified Lexical Expansion, Voice Mapping, and Semantic-Relational Pre-Valida.pdf</x:v>
      </x:c>
      <x:c r="W14" s="21" t="str">
        <x:v>6</x:v>
      </x:c>
      <x:c r="X14" s="23" t="str">
        <x:v>RECONSTRUCTED_FROM_REPORT</x:v>
      </x:c>
    </x:row>
    <x:row r="15" ht="19" customHeight="1">
      <x:c r="A15" s="20" t="str">
        <x:v>FT-SEED-R1B-P-1842-14</x:v>
      </x:c>
      <x:c r="B15" s="21" t="str">
        <x:v>FT-A1842</x:v>
      </x:c>
      <x:c r="C15" s="22" t="str">
        <x:v>1842</x:v>
      </x:c>
      <x:c r="D15" s="22" t="str">
        <x:v>14</x:v>
      </x:c>
      <x:c r="E15" s="21" t="str">
        <x:v>weather</x:v>
      </x:c>
      <x:c r="F15" s="21" t="str">
        <x:v>weather</x:v>
      </x:c>
      <x:c r="G15" s="21" t="str">
        <x:v>historical climate / climatological condition</x:v>
      </x:c>
      <x:c r="H15" s="21" t="str">
        <x:v>FT-C-HISTORICAL_CLIMATE_CONDITION</x:v>
      </x:c>
      <x:c r="I15" s="21" t="str">
        <x:v>Climate as a historical, geographical, seasonal, or climatological condition.</x:v>
      </x:c>
      <x:c r="J15" s="21" t="str">
        <x:v>FT-LF-Q-E5E72BEB4E3C</x:v>
      </x:c>
      <x:c r="K15" s="22" t="str">
        <x:v>climate</x:v>
      </x:c>
      <x:c r="L15" s="21" t="str">
        <x:v>FT-F04</x:v>
      </x:c>
      <x:c r="M15" s="22" t="str">
        <x:v>B</x:v>
      </x:c>
      <x:c r="N15" s="22" t="str">
        <x:v>V1</x:v>
      </x:c>
      <x:c r="O15" s="22" t="str">
        <x:v>E5</x:v>
      </x:c>
      <x:c r="P15" s="21" t="str">
        <x:v>RECONSTRUCTED_FROM_REPORT; Fear of Temperature_ Stratified Lexical Expansion, Voice Mapping, and Semantic-Relational Pre-Valida.pdf; p.6; project candidate FT-SEED-R1B-P-1842-14; original visible ID not available</x:v>
      </x:c>
      <x:c r="Q15" s="21" t="str">
        <x:v>FT-NGM-E5E72BEB4E3C69</x:v>
      </x:c>
      <x:c r="R15" s="21" t="str">
        <x:v>weather</x:v>
      </x:c>
      <x:c r="S15" s="22" t="str">
        <x:v>EXACT</x:v>
      </x:c>
      <x:c r="T15" s="21" t="str">
        <x:v>FT-Q-V01-014</x:v>
      </x:c>
      <x:c r="U15" s="21" t="str">
        <x:v>Candidate surface form is directly representable in the public Ngram interface.</x:v>
      </x:c>
      <x:c r="V15" s="21" t="str">
        <x:v>Fear of Temperature_ Stratified Lexical Expansion, Voice Mapping, and Semantic-Relational Pre-Valida.pdf</x:v>
      </x:c>
      <x:c r="W15" s="21" t="str">
        <x:v>6</x:v>
      </x:c>
      <x:c r="X15" s="23" t="str">
        <x:v>RECONSTRUCTED_FROM_REPORT</x:v>
      </x:c>
    </x:row>
    <x:row r="16" ht="19" customHeight="1">
      <x:c r="A16" s="20" t="str">
        <x:v>FT-SEED-R1B-P-1842-15</x:v>
      </x:c>
      <x:c r="B16" s="21" t="str">
        <x:v>FT-A1842</x:v>
      </x:c>
      <x:c r="C16" s="22" t="str">
        <x:v>1842</x:v>
      </x:c>
      <x:c r="D16" s="22" t="str">
        <x:v>15</x:v>
      </x:c>
      <x:c r="E16" s="21" t="str">
        <x:v>climate</x:v>
      </x:c>
      <x:c r="F16" s="21" t="str">
        <x:v>climate</x:v>
      </x:c>
      <x:c r="G16" s="21" t="str">
        <x:v>historical climate / climatological condition</x:v>
      </x:c>
      <x:c r="H16" s="21" t="str">
        <x:v>FT-C-HISTORICAL_CLIMATE_CONDITION</x:v>
      </x:c>
      <x:c r="I16" s="21" t="str">
        <x:v>Climate as a historical, geographical, seasonal, or climatological condition.</x:v>
      </x:c>
      <x:c r="J16" s="21" t="str">
        <x:v>FT-LF-CLIMATE</x:v>
      </x:c>
      <x:c r="K16" s="22" t="str">
        <x:v>climate</x:v>
      </x:c>
      <x:c r="L16" s="21" t="str">
        <x:v>FT-F04</x:v>
      </x:c>
      <x:c r="M16" s="22" t="str">
        <x:v>B</x:v>
      </x:c>
      <x:c r="N16" s="22" t="str">
        <x:v>V1</x:v>
      </x:c>
      <x:c r="O16" s="22" t="str">
        <x:v>E5</x:v>
      </x:c>
      <x:c r="P16" s="21" t="str">
        <x:v>RECONSTRUCTED_FROM_REPORT; Fear of Temperature_ Stratified Lexical Expansion, Voice Mapping, and Semantic-Relational Pre-Valida.pdf; p.6; project candidate FT-SEED-R1B-P-1842-15; original visible ID not available</x:v>
      </x:c>
      <x:c r="Q16" s="21" t="str">
        <x:v>FT-NGM-10DB699812D02C</x:v>
      </x:c>
      <x:c r="R16" s="21" t="str">
        <x:v>climate</x:v>
      </x:c>
      <x:c r="S16" s="22" t="str">
        <x:v>EXACT</x:v>
      </x:c>
      <x:c r="T16" s="21" t="str">
        <x:v>FT-Q-V01-015</x:v>
      </x:c>
      <x:c r="U16" s="21" t="str">
        <x:v>Candidate surface form is directly representable in the public Ngram interface.</x:v>
      </x:c>
      <x:c r="V16" s="21" t="str">
        <x:v>Fear of Temperature_ Stratified Lexical Expansion, Voice Mapping, and Semantic-Relational Pre-Valida.pdf</x:v>
      </x:c>
      <x:c r="W16" s="21" t="str">
        <x:v>6</x:v>
      </x:c>
      <x:c r="X16" s="23" t="str">
        <x:v>RECONSTRUCTED_FROM_REPORT</x:v>
      </x:c>
    </x:row>
    <x:row r="17" ht="19" customHeight="1">
      <x:c r="A17" s="20" t="str">
        <x:v>FT-SEED-R1B-P-1842-16</x:v>
      </x:c>
      <x:c r="B17" s="21" t="str">
        <x:v>FT-A1842</x:v>
      </x:c>
      <x:c r="C17" s="22" t="str">
        <x:v>1842</x:v>
      </x:c>
      <x:c r="D17" s="22" t="str">
        <x:v>16</x:v>
      </x:c>
      <x:c r="E17" s="21" t="str">
        <x:v>sun's heat</x:v>
      </x:c>
      <x:c r="F17" s="21" t="str">
        <x:v>sun's heat</x:v>
      </x:c>
      <x:c r="G17" s="21" t="str">
        <x:v>physical heat source / state</x:v>
      </x:c>
      <x:c r="H17" s="21" t="str">
        <x:v>FT-C-PHYSICAL_HEAT_STATE</x:v>
      </x:c>
      <x:c r="I17" s="21" t="str">
        <x:v>Heat as a physical source, state, or thermal condition.</x:v>
      </x:c>
      <x:c r="J17" s="21" t="str">
        <x:v>FT-LF-Q-888F8647F9E3</x:v>
      </x:c>
      <x:c r="K17" s="22" t="str">
        <x:v>heat</x:v>
      </x:c>
      <x:c r="L17" s="21" t="str">
        <x:v>FT-F02</x:v>
      </x:c>
      <x:c r="M17" s="22" t="str">
        <x:v>A</x:v>
      </x:c>
      <x:c r="N17" s="22" t="str">
        <x:v>V1</x:v>
      </x:c>
      <x:c r="O17" s="22" t="str">
        <x:v>E5</x:v>
      </x:c>
      <x:c r="P17" s="21" t="str">
        <x:v>RECONSTRUCTED_FROM_REPORT; Fear of Temperature_ Stratified Lexical Expansion, Voice Mapping, and Semantic-Relational Pre-Valida.pdf; p.6; project candidate FT-SEED-R1B-P-1842-16; original visible ID not available</x:v>
      </x:c>
      <x:c r="Q17" s="21" t="str">
        <x:v>FT-NGM-888F8647F9E3D6</x:v>
      </x:c>
      <x:c r="R17" s="21" t="str">
        <x:v>sun's heat</x:v>
      </x:c>
      <x:c r="S17" s="22" t="str">
        <x:v>EXACT</x:v>
      </x:c>
      <x:c r="T17" s="21" t="str">
        <x:v>FT-Q-V01-016</x:v>
      </x:c>
      <x:c r="U17" s="21" t="str">
        <x:v>Candidate surface form is directly representable in the public Ngram interface.</x:v>
      </x:c>
      <x:c r="V17" s="21" t="str">
        <x:v>Fear of Temperature_ Stratified Lexical Expansion, Voice Mapping, and Semantic-Relational Pre-Valida.pdf</x:v>
      </x:c>
      <x:c r="W17" s="21" t="str">
        <x:v>6</x:v>
      </x:c>
      <x:c r="X17" s="23" t="str">
        <x:v>RECONSTRUCTED_FROM_REPORT</x:v>
      </x:c>
    </x:row>
    <x:row r="18" ht="19" customHeight="1">
      <x:c r="A18" s="20" t="str">
        <x:v>FT-SEED-R1B-P-1842-17</x:v>
      </x:c>
      <x:c r="B18" s="21" t="str">
        <x:v>FT-A1842</x:v>
      </x:c>
      <x:c r="C18" s="22" t="str">
        <x:v>1842</x:v>
      </x:c>
      <x:c r="D18" s="22" t="str">
        <x:v>17</x:v>
      </x:c>
      <x:c r="E18" s="21" t="str">
        <x:v>radiation of the heat</x:v>
      </x:c>
      <x:c r="F18" s="21" t="str">
        <x:v>radiation of the heat</x:v>
      </x:c>
      <x:c r="G18" s="21" t="str">
        <x:v>physical heat source / state</x:v>
      </x:c>
      <x:c r="H18" s="21" t="str">
        <x:v>FT-C-PHYSICAL_HEAT_STATE</x:v>
      </x:c>
      <x:c r="I18" s="21" t="str">
        <x:v>Heat as a physical source, state, or thermal condition.</x:v>
      </x:c>
      <x:c r="J18" s="21" t="str">
        <x:v>FT-LF-Q-ABBCAC484C11</x:v>
      </x:c>
      <x:c r="K18" s="22" t="str">
        <x:v>heat</x:v>
      </x:c>
      <x:c r="L18" s="21" t="str">
        <x:v>FT-F02</x:v>
      </x:c>
      <x:c r="M18" s="22" t="str">
        <x:v>B</x:v>
      </x:c>
      <x:c r="N18" s="22" t="str">
        <x:v>V1</x:v>
      </x:c>
      <x:c r="O18" s="22" t="str">
        <x:v>E5</x:v>
      </x:c>
      <x:c r="P18" s="21" t="str">
        <x:v>RECONSTRUCTED_FROM_REPORT; Fear of Temperature_ Stratified Lexical Expansion, Voice Mapping, and Semantic-Relational Pre-Valida.pdf; p.6; project candidate FT-SEED-R1B-P-1842-17; original visible ID not available</x:v>
      </x:c>
      <x:c r="Q18" s="21" t="str">
        <x:v>FT-NGM-ABBCAC484C1113</x:v>
      </x:c>
      <x:c r="R18" s="21" t="str">
        <x:v>radiation of the heat</x:v>
      </x:c>
      <x:c r="S18" s="22" t="str">
        <x:v>EXACT</x:v>
      </x:c>
      <x:c r="T18" s="21" t="str">
        <x:v>FT-Q-V01-017</x:v>
      </x:c>
      <x:c r="U18" s="21" t="str">
        <x:v>Candidate surface form is directly representable in the public Ngram interface.</x:v>
      </x:c>
      <x:c r="V18" s="21" t="str">
        <x:v>Fear of Temperature_ Stratified Lexical Expansion, Voice Mapping, and Semantic-Relational Pre-Valida.pdf</x:v>
      </x:c>
      <x:c r="W18" s="21" t="str">
        <x:v>6</x:v>
      </x:c>
      <x:c r="X18" s="23" t="str">
        <x:v>RECONSTRUCTED_FROM_REPORT</x:v>
      </x:c>
    </x:row>
    <x:row r="19" ht="19" customHeight="1">
      <x:c r="A19" s="20" t="str">
        <x:v>FT-SEED-R1B-P-1842-18</x:v>
      </x:c>
      <x:c r="B19" s="21" t="str">
        <x:v>FT-A1842</x:v>
      </x:c>
      <x:c r="C19" s="22" t="str">
        <x:v>1842</x:v>
      </x:c>
      <x:c r="D19" s="22" t="str">
        <x:v>18</x:v>
      </x:c>
      <x:c r="E19" s="21" t="str">
        <x:v>changes of temperature</x:v>
      </x:c>
      <x:c r="F19" s="21" t="str">
        <x:v>changes of temperature</x:v>
      </x:c>
      <x:c r="G19" s="21" t="str">
        <x:v>local / instrumental temperature</x:v>
      </x:c>
      <x:c r="H19" s="21" t="str">
        <x:v>FT-C-LOCAL_INSTRUMENTAL_TEMPERATURE</x:v>
      </x:c>
      <x:c r="I19" s="21" t="str">
        <x:v>A local or instrument-specific temperature reading.</x:v>
      </x:c>
      <x:c r="J19" s="21" t="str">
        <x:v>FT-LF-Q-69A8DD45B417</x:v>
      </x:c>
      <x:c r="K19" s="22" t="str">
        <x:v>temperature_threshold</x:v>
      </x:c>
      <x:c r="L19" s="21" t="str">
        <x:v>FT-F01</x:v>
      </x:c>
      <x:c r="M19" s="22" t="str">
        <x:v>A</x:v>
      </x:c>
      <x:c r="N19" s="22" t="str">
        <x:v>V2</x:v>
      </x:c>
      <x:c r="O19" s="22" t="str">
        <x:v>E5</x:v>
      </x:c>
      <x:c r="P19" s="21" t="str">
        <x:v>RECONSTRUCTED_FROM_REPORT; Fear of Temperature_ Stratified Lexical Expansion, Voice Mapping, and Semantic-Relational Pre-Valida.pdf; p.7; project candidate FT-SEED-R1B-P-1842-18; original visible ID not available</x:v>
      </x:c>
      <x:c r="Q19" s="21" t="str">
        <x:v>FT-NGM-69A8DD45B4175B</x:v>
      </x:c>
      <x:c r="R19" s="21" t="str">
        <x:v>changes of temperature</x:v>
      </x:c>
      <x:c r="S19" s="22" t="str">
        <x:v>EXACT</x:v>
      </x:c>
      <x:c r="T19" s="21" t="str">
        <x:v>FT-Q-V01-018</x:v>
      </x:c>
      <x:c r="U19" s="21" t="str">
        <x:v>Candidate surface form is directly representable in the public Ngram interface.</x:v>
      </x:c>
      <x:c r="V19" s="21" t="str">
        <x:v>Fear of Temperature_ Stratified Lexical Expansion, Voice Mapping, and Semantic-Relational Pre-Valida.pdf</x:v>
      </x:c>
      <x:c r="W19" s="21" t="str">
        <x:v>7</x:v>
      </x:c>
      <x:c r="X19" s="23" t="str">
        <x:v>RECONSTRUCTED_FROM_REPORT</x:v>
      </x:c>
    </x:row>
    <x:row r="20" ht="19" customHeight="1">
      <x:c r="A20" s="20" t="str">
        <x:v>FT-SEED-R1B-P-1842-19</x:v>
      </x:c>
      <x:c r="B20" s="21" t="str">
        <x:v>FT-A1842</x:v>
      </x:c>
      <x:c r="C20" s="22" t="str">
        <x:v>1842</x:v>
      </x:c>
      <x:c r="D20" s="22" t="str">
        <x:v>19</x:v>
      </x:c>
      <x:c r="E20" s="21" t="str">
        <x:v>excessive heat</x:v>
      </x:c>
      <x:c r="F20" s="21" t="str">
        <x:v>excessive heat</x:v>
      </x:c>
      <x:c r="G20" s="21" t="str">
        <x:v>extreme-heat hazard</x:v>
      </x:c>
      <x:c r="H20" s="21" t="str">
        <x:v>FT-C-EXTREME_HEAT_HAZARD</x:v>
      </x:c>
      <x:c r="I20" s="21" t="str">
        <x:v>Extreme heat framed as a hazard with health or social consequences.</x:v>
      </x:c>
      <x:c r="J20" s="21" t="str">
        <x:v>FT-LF-Q-DDC4ABE24429</x:v>
      </x:c>
      <x:c r="K20" s="22" t="str">
        <x:v>heat</x:v>
      </x:c>
      <x:c r="L20" s="21" t="str">
        <x:v>FT-F02</x:v>
      </x:c>
      <x:c r="M20" s="22" t="str">
        <x:v>D</x:v>
      </x:c>
      <x:c r="N20" s="22" t="str">
        <x:v>V5</x:v>
      </x:c>
      <x:c r="O20" s="22" t="str">
        <x:v>E5</x:v>
      </x:c>
      <x:c r="P20" s="21" t="str">
        <x:v>RECONSTRUCTED_FROM_REPORT; Fear of Temperature_ Stratified Lexical Expansion, Voice Mapping, and Semantic-Relational Pre-Valida.pdf; p.7; project candidate FT-SEED-R1B-P-1842-19; original visible ID not available</x:v>
      </x:c>
      <x:c r="Q20" s="21" t="str">
        <x:v>FT-NGM-DDC4ABE244296C</x:v>
      </x:c>
      <x:c r="R20" s="21" t="str">
        <x:v>excessive heat</x:v>
      </x:c>
      <x:c r="S20" s="22" t="str">
        <x:v>EXACT</x:v>
      </x:c>
      <x:c r="T20" s="21" t="str">
        <x:v>FT-Q-V01-019</x:v>
      </x:c>
      <x:c r="U20" s="21" t="str">
        <x:v>Candidate surface form is directly representable in the public Ngram interface.</x:v>
      </x:c>
      <x:c r="V20" s="21" t="str">
        <x:v>Fear of Temperature_ Stratified Lexical Expansion, Voice Mapping, and Semantic-Relational Pre-Valida.pdf</x:v>
      </x:c>
      <x:c r="W20" s="21" t="str">
        <x:v>7</x:v>
      </x:c>
      <x:c r="X20" s="23" t="str">
        <x:v>RECONSTRUCTED_FROM_REPORT</x:v>
      </x:c>
    </x:row>
    <x:row r="21" ht="19" customHeight="1">
      <x:c r="A21" s="20" t="str">
        <x:v>FT-SEED-R1B-P-1842-20</x:v>
      </x:c>
      <x:c r="B21" s="21" t="str">
        <x:v>FT-A1842</x:v>
      </x:c>
      <x:c r="C21" s="22" t="str">
        <x:v>1842</x:v>
      </x:c>
      <x:c r="D21" s="22" t="str">
        <x:v>20</x:v>
      </x:c>
      <x:c r="E21" s="21" t="str">
        <x:v>heat of the men</x:v>
      </x:c>
      <x:c r="F21" s="21" t="str">
        <x:v>heat of the men</x:v>
      </x:c>
      <x:c r="G21" s="21" t="str">
        <x:v>embodied heat exposure</x:v>
      </x:c>
      <x:c r="H21" s="21" t="str">
        <x:v>FT-C-EMBODIED_HEAT_EXPOSURE</x:v>
      </x:c>
      <x:c r="I21" s="21" t="str">
        <x:v>Heat experienced by bodies in occupational, domestic, or environmental settings.</x:v>
      </x:c>
      <x:c r="J21" s="21" t="str">
        <x:v>FT-LF-Q-92253C59509B</x:v>
      </x:c>
      <x:c r="K21" s="22" t="str">
        <x:v>heat</x:v>
      </x:c>
      <x:c r="L21" s="21" t="str">
        <x:v>FT-F02</x:v>
      </x:c>
      <x:c r="M21" s="22" t="str">
        <x:v>A</x:v>
      </x:c>
      <x:c r="N21" s="22" t="str">
        <x:v>V5</x:v>
      </x:c>
      <x:c r="O21" s="22" t="str">
        <x:v>E5</x:v>
      </x:c>
      <x:c r="P21" s="21" t="str">
        <x:v>RECONSTRUCTED_FROM_REPORT; Fear of Temperature_ Stratified Lexical Expansion, Voice Mapping, and Semantic-Relational Pre-Valida.pdf; p.7; project candidate FT-SEED-R1B-P-1842-20; original visible ID not available</x:v>
      </x:c>
      <x:c r="Q21" s="21" t="str">
        <x:v>FT-NGM-92253C59509B67</x:v>
      </x:c>
      <x:c r="R21" s="21" t="str">
        <x:v>heat of the men</x:v>
      </x:c>
      <x:c r="S21" s="22" t="str">
        <x:v>EXACT</x:v>
      </x:c>
      <x:c r="T21" s="21" t="str">
        <x:v>FT-Q-V01-020</x:v>
      </x:c>
      <x:c r="U21" s="21" t="str">
        <x:v>Candidate surface form is directly representable in the public Ngram interface.</x:v>
      </x:c>
      <x:c r="V21" s="21" t="str">
        <x:v>Fear of Temperature_ Stratified Lexical Expansion, Voice Mapping, and Semantic-Relational Pre-Valida.pdf</x:v>
      </x:c>
      <x:c r="W21" s="21" t="str">
        <x:v>7</x:v>
      </x:c>
      <x:c r="X21" s="23" t="str">
        <x:v>RECONSTRUCTED_FROM_REPORT</x:v>
      </x:c>
    </x:row>
    <x:row r="22" ht="19" customHeight="1">
      <x:c r="A22" s="20" t="str">
        <x:v>FT-SEED-R1B-P-1842-21</x:v>
      </x:c>
      <x:c r="B22" s="21" t="str">
        <x:v>FT-A1842</x:v>
      </x:c>
      <x:c r="C22" s="22" t="str">
        <x:v>1842</x:v>
      </x:c>
      <x:c r="D22" s="22" t="str">
        <x:v>21</x:v>
      </x:c>
      <x:c r="E22" s="21" t="str">
        <x:v>heat of the irons</x:v>
      </x:c>
      <x:c r="F22" s="21" t="str">
        <x:v>heat of the irons</x:v>
      </x:c>
      <x:c r="G22" s="21" t="str">
        <x:v>physical heat source / state</x:v>
      </x:c>
      <x:c r="H22" s="21" t="str">
        <x:v>FT-C-PHYSICAL_HEAT_STATE</x:v>
      </x:c>
      <x:c r="I22" s="21" t="str">
        <x:v>Heat as a physical source, state, or thermal condition.</x:v>
      </x:c>
      <x:c r="J22" s="21" t="str">
        <x:v>FT-LF-Q-C039DD9FEFF1</x:v>
      </x:c>
      <x:c r="K22" s="22" t="str">
        <x:v>heat</x:v>
      </x:c>
      <x:c r="L22" s="21" t="str">
        <x:v>FT-F02</x:v>
      </x:c>
      <x:c r="M22" s="22" t="str">
        <x:v>A</x:v>
      </x:c>
      <x:c r="N22" s="22" t="str">
        <x:v>V5</x:v>
      </x:c>
      <x:c r="O22" s="22" t="str">
        <x:v>E5</x:v>
      </x:c>
      <x:c r="P22" s="21" t="str">
        <x:v>RECONSTRUCTED_FROM_REPORT; Fear of Temperature_ Stratified Lexical Expansion, Voice Mapping, and Semantic-Relational Pre-Valida.pdf; p.6; project candidate FT-SEED-R1B-P-1842-21; original visible ID not available</x:v>
      </x:c>
      <x:c r="Q22" s="21" t="str">
        <x:v>FT-NGM-C039DD9FEFF160</x:v>
      </x:c>
      <x:c r="R22" s="21" t="str">
        <x:v>heat of the irons</x:v>
      </x:c>
      <x:c r="S22" s="22" t="str">
        <x:v>EXACT</x:v>
      </x:c>
      <x:c r="T22" s="21" t="str">
        <x:v>FT-Q-V01-138</x:v>
      </x:c>
      <x:c r="U22" s="21" t="str">
        <x:v>Candidate surface form is directly representable in the public Ngram interface.</x:v>
      </x:c>
      <x:c r="V22" s="21" t="str">
        <x:v>Fear of Temperature_ Stratified Lexical Expansion, Voice Mapping, and Semantic-Relational Pre-Valida.pdf</x:v>
      </x:c>
      <x:c r="W22" s="21" t="str">
        <x:v>6</x:v>
      </x:c>
      <x:c r="X22" s="23" t="str">
        <x:v>RECONSTRUCTED_FROM_REPORT</x:v>
      </x:c>
    </x:row>
    <x:row r="23" ht="19" customHeight="1">
      <x:c r="A23" s="20" t="str">
        <x:v>FT-SEED-R1B-P-1842-22</x:v>
      </x:c>
      <x:c r="B23" s="21" t="str">
        <x:v>FT-A1842</x:v>
      </x:c>
      <x:c r="C23" s="22" t="str">
        <x:v>1842</x:v>
      </x:c>
      <x:c r="D23" s="22" t="str">
        <x:v>22</x:v>
      </x:c>
      <x:c r="E23" s="21" t="str">
        <x:v>most suffocating</x:v>
      </x:c>
      <x:c r="F23" s="21" t="str">
        <x:v>most suffocating</x:v>
      </x:c>
      <x:c r="G23" s="21" t="str">
        <x:v>generic damage</x:v>
      </x:c>
      <x:c r="H23" s="21" t="str">
        <x:v>FT-C-GENERIC_DAMAGE</x:v>
      </x:c>
      <x:c r="I23" s="21" t="str">
        <x:v>Generic material, ecological, or social damage.</x:v>
      </x:c>
      <x:c r="J23" s="21" t="str">
        <x:v>FT-LF-P180-0ADBD74AEAD0</x:v>
      </x:c>
      <x:c r="K23" s="22" t="str">
        <x:v>harm_loss_consequences</x:v>
      </x:c>
      <x:c r="L23" s="21" t="str">
        <x:v>FT-F14</x:v>
      </x:c>
      <x:c r="M23" s="22" t="str">
        <x:v>D</x:v>
      </x:c>
      <x:c r="N23" s="22" t="str">
        <x:v>V5</x:v>
      </x:c>
      <x:c r="O23" s="22" t="str">
        <x:v>E5</x:v>
      </x:c>
      <x:c r="P23" s="21" t="str">
        <x:v>RECONSTRUCTED_FROM_REPORT; Fear of Temperature_ Stratified Lexical Expansion, Voice Mapping, and Semantic-Relational Pre-Valida.pdf; p.6; project candidate FT-SEED-R1B-P-1842-22; original visible ID not available</x:v>
      </x:c>
      <x:c r="Q23" s="21" t="str">
        <x:v>FT-NGM-0ADBD74AEAD072</x:v>
      </x:c>
      <x:c r="R23" s="21" t="str">
        <x:v>most suffocating</x:v>
      </x:c>
      <x:c r="S23" s="22" t="str">
        <x:v>EXACT</x:v>
      </x:c>
      <x:c r="T23" s="21" t="str">
        <x:v>FT-Q-P180-FC9FF7E38391</x:v>
      </x:c>
      <x:c r="U23" s="21" t="str">
        <x:v>Candidate surface form is directly representable in the public Ngram interface.</x:v>
      </x:c>
      <x:c r="V23" s="21" t="str">
        <x:v>Fear of Temperature_ Stratified Lexical Expansion, Voice Mapping, and Semantic-Relational Pre-Valida.pdf</x:v>
      </x:c>
      <x:c r="W23" s="21" t="str">
        <x:v>6</x:v>
      </x:c>
      <x:c r="X23" s="23" t="str">
        <x:v>RECONSTRUCTED_FROM_REPORT</x:v>
      </x:c>
    </x:row>
    <x:row r="24" ht="19" customHeight="1">
      <x:c r="A24" s="20" t="str">
        <x:v>FT-SEED-R1B-P-1842-23</x:v>
      </x:c>
      <x:c r="B24" s="21" t="str">
        <x:v>FT-A1842</x:v>
      </x:c>
      <x:c r="C24" s="22" t="str">
        <x:v>1842</x:v>
      </x:c>
      <x:c r="D24" s="22" t="str">
        <x:v>23</x:v>
      </x:c>
      <x:c r="E24" s="21" t="str">
        <x:v>faint away</x:v>
      </x:c>
      <x:c r="F24" s="21" t="str">
        <x:v>faint away</x:v>
      </x:c>
      <x:c r="G24" s="21" t="str">
        <x:v>generic damage</x:v>
      </x:c>
      <x:c r="H24" s="21" t="str">
        <x:v>FT-C-GENERIC_DAMAGE</x:v>
      </x:c>
      <x:c r="I24" s="21" t="str">
        <x:v>Generic material, ecological, or social damage.</x:v>
      </x:c>
      <x:c r="J24" s="21" t="str">
        <x:v>FT-LF-P180-905BBA36B8F3</x:v>
      </x:c>
      <x:c r="K24" s="22" t="str">
        <x:v>harm_loss_consequences</x:v>
      </x:c>
      <x:c r="L24" s="21" t="str">
        <x:v>FT-F14</x:v>
      </x:c>
      <x:c r="M24" s="22" t="str">
        <x:v>D</x:v>
      </x:c>
      <x:c r="N24" s="22" t="str">
        <x:v>V5</x:v>
      </x:c>
      <x:c r="O24" s="22" t="str">
        <x:v>E5</x:v>
      </x:c>
      <x:c r="P24" s="21" t="str">
        <x:v>RECONSTRUCTED_FROM_REPORT; Fear of Temperature_ Stratified Lexical Expansion, Voice Mapping, and Semantic-Relational Pre-Valida.pdf; p.6; project candidate FT-SEED-R1B-P-1842-23; original visible ID not available</x:v>
      </x:c>
      <x:c r="Q24" s="21" t="str">
        <x:v>FT-NGM-905BBA36B8F3D6</x:v>
      </x:c>
      <x:c r="R24" s="21" t="str">
        <x:v>faint away</x:v>
      </x:c>
      <x:c r="S24" s="22" t="str">
        <x:v>EXACT</x:v>
      </x:c>
      <x:c r="T24" s="21" t="str">
        <x:v>FT-Q-P180-C155052E7DB4</x:v>
      </x:c>
      <x:c r="U24" s="21" t="str">
        <x:v>Candidate surface form is directly representable in the public Ngram interface.</x:v>
      </x:c>
      <x:c r="V24" s="21" t="str">
        <x:v>Fear of Temperature_ Stratified Lexical Expansion, Voice Mapping, and Semantic-Relational Pre-Valida.pdf</x:v>
      </x:c>
      <x:c r="W24" s="21" t="str">
        <x:v>6</x:v>
      </x:c>
      <x:c r="X24" s="23" t="str">
        <x:v>RECONSTRUCTED_FROM_REPORT</x:v>
      </x:c>
    </x:row>
    <x:row r="25" ht="19" customHeight="1">
      <x:c r="A25" s="20" t="str">
        <x:v>FT-SEED-R1B-P-1842-24</x:v>
      </x:c>
      <x:c r="B25" s="21" t="str">
        <x:v>FT-A1842</x:v>
      </x:c>
      <x:c r="C25" s="22" t="str">
        <x:v>1842</x:v>
      </x:c>
      <x:c r="D25" s="22" t="str">
        <x:v>24</x:v>
      </x:c>
      <x:c r="E25" s="21" t="str">
        <x:v>perspiration</x:v>
      </x:c>
      <x:c r="F25" s="21" t="str">
        <x:v>perspiration</x:v>
      </x:c>
      <x:c r="G25" s="21" t="str">
        <x:v>generic damage</x:v>
      </x:c>
      <x:c r="H25" s="21" t="str">
        <x:v>FT-C-GENERIC_DAMAGE</x:v>
      </x:c>
      <x:c r="I25" s="21" t="str">
        <x:v>Generic material, ecological, or social damage.</x:v>
      </x:c>
      <x:c r="J25" s="21" t="str">
        <x:v>FT-LF-P180-409310A012E9</x:v>
      </x:c>
      <x:c r="K25" s="22" t="str">
        <x:v>harm_loss_consequences</x:v>
      </x:c>
      <x:c r="L25" s="21" t="str">
        <x:v>FT-F14</x:v>
      </x:c>
      <x:c r="M25" s="22" t="str">
        <x:v>D</x:v>
      </x:c>
      <x:c r="N25" s="22" t="str">
        <x:v>V5</x:v>
      </x:c>
      <x:c r="O25" s="22" t="str">
        <x:v>E5</x:v>
      </x:c>
      <x:c r="P25" s="21" t="str">
        <x:v>RECONSTRUCTED_FROM_REPORT; Fear of Temperature_ Stratified Lexical Expansion, Voice Mapping, and Semantic-Relational Pre-Valida.pdf; p.6; project candidate FT-SEED-R1B-P-1842-24; original visible ID not available</x:v>
      </x:c>
      <x:c r="Q25" s="21" t="str">
        <x:v>FT-NGM-409310A012E916</x:v>
      </x:c>
      <x:c r="R25" s="21" t="str">
        <x:v>perspiration</x:v>
      </x:c>
      <x:c r="S25" s="22" t="str">
        <x:v>EXACT</x:v>
      </x:c>
      <x:c r="T25" s="21" t="str">
        <x:v>FT-Q-P180-EC2B3513EBA6</x:v>
      </x:c>
      <x:c r="U25" s="21" t="str">
        <x:v>Candidate surface form is directly representable in the public Ngram interface.</x:v>
      </x:c>
      <x:c r="V25" s="21" t="str">
        <x:v>Fear of Temperature_ Stratified Lexical Expansion, Voice Mapping, and Semantic-Relational Pre-Valida.pdf</x:v>
      </x:c>
      <x:c r="W25" s="21" t="str">
        <x:v>6</x:v>
      </x:c>
      <x:c r="X25" s="23" t="str">
        <x:v>RECONSTRUCTED_FROM_REPORT</x:v>
      </x:c>
    </x:row>
    <x:row r="26" ht="19" customHeight="1">
      <x:c r="A26" s="20" t="str">
        <x:v>FT-SEED-R1B-P-1842-25</x:v>
      </x:c>
      <x:c r="B26" s="21" t="str">
        <x:v>FT-A1842</x:v>
      </x:c>
      <x:c r="C26" s="22" t="str">
        <x:v>1842</x:v>
      </x:c>
      <x:c r="D26" s="22" t="str">
        <x:v>25</x:v>
      </x:c>
      <x:c r="E26" s="21" t="str">
        <x:v>depressing effect</x:v>
      </x:c>
      <x:c r="F26" s="21" t="str">
        <x:v>depressing effect</x:v>
      </x:c>
      <x:c r="G26" s="21" t="str">
        <x:v>historical depressing effect</x:v>
      </x:c>
      <x:c r="H26" s="21" t="str">
        <x:v>FT-C-HISTORICAL_DEPRESSING_EFFECT</x:v>
      </x:c>
      <x:c r="I26" s="21" t="str">
        <x:v>Historical bodily or energetic depressing effect; false friend with modern clinical depression.</x:v>
      </x:c>
      <x:c r="J26" s="21" t="str">
        <x:v>FT-LF-DEPRESSING_EFFECT</x:v>
      </x:c>
      <x:c r="K26" s="22" t="str">
        <x:v>distress_depression</x:v>
      </x:c>
      <x:c r="L26" s="21" t="str">
        <x:v>FT-F10</x:v>
      </x:c>
      <x:c r="M26" s="22" t="str">
        <x:v>C</x:v>
      </x:c>
      <x:c r="N26" s="22" t="str">
        <x:v>V5</x:v>
      </x:c>
      <x:c r="O26" s="22" t="str">
        <x:v>E3</x:v>
      </x:c>
      <x:c r="P26" s="21" t="str">
        <x:v>RECONSTRUCTED_FROM_REPORT; Fear of Temperature_ Stratified Lexical Expansion, Voice Mapping, and Semantic-Relational Pre-Valida.pdf; p.6; project candidate FT-SEED-R1B-P-1842-25; original visible ID not available</x:v>
      </x:c>
      <x:c r="Q26" s="21" t="str">
        <x:v>FT-NGM-DF1440142C9B14</x:v>
      </x:c>
      <x:c r="R26" s="21" t="str">
        <x:v>depressing effect</x:v>
      </x:c>
      <x:c r="S26" s="22" t="str">
        <x:v>EXACT</x:v>
      </x:c>
      <x:c r="T26" s="21" t="str">
        <x:v>FT-Q-P180-F133E24539FD</x:v>
      </x:c>
      <x:c r="U26" s="21" t="str">
        <x:v>Candidate surface form is directly representable in the public Ngram interface.</x:v>
      </x:c>
      <x:c r="V26" s="21" t="str">
        <x:v>Fear of Temperature_ Stratified Lexical Expansion, Voice Mapping, and Semantic-Relational Pre-Valida.pdf</x:v>
      </x:c>
      <x:c r="W26" s="21" t="str">
        <x:v>6</x:v>
      </x:c>
      <x:c r="X26" s="23" t="str">
        <x:v>RECONSTRUCTED_FROM_REPORT</x:v>
      </x:c>
    </x:row>
    <x:row r="27" ht="19" customHeight="1">
      <x:c r="A27" s="20" t="str">
        <x:v>FT-SEED-R1B-P-1842-26</x:v>
      </x:c>
      <x:c r="B27" s="21" t="str">
        <x:v>FT-A1842</x:v>
      </x:c>
      <x:c r="C27" s="22" t="str">
        <x:v>1842</x:v>
      </x:c>
      <x:c r="D27" s="22" t="str">
        <x:v>26</x:v>
      </x:c>
      <x:c r="E27" s="21" t="str">
        <x:v>complain of the heat</x:v>
      </x:c>
      <x:c r="F27" s="21" t="str">
        <x:v>complain of the heat</x:v>
      </x:c>
      <x:c r="G27" s="21" t="str">
        <x:v>embodied heat exposure</x:v>
      </x:c>
      <x:c r="H27" s="21" t="str">
        <x:v>FT-C-EMBODIED_HEAT_EXPOSURE</x:v>
      </x:c>
      <x:c r="I27" s="21" t="str">
        <x:v>Heat experienced by bodies in occupational, domestic, or environmental settings.</x:v>
      </x:c>
      <x:c r="J27" s="21" t="str">
        <x:v>FT-LF-P180-176C5BBBA97D</x:v>
      </x:c>
      <x:c r="K27" s="22" t="str">
        <x:v>heat</x:v>
      </x:c>
      <x:c r="L27" s="21" t="str">
        <x:v>FT-F02</x:v>
      </x:c>
      <x:c r="M27" s="22" t="str">
        <x:v>C</x:v>
      </x:c>
      <x:c r="N27" s="22" t="str">
        <x:v>V5</x:v>
      </x:c>
      <x:c r="O27" s="22" t="str">
        <x:v>E5</x:v>
      </x:c>
      <x:c r="P27" s="21" t="str">
        <x:v>RECONSTRUCTED_FROM_REPORT; Fear of Temperature_ Stratified Lexical Expansion, Voice Mapping, and Semantic-Relational Pre-Valida.pdf; p.6; project candidate FT-SEED-R1B-P-1842-26; original visible ID not available</x:v>
      </x:c>
      <x:c r="Q27" s="21" t="str">
        <x:v>FT-NGM-176C5BBBA97DFF</x:v>
      </x:c>
      <x:c r="R27" s="21" t="str">
        <x:v>complain of the heat</x:v>
      </x:c>
      <x:c r="S27" s="22" t="str">
        <x:v>EXACT</x:v>
      </x:c>
      <x:c r="T27" s="21" t="str">
        <x:v>FT-Q-P180-CA3666E569CE</x:v>
      </x:c>
      <x:c r="U27" s="21" t="str">
        <x:v>Candidate surface form is directly representable in the public Ngram interface.</x:v>
      </x:c>
      <x:c r="V27" s="21" t="str">
        <x:v>Fear of Temperature_ Stratified Lexical Expansion, Voice Mapping, and Semantic-Relational Pre-Valida.pdf</x:v>
      </x:c>
      <x:c r="W27" s="21" t="str">
        <x:v>6</x:v>
      </x:c>
      <x:c r="X27" s="23" t="str">
        <x:v>RECONSTRUCTED_FROM_REPORT</x:v>
      </x:c>
    </x:row>
    <x:row r="28" ht="19" customHeight="1">
      <x:c r="A28" s="20" t="str">
        <x:v>FT-SEED-R1B-P-1842-27</x:v>
      </x:c>
      <x:c r="B28" s="21" t="str">
        <x:v>FT-A1842</x:v>
      </x:c>
      <x:c r="C28" s="22" t="str">
        <x:v>1842</x:v>
      </x:c>
      <x:c r="D28" s="22" t="str">
        <x:v>27</x:v>
      </x:c>
      <x:c r="E28" s="21" t="str">
        <x:v>premature heat of the weather</x:v>
      </x:c>
      <x:c r="F28" s="21" t="str">
        <x:v>premature heat of the weather</x:v>
      </x:c>
      <x:c r="G28" s="21" t="str">
        <x:v>physical heat source / state</x:v>
      </x:c>
      <x:c r="H28" s="21" t="str">
        <x:v>FT-C-PHYSICAL_HEAT_STATE</x:v>
      </x:c>
      <x:c r="I28" s="21" t="str">
        <x:v>Heat as a physical source, state, or thermal condition.</x:v>
      </x:c>
      <x:c r="J28" s="21" t="str">
        <x:v>FT-LF-P180-E045339B57CA</x:v>
      </x:c>
      <x:c r="K28" s="22" t="str">
        <x:v>heat</x:v>
      </x:c>
      <x:c r="L28" s="21" t="str">
        <x:v>FT-F02</x:v>
      </x:c>
      <x:c r="M28" s="22" t="str">
        <x:v>A</x:v>
      </x:c>
      <x:c r="N28" s="22" t="str">
        <x:v>V5</x:v>
      </x:c>
      <x:c r="O28" s="22" t="str">
        <x:v>E5</x:v>
      </x:c>
      <x:c r="P28" s="21" t="str">
        <x:v>RECONSTRUCTED_FROM_REPORT; Fear of Temperature_ Stratified Lexical Expansion, Voice Mapping, and Semantic-Relational Pre-Valida.pdf; p.6; project candidate FT-SEED-R1B-P-1842-27; original visible ID not available</x:v>
      </x:c>
      <x:c r="Q28" s="21" t="str">
        <x:v>FT-NGM-E045339B57CA43</x:v>
      </x:c>
      <x:c r="R28" s="21" t="str">
        <x:v>premature heat of the weather</x:v>
      </x:c>
      <x:c r="S28" s="22" t="str">
        <x:v>EXACT</x:v>
      </x:c>
      <x:c r="T28" s="21" t="str">
        <x:v>FT-Q-P180-616B2876E3C5</x:v>
      </x:c>
      <x:c r="U28" s="21" t="str">
        <x:v>Candidate surface form is directly representable in the public Ngram interface.</x:v>
      </x:c>
      <x:c r="V28" s="21" t="str">
        <x:v>Fear of Temperature_ Stratified Lexical Expansion, Voice Mapping, and Semantic-Relational Pre-Valida.pdf</x:v>
      </x:c>
      <x:c r="W28" s="21" t="str">
        <x:v>6</x:v>
      </x:c>
      <x:c r="X28" s="23" t="str">
        <x:v>RECONSTRUCTED_FROM_REPORT</x:v>
      </x:c>
    </x:row>
    <x:row r="29" ht="19" customHeight="1">
      <x:c r="A29" s="20" t="str">
        <x:v>FT-SEED-R1B-P-1842-28</x:v>
      </x:c>
      <x:c r="B29" s="21" t="str">
        <x:v>FT-A1842</x:v>
      </x:c>
      <x:c r="C29" s="22" t="str">
        <x:v>1842</x:v>
      </x:c>
      <x:c r="D29" s="22" t="str">
        <x:v>28</x:v>
      </x:c>
      <x:c r="E29" s="21" t="str">
        <x:v>suffered more from cold than from heat</x:v>
      </x:c>
      <x:c r="F29" s="21" t="str">
        <x:v>suffered more from cold than from heat</x:v>
      </x:c>
      <x:c r="G29" s="21" t="str">
        <x:v>physical heat source / state</x:v>
      </x:c>
      <x:c r="H29" s="21" t="str">
        <x:v>FT-C-PHYSICAL_HEAT_STATE</x:v>
      </x:c>
      <x:c r="I29" s="21" t="str">
        <x:v>Heat as a physical source, state, or thermal condition.</x:v>
      </x:c>
      <x:c r="J29" s="21" t="str">
        <x:v>FT-LF-P180-1E6F47D372F6</x:v>
      </x:c>
      <x:c r="K29" s="22" t="str">
        <x:v>heat</x:v>
      </x:c>
      <x:c r="L29" s="21" t="str">
        <x:v>FT-F02</x:v>
      </x:c>
      <x:c r="M29" s="22" t="str">
        <x:v>D</x:v>
      </x:c>
      <x:c r="N29" s="22" t="str">
        <x:v>V1</x:v>
      </x:c>
      <x:c r="O29" s="22" t="str">
        <x:v>E5</x:v>
      </x:c>
      <x:c r="P29" s="21" t="str">
        <x:v>RECONSTRUCTED_FROM_REPORT; Fear of Temperature_ Stratified Lexical Expansion, Voice Mapping, and Semantic-Relational Pre-Valida.pdf; p.7; project candidate FT-SEED-R1B-P-1842-28; original visible ID not available</x:v>
      </x:c>
      <x:c r="Q29" s="21" t="str">
        <x:v>FT-NGM-1E6F47D372F694</x:v>
      </x:c>
      <x:c r="R29" s="21" t="str">
        <x:v>suffered more from cold than from heat</x:v>
      </x:c>
      <x:c r="S29" s="22" t="str">
        <x:v>EXACT</x:v>
      </x:c>
      <x:c r="T29" s="21" t="str">
        <x:v>FT-Q-P180-FF18DD3754C6</x:v>
      </x:c>
      <x:c r="U29" s="21" t="str">
        <x:v>Candidate surface form is directly representable in the public Ngram interface.</x:v>
      </x:c>
      <x:c r="V29" s="21" t="str">
        <x:v>Fear of Temperature_ Stratified Lexical Expansion, Voice Mapping, and Semantic-Relational Pre-Valida.pdf</x:v>
      </x:c>
      <x:c r="W29" s="21" t="str">
        <x:v>7</x:v>
      </x:c>
      <x:c r="X29" s="23" t="str">
        <x:v>RECONSTRUCTED_FROM_REPORT</x:v>
      </x:c>
    </x:row>
    <x:row r="30" ht="19" customHeight="1">
      <x:c r="A30" s="20" t="str">
        <x:v>FT-SEED-R1B-P-1842-29</x:v>
      </x:c>
      <x:c r="B30" s="21" t="str">
        <x:v>FT-A1842</x:v>
      </x:c>
      <x:c r="C30" s="22" t="str">
        <x:v>1842</x:v>
      </x:c>
      <x:c r="D30" s="22" t="str">
        <x:v>29</x:v>
      </x:c>
      <x:c r="E30" s="21" t="str">
        <x:v>sickness and mortality</x:v>
      </x:c>
      <x:c r="F30" s="21" t="str">
        <x:v>sickness and mortality</x:v>
      </x:c>
      <x:c r="G30" s="21" t="str">
        <x:v>mortality</x:v>
      </x:c>
      <x:c r="H30" s="21" t="str">
        <x:v>FT-C-MORTALITY</x:v>
      </x:c>
      <x:c r="I30" s="21" t="str">
        <x:v>Death or mortality attributed to heat or climate consequences.</x:v>
      </x:c>
      <x:c r="J30" s="21" t="str">
        <x:v>FT-LF-P180-F101AFA2C02D</x:v>
      </x:c>
      <x:c r="K30" s="22" t="str">
        <x:v>harm_loss_consequences</x:v>
      </x:c>
      <x:c r="L30" s="21" t="str">
        <x:v>FT-F14</x:v>
      </x:c>
      <x:c r="M30" s="22" t="str">
        <x:v>D</x:v>
      </x:c>
      <x:c r="N30" s="22" t="str">
        <x:v>V2</x:v>
      </x:c>
      <x:c r="O30" s="22" t="str">
        <x:v>E5</x:v>
      </x:c>
      <x:c r="P30" s="21" t="str">
        <x:v>RECONSTRUCTED_FROM_REPORT; Fear of Temperature_ Stratified Lexical Expansion, Voice Mapping, and Semantic-Relational Pre-Valida.pdf; p.7; project candidate FT-SEED-R1B-P-1842-29; original visible ID not available</x:v>
      </x:c>
      <x:c r="Q30" s="21" t="str">
        <x:v>FT-NGM-F101AFA2C02D81</x:v>
      </x:c>
      <x:c r="R30" s="21" t="str">
        <x:v>sickness and mortality</x:v>
      </x:c>
      <x:c r="S30" s="22" t="str">
        <x:v>EXACT</x:v>
      </x:c>
      <x:c r="T30" s="21" t="str">
        <x:v>FT-Q-P180-7E32BFDE7A55</x:v>
      </x:c>
      <x:c r="U30" s="21" t="str">
        <x:v>Candidate surface form is directly representable in the public Ngram interface.</x:v>
      </x:c>
      <x:c r="V30" s="21" t="str">
        <x:v>Fear of Temperature_ Stratified Lexical Expansion, Voice Mapping, and Semantic-Relational Pre-Valida.pdf</x:v>
      </x:c>
      <x:c r="W30" s="21" t="str">
        <x:v>7</x:v>
      </x:c>
      <x:c r="X30" s="23" t="str">
        <x:v>RECONSTRUCTED_FROM_REPORT</x:v>
      </x:c>
    </x:row>
    <x:row r="31" ht="19" customHeight="1">
      <x:c r="A31" s="20" t="str">
        <x:v>FT-SEED-R1B-P-1842-30</x:v>
      </x:c>
      <x:c r="B31" s="21" t="str">
        <x:v>FT-A1842</x:v>
      </x:c>
      <x:c r="C31" s="22" t="str">
        <x:v>1842</x:v>
      </x:c>
      <x:c r="D31" s="22" t="str">
        <x:v>30</x:v>
      </x:c>
      <x:c r="E31" s="21" t="str">
        <x:v>alarm to the public</x:v>
      </x:c>
      <x:c r="F31" s="21" t="str">
        <x:v>alarm to the public</x:v>
      </x:c>
      <x:c r="G31" s="21" t="str">
        <x:v>public alarm</x:v>
      </x:c>
      <x:c r="H31" s="21" t="str">
        <x:v>FT-C-PUBLIC_ALARM</x:v>
      </x:c>
      <x:c r="I31" s="21" t="str">
        <x:v>Alarm attributed to or anticipated for a public, requiring direct evidence and sense review.</x:v>
      </x:c>
      <x:c r="J31" s="21" t="str">
        <x:v>FT-LF-P180-FA018EBCB86B</x:v>
      </x:c>
      <x:c r="K31" s="22" t="str">
        <x:v>concern_alarm</x:v>
      </x:c>
      <x:c r="L31" s="21" t="str">
        <x:v>FT-F06</x:v>
      </x:c>
      <x:c r="M31" s="22" t="str">
        <x:v>C</x:v>
      </x:c>
      <x:c r="N31" s="22" t="str">
        <x:v>V3</x:v>
      </x:c>
      <x:c r="O31" s="22" t="str">
        <x:v>E5</x:v>
      </x:c>
      <x:c r="P31" s="21" t="str">
        <x:v>RECONSTRUCTED_FROM_REPORT; Fear of Temperature_ Stratified Lexical Expansion, Voice Mapping, and Semantic-Relational Pre-Valida.pdf; p.7; project candidate FT-SEED-R1B-P-1842-30; original visible ID not available</x:v>
      </x:c>
      <x:c r="Q31" s="21" t="str">
        <x:v>FT-NGM-FA018EBCB86B9D</x:v>
      </x:c>
      <x:c r="R31" s="21" t="str">
        <x:v>alarm to the public</x:v>
      </x:c>
      <x:c r="S31" s="22" t="str">
        <x:v>EXACT</x:v>
      </x:c>
      <x:c r="T31" s="21" t="str">
        <x:v>FT-Q-P180-668E6FC2A222</x:v>
      </x:c>
      <x:c r="U31" s="21" t="str">
        <x:v>Candidate surface form is directly representable in the public Ngram interface.</x:v>
      </x:c>
      <x:c r="V31" s="21" t="str">
        <x:v>Fear of Temperature_ Stratified Lexical Expansion, Voice Mapping, and Semantic-Relational Pre-Valida.pdf</x:v>
      </x:c>
      <x:c r="W31" s="21" t="str">
        <x:v>7</x:v>
      </x:c>
      <x:c r="X31" s="23" t="str">
        <x:v>RECONSTRUCTED_FROM_REPORT</x:v>
      </x:c>
    </x:row>
    <x:row r="32" ht="19" customHeight="1">
      <x:c r="A32" s="20" t="str">
        <x:v>FT-SEED-R1B-P-1938-01</x:v>
      </x:c>
      <x:c r="B32" s="21" t="str">
        <x:v>FT-A1938</x:v>
      </x:c>
      <x:c r="C32" s="22" t="str">
        <x:v>1938</x:v>
      </x:c>
      <x:c r="D32" s="22" t="str">
        <x:v>1</x:v>
      </x:c>
      <x:c r="E32" s="21" t="str">
        <x:v>artificial production of carbon dioxide</x:v>
      </x:c>
      <x:c r="F32" s="21" t="str">
        <x:v>artificial production of carbon dioxide</x:v>
      </x:c>
      <x:c r="G32" s="21" t="str">
        <x:v>anthropogenic carbon-dioxide production</x:v>
      </x:c>
      <x:c r="H32" s="21" t="str">
        <x:v>FT-C-ANTHROPOGENIC_CARBON_DIOXIDE_PRODUCTION</x:v>
      </x:c>
      <x:c r="I32" s="21" t="str">
        <x:v>Human production of carbon dioxide as a climatic cause.</x:v>
      </x:c>
      <x:c r="J32" s="21" t="str">
        <x:v>FT-LF-Q-3036331B910B</x:v>
      </x:c>
      <x:c r="K32" s="22" t="str">
        <x:v>carbon_greenhouse</x:v>
      </x:c>
      <x:c r="L32" s="21" t="str">
        <x:v>FT-F05</x:v>
      </x:c>
      <x:c r="M32" s="22" t="str">
        <x:v>B</x:v>
      </x:c>
      <x:c r="N32" s="22" t="str">
        <x:v>V1</x:v>
      </x:c>
      <x:c r="O32" s="22" t="str">
        <x:v>E5</x:v>
      </x:c>
      <x:c r="P32" s="21" t="str">
        <x:v>RECONSTRUCTED_FROM_REPORT; Fear of Temperature_ Stratified Lexical Expansion, Voice Mapping, and Semantic-Relational Pre-Valida.pdf; p.7; project candidate FT-SEED-R1B-P-1938-01; original visible ID not available</x:v>
      </x:c>
      <x:c r="Q32" s="21" t="str">
        <x:v>FT-NGM-3036331B910B28</x:v>
      </x:c>
      <x:c r="R32" s="21" t="str">
        <x:v>artificial production of carbon dioxide</x:v>
      </x:c>
      <x:c r="S32" s="22" t="str">
        <x:v>EXACT</x:v>
      </x:c>
      <x:c r="T32" s="21" t="str">
        <x:v>FT-Q-V01-021</x:v>
      </x:c>
      <x:c r="U32" s="21" t="str">
        <x:v>Candidate surface form is directly representable in the public Ngram interface.</x:v>
      </x:c>
      <x:c r="V32" s="21" t="str">
        <x:v>Fear of Temperature_ Stratified Lexical Expansion, Voice Mapping, and Semantic-Relational Pre-Valida.pdf</x:v>
      </x:c>
      <x:c r="W32" s="21" t="str">
        <x:v>7</x:v>
      </x:c>
      <x:c r="X32" s="23" t="str">
        <x:v>RECONSTRUCTED_FROM_REPORT</x:v>
      </x:c>
    </x:row>
    <x:row r="33" ht="19" customHeight="1">
      <x:c r="A33" s="20" t="str">
        <x:v>FT-SEED-R1B-P-1938-02</x:v>
      </x:c>
      <x:c r="B33" s="21" t="str">
        <x:v>FT-A1938</x:v>
      </x:c>
      <x:c r="C33" s="22" t="str">
        <x:v>1938</x:v>
      </x:c>
      <x:c r="D33" s="22" t="str">
        <x:v>2</x:v>
      </x:c>
      <x:c r="E33" s="21" t="str">
        <x:v>carbon dioxide</x:v>
      </x:c>
      <x:c r="F33" s="21" t="str">
        <x:v>carbon dioxide</x:v>
      </x:c>
      <x:c r="G33" s="21" t="str">
        <x:v>atmospheric carbon dioxide</x:v>
      </x:c>
      <x:c r="H33" s="21" t="str">
        <x:v>FT-C-ATMOSPHERIC_CARBON_DIOXIDE</x:v>
      </x:c>
      <x:c r="I33" s="21" t="str">
        <x:v>Carbon dioxide as an atmospheric constituent.</x:v>
      </x:c>
      <x:c r="J33" s="21" t="str">
        <x:v>FT-LF-Q-DDF74783A656</x:v>
      </x:c>
      <x:c r="K33" s="22" t="str">
        <x:v>carbon_greenhouse</x:v>
      </x:c>
      <x:c r="L33" s="21" t="str">
        <x:v>FT-F05</x:v>
      </x:c>
      <x:c r="M33" s="22" t="str">
        <x:v>B</x:v>
      </x:c>
      <x:c r="N33" s="22" t="str">
        <x:v>V1</x:v>
      </x:c>
      <x:c r="O33" s="22" t="str">
        <x:v>E5</x:v>
      </x:c>
      <x:c r="P33" s="21" t="str">
        <x:v>RECONSTRUCTED_FROM_REPORT; Fear of Temperature_ Stratified Lexical Expansion, Voice Mapping, and Semantic-Relational Pre-Valida.pdf; p.7; project candidate FT-SEED-R1B-P-1938-02; original visible ID not available</x:v>
      </x:c>
      <x:c r="Q33" s="21" t="str">
        <x:v>FT-NGM-DDF74783A6568C</x:v>
      </x:c>
      <x:c r="R33" s="21" t="str">
        <x:v>carbon dioxide</x:v>
      </x:c>
      <x:c r="S33" s="22" t="str">
        <x:v>EXACT</x:v>
      </x:c>
      <x:c r="T33" s="21" t="str">
        <x:v>FT-Q-V01-022</x:v>
      </x:c>
      <x:c r="U33" s="21" t="str">
        <x:v>Candidate surface form is directly representable in the public Ngram interface.</x:v>
      </x:c>
      <x:c r="V33" s="21" t="str">
        <x:v>Fear of Temperature_ Stratified Lexical Expansion, Voice Mapping, and Semantic-Relational Pre-Valida.pdf</x:v>
      </x:c>
      <x:c r="W33" s="21" t="str">
        <x:v>7</x:v>
      </x:c>
      <x:c r="X33" s="23" t="str">
        <x:v>RECONSTRUCTED_FROM_REPORT</x:v>
      </x:c>
    </x:row>
    <x:row r="34" ht="19" customHeight="1">
      <x:c r="A34" s="20" t="str">
        <x:v>FT-SEED-R1B-P-1938-03</x:v>
      </x:c>
      <x:c r="B34" s="21" t="str">
        <x:v>FT-A1938</x:v>
      </x:c>
      <x:c r="C34" s="22" t="str">
        <x:v>1938</x:v>
      </x:c>
      <x:c r="D34" s="22" t="str">
        <x:v>3</x:v>
      </x:c>
      <x:c r="E34" s="21" t="str">
        <x:v>fuel combustion</x:v>
      </x:c>
      <x:c r="F34" s="21" t="str">
        <x:v>fuel combustion</x:v>
      </x:c>
      <x:c r="G34" s="21" t="str">
        <x:v>anthropogenic carbon-dioxide production</x:v>
      </x:c>
      <x:c r="H34" s="21" t="str">
        <x:v>FT-C-ANTHROPOGENIC_CARBON_DIOXIDE_PRODUCTION</x:v>
      </x:c>
      <x:c r="I34" s="21" t="str">
        <x:v>Human production of carbon dioxide as a climatic cause.</x:v>
      </x:c>
      <x:c r="J34" s="21" t="str">
        <x:v>FT-LF-Q-7C26181F8501</x:v>
      </x:c>
      <x:c r="K34" s="22" t="str">
        <x:v>carbon_greenhouse</x:v>
      </x:c>
      <x:c r="L34" s="21" t="str">
        <x:v>FT-F05</x:v>
      </x:c>
      <x:c r="M34" s="22" t="str">
        <x:v>B</x:v>
      </x:c>
      <x:c r="N34" s="22" t="str">
        <x:v>V1</x:v>
      </x:c>
      <x:c r="O34" s="22" t="str">
        <x:v>E5</x:v>
      </x:c>
      <x:c r="P34" s="21" t="str">
        <x:v>RECONSTRUCTED_FROM_REPORT; Fear of Temperature_ Stratified Lexical Expansion, Voice Mapping, and Semantic-Relational Pre-Valida.pdf; p.8; project candidate FT-SEED-R1B-P-1938-03; original visible ID not available</x:v>
      </x:c>
      <x:c r="Q34" s="21" t="str">
        <x:v>FT-NGM-7C26181F850166</x:v>
      </x:c>
      <x:c r="R34" s="21" t="str">
        <x:v>fuel combustion</x:v>
      </x:c>
      <x:c r="S34" s="22" t="str">
        <x:v>EXACT</x:v>
      </x:c>
      <x:c r="T34" s="21" t="str">
        <x:v>FT-Q-V01-023</x:v>
      </x:c>
      <x:c r="U34" s="21" t="str">
        <x:v>Candidate surface form is directly representable in the public Ngram interface.</x:v>
      </x:c>
      <x:c r="V34" s="21" t="str">
        <x:v>Fear of Temperature_ Stratified Lexical Expansion, Voice Mapping, and Semantic-Relational Pre-Valida.pdf</x:v>
      </x:c>
      <x:c r="W34" s="21" t="str">
        <x:v>8</x:v>
      </x:c>
      <x:c r="X34" s="23" t="str">
        <x:v>RECONSTRUCTED_FROM_REPORT</x:v>
      </x:c>
    </x:row>
    <x:row r="35" ht="19" customHeight="1">
      <x:c r="A35" s="20" t="str">
        <x:v>FT-SEED-R1B-P-1938-04</x:v>
      </x:c>
      <x:c r="B35" s="21" t="str">
        <x:v>FT-A1938</x:v>
      </x:c>
      <x:c r="C35" s="22" t="str">
        <x:v>1938</x:v>
      </x:c>
      <x:c r="D35" s="22" t="str">
        <x:v>4</x:v>
      </x:c>
      <x:c r="E35" s="21" t="str">
        <x:v>air</x:v>
      </x:c>
      <x:c r="F35" s="21" t="str">
        <x:v>air</x:v>
      </x:c>
      <x:c r="G35" s="21" t="str">
        <x:v>historical climate / climatological condition</x:v>
      </x:c>
      <x:c r="H35" s="21" t="str">
        <x:v>FT-C-HISTORICAL_CLIMATE_CONDITION</x:v>
      </x:c>
      <x:c r="I35" s="21" t="str">
        <x:v>Climate as a historical, geographical, seasonal, or climatological condition.</x:v>
      </x:c>
      <x:c r="J35" s="21" t="str">
        <x:v>FT-LF-Q-9FE430E52746</x:v>
      </x:c>
      <x:c r="K35" s="22" t="str">
        <x:v>climate</x:v>
      </x:c>
      <x:c r="L35" s="21" t="str">
        <x:v>FT-F04</x:v>
      </x:c>
      <x:c r="M35" s="22" t="str">
        <x:v>B</x:v>
      </x:c>
      <x:c r="N35" s="22" t="str">
        <x:v>V1</x:v>
      </x:c>
      <x:c r="O35" s="22" t="str">
        <x:v>E5</x:v>
      </x:c>
      <x:c r="P35" s="21" t="str">
        <x:v>RECONSTRUCTED_FROM_REPORT; Fear of Temperature_ Stratified Lexical Expansion, Voice Mapping, and Semantic-Relational Pre-Valida.pdf; p.8; project candidate FT-SEED-R1B-P-1938-04; original visible ID not available</x:v>
      </x:c>
      <x:c r="Q35" s="21" t="str">
        <x:v>FT-NGM-9FE430E5274621</x:v>
      </x:c>
      <x:c r="R35" s="21" t="str">
        <x:v>air</x:v>
      </x:c>
      <x:c r="S35" s="22" t="str">
        <x:v>EXACT</x:v>
      </x:c>
      <x:c r="T35" s="21" t="str">
        <x:v>FT-Q-V01-024</x:v>
      </x:c>
      <x:c r="U35" s="21" t="str">
        <x:v>Candidate surface form is directly representable in the public Ngram interface.</x:v>
      </x:c>
      <x:c r="V35" s="21" t="str">
        <x:v>Fear of Temperature_ Stratified Lexical Expansion, Voice Mapping, and Semantic-Relational Pre-Valida.pdf</x:v>
      </x:c>
      <x:c r="W35" s="21" t="str">
        <x:v>8</x:v>
      </x:c>
      <x:c r="X35" s="23" t="str">
        <x:v>RECONSTRUCTED_FROM_REPORT</x:v>
      </x:c>
    </x:row>
    <x:row r="36" ht="19" customHeight="1">
      <x:c r="A36" s="20" t="str">
        <x:v>FT-SEED-R1B-P-1938-05</x:v>
      </x:c>
      <x:c r="B36" s="21" t="str">
        <x:v>FT-A1938</x:v>
      </x:c>
      <x:c r="C36" s="22" t="str">
        <x:v>1938</x:v>
      </x:c>
      <x:c r="D36" s="22" t="str">
        <x:v>5</x:v>
      </x:c>
      <x:c r="E36" s="21" t="str">
        <x:v>atmosphere</x:v>
      </x:c>
      <x:c r="F36" s="21" t="str">
        <x:v>atmosphere</x:v>
      </x:c>
      <x:c r="G36" s="21" t="str">
        <x:v>historical climate / climatological condition</x:v>
      </x:c>
      <x:c r="H36" s="21" t="str">
        <x:v>FT-C-HISTORICAL_CLIMATE_CONDITION</x:v>
      </x:c>
      <x:c r="I36" s="21" t="str">
        <x:v>Climate as a historical, geographical, seasonal, or climatological condition.</x:v>
      </x:c>
      <x:c r="J36" s="21" t="str">
        <x:v>FT-LF-Q-BFD5A8ED7357</x:v>
      </x:c>
      <x:c r="K36" s="22" t="str">
        <x:v>climate</x:v>
      </x:c>
      <x:c r="L36" s="21" t="str">
        <x:v>FT-F04</x:v>
      </x:c>
      <x:c r="M36" s="22" t="str">
        <x:v>B</x:v>
      </x:c>
      <x:c r="N36" s="22" t="str">
        <x:v>V1</x:v>
      </x:c>
      <x:c r="O36" s="22" t="str">
        <x:v>E5</x:v>
      </x:c>
      <x:c r="P36" s="21" t="str">
        <x:v>RECONSTRUCTED_FROM_REPORT; Fear of Temperature_ Stratified Lexical Expansion, Voice Mapping, and Semantic-Relational Pre-Valida.pdf; p.8; project candidate FT-SEED-R1B-P-1938-05; original visible ID not available</x:v>
      </x:c>
      <x:c r="Q36" s="21" t="str">
        <x:v>FT-NGM-BFD5A8ED7357EC</x:v>
      </x:c>
      <x:c r="R36" s="21" t="str">
        <x:v>atmosphere</x:v>
      </x:c>
      <x:c r="S36" s="22" t="str">
        <x:v>EXACT</x:v>
      </x:c>
      <x:c r="T36" s="21" t="str">
        <x:v>FT-Q-V01-025</x:v>
      </x:c>
      <x:c r="U36" s="21" t="str">
        <x:v>Candidate surface form is directly representable in the public Ngram interface.</x:v>
      </x:c>
      <x:c r="V36" s="21" t="str">
        <x:v>Fear of Temperature_ Stratified Lexical Expansion, Voice Mapping, and Semantic-Relational Pre-Valida.pdf</x:v>
      </x:c>
      <x:c r="W36" s="21" t="str">
        <x:v>8</x:v>
      </x:c>
      <x:c r="X36" s="23" t="str">
        <x:v>RECONSTRUCTED_FROM_REPORT</x:v>
      </x:c>
    </x:row>
    <x:row r="37" ht="19" customHeight="1">
      <x:c r="A37" s="20" t="str">
        <x:v>FT-SEED-R1B-P-1938-06</x:v>
      </x:c>
      <x:c r="B37" s="21" t="str">
        <x:v>FT-A1938</x:v>
      </x:c>
      <x:c r="C37" s="22" t="str">
        <x:v>1938</x:v>
      </x:c>
      <x:c r="D37" s="22" t="str">
        <x:v>6</x:v>
      </x:c>
      <x:c r="E37" s="21" t="str">
        <x:v>radiation absorption coefficients</x:v>
      </x:c>
      <x:c r="F37" s="21" t="str">
        <x:v>radiation absorption coefficients</x:v>
      </x:c>
      <x:c r="G37" s="21" t="str">
        <x:v>historical climate / climatological condition</x:v>
      </x:c>
      <x:c r="H37" s="21" t="str">
        <x:v>FT-C-HISTORICAL_CLIMATE_CONDITION</x:v>
      </x:c>
      <x:c r="I37" s="21" t="str">
        <x:v>Climate as a historical, geographical, seasonal, or climatological condition.</x:v>
      </x:c>
      <x:c r="J37" s="21" t="str">
        <x:v>FT-LF-Q-E604D2BFC8EB</x:v>
      </x:c>
      <x:c r="K37" s="22" t="str">
        <x:v>climate</x:v>
      </x:c>
      <x:c r="L37" s="21" t="str">
        <x:v>FT-F04</x:v>
      </x:c>
      <x:c r="M37" s="22" t="str">
        <x:v>B</x:v>
      </x:c>
      <x:c r="N37" s="22" t="str">
        <x:v>V1</x:v>
      </x:c>
      <x:c r="O37" s="22" t="str">
        <x:v>E5</x:v>
      </x:c>
      <x:c r="P37" s="21" t="str">
        <x:v>RECONSTRUCTED_FROM_REPORT; Fear of Temperature_ Stratified Lexical Expansion, Voice Mapping, and Semantic-Relational Pre-Valida.pdf; p.8; project candidate FT-SEED-R1B-P-1938-06; original visible ID not available</x:v>
      </x:c>
      <x:c r="Q37" s="21" t="str">
        <x:v>FT-NGM-E604D2BFC8EBE0</x:v>
      </x:c>
      <x:c r="R37" s="21" t="str">
        <x:v>radiation absorption coefficients</x:v>
      </x:c>
      <x:c r="S37" s="22" t="str">
        <x:v>EXACT</x:v>
      </x:c>
      <x:c r="T37" s="21" t="str">
        <x:v>FT-Q-V01-026</x:v>
      </x:c>
      <x:c r="U37" s="21" t="str">
        <x:v>Candidate surface form is directly representable in the public Ngram interface.</x:v>
      </x:c>
      <x:c r="V37" s="21" t="str">
        <x:v>Fear of Temperature_ Stratified Lexical Expansion, Voice Mapping, and Semantic-Relational Pre-Valida.pdf</x:v>
      </x:c>
      <x:c r="W37" s="21" t="str">
        <x:v>8</x:v>
      </x:c>
      <x:c r="X37" s="23" t="str">
        <x:v>RECONSTRUCTED_FROM_REPORT</x:v>
      </x:c>
    </x:row>
    <x:row r="38" ht="19" customHeight="1">
      <x:c r="A38" s="20" t="str">
        <x:v>FT-SEED-R1B-P-1938-07</x:v>
      </x:c>
      <x:c r="B38" s="21" t="str">
        <x:v>FT-A1938</x:v>
      </x:c>
      <x:c r="C38" s="22" t="str">
        <x:v>1938</x:v>
      </x:c>
      <x:c r="D38" s="22" t="str">
        <x:v>7</x:v>
      </x:c>
      <x:c r="E38" s="21" t="str">
        <x:v>water vapour</x:v>
      </x:c>
      <x:c r="F38" s="21" t="str">
        <x:v>water vapour</x:v>
      </x:c>
      <x:c r="G38" s="21" t="str">
        <x:v>historical climate / climatological condition</x:v>
      </x:c>
      <x:c r="H38" s="21" t="str">
        <x:v>FT-C-HISTORICAL_CLIMATE_CONDITION</x:v>
      </x:c>
      <x:c r="I38" s="21" t="str">
        <x:v>Climate as a historical, geographical, seasonal, or climatological condition.</x:v>
      </x:c>
      <x:c r="J38" s="21" t="str">
        <x:v>FT-LF-Q-9215236CF4E2</x:v>
      </x:c>
      <x:c r="K38" s="22" t="str">
        <x:v>climate</x:v>
      </x:c>
      <x:c r="L38" s="21" t="str">
        <x:v>FT-F04</x:v>
      </x:c>
      <x:c r="M38" s="22" t="str">
        <x:v>B</x:v>
      </x:c>
      <x:c r="N38" s="22" t="str">
        <x:v>V1</x:v>
      </x:c>
      <x:c r="O38" s="22" t="str">
        <x:v>E5</x:v>
      </x:c>
      <x:c r="P38" s="21" t="str">
        <x:v>RECONSTRUCTED_FROM_REPORT; Fear of Temperature_ Stratified Lexical Expansion, Voice Mapping, and Semantic-Relational Pre-Valida.pdf; p.8; project candidate FT-SEED-R1B-P-1938-07; original visible ID not available</x:v>
      </x:c>
      <x:c r="Q38" s="21" t="str">
        <x:v>FT-NGM-9215236CF4E211</x:v>
      </x:c>
      <x:c r="R38" s="21" t="str">
        <x:v>water vapour</x:v>
      </x:c>
      <x:c r="S38" s="22" t="str">
        <x:v>EXACT</x:v>
      </x:c>
      <x:c r="T38" s="21" t="str">
        <x:v>FT-Q-V01-027</x:v>
      </x:c>
      <x:c r="U38" s="21" t="str">
        <x:v>Candidate surface form is directly representable in the public Ngram interface.</x:v>
      </x:c>
      <x:c r="V38" s="21" t="str">
        <x:v>Fear of Temperature_ Stratified Lexical Expansion, Voice Mapping, and Semantic-Relational Pre-Valida.pdf</x:v>
      </x:c>
      <x:c r="W38" s="21" t="str">
        <x:v>8</x:v>
      </x:c>
      <x:c r="X38" s="23" t="str">
        <x:v>RECONSTRUCTED_FROM_REPORT</x:v>
      </x:c>
    </x:row>
    <x:row r="39" ht="19" customHeight="1">
      <x:c r="A39" s="20" t="str">
        <x:v>FT-SEED-R1B-P-1938-08</x:v>
      </x:c>
      <x:c r="B39" s="21" t="str">
        <x:v>FT-A1938</x:v>
      </x:c>
      <x:c r="C39" s="22" t="str">
        <x:v>1938</x:v>
      </x:c>
      <x:c r="D39" s="22" t="str">
        <x:v>8</x:v>
      </x:c>
      <x:c r="E39" s="21" t="str">
        <x:v>sky radiation</x:v>
      </x:c>
      <x:c r="F39" s="21" t="str">
        <x:v>sky radiation</x:v>
      </x:c>
      <x:c r="G39" s="21" t="str">
        <x:v>historical climate / climatological condition</x:v>
      </x:c>
      <x:c r="H39" s="21" t="str">
        <x:v>FT-C-HISTORICAL_CLIMATE_CONDITION</x:v>
      </x:c>
      <x:c r="I39" s="21" t="str">
        <x:v>Climate as a historical, geographical, seasonal, or climatological condition.</x:v>
      </x:c>
      <x:c r="J39" s="21" t="str">
        <x:v>FT-LF-Q-6398ACE2A1A8</x:v>
      </x:c>
      <x:c r="K39" s="22" t="str">
        <x:v>climate</x:v>
      </x:c>
      <x:c r="L39" s="21" t="str">
        <x:v>FT-F04</x:v>
      </x:c>
      <x:c r="M39" s="22" t="str">
        <x:v>B</x:v>
      </x:c>
      <x:c r="N39" s="22" t="str">
        <x:v>V1</x:v>
      </x:c>
      <x:c r="O39" s="22" t="str">
        <x:v>E5</x:v>
      </x:c>
      <x:c r="P39" s="21" t="str">
        <x:v>RECONSTRUCTED_FROM_REPORT; Fear of Temperature_ Stratified Lexical Expansion, Voice Mapping, and Semantic-Relational Pre-Valida.pdf; p.8; project candidate FT-SEED-R1B-P-1938-08; original visible ID not available</x:v>
      </x:c>
      <x:c r="Q39" s="21" t="str">
        <x:v>FT-NGM-6398ACE2A1A8D2</x:v>
      </x:c>
      <x:c r="R39" s="21" t="str">
        <x:v>sky radiation</x:v>
      </x:c>
      <x:c r="S39" s="22" t="str">
        <x:v>EXACT</x:v>
      </x:c>
      <x:c r="T39" s="21" t="str">
        <x:v>FT-Q-V01-028</x:v>
      </x:c>
      <x:c r="U39" s="21" t="str">
        <x:v>Candidate surface form is directly representable in the public Ngram interface.</x:v>
      </x:c>
      <x:c r="V39" s="21" t="str">
        <x:v>Fear of Temperature_ Stratified Lexical Expansion, Voice Mapping, and Semantic-Relational Pre-Valida.pdf</x:v>
      </x:c>
      <x:c r="W39" s="21" t="str">
        <x:v>8</x:v>
      </x:c>
      <x:c r="X39" s="23" t="str">
        <x:v>RECONSTRUCTED_FROM_REPORT</x:v>
      </x:c>
    </x:row>
    <x:row r="40" ht="19" customHeight="1">
      <x:c r="A40" s="20" t="str">
        <x:v>FT-SEED-R1B-P-1938-09</x:v>
      </x:c>
      <x:c r="B40" s="21" t="str">
        <x:v>FT-A1938</x:v>
      </x:c>
      <x:c r="C40" s="22" t="str">
        <x:v>1938</x:v>
      </x:c>
      <x:c r="D40" s="22" t="str">
        <x:v>9</x:v>
      </x:c>
      <x:c r="E40" s="21" t="str">
        <x:v>increase in mean temperature</x:v>
      </x:c>
      <x:c r="F40" s="21" t="str">
        <x:v>increase in mean temperature</x:v>
      </x:c>
      <x:c r="G40" s="21" t="str">
        <x:v>mean temperature</x:v>
      </x:c>
      <x:c r="H40" s="21" t="str">
        <x:v>FT-C-MEAN_TEMPERATURE</x:v>
      </x:c>
      <x:c r="I40" s="21" t="str">
        <x:v>A temporally or spatially averaged temperature value.</x:v>
      </x:c>
      <x:c r="J40" s="21" t="str">
        <x:v>FT-LF-Q-82301C41EF4F</x:v>
      </x:c>
      <x:c r="K40" s="22" t="str">
        <x:v>temperature_threshold</x:v>
      </x:c>
      <x:c r="L40" s="21" t="str">
        <x:v>FT-F01</x:v>
      </x:c>
      <x:c r="M40" s="22" t="str">
        <x:v>A</x:v>
      </x:c>
      <x:c r="N40" s="22" t="str">
        <x:v>V1</x:v>
      </x:c>
      <x:c r="O40" s="22" t="str">
        <x:v>E5</x:v>
      </x:c>
      <x:c r="P40" s="21" t="str">
        <x:v>RECONSTRUCTED_FROM_REPORT; Fear of Temperature_ Stratified Lexical Expansion, Voice Mapping, and Semantic-Relational Pre-Valida.pdf; p.8; project candidate FT-SEED-R1B-P-1938-09; original visible ID not available</x:v>
      </x:c>
      <x:c r="Q40" s="21" t="str">
        <x:v>FT-NGM-82301C41EF4F19</x:v>
      </x:c>
      <x:c r="R40" s="21" t="str">
        <x:v>increase in mean temperature</x:v>
      </x:c>
      <x:c r="S40" s="22" t="str">
        <x:v>EXACT</x:v>
      </x:c>
      <x:c r="T40" s="21" t="str">
        <x:v>FT-Q-V01-029</x:v>
      </x:c>
      <x:c r="U40" s="21" t="str">
        <x:v>Candidate surface form is directly representable in the public Ngram interface.</x:v>
      </x:c>
      <x:c r="V40" s="21" t="str">
        <x:v>Fear of Temperature_ Stratified Lexical Expansion, Voice Mapping, and Semantic-Relational Pre-Valida.pdf</x:v>
      </x:c>
      <x:c r="W40" s="21" t="str">
        <x:v>8</x:v>
      </x:c>
      <x:c r="X40" s="23" t="str">
        <x:v>RECONSTRUCTED_FROM_REPORT</x:v>
      </x:c>
    </x:row>
    <x:row r="41" ht="19" customHeight="1">
      <x:c r="A41" s="20" t="str">
        <x:v>FT-SEED-R1B-P-1938-10</x:v>
      </x:c>
      <x:c r="B41" s="21" t="str">
        <x:v>FT-A1938</x:v>
      </x:c>
      <x:c r="C41" s="22" t="str">
        <x:v>1938</x:v>
      </x:c>
      <x:c r="D41" s="22" t="str">
        <x:v>10</x:v>
      </x:c>
      <x:c r="E41" s="21" t="str">
        <x:v>mean temperature</x:v>
      </x:c>
      <x:c r="F41" s="21" t="str">
        <x:v>mean temperature</x:v>
      </x:c>
      <x:c r="G41" s="21" t="str">
        <x:v>mean temperature</x:v>
      </x:c>
      <x:c r="H41" s="21" t="str">
        <x:v>FT-C-MEAN_TEMPERATURE</x:v>
      </x:c>
      <x:c r="I41" s="21" t="str">
        <x:v>A temporally or spatially averaged temperature value.</x:v>
      </x:c>
      <x:c r="J41" s="21" t="str">
        <x:v>FT-LF-MEAN_TEMPERATURE</x:v>
      </x:c>
      <x:c r="K41" s="22" t="str">
        <x:v>temperature_threshold</x:v>
      </x:c>
      <x:c r="L41" s="21" t="str">
        <x:v>FT-F01</x:v>
      </x:c>
      <x:c r="M41" s="22" t="str">
        <x:v>A</x:v>
      </x:c>
      <x:c r="N41" s="22" t="str">
        <x:v>V1</x:v>
      </x:c>
      <x:c r="O41" s="22" t="str">
        <x:v>E5</x:v>
      </x:c>
      <x:c r="P41" s="21" t="str">
        <x:v>RECONSTRUCTED_FROM_REPORT; Fear of Temperature_ Stratified Lexical Expansion, Voice Mapping, and Semantic-Relational Pre-Valida.pdf; p.8; project candidate FT-SEED-R1B-P-1938-10; original visible ID not available</x:v>
      </x:c>
      <x:c r="Q41" s="21" t="str">
        <x:v>FT-NGM-6BB810586FF4ED</x:v>
      </x:c>
      <x:c r="R41" s="21" t="str">
        <x:v>mean temperature</x:v>
      </x:c>
      <x:c r="S41" s="22" t="str">
        <x:v>EXACT</x:v>
      </x:c>
      <x:c r="T41" s="21" t="str">
        <x:v>FT-Q-V01-030</x:v>
      </x:c>
      <x:c r="U41" s="21" t="str">
        <x:v>Candidate surface form is directly representable in the public Ngram interface.</x:v>
      </x:c>
      <x:c r="V41" s="21" t="str">
        <x:v>Fear of Temperature_ Stratified Lexical Expansion, Voice Mapping, and Semantic-Relational Pre-Valida.pdf</x:v>
      </x:c>
      <x:c r="W41" s="21" t="str">
        <x:v>8</x:v>
      </x:c>
      <x:c r="X41" s="23" t="str">
        <x:v>RECONSTRUCTED_FROM_REPORT</x:v>
      </x:c>
    </x:row>
    <x:row r="42" ht="19" customHeight="1">
      <x:c r="A42" s="20" t="str">
        <x:v>FT-SEED-R1B-P-1938-11</x:v>
      </x:c>
      <x:c r="B42" s="21" t="str">
        <x:v>FT-A1938</x:v>
      </x:c>
      <x:c r="C42" s="22" t="str">
        <x:v>1938</x:v>
      </x:c>
      <x:c r="D42" s="22" t="str">
        <x:v>11</x:v>
      </x:c>
      <x:c r="E42" s="21" t="str">
        <x:v>temperature observations</x:v>
      </x:c>
      <x:c r="F42" s="21" t="str">
        <x:v>temperature observations</x:v>
      </x:c>
      <x:c r="G42" s="21" t="str">
        <x:v>local / instrumental temperature</x:v>
      </x:c>
      <x:c r="H42" s="21" t="str">
        <x:v>FT-C-LOCAL_INSTRUMENTAL_TEMPERATURE</x:v>
      </x:c>
      <x:c r="I42" s="21" t="str">
        <x:v>A local or instrument-specific temperature reading.</x:v>
      </x:c>
      <x:c r="J42" s="21" t="str">
        <x:v>FT-LF-Q-9F9F95F5AF71</x:v>
      </x:c>
      <x:c r="K42" s="22" t="str">
        <x:v>temperature_threshold</x:v>
      </x:c>
      <x:c r="L42" s="21" t="str">
        <x:v>FT-F01</x:v>
      </x:c>
      <x:c r="M42" s="22" t="str">
        <x:v>A</x:v>
      </x:c>
      <x:c r="N42" s="22" t="str">
        <x:v>V1</x:v>
      </x:c>
      <x:c r="O42" s="22" t="str">
        <x:v>E5</x:v>
      </x:c>
      <x:c r="P42" s="21" t="str">
        <x:v>RECONSTRUCTED_FROM_REPORT; Fear of Temperature_ Stratified Lexical Expansion, Voice Mapping, and Semantic-Relational Pre-Valida.pdf; p.7; project candidate FT-SEED-R1B-P-1938-11; original visible ID not available</x:v>
      </x:c>
      <x:c r="Q42" s="21" t="str">
        <x:v>FT-NGM-9F9F95F5AF71D2</x:v>
      </x:c>
      <x:c r="R42" s="21" t="str">
        <x:v>temperature observations</x:v>
      </x:c>
      <x:c r="S42" s="22" t="str">
        <x:v>EXACT</x:v>
      </x:c>
      <x:c r="T42" s="21" t="str">
        <x:v>FT-Q-V01-031</x:v>
      </x:c>
      <x:c r="U42" s="21" t="str">
        <x:v>Candidate surface form is directly representable in the public Ngram interface.</x:v>
      </x:c>
      <x:c r="V42" s="21" t="str">
        <x:v>Fear of Temperature_ Stratified Lexical Expansion, Voice Mapping, and Semantic-Relational Pre-Valida.pdf</x:v>
      </x:c>
      <x:c r="W42" s="21" t="str">
        <x:v>7</x:v>
      </x:c>
      <x:c r="X42" s="23" t="str">
        <x:v>RECONSTRUCTED_FROM_REPORT</x:v>
      </x:c>
    </x:row>
    <x:row r="43" ht="19" customHeight="1">
      <x:c r="A43" s="20" t="str">
        <x:v>FT-SEED-R1B-P-1938-12</x:v>
      </x:c>
      <x:c r="B43" s="21" t="str">
        <x:v>FT-A1938</x:v>
      </x:c>
      <x:c r="C43" s="22" t="str">
        <x:v>1938</x:v>
      </x:c>
      <x:c r="D43" s="22" t="str">
        <x:v>12</x:v>
      </x:c>
      <x:c r="E43" s="21" t="str">
        <x:v>meteorological stations</x:v>
      </x:c>
      <x:c r="F43" s="21" t="str">
        <x:v>meteorological stations</x:v>
      </x:c>
      <x:c r="G43" s="21" t="str">
        <x:v>historical climate / climatological condition</x:v>
      </x:c>
      <x:c r="H43" s="21" t="str">
        <x:v>FT-C-HISTORICAL_CLIMATE_CONDITION</x:v>
      </x:c>
      <x:c r="I43" s="21" t="str">
        <x:v>Climate as a historical, geographical, seasonal, or climatological condition.</x:v>
      </x:c>
      <x:c r="J43" s="21" t="str">
        <x:v>FT-LF-Q-3CDC7F355147</x:v>
      </x:c>
      <x:c r="K43" s="22" t="str">
        <x:v>climate</x:v>
      </x:c>
      <x:c r="L43" s="21" t="str">
        <x:v>FT-F04</x:v>
      </x:c>
      <x:c r="M43" s="22" t="str">
        <x:v>B</x:v>
      </x:c>
      <x:c r="N43" s="22" t="str">
        <x:v>V1</x:v>
      </x:c>
      <x:c r="O43" s="22" t="str">
        <x:v>E5</x:v>
      </x:c>
      <x:c r="P43" s="21" t="str">
        <x:v>RECONSTRUCTED_FROM_REPORT; Fear of Temperature_ Stratified Lexical Expansion, Voice Mapping, and Semantic-Relational Pre-Valida.pdf; p.7; project candidate FT-SEED-R1B-P-1938-12; original visible ID not available</x:v>
      </x:c>
      <x:c r="Q43" s="21" t="str">
        <x:v>FT-NGM-3CDC7F35514723</x:v>
      </x:c>
      <x:c r="R43" s="21" t="str">
        <x:v>meteorological stations</x:v>
      </x:c>
      <x:c r="S43" s="22" t="str">
        <x:v>EXACT</x:v>
      </x:c>
      <x:c r="T43" s="21" t="str">
        <x:v>FT-Q-V01-032</x:v>
      </x:c>
      <x:c r="U43" s="21" t="str">
        <x:v>Candidate surface form is directly representable in the public Ngram interface.</x:v>
      </x:c>
      <x:c r="V43" s="21" t="str">
        <x:v>Fear of Temperature_ Stratified Lexical Expansion, Voice Mapping, and Semantic-Relational Pre-Valida.pdf</x:v>
      </x:c>
      <x:c r="W43" s="21" t="str">
        <x:v>7</x:v>
      </x:c>
      <x:c r="X43" s="23" t="str">
        <x:v>RECONSTRUCTED_FROM_REPORT</x:v>
      </x:c>
    </x:row>
    <x:row r="44" ht="19" customHeight="1">
      <x:c r="A44" s="20" t="str">
        <x:v>FT-SEED-R1B-P-1938-13</x:v>
      </x:c>
      <x:c r="B44" s="21" t="str">
        <x:v>FT-A1938</x:v>
      </x:c>
      <x:c r="C44" s="22" t="str">
        <x:v>1938</x:v>
      </x:c>
      <x:c r="D44" s="22" t="str">
        <x:v>13</x:v>
      </x:c>
      <x:c r="E44" s="21" t="str">
        <x:v>world temperatures</x:v>
      </x:c>
      <x:c r="F44" s="21" t="str">
        <x:v>world temperatures</x:v>
      </x:c>
      <x:c r="G44" s="21" t="str">
        <x:v>global aggregate temperature</x:v>
      </x:c>
      <x:c r="H44" s="21" t="str">
        <x:v>FT-C-GLOBAL_AGGREGATE_TEMPERATURE</x:v>
      </x:c>
      <x:c r="I44" s="21" t="str">
        <x:v>A global-scale aggregate temperature metric.</x:v>
      </x:c>
      <x:c r="J44" s="21" t="str">
        <x:v>FT-LF-Q-D7D389DAC7C8</x:v>
      </x:c>
      <x:c r="K44" s="22" t="str">
        <x:v>temperature_threshold</x:v>
      </x:c>
      <x:c r="L44" s="21" t="str">
        <x:v>FT-F01</x:v>
      </x:c>
      <x:c r="M44" s="22" t="str">
        <x:v>A</x:v>
      </x:c>
      <x:c r="N44" s="22" t="str">
        <x:v>V1</x:v>
      </x:c>
      <x:c r="O44" s="22" t="str">
        <x:v>E5</x:v>
      </x:c>
      <x:c r="P44" s="21" t="str">
        <x:v>RECONSTRUCTED_FROM_REPORT; Fear of Temperature_ Stratified Lexical Expansion, Voice Mapping, and Semantic-Relational Pre-Valida.pdf; p.8; project candidate FT-SEED-R1B-P-1938-13; original visible ID not available</x:v>
      </x:c>
      <x:c r="Q44" s="21" t="str">
        <x:v>FT-NGM-D7D389DAC7C89C</x:v>
      </x:c>
      <x:c r="R44" s="21" t="str">
        <x:v>world temperatures</x:v>
      </x:c>
      <x:c r="S44" s="22" t="str">
        <x:v>EXACT</x:v>
      </x:c>
      <x:c r="T44" s="21" t="str">
        <x:v>FT-Q-V01-033</x:v>
      </x:c>
      <x:c r="U44" s="21" t="str">
        <x:v>Candidate surface form is directly representable in the public Ngram interface.</x:v>
      </x:c>
      <x:c r="V44" s="21" t="str">
        <x:v>Fear of Temperature_ Stratified Lexical Expansion, Voice Mapping, and Semantic-Relational Pre-Valida.pdf</x:v>
      </x:c>
      <x:c r="W44" s="21" t="str">
        <x:v>8</x:v>
      </x:c>
      <x:c r="X44" s="23" t="str">
        <x:v>RECONSTRUCTED_FROM_REPORT</x:v>
      </x:c>
    </x:row>
    <x:row r="45" ht="19" customHeight="1">
      <x:c r="A45" s="20" t="str">
        <x:v>FT-SEED-R1B-P-1938-14</x:v>
      </x:c>
      <x:c r="B45" s="21" t="str">
        <x:v>FT-A1938</x:v>
      </x:c>
      <x:c r="C45" s="22" t="str">
        <x:v>1938</x:v>
      </x:c>
      <x:c r="D45" s="22" t="str">
        <x:v>14</x:v>
      </x:c>
      <x:c r="E45" s="21" t="str">
        <x:v>actually increased</x:v>
      </x:c>
      <x:c r="F45" s="21" t="str">
        <x:v>actually increased</x:v>
      </x:c>
      <x:c r="G45" s="21" t="str">
        <x:v>temperature increase</x:v>
      </x:c>
      <x:c r="H45" s="21" t="str">
        <x:v>FT-C-TEMPERATURE_INCREASE</x:v>
      </x:c>
      <x:c r="I45" s="21" t="str">
        <x:v>An observed, estimated, or projected increase in temperature.</x:v>
      </x:c>
      <x:c r="J45" s="21" t="str">
        <x:v>FT-LF-Q-43E421D85164</x:v>
      </x:c>
      <x:c r="K45" s="22" t="str">
        <x:v>warming</x:v>
      </x:c>
      <x:c r="L45" s="21" t="str">
        <x:v>FT-F03</x:v>
      </x:c>
      <x:c r="M45" s="22" t="str">
        <x:v>A</x:v>
      </x:c>
      <x:c r="N45" s="22" t="str">
        <x:v>V1</x:v>
      </x:c>
      <x:c r="O45" s="22" t="str">
        <x:v>E5</x:v>
      </x:c>
      <x:c r="P45" s="21" t="str">
        <x:v>RECONSTRUCTED_FROM_REPORT; Fear of Temperature_ Stratified Lexical Expansion, Voice Mapping, and Semantic-Relational Pre-Valida.pdf; p.8; project candidate FT-SEED-R1B-P-1938-14; original visible ID not available</x:v>
      </x:c>
      <x:c r="Q45" s="21" t="str">
        <x:v>FT-NGM-43E421D85164A7</x:v>
      </x:c>
      <x:c r="R45" s="21" t="str">
        <x:v>actually increased</x:v>
      </x:c>
      <x:c r="S45" s="22" t="str">
        <x:v>EXACT</x:v>
      </x:c>
      <x:c r="T45" s="21" t="str">
        <x:v>FT-Q-V01-034</x:v>
      </x:c>
      <x:c r="U45" s="21" t="str">
        <x:v>Candidate surface form is directly representable in the public Ngram interface.</x:v>
      </x:c>
      <x:c r="V45" s="21" t="str">
        <x:v>Fear of Temperature_ Stratified Lexical Expansion, Voice Mapping, and Semantic-Relational Pre-Valida.pdf</x:v>
      </x:c>
      <x:c r="W45" s="21" t="str">
        <x:v>8</x:v>
      </x:c>
      <x:c r="X45" s="23" t="str">
        <x:v>RECONSTRUCTED_FROM_REPORT</x:v>
      </x:c>
    </x:row>
    <x:row r="46" ht="19" customHeight="1">
      <x:c r="A46" s="20" t="str">
        <x:v>FT-SEED-R1B-P-1938-15</x:v>
      </x:c>
      <x:c r="B46" s="21" t="str">
        <x:v>FT-A1938</x:v>
      </x:c>
      <x:c r="C46" s="22" t="str">
        <x:v>1938</x:v>
      </x:c>
      <x:c r="D46" s="22" t="str">
        <x:v>15</x:v>
      </x:c>
      <x:c r="E46" s="21" t="str">
        <x:v>average rate</x:v>
      </x:c>
      <x:c r="F46" s="21" t="str">
        <x:v>average rate</x:v>
      </x:c>
      <x:c r="G46" s="21" t="str">
        <x:v>local / instrumental temperature</x:v>
      </x:c>
      <x:c r="H46" s="21" t="str">
        <x:v>FT-C-LOCAL_INSTRUMENTAL_TEMPERATURE</x:v>
      </x:c>
      <x:c r="I46" s="21" t="str">
        <x:v>A local or instrument-specific temperature reading.</x:v>
      </x:c>
      <x:c r="J46" s="21" t="str">
        <x:v>FT-LF-Q-84EE320D3762</x:v>
      </x:c>
      <x:c r="K46" s="22" t="str">
        <x:v>temperature_threshold</x:v>
      </x:c>
      <x:c r="L46" s="21" t="str">
        <x:v>FT-F01</x:v>
      </x:c>
      <x:c r="M46" s="22" t="str">
        <x:v>A</x:v>
      </x:c>
      <x:c r="N46" s="22" t="str">
        <x:v>V1</x:v>
      </x:c>
      <x:c r="O46" s="22" t="str">
        <x:v>E5</x:v>
      </x:c>
      <x:c r="P46" s="21" t="str">
        <x:v>RECONSTRUCTED_FROM_REPORT; Fear of Temperature_ Stratified Lexical Expansion, Voice Mapping, and Semantic-Relational Pre-Valida.pdf; p.8; project candidate FT-SEED-R1B-P-1938-15; original visible ID not available</x:v>
      </x:c>
      <x:c r="Q46" s="21" t="str">
        <x:v>FT-NGM-84EE320D376228</x:v>
      </x:c>
      <x:c r="R46" s="21" t="str">
        <x:v>average rate</x:v>
      </x:c>
      <x:c r="S46" s="22" t="str">
        <x:v>EXACT</x:v>
      </x:c>
      <x:c r="T46" s="21" t="str">
        <x:v>FT-Q-V01-035</x:v>
      </x:c>
      <x:c r="U46" s="21" t="str">
        <x:v>Candidate surface form is directly representable in the public Ngram interface.</x:v>
      </x:c>
      <x:c r="V46" s="21" t="str">
        <x:v>Fear of Temperature_ Stratified Lexical Expansion, Voice Mapping, and Semantic-Relational Pre-Valida.pdf</x:v>
      </x:c>
      <x:c r="W46" s="21" t="str">
        <x:v>8</x:v>
      </x:c>
      <x:c r="X46" s="23" t="str">
        <x:v>RECONSTRUCTED_FROM_REPORT</x:v>
      </x:c>
    </x:row>
    <x:row r="47" ht="19" customHeight="1">
      <x:c r="A47" s="20" t="str">
        <x:v>FT-SEED-R1B-P-1938-16</x:v>
      </x:c>
      <x:c r="B47" s="21" t="str">
        <x:v>FT-A1938</x:v>
      </x:c>
      <x:c r="C47" s="22" t="str">
        <x:v>1938</x:v>
      </x:c>
      <x:c r="D47" s="22" t="str">
        <x:v>16</x:v>
      </x:c>
      <x:c r="E47" s="21" t="str">
        <x:v>small increases in mean temperature</x:v>
      </x:c>
      <x:c r="F47" s="21" t="str">
        <x:v>small increases in mean temperature</x:v>
      </x:c>
      <x:c r="G47" s="21" t="str">
        <x:v>mean temperature</x:v>
      </x:c>
      <x:c r="H47" s="21" t="str">
        <x:v>FT-C-MEAN_TEMPERATURE</x:v>
      </x:c>
      <x:c r="I47" s="21" t="str">
        <x:v>A temporally or spatially averaged temperature value.</x:v>
      </x:c>
      <x:c r="J47" s="21" t="str">
        <x:v>FT-LF-Q-B36050736DBB</x:v>
      </x:c>
      <x:c r="K47" s="22" t="str">
        <x:v>temperature_threshold</x:v>
      </x:c>
      <x:c r="L47" s="21" t="str">
        <x:v>FT-F01</x:v>
      </x:c>
      <x:c r="M47" s="22" t="str">
        <x:v>A</x:v>
      </x:c>
      <x:c r="N47" s="22" t="str">
        <x:v>V1</x:v>
      </x:c>
      <x:c r="O47" s="22" t="str">
        <x:v>E5</x:v>
      </x:c>
      <x:c r="P47" s="21" t="str">
        <x:v>RECONSTRUCTED_FROM_REPORT; Fear of Temperature_ Stratified Lexical Expansion, Voice Mapping, and Semantic-Relational Pre-Valida.pdf; p.8; project candidate FT-SEED-R1B-P-1938-16; original visible ID not available</x:v>
      </x:c>
      <x:c r="Q47" s="21" t="str">
        <x:v>FT-NGM-B36050736DBB1E</x:v>
      </x:c>
      <x:c r="R47" s="21" t="str">
        <x:v>small increases in mean temperature</x:v>
      </x:c>
      <x:c r="S47" s="22" t="str">
        <x:v>EXACT</x:v>
      </x:c>
      <x:c r="T47" s="21" t="str">
        <x:v>FT-Q-V01-036</x:v>
      </x:c>
      <x:c r="U47" s="21" t="str">
        <x:v>Candidate surface form is directly representable in the public Ngram interface.</x:v>
      </x:c>
      <x:c r="V47" s="21" t="str">
        <x:v>Fear of Temperature_ Stratified Lexical Expansion, Voice Mapping, and Semantic-Relational Pre-Valida.pdf</x:v>
      </x:c>
      <x:c r="W47" s="21" t="str">
        <x:v>8</x:v>
      </x:c>
      <x:c r="X47" s="23" t="str">
        <x:v>RECONSTRUCTED_FROM_REPORT</x:v>
      </x:c>
    </x:row>
    <x:row r="48" ht="19" customHeight="1">
      <x:c r="A48" s="20" t="str">
        <x:v>FT-SEED-R1B-P-1938-17</x:v>
      </x:c>
      <x:c r="B48" s="21" t="str">
        <x:v>FT-A1938</x:v>
      </x:c>
      <x:c r="C48" s="22" t="str">
        <x:v>1938</x:v>
      </x:c>
      <x:c r="D48" s="22" t="str">
        <x:v>17</x:v>
      </x:c>
      <x:c r="E48" s="21" t="str">
        <x:v>deadly glaciers</x:v>
      </x:c>
      <x:c r="F48" s="21" t="str">
        <x:v>deadly glaciers</x:v>
      </x:c>
      <x:c r="G48" s="21" t="str">
        <x:v>institutional climate threat</x:v>
      </x:c>
      <x:c r="H48" s="21" t="str">
        <x:v>FT-C-INSTITUTIONAL_CLIMATE_THREAT</x:v>
      </x:c>
      <x:c r="I48" s="21" t="str">
        <x:v>Climate change framed as an institutional threat.</x:v>
      </x:c>
      <x:c r="J48" s="21" t="str">
        <x:v>FT-LF-Q-4F3171858F9C</x:v>
      </x:c>
      <x:c r="K48" s="22" t="str">
        <x:v>danger_threat</x:v>
      </x:c>
      <x:c r="L48" s="21" t="str">
        <x:v>FT-F11</x:v>
      </x:c>
      <x:c r="M48" s="22" t="str">
        <x:v>D</x:v>
      </x:c>
      <x:c r="N48" s="22" t="str">
        <x:v>V1</x:v>
      </x:c>
      <x:c r="O48" s="22" t="str">
        <x:v>E5</x:v>
      </x:c>
      <x:c r="P48" s="21" t="str">
        <x:v>RECONSTRUCTED_FROM_REPORT; Fear of Temperature_ Stratified Lexical Expansion, Voice Mapping, and Semantic-Relational Pre-Valida.pdf; p.8; project candidate FT-SEED-R1B-P-1938-17; original visible ID not available</x:v>
      </x:c>
      <x:c r="Q48" s="21" t="str">
        <x:v>FT-NGM-4F3171858F9C3B</x:v>
      </x:c>
      <x:c r="R48" s="21" t="str">
        <x:v>deadly glaciers</x:v>
      </x:c>
      <x:c r="S48" s="22" t="str">
        <x:v>EXACT</x:v>
      </x:c>
      <x:c r="T48" s="21" t="str">
        <x:v>FT-Q-V01-037</x:v>
      </x:c>
      <x:c r="U48" s="21" t="str">
        <x:v>Candidate surface form is directly representable in the public Ngram interface.</x:v>
      </x:c>
      <x:c r="V48" s="21" t="str">
        <x:v>Fear of Temperature_ Stratified Lexical Expansion, Voice Mapping, and Semantic-Relational Pre-Valida.pdf</x:v>
      </x:c>
      <x:c r="W48" s="21" t="str">
        <x:v>8</x:v>
      </x:c>
      <x:c r="X48" s="23" t="str">
        <x:v>RECONSTRUCTED_FROM_REPORT</x:v>
      </x:c>
    </x:row>
    <x:row r="49" ht="19" customHeight="1">
      <x:c r="A49" s="20" t="str">
        <x:v>FT-SEED-R1B-P-1938-18</x:v>
      </x:c>
      <x:c r="B49" s="21" t="str">
        <x:v>FT-A1938</x:v>
      </x:c>
      <x:c r="C49" s="22" t="str">
        <x:v>1938</x:v>
      </x:c>
      <x:c r="D49" s="22" t="str">
        <x:v>18</x:v>
      </x:c>
      <x:c r="E49" s="21" t="str">
        <x:v>rather a coincidence</x:v>
      </x:c>
      <x:c r="F49" s="21" t="str">
        <x:v>rather a coincidence</x:v>
      </x:c>
      <x:c r="G49" s="21" t="str">
        <x:v>personal concern</x:v>
      </x:c>
      <x:c r="H49" s="21" t="str">
        <x:v>FT-C-PERSONAL_CONCERN</x:v>
      </x:c>
      <x:c r="I49" s="21" t="str">
        <x:v>Concern expressed or endorsed by an identifiable person about a climate or heat object.</x:v>
      </x:c>
      <x:c r="J49" s="21" t="str">
        <x:v>FT-LF-Q-FC02D9651D12</x:v>
      </x:c>
      <x:c r="K49" s="22" t="str">
        <x:v>concern_alarm</x:v>
      </x:c>
      <x:c r="L49" s="21" t="str">
        <x:v>FT-F06</x:v>
      </x:c>
      <x:c r="M49" s="22" t="str">
        <x:v>C</x:v>
      </x:c>
      <x:c r="N49" s="22" t="str">
        <x:v>V1</x:v>
      </x:c>
      <x:c r="O49" s="22" t="str">
        <x:v>E2</x:v>
      </x:c>
      <x:c r="P49" s="21" t="str">
        <x:v>RECONSTRUCTED_FROM_REPORT; Fear of Temperature_ Stratified Lexical Expansion, Voice Mapping, and Semantic-Relational Pre-Valida.pdf; p.8; project candidate FT-SEED-R1B-P-1938-18; original visible ID not available</x:v>
      </x:c>
      <x:c r="Q49" s="21" t="str">
        <x:v>FT-NGM-FC02D9651D1263</x:v>
      </x:c>
      <x:c r="R49" s="21" t="str">
        <x:v>rather a coincidence</x:v>
      </x:c>
      <x:c r="S49" s="22" t="str">
        <x:v>EXACT</x:v>
      </x:c>
      <x:c r="T49" s="21" t="str">
        <x:v>FT-Q-V01-038</x:v>
      </x:c>
      <x:c r="U49" s="21" t="str">
        <x:v>Candidate surface form is directly representable in the public Ngram interface.</x:v>
      </x:c>
      <x:c r="V49" s="21" t="str">
        <x:v>Fear of Temperature_ Stratified Lexical Expansion, Voice Mapping, and Semantic-Relational Pre-Valida.pdf</x:v>
      </x:c>
      <x:c r="W49" s="21" t="str">
        <x:v>8</x:v>
      </x:c>
      <x:c r="X49" s="23" t="str">
        <x:v>RECONSTRUCTED_FROM_REPORT</x:v>
      </x:c>
    </x:row>
    <x:row r="50" ht="19" customHeight="1">
      <x:c r="A50" s="20" t="str">
        <x:v>FT-SEED-R1B-P-1938-19</x:v>
      </x:c>
      <x:c r="B50" s="21" t="str">
        <x:v>FT-A1938</x:v>
      </x:c>
      <x:c r="C50" s="22" t="str">
        <x:v>1938</x:v>
      </x:c>
      <x:c r="D50" s="22" t="str">
        <x:v>19</x:v>
      </x:c>
      <x:c r="E50" s="21" t="str">
        <x:v>Hottest Day for Ten Years</x:v>
      </x:c>
      <x:c r="F50" s="21" t="str">
        <x:v>hottest day for ten years</x:v>
      </x:c>
      <x:c r="G50" s="21" t="str">
        <x:v>heatwave / weather event</x:v>
      </x:c>
      <x:c r="H50" s="21" t="str">
        <x:v>FT-C-HEATWAVE_WEATHER_EVENT</x:v>
      </x:c>
      <x:c r="I50" s="21" t="str">
        <x:v>A bounded hot-weather or heatwave event.</x:v>
      </x:c>
      <x:c r="J50" s="21" t="str">
        <x:v>FT-LF-Q-C7437EC1957C</x:v>
      </x:c>
      <x:c r="K50" s="22" t="str">
        <x:v>heat</x:v>
      </x:c>
      <x:c r="L50" s="21" t="str">
        <x:v>FT-F02</x:v>
      </x:c>
      <x:c r="M50" s="22" t="str">
        <x:v>A</x:v>
      </x:c>
      <x:c r="N50" s="22" t="str">
        <x:v>V3</x:v>
      </x:c>
      <x:c r="O50" s="22" t="str">
        <x:v>E5</x:v>
      </x:c>
      <x:c r="P50" s="21" t="str">
        <x:v>RECONSTRUCTED_FROM_REPORT; Fear of Temperature_ Stratified Lexical Expansion, Voice Mapping, and Semantic-Relational Pre-Valida.pdf; p.8; project candidate FT-SEED-R1B-P-1938-19; original visible ID not available</x:v>
      </x:c>
      <x:c r="Q50" s="21" t="str">
        <x:v>FT-NGM-C7437EC1957CE2</x:v>
      </x:c>
      <x:c r="R50" s="21" t="str">
        <x:v>Hottest Day for Ten Years</x:v>
      </x:c>
      <x:c r="S50" s="22" t="str">
        <x:v>EXACT</x:v>
      </x:c>
      <x:c r="T50" s="21" t="str">
        <x:v>FT-Q-V01-039</x:v>
      </x:c>
      <x:c r="U50" s="21" t="str">
        <x:v>Candidate surface form is directly representable in the public Ngram interface.</x:v>
      </x:c>
      <x:c r="V50" s="21" t="str">
        <x:v>Fear of Temperature_ Stratified Lexical Expansion, Voice Mapping, and Semantic-Relational Pre-Valida.pdf</x:v>
      </x:c>
      <x:c r="W50" s="21" t="str">
        <x:v>8</x:v>
      </x:c>
      <x:c r="X50" s="23" t="str">
        <x:v>RECONSTRUCTED_FROM_REPORT</x:v>
      </x:c>
    </x:row>
    <x:row r="51" ht="19" customHeight="1">
      <x:c r="A51" s="20" t="str">
        <x:v>FT-SEED-R1B-P-1938-20</x:v>
      </x:c>
      <x:c r="B51" s="21" t="str">
        <x:v>FT-A1938</x:v>
      </x:c>
      <x:c r="C51" s="22" t="str">
        <x:v>1938</x:v>
      </x:c>
      <x:c r="D51" s="22" t="str">
        <x:v>20</x:v>
      </x:c>
      <x:c r="E51" s="21" t="str">
        <x:v>Heat Wave Over Queensland</x:v>
      </x:c>
      <x:c r="F51" s="21" t="str">
        <x:v>heat wave over queensland</x:v>
      </x:c>
      <x:c r="G51" s="21" t="str">
        <x:v>heatwave / weather event</x:v>
      </x:c>
      <x:c r="H51" s="21" t="str">
        <x:v>FT-C-HEATWAVE_WEATHER_EVENT</x:v>
      </x:c>
      <x:c r="I51" s="21" t="str">
        <x:v>A bounded hot-weather or heatwave event.</x:v>
      </x:c>
      <x:c r="J51" s="21" t="str">
        <x:v>FT-LF-Q-8D94BCBD47A7</x:v>
      </x:c>
      <x:c r="K51" s="22" t="str">
        <x:v>heat</x:v>
      </x:c>
      <x:c r="L51" s="21" t="str">
        <x:v>FT-F02</x:v>
      </x:c>
      <x:c r="M51" s="22" t="str">
        <x:v>A</x:v>
      </x:c>
      <x:c r="N51" s="22" t="str">
        <x:v>V3</x:v>
      </x:c>
      <x:c r="O51" s="22" t="str">
        <x:v>E5</x:v>
      </x:c>
      <x:c r="P51" s="21" t="str">
        <x:v>RECONSTRUCTED_FROM_REPORT; Fear of Temperature_ Stratified Lexical Expansion, Voice Mapping, and Semantic-Relational Pre-Valida.pdf; p.8; project candidate FT-SEED-R1B-P-1938-20; original visible ID not available</x:v>
      </x:c>
      <x:c r="Q51" s="21" t="str">
        <x:v>FT-NGM-8D94BCBD47A748</x:v>
      </x:c>
      <x:c r="R51" s="21" t="str">
        <x:v>Heat Wave Over Queensland</x:v>
      </x:c>
      <x:c r="S51" s="22" t="str">
        <x:v>EXACT</x:v>
      </x:c>
      <x:c r="T51" s="21" t="str">
        <x:v>FT-Q-V01-040</x:v>
      </x:c>
      <x:c r="U51" s="21" t="str">
        <x:v>Candidate surface form is directly representable in the public Ngram interface.</x:v>
      </x:c>
      <x:c r="V51" s="21" t="str">
        <x:v>Fear of Temperature_ Stratified Lexical Expansion, Voice Mapping, and Semantic-Relational Pre-Valida.pdf</x:v>
      </x:c>
      <x:c r="W51" s="21" t="str">
        <x:v>8</x:v>
      </x:c>
      <x:c r="X51" s="23" t="str">
        <x:v>RECONSTRUCTED_FROM_REPORT</x:v>
      </x:c>
    </x:row>
    <x:row r="52" ht="19" customHeight="1">
      <x:c r="A52" s="20" t="str">
        <x:v>FT-SEED-R1B-P-1938-21</x:v>
      </x:c>
      <x:c r="B52" s="21" t="str">
        <x:v>FT-A1938</x:v>
      </x:c>
      <x:c r="C52" s="22" t="str">
        <x:v>1938</x:v>
      </x:c>
      <x:c r="D52" s="22" t="str">
        <x:v>21</x:v>
      </x:c>
      <x:c r="E52" s="21" t="str">
        <x:v>heat wave</x:v>
      </x:c>
      <x:c r="F52" s="21" t="str">
        <x:v>heat wave</x:v>
      </x:c>
      <x:c r="G52" s="21" t="str">
        <x:v>heatwave / weather event</x:v>
      </x:c>
      <x:c r="H52" s="21" t="str">
        <x:v>FT-C-HEATWAVE_WEATHER_EVENT</x:v>
      </x:c>
      <x:c r="I52" s="21" t="str">
        <x:v>A bounded hot-weather or heatwave event.</x:v>
      </x:c>
      <x:c r="J52" s="21" t="str">
        <x:v>FT-LF-HEAT_WAVE</x:v>
      </x:c>
      <x:c r="K52" s="22" t="str">
        <x:v>heat</x:v>
      </x:c>
      <x:c r="L52" s="21" t="str">
        <x:v>FT-F02</x:v>
      </x:c>
      <x:c r="M52" s="22" t="str">
        <x:v>A</x:v>
      </x:c>
      <x:c r="N52" s="22" t="str">
        <x:v>V3</x:v>
      </x:c>
      <x:c r="O52" s="22" t="str">
        <x:v>E5</x:v>
      </x:c>
      <x:c r="P52" s="21" t="str">
        <x:v>RECONSTRUCTED_FROM_REPORT; Fear of Temperature_ Stratified Lexical Expansion, Voice Mapping, and Semantic-Relational Pre-Valida.pdf; p.7; project candidate FT-SEED-R1B-P-1938-21; original visible ID not available</x:v>
      </x:c>
      <x:c r="Q52" s="21" t="str">
        <x:v>FT-NGM-98E3D0B6FAAEFE</x:v>
      </x:c>
      <x:c r="R52" s="21" t="str">
        <x:v>heat wave</x:v>
      </x:c>
      <x:c r="S52" s="22" t="str">
        <x:v>EXACT</x:v>
      </x:c>
      <x:c r="T52" s="21" t="str">
        <x:v>FT-Q-V01-139</x:v>
      </x:c>
      <x:c r="U52" s="21" t="str">
        <x:v>Candidate surface form is directly representable in the public Ngram interface.</x:v>
      </x:c>
      <x:c r="V52" s="21" t="str">
        <x:v>Fear of Temperature_ Stratified Lexical Expansion, Voice Mapping, and Semantic-Relational Pre-Valida.pdf</x:v>
      </x:c>
      <x:c r="W52" s="21" t="str">
        <x:v>7</x:v>
      </x:c>
      <x:c r="X52" s="23" t="str">
        <x:v>RECONSTRUCTED_FROM_REPORT</x:v>
      </x:c>
    </x:row>
    <x:row r="53" ht="19" customHeight="1">
      <x:c r="A53" s="20" t="str">
        <x:v>FT-SEED-R1B-P-1938-22</x:v>
      </x:c>
      <x:c r="B53" s="21" t="str">
        <x:v>FT-A1938</x:v>
      </x:c>
      <x:c r="C53" s="22" t="str">
        <x:v>1938</x:v>
      </x:c>
      <x:c r="D53" s="22" t="str">
        <x:v>22</x:v>
      </x:c>
      <x:c r="E53" s="21" t="str">
        <x:v>40-degree temperatures</x:v>
      </x:c>
      <x:c r="F53" s="21" t="str">
        <x:v>40-degree temperatures</x:v>
      </x:c>
      <x:c r="G53" s="21" t="str">
        <x:v>local / instrumental temperature</x:v>
      </x:c>
      <x:c r="H53" s="21" t="str">
        <x:v>FT-C-LOCAL_INSTRUMENTAL_TEMPERATURE</x:v>
      </x:c>
      <x:c r="I53" s="21" t="str">
        <x:v>A local or instrument-specific temperature reading.</x:v>
      </x:c>
      <x:c r="J53" s="21" t="str">
        <x:v>FT-LF-P180-10D42AA18F6B</x:v>
      </x:c>
      <x:c r="K53" s="22" t="str">
        <x:v>temperature_threshold</x:v>
      </x:c>
      <x:c r="L53" s="21" t="str">
        <x:v>FT-F01</x:v>
      </x:c>
      <x:c r="M53" s="22" t="str">
        <x:v>A</x:v>
      </x:c>
      <x:c r="N53" s="22" t="str">
        <x:v>V3</x:v>
      </x:c>
      <x:c r="O53" s="22" t="str">
        <x:v>E5</x:v>
      </x:c>
      <x:c r="P53" s="21" t="str">
        <x:v>RECONSTRUCTED_FROM_REPORT; Fear of Temperature_ Stratified Lexical Expansion, Voice Mapping, and Semantic-Relational Pre-Valida.pdf; p.7; project candidate FT-SEED-R1B-P-1938-22; original visible ID not available</x:v>
      </x:c>
      <x:c r="Q53" s="21" t="str">
        <x:v>FT-NGM-E777D244AC7B70</x:v>
      </x:c>
      <x:c r="R53" s="21" t="str">
        <x:v>40 degree temperatures</x:v>
      </x:c>
      <x:c r="S53" s="22" t="str">
        <x:v>NORMALIZED_VARIANT</x:v>
      </x:c>
      <x:c r="T53" s="21" t="str">
        <x:v>FT-Q-P180-C1E5FFD153A9</x:v>
      </x:c>
      <x:c r="U53" s="21" t="str">
        <x:v>Hyphenation is normalized; lexical content and temperature sense are unchanged.</x:v>
      </x:c>
      <x:c r="V53" s="21" t="str">
        <x:v>Fear of Temperature_ Stratified Lexical Expansion, Voice Mapping, and Semantic-Relational Pre-Valida.pdf</x:v>
      </x:c>
      <x:c r="W53" s="21" t="str">
        <x:v>7</x:v>
      </x:c>
      <x:c r="X53" s="23" t="str">
        <x:v>RECONSTRUCTED_FROM_REPORT</x:v>
      </x:c>
    </x:row>
    <x:row r="54" ht="19" customHeight="1">
      <x:c r="A54" s="20" t="str">
        <x:v>FT-SEED-R1B-P-1938-23</x:v>
      </x:c>
      <x:c r="B54" s="21" t="str">
        <x:v>FT-A1938</x:v>
      </x:c>
      <x:c r="C54" s="22" t="str">
        <x:v>1938</x:v>
      </x:c>
      <x:c r="D54" s="22" t="str">
        <x:v>23</x:v>
      </x:c>
      <x:c r="E54" s="21" t="str">
        <x:v>scorching westerly wind</x:v>
      </x:c>
      <x:c r="F54" s="21" t="str">
        <x:v>scorching westerly wind</x:v>
      </x:c>
      <x:c r="G54" s="21" t="str">
        <x:v>heatwave / weather event</x:v>
      </x:c>
      <x:c r="H54" s="21" t="str">
        <x:v>FT-C-HEATWAVE_WEATHER_EVENT</x:v>
      </x:c>
      <x:c r="I54" s="21" t="str">
        <x:v>A bounded hot-weather or heatwave event.</x:v>
      </x:c>
      <x:c r="J54" s="21" t="str">
        <x:v>FT-LF-P180-C7270B3C4D8F</x:v>
      </x:c>
      <x:c r="K54" s="22" t="str">
        <x:v>heat</x:v>
      </x:c>
      <x:c r="L54" s="21" t="str">
        <x:v>FT-F02</x:v>
      </x:c>
      <x:c r="M54" s="22" t="str">
        <x:v>D</x:v>
      </x:c>
      <x:c r="N54" s="22" t="str">
        <x:v>V3</x:v>
      </x:c>
      <x:c r="O54" s="22" t="str">
        <x:v>E5</x:v>
      </x:c>
      <x:c r="P54" s="21" t="str">
        <x:v>RECONSTRUCTED_FROM_REPORT; Fear of Temperature_ Stratified Lexical Expansion, Voice Mapping, and Semantic-Relational Pre-Valida.pdf; p.8; project candidate FT-SEED-R1B-P-1938-23; original visible ID not available</x:v>
      </x:c>
      <x:c r="Q54" s="21" t="str">
        <x:v>FT-NGM-C7270B3C4D8FC2</x:v>
      </x:c>
      <x:c r="R54" s="21" t="str">
        <x:v>scorching westerly wind</x:v>
      </x:c>
      <x:c r="S54" s="22" t="str">
        <x:v>EXACT</x:v>
      </x:c>
      <x:c r="T54" s="21" t="str">
        <x:v>FT-Q-P180-3A71EDABFA32</x:v>
      </x:c>
      <x:c r="U54" s="21" t="str">
        <x:v>Candidate surface form is directly representable in the public Ngram interface.</x:v>
      </x:c>
      <x:c r="V54" s="21" t="str">
        <x:v>Fear of Temperature_ Stratified Lexical Expansion, Voice Mapping, and Semantic-Relational Pre-Valida.pdf</x:v>
      </x:c>
      <x:c r="W54" s="21" t="str">
        <x:v>8</x:v>
      </x:c>
      <x:c r="X54" s="23" t="str">
        <x:v>RECONSTRUCTED_FROM_REPORT</x:v>
      </x:c>
    </x:row>
    <x:row r="55" ht="19" customHeight="1">
      <x:c r="A55" s="20" t="str">
        <x:v>FT-SEED-R1B-P-1938-24</x:v>
      </x:c>
      <x:c r="B55" s="21" t="str">
        <x:v>FT-A1938</x:v>
      </x:c>
      <x:c r="C55" s="22" t="str">
        <x:v>1938</x:v>
      </x:c>
      <x:c r="D55" s="22" t="str">
        <x:v>24</x:v>
      </x:c>
      <x:c r="E55" s="21" t="str">
        <x:v>pitiless sun</x:v>
      </x:c>
      <x:c r="F55" s="21" t="str">
        <x:v>pitiless sun</x:v>
      </x:c>
      <x:c r="G55" s="21" t="str">
        <x:v>physical heat source / state</x:v>
      </x:c>
      <x:c r="H55" s="21" t="str">
        <x:v>FT-C-PHYSICAL_HEAT_STATE</x:v>
      </x:c>
      <x:c r="I55" s="21" t="str">
        <x:v>Heat as a physical source, state, or thermal condition.</x:v>
      </x:c>
      <x:c r="J55" s="21" t="str">
        <x:v>FT-LF-P180-C268D7BF4F3F</x:v>
      </x:c>
      <x:c r="K55" s="22" t="str">
        <x:v>heat</x:v>
      </x:c>
      <x:c r="L55" s="21" t="str">
        <x:v>FT-F02</x:v>
      </x:c>
      <x:c r="M55" s="22" t="str">
        <x:v>D</x:v>
      </x:c>
      <x:c r="N55" s="22" t="str">
        <x:v>V3</x:v>
      </x:c>
      <x:c r="O55" s="22" t="str">
        <x:v>E5</x:v>
      </x:c>
      <x:c r="P55" s="21" t="str">
        <x:v>RECONSTRUCTED_FROM_REPORT; Fear of Temperature_ Stratified Lexical Expansion, Voice Mapping, and Semantic-Relational Pre-Valida.pdf; p.8; project candidate FT-SEED-R1B-P-1938-24; original visible ID not available</x:v>
      </x:c>
      <x:c r="Q55" s="21" t="str">
        <x:v>FT-NGM-C268D7BF4F3F3E</x:v>
      </x:c>
      <x:c r="R55" s="21" t="str">
        <x:v>pitiless sun</x:v>
      </x:c>
      <x:c r="S55" s="22" t="str">
        <x:v>EXACT</x:v>
      </x:c>
      <x:c r="T55" s="21" t="str">
        <x:v>FT-Q-P180-ED8DED1CEFEA</x:v>
      </x:c>
      <x:c r="U55" s="21" t="str">
        <x:v>Candidate surface form is directly representable in the public Ngram interface.</x:v>
      </x:c>
      <x:c r="V55" s="21" t="str">
        <x:v>Fear of Temperature_ Stratified Lexical Expansion, Voice Mapping, and Semantic-Relational Pre-Valida.pdf</x:v>
      </x:c>
      <x:c r="W55" s="21" t="str">
        <x:v>8</x:v>
      </x:c>
      <x:c r="X55" s="23" t="str">
        <x:v>RECONSTRUCTED_FROM_REPORT</x:v>
      </x:c>
    </x:row>
    <x:row r="56" ht="19" customHeight="1">
      <x:c r="A56" s="20" t="str">
        <x:v>FT-SEED-R1B-P-1938-25</x:v>
      </x:c>
      <x:c r="B56" s="21" t="str">
        <x:v>FT-A1938</x:v>
      </x:c>
      <x:c r="C56" s="22" t="str">
        <x:v>1938</x:v>
      </x:c>
      <x:c r="D56" s="22" t="str">
        <x:v>25</x:v>
      </x:c>
      <x:c r="E56" s="21" t="str">
        <x:v>hottest spell for years</x:v>
      </x:c>
      <x:c r="F56" s="21" t="str">
        <x:v>hottest spell for years</x:v>
      </x:c>
      <x:c r="G56" s="21" t="str">
        <x:v>heatwave / weather event</x:v>
      </x:c>
      <x:c r="H56" s="21" t="str">
        <x:v>FT-C-HEATWAVE_WEATHER_EVENT</x:v>
      </x:c>
      <x:c r="I56" s="21" t="str">
        <x:v>A bounded hot-weather or heatwave event.</x:v>
      </x:c>
      <x:c r="J56" s="21" t="str">
        <x:v>FT-LF-P180-E201F9DB8C1C</x:v>
      </x:c>
      <x:c r="K56" s="22" t="str">
        <x:v>heat</x:v>
      </x:c>
      <x:c r="L56" s="21" t="str">
        <x:v>FT-F02</x:v>
      </x:c>
      <x:c r="M56" s="22" t="str">
        <x:v>A</x:v>
      </x:c>
      <x:c r="N56" s="22" t="str">
        <x:v>V3</x:v>
      </x:c>
      <x:c r="O56" s="22" t="str">
        <x:v>E5</x:v>
      </x:c>
      <x:c r="P56" s="21" t="str">
        <x:v>RECONSTRUCTED_FROM_REPORT; Fear of Temperature_ Stratified Lexical Expansion, Voice Mapping, and Semantic-Relational Pre-Valida.pdf; p.8; project candidate FT-SEED-R1B-P-1938-25; original visible ID not available</x:v>
      </x:c>
      <x:c r="Q56" s="21" t="str">
        <x:v>FT-NGM-E201F9DB8C1C0B</x:v>
      </x:c>
      <x:c r="R56" s="21" t="str">
        <x:v>hottest spell for years</x:v>
      </x:c>
      <x:c r="S56" s="22" t="str">
        <x:v>EXACT</x:v>
      </x:c>
      <x:c r="T56" s="21" t="str">
        <x:v>FT-Q-P180-B6C72C58A1ED</x:v>
      </x:c>
      <x:c r="U56" s="21" t="str">
        <x:v>Candidate surface form is directly representable in the public Ngram interface.</x:v>
      </x:c>
      <x:c r="V56" s="21" t="str">
        <x:v>Fear of Temperature_ Stratified Lexical Expansion, Voice Mapping, and Semantic-Relational Pre-Valida.pdf</x:v>
      </x:c>
      <x:c r="W56" s="21" t="str">
        <x:v>8</x:v>
      </x:c>
      <x:c r="X56" s="23" t="str">
        <x:v>RECONSTRUCTED_FROM_REPORT</x:v>
      </x:c>
    </x:row>
    <x:row r="57" ht="19" customHeight="1">
      <x:c r="A57" s="20" t="str">
        <x:v>FT-SEED-R1B-P-1938-26</x:v>
      </x:c>
      <x:c r="B57" s="21" t="str">
        <x:v>FT-A1938</x:v>
      </x:c>
      <x:c r="C57" s="22" t="str">
        <x:v>1938</x:v>
      </x:c>
      <x:c r="D57" s="22" t="str">
        <x:v>26</x:v>
      </x:c>
      <x:c r="E57" s="21" t="str">
        <x:v>weather is just bearable</x:v>
      </x:c>
      <x:c r="F57" s="21" t="str">
        <x:v>weather is just bearable</x:v>
      </x:c>
      <x:c r="G57" s="21" t="str">
        <x:v>personal concern</x:v>
      </x:c>
      <x:c r="H57" s="21" t="str">
        <x:v>FT-C-PERSONAL_CONCERN</x:v>
      </x:c>
      <x:c r="I57" s="21" t="str">
        <x:v>Concern expressed or endorsed by an identifiable person about a climate or heat object.</x:v>
      </x:c>
      <x:c r="J57" s="21" t="str">
        <x:v>FT-LF-P180-783FEFD6B210</x:v>
      </x:c>
      <x:c r="K57" s="22" t="str">
        <x:v>concern_alarm</x:v>
      </x:c>
      <x:c r="L57" s="21" t="str">
        <x:v>FT-F06</x:v>
      </x:c>
      <x:c r="M57" s="22" t="str">
        <x:v>C</x:v>
      </x:c>
      <x:c r="N57" s="22" t="str">
        <x:v>V3</x:v>
      </x:c>
      <x:c r="O57" s="22" t="str">
        <x:v>E5</x:v>
      </x:c>
      <x:c r="P57" s="21" t="str">
        <x:v>RECONSTRUCTED_FROM_REPORT; Fear of Temperature_ Stratified Lexical Expansion, Voice Mapping, and Semantic-Relational Pre-Valida.pdf; p.8; project candidate FT-SEED-R1B-P-1938-26; original visible ID not available</x:v>
      </x:c>
      <x:c r="Q57" s="21" t="str">
        <x:v>FT-NGM-783FEFD6B210E5</x:v>
      </x:c>
      <x:c r="R57" s="21" t="str">
        <x:v>weather is just bearable</x:v>
      </x:c>
      <x:c r="S57" s="22" t="str">
        <x:v>EXACT</x:v>
      </x:c>
      <x:c r="T57" s="21" t="str">
        <x:v>FT-Q-P180-121ABBF6993D</x:v>
      </x:c>
      <x:c r="U57" s="21" t="str">
        <x:v>Candidate surface form is directly representable in the public Ngram interface.</x:v>
      </x:c>
      <x:c r="V57" s="21" t="str">
        <x:v>Fear of Temperature_ Stratified Lexical Expansion, Voice Mapping, and Semantic-Relational Pre-Valida.pdf</x:v>
      </x:c>
      <x:c r="W57" s="21" t="str">
        <x:v>8</x:v>
      </x:c>
      <x:c r="X57" s="23" t="str">
        <x:v>RECONSTRUCTED_FROM_REPORT</x:v>
      </x:c>
    </x:row>
    <x:row r="58" ht="19" customHeight="1">
      <x:c r="A58" s="20" t="str">
        <x:v>FT-SEED-R1B-P-1938-27</x:v>
      </x:c>
      <x:c r="B58" s="21" t="str">
        <x:v>FT-A1938</x:v>
      </x:c>
      <x:c r="C58" s="22" t="str">
        <x:v>1938</x:v>
      </x:c>
      <x:c r="D58" s="22" t="str">
        <x:v>27</x:v>
      </x:c>
      <x:c r="E58" s="21" t="str">
        <x:v>heat records</x:v>
      </x:c>
      <x:c r="F58" s="21" t="str">
        <x:v>heat records</x:v>
      </x:c>
      <x:c r="G58" s="21" t="str">
        <x:v>physical heat source / state</x:v>
      </x:c>
      <x:c r="H58" s="21" t="str">
        <x:v>FT-C-PHYSICAL_HEAT_STATE</x:v>
      </x:c>
      <x:c r="I58" s="21" t="str">
        <x:v>Heat as a physical source, state, or thermal condition.</x:v>
      </x:c>
      <x:c r="J58" s="21" t="str">
        <x:v>FT-LF-P180-CF24BD32494F</x:v>
      </x:c>
      <x:c r="K58" s="22" t="str">
        <x:v>heat</x:v>
      </x:c>
      <x:c r="L58" s="21" t="str">
        <x:v>FT-F02</x:v>
      </x:c>
      <x:c r="M58" s="22" t="str">
        <x:v>A</x:v>
      </x:c>
      <x:c r="N58" s="22" t="str">
        <x:v>V3</x:v>
      </x:c>
      <x:c r="O58" s="22" t="str">
        <x:v>E5</x:v>
      </x:c>
      <x:c r="P58" s="21" t="str">
        <x:v>RECONSTRUCTED_FROM_REPORT; Fear of Temperature_ Stratified Lexical Expansion, Voice Mapping, and Semantic-Relational Pre-Valida.pdf; p.8; project candidate FT-SEED-R1B-P-1938-27; original visible ID not available</x:v>
      </x:c>
      <x:c r="Q58" s="21" t="str">
        <x:v>FT-NGM-CF24BD32494FAA</x:v>
      </x:c>
      <x:c r="R58" s="21" t="str">
        <x:v>heat records</x:v>
      </x:c>
      <x:c r="S58" s="22" t="str">
        <x:v>EXACT</x:v>
      </x:c>
      <x:c r="T58" s="21" t="str">
        <x:v>FT-Q-P180-B655080E3998</x:v>
      </x:c>
      <x:c r="U58" s="21" t="str">
        <x:v>Candidate surface form is directly representable in the public Ngram interface.</x:v>
      </x:c>
      <x:c r="V58" s="21" t="str">
        <x:v>Fear of Temperature_ Stratified Lexical Expansion, Voice Mapping, and Semantic-Relational Pre-Valida.pdf</x:v>
      </x:c>
      <x:c r="W58" s="21" t="str">
        <x:v>8</x:v>
      </x:c>
      <x:c r="X58" s="23" t="str">
        <x:v>RECONSTRUCTED_FROM_REPORT</x:v>
      </x:c>
    </x:row>
    <x:row r="59" ht="19" customHeight="1">
      <x:c r="A59" s="20" t="str">
        <x:v>FT-SEED-R1B-P-1938-28</x:v>
      </x:c>
      <x:c r="B59" s="21" t="str">
        <x:v>FT-A1938</x:v>
      </x:c>
      <x:c r="C59" s="22" t="str">
        <x:v>1938</x:v>
      </x:c>
      <x:c r="D59" s="22" t="str">
        <x:v>28</x:v>
      </x:c>
      <x:c r="E59" s="21" t="str">
        <x:v>drought</x:v>
      </x:c>
      <x:c r="F59" s="21" t="str">
        <x:v>drought</x:v>
      </x:c>
      <x:c r="G59" s="21" t="str">
        <x:v>generic damage</x:v>
      </x:c>
      <x:c r="H59" s="21" t="str">
        <x:v>FT-C-GENERIC_DAMAGE</x:v>
      </x:c>
      <x:c r="I59" s="21" t="str">
        <x:v>Generic material, ecological, or social damage.</x:v>
      </x:c>
      <x:c r="J59" s="21" t="str">
        <x:v>FT-LF-Q-CAAED8C4EB8D</x:v>
      </x:c>
      <x:c r="K59" s="22" t="str">
        <x:v>harm_loss_consequences</x:v>
      </x:c>
      <x:c r="L59" s="21" t="str">
        <x:v>FT-F14</x:v>
      </x:c>
      <x:c r="M59" s="22" t="str">
        <x:v>D</x:v>
      </x:c>
      <x:c r="N59" s="22" t="str">
        <x:v>V3</x:v>
      </x:c>
      <x:c r="O59" s="22" t="str">
        <x:v>E5</x:v>
      </x:c>
      <x:c r="P59" s="21" t="str">
        <x:v>RECONSTRUCTED_FROM_REPORT; Fear of Temperature_ Stratified Lexical Expansion, Voice Mapping, and Semantic-Relational Pre-Valida.pdf; p.8; project candidate FT-SEED-R1B-P-1938-28; original visible ID not available</x:v>
      </x:c>
      <x:c r="Q59" s="21" t="str">
        <x:v>FT-NGM-CAAED8C4EB8DFE</x:v>
      </x:c>
      <x:c r="R59" s="21" t="str">
        <x:v>drought</x:v>
      </x:c>
      <x:c r="S59" s="22" t="str">
        <x:v>EXACT</x:v>
      </x:c>
      <x:c r="T59" s="21" t="str">
        <x:v>FT-Q-P180-E42CD0DB6D56</x:v>
      </x:c>
      <x:c r="U59" s="21" t="str">
        <x:v>Candidate surface form is directly representable in the public Ngram interface.</x:v>
      </x:c>
      <x:c r="V59" s="21" t="str">
        <x:v>Fear of Temperature_ Stratified Lexical Expansion, Voice Mapping, and Semantic-Relational Pre-Valida.pdf</x:v>
      </x:c>
      <x:c r="W59" s="21" t="str">
        <x:v>8</x:v>
      </x:c>
      <x:c r="X59" s="23" t="str">
        <x:v>RECONSTRUCTED_FROM_REPORT</x:v>
      </x:c>
    </x:row>
    <x:row r="60" ht="19" customHeight="1">
      <x:c r="A60" s="20" t="str">
        <x:v>FT-SEED-R1B-P-1938-29</x:v>
      </x:c>
      <x:c r="B60" s="21" t="str">
        <x:v>FT-A1938</x:v>
      </x:c>
      <x:c r="C60" s="22" t="str">
        <x:v>1938</x:v>
      </x:c>
      <x:c r="D60" s="22" t="str">
        <x:v>29</x:v>
      </x:c>
      <x:c r="E60" s="21" t="str">
        <x:v>grass fires</x:v>
      </x:c>
      <x:c r="F60" s="21" t="str">
        <x:v>grass fires</x:v>
      </x:c>
      <x:c r="G60" s="21" t="str">
        <x:v>generic damage</x:v>
      </x:c>
      <x:c r="H60" s="21" t="str">
        <x:v>FT-C-GENERIC_DAMAGE</x:v>
      </x:c>
      <x:c r="I60" s="21" t="str">
        <x:v>Generic material, ecological, or social damage.</x:v>
      </x:c>
      <x:c r="J60" s="21" t="str">
        <x:v>FT-LF-P180-502A3A2170A5</x:v>
      </x:c>
      <x:c r="K60" s="22" t="str">
        <x:v>harm_loss_consequences</x:v>
      </x:c>
      <x:c r="L60" s="21" t="str">
        <x:v>FT-F14</x:v>
      </x:c>
      <x:c r="M60" s="22" t="str">
        <x:v>D</x:v>
      </x:c>
      <x:c r="N60" s="22" t="str">
        <x:v>V3</x:v>
      </x:c>
      <x:c r="O60" s="22" t="str">
        <x:v>E5</x:v>
      </x:c>
      <x:c r="P60" s="21" t="str">
        <x:v>RECONSTRUCTED_FROM_REPORT; Fear of Temperature_ Stratified Lexical Expansion, Voice Mapping, and Semantic-Relational Pre-Valida.pdf; p.8; project candidate FT-SEED-R1B-P-1938-29; original visible ID not available</x:v>
      </x:c>
      <x:c r="Q60" s="21" t="str">
        <x:v>FT-NGM-502A3A2170A55A</x:v>
      </x:c>
      <x:c r="R60" s="21" t="str">
        <x:v>grass fires</x:v>
      </x:c>
      <x:c r="S60" s="22" t="str">
        <x:v>EXACT</x:v>
      </x:c>
      <x:c r="T60" s="21" t="str">
        <x:v>FT-Q-P180-D32C48F05555</x:v>
      </x:c>
      <x:c r="U60" s="21" t="str">
        <x:v>Candidate surface form is directly representable in the public Ngram interface.</x:v>
      </x:c>
      <x:c r="V60" s="21" t="str">
        <x:v>Fear of Temperature_ Stratified Lexical Expansion, Voice Mapping, and Semantic-Relational Pre-Valida.pdf</x:v>
      </x:c>
      <x:c r="W60" s="21" t="str">
        <x:v>8</x:v>
      </x:c>
      <x:c r="X60" s="23" t="str">
        <x:v>RECONSTRUCTED_FROM_REPORT</x:v>
      </x:c>
    </x:row>
    <x:row r="61" ht="19" customHeight="1">
      <x:c r="A61" s="20" t="str">
        <x:v>FT-SEED-R1B-P-1938-30</x:v>
      </x:c>
      <x:c r="B61" s="21" t="str">
        <x:v>FT-A1938</x:v>
      </x:c>
      <x:c r="C61" s="22" t="str">
        <x:v>1938</x:v>
      </x:c>
      <x:c r="D61" s="22" t="str">
        <x:v>30</x:v>
      </x:c>
      <x:c r="E61" s="21" t="str">
        <x:v>unbearable heat</x:v>
      </x:c>
      <x:c r="F61" s="21" t="str">
        <x:v>unbearable heat</x:v>
      </x:c>
      <x:c r="G61" s="21" t="str">
        <x:v>extreme-heat hazard</x:v>
      </x:c>
      <x:c r="H61" s="21" t="str">
        <x:v>FT-C-EXTREME_HEAT_HAZARD</x:v>
      </x:c>
      <x:c r="I61" s="21" t="str">
        <x:v>Extreme heat framed as a hazard with health or social consequences.</x:v>
      </x:c>
      <x:c r="J61" s="21" t="str">
        <x:v>FT-LF-P180-9C756D0F99F7</x:v>
      </x:c>
      <x:c r="K61" s="22" t="str">
        <x:v>heat</x:v>
      </x:c>
      <x:c r="L61" s="21" t="str">
        <x:v>FT-F02</x:v>
      </x:c>
      <x:c r="M61" s="22" t="str">
        <x:v>D</x:v>
      </x:c>
      <x:c r="N61" s="22" t="str">
        <x:v>V3</x:v>
      </x:c>
      <x:c r="O61" s="22" t="str">
        <x:v>E5</x:v>
      </x:c>
      <x:c r="P61" s="21" t="str">
        <x:v>RECONSTRUCTED_FROM_REPORT; Fear of Temperature_ Stratified Lexical Expansion, Voice Mapping, and Semantic-Relational Pre-Valida.pdf; p.8; project candidate FT-SEED-R1B-P-1938-30; original visible ID not available</x:v>
      </x:c>
      <x:c r="Q61" s="21" t="str">
        <x:v>FT-NGM-9C756D0F99F7BA</x:v>
      </x:c>
      <x:c r="R61" s="21" t="str">
        <x:v>unbearable heat</x:v>
      </x:c>
      <x:c r="S61" s="22" t="str">
        <x:v>EXACT</x:v>
      </x:c>
      <x:c r="T61" s="21" t="str">
        <x:v>FT-Q-P180-B3F473A5DEDD</x:v>
      </x:c>
      <x:c r="U61" s="21" t="str">
        <x:v>Candidate surface form is directly representable in the public Ngram interface.</x:v>
      </x:c>
      <x:c r="V61" s="21" t="str">
        <x:v>Fear of Temperature_ Stratified Lexical Expansion, Voice Mapping, and Semantic-Relational Pre-Valida.pdf</x:v>
      </x:c>
      <x:c r="W61" s="21" t="str">
        <x:v>8</x:v>
      </x:c>
      <x:c r="X61" s="23" t="str">
        <x:v>RECONSTRUCTED_FROM_REPORT</x:v>
      </x:c>
    </x:row>
    <x:row r="62" ht="19" customHeight="1">
      <x:c r="A62" s="20" t="str">
        <x:v>FT-SEED-R1B-P-1988-01</x:v>
      </x:c>
      <x:c r="B62" s="21" t="str">
        <x:v>FT-A1988</x:v>
      </x:c>
      <x:c r="C62" s="22" t="str">
        <x:v>1988</x:v>
      </x:c>
      <x:c r="D62" s="22" t="str">
        <x:v>1</x:v>
      </x:c>
      <x:c r="E62" s="21" t="str">
        <x:v>greenhouse effect</x:v>
      </x:c>
      <x:c r="F62" s="21" t="str">
        <x:v>greenhouse effect</x:v>
      </x:c>
      <x:c r="G62" s="21" t="str">
        <x:v>greenhouse mechanism</x:v>
      </x:c>
      <x:c r="H62" s="21" t="str">
        <x:v>FT-C-GREENHOUSE_MECHANISM</x:v>
      </x:c>
      <x:c r="I62" s="21" t="str">
        <x:v>Radiative greenhouse mechanism or greenhouse effect.</x:v>
      </x:c>
      <x:c r="J62" s="21" t="str">
        <x:v>FT-LF-GREENHOUSE_EFFECT</x:v>
      </x:c>
      <x:c r="K62" s="22" t="str">
        <x:v>carbon_greenhouse</x:v>
      </x:c>
      <x:c r="L62" s="21" t="str">
        <x:v>FT-F05</x:v>
      </x:c>
      <x:c r="M62" s="22" t="str">
        <x:v>B</x:v>
      </x:c>
      <x:c r="N62" s="22" t="str">
        <x:v>V1</x:v>
      </x:c>
      <x:c r="O62" s="22" t="str">
        <x:v>E5</x:v>
      </x:c>
      <x:c r="P62" s="21" t="str">
        <x:v>RECONSTRUCTED_FROM_REPORT; Fear of Temperature_ Stratified Lexical Expansion, Voice Mapping, and Semantic-Relational Pre-Valida.pdf; p.9; project candidate FT-SEED-R1B-P-1988-01; original visible ID not available</x:v>
      </x:c>
      <x:c r="Q62" s="21" t="str">
        <x:v>FT-NGM-2C4E580C1D49B9</x:v>
      </x:c>
      <x:c r="R62" s="21" t="str">
        <x:v>greenhouse effect</x:v>
      </x:c>
      <x:c r="S62" s="22" t="str">
        <x:v>EXACT</x:v>
      </x:c>
      <x:c r="T62" s="21" t="str">
        <x:v>FT-Q-V01-041</x:v>
      </x:c>
      <x:c r="U62" s="21" t="str">
        <x:v>Candidate surface form is directly representable in the public Ngram interface.</x:v>
      </x:c>
      <x:c r="V62" s="21" t="str">
        <x:v>Fear of Temperature_ Stratified Lexical Expansion, Voice Mapping, and Semantic-Relational Pre-Valida.pdf</x:v>
      </x:c>
      <x:c r="W62" s="21" t="str">
        <x:v>9</x:v>
      </x:c>
      <x:c r="X62" s="23" t="str">
        <x:v>RECONSTRUCTED_FROM_REPORT</x:v>
      </x:c>
    </x:row>
    <x:row r="63" ht="19" customHeight="1">
      <x:c r="A63" s="20" t="str">
        <x:v>FT-SEED-R1B-P-1988-02</x:v>
      </x:c>
      <x:c r="B63" s="21" t="str">
        <x:v>FT-A1988</x:v>
      </x:c>
      <x:c r="C63" s="22" t="str">
        <x:v>1988</x:v>
      </x:c>
      <x:c r="D63" s="22" t="str">
        <x:v>2</x:v>
      </x:c>
      <x:c r="E63" s="21" t="str">
        <x:v>global warming</x:v>
      </x:c>
      <x:c r="F63" s="21" t="str">
        <x:v>global warming</x:v>
      </x:c>
      <x:c r="G63" s="21" t="str">
        <x:v>global warming as issue label</x:v>
      </x:c>
      <x:c r="H63" s="21" t="str">
        <x:v>FT-C-GLOBAL_WARMING_ISSUE_LABEL</x:v>
      </x:c>
      <x:c r="I63" s="21" t="str">
        <x:v>Global warming used as an established public, scientific, or policy issue label.</x:v>
      </x:c>
      <x:c r="J63" s="21" t="str">
        <x:v>FT-LF-GLOBAL_WARMING</x:v>
      </x:c>
      <x:c r="K63" s="22" t="str">
        <x:v>warming</x:v>
      </x:c>
      <x:c r="L63" s="21" t="str">
        <x:v>FT-F03</x:v>
      </x:c>
      <x:c r="M63" s="22" t="str">
        <x:v>A</x:v>
      </x:c>
      <x:c r="N63" s="22" t="str">
        <x:v>V1</x:v>
      </x:c>
      <x:c r="O63" s="22" t="str">
        <x:v>E5</x:v>
      </x:c>
      <x:c r="P63" s="21" t="str">
        <x:v>RECONSTRUCTED_FROM_REPORT; Fear of Temperature_ Stratified Lexical Expansion, Voice Mapping, and Semantic-Relational Pre-Valida.pdf; p.9; project candidate FT-SEED-R1B-P-1988-02; original visible ID not available</x:v>
      </x:c>
      <x:c r="Q63" s="21" t="str">
        <x:v>FT-NGM-41A40CE559EFC5</x:v>
      </x:c>
      <x:c r="R63" s="21" t="str">
        <x:v>global warming</x:v>
      </x:c>
      <x:c r="S63" s="22" t="str">
        <x:v>EXACT</x:v>
      </x:c>
      <x:c r="T63" s="21" t="str">
        <x:v>FT-Q-V01-042</x:v>
      </x:c>
      <x:c r="U63" s="21" t="str">
        <x:v>Candidate surface form is directly representable in the public Ngram interface.</x:v>
      </x:c>
      <x:c r="V63" s="21" t="str">
        <x:v>Fear of Temperature_ Stratified Lexical Expansion, Voice Mapping, and Semantic-Relational Pre-Valida.pdf</x:v>
      </x:c>
      <x:c r="W63" s="21" t="str">
        <x:v>9</x:v>
      </x:c>
      <x:c r="X63" s="23" t="str">
        <x:v>RECONSTRUCTED_FROM_REPORT</x:v>
      </x:c>
    </x:row>
    <x:row r="64" ht="19" customHeight="1">
      <x:c r="A64" s="20" t="str">
        <x:v>FT-SEED-R1B-P-1988-03</x:v>
      </x:c>
      <x:c r="B64" s="21" t="str">
        <x:v>FT-A1988</x:v>
      </x:c>
      <x:c r="C64" s="22" t="str">
        <x:v>1988</x:v>
      </x:c>
      <x:c r="D64" s="22" t="str">
        <x:v>3</x:v>
      </x:c>
      <x:c r="E64" s="21" t="str">
        <x:v>earth is warmer</x:v>
      </x:c>
      <x:c r="F64" s="21" t="str">
        <x:v>earth is warmer</x:v>
      </x:c>
      <x:c r="G64" s="21" t="str">
        <x:v>temperature increase</x:v>
      </x:c>
      <x:c r="H64" s="21" t="str">
        <x:v>FT-C-TEMPERATURE_INCREASE</x:v>
      </x:c>
      <x:c r="I64" s="21" t="str">
        <x:v>An observed, estimated, or projected increase in temperature.</x:v>
      </x:c>
      <x:c r="J64" s="21" t="str">
        <x:v>FT-LF-Q-465F2891AA3A</x:v>
      </x:c>
      <x:c r="K64" s="22" t="str">
        <x:v>warming</x:v>
      </x:c>
      <x:c r="L64" s="21" t="str">
        <x:v>FT-F03</x:v>
      </x:c>
      <x:c r="M64" s="22" t="str">
        <x:v>A</x:v>
      </x:c>
      <x:c r="N64" s="22" t="str">
        <x:v>V1</x:v>
      </x:c>
      <x:c r="O64" s="22" t="str">
        <x:v>E5</x:v>
      </x:c>
      <x:c r="P64" s="21" t="str">
        <x:v>RECONSTRUCTED_FROM_REPORT; Fear of Temperature_ Stratified Lexical Expansion, Voice Mapping, and Semantic-Relational Pre-Valida.pdf; p.9; project candidate FT-SEED-R1B-P-1988-03; original visible ID not available</x:v>
      </x:c>
      <x:c r="Q64" s="21" t="str">
        <x:v>FT-NGM-465F2891AA3A07</x:v>
      </x:c>
      <x:c r="R64" s="21" t="str">
        <x:v>earth is warmer</x:v>
      </x:c>
      <x:c r="S64" s="22" t="str">
        <x:v>EXACT</x:v>
      </x:c>
      <x:c r="T64" s="21" t="str">
        <x:v>FT-Q-V01-043</x:v>
      </x:c>
      <x:c r="U64" s="21" t="str">
        <x:v>Candidate surface form is directly representable in the public Ngram interface.</x:v>
      </x:c>
      <x:c r="V64" s="21" t="str">
        <x:v>Fear of Temperature_ Stratified Lexical Expansion, Voice Mapping, and Semantic-Relational Pre-Valida.pdf</x:v>
      </x:c>
      <x:c r="W64" s="21" t="str">
        <x:v>9</x:v>
      </x:c>
      <x:c r="X64" s="23" t="str">
        <x:v>RECONSTRUCTED_FROM_REPORT</x:v>
      </x:c>
    </x:row>
    <x:row r="65" ht="19" customHeight="1">
      <x:c r="A65" s="20" t="str">
        <x:v>FT-SEED-R1B-P-1988-04</x:v>
      </x:c>
      <x:c r="B65" s="21" t="str">
        <x:v>FT-A1988</x:v>
      </x:c>
      <x:c r="C65" s="22" t="str">
        <x:v>1988</x:v>
      </x:c>
      <x:c r="D65" s="22" t="str">
        <x:v>4</x:v>
      </x:c>
      <x:c r="E65" s="21" t="str">
        <x:v>instrumental measurements</x:v>
      </x:c>
      <x:c r="F65" s="21" t="str">
        <x:v>instrumental measurements</x:v>
      </x:c>
      <x:c r="G65" s="21" t="str">
        <x:v>historical climate / climatological condition</x:v>
      </x:c>
      <x:c r="H65" s="21" t="str">
        <x:v>FT-C-HISTORICAL_CLIMATE_CONDITION</x:v>
      </x:c>
      <x:c r="I65" s="21" t="str">
        <x:v>Climate as a historical, geographical, seasonal, or climatological condition.</x:v>
      </x:c>
      <x:c r="J65" s="21" t="str">
        <x:v>FT-LF-Q-483DD5637788</x:v>
      </x:c>
      <x:c r="K65" s="22" t="str">
        <x:v>climate</x:v>
      </x:c>
      <x:c r="L65" s="21" t="str">
        <x:v>FT-F04</x:v>
      </x:c>
      <x:c r="M65" s="22" t="str">
        <x:v>B</x:v>
      </x:c>
      <x:c r="N65" s="22" t="str">
        <x:v>V1</x:v>
      </x:c>
      <x:c r="O65" s="22" t="str">
        <x:v>E5</x:v>
      </x:c>
      <x:c r="P65" s="21" t="str">
        <x:v>RECONSTRUCTED_FROM_REPORT; Fear of Temperature_ Stratified Lexical Expansion, Voice Mapping, and Semantic-Relational Pre-Valida.pdf; p.9; project candidate FT-SEED-R1B-P-1988-04; original visible ID not available</x:v>
      </x:c>
      <x:c r="Q65" s="21" t="str">
        <x:v>FT-NGM-483DD563778876</x:v>
      </x:c>
      <x:c r="R65" s="21" t="str">
        <x:v>instrumental measurements</x:v>
      </x:c>
      <x:c r="S65" s="22" t="str">
        <x:v>EXACT</x:v>
      </x:c>
      <x:c r="T65" s="21" t="str">
        <x:v>FT-Q-V01-044</x:v>
      </x:c>
      <x:c r="U65" s="21" t="str">
        <x:v>Candidate surface form is directly representable in the public Ngram interface.</x:v>
      </x:c>
      <x:c r="V65" s="21" t="str">
        <x:v>Fear of Temperature_ Stratified Lexical Expansion, Voice Mapping, and Semantic-Relational Pre-Valida.pdf</x:v>
      </x:c>
      <x:c r="W65" s="21" t="str">
        <x:v>9</x:v>
      </x:c>
      <x:c r="X65" s="23" t="str">
        <x:v>RECONSTRUCTED_FROM_REPORT</x:v>
      </x:c>
    </x:row>
    <x:row r="66" ht="19" customHeight="1">
      <x:c r="A66" s="20" t="str">
        <x:v>FT-SEED-R1B-P-1988-05</x:v>
      </x:c>
      <x:c r="B66" s="21" t="str">
        <x:v>FT-A1988</x:v>
      </x:c>
      <x:c r="C66" s="22" t="str">
        <x:v>1988</x:v>
      </x:c>
      <x:c r="D66" s="22" t="str">
        <x:v>5</x:v>
      </x:c>
      <x:c r="E66" s="21" t="str">
        <x:v>cause-and-effect relationship</x:v>
      </x:c>
      <x:c r="F66" s="21" t="str">
        <x:v>cause-and-effect relationship</x:v>
      </x:c>
      <x:c r="G66" s="21" t="str">
        <x:v>generic damage</x:v>
      </x:c>
      <x:c r="H66" s="21" t="str">
        <x:v>FT-C-GENERIC_DAMAGE</x:v>
      </x:c>
      <x:c r="I66" s="21" t="str">
        <x:v>Generic material, ecological, or social damage.</x:v>
      </x:c>
      <x:c r="J66" s="21" t="str">
        <x:v>FT-LF-Q-EFDB35169612</x:v>
      </x:c>
      <x:c r="K66" s="22" t="str">
        <x:v>harm_loss_consequences</x:v>
      </x:c>
      <x:c r="L66" s="21" t="str">
        <x:v>FT-F14</x:v>
      </x:c>
      <x:c r="M66" s="22" t="str">
        <x:v>B</x:v>
      </x:c>
      <x:c r="N66" s="22" t="str">
        <x:v>V1</x:v>
      </x:c>
      <x:c r="O66" s="22" t="str">
        <x:v>E5</x:v>
      </x:c>
      <x:c r="P66" s="21" t="str">
        <x:v>RECONSTRUCTED_FROM_REPORT; Fear of Temperature_ Stratified Lexical Expansion, Voice Mapping, and Semantic-Relational Pre-Valida.pdf; p.9; project candidate FT-SEED-R1B-P-1988-05; original visible ID not available</x:v>
      </x:c>
      <x:c r="Q66" s="21" t="str">
        <x:v>FT-NGM-EFDB35169612A3</x:v>
      </x:c>
      <x:c r="R66" s="21" t="str">
        <x:v>cause-and-effect relationship</x:v>
      </x:c>
      <x:c r="S66" s="22" t="str">
        <x:v>EXACT</x:v>
      </x:c>
      <x:c r="T66" s="21" t="str">
        <x:v>FT-Q-V01-045</x:v>
      </x:c>
      <x:c r="U66" s="21" t="str">
        <x:v>Candidate surface form is directly representable in the public Ngram interface.</x:v>
      </x:c>
      <x:c r="V66" s="21" t="str">
        <x:v>Fear of Temperature_ Stratified Lexical Expansion, Voice Mapping, and Semantic-Relational Pre-Valida.pdf</x:v>
      </x:c>
      <x:c r="W66" s="21" t="str">
        <x:v>9</x:v>
      </x:c>
      <x:c r="X66" s="23" t="str">
        <x:v>RECONSTRUCTED_FROM_REPORT</x:v>
      </x:c>
    </x:row>
    <x:row r="67" ht="19" customHeight="1">
      <x:c r="A67" s="20" t="str">
        <x:v>FT-SEED-R1B-P-1988-06</x:v>
      </x:c>
      <x:c r="B67" s="21" t="str">
        <x:v>FT-A1988</x:v>
      </x:c>
      <x:c r="C67" s="22" t="str">
        <x:v>1988</x:v>
      </x:c>
      <x:c r="D67" s="22" t="str">
        <x:v>6</x:v>
      </x:c>
      <x:c r="E67" s="21" t="str">
        <x:v>global temperature</x:v>
      </x:c>
      <x:c r="F67" s="21" t="str">
        <x:v>global temperature</x:v>
      </x:c>
      <x:c r="G67" s="21" t="str">
        <x:v>global aggregate temperature</x:v>
      </x:c>
      <x:c r="H67" s="21" t="str">
        <x:v>FT-C-GLOBAL_AGGREGATE_TEMPERATURE</x:v>
      </x:c>
      <x:c r="I67" s="21" t="str">
        <x:v>A global-scale aggregate temperature metric.</x:v>
      </x:c>
      <x:c r="J67" s="21" t="str">
        <x:v>FT-LF-Q-BEB7DF6DD8B2</x:v>
      </x:c>
      <x:c r="K67" s="22" t="str">
        <x:v>temperature_threshold</x:v>
      </x:c>
      <x:c r="L67" s="21" t="str">
        <x:v>FT-F01</x:v>
      </x:c>
      <x:c r="M67" s="22" t="str">
        <x:v>A</x:v>
      </x:c>
      <x:c r="N67" s="22" t="str">
        <x:v>V1</x:v>
      </x:c>
      <x:c r="O67" s="22" t="str">
        <x:v>E5</x:v>
      </x:c>
      <x:c r="P67" s="21" t="str">
        <x:v>RECONSTRUCTED_FROM_REPORT; Fear of Temperature_ Stratified Lexical Expansion, Voice Mapping, and Semantic-Relational Pre-Valida.pdf; p.9; project candidate FT-SEED-R1B-P-1988-06; original visible ID not available</x:v>
      </x:c>
      <x:c r="Q67" s="21" t="str">
        <x:v>FT-NGM-BEB7DF6DD8B29A</x:v>
      </x:c>
      <x:c r="R67" s="21" t="str">
        <x:v>global temperature</x:v>
      </x:c>
      <x:c r="S67" s="22" t="str">
        <x:v>EXACT</x:v>
      </x:c>
      <x:c r="T67" s="21" t="str">
        <x:v>FT-Q-V01-046</x:v>
      </x:c>
      <x:c r="U67" s="21" t="str">
        <x:v>Candidate surface form is directly representable in the public Ngram interface.</x:v>
      </x:c>
      <x:c r="V67" s="21" t="str">
        <x:v>Fear of Temperature_ Stratified Lexical Expansion, Voice Mapping, and Semantic-Relational Pre-Valida.pdf</x:v>
      </x:c>
      <x:c r="W67" s="21" t="str">
        <x:v>9</x:v>
      </x:c>
      <x:c r="X67" s="23" t="str">
        <x:v>RECONSTRUCTED_FROM_REPORT</x:v>
      </x:c>
    </x:row>
    <x:row r="68" ht="19" customHeight="1">
      <x:c r="A68" s="20" t="str">
        <x:v>FT-SEED-R1B-P-1988-07</x:v>
      </x:c>
      <x:c r="B68" s="21" t="str">
        <x:v>FT-A1988</x:v>
      </x:c>
      <x:c r="C68" s="22" t="str">
        <x:v>1988</x:v>
      </x:c>
      <x:c r="D68" s="22" t="str">
        <x:v>7</x:v>
      </x:c>
      <x:c r="E68" s="21" t="str">
        <x:v>regional heat waves</x:v>
      </x:c>
      <x:c r="F68" s="21" t="str">
        <x:v>regional heat waves</x:v>
      </x:c>
      <x:c r="G68" s="21" t="str">
        <x:v>heatwave / weather event</x:v>
      </x:c>
      <x:c r="H68" s="21" t="str">
        <x:v>FT-C-HEATWAVE_WEATHER_EVENT</x:v>
      </x:c>
      <x:c r="I68" s="21" t="str">
        <x:v>A bounded hot-weather or heatwave event.</x:v>
      </x:c>
      <x:c r="J68" s="21" t="str">
        <x:v>FT-LF-Q-BA26E96606CA</x:v>
      </x:c>
      <x:c r="K68" s="22" t="str">
        <x:v>heat</x:v>
      </x:c>
      <x:c r="L68" s="21" t="str">
        <x:v>FT-F02</x:v>
      </x:c>
      <x:c r="M68" s="22" t="str">
        <x:v>A</x:v>
      </x:c>
      <x:c r="N68" s="22" t="str">
        <x:v>V1</x:v>
      </x:c>
      <x:c r="O68" s="22" t="str">
        <x:v>E5</x:v>
      </x:c>
      <x:c r="P68" s="21" t="str">
        <x:v>RECONSTRUCTED_FROM_REPORT; Fear of Temperature_ Stratified Lexical Expansion, Voice Mapping, and Semantic-Relational Pre-Valida.pdf; p.9; project candidate FT-SEED-R1B-P-1988-07; original visible ID not available</x:v>
      </x:c>
      <x:c r="Q68" s="21" t="str">
        <x:v>FT-NGM-BA26E96606CA5C</x:v>
      </x:c>
      <x:c r="R68" s="21" t="str">
        <x:v>regional heat waves</x:v>
      </x:c>
      <x:c r="S68" s="22" t="str">
        <x:v>EXACT</x:v>
      </x:c>
      <x:c r="T68" s="21" t="str">
        <x:v>FT-Q-V01-047</x:v>
      </x:c>
      <x:c r="U68" s="21" t="str">
        <x:v>Candidate surface form is directly representable in the public Ngram interface.</x:v>
      </x:c>
      <x:c r="V68" s="21" t="str">
        <x:v>Fear of Temperature_ Stratified Lexical Expansion, Voice Mapping, and Semantic-Relational Pre-Valida.pdf</x:v>
      </x:c>
      <x:c r="W68" s="21" t="str">
        <x:v>9</x:v>
      </x:c>
      <x:c r="X68" s="23" t="str">
        <x:v>RECONSTRUCTED_FROM_REPORT</x:v>
      </x:c>
    </x:row>
    <x:row r="69" ht="19" customHeight="1">
      <x:c r="A69" s="20" t="str">
        <x:v>FT-SEED-R1B-P-1988-08</x:v>
      </x:c>
      <x:c r="B69" s="21" t="str">
        <x:v>FT-A1988</x:v>
      </x:c>
      <x:c r="C69" s="22" t="str">
        <x:v>1988</x:v>
      </x:c>
      <x:c r="D69" s="22" t="str">
        <x:v>8</x:v>
      </x:c>
      <x:c r="E69" s="21" t="str">
        <x:v>heat wave</x:v>
      </x:c>
      <x:c r="F69" s="21" t="str">
        <x:v>heat wave</x:v>
      </x:c>
      <x:c r="G69" s="21" t="str">
        <x:v>heatwave / weather event</x:v>
      </x:c>
      <x:c r="H69" s="21" t="str">
        <x:v>FT-C-HEATWAVE_WEATHER_EVENT</x:v>
      </x:c>
      <x:c r="I69" s="21" t="str">
        <x:v>A bounded hot-weather or heatwave event.</x:v>
      </x:c>
      <x:c r="J69" s="21" t="str">
        <x:v>FT-LF-HEAT_WAVE</x:v>
      </x:c>
      <x:c r="K69" s="22" t="str">
        <x:v>heat</x:v>
      </x:c>
      <x:c r="L69" s="21" t="str">
        <x:v>FT-F02</x:v>
      </x:c>
      <x:c r="M69" s="22" t="str">
        <x:v>A</x:v>
      </x:c>
      <x:c r="N69" s="22" t="str">
        <x:v>V1</x:v>
      </x:c>
      <x:c r="O69" s="22" t="str">
        <x:v>E5</x:v>
      </x:c>
      <x:c r="P69" s="21" t="str">
        <x:v>RECONSTRUCTED_FROM_REPORT; Fear of Temperature_ Stratified Lexical Expansion, Voice Mapping, and Semantic-Relational Pre-Valida.pdf; p.9; project candidate FT-SEED-R1B-P-1988-08; original visible ID not available</x:v>
      </x:c>
      <x:c r="Q69" s="21" t="str">
        <x:v>FT-NGM-98E3D0B6FAAEFE</x:v>
      </x:c>
      <x:c r="R69" s="21" t="str">
        <x:v>heat wave</x:v>
      </x:c>
      <x:c r="S69" s="22" t="str">
        <x:v>EXACT</x:v>
      </x:c>
      <x:c r="T69" s="21" t="str">
        <x:v>FT-Q-V01-048</x:v>
      </x:c>
      <x:c r="U69" s="21" t="str">
        <x:v>Candidate surface form is directly representable in the public Ngram interface.</x:v>
      </x:c>
      <x:c r="V69" s="21" t="str">
        <x:v>Fear of Temperature_ Stratified Lexical Expansion, Voice Mapping, and Semantic-Relational Pre-Valida.pdf</x:v>
      </x:c>
      <x:c r="W69" s="21" t="str">
        <x:v>9</x:v>
      </x:c>
      <x:c r="X69" s="23" t="str">
        <x:v>RECONSTRUCTED_FROM_REPORT</x:v>
      </x:c>
    </x:row>
    <x:row r="70" ht="19" customHeight="1">
      <x:c r="A70" s="20" t="str">
        <x:v>FT-SEED-R1B-P-1988-09</x:v>
      </x:c>
      <x:c r="B70" s="21" t="str">
        <x:v>FT-A1988</x:v>
      </x:c>
      <x:c r="C70" s="22" t="str">
        <x:v>1988</x:v>
      </x:c>
      <x:c r="D70" s="22" t="str">
        <x:v>9</x:v>
      </x:c>
      <x:c r="E70" s="21" t="str">
        <x:v>drought</x:v>
      </x:c>
      <x:c r="F70" s="21" t="str">
        <x:v>drought</x:v>
      </x:c>
      <x:c r="G70" s="21" t="str">
        <x:v>generic damage</x:v>
      </x:c>
      <x:c r="H70" s="21" t="str">
        <x:v>FT-C-GENERIC_DAMAGE</x:v>
      </x:c>
      <x:c r="I70" s="21" t="str">
        <x:v>Generic material, ecological, or social damage.</x:v>
      </x:c>
      <x:c r="J70" s="21" t="str">
        <x:v>FT-LF-Q-CAAED8C4EB8D</x:v>
      </x:c>
      <x:c r="K70" s="22" t="str">
        <x:v>harm_loss_consequences</x:v>
      </x:c>
      <x:c r="L70" s="21" t="str">
        <x:v>FT-F14</x:v>
      </x:c>
      <x:c r="M70" s="22" t="str">
        <x:v>D</x:v>
      </x:c>
      <x:c r="N70" s="22" t="str">
        <x:v>V1</x:v>
      </x:c>
      <x:c r="O70" s="22" t="str">
        <x:v>E5</x:v>
      </x:c>
      <x:c r="P70" s="21" t="str">
        <x:v>RECONSTRUCTED_FROM_REPORT; Fear of Temperature_ Stratified Lexical Expansion, Voice Mapping, and Semantic-Relational Pre-Valida.pdf; p.9; project candidate FT-SEED-R1B-P-1988-09; original visible ID not available</x:v>
      </x:c>
      <x:c r="Q70" s="21" t="str">
        <x:v>FT-NGM-CAAED8C4EB8DFE</x:v>
      </x:c>
      <x:c r="R70" s="21" t="str">
        <x:v>drought</x:v>
      </x:c>
      <x:c r="S70" s="22" t="str">
        <x:v>EXACT</x:v>
      </x:c>
      <x:c r="T70" s="21" t="str">
        <x:v>FT-Q-V01-049</x:v>
      </x:c>
      <x:c r="U70" s="21" t="str">
        <x:v>Candidate surface form is directly representable in the public Ngram interface.</x:v>
      </x:c>
      <x:c r="V70" s="21" t="str">
        <x:v>Fear of Temperature_ Stratified Lexical Expansion, Voice Mapping, and Semantic-Relational Pre-Valida.pdf</x:v>
      </x:c>
      <x:c r="W70" s="21" t="str">
        <x:v>9</x:v>
      </x:c>
      <x:c r="X70" s="23" t="str">
        <x:v>RECONSTRUCTED_FROM_REPORT</x:v>
      </x:c>
    </x:row>
    <x:row r="71" ht="19" customHeight="1">
      <x:c r="A71" s="20" t="str">
        <x:v>FT-SEED-R1B-P-1988-10</x:v>
      </x:c>
      <x:c r="B71" s="21" t="str">
        <x:v>FT-A1988</x:v>
      </x:c>
      <x:c r="C71" s="22" t="str">
        <x:v>1988</x:v>
      </x:c>
      <x:c r="D71" s="22" t="str">
        <x:v>10</x:v>
      </x:c>
      <x:c r="E71" s="21" t="str">
        <x:v>heat wave/drought occurrences</x:v>
      </x:c>
      <x:c r="F71" s="21" t="str">
        <x:v>heat wave/drought occurrences</x:v>
      </x:c>
      <x:c r="G71" s="21" t="str">
        <x:v>heatwave / weather event</x:v>
      </x:c>
      <x:c r="H71" s="21" t="str">
        <x:v>FT-C-HEATWAVE_WEATHER_EVENT</x:v>
      </x:c>
      <x:c r="I71" s="21" t="str">
        <x:v>A bounded hot-weather or heatwave event.</x:v>
      </x:c>
      <x:c r="J71" s="21" t="str">
        <x:v>FT-LF-Q-D65DF35EA069</x:v>
      </x:c>
      <x:c r="K71" s="22" t="str">
        <x:v>heat</x:v>
      </x:c>
      <x:c r="L71" s="21" t="str">
        <x:v>FT-F02</x:v>
      </x:c>
      <x:c r="M71" s="22" t="str">
        <x:v>D</x:v>
      </x:c>
      <x:c r="N71" s="22" t="str">
        <x:v>V1</x:v>
      </x:c>
      <x:c r="O71" s="22" t="str">
        <x:v>E5</x:v>
      </x:c>
      <x:c r="P71" s="21" t="str">
        <x:v>RECONSTRUCTED_FROM_REPORT; Fear of Temperature_ Stratified Lexical Expansion, Voice Mapping, and Semantic-Relational Pre-Valida.pdf; p.9; project candidate FT-SEED-R1B-P-1988-10; original visible ID not available</x:v>
      </x:c>
      <x:c r="Q71" s="21" t="str"/>
      <x:c r="R71" s="21" t="str"/>
      <x:c r="S71" s="22" t="str">
        <x:v>TECHNICALLY_UNREPRESENTABLE</x:v>
      </x:c>
      <x:c r="T71" s="21" t="str">
        <x:v>FT-Q-V01-050</x:v>
      </x:c>
      <x:c r="U71" s="21" t="str">
        <x:v>The slash coordinates two lexical objects; one linear Ngram would change the candidate's structure and sense.</x:v>
      </x:c>
      <x:c r="V71" s="21" t="str">
        <x:v>Fear of Temperature_ Stratified Lexical Expansion, Voice Mapping, and Semantic-Relational Pre-Valida.pdf</x:v>
      </x:c>
      <x:c r="W71" s="21" t="str">
        <x:v>9</x:v>
      </x:c>
      <x:c r="X71" s="23" t="str">
        <x:v>RECONSTRUCTED_FROM_REPORT</x:v>
      </x:c>
    </x:row>
    <x:row r="72" ht="19" customHeight="1">
      <x:c r="A72" s="20" t="str">
        <x:v>FT-SEED-R1B-P-1988-11</x:v>
      </x:c>
      <x:c r="B72" s="21" t="str">
        <x:v>FT-A1988</x:v>
      </x:c>
      <x:c r="C72" s="22" t="str">
        <x:v>1988</x:v>
      </x:c>
      <x:c r="D72" s="22" t="str">
        <x:v>11</x:v>
      </x:c>
      <x:c r="E72" s="21" t="str">
        <x:v>extreme events</x:v>
      </x:c>
      <x:c r="F72" s="21" t="str">
        <x:v>extreme events</x:v>
      </x:c>
      <x:c r="G72" s="21" t="str">
        <x:v>generic damage</x:v>
      </x:c>
      <x:c r="H72" s="21" t="str">
        <x:v>FT-C-GENERIC_DAMAGE</x:v>
      </x:c>
      <x:c r="I72" s="21" t="str">
        <x:v>Generic material, ecological, or social damage.</x:v>
      </x:c>
      <x:c r="J72" s="21" t="str">
        <x:v>FT-LF-Q-7C209F863FA4</x:v>
      </x:c>
      <x:c r="K72" s="22" t="str">
        <x:v>harm_loss_consequences</x:v>
      </x:c>
      <x:c r="L72" s="21" t="str">
        <x:v>FT-F14</x:v>
      </x:c>
      <x:c r="M72" s="22" t="str">
        <x:v>D</x:v>
      </x:c>
      <x:c r="N72" s="22" t="str">
        <x:v>V1</x:v>
      </x:c>
      <x:c r="O72" s="22" t="str">
        <x:v>E5</x:v>
      </x:c>
      <x:c r="P72" s="21" t="str">
        <x:v>RECONSTRUCTED_FROM_REPORT; Fear of Temperature_ Stratified Lexical Expansion, Voice Mapping, and Semantic-Relational Pre-Valida.pdf; p.9; project candidate FT-SEED-R1B-P-1988-11; original visible ID not available</x:v>
      </x:c>
      <x:c r="Q72" s="21" t="str">
        <x:v>FT-NGM-7C209F863FA4C8</x:v>
      </x:c>
      <x:c r="R72" s="21" t="str">
        <x:v>extreme events</x:v>
      </x:c>
      <x:c r="S72" s="22" t="str">
        <x:v>EXACT</x:v>
      </x:c>
      <x:c r="T72" s="21" t="str">
        <x:v>FT-Q-V01-051</x:v>
      </x:c>
      <x:c r="U72" s="21" t="str">
        <x:v>Candidate surface form is directly representable in the public Ngram interface.</x:v>
      </x:c>
      <x:c r="V72" s="21" t="str">
        <x:v>Fear of Temperature_ Stratified Lexical Expansion, Voice Mapping, and Semantic-Relational Pre-Valida.pdf</x:v>
      </x:c>
      <x:c r="W72" s="21" t="str">
        <x:v>9</x:v>
      </x:c>
      <x:c r="X72" s="23" t="str">
        <x:v>RECONSTRUCTED_FROM_REPORT</x:v>
      </x:c>
    </x:row>
    <x:row r="73" ht="19" customHeight="1">
      <x:c r="A73" s="20" t="str">
        <x:v>FT-SEED-R1B-P-1988-12</x:v>
      </x:c>
      <x:c r="B73" s="21" t="str">
        <x:v>FT-A1988</x:v>
      </x:c>
      <x:c r="C73" s="22" t="str">
        <x:v>1988</x:v>
      </x:c>
      <x:c r="D73" s="22" t="str">
        <x:v>12</x:v>
      </x:c>
      <x:c r="E73" s="21" t="str">
        <x:v>global climate models</x:v>
      </x:c>
      <x:c r="F73" s="21" t="str">
        <x:v>global climate models</x:v>
      </x:c>
      <x:c r="G73" s="21" t="str">
        <x:v>climate system</x:v>
      </x:c>
      <x:c r="H73" s="21" t="str">
        <x:v>FT-C-CLIMATE_SYSTEM</x:v>
      </x:c>
      <x:c r="I73" s="21" t="str">
        <x:v>The coupled physical climate system.</x:v>
      </x:c>
      <x:c r="J73" s="21" t="str">
        <x:v>FT-LF-Q-372075C1CEE4</x:v>
      </x:c>
      <x:c r="K73" s="22" t="str">
        <x:v>climate</x:v>
      </x:c>
      <x:c r="L73" s="21" t="str">
        <x:v>FT-F04</x:v>
      </x:c>
      <x:c r="M73" s="22" t="str">
        <x:v>B</x:v>
      </x:c>
      <x:c r="N73" s="22" t="str">
        <x:v>V1</x:v>
      </x:c>
      <x:c r="O73" s="22" t="str">
        <x:v>E5</x:v>
      </x:c>
      <x:c r="P73" s="21" t="str">
        <x:v>RECONSTRUCTED_FROM_REPORT; Fear of Temperature_ Stratified Lexical Expansion, Voice Mapping, and Semantic-Relational Pre-Valida.pdf; p.9; project candidate FT-SEED-R1B-P-1988-12; original visible ID not available</x:v>
      </x:c>
      <x:c r="Q73" s="21" t="str">
        <x:v>FT-NGM-372075C1CEE470</x:v>
      </x:c>
      <x:c r="R73" s="21" t="str">
        <x:v>global climate models</x:v>
      </x:c>
      <x:c r="S73" s="22" t="str">
        <x:v>EXACT</x:v>
      </x:c>
      <x:c r="T73" s="21" t="str">
        <x:v>FT-Q-V01-052</x:v>
      </x:c>
      <x:c r="U73" s="21" t="str">
        <x:v>Candidate surface form is directly representable in the public Ngram interface.</x:v>
      </x:c>
      <x:c r="V73" s="21" t="str">
        <x:v>Fear of Temperature_ Stratified Lexical Expansion, Voice Mapping, and Semantic-Relational Pre-Valida.pdf</x:v>
      </x:c>
      <x:c r="W73" s="21" t="str">
        <x:v>9</x:v>
      </x:c>
      <x:c r="X73" s="23" t="str">
        <x:v>RECONSTRUCTED_FROM_REPORT</x:v>
      </x:c>
    </x:row>
    <x:row r="74" ht="19" customHeight="1">
      <x:c r="A74" s="20" t="str">
        <x:v>FT-SEED-R1B-P-1988-13</x:v>
      </x:c>
      <x:c r="B74" s="21" t="str">
        <x:v>FT-A1988</x:v>
      </x:c>
      <x:c r="C74" s="22" t="str">
        <x:v>1988</x:v>
      </x:c>
      <x:c r="D74" s="22" t="str">
        <x:v>13</x:v>
      </x:c>
      <x:c r="E74" s="21" t="str">
        <x:v>global observations</x:v>
      </x:c>
      <x:c r="F74" s="21" t="str">
        <x:v>global observations</x:v>
      </x:c>
      <x:c r="G74" s="21" t="str">
        <x:v>historical climate / climatological condition</x:v>
      </x:c>
      <x:c r="H74" s="21" t="str">
        <x:v>FT-C-HISTORICAL_CLIMATE_CONDITION</x:v>
      </x:c>
      <x:c r="I74" s="21" t="str">
        <x:v>Climate as a historical, geographical, seasonal, or climatological condition.</x:v>
      </x:c>
      <x:c r="J74" s="21" t="str">
        <x:v>FT-LF-Q-71FFD1E98C28</x:v>
      </x:c>
      <x:c r="K74" s="22" t="str">
        <x:v>climate</x:v>
      </x:c>
      <x:c r="L74" s="21" t="str">
        <x:v>FT-F04</x:v>
      </x:c>
      <x:c r="M74" s="22" t="str">
        <x:v>B</x:v>
      </x:c>
      <x:c r="N74" s="22" t="str">
        <x:v>V1</x:v>
      </x:c>
      <x:c r="O74" s="22" t="str">
        <x:v>E5</x:v>
      </x:c>
      <x:c r="P74" s="21" t="str">
        <x:v>RECONSTRUCTED_FROM_REPORT; Fear of Temperature_ Stratified Lexical Expansion, Voice Mapping, and Semantic-Relational Pre-Valida.pdf; p.9; project candidate FT-SEED-R1B-P-1988-13; original visible ID not available</x:v>
      </x:c>
      <x:c r="Q74" s="21" t="str">
        <x:v>FT-NGM-71FFD1E98C285E</x:v>
      </x:c>
      <x:c r="R74" s="21" t="str">
        <x:v>global observations</x:v>
      </x:c>
      <x:c r="S74" s="22" t="str">
        <x:v>EXACT</x:v>
      </x:c>
      <x:c r="T74" s="21" t="str">
        <x:v>FT-Q-V01-053</x:v>
      </x:c>
      <x:c r="U74" s="21" t="str">
        <x:v>Candidate surface form is directly representable in the public Ngram interface.</x:v>
      </x:c>
      <x:c r="V74" s="21" t="str">
        <x:v>Fear of Temperature_ Stratified Lexical Expansion, Voice Mapping, and Semantic-Relational Pre-Valida.pdf</x:v>
      </x:c>
      <x:c r="W74" s="21" t="str">
        <x:v>9</x:v>
      </x:c>
      <x:c r="X74" s="23" t="str">
        <x:v>RECONSTRUCTED_FROM_REPORT</x:v>
      </x:c>
    </x:row>
    <x:row r="75" ht="19" customHeight="1">
      <x:c r="A75" s="20" t="str">
        <x:v>FT-SEED-R1B-P-1988-14</x:v>
      </x:c>
      <x:c r="B75" s="21" t="str">
        <x:v>FT-A1988</x:v>
      </x:c>
      <x:c r="C75" s="22" t="str">
        <x:v>1988</x:v>
      </x:c>
      <x:c r="D75" s="22" t="str">
        <x:v>14</x:v>
      </x:c>
      <x:c r="E75" s="21" t="str">
        <x:v>warm air</x:v>
      </x:c>
      <x:c r="F75" s="21" t="str">
        <x:v>warm air</x:v>
      </x:c>
      <x:c r="G75" s="21" t="str">
        <x:v>local / instrumental temperature</x:v>
      </x:c>
      <x:c r="H75" s="21" t="str">
        <x:v>FT-C-LOCAL_INSTRUMENTAL_TEMPERATURE</x:v>
      </x:c>
      <x:c r="I75" s="21" t="str">
        <x:v>A local or instrument-specific temperature reading.</x:v>
      </x:c>
      <x:c r="J75" s="21" t="str">
        <x:v>FT-LF-Q-D7C73CC693A5</x:v>
      </x:c>
      <x:c r="K75" s="22" t="str">
        <x:v>temperature_threshold</x:v>
      </x:c>
      <x:c r="L75" s="21" t="str">
        <x:v>FT-F01</x:v>
      </x:c>
      <x:c r="M75" s="22" t="str">
        <x:v>A</x:v>
      </x:c>
      <x:c r="N75" s="22" t="str">
        <x:v>V1</x:v>
      </x:c>
      <x:c r="O75" s="22" t="str">
        <x:v>E5</x:v>
      </x:c>
      <x:c r="P75" s="21" t="str">
        <x:v>RECONSTRUCTED_FROM_REPORT; Fear of Temperature_ Stratified Lexical Expansion, Voice Mapping, and Semantic-Relational Pre-Valida.pdf; p.9; project candidate FT-SEED-R1B-P-1988-14; original visible ID not available</x:v>
      </x:c>
      <x:c r="Q75" s="21" t="str">
        <x:v>FT-NGM-D7C73CC693A531</x:v>
      </x:c>
      <x:c r="R75" s="21" t="str">
        <x:v>warm air</x:v>
      </x:c>
      <x:c r="S75" s="22" t="str">
        <x:v>EXACT</x:v>
      </x:c>
      <x:c r="T75" s="21" t="str">
        <x:v>FT-Q-V01-054</x:v>
      </x:c>
      <x:c r="U75" s="21" t="str">
        <x:v>Candidate surface form is directly representable in the public Ngram interface.</x:v>
      </x:c>
      <x:c r="V75" s="21" t="str">
        <x:v>Fear of Temperature_ Stratified Lexical Expansion, Voice Mapping, and Semantic-Relational Pre-Valida.pdf</x:v>
      </x:c>
      <x:c r="W75" s="21" t="str">
        <x:v>9</x:v>
      </x:c>
      <x:c r="X75" s="23" t="str">
        <x:v>RECONSTRUCTED_FROM_REPORT</x:v>
      </x:c>
    </x:row>
    <x:row r="76" ht="19" customHeight="1">
      <x:c r="A76" s="20" t="str">
        <x:v>FT-SEED-R1B-P-1988-15</x:v>
      </x:c>
      <x:c r="B76" s="21" t="str">
        <x:v>FT-A1988</x:v>
      </x:c>
      <x:c r="C76" s="22" t="str">
        <x:v>1988</x:v>
      </x:c>
      <x:c r="D76" s="22" t="str">
        <x:v>15</x:v>
      </x:c>
      <x:c r="E76" s="21" t="str">
        <x:v>changing atmosphere</x:v>
      </x:c>
      <x:c r="F76" s="21" t="str">
        <x:v>changing atmosphere</x:v>
      </x:c>
      <x:c r="G76" s="21" t="str">
        <x:v>changing atmosphere</x:v>
      </x:c>
      <x:c r="H76" s="21" t="str">
        <x:v>FT-C-CHANGING_ATMOSPHERE</x:v>
      </x:c>
      <x:c r="I76" s="21" t="str">
        <x:v>Atmospheric change framed as a climatic or institutional problem.</x:v>
      </x:c>
      <x:c r="J76" s="21" t="str">
        <x:v>FT-LF-CHANGING_ATMOSPHERE</x:v>
      </x:c>
      <x:c r="K76" s="22" t="str">
        <x:v>climate</x:v>
      </x:c>
      <x:c r="L76" s="21" t="str">
        <x:v>FT-F04</x:v>
      </x:c>
      <x:c r="M76" s="22" t="str">
        <x:v>B</x:v>
      </x:c>
      <x:c r="N76" s="22" t="str">
        <x:v>V2</x:v>
      </x:c>
      <x:c r="O76" s="22" t="str">
        <x:v>E5</x:v>
      </x:c>
      <x:c r="P76" s="21" t="str">
        <x:v>RECONSTRUCTED_FROM_REPORT; Fear of Temperature_ Stratified Lexical Expansion, Voice Mapping, and Semantic-Relational Pre-Valida.pdf; p.9; project candidate FT-SEED-R1B-P-1988-15; original visible ID not available</x:v>
      </x:c>
      <x:c r="Q76" s="21" t="str">
        <x:v>FT-NGM-57874667F4B55E</x:v>
      </x:c>
      <x:c r="R76" s="21" t="str">
        <x:v>changing atmosphere</x:v>
      </x:c>
      <x:c r="S76" s="22" t="str">
        <x:v>EXACT</x:v>
      </x:c>
      <x:c r="T76" s="21" t="str">
        <x:v>FT-Q-V01-055</x:v>
      </x:c>
      <x:c r="U76" s="21" t="str">
        <x:v>Candidate surface form is directly representable in the public Ngram interface.</x:v>
      </x:c>
      <x:c r="V76" s="21" t="str">
        <x:v>Fear of Temperature_ Stratified Lexical Expansion, Voice Mapping, and Semantic-Relational Pre-Valida.pdf</x:v>
      </x:c>
      <x:c r="W76" s="21" t="str">
        <x:v>9</x:v>
      </x:c>
      <x:c r="X76" s="23" t="str">
        <x:v>RECONSTRUCTED_FROM_REPORT</x:v>
      </x:c>
    </x:row>
    <x:row r="77" ht="19" customHeight="1">
      <x:c r="A77" s="20" t="str">
        <x:v>FT-SEED-R1B-P-1988-16</x:v>
      </x:c>
      <x:c r="B77" s="21" t="str">
        <x:v>FT-A1988</x:v>
      </x:c>
      <x:c r="C77" s="22" t="str">
        <x:v>1988</x:v>
      </x:c>
      <x:c r="D77" s="22" t="str">
        <x:v>16</x:v>
      </x:c>
      <x:c r="E77" s="21" t="str">
        <x:v>global security</x:v>
      </x:c>
      <x:c r="F77" s="21" t="str">
        <x:v>global security</x:v>
      </x:c>
      <x:c r="G77" s="21" t="str">
        <x:v>global security frame</x:v>
      </x:c>
      <x:c r="H77" s="21" t="str">
        <x:v>FT-C-GLOBAL_SECURITY_FRAME</x:v>
      </x:c>
      <x:c r="I77" s="21" t="str">
        <x:v>Atmospheric or climatic change framed as a global-security matter.</x:v>
      </x:c>
      <x:c r="J77" s="21" t="str">
        <x:v>FT-LF-GLOBAL_SECURITY</x:v>
      </x:c>
      <x:c r="K77" s="22" t="str">
        <x:v>danger_threat</x:v>
      </x:c>
      <x:c r="L77" s="21" t="str">
        <x:v>FT-F11</x:v>
      </x:c>
      <x:c r="M77" s="22" t="str">
        <x:v>D</x:v>
      </x:c>
      <x:c r="N77" s="22" t="str">
        <x:v>V2</x:v>
      </x:c>
      <x:c r="O77" s="22" t="str">
        <x:v>E1</x:v>
      </x:c>
      <x:c r="P77" s="21" t="str">
        <x:v>RECONSTRUCTED_FROM_REPORT; Fear of Temperature_ Stratified Lexical Expansion, Voice Mapping, and Semantic-Relational Pre-Valida.pdf; p.9; project candidate FT-SEED-R1B-P-1988-16; original visible ID not available</x:v>
      </x:c>
      <x:c r="Q77" s="21" t="str">
        <x:v>FT-NGM-1DB72D64E86B3F</x:v>
      </x:c>
      <x:c r="R77" s="21" t="str">
        <x:v>global security</x:v>
      </x:c>
      <x:c r="S77" s="22" t="str">
        <x:v>EXACT</x:v>
      </x:c>
      <x:c r="T77" s="21" t="str">
        <x:v>FT-Q-V01-056</x:v>
      </x:c>
      <x:c r="U77" s="21" t="str">
        <x:v>Candidate surface form is directly representable in the public Ngram interface.</x:v>
      </x:c>
      <x:c r="V77" s="21" t="str">
        <x:v>Fear of Temperature_ Stratified Lexical Expansion, Voice Mapping, and Semantic-Relational Pre-Valida.pdf</x:v>
      </x:c>
      <x:c r="W77" s="21" t="str">
        <x:v>9</x:v>
      </x:c>
      <x:c r="X77" s="23" t="str">
        <x:v>RECONSTRUCTED_FROM_REPORT</x:v>
      </x:c>
    </x:row>
    <x:row r="78" ht="19" customHeight="1">
      <x:c r="A78" s="20" t="str">
        <x:v>FT-SEED-R1B-P-1988-17</x:v>
      </x:c>
      <x:c r="B78" s="21" t="str">
        <x:v>FT-A1988</x:v>
      </x:c>
      <x:c r="C78" s="22" t="str">
        <x:v>1988</x:v>
      </x:c>
      <x:c r="D78" s="22" t="str">
        <x:v>17</x:v>
      </x:c>
      <x:c r="E78" s="21" t="str">
        <x:v>climate warming</x:v>
      </x:c>
      <x:c r="F78" s="21" t="str">
        <x:v>climate warming</x:v>
      </x:c>
      <x:c r="G78" s="21" t="str">
        <x:v>climate-system warming</x:v>
      </x:c>
      <x:c r="H78" s="21" t="str">
        <x:v>FT-C-CLIMATE_SYSTEM_WARMING</x:v>
      </x:c>
      <x:c r="I78" s="21" t="str">
        <x:v>Warming attributed to or observed across the climate system.</x:v>
      </x:c>
      <x:c r="J78" s="21" t="str">
        <x:v>FT-LF-Q-414A5E4ACC4C</x:v>
      </x:c>
      <x:c r="K78" s="22" t="str">
        <x:v>warming</x:v>
      </x:c>
      <x:c r="L78" s="21" t="str">
        <x:v>FT-F03</x:v>
      </x:c>
      <x:c r="M78" s="22" t="str">
        <x:v>A</x:v>
      </x:c>
      <x:c r="N78" s="22" t="str">
        <x:v>V2</x:v>
      </x:c>
      <x:c r="O78" s="22" t="str">
        <x:v>E5</x:v>
      </x:c>
      <x:c r="P78" s="21" t="str">
        <x:v>RECONSTRUCTED_FROM_REPORT; Fear of Temperature_ Stratified Lexical Expansion, Voice Mapping, and Semantic-Relational Pre-Valida.pdf; p.9; project candidate FT-SEED-R1B-P-1988-17; original visible ID not available</x:v>
      </x:c>
      <x:c r="Q78" s="21" t="str">
        <x:v>FT-NGM-414A5E4ACC4C18</x:v>
      </x:c>
      <x:c r="R78" s="21" t="str">
        <x:v>climate warming</x:v>
      </x:c>
      <x:c r="S78" s="22" t="str">
        <x:v>EXACT</x:v>
      </x:c>
      <x:c r="T78" s="21" t="str">
        <x:v>FT-Q-V01-057</x:v>
      </x:c>
      <x:c r="U78" s="21" t="str">
        <x:v>Candidate surface form is directly representable in the public Ngram interface.</x:v>
      </x:c>
      <x:c r="V78" s="21" t="str">
        <x:v>Fear of Temperature_ Stratified Lexical Expansion, Voice Mapping, and Semantic-Relational Pre-Valida.pdf</x:v>
      </x:c>
      <x:c r="W78" s="21" t="str">
        <x:v>9</x:v>
      </x:c>
      <x:c r="X78" s="23" t="str">
        <x:v>RECONSTRUCTED_FROM_REPORT</x:v>
      </x:c>
    </x:row>
    <x:row r="79" ht="19" customHeight="1">
      <x:c r="A79" s="20" t="str">
        <x:v>FT-SEED-R1B-P-1988-18</x:v>
      </x:c>
      <x:c r="B79" s="21" t="str">
        <x:v>FT-A1988</x:v>
      </x:c>
      <x:c r="C79" s="22" t="str">
        <x:v>1988</x:v>
      </x:c>
      <x:c r="D79" s="22" t="str">
        <x:v>18</x:v>
      </x:c>
      <x:c r="E79" s="21" t="str">
        <x:v>changed climatic extremes</x:v>
      </x:c>
      <x:c r="F79" s="21" t="str">
        <x:v>changed climatic extremes</x:v>
      </x:c>
      <x:c r="G79" s="21" t="str">
        <x:v>generic damage</x:v>
      </x:c>
      <x:c r="H79" s="21" t="str">
        <x:v>FT-C-GENERIC_DAMAGE</x:v>
      </x:c>
      <x:c r="I79" s="21" t="str">
        <x:v>Generic material, ecological, or social damage.</x:v>
      </x:c>
      <x:c r="J79" s="21" t="str">
        <x:v>FT-LF-Q-835D1B2C62F6</x:v>
      </x:c>
      <x:c r="K79" s="22" t="str">
        <x:v>harm_loss_consequences</x:v>
      </x:c>
      <x:c r="L79" s="21" t="str">
        <x:v>FT-F14</x:v>
      </x:c>
      <x:c r="M79" s="22" t="str">
        <x:v>D</x:v>
      </x:c>
      <x:c r="N79" s="22" t="str">
        <x:v>V2</x:v>
      </x:c>
      <x:c r="O79" s="22" t="str">
        <x:v>E5</x:v>
      </x:c>
      <x:c r="P79" s="21" t="str">
        <x:v>RECONSTRUCTED_FROM_REPORT; Fear of Temperature_ Stratified Lexical Expansion, Voice Mapping, and Semantic-Relational Pre-Valida.pdf; p.9; project candidate FT-SEED-R1B-P-1988-18; original visible ID not available</x:v>
      </x:c>
      <x:c r="Q79" s="21" t="str">
        <x:v>FT-NGM-835D1B2C62F606</x:v>
      </x:c>
      <x:c r="R79" s="21" t="str">
        <x:v>changed climatic extremes</x:v>
      </x:c>
      <x:c r="S79" s="22" t="str">
        <x:v>EXACT</x:v>
      </x:c>
      <x:c r="T79" s="21" t="str">
        <x:v>FT-Q-V01-058</x:v>
      </x:c>
      <x:c r="U79" s="21" t="str">
        <x:v>Candidate surface form is directly representable in the public Ngram interface.</x:v>
      </x:c>
      <x:c r="V79" s="21" t="str">
        <x:v>Fear of Temperature_ Stratified Lexical Expansion, Voice Mapping, and Semantic-Relational Pre-Valida.pdf</x:v>
      </x:c>
      <x:c r="W79" s="21" t="str">
        <x:v>9</x:v>
      </x:c>
      <x:c r="X79" s="23" t="str">
        <x:v>RECONSTRUCTED_FROM_REPORT</x:v>
      </x:c>
    </x:row>
    <x:row r="80" ht="19" customHeight="1">
      <x:c r="A80" s="20" t="str">
        <x:v>FT-SEED-R1B-P-1988-19</x:v>
      </x:c>
      <x:c r="B80" s="21" t="str">
        <x:v>FT-A1988</x:v>
      </x:c>
      <x:c r="C80" s="22" t="str">
        <x:v>1988</x:v>
      </x:c>
      <x:c r="D80" s="22" t="str">
        <x:v>19</x:v>
      </x:c>
      <x:c r="E80" s="21" t="str">
        <x:v>major threat</x:v>
      </x:c>
      <x:c r="F80" s="21" t="str">
        <x:v>major threat</x:v>
      </x:c>
      <x:c r="G80" s="21" t="str">
        <x:v>institutional climate threat</x:v>
      </x:c>
      <x:c r="H80" s="21" t="str">
        <x:v>FT-C-INSTITUTIONAL_CLIMATE_THREAT</x:v>
      </x:c>
      <x:c r="I80" s="21" t="str">
        <x:v>Climate change framed as an institutional threat.</x:v>
      </x:c>
      <x:c r="J80" s="21" t="str">
        <x:v>FT-LF-Q-D9F4E03ECD3C</x:v>
      </x:c>
      <x:c r="K80" s="22" t="str">
        <x:v>danger_threat</x:v>
      </x:c>
      <x:c r="L80" s="21" t="str">
        <x:v>FT-F11</x:v>
      </x:c>
      <x:c r="M80" s="22" t="str">
        <x:v>D</x:v>
      </x:c>
      <x:c r="N80" s="22" t="str">
        <x:v>V2</x:v>
      </x:c>
      <x:c r="O80" s="22" t="str">
        <x:v>E5</x:v>
      </x:c>
      <x:c r="P80" s="21" t="str">
        <x:v>RECONSTRUCTED_FROM_REPORT; Fear of Temperature_ Stratified Lexical Expansion, Voice Mapping, and Semantic-Relational Pre-Valida.pdf; p.9; project candidate FT-SEED-R1B-P-1988-19; original visible ID not available</x:v>
      </x:c>
      <x:c r="Q80" s="21" t="str">
        <x:v>FT-NGM-D9F4E03ECD3C19</x:v>
      </x:c>
      <x:c r="R80" s="21" t="str">
        <x:v>major threat</x:v>
      </x:c>
      <x:c r="S80" s="22" t="str">
        <x:v>EXACT</x:v>
      </x:c>
      <x:c r="T80" s="21" t="str">
        <x:v>FT-Q-V01-059</x:v>
      </x:c>
      <x:c r="U80" s="21" t="str">
        <x:v>Candidate surface form is directly representable in the public Ngram interface.</x:v>
      </x:c>
      <x:c r="V80" s="21" t="str">
        <x:v>Fear of Temperature_ Stratified Lexical Expansion, Voice Mapping, and Semantic-Relational Pre-Valida.pdf</x:v>
      </x:c>
      <x:c r="W80" s="21" t="str">
        <x:v>9</x:v>
      </x:c>
      <x:c r="X80" s="23" t="str">
        <x:v>RECONSTRUCTED_FROM_REPORT</x:v>
      </x:c>
    </x:row>
    <x:row r="81" ht="19" customHeight="1">
      <x:c r="A81" s="20" t="str">
        <x:v>FT-SEED-R1B-P-1988-20</x:v>
      </x:c>
      <x:c r="B81" s="21" t="str">
        <x:v>FT-A1988</x:v>
      </x:c>
      <x:c r="C81" s="22" t="str">
        <x:v>1988</x:v>
      </x:c>
      <x:c r="D81" s="22" t="str">
        <x:v>20</x:v>
      </x:c>
      <x:c r="E81" s="21" t="str">
        <x:v>harmful consequences</x:v>
      </x:c>
      <x:c r="F81" s="21" t="str">
        <x:v>harmful consequences</x:v>
      </x:c>
      <x:c r="G81" s="21" t="str">
        <x:v>generic damage</x:v>
      </x:c>
      <x:c r="H81" s="21" t="str">
        <x:v>FT-C-GENERIC_DAMAGE</x:v>
      </x:c>
      <x:c r="I81" s="21" t="str">
        <x:v>Generic material, ecological, or social damage.</x:v>
      </x:c>
      <x:c r="J81" s="21" t="str">
        <x:v>FT-LF-Q-46EB269CA604</x:v>
      </x:c>
      <x:c r="K81" s="22" t="str">
        <x:v>harm_loss_consequences</x:v>
      </x:c>
      <x:c r="L81" s="21" t="str">
        <x:v>FT-F14</x:v>
      </x:c>
      <x:c r="M81" s="22" t="str">
        <x:v>D</x:v>
      </x:c>
      <x:c r="N81" s="22" t="str">
        <x:v>V2</x:v>
      </x:c>
      <x:c r="O81" s="22" t="str">
        <x:v>E5</x:v>
      </x:c>
      <x:c r="P81" s="21" t="str">
        <x:v>RECONSTRUCTED_FROM_REPORT; Fear of Temperature_ Stratified Lexical Expansion, Voice Mapping, and Semantic-Relational Pre-Valida.pdf; p.9; project candidate FT-SEED-R1B-P-1988-20; original visible ID not available</x:v>
      </x:c>
      <x:c r="Q81" s="21" t="str">
        <x:v>FT-NGM-46EB269CA60444</x:v>
      </x:c>
      <x:c r="R81" s="21" t="str">
        <x:v>harmful consequences</x:v>
      </x:c>
      <x:c r="S81" s="22" t="str">
        <x:v>EXACT</x:v>
      </x:c>
      <x:c r="T81" s="21" t="str">
        <x:v>FT-Q-V01-060</x:v>
      </x:c>
      <x:c r="U81" s="21" t="str">
        <x:v>Candidate surface form is directly representable in the public Ngram interface.</x:v>
      </x:c>
      <x:c r="V81" s="21" t="str">
        <x:v>Fear of Temperature_ Stratified Lexical Expansion, Voice Mapping, and Semantic-Relational Pre-Valida.pdf</x:v>
      </x:c>
      <x:c r="W81" s="21" t="str">
        <x:v>9</x:v>
      </x:c>
      <x:c r="X81" s="23" t="str">
        <x:v>RECONSTRUCTED_FROM_REPORT</x:v>
      </x:c>
    </x:row>
    <x:row r="82" ht="19" customHeight="1">
      <x:c r="A82" s="20" t="str">
        <x:v>FT-SEED-R1B-P-1988-21</x:v>
      </x:c>
      <x:c r="B82" s="21" t="str">
        <x:v>FT-A1988</x:v>
      </x:c>
      <x:c r="C82" s="22" t="str">
        <x:v>1988</x:v>
      </x:c>
      <x:c r="D82" s="22" t="str">
        <x:v>21</x:v>
      </x:c>
      <x:c r="E82" s="21" t="str">
        <x:v>grave threats</x:v>
      </x:c>
      <x:c r="F82" s="21" t="str">
        <x:v>grave threats</x:v>
      </x:c>
      <x:c r="G82" s="21" t="str">
        <x:v>institutional climate threat</x:v>
      </x:c>
      <x:c r="H82" s="21" t="str">
        <x:v>FT-C-INSTITUTIONAL_CLIMATE_THREAT</x:v>
      </x:c>
      <x:c r="I82" s="21" t="str">
        <x:v>Climate change framed as an institutional threat.</x:v>
      </x:c>
      <x:c r="J82" s="21" t="str">
        <x:v>FT-LF-Q-61CB31820FF0</x:v>
      </x:c>
      <x:c r="K82" s="22" t="str">
        <x:v>danger_threat</x:v>
      </x:c>
      <x:c r="L82" s="21" t="str">
        <x:v>FT-F11</x:v>
      </x:c>
      <x:c r="M82" s="22" t="str">
        <x:v>D</x:v>
      </x:c>
      <x:c r="N82" s="22" t="str">
        <x:v>V2</x:v>
      </x:c>
      <x:c r="O82" s="22" t="str">
        <x:v>E5</x:v>
      </x:c>
      <x:c r="P82" s="21" t="str">
        <x:v>RECONSTRUCTED_FROM_REPORT; Fear of Temperature_ Stratified Lexical Expansion, Voice Mapping, and Semantic-Relational Pre-Valida.pdf; p.9; project candidate FT-SEED-R1B-P-1988-21; original visible ID not available</x:v>
      </x:c>
      <x:c r="Q82" s="21" t="str">
        <x:v>FT-NGM-61CB31820FF0E9</x:v>
      </x:c>
      <x:c r="R82" s="21" t="str">
        <x:v>grave threats</x:v>
      </x:c>
      <x:c r="S82" s="22" t="str">
        <x:v>EXACT</x:v>
      </x:c>
      <x:c r="T82" s="21" t="str">
        <x:v>FT-Q-V01-140</x:v>
      </x:c>
      <x:c r="U82" s="21" t="str">
        <x:v>Candidate surface form is directly representable in the public Ngram interface.</x:v>
      </x:c>
      <x:c r="V82" s="21" t="str">
        <x:v>Fear of Temperature_ Stratified Lexical Expansion, Voice Mapping, and Semantic-Relational Pre-Valida.pdf</x:v>
      </x:c>
      <x:c r="W82" s="21" t="str">
        <x:v>9</x:v>
      </x:c>
      <x:c r="X82" s="23" t="str">
        <x:v>RECONSTRUCTED_FROM_REPORT</x:v>
      </x:c>
    </x:row>
    <x:row r="83" ht="19" customHeight="1">
      <x:c r="A83" s="20" t="str">
        <x:v>FT-SEED-R1B-P-1988-22</x:v>
      </x:c>
      <x:c r="B83" s="21" t="str">
        <x:v>FT-A1988</x:v>
      </x:c>
      <x:c r="C83" s="22" t="str">
        <x:v>1988</x:v>
      </x:c>
      <x:c r="D83" s="22" t="str">
        <x:v>22</x:v>
      </x:c>
      <x:c r="E83" s="21" t="str">
        <x:v>severe economic and social dislocation</x:v>
      </x:c>
      <x:c r="F83" s="21" t="str">
        <x:v>severe economic and social dislocation</x:v>
      </x:c>
      <x:c r="G83" s="21" t="str">
        <x:v>generic damage</x:v>
      </x:c>
      <x:c r="H83" s="21" t="str">
        <x:v>FT-C-GENERIC_DAMAGE</x:v>
      </x:c>
      <x:c r="I83" s="21" t="str">
        <x:v>Generic material, ecological, or social damage.</x:v>
      </x:c>
      <x:c r="J83" s="21" t="str">
        <x:v>FT-LF-P180-53AFA7D9A004</x:v>
      </x:c>
      <x:c r="K83" s="22" t="str">
        <x:v>harm_loss_consequences</x:v>
      </x:c>
      <x:c r="L83" s="21" t="str">
        <x:v>FT-F14</x:v>
      </x:c>
      <x:c r="M83" s="22" t="str">
        <x:v>D</x:v>
      </x:c>
      <x:c r="N83" s="22" t="str">
        <x:v>V2</x:v>
      </x:c>
      <x:c r="O83" s="22" t="str">
        <x:v>E5</x:v>
      </x:c>
      <x:c r="P83" s="21" t="str">
        <x:v>RECONSTRUCTED_FROM_REPORT; Fear of Temperature_ Stratified Lexical Expansion, Voice Mapping, and Semantic-Relational Pre-Valida.pdf; p.9; project candidate FT-SEED-R1B-P-1988-22; original visible ID not available</x:v>
      </x:c>
      <x:c r="Q83" s="21" t="str">
        <x:v>FT-NGM-53AFA7D9A004B7</x:v>
      </x:c>
      <x:c r="R83" s="21" t="str">
        <x:v>severe economic and social dislocation</x:v>
      </x:c>
      <x:c r="S83" s="22" t="str">
        <x:v>EXACT</x:v>
      </x:c>
      <x:c r="T83" s="21" t="str">
        <x:v>FT-Q-P180-08DEA4AF4C4A</x:v>
      </x:c>
      <x:c r="U83" s="21" t="str">
        <x:v>Candidate surface form is directly representable in the public Ngram interface.</x:v>
      </x:c>
      <x:c r="V83" s="21" t="str">
        <x:v>Fear of Temperature_ Stratified Lexical Expansion, Voice Mapping, and Semantic-Relational Pre-Valida.pdf</x:v>
      </x:c>
      <x:c r="W83" s="21" t="str">
        <x:v>9</x:v>
      </x:c>
      <x:c r="X83" s="23" t="str">
        <x:v>RECONSTRUCTED_FROM_REPORT</x:v>
      </x:c>
    </x:row>
    <x:row r="84" ht="19" customHeight="1">
      <x:c r="A84" s="20" t="str">
        <x:v>FT-SEED-R1B-P-1988-23</x:v>
      </x:c>
      <x:c r="B84" s="21" t="str">
        <x:v>FT-A1988</x:v>
      </x:c>
      <x:c r="C84" s="22" t="str">
        <x:v>1988</x:v>
      </x:c>
      <x:c r="D84" s="22" t="str">
        <x:v>23</x:v>
      </x:c>
      <x:c r="E84" s="21" t="str">
        <x:v>risk of conflicts</x:v>
      </x:c>
      <x:c r="F84" s="21" t="str">
        <x:v>risk of conflicts</x:v>
      </x:c>
      <x:c r="G84" s="21" t="str">
        <x:v>administrative risk assessment</x:v>
      </x:c>
      <x:c r="H84" s="21" t="str">
        <x:v>FT-C-ADMINISTRATIVE_RISK_ASSESSMENT</x:v>
      </x:c>
      <x:c r="I84" s="21" t="str">
        <x:v>Risk managed or assessed through institutional procedure.</x:v>
      </x:c>
      <x:c r="J84" s="21" t="str">
        <x:v>FT-LF-P180-0F96F2852B3E</x:v>
      </x:c>
      <x:c r="K84" s="22" t="str">
        <x:v>risk</x:v>
      </x:c>
      <x:c r="L84" s="21" t="str">
        <x:v>FT-F12</x:v>
      </x:c>
      <x:c r="M84" s="22" t="str">
        <x:v>D</x:v>
      </x:c>
      <x:c r="N84" s="22" t="str">
        <x:v>V2</x:v>
      </x:c>
      <x:c r="O84" s="22" t="str">
        <x:v>E5</x:v>
      </x:c>
      <x:c r="P84" s="21" t="str">
        <x:v>RECONSTRUCTED_FROM_REPORT; Fear of Temperature_ Stratified Lexical Expansion, Voice Mapping, and Semantic-Relational Pre-Valida.pdf; p.9; project candidate FT-SEED-R1B-P-1988-23; original visible ID not available</x:v>
      </x:c>
      <x:c r="Q84" s="21" t="str">
        <x:v>FT-NGM-0F96F2852B3E4D</x:v>
      </x:c>
      <x:c r="R84" s="21" t="str">
        <x:v>risk of conflicts</x:v>
      </x:c>
      <x:c r="S84" s="22" t="str">
        <x:v>EXACT</x:v>
      </x:c>
      <x:c r="T84" s="21" t="str">
        <x:v>FT-Q-P180-74E64574B767</x:v>
      </x:c>
      <x:c r="U84" s="21" t="str">
        <x:v>Candidate surface form is directly representable in the public Ngram interface.</x:v>
      </x:c>
      <x:c r="V84" s="21" t="str">
        <x:v>Fear of Temperature_ Stratified Lexical Expansion, Voice Mapping, and Semantic-Relational Pre-Valida.pdf</x:v>
      </x:c>
      <x:c r="W84" s="21" t="str">
        <x:v>9</x:v>
      </x:c>
      <x:c r="X84" s="23" t="str">
        <x:v>RECONSTRUCTED_FROM_REPORT</x:v>
      </x:c>
    </x:row>
    <x:row r="85" ht="19" customHeight="1">
      <x:c r="A85" s="20" t="str">
        <x:v>FT-SEED-R1B-P-1988-24</x:v>
      </x:c>
      <x:c r="B85" s="21" t="str">
        <x:v>FT-A1988</x:v>
      </x:c>
      <x:c r="C85" s="22" t="str">
        <x:v>1988</x:v>
      </x:c>
      <x:c r="D85" s="22" t="str">
        <x:v>24</x:v>
      </x:c>
      <x:c r="E85" s="21" t="str">
        <x:v>impending crisis</x:v>
      </x:c>
      <x:c r="F85" s="21" t="str">
        <x:v>impending crisis</x:v>
      </x:c>
      <x:c r="G85" s="21" t="str">
        <x:v>severity / crisis predicate</x:v>
      </x:c>
      <x:c r="H85" s="21" t="str">
        <x:v>FT-C-SEVERITY_CRISIS_PREDICATE</x:v>
      </x:c>
      <x:c r="I85" s="21" t="str">
        <x:v>Crisis used as a severity predicate without necessarily being an established issue label.</x:v>
      </x:c>
      <x:c r="J85" s="21" t="str">
        <x:v>FT-LF-P180-045F0A913483</x:v>
      </x:c>
      <x:c r="K85" s="22" t="str">
        <x:v>crisis_emergency</x:v>
      </x:c>
      <x:c r="L85" s="21" t="str">
        <x:v>FT-F13</x:v>
      </x:c>
      <x:c r="M85" s="22" t="str">
        <x:v>D</x:v>
      </x:c>
      <x:c r="N85" s="22" t="str">
        <x:v>V2</x:v>
      </x:c>
      <x:c r="O85" s="22" t="str">
        <x:v>E5</x:v>
      </x:c>
      <x:c r="P85" s="21" t="str">
        <x:v>RECONSTRUCTED_FROM_REPORT; Fear of Temperature_ Stratified Lexical Expansion, Voice Mapping, and Semantic-Relational Pre-Valida.pdf; p.9; project candidate FT-SEED-R1B-P-1988-24; original visible ID not available</x:v>
      </x:c>
      <x:c r="Q85" s="21" t="str">
        <x:v>FT-NGM-045F0A91348364</x:v>
      </x:c>
      <x:c r="R85" s="21" t="str">
        <x:v>impending crisis</x:v>
      </x:c>
      <x:c r="S85" s="22" t="str">
        <x:v>EXACT</x:v>
      </x:c>
      <x:c r="T85" s="21" t="str">
        <x:v>FT-Q-P180-A56145CA2BE7</x:v>
      </x:c>
      <x:c r="U85" s="21" t="str">
        <x:v>Candidate surface form is directly representable in the public Ngram interface.</x:v>
      </x:c>
      <x:c r="V85" s="21" t="str">
        <x:v>Fear of Temperature_ Stratified Lexical Expansion, Voice Mapping, and Semantic-Relational Pre-Valida.pdf</x:v>
      </x:c>
      <x:c r="W85" s="21" t="str">
        <x:v>9</x:v>
      </x:c>
      <x:c r="X85" s="23" t="str">
        <x:v>RECONSTRUCTED_FROM_REPORT</x:v>
      </x:c>
    </x:row>
    <x:row r="86" ht="19" customHeight="1">
      <x:c r="A86" s="20" t="str">
        <x:v>FT-SEED-R1B-P-1988-25</x:v>
      </x:c>
      <x:c r="B86" s="21" t="str">
        <x:v>FT-A1988</x:v>
      </x:c>
      <x:c r="C86" s="22" t="str">
        <x:v>1988</x:v>
      </x:c>
      <x:c r="D86" s="22" t="str">
        <x:v>25</x:v>
      </x:c>
      <x:c r="E86" s="21" t="str">
        <x:v>degradation of the atmosphere</x:v>
      </x:c>
      <x:c r="F86" s="21" t="str">
        <x:v>degradation of the atmosphere</x:v>
      </x:c>
      <x:c r="G86" s="21" t="str">
        <x:v>generic damage</x:v>
      </x:c>
      <x:c r="H86" s="21" t="str">
        <x:v>FT-C-GENERIC_DAMAGE</x:v>
      </x:c>
      <x:c r="I86" s="21" t="str">
        <x:v>Generic material, ecological, or social damage.</x:v>
      </x:c>
      <x:c r="J86" s="21" t="str">
        <x:v>FT-LF-P180-F9D644B55D94</x:v>
      </x:c>
      <x:c r="K86" s="22" t="str">
        <x:v>harm_loss_consequences</x:v>
      </x:c>
      <x:c r="L86" s="21" t="str">
        <x:v>FT-F14</x:v>
      </x:c>
      <x:c r="M86" s="22" t="str">
        <x:v>D</x:v>
      </x:c>
      <x:c r="N86" s="22" t="str">
        <x:v>V2</x:v>
      </x:c>
      <x:c r="O86" s="22" t="str">
        <x:v>E5</x:v>
      </x:c>
      <x:c r="P86" s="21" t="str">
        <x:v>RECONSTRUCTED_FROM_REPORT; Fear of Temperature_ Stratified Lexical Expansion, Voice Mapping, and Semantic-Relational Pre-Valida.pdf; p.9; project candidate FT-SEED-R1B-P-1988-25; original visible ID not available</x:v>
      </x:c>
      <x:c r="Q86" s="21" t="str">
        <x:v>FT-NGM-F9D644B55D942B</x:v>
      </x:c>
      <x:c r="R86" s="21" t="str">
        <x:v>degradation of the atmosphere</x:v>
      </x:c>
      <x:c r="S86" s="22" t="str">
        <x:v>EXACT</x:v>
      </x:c>
      <x:c r="T86" s="21" t="str">
        <x:v>FT-Q-P180-F2CD82125CB1</x:v>
      </x:c>
      <x:c r="U86" s="21" t="str">
        <x:v>Candidate surface form is directly representable in the public Ngram interface.</x:v>
      </x:c>
      <x:c r="V86" s="21" t="str">
        <x:v>Fear of Temperature_ Stratified Lexical Expansion, Voice Mapping, and Semantic-Relational Pre-Valida.pdf</x:v>
      </x:c>
      <x:c r="W86" s="21" t="str">
        <x:v>9</x:v>
      </x:c>
      <x:c r="X86" s="23" t="str">
        <x:v>RECONSTRUCTED_FROM_REPORT</x:v>
      </x:c>
    </x:row>
    <x:row r="87" ht="19" customHeight="1">
      <x:c r="A87" s="20" t="str">
        <x:v>FT-SEED-R1B-P-1988-26</x:v>
      </x:c>
      <x:c r="B87" s="21" t="str">
        <x:v>FT-A1988</x:v>
      </x:c>
      <x:c r="C87" s="22" t="str">
        <x:v>1988</x:v>
      </x:c>
      <x:c r="D87" s="22" t="str">
        <x:v>26</x:v>
      </x:c>
      <x:c r="E87" s="21" t="str">
        <x:v>atmospheric pollution</x:v>
      </x:c>
      <x:c r="F87" s="21" t="str">
        <x:v>atmospheric pollution</x:v>
      </x:c>
      <x:c r="G87" s="21" t="str">
        <x:v>generic damage</x:v>
      </x:c>
      <x:c r="H87" s="21" t="str">
        <x:v>FT-C-GENERIC_DAMAGE</x:v>
      </x:c>
      <x:c r="I87" s="21" t="str">
        <x:v>Generic material, ecological, or social damage.</x:v>
      </x:c>
      <x:c r="J87" s="21" t="str">
        <x:v>FT-LF-P180-C0D51ADC7DE8</x:v>
      </x:c>
      <x:c r="K87" s="22" t="str">
        <x:v>harm_loss_consequences</x:v>
      </x:c>
      <x:c r="L87" s="21" t="str">
        <x:v>FT-F14</x:v>
      </x:c>
      <x:c r="M87" s="22" t="str">
        <x:v>D</x:v>
      </x:c>
      <x:c r="N87" s="22" t="str">
        <x:v>V2</x:v>
      </x:c>
      <x:c r="O87" s="22" t="str">
        <x:v>E5</x:v>
      </x:c>
      <x:c r="P87" s="21" t="str">
        <x:v>RECONSTRUCTED_FROM_REPORT; Fear of Temperature_ Stratified Lexical Expansion, Voice Mapping, and Semantic-Relational Pre-Valida.pdf; p.9; project candidate FT-SEED-R1B-P-1988-26; original visible ID not available</x:v>
      </x:c>
      <x:c r="Q87" s="21" t="str">
        <x:v>FT-NGM-C0D51ADC7DE8C3</x:v>
      </x:c>
      <x:c r="R87" s="21" t="str">
        <x:v>atmospheric pollution</x:v>
      </x:c>
      <x:c r="S87" s="22" t="str">
        <x:v>EXACT</x:v>
      </x:c>
      <x:c r="T87" s="21" t="str">
        <x:v>FT-Q-P180-46FC0D954885</x:v>
      </x:c>
      <x:c r="U87" s="21" t="str">
        <x:v>Candidate surface form is directly representable in the public Ngram interface.</x:v>
      </x:c>
      <x:c r="V87" s="21" t="str">
        <x:v>Fear of Temperature_ Stratified Lexical Expansion, Voice Mapping, and Semantic-Relational Pre-Valida.pdf</x:v>
      </x:c>
      <x:c r="W87" s="21" t="str">
        <x:v>9</x:v>
      </x:c>
      <x:c r="X87" s="23" t="str">
        <x:v>RECONSTRUCTED_FROM_REPORT</x:v>
      </x:c>
    </x:row>
    <x:row r="88" ht="19" customHeight="1">
      <x:c r="A88" s="20" t="str">
        <x:v>FT-SEED-R1B-P-1988-27</x:v>
      </x:c>
      <x:c r="B88" s="21" t="str">
        <x:v>FT-A1988</x:v>
      </x:c>
      <x:c r="C88" s="22" t="str">
        <x:v>1988</x:v>
      </x:c>
      <x:c r="D88" s="22" t="str">
        <x:v>27</x:v>
      </x:c>
      <x:c r="E88" s="21" t="str">
        <x:v>greenhouse gases</x:v>
      </x:c>
      <x:c r="F88" s="21" t="str">
        <x:v>greenhouse gases</x:v>
      </x:c>
      <x:c r="G88" s="21" t="str">
        <x:v>anthropogenic greenhouse-gas emissions</x:v>
      </x:c>
      <x:c r="H88" s="21" t="str">
        <x:v>FT-C-ANTHROPOGENIC_GREENHOUSE_GAS_EMISSIONS</x:v>
      </x:c>
      <x:c r="I88" s="21" t="str">
        <x:v>Human-produced greenhouse-gas emissions in scientific or governance framing.</x:v>
      </x:c>
      <x:c r="J88" s="21" t="str">
        <x:v>FT-LF-P180-16FDADC245FE</x:v>
      </x:c>
      <x:c r="K88" s="22" t="str">
        <x:v>carbon_greenhouse</x:v>
      </x:c>
      <x:c r="L88" s="21" t="str">
        <x:v>FT-F05</x:v>
      </x:c>
      <x:c r="M88" s="22" t="str">
        <x:v>B</x:v>
      </x:c>
      <x:c r="N88" s="22" t="str">
        <x:v>V2</x:v>
      </x:c>
      <x:c r="O88" s="22" t="str">
        <x:v>E5</x:v>
      </x:c>
      <x:c r="P88" s="21" t="str">
        <x:v>RECONSTRUCTED_FROM_REPORT; Fear of Temperature_ Stratified Lexical Expansion, Voice Mapping, and Semantic-Relational Pre-Valida.pdf; p.9; project candidate FT-SEED-R1B-P-1988-27; original visible ID not available</x:v>
      </x:c>
      <x:c r="Q88" s="21" t="str">
        <x:v>FT-NGM-16FDADC245FE18</x:v>
      </x:c>
      <x:c r="R88" s="21" t="str">
        <x:v>greenhouse gases</x:v>
      </x:c>
      <x:c r="S88" s="22" t="str">
        <x:v>EXACT</x:v>
      </x:c>
      <x:c r="T88" s="21" t="str">
        <x:v>FT-Q-P180-4D1539260C64</x:v>
      </x:c>
      <x:c r="U88" s="21" t="str">
        <x:v>Candidate surface form is directly representable in the public Ngram interface.</x:v>
      </x:c>
      <x:c r="V88" s="21" t="str">
        <x:v>Fear of Temperature_ Stratified Lexical Expansion, Voice Mapping, and Semantic-Relational Pre-Valida.pdf</x:v>
      </x:c>
      <x:c r="W88" s="21" t="str">
        <x:v>9</x:v>
      </x:c>
      <x:c r="X88" s="23" t="str">
        <x:v>RECONSTRUCTED_FROM_REPORT</x:v>
      </x:c>
    </x:row>
    <x:row r="89" ht="19" customHeight="1">
      <x:c r="A89" s="20" t="str">
        <x:v>FT-SEED-R1B-P-1988-28</x:v>
      </x:c>
      <x:c r="B89" s="21" t="str">
        <x:v>FT-A1988</x:v>
      </x:c>
      <x:c r="C89" s="22" t="str">
        <x:v>1988</x:v>
      </x:c>
      <x:c r="D89" s="22" t="str">
        <x:v>28</x:v>
      </x:c>
      <x:c r="E89" s="21" t="str">
        <x:v>Global Warming Has Begun</x:v>
      </x:c>
      <x:c r="F89" s="21" t="str">
        <x:v>global warming has begun</x:v>
      </x:c>
      <x:c r="G89" s="21" t="str">
        <x:v>global warming as issue label</x:v>
      </x:c>
      <x:c r="H89" s="21" t="str">
        <x:v>FT-C-GLOBAL_WARMING_ISSUE_LABEL</x:v>
      </x:c>
      <x:c r="I89" s="21" t="str">
        <x:v>Global warming used as an established public, scientific, or policy issue label.</x:v>
      </x:c>
      <x:c r="J89" s="21" t="str">
        <x:v>FT-LF-P180-FD8DD66404A7</x:v>
      </x:c>
      <x:c r="K89" s="22" t="str">
        <x:v>warming</x:v>
      </x:c>
      <x:c r="L89" s="21" t="str">
        <x:v>FT-F03</x:v>
      </x:c>
      <x:c r="M89" s="22" t="str">
        <x:v>A</x:v>
      </x:c>
      <x:c r="N89" s="22" t="str">
        <x:v>V3</x:v>
      </x:c>
      <x:c r="O89" s="22" t="str">
        <x:v>E5</x:v>
      </x:c>
      <x:c r="P89" s="21" t="str">
        <x:v>RECONSTRUCTED_FROM_REPORT; Fear of Temperature_ Stratified Lexical Expansion, Voice Mapping, and Semantic-Relational Pre-Valida.pdf; p.9; project candidate FT-SEED-R1B-P-1988-28; original visible ID not available</x:v>
      </x:c>
      <x:c r="Q89" s="21" t="str">
        <x:v>FT-NGM-FD8DD66404A755</x:v>
      </x:c>
      <x:c r="R89" s="21" t="str">
        <x:v>Global Warming Has Begun</x:v>
      </x:c>
      <x:c r="S89" s="22" t="str">
        <x:v>EXACT</x:v>
      </x:c>
      <x:c r="T89" s="21" t="str">
        <x:v>FT-Q-P180-BC8CDB78B2CA</x:v>
      </x:c>
      <x:c r="U89" s="21" t="str">
        <x:v>Candidate surface form is directly representable in the public Ngram interface.</x:v>
      </x:c>
      <x:c r="V89" s="21" t="str">
        <x:v>Fear of Temperature_ Stratified Lexical Expansion, Voice Mapping, and Semantic-Relational Pre-Valida.pdf</x:v>
      </x:c>
      <x:c r="W89" s="21" t="str">
        <x:v>9</x:v>
      </x:c>
      <x:c r="X89" s="23" t="str">
        <x:v>RECONSTRUCTED_FROM_REPORT</x:v>
      </x:c>
    </x:row>
    <x:row r="90" ht="19" customHeight="1">
      <x:c r="A90" s="20" t="str">
        <x:v>FT-SEED-R1B-P-1988-29</x:v>
      </x:c>
      <x:c r="B90" s="21" t="str">
        <x:v>FT-A1988</x:v>
      </x:c>
      <x:c r="C90" s="22" t="str">
        <x:v>1988</x:v>
      </x:c>
      <x:c r="D90" s="22" t="str">
        <x:v>29</x:v>
      </x:c>
      <x:c r="E90" s="21" t="str">
        <x:v>evidence is pretty strong</x:v>
      </x:c>
      <x:c r="F90" s="21" t="str">
        <x:v>evidence is pretty strong</x:v>
      </x:c>
      <x:c r="G90" s="21" t="str">
        <x:v>personal concern</x:v>
      </x:c>
      <x:c r="H90" s="21" t="str">
        <x:v>FT-C-PERSONAL_CONCERN</x:v>
      </x:c>
      <x:c r="I90" s="21" t="str">
        <x:v>Concern expressed or endorsed by an identifiable person about a climate or heat object.</x:v>
      </x:c>
      <x:c r="J90" s="21" t="str">
        <x:v>FT-LF-P180-742A3647CD38</x:v>
      </x:c>
      <x:c r="K90" s="22" t="str">
        <x:v>concern_alarm</x:v>
      </x:c>
      <x:c r="L90" s="21" t="str">
        <x:v>FT-F06</x:v>
      </x:c>
      <x:c r="M90" s="22" t="str">
        <x:v>C</x:v>
      </x:c>
      <x:c r="N90" s="22" t="str">
        <x:v>V3</x:v>
      </x:c>
      <x:c r="O90" s="22" t="str">
        <x:v>E5</x:v>
      </x:c>
      <x:c r="P90" s="21" t="str">
        <x:v>RECONSTRUCTED_FROM_REPORT; Fear of Temperature_ Stratified Lexical Expansion, Voice Mapping, and Semantic-Relational Pre-Valida.pdf; p.9; project candidate FT-SEED-R1B-P-1988-29; original visible ID not available</x:v>
      </x:c>
      <x:c r="Q90" s="21" t="str">
        <x:v>FT-NGM-742A3647CD3866</x:v>
      </x:c>
      <x:c r="R90" s="21" t="str">
        <x:v>evidence is pretty strong</x:v>
      </x:c>
      <x:c r="S90" s="22" t="str">
        <x:v>EXACT</x:v>
      </x:c>
      <x:c r="T90" s="21" t="str">
        <x:v>FT-Q-P180-700FAFA739C8</x:v>
      </x:c>
      <x:c r="U90" s="21" t="str">
        <x:v>Candidate surface form is directly representable in the public Ngram interface.</x:v>
      </x:c>
      <x:c r="V90" s="21" t="str">
        <x:v>Fear of Temperature_ Stratified Lexical Expansion, Voice Mapping, and Semantic-Relational Pre-Valida.pdf</x:v>
      </x:c>
      <x:c r="W90" s="21" t="str">
        <x:v>9</x:v>
      </x:c>
      <x:c r="X90" s="23" t="str">
        <x:v>RECONSTRUCTED_FROM_REPORT</x:v>
      </x:c>
    </x:row>
    <x:row r="91" ht="19" customHeight="1">
      <x:c r="A91" s="20" t="str">
        <x:v>FT-SEED-R1B-P-1988-30</x:v>
      </x:c>
      <x:c r="B91" s="21" t="str">
        <x:v>FT-A1988</x:v>
      </x:c>
      <x:c r="C91" s="22" t="str">
        <x:v>1988</x:v>
      </x:c>
      <x:c r="D91" s="22" t="str">
        <x:v>30</x:v>
      </x:c>
      <x:c r="E91" s="21" t="str">
        <x:v>too much carbon dioxide is dangerous</x:v>
      </x:c>
      <x:c r="F91" s="21" t="str">
        <x:v>too much carbon dioxide is dangerous</x:v>
      </x:c>
      <x:c r="G91" s="21" t="str">
        <x:v>atmospheric carbon dioxide</x:v>
      </x:c>
      <x:c r="H91" s="21" t="str">
        <x:v>FT-C-ATMOSPHERIC_CARBON_DIOXIDE</x:v>
      </x:c>
      <x:c r="I91" s="21" t="str">
        <x:v>Carbon dioxide as an atmospheric constituent.</x:v>
      </x:c>
      <x:c r="J91" s="21" t="str">
        <x:v>FT-LF-P180-E13A0289AC48</x:v>
      </x:c>
      <x:c r="K91" s="22" t="str">
        <x:v>carbon_greenhouse</x:v>
      </x:c>
      <x:c r="L91" s="21" t="str">
        <x:v>FT-F05</x:v>
      </x:c>
      <x:c r="M91" s="22" t="str">
        <x:v>D</x:v>
      </x:c>
      <x:c r="N91" s="22" t="str">
        <x:v>V3</x:v>
      </x:c>
      <x:c r="O91" s="22" t="str">
        <x:v>E5</x:v>
      </x:c>
      <x:c r="P91" s="21" t="str">
        <x:v>RECONSTRUCTED_FROM_REPORT; Fear of Temperature_ Stratified Lexical Expansion, Voice Mapping, and Semantic-Relational Pre-Valida.pdf; p.9; project candidate FT-SEED-R1B-P-1988-30; original visible ID not available</x:v>
      </x:c>
      <x:c r="Q91" s="21" t="str">
        <x:v>FT-NGM-E13A0289AC48A8</x:v>
      </x:c>
      <x:c r="R91" s="21" t="str">
        <x:v>too much carbon dioxide is dangerous</x:v>
      </x:c>
      <x:c r="S91" s="22" t="str">
        <x:v>EXACT</x:v>
      </x:c>
      <x:c r="T91" s="21" t="str">
        <x:v>FT-Q-P180-59D638D2BD5B</x:v>
      </x:c>
      <x:c r="U91" s="21" t="str">
        <x:v>Candidate surface form is directly representable in the public Ngram interface.</x:v>
      </x:c>
      <x:c r="V91" s="21" t="str">
        <x:v>Fear of Temperature_ Stratified Lexical Expansion, Voice Mapping, and Semantic-Relational Pre-Valida.pdf</x:v>
      </x:c>
      <x:c r="W91" s="21" t="str">
        <x:v>9</x:v>
      </x:c>
      <x:c r="X91" s="23" t="str">
        <x:v>RECONSTRUCTED_FROM_REPORT</x:v>
      </x:c>
    </x:row>
    <x:row r="92" ht="19" customHeight="1">
      <x:c r="A92" s="20" t="str">
        <x:v>FT-SEED-R1B-P-0607-01</x:v>
      </x:c>
      <x:c r="B92" s="21" t="str">
        <x:v>FT-A0607</x:v>
      </x:c>
      <x:c r="C92" s="22" t="str">
        <x:v>2006–2007</x:v>
      </x:c>
      <x:c r="D92" s="22" t="str">
        <x:v>1</x:v>
      </x:c>
      <x:c r="E92" s="21" t="str">
        <x:v>warming of the climate system</x:v>
      </x:c>
      <x:c r="F92" s="21" t="str">
        <x:v>warming of the climate system</x:v>
      </x:c>
      <x:c r="G92" s="21" t="str">
        <x:v>climate-system warming</x:v>
      </x:c>
      <x:c r="H92" s="21" t="str">
        <x:v>FT-C-CLIMATE_SYSTEM_WARMING</x:v>
      </x:c>
      <x:c r="I92" s="21" t="str">
        <x:v>Warming attributed to or observed across the climate system.</x:v>
      </x:c>
      <x:c r="J92" s="21" t="str">
        <x:v>FT-LF-Q-5CB98FEF6FA4</x:v>
      </x:c>
      <x:c r="K92" s="22" t="str">
        <x:v>warming</x:v>
      </x:c>
      <x:c r="L92" s="21" t="str">
        <x:v>FT-F03</x:v>
      </x:c>
      <x:c r="M92" s="22" t="str">
        <x:v>A</x:v>
      </x:c>
      <x:c r="N92" s="22" t="str">
        <x:v>V1</x:v>
      </x:c>
      <x:c r="O92" s="22" t="str">
        <x:v>E5</x:v>
      </x:c>
      <x:c r="P92" s="21" t="str">
        <x:v>RECONSTRUCTED_FROM_REPORT; Fear of Temperature_ Stratified Lexical Expansion, Voice Mapping, and Semantic-Relational Pre-Valida.pdf; p.10; project candidate FT-SEED-R1B-P-0607-01; original visible ID not available</x:v>
      </x:c>
      <x:c r="Q92" s="21" t="str">
        <x:v>FT-NGM-5CB98FEF6FA43A</x:v>
      </x:c>
      <x:c r="R92" s="21" t="str">
        <x:v>warming of the climate system</x:v>
      </x:c>
      <x:c r="S92" s="22" t="str">
        <x:v>EXACT</x:v>
      </x:c>
      <x:c r="T92" s="21" t="str">
        <x:v>FT-Q-V01-061</x:v>
      </x:c>
      <x:c r="U92" s="21" t="str">
        <x:v>Candidate surface form is directly representable in the public Ngram interface.</x:v>
      </x:c>
      <x:c r="V92" s="21" t="str">
        <x:v>Fear of Temperature_ Stratified Lexical Expansion, Voice Mapping, and Semantic-Relational Pre-Valida.pdf</x:v>
      </x:c>
      <x:c r="W92" s="21" t="str">
        <x:v>10</x:v>
      </x:c>
      <x:c r="X92" s="23" t="str">
        <x:v>RECONSTRUCTED_FROM_REPORT</x:v>
      </x:c>
    </x:row>
    <x:row r="93" ht="19" customHeight="1">
      <x:c r="A93" s="20" t="str">
        <x:v>FT-SEED-R1B-P-0607-02</x:v>
      </x:c>
      <x:c r="B93" s="21" t="str">
        <x:v>FT-A0607</x:v>
      </x:c>
      <x:c r="C93" s="22" t="str">
        <x:v>2006–2007</x:v>
      </x:c>
      <x:c r="D93" s="22" t="str">
        <x:v>2</x:v>
      </x:c>
      <x:c r="E93" s="21" t="str">
        <x:v>unequivocal</x:v>
      </x:c>
      <x:c r="F93" s="21" t="str">
        <x:v>unequivocal</x:v>
      </x:c>
      <x:c r="G93" s="21" t="str">
        <x:v>historical climate / climatological condition</x:v>
      </x:c>
      <x:c r="H93" s="21" t="str">
        <x:v>FT-C-HISTORICAL_CLIMATE_CONDITION</x:v>
      </x:c>
      <x:c r="I93" s="21" t="str">
        <x:v>Climate as a historical, geographical, seasonal, or climatological condition.</x:v>
      </x:c>
      <x:c r="J93" s="21" t="str">
        <x:v>FT-LF-Q-EB0AC7A243F7</x:v>
      </x:c>
      <x:c r="K93" s="22" t="str">
        <x:v>climate</x:v>
      </x:c>
      <x:c r="L93" s="21" t="str">
        <x:v>FT-F04</x:v>
      </x:c>
      <x:c r="M93" s="22" t="str">
        <x:v>B</x:v>
      </x:c>
      <x:c r="N93" s="22" t="str">
        <x:v>V1</x:v>
      </x:c>
      <x:c r="O93" s="22" t="str">
        <x:v>E5</x:v>
      </x:c>
      <x:c r="P93" s="21" t="str">
        <x:v>RECONSTRUCTED_FROM_REPORT; Fear of Temperature_ Stratified Lexical Expansion, Voice Mapping, and Semantic-Relational Pre-Valida.pdf; p.10; project candidate FT-SEED-R1B-P-0607-02; original visible ID not available</x:v>
      </x:c>
      <x:c r="Q93" s="21" t="str">
        <x:v>FT-NGM-EB0AC7A243F721</x:v>
      </x:c>
      <x:c r="R93" s="21" t="str">
        <x:v>unequivocal</x:v>
      </x:c>
      <x:c r="S93" s="22" t="str">
        <x:v>EXACT</x:v>
      </x:c>
      <x:c r="T93" s="21" t="str">
        <x:v>FT-Q-V01-062</x:v>
      </x:c>
      <x:c r="U93" s="21" t="str">
        <x:v>Candidate surface form is directly representable in the public Ngram interface.</x:v>
      </x:c>
      <x:c r="V93" s="21" t="str">
        <x:v>Fear of Temperature_ Stratified Lexical Expansion, Voice Mapping, and Semantic-Relational Pre-Valida.pdf</x:v>
      </x:c>
      <x:c r="W93" s="21" t="str">
        <x:v>10</x:v>
      </x:c>
      <x:c r="X93" s="23" t="str">
        <x:v>RECONSTRUCTED_FROM_REPORT</x:v>
      </x:c>
    </x:row>
    <x:row r="94" ht="19" customHeight="1">
      <x:c r="A94" s="20" t="str">
        <x:v>FT-SEED-R1B-P-0607-03</x:v>
      </x:c>
      <x:c r="B94" s="21" t="str">
        <x:v>FT-A0607</x:v>
      </x:c>
      <x:c r="C94" s="22" t="str">
        <x:v>2006–2007</x:v>
      </x:c>
      <x:c r="D94" s="22" t="str">
        <x:v>3</x:v>
      </x:c>
      <x:c r="E94" s="21" t="str">
        <x:v>global average air and ocean temperatures</x:v>
      </x:c>
      <x:c r="F94" s="21" t="str">
        <x:v>global average air and ocean temperatures</x:v>
      </x:c>
      <x:c r="G94" s="21" t="str">
        <x:v>global aggregate temperature</x:v>
      </x:c>
      <x:c r="H94" s="21" t="str">
        <x:v>FT-C-GLOBAL_AGGREGATE_TEMPERATURE</x:v>
      </x:c>
      <x:c r="I94" s="21" t="str">
        <x:v>A global-scale aggregate temperature metric.</x:v>
      </x:c>
      <x:c r="J94" s="21" t="str">
        <x:v>FT-LF-Q-1E29089B88E2</x:v>
      </x:c>
      <x:c r="K94" s="22" t="str">
        <x:v>temperature_threshold</x:v>
      </x:c>
      <x:c r="L94" s="21" t="str">
        <x:v>FT-F01</x:v>
      </x:c>
      <x:c r="M94" s="22" t="str">
        <x:v>A</x:v>
      </x:c>
      <x:c r="N94" s="22" t="str">
        <x:v>V1</x:v>
      </x:c>
      <x:c r="O94" s="22" t="str">
        <x:v>E5</x:v>
      </x:c>
      <x:c r="P94" s="21" t="str">
        <x:v>RECONSTRUCTED_FROM_REPORT; Fear of Temperature_ Stratified Lexical Expansion, Voice Mapping, and Semantic-Relational Pre-Valida.pdf; p.10; project candidate FT-SEED-R1B-P-0607-03; original visible ID not available</x:v>
      </x:c>
      <x:c r="Q94" s="21" t="str">
        <x:v>FT-NGM-1E29089B88E243</x:v>
      </x:c>
      <x:c r="R94" s="21" t="str">
        <x:v>global average air and ocean temperatures</x:v>
      </x:c>
      <x:c r="S94" s="22" t="str">
        <x:v>EXACT</x:v>
      </x:c>
      <x:c r="T94" s="21" t="str">
        <x:v>FT-Q-V01-063</x:v>
      </x:c>
      <x:c r="U94" s="21" t="str">
        <x:v>Candidate surface form is directly representable in the public Ngram interface.</x:v>
      </x:c>
      <x:c r="V94" s="21" t="str">
        <x:v>Fear of Temperature_ Stratified Lexical Expansion, Voice Mapping, and Semantic-Relational Pre-Valida.pdf</x:v>
      </x:c>
      <x:c r="W94" s="21" t="str">
        <x:v>10</x:v>
      </x:c>
      <x:c r="X94" s="23" t="str">
        <x:v>RECONSTRUCTED_FROM_REPORT</x:v>
      </x:c>
    </x:row>
    <x:row r="95" ht="19" customHeight="1">
      <x:c r="A95" s="20" t="str">
        <x:v>FT-SEED-R1B-P-0607-04</x:v>
      </x:c>
      <x:c r="B95" s="21" t="str">
        <x:v>FT-A0607</x:v>
      </x:c>
      <x:c r="C95" s="22" t="str">
        <x:v>2006–2007</x:v>
      </x:c>
      <x:c r="D95" s="22" t="str">
        <x:v>4</x:v>
      </x:c>
      <x:c r="E95" s="21" t="str">
        <x:v>global surface temperature</x:v>
      </x:c>
      <x:c r="F95" s="21" t="str">
        <x:v>global surface temperature</x:v>
      </x:c>
      <x:c r="G95" s="21" t="str">
        <x:v>global aggregate temperature</x:v>
      </x:c>
      <x:c r="H95" s="21" t="str">
        <x:v>FT-C-GLOBAL_AGGREGATE_TEMPERATURE</x:v>
      </x:c>
      <x:c r="I95" s="21" t="str">
        <x:v>A global-scale aggregate temperature metric.</x:v>
      </x:c>
      <x:c r="J95" s="21" t="str">
        <x:v>FT-LF-Q-D29EC99EC7EF</x:v>
      </x:c>
      <x:c r="K95" s="22" t="str">
        <x:v>temperature_threshold</x:v>
      </x:c>
      <x:c r="L95" s="21" t="str">
        <x:v>FT-F01</x:v>
      </x:c>
      <x:c r="M95" s="22" t="str">
        <x:v>A</x:v>
      </x:c>
      <x:c r="N95" s="22" t="str">
        <x:v>V1</x:v>
      </x:c>
      <x:c r="O95" s="22" t="str">
        <x:v>E5</x:v>
      </x:c>
      <x:c r="P95" s="21" t="str">
        <x:v>RECONSTRUCTED_FROM_REPORT; Fear of Temperature_ Stratified Lexical Expansion, Voice Mapping, and Semantic-Relational Pre-Valida.pdf; p.10; project candidate FT-SEED-R1B-P-0607-04; original visible ID not available</x:v>
      </x:c>
      <x:c r="Q95" s="21" t="str">
        <x:v>FT-NGM-D29EC99EC7EF52</x:v>
      </x:c>
      <x:c r="R95" s="21" t="str">
        <x:v>global surface temperature</x:v>
      </x:c>
      <x:c r="S95" s="22" t="str">
        <x:v>EXACT</x:v>
      </x:c>
      <x:c r="T95" s="21" t="str">
        <x:v>FT-Q-V01-064</x:v>
      </x:c>
      <x:c r="U95" s="21" t="str">
        <x:v>Candidate surface form is directly representable in the public Ngram interface.</x:v>
      </x:c>
      <x:c r="V95" s="21" t="str">
        <x:v>Fear of Temperature_ Stratified Lexical Expansion, Voice Mapping, and Semantic-Relational Pre-Valida.pdf</x:v>
      </x:c>
      <x:c r="W95" s="21" t="str">
        <x:v>10</x:v>
      </x:c>
      <x:c r="X95" s="23" t="str">
        <x:v>RECONSTRUCTED_FROM_REPORT</x:v>
      </x:c>
    </x:row>
    <x:row r="96" ht="19" customHeight="1">
      <x:c r="A96" s="20" t="str">
        <x:v>FT-SEED-R1B-P-0607-05</x:v>
      </x:c>
      <x:c r="B96" s="21" t="str">
        <x:v>FT-A0607</x:v>
      </x:c>
      <x:c r="C96" s="22" t="str">
        <x:v>2006–2007</x:v>
      </x:c>
      <x:c r="D96" s="22" t="str">
        <x:v>5</x:v>
      </x:c>
      <x:c r="E96" s="21" t="str">
        <x:v>temperature increase</x:v>
      </x:c>
      <x:c r="F96" s="21" t="str">
        <x:v>temperature increase</x:v>
      </x:c>
      <x:c r="G96" s="21" t="str">
        <x:v>temperature increase</x:v>
      </x:c>
      <x:c r="H96" s="21" t="str">
        <x:v>FT-C-TEMPERATURE_INCREASE</x:v>
      </x:c>
      <x:c r="I96" s="21" t="str">
        <x:v>An observed, estimated, or projected increase in temperature.</x:v>
      </x:c>
      <x:c r="J96" s="21" t="str">
        <x:v>FT-LF-TEMPERATURE_INCREASE</x:v>
      </x:c>
      <x:c r="K96" s="22" t="str">
        <x:v>warming</x:v>
      </x:c>
      <x:c r="L96" s="21" t="str">
        <x:v>FT-F03</x:v>
      </x:c>
      <x:c r="M96" s="22" t="str">
        <x:v>A</x:v>
      </x:c>
      <x:c r="N96" s="22" t="str">
        <x:v>V1</x:v>
      </x:c>
      <x:c r="O96" s="22" t="str">
        <x:v>E5</x:v>
      </x:c>
      <x:c r="P96" s="21" t="str">
        <x:v>RECONSTRUCTED_FROM_REPORT; Fear of Temperature_ Stratified Lexical Expansion, Voice Mapping, and Semantic-Relational Pre-Valida.pdf; p.10; project candidate FT-SEED-R1B-P-0607-05; original visible ID not available</x:v>
      </x:c>
      <x:c r="Q96" s="21" t="str">
        <x:v>FT-NGM-DE8D266C4DC974</x:v>
      </x:c>
      <x:c r="R96" s="21" t="str">
        <x:v>temperature increase</x:v>
      </x:c>
      <x:c r="S96" s="22" t="str">
        <x:v>EXACT</x:v>
      </x:c>
      <x:c r="T96" s="21" t="str">
        <x:v>FT-Q-V01-065</x:v>
      </x:c>
      <x:c r="U96" s="21" t="str">
        <x:v>Candidate surface form is directly representable in the public Ngram interface.</x:v>
      </x:c>
      <x:c r="V96" s="21" t="str">
        <x:v>Fear of Temperature_ Stratified Lexical Expansion, Voice Mapping, and Semantic-Relational Pre-Valida.pdf</x:v>
      </x:c>
      <x:c r="W96" s="21" t="str">
        <x:v>10</x:v>
      </x:c>
      <x:c r="X96" s="23" t="str">
        <x:v>RECONSTRUCTED_FROM_REPORT</x:v>
      </x:c>
    </x:row>
    <x:row r="97" ht="19" customHeight="1">
      <x:c r="A97" s="20" t="str">
        <x:v>FT-SEED-R1B-P-0607-06</x:v>
      </x:c>
      <x:c r="B97" s="21" t="str">
        <x:v>FT-A0607</x:v>
      </x:c>
      <x:c r="C97" s="22" t="str">
        <x:v>2006–2007</x:v>
      </x:c>
      <x:c r="D97" s="22" t="str">
        <x:v>6</x:v>
      </x:c>
      <x:c r="E97" s="21" t="str">
        <x:v>rising global average sea level</x:v>
      </x:c>
      <x:c r="F97" s="21" t="str">
        <x:v>rising global average sea level</x:v>
      </x:c>
      <x:c r="G97" s="21" t="str">
        <x:v>generic damage</x:v>
      </x:c>
      <x:c r="H97" s="21" t="str">
        <x:v>FT-C-GENERIC_DAMAGE</x:v>
      </x:c>
      <x:c r="I97" s="21" t="str">
        <x:v>Generic material, ecological, or social damage.</x:v>
      </x:c>
      <x:c r="J97" s="21" t="str">
        <x:v>FT-LF-Q-3201497BBD4C</x:v>
      </x:c>
      <x:c r="K97" s="22" t="str">
        <x:v>harm_loss_consequences</x:v>
      </x:c>
      <x:c r="L97" s="21" t="str">
        <x:v>FT-F14</x:v>
      </x:c>
      <x:c r="M97" s="22" t="str">
        <x:v>D</x:v>
      </x:c>
      <x:c r="N97" s="22" t="str">
        <x:v>V1</x:v>
      </x:c>
      <x:c r="O97" s="22" t="str">
        <x:v>E5</x:v>
      </x:c>
      <x:c r="P97" s="21" t="str">
        <x:v>RECONSTRUCTED_FROM_REPORT; Fear of Temperature_ Stratified Lexical Expansion, Voice Mapping, and Semantic-Relational Pre-Valida.pdf; p.10; project candidate FT-SEED-R1B-P-0607-06; original visible ID not available</x:v>
      </x:c>
      <x:c r="Q97" s="21" t="str">
        <x:v>FT-NGM-3201497BBD4CAD</x:v>
      </x:c>
      <x:c r="R97" s="21" t="str">
        <x:v>rising global average sea level</x:v>
      </x:c>
      <x:c r="S97" s="22" t="str">
        <x:v>EXACT</x:v>
      </x:c>
      <x:c r="T97" s="21" t="str">
        <x:v>FT-Q-V01-066</x:v>
      </x:c>
      <x:c r="U97" s="21" t="str">
        <x:v>Candidate surface form is directly representable in the public Ngram interface.</x:v>
      </x:c>
      <x:c r="V97" s="21" t="str">
        <x:v>Fear of Temperature_ Stratified Lexical Expansion, Voice Mapping, and Semantic-Relational Pre-Valida.pdf</x:v>
      </x:c>
      <x:c r="W97" s="21" t="str">
        <x:v>10</x:v>
      </x:c>
      <x:c r="X97" s="23" t="str">
        <x:v>RECONSTRUCTED_FROM_REPORT</x:v>
      </x:c>
    </x:row>
    <x:row r="98" ht="19" customHeight="1">
      <x:c r="A98" s="20" t="str">
        <x:v>FT-SEED-R1B-P-0607-07</x:v>
      </x:c>
      <x:c r="B98" s="21" t="str">
        <x:v>FT-A0607</x:v>
      </x:c>
      <x:c r="C98" s="22" t="str">
        <x:v>2006–2007</x:v>
      </x:c>
      <x:c r="D98" s="22" t="str">
        <x:v>7</x:v>
      </x:c>
      <x:c r="E98" s="21" t="str">
        <x:v>widespread melting of snow and ice</x:v>
      </x:c>
      <x:c r="F98" s="21" t="str">
        <x:v>widespread melting of snow and ice</x:v>
      </x:c>
      <x:c r="G98" s="21" t="str">
        <x:v>generic damage</x:v>
      </x:c>
      <x:c r="H98" s="21" t="str">
        <x:v>FT-C-GENERIC_DAMAGE</x:v>
      </x:c>
      <x:c r="I98" s="21" t="str">
        <x:v>Generic material, ecological, or social damage.</x:v>
      </x:c>
      <x:c r="J98" s="21" t="str">
        <x:v>FT-LF-Q-0F1F2D5093C1</x:v>
      </x:c>
      <x:c r="K98" s="22" t="str">
        <x:v>harm_loss_consequences</x:v>
      </x:c>
      <x:c r="L98" s="21" t="str">
        <x:v>FT-F14</x:v>
      </x:c>
      <x:c r="M98" s="22" t="str">
        <x:v>D</x:v>
      </x:c>
      <x:c r="N98" s="22" t="str">
        <x:v>V1</x:v>
      </x:c>
      <x:c r="O98" s="22" t="str">
        <x:v>E5</x:v>
      </x:c>
      <x:c r="P98" s="21" t="str">
        <x:v>RECONSTRUCTED_FROM_REPORT; Fear of Temperature_ Stratified Lexical Expansion, Voice Mapping, and Semantic-Relational Pre-Valida.pdf; p.10; project candidate FT-SEED-R1B-P-0607-07; original visible ID not available</x:v>
      </x:c>
      <x:c r="Q98" s="21" t="str">
        <x:v>FT-NGM-0F1F2D5093C1B3</x:v>
      </x:c>
      <x:c r="R98" s="21" t="str">
        <x:v>widespread melting of snow and ice</x:v>
      </x:c>
      <x:c r="S98" s="22" t="str">
        <x:v>EXACT</x:v>
      </x:c>
      <x:c r="T98" s="21" t="str">
        <x:v>FT-Q-V01-067</x:v>
      </x:c>
      <x:c r="U98" s="21" t="str">
        <x:v>Candidate surface form is directly representable in the public Ngram interface.</x:v>
      </x:c>
      <x:c r="V98" s="21" t="str">
        <x:v>Fear of Temperature_ Stratified Lexical Expansion, Voice Mapping, and Semantic-Relational Pre-Valida.pdf</x:v>
      </x:c>
      <x:c r="W98" s="21" t="str">
        <x:v>10</x:v>
      </x:c>
      <x:c r="X98" s="23" t="str">
        <x:v>RECONSTRUCTED_FROM_REPORT</x:v>
      </x:c>
    </x:row>
    <x:row r="99" ht="19" customHeight="1">
      <x:c r="A99" s="20" t="str">
        <x:v>FT-SEED-R1B-P-0607-08</x:v>
      </x:c>
      <x:c r="B99" s="21" t="str">
        <x:v>FT-A0607</x:v>
      </x:c>
      <x:c r="C99" s="22" t="str">
        <x:v>2006–2007</x:v>
      </x:c>
      <x:c r="D99" s="22" t="str">
        <x:v>8</x:v>
      </x:c>
      <x:c r="E99" s="21" t="str">
        <x:v>anthropogenic CO₂</x:v>
      </x:c>
      <x:c r="F99" s="21" t="str">
        <x:v>anthropogenic co2</x:v>
      </x:c>
      <x:c r="G99" s="21" t="str">
        <x:v>anthropogenic carbon-dioxide production</x:v>
      </x:c>
      <x:c r="H99" s="21" t="str">
        <x:v>FT-C-ANTHROPOGENIC_CARBON_DIOXIDE_PRODUCTION</x:v>
      </x:c>
      <x:c r="I99" s="21" t="str">
        <x:v>Human production of carbon dioxide as a climatic cause.</x:v>
      </x:c>
      <x:c r="J99" s="21" t="str">
        <x:v>FT-LF-Q-7892B446EBBC</x:v>
      </x:c>
      <x:c r="K99" s="22" t="str">
        <x:v>carbon_greenhouse</x:v>
      </x:c>
      <x:c r="L99" s="21" t="str">
        <x:v>FT-F05</x:v>
      </x:c>
      <x:c r="M99" s="22" t="str">
        <x:v>B</x:v>
      </x:c>
      <x:c r="N99" s="22" t="str">
        <x:v>V1</x:v>
      </x:c>
      <x:c r="O99" s="22" t="str">
        <x:v>E5</x:v>
      </x:c>
      <x:c r="P99" s="21" t="str">
        <x:v>RECONSTRUCTED_FROM_REPORT; Fear of Temperature_ Stratified Lexical Expansion, Voice Mapping, and Semantic-Relational Pre-Valida.pdf; p.10; project candidate FT-SEED-R1B-P-0607-08; original visible ID not available</x:v>
      </x:c>
      <x:c r="Q99" s="21" t="str">
        <x:v>FT-NGM-455E123FDBF948</x:v>
      </x:c>
      <x:c r="R99" s="21" t="str">
        <x:v>anthropogenic carbon dioxide</x:v>
      </x:c>
      <x:c r="S99" s="22" t="str">
        <x:v>VALIDATED_ALIAS</x:v>
      </x:c>
      <x:c r="T99" s="21" t="str">
        <x:v>FT-Q-V01-068</x:v>
      </x:c>
      <x:c r="U99" s="21" t="str">
        <x:v>CO₂ is expanded to its standard full lexical form; referent and historical sense are unchanged.</x:v>
      </x:c>
      <x:c r="V99" s="21" t="str">
        <x:v>Fear of Temperature_ Stratified Lexical Expansion, Voice Mapping, and Semantic-Relational Pre-Valida.pdf</x:v>
      </x:c>
      <x:c r="W99" s="21" t="str">
        <x:v>10</x:v>
      </x:c>
      <x:c r="X99" s="23" t="str">
        <x:v>RECONSTRUCTED_FROM_REPORT</x:v>
      </x:c>
    </x:row>
    <x:row r="100" ht="19" customHeight="1">
      <x:c r="A100" s="20" t="str">
        <x:v>FT-SEED-R1B-P-0607-09</x:v>
      </x:c>
      <x:c r="B100" s="21" t="str">
        <x:v>FT-A0607</x:v>
      </x:c>
      <x:c r="C100" s="22" t="str">
        <x:v>2006–2007</x:v>
      </x:c>
      <x:c r="D100" s="22" t="str">
        <x:v>9</x:v>
      </x:c>
      <x:c r="E100" s="21" t="str">
        <x:v>anthropogenic GHG emissions</x:v>
      </x:c>
      <x:c r="F100" s="21" t="str">
        <x:v>anthropogenic ghg emissions</x:v>
      </x:c>
      <x:c r="G100" s="21" t="str">
        <x:v>anthropogenic greenhouse-gas emissions</x:v>
      </x:c>
      <x:c r="H100" s="21" t="str">
        <x:v>FT-C-ANTHROPOGENIC_GREENHOUSE_GAS_EMISSIONS</x:v>
      </x:c>
      <x:c r="I100" s="21" t="str">
        <x:v>Human-produced greenhouse-gas emissions in scientific or governance framing.</x:v>
      </x:c>
      <x:c r="J100" s="21" t="str">
        <x:v>FT-LF-Q-A4E01F40F3FE</x:v>
      </x:c>
      <x:c r="K100" s="22" t="str">
        <x:v>carbon_greenhouse</x:v>
      </x:c>
      <x:c r="L100" s="21" t="str">
        <x:v>FT-F05</x:v>
      </x:c>
      <x:c r="M100" s="22" t="str">
        <x:v>B</x:v>
      </x:c>
      <x:c r="N100" s="22" t="str">
        <x:v>V1</x:v>
      </x:c>
      <x:c r="O100" s="22" t="str">
        <x:v>E5</x:v>
      </x:c>
      <x:c r="P100" s="21" t="str">
        <x:v>RECONSTRUCTED_FROM_REPORT; Fear of Temperature_ Stratified Lexical Expansion, Voice Mapping, and Semantic-Relational Pre-Valida.pdf; p.10; project candidate FT-SEED-R1B-P-0607-09; original visible ID not available</x:v>
      </x:c>
      <x:c r="Q100" s="21" t="str">
        <x:v>FT-NGM-A4E01F40F3FE3F</x:v>
      </x:c>
      <x:c r="R100" s="21" t="str">
        <x:v>anthropogenic GHG emissions</x:v>
      </x:c>
      <x:c r="S100" s="22" t="str">
        <x:v>EXACT</x:v>
      </x:c>
      <x:c r="T100" s="21" t="str">
        <x:v>FT-Q-V01-069</x:v>
      </x:c>
      <x:c r="U100" s="21" t="str">
        <x:v>Candidate surface form is directly representable in the public Ngram interface.</x:v>
      </x:c>
      <x:c r="V100" s="21" t="str">
        <x:v>Fear of Temperature_ Stratified Lexical Expansion, Voice Mapping, and Semantic-Relational Pre-Valida.pdf</x:v>
      </x:c>
      <x:c r="W100" s="21" t="str">
        <x:v>10</x:v>
      </x:c>
      <x:c r="X100" s="23" t="str">
        <x:v>RECONSTRUCTED_FROM_REPORT</x:v>
      </x:c>
    </x:row>
    <x:row r="101" ht="19" customHeight="1">
      <x:c r="A101" s="20" t="str">
        <x:v>FT-SEED-R1B-P-0607-10</x:v>
      </x:c>
      <x:c r="B101" s="21" t="str">
        <x:v>FT-A0607</x:v>
      </x:c>
      <x:c r="C101" s="22" t="str">
        <x:v>2006–2007</x:v>
      </x:c>
      <x:c r="D101" s="22" t="str">
        <x:v>10</x:v>
      </x:c>
      <x:c r="E101" s="21" t="str">
        <x:v>climate change</x:v>
      </x:c>
      <x:c r="F101" s="21" t="str">
        <x:v>climate change</x:v>
      </x:c>
      <x:c r="G101" s="21" t="str">
        <x:v>modern climate change</x:v>
      </x:c>
      <x:c r="H101" s="21" t="str">
        <x:v>FT-C-MODERN_CLIMATE_CHANGE</x:v>
      </x:c>
      <x:c r="I101" s="21" t="str">
        <x:v>Modern climate change as an anthropogenic scientific, public, or governance problem.</x:v>
      </x:c>
      <x:c r="J101" s="21" t="str">
        <x:v>FT-LF-CLIMATE_CHANGE</x:v>
      </x:c>
      <x:c r="K101" s="22" t="str">
        <x:v>climate</x:v>
      </x:c>
      <x:c r="L101" s="21" t="str">
        <x:v>FT-F04</x:v>
      </x:c>
      <x:c r="M101" s="22" t="str">
        <x:v>B</x:v>
      </x:c>
      <x:c r="N101" s="22" t="str">
        <x:v>V2</x:v>
      </x:c>
      <x:c r="O101" s="22" t="str">
        <x:v>E5</x:v>
      </x:c>
      <x:c r="P101" s="21" t="str">
        <x:v>RECONSTRUCTED_FROM_REPORT; Fear of Temperature_ Stratified Lexical Expansion, Voice Mapping, and Semantic-Relational Pre-Valida.pdf; p.10; project candidate FT-SEED-R1B-P-0607-10; original visible ID not available</x:v>
      </x:c>
      <x:c r="Q101" s="21" t="str">
        <x:v>FT-NGM-F28D567CF5453B</x:v>
      </x:c>
      <x:c r="R101" s="21" t="str">
        <x:v>climate change</x:v>
      </x:c>
      <x:c r="S101" s="22" t="str">
        <x:v>EXACT</x:v>
      </x:c>
      <x:c r="T101" s="21" t="str">
        <x:v>FT-Q-V01-070</x:v>
      </x:c>
      <x:c r="U101" s="21" t="str">
        <x:v>Candidate surface form is directly representable in the public Ngram interface.</x:v>
      </x:c>
      <x:c r="V101" s="21" t="str">
        <x:v>Fear of Temperature_ Stratified Lexical Expansion, Voice Mapping, and Semantic-Relational Pre-Valida.pdf</x:v>
      </x:c>
      <x:c r="W101" s="21" t="str">
        <x:v>10</x:v>
      </x:c>
      <x:c r="X101" s="23" t="str">
        <x:v>RECONSTRUCTED_FROM_REPORT</x:v>
      </x:c>
    </x:row>
    <x:row r="102" ht="19" customHeight="1">
      <x:c r="A102" s="20" t="str">
        <x:v>FT-SEED-R1B-P-0607-11</x:v>
      </x:c>
      <x:c r="B102" s="21" t="str">
        <x:v>FT-A0607</x:v>
      </x:c>
      <x:c r="C102" s="22" t="str">
        <x:v>2006–2007</x:v>
      </x:c>
      <x:c r="D102" s="22" t="str">
        <x:v>11</x:v>
      </x:c>
      <x:c r="E102" s="21" t="str">
        <x:v>global warming</x:v>
      </x:c>
      <x:c r="F102" s="21" t="str">
        <x:v>global warming</x:v>
      </x:c>
      <x:c r="G102" s="21" t="str">
        <x:v>global warming as issue label</x:v>
      </x:c>
      <x:c r="H102" s="21" t="str">
        <x:v>FT-C-GLOBAL_WARMING_ISSUE_LABEL</x:v>
      </x:c>
      <x:c r="I102" s="21" t="str">
        <x:v>Global warming used as an established public, scientific, or policy issue label.</x:v>
      </x:c>
      <x:c r="J102" s="21" t="str">
        <x:v>FT-LF-GLOBAL_WARMING</x:v>
      </x:c>
      <x:c r="K102" s="22" t="str">
        <x:v>warming</x:v>
      </x:c>
      <x:c r="L102" s="21" t="str">
        <x:v>FT-F03</x:v>
      </x:c>
      <x:c r="M102" s="22" t="str">
        <x:v>A</x:v>
      </x:c>
      <x:c r="N102" s="22" t="str">
        <x:v>V3</x:v>
      </x:c>
      <x:c r="O102" s="22" t="str">
        <x:v>E5</x:v>
      </x:c>
      <x:c r="P102" s="21" t="str">
        <x:v>RECONSTRUCTED_FROM_REPORT; Fear of Temperature_ Stratified Lexical Expansion, Voice Mapping, and Semantic-Relational Pre-Valida.pdf; p.10; project candidate FT-SEED-R1B-P-0607-11; original visible ID not available</x:v>
      </x:c>
      <x:c r="Q102" s="21" t="str">
        <x:v>FT-NGM-41A40CE559EFC5</x:v>
      </x:c>
      <x:c r="R102" s="21" t="str">
        <x:v>global warming</x:v>
      </x:c>
      <x:c r="S102" s="22" t="str">
        <x:v>EXACT</x:v>
      </x:c>
      <x:c r="T102" s="21" t="str">
        <x:v>FT-Q-V01-071</x:v>
      </x:c>
      <x:c r="U102" s="21" t="str">
        <x:v>Candidate surface form is directly representable in the public Ngram interface.</x:v>
      </x:c>
      <x:c r="V102" s="21" t="str">
        <x:v>Fear of Temperature_ Stratified Lexical Expansion, Voice Mapping, and Semantic-Relational Pre-Valida.pdf</x:v>
      </x:c>
      <x:c r="W102" s="21" t="str">
        <x:v>10</x:v>
      </x:c>
      <x:c r="X102" s="23" t="str">
        <x:v>RECONSTRUCTED_FROM_REPORT</x:v>
      </x:c>
    </x:row>
    <x:row r="103" ht="19" customHeight="1">
      <x:c r="A103" s="20" t="str">
        <x:v>FT-SEED-R1B-P-0607-12</x:v>
      </x:c>
      <x:c r="B103" s="21" t="str">
        <x:v>FT-A0607</x:v>
      </x:c>
      <x:c r="C103" s="22" t="str">
        <x:v>2006–2007</x:v>
      </x:c>
      <x:c r="D103" s="22" t="str">
        <x:v>12</x:v>
      </x:c>
      <x:c r="E103" s="21" t="str">
        <x:v>serious global threat</x:v>
      </x:c>
      <x:c r="F103" s="21" t="str">
        <x:v>serious global threat</x:v>
      </x:c>
      <x:c r="G103" s="21" t="str">
        <x:v>institutional climate threat</x:v>
      </x:c>
      <x:c r="H103" s="21" t="str">
        <x:v>FT-C-INSTITUTIONAL_CLIMATE_THREAT</x:v>
      </x:c>
      <x:c r="I103" s="21" t="str">
        <x:v>Climate change framed as an institutional threat.</x:v>
      </x:c>
      <x:c r="J103" s="21" t="str">
        <x:v>FT-LF-Q-B9D01F30C29F</x:v>
      </x:c>
      <x:c r="K103" s="22" t="str">
        <x:v>danger_threat</x:v>
      </x:c>
      <x:c r="L103" s="21" t="str">
        <x:v>FT-F11</x:v>
      </x:c>
      <x:c r="M103" s="22" t="str">
        <x:v>D</x:v>
      </x:c>
      <x:c r="N103" s="22" t="str">
        <x:v>V2</x:v>
      </x:c>
      <x:c r="O103" s="22" t="str">
        <x:v>E5</x:v>
      </x:c>
      <x:c r="P103" s="21" t="str">
        <x:v>RECONSTRUCTED_FROM_REPORT; Fear of Temperature_ Stratified Lexical Expansion, Voice Mapping, and Semantic-Relational Pre-Valida.pdf; p.10; project candidate FT-SEED-R1B-P-0607-12; original visible ID not available</x:v>
      </x:c>
      <x:c r="Q103" s="21" t="str">
        <x:v>FT-NGM-B9D01F30C29F45</x:v>
      </x:c>
      <x:c r="R103" s="21" t="str">
        <x:v>serious global threat</x:v>
      </x:c>
      <x:c r="S103" s="22" t="str">
        <x:v>EXACT</x:v>
      </x:c>
      <x:c r="T103" s="21" t="str">
        <x:v>FT-Q-V01-072</x:v>
      </x:c>
      <x:c r="U103" s="21" t="str">
        <x:v>Candidate surface form is directly representable in the public Ngram interface.</x:v>
      </x:c>
      <x:c r="V103" s="21" t="str">
        <x:v>Fear of Temperature_ Stratified Lexical Expansion, Voice Mapping, and Semantic-Relational Pre-Valida.pdf</x:v>
      </x:c>
      <x:c r="W103" s="21" t="str">
        <x:v>10</x:v>
      </x:c>
      <x:c r="X103" s="23" t="str">
        <x:v>RECONSTRUCTED_FROM_REPORT</x:v>
      </x:c>
    </x:row>
    <x:row r="104" ht="19" customHeight="1">
      <x:c r="A104" s="20" t="str">
        <x:v>FT-SEED-R1B-P-0607-13</x:v>
      </x:c>
      <x:c r="B104" s="21" t="str">
        <x:v>FT-A0607</x:v>
      </x:c>
      <x:c r="C104" s="22" t="str">
        <x:v>2006–2007</x:v>
      </x:c>
      <x:c r="D104" s="22" t="str">
        <x:v>13</x:v>
      </x:c>
      <x:c r="E104" s="21" t="str">
        <x:v>urgent global response</x:v>
      </x:c>
      <x:c r="F104" s="21" t="str">
        <x:v>urgent global response</x:v>
      </x:c>
      <x:c r="G104" s="21" t="str">
        <x:v>generic damage</x:v>
      </x:c>
      <x:c r="H104" s="21" t="str">
        <x:v>FT-C-GENERIC_DAMAGE</x:v>
      </x:c>
      <x:c r="I104" s="21" t="str">
        <x:v>Generic material, ecological, or social damage.</x:v>
      </x:c>
      <x:c r="J104" s="21" t="str">
        <x:v>FT-LF-Q-854DC9981B76</x:v>
      </x:c>
      <x:c r="K104" s="22" t="str">
        <x:v>harm_loss_consequences</x:v>
      </x:c>
      <x:c r="L104" s="21" t="str">
        <x:v>FT-F14</x:v>
      </x:c>
      <x:c r="M104" s="22" t="str">
        <x:v>D</x:v>
      </x:c>
      <x:c r="N104" s="22" t="str">
        <x:v>V2</x:v>
      </x:c>
      <x:c r="O104" s="22" t="str">
        <x:v>E5</x:v>
      </x:c>
      <x:c r="P104" s="21" t="str">
        <x:v>RECONSTRUCTED_FROM_REPORT; Fear of Temperature_ Stratified Lexical Expansion, Voice Mapping, and Semantic-Relational Pre-Valida.pdf; p.10; project candidate FT-SEED-R1B-P-0607-13; original visible ID not available</x:v>
      </x:c>
      <x:c r="Q104" s="21" t="str">
        <x:v>FT-NGM-854DC9981B7658</x:v>
      </x:c>
      <x:c r="R104" s="21" t="str">
        <x:v>urgent global response</x:v>
      </x:c>
      <x:c r="S104" s="22" t="str">
        <x:v>EXACT</x:v>
      </x:c>
      <x:c r="T104" s="21" t="str">
        <x:v>FT-Q-V01-073</x:v>
      </x:c>
      <x:c r="U104" s="21" t="str">
        <x:v>Candidate surface form is directly representable in the public Ngram interface.</x:v>
      </x:c>
      <x:c r="V104" s="21" t="str">
        <x:v>Fear of Temperature_ Stratified Lexical Expansion, Voice Mapping, and Semantic-Relational Pre-Valida.pdf</x:v>
      </x:c>
      <x:c r="W104" s="21" t="str">
        <x:v>10</x:v>
      </x:c>
      <x:c r="X104" s="23" t="str">
        <x:v>RECONSTRUCTED_FROM_REPORT</x:v>
      </x:c>
    </x:row>
    <x:row r="105" ht="19" customHeight="1">
      <x:c r="A105" s="20" t="str">
        <x:v>FT-SEED-R1B-P-0607-14</x:v>
      </x:c>
      <x:c r="B105" s="21" t="str">
        <x:v>FT-A0607</x:v>
      </x:c>
      <x:c r="C105" s="22" t="str">
        <x:v>2006–2007</x:v>
      </x:c>
      <x:c r="D105" s="22" t="str">
        <x:v>14</x:v>
      </x:c>
      <x:c r="E105" s="21" t="str">
        <x:v>costs and risks of climate change</x:v>
      </x:c>
      <x:c r="F105" s="21" t="str">
        <x:v>costs and risks of climate change</x:v>
      </x:c>
      <x:c r="G105" s="21" t="str">
        <x:v>modern climate change</x:v>
      </x:c>
      <x:c r="H105" s="21" t="str">
        <x:v>FT-C-MODERN_CLIMATE_CHANGE</x:v>
      </x:c>
      <x:c r="I105" s="21" t="str">
        <x:v>Modern climate change as an anthropogenic scientific, public, or governance problem.</x:v>
      </x:c>
      <x:c r="J105" s="21" t="str">
        <x:v>FT-LF-Q-F21AAC6A28BA</x:v>
      </x:c>
      <x:c r="K105" s="22" t="str">
        <x:v>climate</x:v>
      </x:c>
      <x:c r="L105" s="21" t="str">
        <x:v>FT-F04</x:v>
      </x:c>
      <x:c r="M105" s="22" t="str">
        <x:v>D</x:v>
      </x:c>
      <x:c r="N105" s="22" t="str">
        <x:v>V2</x:v>
      </x:c>
      <x:c r="O105" s="22" t="str">
        <x:v>E5</x:v>
      </x:c>
      <x:c r="P105" s="21" t="str">
        <x:v>RECONSTRUCTED_FROM_REPORT; Fear of Temperature_ Stratified Lexical Expansion, Voice Mapping, and Semantic-Relational Pre-Valida.pdf; p.10; project candidate FT-SEED-R1B-P-0607-14; original visible ID not available</x:v>
      </x:c>
      <x:c r="Q105" s="21" t="str">
        <x:v>FT-NGM-F21AAC6A28BAB4</x:v>
      </x:c>
      <x:c r="R105" s="21" t="str">
        <x:v>costs and risks of climate change</x:v>
      </x:c>
      <x:c r="S105" s="22" t="str">
        <x:v>EXACT</x:v>
      </x:c>
      <x:c r="T105" s="21" t="str">
        <x:v>FT-Q-V01-074</x:v>
      </x:c>
      <x:c r="U105" s="21" t="str">
        <x:v>Candidate surface form is directly representable in the public Ngram interface.</x:v>
      </x:c>
      <x:c r="V105" s="21" t="str">
        <x:v>Fear of Temperature_ Stratified Lexical Expansion, Voice Mapping, and Semantic-Relational Pre-Valida.pdf</x:v>
      </x:c>
      <x:c r="W105" s="21" t="str">
        <x:v>10</x:v>
      </x:c>
      <x:c r="X105" s="23" t="str">
        <x:v>RECONSTRUCTED_FROM_REPORT</x:v>
      </x:c>
    </x:row>
    <x:row r="106" ht="19" customHeight="1">
      <x:c r="A106" s="20" t="str">
        <x:v>FT-SEED-R1B-P-0607-15</x:v>
      </x:c>
      <x:c r="B106" s="21" t="str">
        <x:v>FT-A0607</x:v>
      </x:c>
      <x:c r="C106" s="22" t="str">
        <x:v>2006–2007</x:v>
      </x:c>
      <x:c r="D106" s="22" t="str">
        <x:v>15</x:v>
      </x:c>
      <x:c r="E106" s="21" t="str">
        <x:v>impacts of climate change</x:v>
      </x:c>
      <x:c r="F106" s="21" t="str">
        <x:v>impacts of climate change</x:v>
      </x:c>
      <x:c r="G106" s="21" t="str">
        <x:v>modern climate change</x:v>
      </x:c>
      <x:c r="H106" s="21" t="str">
        <x:v>FT-C-MODERN_CLIMATE_CHANGE</x:v>
      </x:c>
      <x:c r="I106" s="21" t="str">
        <x:v>Modern climate change as an anthropogenic scientific, public, or governance problem.</x:v>
      </x:c>
      <x:c r="J106" s="21" t="str">
        <x:v>FT-LF-Q-2AC7FC801CE1</x:v>
      </x:c>
      <x:c r="K106" s="22" t="str">
        <x:v>climate</x:v>
      </x:c>
      <x:c r="L106" s="21" t="str">
        <x:v>FT-F04</x:v>
      </x:c>
      <x:c r="M106" s="22" t="str">
        <x:v>D</x:v>
      </x:c>
      <x:c r="N106" s="22" t="str">
        <x:v>V2</x:v>
      </x:c>
      <x:c r="O106" s="22" t="str">
        <x:v>E5</x:v>
      </x:c>
      <x:c r="P106" s="21" t="str">
        <x:v>RECONSTRUCTED_FROM_REPORT; Fear of Temperature_ Stratified Lexical Expansion, Voice Mapping, and Semantic-Relational Pre-Valida.pdf; p.10; project candidate FT-SEED-R1B-P-0607-15; original visible ID not available</x:v>
      </x:c>
      <x:c r="Q106" s="21" t="str">
        <x:v>FT-NGM-2AC7FC801CE128</x:v>
      </x:c>
      <x:c r="R106" s="21" t="str">
        <x:v>impacts of climate change</x:v>
      </x:c>
      <x:c r="S106" s="22" t="str">
        <x:v>EXACT</x:v>
      </x:c>
      <x:c r="T106" s="21" t="str">
        <x:v>FT-Q-V01-075</x:v>
      </x:c>
      <x:c r="U106" s="21" t="str">
        <x:v>Candidate surface form is directly representable in the public Ngram interface.</x:v>
      </x:c>
      <x:c r="V106" s="21" t="str">
        <x:v>Fear of Temperature_ Stratified Lexical Expansion, Voice Mapping, and Semantic-Relational Pre-Valida.pdf</x:v>
      </x:c>
      <x:c r="W106" s="21" t="str">
        <x:v>10</x:v>
      </x:c>
      <x:c r="X106" s="23" t="str">
        <x:v>RECONSTRUCTED_FROM_REPORT</x:v>
      </x:c>
    </x:row>
    <x:row r="107" ht="19" customHeight="1">
      <x:c r="A107" s="20" t="str">
        <x:v>FT-SEED-R1B-P-0607-16</x:v>
      </x:c>
      <x:c r="B107" s="21" t="str">
        <x:v>FT-A0607</x:v>
      </x:c>
      <x:c r="C107" s="22" t="str">
        <x:v>2006–2007</x:v>
      </x:c>
      <x:c r="D107" s="22" t="str">
        <x:v>16</x:v>
      </x:c>
      <x:c r="E107" s="21" t="str">
        <x:v>damage</x:v>
      </x:c>
      <x:c r="F107" s="21" t="str">
        <x:v>damage</x:v>
      </x:c>
      <x:c r="G107" s="21" t="str">
        <x:v>generic damage</x:v>
      </x:c>
      <x:c r="H107" s="21" t="str">
        <x:v>FT-C-GENERIC_DAMAGE</x:v>
      </x:c>
      <x:c r="I107" s="21" t="str">
        <x:v>Generic material, ecological, or social damage.</x:v>
      </x:c>
      <x:c r="J107" s="21" t="str">
        <x:v>FT-LF-Q-6F5A5C61CCDB</x:v>
      </x:c>
      <x:c r="K107" s="22" t="str">
        <x:v>harm_loss_consequences</x:v>
      </x:c>
      <x:c r="L107" s="21" t="str">
        <x:v>FT-F14</x:v>
      </x:c>
      <x:c r="M107" s="22" t="str">
        <x:v>D</x:v>
      </x:c>
      <x:c r="N107" s="22" t="str">
        <x:v>V2</x:v>
      </x:c>
      <x:c r="O107" s="22" t="str">
        <x:v>E5</x:v>
      </x:c>
      <x:c r="P107" s="21" t="str">
        <x:v>RECONSTRUCTED_FROM_REPORT; Fear of Temperature_ Stratified Lexical Expansion, Voice Mapping, and Semantic-Relational Pre-Valida.pdf; p.10; project candidate FT-SEED-R1B-P-0607-16; original visible ID not available</x:v>
      </x:c>
      <x:c r="Q107" s="21" t="str">
        <x:v>FT-NGM-6F5A5C61CCDBD8</x:v>
      </x:c>
      <x:c r="R107" s="21" t="str">
        <x:v>damage</x:v>
      </x:c>
      <x:c r="S107" s="22" t="str">
        <x:v>EXACT</x:v>
      </x:c>
      <x:c r="T107" s="21" t="str">
        <x:v>FT-Q-V01-076</x:v>
      </x:c>
      <x:c r="U107" s="21" t="str">
        <x:v>Candidate surface form is directly representable in the public Ngram interface.</x:v>
      </x:c>
      <x:c r="V107" s="21" t="str">
        <x:v>Fear of Temperature_ Stratified Lexical Expansion, Voice Mapping, and Semantic-Relational Pre-Valida.pdf</x:v>
      </x:c>
      <x:c r="W107" s="21" t="str">
        <x:v>10</x:v>
      </x:c>
      <x:c r="X107" s="23" t="str">
        <x:v>RECONSTRUCTED_FROM_REPORT</x:v>
      </x:c>
    </x:row>
    <x:row r="108" ht="19" customHeight="1">
      <x:c r="A108" s="20" t="str">
        <x:v>FT-SEED-R1B-P-0607-17</x:v>
      </x:c>
      <x:c r="B108" s="21" t="str">
        <x:v>FT-A0607</x:v>
      </x:c>
      <x:c r="C108" s="22" t="str">
        <x:v>2006–2007</x:v>
      </x:c>
      <x:c r="D108" s="22" t="str">
        <x:v>17</x:v>
      </x:c>
      <x:c r="E108" s="21" t="str">
        <x:v>hunger</x:v>
      </x:c>
      <x:c r="F108" s="21" t="str">
        <x:v>hunger</x:v>
      </x:c>
      <x:c r="G108" s="21" t="str">
        <x:v>generic damage</x:v>
      </x:c>
      <x:c r="H108" s="21" t="str">
        <x:v>FT-C-GENERIC_DAMAGE</x:v>
      </x:c>
      <x:c r="I108" s="21" t="str">
        <x:v>Generic material, ecological, or social damage.</x:v>
      </x:c>
      <x:c r="J108" s="21" t="str">
        <x:v>FT-LF-Q-5BABA4FB9415</x:v>
      </x:c>
      <x:c r="K108" s="22" t="str">
        <x:v>harm_loss_consequences</x:v>
      </x:c>
      <x:c r="L108" s="21" t="str">
        <x:v>FT-F14</x:v>
      </x:c>
      <x:c r="M108" s="22" t="str">
        <x:v>D</x:v>
      </x:c>
      <x:c r="N108" s="22" t="str">
        <x:v>V2</x:v>
      </x:c>
      <x:c r="O108" s="22" t="str">
        <x:v>E5</x:v>
      </x:c>
      <x:c r="P108" s="21" t="str">
        <x:v>RECONSTRUCTED_FROM_REPORT; Fear of Temperature_ Stratified Lexical Expansion, Voice Mapping, and Semantic-Relational Pre-Valida.pdf; p.10; project candidate FT-SEED-R1B-P-0607-17; original visible ID not available</x:v>
      </x:c>
      <x:c r="Q108" s="21" t="str">
        <x:v>FT-NGM-5BABA4FB941579</x:v>
      </x:c>
      <x:c r="R108" s="21" t="str">
        <x:v>hunger</x:v>
      </x:c>
      <x:c r="S108" s="22" t="str">
        <x:v>EXACT</x:v>
      </x:c>
      <x:c r="T108" s="21" t="str">
        <x:v>FT-Q-V01-077</x:v>
      </x:c>
      <x:c r="U108" s="21" t="str">
        <x:v>Candidate surface form is directly representable in the public Ngram interface.</x:v>
      </x:c>
      <x:c r="V108" s="21" t="str">
        <x:v>Fear of Temperature_ Stratified Lexical Expansion, Voice Mapping, and Semantic-Relational Pre-Valida.pdf</x:v>
      </x:c>
      <x:c r="W108" s="21" t="str">
        <x:v>10</x:v>
      </x:c>
      <x:c r="X108" s="23" t="str">
        <x:v>RECONSTRUCTED_FROM_REPORT</x:v>
      </x:c>
    </x:row>
    <x:row r="109" ht="19" customHeight="1">
      <x:c r="A109" s="20" t="str">
        <x:v>FT-SEED-R1B-P-0607-18</x:v>
      </x:c>
      <x:c r="B109" s="21" t="str">
        <x:v>FT-A0607</x:v>
      </x:c>
      <x:c r="C109" s="22" t="str">
        <x:v>2006–2007</x:v>
      </x:c>
      <x:c r="D109" s="22" t="str">
        <x:v>18</x:v>
      </x:c>
      <x:c r="E109" s="21" t="str">
        <x:v>water shortages</x:v>
      </x:c>
      <x:c r="F109" s="21" t="str">
        <x:v>water shortages</x:v>
      </x:c>
      <x:c r="G109" s="21" t="str">
        <x:v>generic damage</x:v>
      </x:c>
      <x:c r="H109" s="21" t="str">
        <x:v>FT-C-GENERIC_DAMAGE</x:v>
      </x:c>
      <x:c r="I109" s="21" t="str">
        <x:v>Generic material, ecological, or social damage.</x:v>
      </x:c>
      <x:c r="J109" s="21" t="str">
        <x:v>FT-LF-Q-53018262148A</x:v>
      </x:c>
      <x:c r="K109" s="22" t="str">
        <x:v>harm_loss_consequences</x:v>
      </x:c>
      <x:c r="L109" s="21" t="str">
        <x:v>FT-F14</x:v>
      </x:c>
      <x:c r="M109" s="22" t="str">
        <x:v>D</x:v>
      </x:c>
      <x:c r="N109" s="22" t="str">
        <x:v>V2</x:v>
      </x:c>
      <x:c r="O109" s="22" t="str">
        <x:v>E5</x:v>
      </x:c>
      <x:c r="P109" s="21" t="str">
        <x:v>RECONSTRUCTED_FROM_REPORT; Fear of Temperature_ Stratified Lexical Expansion, Voice Mapping, and Semantic-Relational Pre-Valida.pdf; p.10; project candidate FT-SEED-R1B-P-0607-18; original visible ID not available</x:v>
      </x:c>
      <x:c r="Q109" s="21" t="str">
        <x:v>FT-NGM-53018262148A66</x:v>
      </x:c>
      <x:c r="R109" s="21" t="str">
        <x:v>water shortages</x:v>
      </x:c>
      <x:c r="S109" s="22" t="str">
        <x:v>EXACT</x:v>
      </x:c>
      <x:c r="T109" s="21" t="str">
        <x:v>FT-Q-V01-078</x:v>
      </x:c>
      <x:c r="U109" s="21" t="str">
        <x:v>Candidate surface form is directly representable in the public Ngram interface.</x:v>
      </x:c>
      <x:c r="V109" s="21" t="str">
        <x:v>Fear of Temperature_ Stratified Lexical Expansion, Voice Mapping, and Semantic-Relational Pre-Valida.pdf</x:v>
      </x:c>
      <x:c r="W109" s="21" t="str">
        <x:v>10</x:v>
      </x:c>
      <x:c r="X109" s="23" t="str">
        <x:v>RECONSTRUCTED_FROM_REPORT</x:v>
      </x:c>
    </x:row>
    <x:row r="110" ht="19" customHeight="1">
      <x:c r="A110" s="20" t="str">
        <x:v>FT-SEED-R1B-P-0607-19</x:v>
      </x:c>
      <x:c r="B110" s="21" t="str">
        <x:v>FT-A0607</x:v>
      </x:c>
      <x:c r="C110" s="22" t="str">
        <x:v>2006–2007</x:v>
      </x:c>
      <x:c r="D110" s="22" t="str">
        <x:v>19</x:v>
      </x:c>
      <x:c r="E110" s="21" t="str">
        <x:v>coastal flooding</x:v>
      </x:c>
      <x:c r="F110" s="21" t="str">
        <x:v>coastal flooding</x:v>
      </x:c>
      <x:c r="G110" s="21" t="str">
        <x:v>generic damage</x:v>
      </x:c>
      <x:c r="H110" s="21" t="str">
        <x:v>FT-C-GENERIC_DAMAGE</x:v>
      </x:c>
      <x:c r="I110" s="21" t="str">
        <x:v>Generic material, ecological, or social damage.</x:v>
      </x:c>
      <x:c r="J110" s="21" t="str">
        <x:v>FT-LF-Q-513E6CCF9721</x:v>
      </x:c>
      <x:c r="K110" s="22" t="str">
        <x:v>harm_loss_consequences</x:v>
      </x:c>
      <x:c r="L110" s="21" t="str">
        <x:v>FT-F14</x:v>
      </x:c>
      <x:c r="M110" s="22" t="str">
        <x:v>D</x:v>
      </x:c>
      <x:c r="N110" s="22" t="str">
        <x:v>V2</x:v>
      </x:c>
      <x:c r="O110" s="22" t="str">
        <x:v>E5</x:v>
      </x:c>
      <x:c r="P110" s="21" t="str">
        <x:v>RECONSTRUCTED_FROM_REPORT; Fear of Temperature_ Stratified Lexical Expansion, Voice Mapping, and Semantic-Relational Pre-Valida.pdf; p.10; project candidate FT-SEED-R1B-P-0607-19; original visible ID not available</x:v>
      </x:c>
      <x:c r="Q110" s="21" t="str">
        <x:v>FT-NGM-513E6CCF972191</x:v>
      </x:c>
      <x:c r="R110" s="21" t="str">
        <x:v>coastal flooding</x:v>
      </x:c>
      <x:c r="S110" s="22" t="str">
        <x:v>EXACT</x:v>
      </x:c>
      <x:c r="T110" s="21" t="str">
        <x:v>FT-Q-V01-079</x:v>
      </x:c>
      <x:c r="U110" s="21" t="str">
        <x:v>Candidate surface form is directly representable in the public Ngram interface.</x:v>
      </x:c>
      <x:c r="V110" s="21" t="str">
        <x:v>Fear of Temperature_ Stratified Lexical Expansion, Voice Mapping, and Semantic-Relational Pre-Valida.pdf</x:v>
      </x:c>
      <x:c r="W110" s="21" t="str">
        <x:v>10</x:v>
      </x:c>
      <x:c r="X110" s="23" t="str">
        <x:v>RECONSTRUCTED_FROM_REPORT</x:v>
      </x:c>
    </x:row>
    <x:row r="111" ht="19" customHeight="1">
      <x:c r="A111" s="20" t="str">
        <x:v>FT-SEED-R1B-P-0607-20</x:v>
      </x:c>
      <x:c r="B111" s="21" t="str">
        <x:v>FT-A0607</x:v>
      </x:c>
      <x:c r="C111" s="22" t="str">
        <x:v>2006–2007</x:v>
      </x:c>
      <x:c r="D111" s="22" t="str">
        <x:v>20</x:v>
      </x:c>
      <x:c r="E111" s="21" t="str">
        <x:v>worst impacts</x:v>
      </x:c>
      <x:c r="F111" s="21" t="str">
        <x:v>worst impacts</x:v>
      </x:c>
      <x:c r="G111" s="21" t="str">
        <x:v>generic damage</x:v>
      </x:c>
      <x:c r="H111" s="21" t="str">
        <x:v>FT-C-GENERIC_DAMAGE</x:v>
      </x:c>
      <x:c r="I111" s="21" t="str">
        <x:v>Generic material, ecological, or social damage.</x:v>
      </x:c>
      <x:c r="J111" s="21" t="str">
        <x:v>FT-LF-Q-FDB963F012C1</x:v>
      </x:c>
      <x:c r="K111" s="22" t="str">
        <x:v>harm_loss_consequences</x:v>
      </x:c>
      <x:c r="L111" s="21" t="str">
        <x:v>FT-F14</x:v>
      </x:c>
      <x:c r="M111" s="22" t="str">
        <x:v>D</x:v>
      </x:c>
      <x:c r="N111" s="22" t="str">
        <x:v>V2</x:v>
      </x:c>
      <x:c r="O111" s="22" t="str">
        <x:v>E5</x:v>
      </x:c>
      <x:c r="P111" s="21" t="str">
        <x:v>RECONSTRUCTED_FROM_REPORT; Fear of Temperature_ Stratified Lexical Expansion, Voice Mapping, and Semantic-Relational Pre-Valida.pdf; p.10; project candidate FT-SEED-R1B-P-0607-20; original visible ID not available</x:v>
      </x:c>
      <x:c r="Q111" s="21" t="str">
        <x:v>FT-NGM-FDB963F012C174</x:v>
      </x:c>
      <x:c r="R111" s="21" t="str">
        <x:v>worst impacts</x:v>
      </x:c>
      <x:c r="S111" s="22" t="str">
        <x:v>EXACT</x:v>
      </x:c>
      <x:c r="T111" s="21" t="str">
        <x:v>FT-Q-V01-080</x:v>
      </x:c>
      <x:c r="U111" s="21" t="str">
        <x:v>Candidate surface form is directly representable in the public Ngram interface.</x:v>
      </x:c>
      <x:c r="V111" s="21" t="str">
        <x:v>Fear of Temperature_ Stratified Lexical Expansion, Voice Mapping, and Semantic-Relational Pre-Valida.pdf</x:v>
      </x:c>
      <x:c r="W111" s="21" t="str">
        <x:v>10</x:v>
      </x:c>
      <x:c r="X111" s="23" t="str">
        <x:v>RECONSTRUCTED_FROM_REPORT</x:v>
      </x:c>
    </x:row>
    <x:row r="112" ht="19" customHeight="1">
      <x:c r="A112" s="20" t="str">
        <x:v>FT-SEED-R1B-P-0607-21</x:v>
      </x:c>
      <x:c r="B112" s="21" t="str">
        <x:v>FT-A0607</x:v>
      </x:c>
      <x:c r="C112" s="22" t="str">
        <x:v>2006–2007</x:v>
      </x:c>
      <x:c r="D112" s="22" t="str">
        <x:v>21</x:v>
      </x:c>
      <x:c r="E112" s="21" t="str">
        <x:v>Be Worried. Be Very Worried.</x:v>
      </x:c>
      <x:c r="F112" s="21" t="str">
        <x:v>be worried. be very worried.</x:v>
      </x:c>
      <x:c r="G112" s="21" t="str">
        <x:v>prescribed worry</x:v>
      </x:c>
      <x:c r="H112" s="21" t="str">
        <x:v>FT-C-PRESCRIBED_WORRY</x:v>
      </x:c>
      <x:c r="I112" s="21" t="str">
        <x:v>Worry explicitly prescribed to an audience by a communicator.</x:v>
      </x:c>
      <x:c r="J112" s="21" t="str">
        <x:v>FT-LF-BE_WORRIED</x:v>
      </x:c>
      <x:c r="K112" s="22" t="str">
        <x:v>worry</x:v>
      </x:c>
      <x:c r="L112" s="21" t="str">
        <x:v>FT-F07</x:v>
      </x:c>
      <x:c r="M112" s="22" t="str">
        <x:v>C</x:v>
      </x:c>
      <x:c r="N112" s="22" t="str">
        <x:v>V3</x:v>
      </x:c>
      <x:c r="O112" s="22" t="str">
        <x:v>E1</x:v>
      </x:c>
      <x:c r="P112" s="21" t="str">
        <x:v>RECONSTRUCTED_FROM_REPORT; Fear of Temperature_ Stratified Lexical Expansion, Voice Mapping, and Semantic-Relational Pre-Valida.pdf; p.10; project candidate FT-SEED-R1B-P-0607-21; original visible ID not available</x:v>
      </x:c>
      <x:c r="Q112" s="21" t="str">
        <x:v>FT-NGM-339EC9F25C3787</x:v>
      </x:c>
      <x:c r="R112" s="21" t="str">
        <x:v>be worried be very worried</x:v>
      </x:c>
      <x:c r="S112" s="22" t="str">
        <x:v>NORMALIZED_VARIANT</x:v>
      </x:c>
      <x:c r="T112" s="21" t="str">
        <x:v>FT-Q-V01-141</x:v>
      </x:c>
      <x:c r="U112" s="21" t="str">
        <x:v>Sentence punctuation and capitalization are removed while the complete wording is preserved.</x:v>
      </x:c>
      <x:c r="V112" s="21" t="str">
        <x:v>Fear of Temperature_ Stratified Lexical Expansion, Voice Mapping, and Semantic-Relational Pre-Valida.pdf</x:v>
      </x:c>
      <x:c r="W112" s="21" t="str">
        <x:v>10</x:v>
      </x:c>
      <x:c r="X112" s="23" t="str">
        <x:v>RECONSTRUCTED_FROM_REPORT</x:v>
      </x:c>
    </x:row>
    <x:row r="113" ht="19" customHeight="1">
      <x:c r="A113" s="20" t="str">
        <x:v>FT-SEED-R1B-P-0607-22</x:v>
      </x:c>
      <x:c r="B113" s="21" t="str">
        <x:v>FT-A0607</x:v>
      </x:c>
      <x:c r="C113" s="22" t="str">
        <x:v>2006–2007</x:v>
      </x:c>
      <x:c r="D113" s="22" t="str">
        <x:v>22</x:v>
      </x:c>
      <x:c r="E113" s="21" t="str">
        <x:v>personally worry</x:v>
      </x:c>
      <x:c r="F113" s="21" t="str">
        <x:v>personally worry</x:v>
      </x:c>
      <x:c r="G113" s="21" t="str">
        <x:v>elicited worry category</x:v>
      </x:c>
      <x:c r="H113" s="21" t="str">
        <x:v>FT-C-ELICITED_WORRY_CATEGORY</x:v>
      </x:c>
      <x:c r="I113" s="21" t="str">
        <x:v>Worry wording supplied by a survey or other instrument.</x:v>
      </x:c>
      <x:c r="J113" s="21" t="str">
        <x:v>FT-LF-PERSONALLY_WORRY</x:v>
      </x:c>
      <x:c r="K113" s="22" t="str">
        <x:v>worry</x:v>
      </x:c>
      <x:c r="L113" s="21" t="str">
        <x:v>FT-F07</x:v>
      </x:c>
      <x:c r="M113" s="22" t="str">
        <x:v>C</x:v>
      </x:c>
      <x:c r="N113" s="22" t="str">
        <x:v>V5</x:v>
      </x:c>
      <x:c r="O113" s="22" t="str">
        <x:v>E3</x:v>
      </x:c>
      <x:c r="P113" s="21" t="str">
        <x:v>RECONSTRUCTED_FROM_REPORT; Fear of Temperature_ Stratified Lexical Expansion, Voice Mapping, and Semantic-Relational Pre-Valida.pdf; p.10; project candidate FT-SEED-R1B-P-0607-22; original visible ID not available</x:v>
      </x:c>
      <x:c r="Q113" s="21" t="str">
        <x:v>FT-NGM-035E86217E0C59</x:v>
      </x:c>
      <x:c r="R113" s="21" t="str">
        <x:v>personally worry</x:v>
      </x:c>
      <x:c r="S113" s="22" t="str">
        <x:v>EXACT</x:v>
      </x:c>
      <x:c r="T113" s="21" t="str">
        <x:v>FT-Q-P180-08820811A990</x:v>
      </x:c>
      <x:c r="U113" s="21" t="str">
        <x:v>Candidate surface form is directly representable in the public Ngram interface.</x:v>
      </x:c>
      <x:c r="V113" s="21" t="str">
        <x:v>Fear of Temperature_ Stratified Lexical Expansion, Voice Mapping, and Semantic-Relational Pre-Valida.pdf</x:v>
      </x:c>
      <x:c r="W113" s="21" t="str">
        <x:v>10</x:v>
      </x:c>
      <x:c r="X113" s="23" t="str">
        <x:v>RECONSTRUCTED_FROM_REPORT</x:v>
      </x:c>
    </x:row>
    <x:row r="114" ht="19" customHeight="1">
      <x:c r="A114" s="20" t="str">
        <x:v>FT-SEED-R1B-P-0607-23</x:v>
      </x:c>
      <x:c r="B114" s="21" t="str">
        <x:v>FT-A0607</x:v>
      </x:c>
      <x:c r="C114" s="22" t="str">
        <x:v>2006–2007</x:v>
      </x:c>
      <x:c r="D114" s="22" t="str">
        <x:v>23</x:v>
      </x:c>
      <x:c r="E114" s="21" t="str">
        <x:v>worry a great deal</x:v>
      </x:c>
      <x:c r="F114" s="21" t="str">
        <x:v>worry a great deal</x:v>
      </x:c>
      <x:c r="G114" s="21" t="str">
        <x:v>elicited worry category</x:v>
      </x:c>
      <x:c r="H114" s="21" t="str">
        <x:v>FT-C-ELICITED_WORRY_CATEGORY</x:v>
      </x:c>
      <x:c r="I114" s="21" t="str">
        <x:v>Worry wording supplied by a survey or other instrument.</x:v>
      </x:c>
      <x:c r="J114" s="21" t="str">
        <x:v>FT-LF-P180-36474AEDB2ED</x:v>
      </x:c>
      <x:c r="K114" s="22" t="str">
        <x:v>worry</x:v>
      </x:c>
      <x:c r="L114" s="21" t="str">
        <x:v>FT-F07</x:v>
      </x:c>
      <x:c r="M114" s="22" t="str">
        <x:v>C</x:v>
      </x:c>
      <x:c r="N114" s="22" t="str">
        <x:v>V5</x:v>
      </x:c>
      <x:c r="O114" s="22" t="str">
        <x:v>E5</x:v>
      </x:c>
      <x:c r="P114" s="21" t="str">
        <x:v>RECONSTRUCTED_FROM_REPORT; Fear of Temperature_ Stratified Lexical Expansion, Voice Mapping, and Semantic-Relational Pre-Valida.pdf; p.10; project candidate FT-SEED-R1B-P-0607-23; original visible ID not available</x:v>
      </x:c>
      <x:c r="Q114" s="21" t="str">
        <x:v>FT-NGM-36474AEDB2EDAE</x:v>
      </x:c>
      <x:c r="R114" s="21" t="str">
        <x:v>worry a great deal</x:v>
      </x:c>
      <x:c r="S114" s="22" t="str">
        <x:v>EXACT</x:v>
      </x:c>
      <x:c r="T114" s="21" t="str">
        <x:v>FT-Q-P180-3A4C9CAB7A27</x:v>
      </x:c>
      <x:c r="U114" s="21" t="str">
        <x:v>Candidate surface form is directly representable in the public Ngram interface.</x:v>
      </x:c>
      <x:c r="V114" s="21" t="str">
        <x:v>Fear of Temperature_ Stratified Lexical Expansion, Voice Mapping, and Semantic-Relational Pre-Valida.pdf</x:v>
      </x:c>
      <x:c r="W114" s="21" t="str">
        <x:v>10</x:v>
      </x:c>
      <x:c r="X114" s="23" t="str">
        <x:v>RECONSTRUCTED_FROM_REPORT</x:v>
      </x:c>
    </x:row>
    <x:row r="115" ht="19" customHeight="1">
      <x:c r="A115" s="20" t="str">
        <x:v>FT-SEED-R1B-P-0607-24</x:v>
      </x:c>
      <x:c r="B115" s="21" t="str">
        <x:v>FT-A0607</x:v>
      </x:c>
      <x:c r="C115" s="22" t="str">
        <x:v>2006–2007</x:v>
      </x:c>
      <x:c r="D115" s="22" t="str">
        <x:v>24</x:v>
      </x:c>
      <x:c r="E115" s="21" t="str">
        <x:v>serious problem</x:v>
      </x:c>
      <x:c r="F115" s="21" t="str">
        <x:v>serious problem</x:v>
      </x:c>
      <x:c r="G115" s="21" t="str">
        <x:v>generic damage</x:v>
      </x:c>
      <x:c r="H115" s="21" t="str">
        <x:v>FT-C-GENERIC_DAMAGE</x:v>
      </x:c>
      <x:c r="I115" s="21" t="str">
        <x:v>Generic material, ecological, or social damage.</x:v>
      </x:c>
      <x:c r="J115" s="21" t="str">
        <x:v>FT-LF-P180-0019D3023F07</x:v>
      </x:c>
      <x:c r="K115" s="22" t="str">
        <x:v>harm_loss_consequences</x:v>
      </x:c>
      <x:c r="L115" s="21" t="str">
        <x:v>FT-F14</x:v>
      </x:c>
      <x:c r="M115" s="22" t="str">
        <x:v>D</x:v>
      </x:c>
      <x:c r="N115" s="22" t="str">
        <x:v>V5</x:v>
      </x:c>
      <x:c r="O115" s="22" t="str">
        <x:v>E5</x:v>
      </x:c>
      <x:c r="P115" s="21" t="str">
        <x:v>RECONSTRUCTED_FROM_REPORT; Fear of Temperature_ Stratified Lexical Expansion, Voice Mapping, and Semantic-Relational Pre-Valida.pdf; p.10; project candidate FT-SEED-R1B-P-0607-24; original visible ID not available</x:v>
      </x:c>
      <x:c r="Q115" s="21" t="str">
        <x:v>FT-NGM-0019D3023F07AA</x:v>
      </x:c>
      <x:c r="R115" s="21" t="str">
        <x:v>serious problem</x:v>
      </x:c>
      <x:c r="S115" s="22" t="str">
        <x:v>EXACT</x:v>
      </x:c>
      <x:c r="T115" s="21" t="str">
        <x:v>FT-Q-P180-E3A808A6D063</x:v>
      </x:c>
      <x:c r="U115" s="21" t="str">
        <x:v>Candidate surface form is directly representable in the public Ngram interface.</x:v>
      </x:c>
      <x:c r="V115" s="21" t="str">
        <x:v>Fear of Temperature_ Stratified Lexical Expansion, Voice Mapping, and Semantic-Relational Pre-Valida.pdf</x:v>
      </x:c>
      <x:c r="W115" s="21" t="str">
        <x:v>10</x:v>
      </x:c>
      <x:c r="X115" s="23" t="str">
        <x:v>RECONSTRUCTED_FROM_REPORT</x:v>
      </x:c>
    </x:row>
    <x:row r="116" ht="19" customHeight="1">
      <x:c r="A116" s="20" t="str">
        <x:v>FT-SEED-R1B-P-0607-25</x:v>
      </x:c>
      <x:c r="B116" s="21" t="str">
        <x:v>FT-A0607</x:v>
      </x:c>
      <x:c r="C116" s="22" t="str">
        <x:v>2006–2007</x:v>
      </x:c>
      <x:c r="D116" s="22" t="str">
        <x:v>25</x:v>
      </x:c>
      <x:c r="E116" s="21" t="str">
        <x:v>danger</x:v>
      </x:c>
      <x:c r="F116" s="21" t="str">
        <x:v>danger</x:v>
      </x:c>
      <x:c r="G116" s="21" t="str">
        <x:v>hazard evaluation</x:v>
      </x:c>
      <x:c r="H116" s="21" t="str">
        <x:v>FT-C-HAZARD_EVALUATION</x:v>
      </x:c>
      <x:c r="I116" s="21" t="str">
        <x:v>Danger or threat evaluation of a specified hazard.</x:v>
      </x:c>
      <x:c r="J116" s="21" t="str">
        <x:v>FT-LF-DANGER</x:v>
      </x:c>
      <x:c r="K116" s="22" t="str">
        <x:v>danger_threat</x:v>
      </x:c>
      <x:c r="L116" s="21" t="str">
        <x:v>FT-F11</x:v>
      </x:c>
      <x:c r="M116" s="22" t="str">
        <x:v>D</x:v>
      </x:c>
      <x:c r="N116" s="22" t="str">
        <x:v>V5</x:v>
      </x:c>
      <x:c r="O116" s="22" t="str">
        <x:v>E5</x:v>
      </x:c>
      <x:c r="P116" s="21" t="str">
        <x:v>RECONSTRUCTED_FROM_REPORT; Fear of Temperature_ Stratified Lexical Expansion, Voice Mapping, and Semantic-Relational Pre-Valida.pdf; p.10; project candidate FT-SEED-R1B-P-0607-25; original visible ID not available</x:v>
      </x:c>
      <x:c r="Q116" s="21" t="str">
        <x:v>FT-NGM-123FD666AA39D3</x:v>
      </x:c>
      <x:c r="R116" s="21" t="str">
        <x:v>danger</x:v>
      </x:c>
      <x:c r="S116" s="22" t="str">
        <x:v>EXACT</x:v>
      </x:c>
      <x:c r="T116" s="21" t="str">
        <x:v>FT-Q-P180-D66C22728199</x:v>
      </x:c>
      <x:c r="U116" s="21" t="str">
        <x:v>Candidate surface form is directly representable in the public Ngram interface.</x:v>
      </x:c>
      <x:c r="V116" s="21" t="str">
        <x:v>Fear of Temperature_ Stratified Lexical Expansion, Voice Mapping, and Semantic-Relational Pre-Valida.pdf</x:v>
      </x:c>
      <x:c r="W116" s="21" t="str">
        <x:v>10</x:v>
      </x:c>
      <x:c r="X116" s="23" t="str">
        <x:v>RECONSTRUCTED_FROM_REPORT</x:v>
      </x:c>
    </x:row>
    <x:row r="117" ht="19" customHeight="1">
      <x:c r="A117" s="20" t="str">
        <x:v>FT-SEED-R1B-P-0607-26</x:v>
      </x:c>
      <x:c r="B117" s="21" t="str">
        <x:v>FT-A0607</x:v>
      </x:c>
      <x:c r="C117" s="22" t="str">
        <x:v>2006–2007</x:v>
      </x:c>
      <x:c r="D117" s="22" t="str">
        <x:v>26</x:v>
      </x:c>
      <x:c r="E117" s="21" t="str">
        <x:v>urgent threat</x:v>
      </x:c>
      <x:c r="F117" s="21" t="str">
        <x:v>urgent threat</x:v>
      </x:c>
      <x:c r="G117" s="21" t="str">
        <x:v>institutional climate threat</x:v>
      </x:c>
      <x:c r="H117" s="21" t="str">
        <x:v>FT-C-INSTITUTIONAL_CLIMATE_THREAT</x:v>
      </x:c>
      <x:c r="I117" s="21" t="str">
        <x:v>Climate change framed as an institutional threat.</x:v>
      </x:c>
      <x:c r="J117" s="21" t="str">
        <x:v>FT-LF-P180-54BC12F2B578</x:v>
      </x:c>
      <x:c r="K117" s="22" t="str">
        <x:v>danger_threat</x:v>
      </x:c>
      <x:c r="L117" s="21" t="str">
        <x:v>FT-F11</x:v>
      </x:c>
      <x:c r="M117" s="22" t="str">
        <x:v>D</x:v>
      </x:c>
      <x:c r="N117" s="22" t="str">
        <x:v>V5</x:v>
      </x:c>
      <x:c r="O117" s="22" t="str">
        <x:v>E5</x:v>
      </x:c>
      <x:c r="P117" s="21" t="str">
        <x:v>RECONSTRUCTED_FROM_REPORT; Fear of Temperature_ Stratified Lexical Expansion, Voice Mapping, and Semantic-Relational Pre-Valida.pdf; p.10; project candidate FT-SEED-R1B-P-0607-26; original visible ID not available</x:v>
      </x:c>
      <x:c r="Q117" s="21" t="str">
        <x:v>FT-NGM-54BC12F2B57810</x:v>
      </x:c>
      <x:c r="R117" s="21" t="str">
        <x:v>urgent threat</x:v>
      </x:c>
      <x:c r="S117" s="22" t="str">
        <x:v>EXACT</x:v>
      </x:c>
      <x:c r="T117" s="21" t="str">
        <x:v>FT-Q-P180-98AE32748827</x:v>
      </x:c>
      <x:c r="U117" s="21" t="str">
        <x:v>Candidate surface form is directly representable in the public Ngram interface.</x:v>
      </x:c>
      <x:c r="V117" s="21" t="str">
        <x:v>Fear of Temperature_ Stratified Lexical Expansion, Voice Mapping, and Semantic-Relational Pre-Valida.pdf</x:v>
      </x:c>
      <x:c r="W117" s="21" t="str">
        <x:v>10</x:v>
      </x:c>
      <x:c r="X117" s="23" t="str">
        <x:v>RECONSTRUCTED_FROM_REPORT</x:v>
      </x:c>
    </x:row>
    <x:row r="118" ht="19" customHeight="1">
      <x:c r="A118" s="20" t="str">
        <x:v>FT-SEED-R1B-P-0607-27</x:v>
      </x:c>
      <x:c r="B118" s="21" t="str">
        <x:v>FT-A0607</x:v>
      </x:c>
      <x:c r="C118" s="22" t="str">
        <x:v>2006–2007</x:v>
      </x:c>
      <x:c r="D118" s="22" t="str">
        <x:v>27</x:v>
      </x:c>
      <x:c r="E118" s="21" t="str">
        <x:v>dangerous impacts</x:v>
      </x:c>
      <x:c r="F118" s="21" t="str">
        <x:v>dangerous impacts</x:v>
      </x:c>
      <x:c r="G118" s="21" t="str">
        <x:v>institutional climate threat</x:v>
      </x:c>
      <x:c r="H118" s="21" t="str">
        <x:v>FT-C-INSTITUTIONAL_CLIMATE_THREAT</x:v>
      </x:c>
      <x:c r="I118" s="21" t="str">
        <x:v>Climate change framed as an institutional threat.</x:v>
      </x:c>
      <x:c r="J118" s="21" t="str">
        <x:v>FT-LF-P180-321C3B4C7B39</x:v>
      </x:c>
      <x:c r="K118" s="22" t="str">
        <x:v>danger_threat</x:v>
      </x:c>
      <x:c r="L118" s="21" t="str">
        <x:v>FT-F11</x:v>
      </x:c>
      <x:c r="M118" s="22" t="str">
        <x:v>D</x:v>
      </x:c>
      <x:c r="N118" s="22" t="str">
        <x:v>V5</x:v>
      </x:c>
      <x:c r="O118" s="22" t="str">
        <x:v>E5</x:v>
      </x:c>
      <x:c r="P118" s="21" t="str">
        <x:v>RECONSTRUCTED_FROM_REPORT; Fear of Temperature_ Stratified Lexical Expansion, Voice Mapping, and Semantic-Relational Pre-Valida.pdf; p.10; project candidate FT-SEED-R1B-P-0607-27; original visible ID not available</x:v>
      </x:c>
      <x:c r="Q118" s="21" t="str">
        <x:v>FT-NGM-321C3B4C7B3933</x:v>
      </x:c>
      <x:c r="R118" s="21" t="str">
        <x:v>dangerous impacts</x:v>
      </x:c>
      <x:c r="S118" s="22" t="str">
        <x:v>EXACT</x:v>
      </x:c>
      <x:c r="T118" s="21" t="str">
        <x:v>FT-Q-P180-70F007765CE8</x:v>
      </x:c>
      <x:c r="U118" s="21" t="str">
        <x:v>Candidate surface form is directly representable in the public Ngram interface.</x:v>
      </x:c>
      <x:c r="V118" s="21" t="str">
        <x:v>Fear of Temperature_ Stratified Lexical Expansion, Voice Mapping, and Semantic-Relational Pre-Valida.pdf</x:v>
      </x:c>
      <x:c r="W118" s="21" t="str">
        <x:v>10</x:v>
      </x:c>
      <x:c r="X118" s="23" t="str">
        <x:v>RECONSTRUCTED_FROM_REPORT</x:v>
      </x:c>
    </x:row>
    <x:row r="119" ht="19" customHeight="1">
      <x:c r="A119" s="20" t="str">
        <x:v>FT-SEED-R1B-P-0607-28</x:v>
      </x:c>
      <x:c r="B119" s="21" t="str">
        <x:v>FT-A0607</x:v>
      </x:c>
      <x:c r="C119" s="22" t="str">
        <x:v>2006–2007</x:v>
      </x:c>
      <x:c r="D119" s="22" t="str">
        <x:v>28</x:v>
      </x:c>
      <x:c r="E119" s="21" t="str">
        <x:v>drastic action</x:v>
      </x:c>
      <x:c r="F119" s="21" t="str">
        <x:v>drastic action</x:v>
      </x:c>
      <x:c r="G119" s="21" t="str">
        <x:v>generic damage</x:v>
      </x:c>
      <x:c r="H119" s="21" t="str">
        <x:v>FT-C-GENERIC_DAMAGE</x:v>
      </x:c>
      <x:c r="I119" s="21" t="str">
        <x:v>Generic material, ecological, or social damage.</x:v>
      </x:c>
      <x:c r="J119" s="21" t="str">
        <x:v>FT-LF-P180-2598820C819F</x:v>
      </x:c>
      <x:c r="K119" s="22" t="str">
        <x:v>harm_loss_consequences</x:v>
      </x:c>
      <x:c r="L119" s="21" t="str">
        <x:v>FT-F14</x:v>
      </x:c>
      <x:c r="M119" s="22" t="str">
        <x:v>D</x:v>
      </x:c>
      <x:c r="N119" s="22" t="str">
        <x:v>V5</x:v>
      </x:c>
      <x:c r="O119" s="22" t="str">
        <x:v>E5</x:v>
      </x:c>
      <x:c r="P119" s="21" t="str">
        <x:v>RECONSTRUCTED_FROM_REPORT; Fear of Temperature_ Stratified Lexical Expansion, Voice Mapping, and Semantic-Relational Pre-Valida.pdf; p.10; project candidate FT-SEED-R1B-P-0607-28; original visible ID not available</x:v>
      </x:c>
      <x:c r="Q119" s="21" t="str">
        <x:v>FT-NGM-2598820C819FBF</x:v>
      </x:c>
      <x:c r="R119" s="21" t="str">
        <x:v>drastic action</x:v>
      </x:c>
      <x:c r="S119" s="22" t="str">
        <x:v>EXACT</x:v>
      </x:c>
      <x:c r="T119" s="21" t="str">
        <x:v>FT-Q-P180-474C80D4E4A5</x:v>
      </x:c>
      <x:c r="U119" s="21" t="str">
        <x:v>Candidate surface form is directly representable in the public Ngram interface.</x:v>
      </x:c>
      <x:c r="V119" s="21" t="str">
        <x:v>Fear of Temperature_ Stratified Lexical Expansion, Voice Mapping, and Semantic-Relational Pre-Valida.pdf</x:v>
      </x:c>
      <x:c r="W119" s="21" t="str">
        <x:v>10</x:v>
      </x:c>
      <x:c r="X119" s="23" t="str">
        <x:v>RECONSTRUCTED_FROM_REPORT</x:v>
      </x:c>
    </x:row>
    <x:row r="120" ht="19" customHeight="1">
      <x:c r="A120" s="20" t="str">
        <x:v>FT-SEED-R1B-P-0607-29</x:v>
      </x:c>
      <x:c r="B120" s="21" t="str">
        <x:v>FT-A0607</x:v>
      </x:c>
      <x:c r="C120" s="22" t="str">
        <x:v>2006–2007</x:v>
      </x:c>
      <x:c r="D120" s="22" t="str">
        <x:v>29</x:v>
      </x:c>
      <x:c r="E120" s="21" t="str">
        <x:v>dangerous climate change</x:v>
      </x:c>
      <x:c r="F120" s="21" t="str">
        <x:v>dangerous climate change</x:v>
      </x:c>
      <x:c r="G120" s="21" t="str">
        <x:v>modern climate change</x:v>
      </x:c>
      <x:c r="H120" s="21" t="str">
        <x:v>FT-C-MODERN_CLIMATE_CHANGE</x:v>
      </x:c>
      <x:c r="I120" s="21" t="str">
        <x:v>Modern climate change as an anthropogenic scientific, public, or governance problem.</x:v>
      </x:c>
      <x:c r="J120" s="21" t="str">
        <x:v>FT-LF-P180-8C9F976F7593</x:v>
      </x:c>
      <x:c r="K120" s="22" t="str">
        <x:v>climate</x:v>
      </x:c>
      <x:c r="L120" s="21" t="str">
        <x:v>FT-F04</x:v>
      </x:c>
      <x:c r="M120" s="22" t="str">
        <x:v>D</x:v>
      </x:c>
      <x:c r="N120" s="22" t="str">
        <x:v>V4</x:v>
      </x:c>
      <x:c r="O120" s="22" t="str">
        <x:v>E5</x:v>
      </x:c>
      <x:c r="P120" s="21" t="str">
        <x:v>RECONSTRUCTED_FROM_REPORT; Fear of Temperature_ Stratified Lexical Expansion, Voice Mapping, and Semantic-Relational Pre-Valida.pdf; p.10; project candidate FT-SEED-R1B-P-0607-29; original visible ID not available</x:v>
      </x:c>
      <x:c r="Q120" s="21" t="str">
        <x:v>FT-NGM-8C9F976F75935B</x:v>
      </x:c>
      <x:c r="R120" s="21" t="str">
        <x:v>dangerous climate change</x:v>
      </x:c>
      <x:c r="S120" s="22" t="str">
        <x:v>EXACT</x:v>
      </x:c>
      <x:c r="T120" s="21" t="str">
        <x:v>FT-Q-P180-F88C2B918C1B</x:v>
      </x:c>
      <x:c r="U120" s="21" t="str">
        <x:v>Candidate surface form is directly representable in the public Ngram interface.</x:v>
      </x:c>
      <x:c r="V120" s="21" t="str">
        <x:v>Fear of Temperature_ Stratified Lexical Expansion, Voice Mapping, and Semantic-Relational Pre-Valida.pdf</x:v>
      </x:c>
      <x:c r="W120" s="21" t="str">
        <x:v>10</x:v>
      </x:c>
      <x:c r="X120" s="23" t="str">
        <x:v>RECONSTRUCTED_FROM_REPORT</x:v>
      </x:c>
    </x:row>
    <x:row r="121" ht="19" customHeight="1">
      <x:c r="A121" s="20" t="str">
        <x:v>FT-SEED-R1B-P-0607-30</x:v>
      </x:c>
      <x:c r="B121" s="21" t="str">
        <x:v>FT-A0607</x:v>
      </x:c>
      <x:c r="C121" s="22" t="str">
        <x:v>2006–2007</x:v>
      </x:c>
      <x:c r="D121" s="22" t="str">
        <x:v>30</x:v>
      </x:c>
      <x:c r="E121" s="21" t="str">
        <x:v>threatens serious negative effects</x:v>
      </x:c>
      <x:c r="F121" s="21" t="str">
        <x:v>threatens serious negative effects</x:v>
      </x:c>
      <x:c r="G121" s="21" t="str">
        <x:v>institutional climate threat</x:v>
      </x:c>
      <x:c r="H121" s="21" t="str">
        <x:v>FT-C-INSTITUTIONAL_CLIMATE_THREAT</x:v>
      </x:c>
      <x:c r="I121" s="21" t="str">
        <x:v>Climate change framed as an institutional threat.</x:v>
      </x:c>
      <x:c r="J121" s="21" t="str">
        <x:v>FT-LF-P180-CB4737FF4DB7</x:v>
      </x:c>
      <x:c r="K121" s="22" t="str">
        <x:v>danger_threat</x:v>
      </x:c>
      <x:c r="L121" s="21" t="str">
        <x:v>FT-F11</x:v>
      </x:c>
      <x:c r="M121" s="22" t="str">
        <x:v>D</x:v>
      </x:c>
      <x:c r="N121" s="22" t="str">
        <x:v>V4</x:v>
      </x:c>
      <x:c r="O121" s="22" t="str">
        <x:v>E5</x:v>
      </x:c>
      <x:c r="P121" s="21" t="str">
        <x:v>RECONSTRUCTED_FROM_REPORT; Fear of Temperature_ Stratified Lexical Expansion, Voice Mapping, and Semantic-Relational Pre-Valida.pdf; p.10; project candidate FT-SEED-R1B-P-0607-30; original visible ID not available</x:v>
      </x:c>
      <x:c r="Q121" s="21" t="str">
        <x:v>FT-NGM-CB4737FF4DB799</x:v>
      </x:c>
      <x:c r="R121" s="21" t="str">
        <x:v>threatens serious negative effects</x:v>
      </x:c>
      <x:c r="S121" s="22" t="str">
        <x:v>EXACT</x:v>
      </x:c>
      <x:c r="T121" s="21" t="str">
        <x:v>FT-Q-P180-6C32D3302148</x:v>
      </x:c>
      <x:c r="U121" s="21" t="str">
        <x:v>Candidate surface form is directly representable in the public Ngram interface.</x:v>
      </x:c>
      <x:c r="V121" s="21" t="str">
        <x:v>Fear of Temperature_ Stratified Lexical Expansion, Voice Mapping, and Semantic-Relational Pre-Valida.pdf</x:v>
      </x:c>
      <x:c r="W121" s="21" t="str">
        <x:v>10</x:v>
      </x:c>
      <x:c r="X121" s="23" t="str">
        <x:v>RECONSTRUCTED_FROM_REPORT</x:v>
      </x:c>
    </x:row>
    <x:row r="122" ht="19" customHeight="1">
      <x:c r="A122" s="20" t="str">
        <x:v>FT-SEED-R1B-P-2015-01</x:v>
      </x:c>
      <x:c r="B122" s="21" t="str">
        <x:v>FT-A2015</x:v>
      </x:c>
      <x:c r="C122" s="22" t="str">
        <x:v>2015</x:v>
      </x:c>
      <x:c r="D122" s="22" t="str">
        <x:v>1</x:v>
      </x:c>
      <x:c r="E122" s="21" t="str">
        <x:v>climate change</x:v>
      </x:c>
      <x:c r="F122" s="21" t="str">
        <x:v>climate change</x:v>
      </x:c>
      <x:c r="G122" s="21" t="str">
        <x:v>modern climate change</x:v>
      </x:c>
      <x:c r="H122" s="21" t="str">
        <x:v>FT-C-MODERN_CLIMATE_CHANGE</x:v>
      </x:c>
      <x:c r="I122" s="21" t="str">
        <x:v>Modern climate change as an anthropogenic scientific, public, or governance problem.</x:v>
      </x:c>
      <x:c r="J122" s="21" t="str">
        <x:v>FT-LF-CLIMATE_CHANGE</x:v>
      </x:c>
      <x:c r="K122" s="22" t="str">
        <x:v>climate</x:v>
      </x:c>
      <x:c r="L122" s="21" t="str">
        <x:v>FT-F04</x:v>
      </x:c>
      <x:c r="M122" s="22" t="str">
        <x:v>B</x:v>
      </x:c>
      <x:c r="N122" s="22" t="str">
        <x:v>V2</x:v>
      </x:c>
      <x:c r="O122" s="22" t="str">
        <x:v>E5</x:v>
      </x:c>
      <x:c r="P122" s="21" t="str">
        <x:v>RECONSTRUCTED_FROM_REPORT; Fear of Temperature_ Stratified Lexical Expansion, Voice Mapping, and Semantic-Relational Pre-Valida.pdf; p.11; project candidate FT-SEED-R1B-P-2015-01; original visible ID not available</x:v>
      </x:c>
      <x:c r="Q122" s="21" t="str">
        <x:v>FT-NGM-F28D567CF5453B</x:v>
      </x:c>
      <x:c r="R122" s="21" t="str">
        <x:v>climate change</x:v>
      </x:c>
      <x:c r="S122" s="22" t="str">
        <x:v>EXACT</x:v>
      </x:c>
      <x:c r="T122" s="21" t="str">
        <x:v>FT-Q-V01-081</x:v>
      </x:c>
      <x:c r="U122" s="21" t="str">
        <x:v>Candidate surface form is directly representable in the public Ngram interface.</x:v>
      </x:c>
      <x:c r="V122" s="21" t="str">
        <x:v>Fear of Temperature_ Stratified Lexical Expansion, Voice Mapping, and Semantic-Relational Pre-Valida.pdf</x:v>
      </x:c>
      <x:c r="W122" s="21" t="str">
        <x:v>11</x:v>
      </x:c>
      <x:c r="X122" s="23" t="str">
        <x:v>RECONSTRUCTED_FROM_REPORT</x:v>
      </x:c>
    </x:row>
    <x:row r="123" ht="19" customHeight="1">
      <x:c r="A123" s="20" t="str">
        <x:v>FT-SEED-R1B-P-2015-02</x:v>
      </x:c>
      <x:c r="B123" s="21" t="str">
        <x:v>FT-A2015</x:v>
      </x:c>
      <x:c r="C123" s="22" t="str">
        <x:v>2015</x:v>
      </x:c>
      <x:c r="D123" s="22" t="str">
        <x:v>2</x:v>
      </x:c>
      <x:c r="E123" s="21" t="str">
        <x:v>threat of climate change</x:v>
      </x:c>
      <x:c r="F123" s="21" t="str">
        <x:v>threat of climate change</x:v>
      </x:c>
      <x:c r="G123" s="21" t="str">
        <x:v>modern climate change</x:v>
      </x:c>
      <x:c r="H123" s="21" t="str">
        <x:v>FT-C-MODERN_CLIMATE_CHANGE</x:v>
      </x:c>
      <x:c r="I123" s="21" t="str">
        <x:v>Modern climate change as an anthropogenic scientific, public, or governance problem.</x:v>
      </x:c>
      <x:c r="J123" s="21" t="str">
        <x:v>FT-LF-Q-93D1EFB3B9F9</x:v>
      </x:c>
      <x:c r="K123" s="22" t="str">
        <x:v>climate</x:v>
      </x:c>
      <x:c r="L123" s="21" t="str">
        <x:v>FT-F04</x:v>
      </x:c>
      <x:c r="M123" s="22" t="str">
        <x:v>D</x:v>
      </x:c>
      <x:c r="N123" s="22" t="str">
        <x:v>V2</x:v>
      </x:c>
      <x:c r="O123" s="22" t="str">
        <x:v>E5</x:v>
      </x:c>
      <x:c r="P123" s="21" t="str">
        <x:v>RECONSTRUCTED_FROM_REPORT; Fear of Temperature_ Stratified Lexical Expansion, Voice Mapping, and Semantic-Relational Pre-Valida.pdf; p.11; project candidate FT-SEED-R1B-P-2015-02; original visible ID not available</x:v>
      </x:c>
      <x:c r="Q123" s="21" t="str">
        <x:v>FT-NGM-93D1EFB3B9F9B7</x:v>
      </x:c>
      <x:c r="R123" s="21" t="str">
        <x:v>threat of climate change</x:v>
      </x:c>
      <x:c r="S123" s="22" t="str">
        <x:v>EXACT</x:v>
      </x:c>
      <x:c r="T123" s="21" t="str">
        <x:v>FT-Q-V01-082</x:v>
      </x:c>
      <x:c r="U123" s="21" t="str">
        <x:v>Candidate surface form is directly representable in the public Ngram interface.</x:v>
      </x:c>
      <x:c r="V123" s="21" t="str">
        <x:v>Fear of Temperature_ Stratified Lexical Expansion, Voice Mapping, and Semantic-Relational Pre-Valida.pdf</x:v>
      </x:c>
      <x:c r="W123" s="21" t="str">
        <x:v>11</x:v>
      </x:c>
      <x:c r="X123" s="23" t="str">
        <x:v>RECONSTRUCTED_FROM_REPORT</x:v>
      </x:c>
    </x:row>
    <x:row r="124" ht="19" customHeight="1">
      <x:c r="A124" s="20" t="str">
        <x:v>FT-SEED-R1B-P-2015-03</x:v>
      </x:c>
      <x:c r="B124" s="21" t="str">
        <x:v>FT-A2015</x:v>
      </x:c>
      <x:c r="C124" s="22" t="str">
        <x:v>2015</x:v>
      </x:c>
      <x:c r="D124" s="22" t="str">
        <x:v>3</x:v>
      </x:c>
      <x:c r="E124" s="21" t="str">
        <x:v>global average temperature</x:v>
      </x:c>
      <x:c r="F124" s="21" t="str">
        <x:v>global average temperature</x:v>
      </x:c>
      <x:c r="G124" s="21" t="str">
        <x:v>global aggregate temperature</x:v>
      </x:c>
      <x:c r="H124" s="21" t="str">
        <x:v>FT-C-GLOBAL_AGGREGATE_TEMPERATURE</x:v>
      </x:c>
      <x:c r="I124" s="21" t="str">
        <x:v>A global-scale aggregate temperature metric.</x:v>
      </x:c>
      <x:c r="J124" s="21" t="str">
        <x:v>FT-LF-GLOBAL_AVERAGE_TEMPERATURE</x:v>
      </x:c>
      <x:c r="K124" s="22" t="str">
        <x:v>temperature_threshold</x:v>
      </x:c>
      <x:c r="L124" s="21" t="str">
        <x:v>FT-F01</x:v>
      </x:c>
      <x:c r="M124" s="22" t="str">
        <x:v>A</x:v>
      </x:c>
      <x:c r="N124" s="22" t="str">
        <x:v>V2</x:v>
      </x:c>
      <x:c r="O124" s="22" t="str">
        <x:v>E5</x:v>
      </x:c>
      <x:c r="P124" s="21" t="str">
        <x:v>RECONSTRUCTED_FROM_REPORT; Fear of Temperature_ Stratified Lexical Expansion, Voice Mapping, and Semantic-Relational Pre-Valida.pdf; p.11; project candidate FT-SEED-R1B-P-2015-03; original visible ID not available</x:v>
      </x:c>
      <x:c r="Q124" s="21" t="str">
        <x:v>FT-NGM-F03391693DAA87</x:v>
      </x:c>
      <x:c r="R124" s="21" t="str">
        <x:v>global average temperature</x:v>
      </x:c>
      <x:c r="S124" s="22" t="str">
        <x:v>EXACT</x:v>
      </x:c>
      <x:c r="T124" s="21" t="str">
        <x:v>FT-Q-V01-083</x:v>
      </x:c>
      <x:c r="U124" s="21" t="str">
        <x:v>Candidate surface form is directly representable in the public Ngram interface.</x:v>
      </x:c>
      <x:c r="V124" s="21" t="str">
        <x:v>Fear of Temperature_ Stratified Lexical Expansion, Voice Mapping, and Semantic-Relational Pre-Valida.pdf</x:v>
      </x:c>
      <x:c r="W124" s="21" t="str">
        <x:v>11</x:v>
      </x:c>
      <x:c r="X124" s="23" t="str">
        <x:v>RECONSTRUCTED_FROM_REPORT</x:v>
      </x:c>
    </x:row>
    <x:row r="125" ht="19" customHeight="1">
      <x:c r="A125" s="20" t="str">
        <x:v>FT-SEED-R1B-P-2015-04</x:v>
      </x:c>
      <x:c r="B125" s="21" t="str">
        <x:v>FT-A2015</x:v>
      </x:c>
      <x:c r="C125" s="22" t="str">
        <x:v>2015</x:v>
      </x:c>
      <x:c r="D125" s="22" t="str">
        <x:v>4</x:v>
      </x:c>
      <x:c r="E125" s="21" t="str">
        <x:v>well below 2°C above pre-industrial levels</x:v>
      </x:c>
      <x:c r="F125" s="21" t="str">
        <x:v>well below 2°c above pre-industrial levels</x:v>
      </x:c>
      <x:c r="G125" s="21" t="str">
        <x:v>2°C threshold</x:v>
      </x:c>
      <x:c r="H125" s="21" t="str">
        <x:v>FT-C-TEMPERATURE_THRESHOLD_2C</x:v>
      </x:c>
      <x:c r="I125" s="21" t="str">
        <x:v>A governed two-degree temperature limit or threshold.</x:v>
      </x:c>
      <x:c r="J125" s="21" t="str">
        <x:v>FT-LF-Q-767E300E0145</x:v>
      </x:c>
      <x:c r="K125" s="22" t="str">
        <x:v>temperature_threshold</x:v>
      </x:c>
      <x:c r="L125" s="21" t="str">
        <x:v>FT-F01</x:v>
      </x:c>
      <x:c r="M125" s="22" t="str">
        <x:v>A</x:v>
      </x:c>
      <x:c r="N125" s="22" t="str">
        <x:v>V2</x:v>
      </x:c>
      <x:c r="O125" s="22" t="str">
        <x:v>E5</x:v>
      </x:c>
      <x:c r="P125" s="21" t="str">
        <x:v>RECONSTRUCTED_FROM_REPORT; Fear of Temperature_ Stratified Lexical Expansion, Voice Mapping, and Semantic-Relational Pre-Valida.pdf; p.11; project candidate FT-SEED-R1B-P-2015-04; original visible ID not available</x:v>
      </x:c>
      <x:c r="Q125" s="21" t="str">
        <x:v>FT-NGM-E8BA3FAE74A316</x:v>
      </x:c>
      <x:c r="R125" s="21" t="str">
        <x:v>well below two degrees above pre-industrial levels</x:v>
      </x:c>
      <x:c r="S125" s="22" t="str">
        <x:v>VALIDATED_ALIAS</x:v>
      </x:c>
      <x:c r="T125" s="21" t="str">
        <x:v>FT-Q-V01-084</x:v>
      </x:c>
      <x:c r="U125" s="21" t="str">
        <x:v>The symbolic temperature is verbalized for the Ngram interface without changing the treaty threshold relation.</x:v>
      </x:c>
      <x:c r="V125" s="21" t="str">
        <x:v>Fear of Temperature_ Stratified Lexical Expansion, Voice Mapping, and Semantic-Relational Pre-Valida.pdf</x:v>
      </x:c>
      <x:c r="W125" s="21" t="str">
        <x:v>11</x:v>
      </x:c>
      <x:c r="X125" s="23" t="str">
        <x:v>RECONSTRUCTED_FROM_REPORT</x:v>
      </x:c>
    </x:row>
    <x:row r="126" ht="19" customHeight="1">
      <x:c r="A126" s="20" t="str">
        <x:v>FT-SEED-R1B-P-2015-05</x:v>
      </x:c>
      <x:c r="B126" s="21" t="str">
        <x:v>FT-A2015</x:v>
      </x:c>
      <x:c r="C126" s="22" t="str">
        <x:v>2015</x:v>
      </x:c>
      <x:c r="D126" s="22" t="str">
        <x:v>5</x:v>
      </x:c>
      <x:c r="E126" s="21" t="str">
        <x:v>1.5°C above pre-industrial levels</x:v>
      </x:c>
      <x:c r="F126" s="21" t="str">
        <x:v>1.5°c above pre-industrial levels</x:v>
      </x:c>
      <x:c r="G126" s="21" t="str">
        <x:v>1.5°C threshold</x:v>
      </x:c>
      <x:c r="H126" s="21" t="str">
        <x:v>FT-C-TEMPERATURE_THRESHOLD_1_5C</x:v>
      </x:c>
      <x:c r="I126" s="21" t="str">
        <x:v>A governed one-and-a-half-degree temperature limit or threshold.</x:v>
      </x:c>
      <x:c r="J126" s="21" t="str">
        <x:v>FT-LF-Q-CC5EECC016B1</x:v>
      </x:c>
      <x:c r="K126" s="22" t="str">
        <x:v>temperature_threshold</x:v>
      </x:c>
      <x:c r="L126" s="21" t="str">
        <x:v>FT-F01</x:v>
      </x:c>
      <x:c r="M126" s="22" t="str">
        <x:v>A</x:v>
      </x:c>
      <x:c r="N126" s="22" t="str">
        <x:v>V2</x:v>
      </x:c>
      <x:c r="O126" s="22" t="str">
        <x:v>E5</x:v>
      </x:c>
      <x:c r="P126" s="21" t="str">
        <x:v>RECONSTRUCTED_FROM_REPORT; Fear of Temperature_ Stratified Lexical Expansion, Voice Mapping, and Semantic-Relational Pre-Valida.pdf; p.11; project candidate FT-SEED-R1B-P-2015-05; original visible ID not available</x:v>
      </x:c>
      <x:c r="Q126" s="21" t="str">
        <x:v>FT-NGM-44F3404C6E272D</x:v>
      </x:c>
      <x:c r="R126" s="21" t="str">
        <x:v>one point five degrees above pre-industrial levels</x:v>
      </x:c>
      <x:c r="S126" s="22" t="str">
        <x:v>VALIDATED_ALIAS</x:v>
      </x:c>
      <x:c r="T126" s="21" t="str">
        <x:v>FT-Q-V01-085</x:v>
      </x:c>
      <x:c r="U126" s="21" t="str">
        <x:v>The decimal degree notation is verbalized for the Ngram interface without changing the treaty threshold relation.</x:v>
      </x:c>
      <x:c r="V126" s="21" t="str">
        <x:v>Fear of Temperature_ Stratified Lexical Expansion, Voice Mapping, and Semantic-Relational Pre-Valida.pdf</x:v>
      </x:c>
      <x:c r="W126" s="21" t="str">
        <x:v>11</x:v>
      </x:c>
      <x:c r="X126" s="23" t="str">
        <x:v>RECONSTRUCTED_FROM_REPORT</x:v>
      </x:c>
    </x:row>
    <x:row r="127" ht="19" customHeight="1">
      <x:c r="A127" s="20" t="str">
        <x:v>FT-SEED-R1B-P-2015-06</x:v>
      </x:c>
      <x:c r="B127" s="21" t="str">
        <x:v>FT-A2015</x:v>
      </x:c>
      <x:c r="C127" s="22" t="str">
        <x:v>2015</x:v>
      </x:c>
      <x:c r="D127" s="22" t="str">
        <x:v>6</x:v>
      </x:c>
      <x:c r="E127" s="21" t="str">
        <x:v>pre-industrial levels</x:v>
      </x:c>
      <x:c r="F127" s="21" t="str">
        <x:v>pre-industrial levels</x:v>
      </x:c>
      <x:c r="G127" s="21" t="str">
        <x:v>historical climate / climatological condition</x:v>
      </x:c>
      <x:c r="H127" s="21" t="str">
        <x:v>FT-C-HISTORICAL_CLIMATE_CONDITION</x:v>
      </x:c>
      <x:c r="I127" s="21" t="str">
        <x:v>Climate as a historical, geographical, seasonal, or climatological condition.</x:v>
      </x:c>
      <x:c r="J127" s="21" t="str">
        <x:v>FT-LF-Q-40BC740ADD3F</x:v>
      </x:c>
      <x:c r="K127" s="22" t="str">
        <x:v>climate</x:v>
      </x:c>
      <x:c r="L127" s="21" t="str">
        <x:v>FT-F04</x:v>
      </x:c>
      <x:c r="M127" s="22" t="str">
        <x:v>B</x:v>
      </x:c>
      <x:c r="N127" s="22" t="str">
        <x:v>V2</x:v>
      </x:c>
      <x:c r="O127" s="22" t="str">
        <x:v>E5</x:v>
      </x:c>
      <x:c r="P127" s="21" t="str">
        <x:v>RECONSTRUCTED_FROM_REPORT; Fear of Temperature_ Stratified Lexical Expansion, Voice Mapping, and Semantic-Relational Pre-Valida.pdf; p.11; project candidate FT-SEED-R1B-P-2015-06; original visible ID not available</x:v>
      </x:c>
      <x:c r="Q127" s="21" t="str">
        <x:v>FT-NGM-40BC740ADD3F21</x:v>
      </x:c>
      <x:c r="R127" s="21" t="str">
        <x:v>pre-industrial levels</x:v>
      </x:c>
      <x:c r="S127" s="22" t="str">
        <x:v>EXACT</x:v>
      </x:c>
      <x:c r="T127" s="21" t="str">
        <x:v>FT-Q-V01-086</x:v>
      </x:c>
      <x:c r="U127" s="21" t="str">
        <x:v>Candidate surface form is directly representable in the public Ngram interface.</x:v>
      </x:c>
      <x:c r="V127" s="21" t="str">
        <x:v>Fear of Temperature_ Stratified Lexical Expansion, Voice Mapping, and Semantic-Relational Pre-Valida.pdf</x:v>
      </x:c>
      <x:c r="W127" s="21" t="str">
        <x:v>11</x:v>
      </x:c>
      <x:c r="X127" s="23" t="str">
        <x:v>RECONSTRUCTED_FROM_REPORT</x:v>
      </x:c>
    </x:row>
    <x:row r="128" ht="19" customHeight="1">
      <x:c r="A128" s="20" t="str">
        <x:v>FT-SEED-R1B-P-2015-07</x:v>
      </x:c>
      <x:c r="B128" s="21" t="str">
        <x:v>FT-A2015</x:v>
      </x:c>
      <x:c r="C128" s="22" t="str">
        <x:v>2015</x:v>
      </x:c>
      <x:c r="D128" s="22" t="str">
        <x:v>7</x:v>
      </x:c>
      <x:c r="E128" s="21" t="str">
        <x:v>risks and impacts</x:v>
      </x:c>
      <x:c r="F128" s="21" t="str">
        <x:v>risks and impacts</x:v>
      </x:c>
      <x:c r="G128" s="21" t="str">
        <x:v>administrative risk assessment</x:v>
      </x:c>
      <x:c r="H128" s="21" t="str">
        <x:v>FT-C-ADMINISTRATIVE_RISK_ASSESSMENT</x:v>
      </x:c>
      <x:c r="I128" s="21" t="str">
        <x:v>Risk managed or assessed through institutional procedure.</x:v>
      </x:c>
      <x:c r="J128" s="21" t="str">
        <x:v>FT-LF-Q-CF50ABC0D447</x:v>
      </x:c>
      <x:c r="K128" s="22" t="str">
        <x:v>risk</x:v>
      </x:c>
      <x:c r="L128" s="21" t="str">
        <x:v>FT-F12</x:v>
      </x:c>
      <x:c r="M128" s="22" t="str">
        <x:v>D</x:v>
      </x:c>
      <x:c r="N128" s="22" t="str">
        <x:v>V2</x:v>
      </x:c>
      <x:c r="O128" s="22" t="str">
        <x:v>E5</x:v>
      </x:c>
      <x:c r="P128" s="21" t="str">
        <x:v>RECONSTRUCTED_FROM_REPORT; Fear of Temperature_ Stratified Lexical Expansion, Voice Mapping, and Semantic-Relational Pre-Valida.pdf; p.11; project candidate FT-SEED-R1B-P-2015-07; original visible ID not available</x:v>
      </x:c>
      <x:c r="Q128" s="21" t="str">
        <x:v>FT-NGM-CF50ABC0D447C5</x:v>
      </x:c>
      <x:c r="R128" s="21" t="str">
        <x:v>risks and impacts</x:v>
      </x:c>
      <x:c r="S128" s="22" t="str">
        <x:v>EXACT</x:v>
      </x:c>
      <x:c r="T128" s="21" t="str">
        <x:v>FT-Q-V01-087</x:v>
      </x:c>
      <x:c r="U128" s="21" t="str">
        <x:v>Candidate surface form is directly representable in the public Ngram interface.</x:v>
      </x:c>
      <x:c r="V128" s="21" t="str">
        <x:v>Fear of Temperature_ Stratified Lexical Expansion, Voice Mapping, and Semantic-Relational Pre-Valida.pdf</x:v>
      </x:c>
      <x:c r="W128" s="21" t="str">
        <x:v>11</x:v>
      </x:c>
      <x:c r="X128" s="23" t="str">
        <x:v>RECONSTRUCTED_FROM_REPORT</x:v>
      </x:c>
    </x:row>
    <x:row r="129" ht="19" customHeight="1">
      <x:c r="A129" s="20" t="str">
        <x:v>FT-SEED-R1B-P-2015-08</x:v>
      </x:c>
      <x:c r="B129" s="21" t="str">
        <x:v>FT-A2015</x:v>
      </x:c>
      <x:c r="C129" s="22" t="str">
        <x:v>2015</x:v>
      </x:c>
      <x:c r="D129" s="22" t="str">
        <x:v>8</x:v>
      </x:c>
      <x:c r="E129" s="21" t="str">
        <x:v>adverse impacts</x:v>
      </x:c>
      <x:c r="F129" s="21" t="str">
        <x:v>adverse impacts</x:v>
      </x:c>
      <x:c r="G129" s="21" t="str">
        <x:v>generic damage</x:v>
      </x:c>
      <x:c r="H129" s="21" t="str">
        <x:v>FT-C-GENERIC_DAMAGE</x:v>
      </x:c>
      <x:c r="I129" s="21" t="str">
        <x:v>Generic material, ecological, or social damage.</x:v>
      </x:c>
      <x:c r="J129" s="21" t="str">
        <x:v>FT-LF-Q-9BBD897785E2</x:v>
      </x:c>
      <x:c r="K129" s="22" t="str">
        <x:v>harm_loss_consequences</x:v>
      </x:c>
      <x:c r="L129" s="21" t="str">
        <x:v>FT-F14</x:v>
      </x:c>
      <x:c r="M129" s="22" t="str">
        <x:v>D</x:v>
      </x:c>
      <x:c r="N129" s="22" t="str">
        <x:v>V2</x:v>
      </x:c>
      <x:c r="O129" s="22" t="str">
        <x:v>E5</x:v>
      </x:c>
      <x:c r="P129" s="21" t="str">
        <x:v>RECONSTRUCTED_FROM_REPORT; Fear of Temperature_ Stratified Lexical Expansion, Voice Mapping, and Semantic-Relational Pre-Valida.pdf; p.11; project candidate FT-SEED-R1B-P-2015-08; original visible ID not available</x:v>
      </x:c>
      <x:c r="Q129" s="21" t="str">
        <x:v>FT-NGM-9BBD897785E2C2</x:v>
      </x:c>
      <x:c r="R129" s="21" t="str">
        <x:v>adverse impacts</x:v>
      </x:c>
      <x:c r="S129" s="22" t="str">
        <x:v>EXACT</x:v>
      </x:c>
      <x:c r="T129" s="21" t="str">
        <x:v>FT-Q-V01-088</x:v>
      </x:c>
      <x:c r="U129" s="21" t="str">
        <x:v>Candidate surface form is directly representable in the public Ngram interface.</x:v>
      </x:c>
      <x:c r="V129" s="21" t="str">
        <x:v>Fear of Temperature_ Stratified Lexical Expansion, Voice Mapping, and Semantic-Relational Pre-Valida.pdf</x:v>
      </x:c>
      <x:c r="W129" s="21" t="str">
        <x:v>11</x:v>
      </x:c>
      <x:c r="X129" s="23" t="str">
        <x:v>RECONSTRUCTED_FROM_REPORT</x:v>
      </x:c>
    </x:row>
    <x:row r="130" ht="19" customHeight="1">
      <x:c r="A130" s="20" t="str">
        <x:v>FT-SEED-R1B-P-2015-09</x:v>
      </x:c>
      <x:c r="B130" s="21" t="str">
        <x:v>FT-A2015</x:v>
      </x:c>
      <x:c r="C130" s="22" t="str">
        <x:v>2015</x:v>
      </x:c>
      <x:c r="D130" s="22" t="str">
        <x:v>9</x:v>
      </x:c>
      <x:c r="E130" s="21" t="str">
        <x:v>adverse effects of climate change</x:v>
      </x:c>
      <x:c r="F130" s="21" t="str">
        <x:v>adverse effects of climate change</x:v>
      </x:c>
      <x:c r="G130" s="21" t="str">
        <x:v>modern climate change</x:v>
      </x:c>
      <x:c r="H130" s="21" t="str">
        <x:v>FT-C-MODERN_CLIMATE_CHANGE</x:v>
      </x:c>
      <x:c r="I130" s="21" t="str">
        <x:v>Modern climate change as an anthropogenic scientific, public, or governance problem.</x:v>
      </x:c>
      <x:c r="J130" s="21" t="str">
        <x:v>FT-LF-Q-4A17A2435FFF</x:v>
      </x:c>
      <x:c r="K130" s="22" t="str">
        <x:v>climate</x:v>
      </x:c>
      <x:c r="L130" s="21" t="str">
        <x:v>FT-F04</x:v>
      </x:c>
      <x:c r="M130" s="22" t="str">
        <x:v>D</x:v>
      </x:c>
      <x:c r="N130" s="22" t="str">
        <x:v>V2</x:v>
      </x:c>
      <x:c r="O130" s="22" t="str">
        <x:v>E5</x:v>
      </x:c>
      <x:c r="P130" s="21" t="str">
        <x:v>RECONSTRUCTED_FROM_REPORT; Fear of Temperature_ Stratified Lexical Expansion, Voice Mapping, and Semantic-Relational Pre-Valida.pdf; p.11; project candidate FT-SEED-R1B-P-2015-09; original visible ID not available</x:v>
      </x:c>
      <x:c r="Q130" s="21" t="str">
        <x:v>FT-NGM-4A17A2435FFF3B</x:v>
      </x:c>
      <x:c r="R130" s="21" t="str">
        <x:v>adverse effects of climate change</x:v>
      </x:c>
      <x:c r="S130" s="22" t="str">
        <x:v>EXACT</x:v>
      </x:c>
      <x:c r="T130" s="21" t="str">
        <x:v>FT-Q-V01-089</x:v>
      </x:c>
      <x:c r="U130" s="21" t="str">
        <x:v>Candidate surface form is directly representable in the public Ngram interface.</x:v>
      </x:c>
      <x:c r="V130" s="21" t="str">
        <x:v>Fear of Temperature_ Stratified Lexical Expansion, Voice Mapping, and Semantic-Relational Pre-Valida.pdf</x:v>
      </x:c>
      <x:c r="W130" s="21" t="str">
        <x:v>11</x:v>
      </x:c>
      <x:c r="X130" s="23" t="str">
        <x:v>RECONSTRUCTED_FROM_REPORT</x:v>
      </x:c>
    </x:row>
    <x:row r="131" ht="19" customHeight="1">
      <x:c r="A131" s="20" t="str">
        <x:v>FT-SEED-R1B-P-2015-10</x:v>
      </x:c>
      <x:c r="B131" s="21" t="str">
        <x:v>FT-A2015</x:v>
      </x:c>
      <x:c r="C131" s="22" t="str">
        <x:v>2015</x:v>
      </x:c>
      <x:c r="D131" s="22" t="str">
        <x:v>10</x:v>
      </x:c>
      <x:c r="E131" s="21" t="str">
        <x:v>greenhouse gas emissions</x:v>
      </x:c>
      <x:c r="F131" s="21" t="str">
        <x:v>greenhouse gas emissions</x:v>
      </x:c>
      <x:c r="G131" s="21" t="str">
        <x:v>anthropogenic greenhouse-gas emissions</x:v>
      </x:c>
      <x:c r="H131" s="21" t="str">
        <x:v>FT-C-ANTHROPOGENIC_GREENHOUSE_GAS_EMISSIONS</x:v>
      </x:c>
      <x:c r="I131" s="21" t="str">
        <x:v>Human-produced greenhouse-gas emissions in scientific or governance framing.</x:v>
      </x:c>
      <x:c r="J131" s="21" t="str">
        <x:v>FT-LF-Q-0FEA124CFE8A</x:v>
      </x:c>
      <x:c r="K131" s="22" t="str">
        <x:v>carbon_greenhouse</x:v>
      </x:c>
      <x:c r="L131" s="21" t="str">
        <x:v>FT-F05</x:v>
      </x:c>
      <x:c r="M131" s="22" t="str">
        <x:v>B</x:v>
      </x:c>
      <x:c r="N131" s="22" t="str">
        <x:v>V2</x:v>
      </x:c>
      <x:c r="O131" s="22" t="str">
        <x:v>E5</x:v>
      </x:c>
      <x:c r="P131" s="21" t="str">
        <x:v>RECONSTRUCTED_FROM_REPORT; Fear of Temperature_ Stratified Lexical Expansion, Voice Mapping, and Semantic-Relational Pre-Valida.pdf; p.11; project candidate FT-SEED-R1B-P-2015-10; original visible ID not available</x:v>
      </x:c>
      <x:c r="Q131" s="21" t="str">
        <x:v>FT-NGM-0FEA124CFE8AD1</x:v>
      </x:c>
      <x:c r="R131" s="21" t="str">
        <x:v>greenhouse gas emissions</x:v>
      </x:c>
      <x:c r="S131" s="22" t="str">
        <x:v>EXACT</x:v>
      </x:c>
      <x:c r="T131" s="21" t="str">
        <x:v>FT-Q-V01-090</x:v>
      </x:c>
      <x:c r="U131" s="21" t="str">
        <x:v>Candidate surface form is directly representable in the public Ngram interface.</x:v>
      </x:c>
      <x:c r="V131" s="21" t="str">
        <x:v>Fear of Temperature_ Stratified Lexical Expansion, Voice Mapping, and Semantic-Relational Pre-Valida.pdf</x:v>
      </x:c>
      <x:c r="W131" s="21" t="str">
        <x:v>11</x:v>
      </x:c>
      <x:c r="X131" s="23" t="str">
        <x:v>RECONSTRUCTED_FROM_REPORT</x:v>
      </x:c>
    </x:row>
    <x:row r="132" ht="19" customHeight="1">
      <x:c r="A132" s="20" t="str">
        <x:v>FT-SEED-R1B-P-2015-11</x:v>
      </x:c>
      <x:c r="B132" s="21" t="str">
        <x:v>FT-A2015</x:v>
      </x:c>
      <x:c r="C132" s="22" t="str">
        <x:v>2015</x:v>
      </x:c>
      <x:c r="D132" s="22" t="str">
        <x:v>11</x:v>
      </x:c>
      <x:c r="E132" s="21" t="str">
        <x:v>climate resilience</x:v>
      </x:c>
      <x:c r="F132" s="21" t="str">
        <x:v>climate resilience</x:v>
      </x:c>
      <x:c r="G132" s="21" t="str">
        <x:v>generic damage</x:v>
      </x:c>
      <x:c r="H132" s="21" t="str">
        <x:v>FT-C-GENERIC_DAMAGE</x:v>
      </x:c>
      <x:c r="I132" s="21" t="str">
        <x:v>Generic material, ecological, or social damage.</x:v>
      </x:c>
      <x:c r="J132" s="21" t="str">
        <x:v>FT-LF-Q-74C781F8B471</x:v>
      </x:c>
      <x:c r="K132" s="22" t="str">
        <x:v>harm_loss_consequences</x:v>
      </x:c>
      <x:c r="L132" s="21" t="str">
        <x:v>FT-F14</x:v>
      </x:c>
      <x:c r="M132" s="22" t="str">
        <x:v>D</x:v>
      </x:c>
      <x:c r="N132" s="22" t="str">
        <x:v>V2</x:v>
      </x:c>
      <x:c r="O132" s="22" t="str">
        <x:v>E5</x:v>
      </x:c>
      <x:c r="P132" s="21" t="str">
        <x:v>RECONSTRUCTED_FROM_REPORT; Fear of Temperature_ Stratified Lexical Expansion, Voice Mapping, and Semantic-Relational Pre-Valida.pdf; p.11; project candidate FT-SEED-R1B-P-2015-11; original visible ID not available</x:v>
      </x:c>
      <x:c r="Q132" s="21" t="str">
        <x:v>FT-NGM-74C781F8B4715A</x:v>
      </x:c>
      <x:c r="R132" s="21" t="str">
        <x:v>climate resilience</x:v>
      </x:c>
      <x:c r="S132" s="22" t="str">
        <x:v>EXACT</x:v>
      </x:c>
      <x:c r="T132" s="21" t="str">
        <x:v>FT-Q-V01-091</x:v>
      </x:c>
      <x:c r="U132" s="21" t="str">
        <x:v>Candidate surface form is directly representable in the public Ngram interface.</x:v>
      </x:c>
      <x:c r="V132" s="21" t="str">
        <x:v>Fear of Temperature_ Stratified Lexical Expansion, Voice Mapping, and Semantic-Relational Pre-Valida.pdf</x:v>
      </x:c>
      <x:c r="W132" s="21" t="str">
        <x:v>11</x:v>
      </x:c>
      <x:c r="X132" s="23" t="str">
        <x:v>RECONSTRUCTED_FROM_REPORT</x:v>
      </x:c>
    </x:row>
    <x:row r="133" ht="19" customHeight="1">
      <x:c r="A133" s="20" t="str">
        <x:v>FT-SEED-R1B-P-2015-12</x:v>
      </x:c>
      <x:c r="B133" s="21" t="str">
        <x:v>FT-A2015</x:v>
      </x:c>
      <x:c r="C133" s="22" t="str">
        <x:v>2015</x:v>
      </x:c>
      <x:c r="D133" s="22" t="str">
        <x:v>12</x:v>
      </x:c>
      <x:c r="E133" s="21" t="str">
        <x:v>vulnerability</x:v>
      </x:c>
      <x:c r="F133" s="21" t="str">
        <x:v>vulnerability</x:v>
      </x:c>
      <x:c r="G133" s="21" t="str">
        <x:v>vulnerability</x:v>
      </x:c>
      <x:c r="H133" s="21" t="str">
        <x:v>FT-C-VULNERABILITY</x:v>
      </x:c>
      <x:c r="I133" s="21" t="str">
        <x:v>Susceptibility of an identified subject or group to harm.</x:v>
      </x:c>
      <x:c r="J133" s="21" t="str">
        <x:v>FT-LF-Q-32CEACC06E89</x:v>
      </x:c>
      <x:c r="K133" s="22" t="str">
        <x:v>harm_loss_consequences</x:v>
      </x:c>
      <x:c r="L133" s="21" t="str">
        <x:v>FT-F14</x:v>
      </x:c>
      <x:c r="M133" s="22" t="str">
        <x:v>D</x:v>
      </x:c>
      <x:c r="N133" s="22" t="str">
        <x:v>V2</x:v>
      </x:c>
      <x:c r="O133" s="22" t="str">
        <x:v>E5</x:v>
      </x:c>
      <x:c r="P133" s="21" t="str">
        <x:v>RECONSTRUCTED_FROM_REPORT; Fear of Temperature_ Stratified Lexical Expansion, Voice Mapping, and Semantic-Relational Pre-Valida.pdf; p.11; project candidate FT-SEED-R1B-P-2015-12; original visible ID not available</x:v>
      </x:c>
      <x:c r="Q133" s="21" t="str">
        <x:v>FT-NGM-32CEACC06E8970</x:v>
      </x:c>
      <x:c r="R133" s="21" t="str">
        <x:v>vulnerability</x:v>
      </x:c>
      <x:c r="S133" s="22" t="str">
        <x:v>EXACT</x:v>
      </x:c>
      <x:c r="T133" s="21" t="str">
        <x:v>FT-Q-V01-092</x:v>
      </x:c>
      <x:c r="U133" s="21" t="str">
        <x:v>Candidate surface form is directly representable in the public Ngram interface.</x:v>
      </x:c>
      <x:c r="V133" s="21" t="str">
        <x:v>Fear of Temperature_ Stratified Lexical Expansion, Voice Mapping, and Semantic-Relational Pre-Valida.pdf</x:v>
      </x:c>
      <x:c r="W133" s="21" t="str">
        <x:v>11</x:v>
      </x:c>
      <x:c r="X133" s="23" t="str">
        <x:v>RECONSTRUCTED_FROM_REPORT</x:v>
      </x:c>
    </x:row>
    <x:row r="134" ht="19" customHeight="1">
      <x:c r="A134" s="20" t="str">
        <x:v>FT-SEED-R1B-P-2015-13</x:v>
      </x:c>
      <x:c r="B134" s="21" t="str">
        <x:v>FT-A2015</x:v>
      </x:c>
      <x:c r="C134" s="22" t="str">
        <x:v>2015</x:v>
      </x:c>
      <x:c r="D134" s="22" t="str">
        <x:v>13</x:v>
      </x:c>
      <x:c r="E134" s="21" t="str">
        <x:v>vulnerable groups</x:v>
      </x:c>
      <x:c r="F134" s="21" t="str">
        <x:v>vulnerable groups</x:v>
      </x:c>
      <x:c r="G134" s="21" t="str">
        <x:v>vulnerability</x:v>
      </x:c>
      <x:c r="H134" s="21" t="str">
        <x:v>FT-C-VULNERABILITY</x:v>
      </x:c>
      <x:c r="I134" s="21" t="str">
        <x:v>Susceptibility of an identified subject or group to harm.</x:v>
      </x:c>
      <x:c r="J134" s="21" t="str">
        <x:v>FT-LF-Q-D85759F293D4</x:v>
      </x:c>
      <x:c r="K134" s="22" t="str">
        <x:v>harm_loss_consequences</x:v>
      </x:c>
      <x:c r="L134" s="21" t="str">
        <x:v>FT-F14</x:v>
      </x:c>
      <x:c r="M134" s="22" t="str">
        <x:v>D</x:v>
      </x:c>
      <x:c r="N134" s="22" t="str">
        <x:v>V2</x:v>
      </x:c>
      <x:c r="O134" s="22" t="str">
        <x:v>E5</x:v>
      </x:c>
      <x:c r="P134" s="21" t="str">
        <x:v>RECONSTRUCTED_FROM_REPORT; Fear of Temperature_ Stratified Lexical Expansion, Voice Mapping, and Semantic-Relational Pre-Valida.pdf; p.11; project candidate FT-SEED-R1B-P-2015-13; original visible ID not available</x:v>
      </x:c>
      <x:c r="Q134" s="21" t="str">
        <x:v>FT-NGM-D85759F293D4BF</x:v>
      </x:c>
      <x:c r="R134" s="21" t="str">
        <x:v>vulnerable groups</x:v>
      </x:c>
      <x:c r="S134" s="22" t="str">
        <x:v>EXACT</x:v>
      </x:c>
      <x:c r="T134" s="21" t="str">
        <x:v>FT-Q-V01-093</x:v>
      </x:c>
      <x:c r="U134" s="21" t="str">
        <x:v>Candidate surface form is directly representable in the public Ngram interface.</x:v>
      </x:c>
      <x:c r="V134" s="21" t="str">
        <x:v>Fear of Temperature_ Stratified Lexical Expansion, Voice Mapping, and Semantic-Relational Pre-Valida.pdf</x:v>
      </x:c>
      <x:c r="W134" s="21" t="str">
        <x:v>11</x:v>
      </x:c>
      <x:c r="X134" s="23" t="str">
        <x:v>RECONSTRUCTED_FROM_REPORT</x:v>
      </x:c>
    </x:row>
    <x:row r="135" ht="19" customHeight="1">
      <x:c r="A135" s="20" t="str">
        <x:v>FT-SEED-R1B-P-2015-14</x:v>
      </x:c>
      <x:c r="B135" s="21" t="str">
        <x:v>FT-A2015</x:v>
      </x:c>
      <x:c r="C135" s="22" t="str">
        <x:v>2015</x:v>
      </x:c>
      <x:c r="D135" s="22" t="str">
        <x:v>14</x:v>
      </x:c>
      <x:c r="E135" s="21" t="str">
        <x:v>loss and damage</x:v>
      </x:c>
      <x:c r="F135" s="21" t="str">
        <x:v>loss and damage</x:v>
      </x:c>
      <x:c r="G135" s="21" t="str">
        <x:v>loss and damage</x:v>
      </x:c>
      <x:c r="H135" s="21" t="str">
        <x:v>FT-C-LOSS_AND_DAMAGE</x:v>
      </x:c>
      <x:c r="I135" s="21" t="str">
        <x:v>The climate-governance domain of loss and damage.</x:v>
      </x:c>
      <x:c r="J135" s="21" t="str">
        <x:v>FT-LF-LOSS_AND_DAMAGE</x:v>
      </x:c>
      <x:c r="K135" s="22" t="str">
        <x:v>harm_loss_consequences</x:v>
      </x:c>
      <x:c r="L135" s="21" t="str">
        <x:v>FT-F14</x:v>
      </x:c>
      <x:c r="M135" s="22" t="str">
        <x:v>D</x:v>
      </x:c>
      <x:c r="N135" s="22" t="str">
        <x:v>V2</x:v>
      </x:c>
      <x:c r="O135" s="22" t="str">
        <x:v>E5</x:v>
      </x:c>
      <x:c r="P135" s="21" t="str">
        <x:v>RECONSTRUCTED_FROM_REPORT; Fear of Temperature_ Stratified Lexical Expansion, Voice Mapping, and Semantic-Relational Pre-Valida.pdf; p.11; project candidate FT-SEED-R1B-P-2015-14; original visible ID not available</x:v>
      </x:c>
      <x:c r="Q135" s="21" t="str">
        <x:v>FT-NGM-9489A09CE2FBD9</x:v>
      </x:c>
      <x:c r="R135" s="21" t="str">
        <x:v>loss and damage</x:v>
      </x:c>
      <x:c r="S135" s="22" t="str">
        <x:v>EXACT</x:v>
      </x:c>
      <x:c r="T135" s="21" t="str">
        <x:v>FT-Q-V01-094</x:v>
      </x:c>
      <x:c r="U135" s="21" t="str">
        <x:v>Candidate surface form is directly representable in the public Ngram interface.</x:v>
      </x:c>
      <x:c r="V135" s="21" t="str">
        <x:v>Fear of Temperature_ Stratified Lexical Expansion, Voice Mapping, and Semantic-Relational Pre-Valida.pdf</x:v>
      </x:c>
      <x:c r="W135" s="21" t="str">
        <x:v>11</x:v>
      </x:c>
      <x:c r="X135" s="23" t="str">
        <x:v>RECONSTRUCTED_FROM_REPORT</x:v>
      </x:c>
    </x:row>
    <x:row r="136" ht="19" customHeight="1">
      <x:c r="A136" s="20" t="str">
        <x:v>FT-SEED-R1B-P-2015-15</x:v>
      </x:c>
      <x:c r="B136" s="21" t="str">
        <x:v>FT-A2015</x:v>
      </x:c>
      <x:c r="C136" s="22" t="str">
        <x:v>2015</x:v>
      </x:c>
      <x:c r="D136" s="22" t="str">
        <x:v>15</x:v>
      </x:c>
      <x:c r="E136" s="21" t="str">
        <x:v>extreme weather events</x:v>
      </x:c>
      <x:c r="F136" s="21" t="str">
        <x:v>extreme weather events</x:v>
      </x:c>
      <x:c r="G136" s="21" t="str">
        <x:v>generic damage</x:v>
      </x:c>
      <x:c r="H136" s="21" t="str">
        <x:v>FT-C-GENERIC_DAMAGE</x:v>
      </x:c>
      <x:c r="I136" s="21" t="str">
        <x:v>Generic material, ecological, or social damage.</x:v>
      </x:c>
      <x:c r="J136" s="21" t="str">
        <x:v>FT-LF-Q-32D51A9AA63C</x:v>
      </x:c>
      <x:c r="K136" s="22" t="str">
        <x:v>harm_loss_consequences</x:v>
      </x:c>
      <x:c r="L136" s="21" t="str">
        <x:v>FT-F14</x:v>
      </x:c>
      <x:c r="M136" s="22" t="str">
        <x:v>D</x:v>
      </x:c>
      <x:c r="N136" s="22" t="str">
        <x:v>V2</x:v>
      </x:c>
      <x:c r="O136" s="22" t="str">
        <x:v>E5</x:v>
      </x:c>
      <x:c r="P136" s="21" t="str">
        <x:v>RECONSTRUCTED_FROM_REPORT; Fear of Temperature_ Stratified Lexical Expansion, Voice Mapping, and Semantic-Relational Pre-Valida.pdf; p.11; project candidate FT-SEED-R1B-P-2015-15; original visible ID not available</x:v>
      </x:c>
      <x:c r="Q136" s="21" t="str">
        <x:v>FT-NGM-32D51A9AA63C45</x:v>
      </x:c>
      <x:c r="R136" s="21" t="str">
        <x:v>extreme weather events</x:v>
      </x:c>
      <x:c r="S136" s="22" t="str">
        <x:v>EXACT</x:v>
      </x:c>
      <x:c r="T136" s="21" t="str">
        <x:v>FT-Q-V01-095</x:v>
      </x:c>
      <x:c r="U136" s="21" t="str">
        <x:v>Candidate surface form is directly representable in the public Ngram interface.</x:v>
      </x:c>
      <x:c r="V136" s="21" t="str">
        <x:v>Fear of Temperature_ Stratified Lexical Expansion, Voice Mapping, and Semantic-Relational Pre-Valida.pdf</x:v>
      </x:c>
      <x:c r="W136" s="21" t="str">
        <x:v>11</x:v>
      </x:c>
      <x:c r="X136" s="23" t="str">
        <x:v>RECONSTRUCTED_FROM_REPORT</x:v>
      </x:c>
    </x:row>
    <x:row r="137" ht="19" customHeight="1">
      <x:c r="A137" s="20" t="str">
        <x:v>FT-SEED-R1B-P-2015-16</x:v>
      </x:c>
      <x:c r="B137" s="21" t="str">
        <x:v>FT-A2015</x:v>
      </x:c>
      <x:c r="C137" s="22" t="str">
        <x:v>2015</x:v>
      </x:c>
      <x:c r="D137" s="22" t="str">
        <x:v>16</x:v>
      </x:c>
      <x:c r="E137" s="21" t="str">
        <x:v>slow onset events</x:v>
      </x:c>
      <x:c r="F137" s="21" t="str">
        <x:v>slow onset events</x:v>
      </x:c>
      <x:c r="G137" s="21" t="str">
        <x:v>generic damage</x:v>
      </x:c>
      <x:c r="H137" s="21" t="str">
        <x:v>FT-C-GENERIC_DAMAGE</x:v>
      </x:c>
      <x:c r="I137" s="21" t="str">
        <x:v>Generic material, ecological, or social damage.</x:v>
      </x:c>
      <x:c r="J137" s="21" t="str">
        <x:v>FT-LF-Q-38862CA17A26</x:v>
      </x:c>
      <x:c r="K137" s="22" t="str">
        <x:v>harm_loss_consequences</x:v>
      </x:c>
      <x:c r="L137" s="21" t="str">
        <x:v>FT-F14</x:v>
      </x:c>
      <x:c r="M137" s="22" t="str">
        <x:v>D</x:v>
      </x:c>
      <x:c r="N137" s="22" t="str">
        <x:v>V2</x:v>
      </x:c>
      <x:c r="O137" s="22" t="str">
        <x:v>E5</x:v>
      </x:c>
      <x:c r="P137" s="21" t="str">
        <x:v>RECONSTRUCTED_FROM_REPORT; Fear of Temperature_ Stratified Lexical Expansion, Voice Mapping, and Semantic-Relational Pre-Valida.pdf; p.11; project candidate FT-SEED-R1B-P-2015-16; original visible ID not available</x:v>
      </x:c>
      <x:c r="Q137" s="21" t="str">
        <x:v>FT-NGM-38862CA17A267F</x:v>
      </x:c>
      <x:c r="R137" s="21" t="str">
        <x:v>slow onset events</x:v>
      </x:c>
      <x:c r="S137" s="22" t="str">
        <x:v>EXACT</x:v>
      </x:c>
      <x:c r="T137" s="21" t="str">
        <x:v>FT-Q-V01-096</x:v>
      </x:c>
      <x:c r="U137" s="21" t="str">
        <x:v>Candidate surface form is directly representable in the public Ngram interface.</x:v>
      </x:c>
      <x:c r="V137" s="21" t="str">
        <x:v>Fear of Temperature_ Stratified Lexical Expansion, Voice Mapping, and Semantic-Relational Pre-Valida.pdf</x:v>
      </x:c>
      <x:c r="W137" s="21" t="str">
        <x:v>11</x:v>
      </x:c>
      <x:c r="X137" s="23" t="str">
        <x:v>RECONSTRUCTED_FROM_REPORT</x:v>
      </x:c>
    </x:row>
    <x:row r="138" ht="19" customHeight="1">
      <x:c r="A138" s="20" t="str">
        <x:v>FT-SEED-R1B-P-2015-17</x:v>
      </x:c>
      <x:c r="B138" s="21" t="str">
        <x:v>FT-A2015</x:v>
      </x:c>
      <x:c r="C138" s="22" t="str">
        <x:v>2015</x:v>
      </x:c>
      <x:c r="D138" s="22" t="str">
        <x:v>17</x:v>
      </x:c>
      <x:c r="E138" s="21" t="str">
        <x:v>risk of loss and damage</x:v>
      </x:c>
      <x:c r="F138" s="21" t="str">
        <x:v>risk of loss and damage</x:v>
      </x:c>
      <x:c r="G138" s="21" t="str">
        <x:v>administrative risk assessment</x:v>
      </x:c>
      <x:c r="H138" s="21" t="str">
        <x:v>FT-C-ADMINISTRATIVE_RISK_ASSESSMENT</x:v>
      </x:c>
      <x:c r="I138" s="21" t="str">
        <x:v>Risk managed or assessed through institutional procedure.</x:v>
      </x:c>
      <x:c r="J138" s="21" t="str">
        <x:v>FT-LF-Q-64B71C832806</x:v>
      </x:c>
      <x:c r="K138" s="22" t="str">
        <x:v>risk</x:v>
      </x:c>
      <x:c r="L138" s="21" t="str">
        <x:v>FT-F12</x:v>
      </x:c>
      <x:c r="M138" s="22" t="str">
        <x:v>D</x:v>
      </x:c>
      <x:c r="N138" s="22" t="str">
        <x:v>V2</x:v>
      </x:c>
      <x:c r="O138" s="22" t="str">
        <x:v>E5</x:v>
      </x:c>
      <x:c r="P138" s="21" t="str">
        <x:v>RECONSTRUCTED_FROM_REPORT; Fear of Temperature_ Stratified Lexical Expansion, Voice Mapping, and Semantic-Relational Pre-Valida.pdf; p.11; project candidate FT-SEED-R1B-P-2015-17; original visible ID not available</x:v>
      </x:c>
      <x:c r="Q138" s="21" t="str">
        <x:v>FT-NGM-64B71C832806EB</x:v>
      </x:c>
      <x:c r="R138" s="21" t="str">
        <x:v>risk of loss and damage</x:v>
      </x:c>
      <x:c r="S138" s="22" t="str">
        <x:v>EXACT</x:v>
      </x:c>
      <x:c r="T138" s="21" t="str">
        <x:v>FT-Q-V01-097</x:v>
      </x:c>
      <x:c r="U138" s="21" t="str">
        <x:v>Candidate surface form is directly representable in the public Ngram interface.</x:v>
      </x:c>
      <x:c r="V138" s="21" t="str">
        <x:v>Fear of Temperature_ Stratified Lexical Expansion, Voice Mapping, and Semantic-Relational Pre-Valida.pdf</x:v>
      </x:c>
      <x:c r="W138" s="21" t="str">
        <x:v>11</x:v>
      </x:c>
      <x:c r="X138" s="23" t="str">
        <x:v>RECONSTRUCTED_FROM_REPORT</x:v>
      </x:c>
    </x:row>
    <x:row r="139" ht="19" customHeight="1">
      <x:c r="A139" s="20" t="str">
        <x:v>FT-SEED-R1B-P-2015-18</x:v>
      </x:c>
      <x:c r="B139" s="21" t="str">
        <x:v>FT-A2015</x:v>
      </x:c>
      <x:c r="C139" s="22" t="str">
        <x:v>2015</x:v>
      </x:c>
      <x:c r="D139" s="22" t="str">
        <x:v>18</x:v>
      </x:c>
      <x:c r="E139" s="21" t="str">
        <x:v>early warning systems</x:v>
      </x:c>
      <x:c r="F139" s="21" t="str">
        <x:v>early warning systems</x:v>
      </x:c>
      <x:c r="G139" s="21" t="str">
        <x:v>generic damage</x:v>
      </x:c>
      <x:c r="H139" s="21" t="str">
        <x:v>FT-C-GENERIC_DAMAGE</x:v>
      </x:c>
      <x:c r="I139" s="21" t="str">
        <x:v>Generic material, ecological, or social damage.</x:v>
      </x:c>
      <x:c r="J139" s="21" t="str">
        <x:v>FT-LF-Q-7B19E541DDA7</x:v>
      </x:c>
      <x:c r="K139" s="22" t="str">
        <x:v>harm_loss_consequences</x:v>
      </x:c>
      <x:c r="L139" s="21" t="str">
        <x:v>FT-F14</x:v>
      </x:c>
      <x:c r="M139" s="22" t="str">
        <x:v>D</x:v>
      </x:c>
      <x:c r="N139" s="22" t="str">
        <x:v>V2</x:v>
      </x:c>
      <x:c r="O139" s="22" t="str">
        <x:v>E5</x:v>
      </x:c>
      <x:c r="P139" s="21" t="str">
        <x:v>RECONSTRUCTED_FROM_REPORT; Fear of Temperature_ Stratified Lexical Expansion, Voice Mapping, and Semantic-Relational Pre-Valida.pdf; p.11; project candidate FT-SEED-R1B-P-2015-18; original visible ID not available</x:v>
      </x:c>
      <x:c r="Q139" s="21" t="str">
        <x:v>FT-NGM-7B19E541DDA78C</x:v>
      </x:c>
      <x:c r="R139" s="21" t="str">
        <x:v>early warning systems</x:v>
      </x:c>
      <x:c r="S139" s="22" t="str">
        <x:v>EXACT</x:v>
      </x:c>
      <x:c r="T139" s="21" t="str">
        <x:v>FT-Q-V01-098</x:v>
      </x:c>
      <x:c r="U139" s="21" t="str">
        <x:v>Candidate surface form is directly representable in the public Ngram interface.</x:v>
      </x:c>
      <x:c r="V139" s="21" t="str">
        <x:v>Fear of Temperature_ Stratified Lexical Expansion, Voice Mapping, and Semantic-Relational Pre-Valida.pdf</x:v>
      </x:c>
      <x:c r="W139" s="21" t="str">
        <x:v>11</x:v>
      </x:c>
      <x:c r="X139" s="23" t="str">
        <x:v>RECONSTRUCTED_FROM_REPORT</x:v>
      </x:c>
    </x:row>
    <x:row r="140" ht="19" customHeight="1">
      <x:c r="A140" s="20" t="str">
        <x:v>FT-SEED-R1B-P-2015-19</x:v>
      </x:c>
      <x:c r="B140" s="21" t="str">
        <x:v>FT-A2015</x:v>
      </x:c>
      <x:c r="C140" s="22" t="str">
        <x:v>2015</x:v>
      </x:c>
      <x:c r="D140" s="22" t="str">
        <x:v>19</x:v>
      </x:c>
      <x:c r="E140" s="21" t="str">
        <x:v>emergency preparedness</x:v>
      </x:c>
      <x:c r="F140" s="21" t="str">
        <x:v>emergency preparedness</x:v>
      </x:c>
      <x:c r="G140" s="21" t="str">
        <x:v>emergency response category</x:v>
      </x:c>
      <x:c r="H140" s="21" t="str">
        <x:v>FT-C-EMERGENCY_RESPONSE_CATEGORY</x:v>
      </x:c>
      <x:c r="I140" s="21" t="str">
        <x:v>Emergency preparedness or response as a governance procedure.</x:v>
      </x:c>
      <x:c r="J140" s="21" t="str">
        <x:v>FT-LF-Q-40CDA2B3D460</x:v>
      </x:c>
      <x:c r="K140" s="22" t="str">
        <x:v>crisis_emergency</x:v>
      </x:c>
      <x:c r="L140" s="21" t="str">
        <x:v>FT-F13</x:v>
      </x:c>
      <x:c r="M140" s="22" t="str">
        <x:v>D</x:v>
      </x:c>
      <x:c r="N140" s="22" t="str">
        <x:v>V2</x:v>
      </x:c>
      <x:c r="O140" s="22" t="str">
        <x:v>E5</x:v>
      </x:c>
      <x:c r="P140" s="21" t="str">
        <x:v>RECONSTRUCTED_FROM_REPORT; Fear of Temperature_ Stratified Lexical Expansion, Voice Mapping, and Semantic-Relational Pre-Valida.pdf; p.11; project candidate FT-SEED-R1B-P-2015-19; original visible ID not available</x:v>
      </x:c>
      <x:c r="Q140" s="21" t="str">
        <x:v>FT-NGM-40CDA2B3D460F7</x:v>
      </x:c>
      <x:c r="R140" s="21" t="str">
        <x:v>emergency preparedness</x:v>
      </x:c>
      <x:c r="S140" s="22" t="str">
        <x:v>EXACT</x:v>
      </x:c>
      <x:c r="T140" s="21" t="str">
        <x:v>FT-Q-V01-099</x:v>
      </x:c>
      <x:c r="U140" s="21" t="str">
        <x:v>Candidate surface form is directly representable in the public Ngram interface.</x:v>
      </x:c>
      <x:c r="V140" s="21" t="str">
        <x:v>Fear of Temperature_ Stratified Lexical Expansion, Voice Mapping, and Semantic-Relational Pre-Valida.pdf</x:v>
      </x:c>
      <x:c r="W140" s="21" t="str">
        <x:v>11</x:v>
      </x:c>
      <x:c r="X140" s="23" t="str">
        <x:v>RECONSTRUCTED_FROM_REPORT</x:v>
      </x:c>
    </x:row>
    <x:row r="141" ht="19" customHeight="1">
      <x:c r="A141" s="20" t="str">
        <x:v>FT-SEED-R1B-P-2015-20</x:v>
      </x:c>
      <x:c r="B141" s="21" t="str">
        <x:v>FT-A2015</x:v>
      </x:c>
      <x:c r="C141" s="22" t="str">
        <x:v>2015</x:v>
      </x:c>
      <x:c r="D141" s="22" t="str">
        <x:v>20</x:v>
      </x:c>
      <x:c r="E141" s="21" t="str">
        <x:v>irreversible and permanent loss and damage</x:v>
      </x:c>
      <x:c r="F141" s="21" t="str">
        <x:v>irreversible and permanent loss and damage</x:v>
      </x:c>
      <x:c r="G141" s="21" t="str">
        <x:v>loss and damage</x:v>
      </x:c>
      <x:c r="H141" s="21" t="str">
        <x:v>FT-C-LOSS_AND_DAMAGE</x:v>
      </x:c>
      <x:c r="I141" s="21" t="str">
        <x:v>The climate-governance domain of loss and damage.</x:v>
      </x:c>
      <x:c r="J141" s="21" t="str">
        <x:v>FT-LF-Q-45577BBD6F3D</x:v>
      </x:c>
      <x:c r="K141" s="22" t="str">
        <x:v>harm_loss_consequences</x:v>
      </x:c>
      <x:c r="L141" s="21" t="str">
        <x:v>FT-F14</x:v>
      </x:c>
      <x:c r="M141" s="22" t="str">
        <x:v>D</x:v>
      </x:c>
      <x:c r="N141" s="22" t="str">
        <x:v>V2</x:v>
      </x:c>
      <x:c r="O141" s="22" t="str">
        <x:v>E5</x:v>
      </x:c>
      <x:c r="P141" s="21" t="str">
        <x:v>RECONSTRUCTED_FROM_REPORT; Fear of Temperature_ Stratified Lexical Expansion, Voice Mapping, and Semantic-Relational Pre-Valida.pdf; p.11; project candidate FT-SEED-R1B-P-2015-20; original visible ID not available</x:v>
      </x:c>
      <x:c r="Q141" s="21" t="str">
        <x:v>FT-NGM-45577BBD6F3D34</x:v>
      </x:c>
      <x:c r="R141" s="21" t="str">
        <x:v>irreversible and permanent loss and damage</x:v>
      </x:c>
      <x:c r="S141" s="22" t="str">
        <x:v>EXACT</x:v>
      </x:c>
      <x:c r="T141" s="21" t="str">
        <x:v>FT-Q-V01-100</x:v>
      </x:c>
      <x:c r="U141" s="21" t="str">
        <x:v>Candidate surface form is directly representable in the public Ngram interface.</x:v>
      </x:c>
      <x:c r="V141" s="21" t="str">
        <x:v>Fear of Temperature_ Stratified Lexical Expansion, Voice Mapping, and Semantic-Relational Pre-Valida.pdf</x:v>
      </x:c>
      <x:c r="W141" s="21" t="str">
        <x:v>11</x:v>
      </x:c>
      <x:c r="X141" s="23" t="str">
        <x:v>RECONSTRUCTED_FROM_REPORT</x:v>
      </x:c>
    </x:row>
    <x:row r="142" ht="19" customHeight="1">
      <x:c r="A142" s="20" t="str">
        <x:v>FT-SEED-R1B-P-2015-21</x:v>
      </x:c>
      <x:c r="B142" s="21" t="str">
        <x:v>FT-A2015</x:v>
      </x:c>
      <x:c r="C142" s="22" t="str">
        <x:v>2015</x:v>
      </x:c>
      <x:c r="D142" s="22" t="str">
        <x:v>21</x:v>
      </x:c>
      <x:c r="E142" s="21" t="str">
        <x:v>comprehensive risk assessment and management</x:v>
      </x:c>
      <x:c r="F142" s="21" t="str">
        <x:v>comprehensive risk assessment and management</x:v>
      </x:c>
      <x:c r="G142" s="21" t="str">
        <x:v>administrative risk assessment</x:v>
      </x:c>
      <x:c r="H142" s="21" t="str">
        <x:v>FT-C-ADMINISTRATIVE_RISK_ASSESSMENT</x:v>
      </x:c>
      <x:c r="I142" s="21" t="str">
        <x:v>Risk managed or assessed through institutional procedure.</x:v>
      </x:c>
      <x:c r="J142" s="21" t="str">
        <x:v>FT-LF-Q-9050F47C99AD</x:v>
      </x:c>
      <x:c r="K142" s="22" t="str">
        <x:v>risk</x:v>
      </x:c>
      <x:c r="L142" s="21" t="str">
        <x:v>FT-F12</x:v>
      </x:c>
      <x:c r="M142" s="22" t="str">
        <x:v>D</x:v>
      </x:c>
      <x:c r="N142" s="22" t="str">
        <x:v>V2</x:v>
      </x:c>
      <x:c r="O142" s="22" t="str">
        <x:v>E5</x:v>
      </x:c>
      <x:c r="P142" s="21" t="str">
        <x:v>RECONSTRUCTED_FROM_REPORT; Fear of Temperature_ Stratified Lexical Expansion, Voice Mapping, and Semantic-Relational Pre-Valida.pdf; p.11; project candidate FT-SEED-R1B-P-2015-21; original visible ID not available</x:v>
      </x:c>
      <x:c r="Q142" s="21" t="str">
        <x:v>FT-NGM-9050F47C99ADE7</x:v>
      </x:c>
      <x:c r="R142" s="21" t="str">
        <x:v>comprehensive risk assessment and management</x:v>
      </x:c>
      <x:c r="S142" s="22" t="str">
        <x:v>EXACT</x:v>
      </x:c>
      <x:c r="T142" s="21" t="str">
        <x:v>FT-Q-V01-142</x:v>
      </x:c>
      <x:c r="U142" s="21" t="str">
        <x:v>Candidate surface form is directly representable in the public Ngram interface.</x:v>
      </x:c>
      <x:c r="V142" s="21" t="str">
        <x:v>Fear of Temperature_ Stratified Lexical Expansion, Voice Mapping, and Semantic-Relational Pre-Valida.pdf</x:v>
      </x:c>
      <x:c r="W142" s="21" t="str">
        <x:v>11</x:v>
      </x:c>
      <x:c r="X142" s="23" t="str">
        <x:v>RECONSTRUCTED_FROM_REPORT</x:v>
      </x:c>
    </x:row>
    <x:row r="143" ht="19" customHeight="1">
      <x:c r="A143" s="20" t="str">
        <x:v>FT-SEED-R1B-P-2015-22</x:v>
      </x:c>
      <x:c r="B143" s="21" t="str">
        <x:v>FT-A2015</x:v>
      </x:c>
      <x:c r="C143" s="22" t="str">
        <x:v>2015</x:v>
      </x:c>
      <x:c r="D143" s="22" t="str">
        <x:v>22</x:v>
      </x:c>
      <x:c r="E143" s="21" t="str">
        <x:v>non-economic losses</x:v>
      </x:c>
      <x:c r="F143" s="21" t="str">
        <x:v>non-economic losses</x:v>
      </x:c>
      <x:c r="G143" s="21" t="str">
        <x:v>non-economic losses</x:v>
      </x:c>
      <x:c r="H143" s="21" t="str">
        <x:v>FT-C-NON_ECONOMIC_LOSSES</x:v>
      </x:c>
      <x:c r="I143" s="21" t="str">
        <x:v>Non-economic loss as a distinct governance category.</x:v>
      </x:c>
      <x:c r="J143" s="21" t="str">
        <x:v>FT-LF-NON_ECONOMIC_LOSSES</x:v>
      </x:c>
      <x:c r="K143" s="22" t="str">
        <x:v>harm_loss_consequences</x:v>
      </x:c>
      <x:c r="L143" s="21" t="str">
        <x:v>FT-F14</x:v>
      </x:c>
      <x:c r="M143" s="22" t="str">
        <x:v>D</x:v>
      </x:c>
      <x:c r="N143" s="22" t="str">
        <x:v>V2</x:v>
      </x:c>
      <x:c r="O143" s="22" t="str">
        <x:v>E5</x:v>
      </x:c>
      <x:c r="P143" s="21" t="str">
        <x:v>RECONSTRUCTED_FROM_REPORT; Fear of Temperature_ Stratified Lexical Expansion, Voice Mapping, and Semantic-Relational Pre-Valida.pdf; p.11; project candidate FT-SEED-R1B-P-2015-22; original visible ID not available</x:v>
      </x:c>
      <x:c r="Q143" s="21" t="str">
        <x:v>FT-NGM-832026D3AF87E6</x:v>
      </x:c>
      <x:c r="R143" s="21" t="str">
        <x:v>non-economic losses</x:v>
      </x:c>
      <x:c r="S143" s="22" t="str">
        <x:v>EXACT</x:v>
      </x:c>
      <x:c r="T143" s="21" t="str">
        <x:v>FT-Q-P180-AF35B6022DCF</x:v>
      </x:c>
      <x:c r="U143" s="21" t="str">
        <x:v>Candidate surface form is directly representable in the public Ngram interface.</x:v>
      </x:c>
      <x:c r="V143" s="21" t="str">
        <x:v>Fear of Temperature_ Stratified Lexical Expansion, Voice Mapping, and Semantic-Relational Pre-Valida.pdf</x:v>
      </x:c>
      <x:c r="W143" s="21" t="str">
        <x:v>11</x:v>
      </x:c>
      <x:c r="X143" s="23" t="str">
        <x:v>RECONSTRUCTED_FROM_REPORT</x:v>
      </x:c>
    </x:row>
    <x:row r="144" ht="19" customHeight="1">
      <x:c r="A144" s="20" t="str">
        <x:v>FT-SEED-R1B-P-2015-23</x:v>
      </x:c>
      <x:c r="B144" s="21" t="str">
        <x:v>FT-A2015</x:v>
      </x:c>
      <x:c r="C144" s="22" t="str">
        <x:v>2015</x:v>
      </x:c>
      <x:c r="D144" s="22" t="str">
        <x:v>23</x:v>
      </x:c>
      <x:c r="E144" s="21" t="str">
        <x:v>common concern of humankind</x:v>
      </x:c>
      <x:c r="F144" s="21" t="str">
        <x:v>common concern of humankind</x:v>
      </x:c>
      <x:c r="G144" s="21" t="str">
        <x:v>common concern of humankind</x:v>
      </x:c>
      <x:c r="H144" s="21" t="str">
        <x:v>FT-C-COMMON_CONCERN_LEGAL_FORMULA</x:v>
      </x:c>
      <x:c r="I144" s="21" t="str">
        <x:v>A legal-diplomatic formula identifying a shared governance object, not personal emotion.</x:v>
      </x:c>
      <x:c r="J144" s="21" t="str">
        <x:v>FT-LF-COMMON_CONCERN</x:v>
      </x:c>
      <x:c r="K144" s="22" t="str">
        <x:v>concern_alarm</x:v>
      </x:c>
      <x:c r="L144" s="21" t="str">
        <x:v>FT-F06</x:v>
      </x:c>
      <x:c r="M144" s="22" t="str">
        <x:v>C</x:v>
      </x:c>
      <x:c r="N144" s="22" t="str">
        <x:v>V2</x:v>
      </x:c>
      <x:c r="O144" s="22" t="str">
        <x:v>E1</x:v>
      </x:c>
      <x:c r="P144" s="21" t="str">
        <x:v>RECONSTRUCTED_FROM_REPORT; Fear of Temperature_ Stratified Lexical Expansion, Voice Mapping, and Semantic-Relational Pre-Valida.pdf; p.11; project candidate FT-SEED-R1B-P-2015-23; original visible ID not available</x:v>
      </x:c>
      <x:c r="Q144" s="21" t="str">
        <x:v>FT-NGM-09865B6D25CC0D</x:v>
      </x:c>
      <x:c r="R144" s="21" t="str">
        <x:v>common concern of humankind</x:v>
      </x:c>
      <x:c r="S144" s="22" t="str">
        <x:v>EXACT</x:v>
      </x:c>
      <x:c r="T144" s="21" t="str">
        <x:v>FT-Q-P180-77AA231E4338</x:v>
      </x:c>
      <x:c r="U144" s="21" t="str">
        <x:v>Candidate surface form is directly representable in the public Ngram interface.</x:v>
      </x:c>
      <x:c r="V144" s="21" t="str">
        <x:v>Fear of Temperature_ Stratified Lexical Expansion, Voice Mapping, and Semantic-Relational Pre-Valida.pdf</x:v>
      </x:c>
      <x:c r="W144" s="21" t="str">
        <x:v>11</x:v>
      </x:c>
      <x:c r="X144" s="23" t="str">
        <x:v>RECONSTRUCTED_FROM_REPORT</x:v>
      </x:c>
    </x:row>
    <x:row r="145" ht="19" customHeight="1">
      <x:c r="A145" s="20" t="str">
        <x:v>FT-SEED-R1B-P-2015-24</x:v>
      </x:c>
      <x:c r="B145" s="21" t="str">
        <x:v>FT-A2015</x:v>
      </x:c>
      <x:c r="C145" s="22" t="str">
        <x:v>2015</x:v>
      </x:c>
      <x:c r="D145" s="22" t="str">
        <x:v>24</x:v>
      </x:c>
      <x:c r="E145" s="21" t="str">
        <x:v>climate justice</x:v>
      </x:c>
      <x:c r="F145" s="21" t="str">
        <x:v>climate justice</x:v>
      </x:c>
      <x:c r="G145" s="21" t="str">
        <x:v>generic damage</x:v>
      </x:c>
      <x:c r="H145" s="21" t="str">
        <x:v>FT-C-GENERIC_DAMAGE</x:v>
      </x:c>
      <x:c r="I145" s="21" t="str">
        <x:v>Generic material, ecological, or social damage.</x:v>
      </x:c>
      <x:c r="J145" s="21" t="str">
        <x:v>FT-LF-P180-A426201ED49E</x:v>
      </x:c>
      <x:c r="K145" s="22" t="str">
        <x:v>harm_loss_consequences</x:v>
      </x:c>
      <x:c r="L145" s="21" t="str">
        <x:v>FT-F14</x:v>
      </x:c>
      <x:c r="M145" s="22" t="str">
        <x:v>D</x:v>
      </x:c>
      <x:c r="N145" s="22" t="str">
        <x:v>V2</x:v>
      </x:c>
      <x:c r="O145" s="22" t="str">
        <x:v>E5</x:v>
      </x:c>
      <x:c r="P145" s="21" t="str">
        <x:v>RECONSTRUCTED_FROM_REPORT; Fear of Temperature_ Stratified Lexical Expansion, Voice Mapping, and Semantic-Relational Pre-Valida.pdf; p.11; project candidate FT-SEED-R1B-P-2015-24; original visible ID not available</x:v>
      </x:c>
      <x:c r="Q145" s="21" t="str">
        <x:v>FT-NGM-A426201ED49E2B</x:v>
      </x:c>
      <x:c r="R145" s="21" t="str">
        <x:v>climate justice</x:v>
      </x:c>
      <x:c r="S145" s="22" t="str">
        <x:v>EXACT</x:v>
      </x:c>
      <x:c r="T145" s="21" t="str">
        <x:v>FT-Q-P180-6901F0C01389</x:v>
      </x:c>
      <x:c r="U145" s="21" t="str">
        <x:v>Candidate surface form is directly representable in the public Ngram interface.</x:v>
      </x:c>
      <x:c r="V145" s="21" t="str">
        <x:v>Fear of Temperature_ Stratified Lexical Expansion, Voice Mapping, and Semantic-Relational Pre-Valida.pdf</x:v>
      </x:c>
      <x:c r="W145" s="21" t="str">
        <x:v>11</x:v>
      </x:c>
      <x:c r="X145" s="23" t="str">
        <x:v>RECONSTRUCTED_FROM_REPORT</x:v>
      </x:c>
    </x:row>
    <x:row r="146" ht="19" customHeight="1">
      <x:c r="A146" s="20" t="str">
        <x:v>FT-SEED-R1B-P-2015-25</x:v>
      </x:c>
      <x:c r="B146" s="21" t="str">
        <x:v>FT-A2015</x:v>
      </x:c>
      <x:c r="C146" s="22" t="str">
        <x:v>2015</x:v>
      </x:c>
      <x:c r="D146" s="22" t="str">
        <x:v>25</x:v>
      </x:c>
      <x:c r="E146" s="21" t="str">
        <x:v>very worried</x:v>
      </x:c>
      <x:c r="F146" s="21" t="str">
        <x:v>very worried</x:v>
      </x:c>
      <x:c r="G146" s="21" t="str">
        <x:v>participant worry endorsement</x:v>
      </x:c>
      <x:c r="H146" s="21" t="str">
        <x:v>FT-C-PARTICIPANT_WORRY_ENDORSEMENT</x:v>
      </x:c>
      <x:c r="I146" s="21" t="str">
        <x:v>A participant selection or endorsement of a supplied worry category.</x:v>
      </x:c>
      <x:c r="J146" s="21" t="str">
        <x:v>FT-LF-VERY_WORRIED</x:v>
      </x:c>
      <x:c r="K146" s="22" t="str">
        <x:v>worry</x:v>
      </x:c>
      <x:c r="L146" s="21" t="str">
        <x:v>FT-F07</x:v>
      </x:c>
      <x:c r="M146" s="22" t="str">
        <x:v>C</x:v>
      </x:c>
      <x:c r="N146" s="22" t="str">
        <x:v>V5</x:v>
      </x:c>
      <x:c r="O146" s="22" t="str">
        <x:v>E5</x:v>
      </x:c>
      <x:c r="P146" s="21" t="str">
        <x:v>RECONSTRUCTED_FROM_REPORT; Fear of Temperature_ Stratified Lexical Expansion, Voice Mapping, and Semantic-Relational Pre-Valida.pdf; p.11; project candidate FT-SEED-R1B-P-2015-25; original visible ID not available</x:v>
      </x:c>
      <x:c r="Q146" s="21" t="str">
        <x:v>FT-NGM-DBC51F52C218DC</x:v>
      </x:c>
      <x:c r="R146" s="21" t="str">
        <x:v>very worried</x:v>
      </x:c>
      <x:c r="S146" s="22" t="str">
        <x:v>EXACT</x:v>
      </x:c>
      <x:c r="T146" s="21" t="str">
        <x:v>FT-Q-P180-D1BF7C1461D4</x:v>
      </x:c>
      <x:c r="U146" s="21" t="str">
        <x:v>Candidate surface form is directly representable in the public Ngram interface.</x:v>
      </x:c>
      <x:c r="V146" s="21" t="str">
        <x:v>Fear of Temperature_ Stratified Lexical Expansion, Voice Mapping, and Semantic-Relational Pre-Valida.pdf</x:v>
      </x:c>
      <x:c r="W146" s="21" t="str">
        <x:v>11</x:v>
      </x:c>
      <x:c r="X146" s="23" t="str">
        <x:v>RECONSTRUCTED_FROM_REPORT</x:v>
      </x:c>
    </x:row>
    <x:row r="147" ht="19" customHeight="1">
      <x:c r="A147" s="20" t="str">
        <x:v>FT-SEED-R1B-P-2015-26</x:v>
      </x:c>
      <x:c r="B147" s="21" t="str">
        <x:v>FT-A2015</x:v>
      </x:c>
      <x:c r="C147" s="22" t="str">
        <x:v>2015</x:v>
      </x:c>
      <x:c r="D147" s="22" t="str">
        <x:v>26</x:v>
      </x:c>
      <x:c r="E147" s="21" t="str">
        <x:v>somewhat worried</x:v>
      </x:c>
      <x:c r="F147" s="21" t="str">
        <x:v>somewhat worried</x:v>
      </x:c>
      <x:c r="G147" s="21" t="str">
        <x:v>participant worry endorsement</x:v>
      </x:c>
      <x:c r="H147" s="21" t="str">
        <x:v>FT-C-PARTICIPANT_WORRY_ENDORSEMENT</x:v>
      </x:c>
      <x:c r="I147" s="21" t="str">
        <x:v>A participant selection or endorsement of a supplied worry category.</x:v>
      </x:c>
      <x:c r="J147" s="21" t="str">
        <x:v>FT-LF-Q-AFDF367E346E</x:v>
      </x:c>
      <x:c r="K147" s="22" t="str">
        <x:v>worry</x:v>
      </x:c>
      <x:c r="L147" s="21" t="str">
        <x:v>FT-F07</x:v>
      </x:c>
      <x:c r="M147" s="22" t="str">
        <x:v>C</x:v>
      </x:c>
      <x:c r="N147" s="22" t="str">
        <x:v>V5</x:v>
      </x:c>
      <x:c r="O147" s="22" t="str">
        <x:v>E5</x:v>
      </x:c>
      <x:c r="P147" s="21" t="str">
        <x:v>RECONSTRUCTED_FROM_REPORT; Fear of Temperature_ Stratified Lexical Expansion, Voice Mapping, and Semantic-Relational Pre-Valida.pdf; p.11; project candidate FT-SEED-R1B-P-2015-26; original visible ID not available</x:v>
      </x:c>
      <x:c r="Q147" s="21" t="str">
        <x:v>FT-NGM-AFDF367E346E94</x:v>
      </x:c>
      <x:c r="R147" s="21" t="str">
        <x:v>somewhat worried</x:v>
      </x:c>
      <x:c r="S147" s="22" t="str">
        <x:v>EXACT</x:v>
      </x:c>
      <x:c r="T147" s="21" t="str">
        <x:v>FT-Q-P180-1446D842EC85</x:v>
      </x:c>
      <x:c r="U147" s="21" t="str">
        <x:v>Candidate surface form is directly representable in the public Ngram interface.</x:v>
      </x:c>
      <x:c r="V147" s="21" t="str">
        <x:v>Fear of Temperature_ Stratified Lexical Expansion, Voice Mapping, and Semantic-Relational Pre-Valida.pdf</x:v>
      </x:c>
      <x:c r="W147" s="21" t="str">
        <x:v>11</x:v>
      </x:c>
      <x:c r="X147" s="23" t="str">
        <x:v>RECONSTRUCTED_FROM_REPORT</x:v>
      </x:c>
    </x:row>
    <x:row r="148" ht="19" customHeight="1">
      <x:c r="A148" s="20" t="str">
        <x:v>FT-SEED-R1B-P-2015-27</x:v>
      </x:c>
      <x:c r="B148" s="21" t="str">
        <x:v>FT-A2015</x:v>
      </x:c>
      <x:c r="C148" s="22" t="str">
        <x:v>2015</x:v>
      </x:c>
      <x:c r="D148" s="22" t="str">
        <x:v>27</x:v>
      </x:c>
      <x:c r="E148" s="21" t="str">
        <x:v>very serious problem</x:v>
      </x:c>
      <x:c r="F148" s="21" t="str">
        <x:v>very serious problem</x:v>
      </x:c>
      <x:c r="G148" s="21" t="str">
        <x:v>generic damage</x:v>
      </x:c>
      <x:c r="H148" s="21" t="str">
        <x:v>FT-C-GENERIC_DAMAGE</x:v>
      </x:c>
      <x:c r="I148" s="21" t="str">
        <x:v>Generic material, ecological, or social damage.</x:v>
      </x:c>
      <x:c r="J148" s="21" t="str">
        <x:v>FT-LF-P180-87A2FEC0142E</x:v>
      </x:c>
      <x:c r="K148" s="22" t="str">
        <x:v>harm_loss_consequences</x:v>
      </x:c>
      <x:c r="L148" s="21" t="str">
        <x:v>FT-F14</x:v>
      </x:c>
      <x:c r="M148" s="22" t="str">
        <x:v>D</x:v>
      </x:c>
      <x:c r="N148" s="22" t="str">
        <x:v>V5</x:v>
      </x:c>
      <x:c r="O148" s="22" t="str">
        <x:v>E5</x:v>
      </x:c>
      <x:c r="P148" s="21" t="str">
        <x:v>RECONSTRUCTED_FROM_REPORT; Fear of Temperature_ Stratified Lexical Expansion, Voice Mapping, and Semantic-Relational Pre-Valida.pdf; p.11; project candidate FT-SEED-R1B-P-2015-27; original visible ID not available</x:v>
      </x:c>
      <x:c r="Q148" s="21" t="str">
        <x:v>FT-NGM-87A2FEC0142E96</x:v>
      </x:c>
      <x:c r="R148" s="21" t="str">
        <x:v>very serious problem</x:v>
      </x:c>
      <x:c r="S148" s="22" t="str">
        <x:v>EXACT</x:v>
      </x:c>
      <x:c r="T148" s="21" t="str">
        <x:v>FT-Q-P180-A0EB09D33170</x:v>
      </x:c>
      <x:c r="U148" s="21" t="str">
        <x:v>Candidate surface form is directly representable in the public Ngram interface.</x:v>
      </x:c>
      <x:c r="V148" s="21" t="str">
        <x:v>Fear of Temperature_ Stratified Lexical Expansion, Voice Mapping, and Semantic-Relational Pre-Valida.pdf</x:v>
      </x:c>
      <x:c r="W148" s="21" t="str">
        <x:v>11</x:v>
      </x:c>
      <x:c r="X148" s="23" t="str">
        <x:v>RECONSTRUCTED_FROM_REPORT</x:v>
      </x:c>
    </x:row>
    <x:row r="149" ht="19" customHeight="1">
      <x:c r="A149" s="20" t="str">
        <x:v>FT-SEED-R1B-P-2015-28</x:v>
      </x:c>
      <x:c r="B149" s="21" t="str">
        <x:v>FT-A2015</x:v>
      </x:c>
      <x:c r="C149" s="22" t="str">
        <x:v>2015</x:v>
      </x:c>
      <x:c r="D149" s="22" t="str">
        <x:v>28</x:v>
      </x:c>
      <x:c r="E149" s="21" t="str">
        <x:v>harm them personally</x:v>
      </x:c>
      <x:c r="F149" s="21" t="str">
        <x:v>harm them personally</x:v>
      </x:c>
      <x:c r="G149" s="21" t="str">
        <x:v>generic damage</x:v>
      </x:c>
      <x:c r="H149" s="21" t="str">
        <x:v>FT-C-GENERIC_DAMAGE</x:v>
      </x:c>
      <x:c r="I149" s="21" t="str">
        <x:v>Generic material, ecological, or social damage.</x:v>
      </x:c>
      <x:c r="J149" s="21" t="str">
        <x:v>FT-LF-P180-8C7EB792C212</x:v>
      </x:c>
      <x:c r="K149" s="22" t="str">
        <x:v>harm_loss_consequences</x:v>
      </x:c>
      <x:c r="L149" s="21" t="str">
        <x:v>FT-F14</x:v>
      </x:c>
      <x:c r="M149" s="22" t="str">
        <x:v>D</x:v>
      </x:c>
      <x:c r="N149" s="22" t="str">
        <x:v>V5</x:v>
      </x:c>
      <x:c r="O149" s="22" t="str">
        <x:v>E5</x:v>
      </x:c>
      <x:c r="P149" s="21" t="str">
        <x:v>RECONSTRUCTED_FROM_REPORT; Fear of Temperature_ Stratified Lexical Expansion, Voice Mapping, and Semantic-Relational Pre-Valida.pdf; p.11; project candidate FT-SEED-R1B-P-2015-28; original visible ID not available</x:v>
      </x:c>
      <x:c r="Q149" s="21" t="str">
        <x:v>FT-NGM-8C7EB792C212BE</x:v>
      </x:c>
      <x:c r="R149" s="21" t="str">
        <x:v>harm them personally</x:v>
      </x:c>
      <x:c r="S149" s="22" t="str">
        <x:v>EXACT</x:v>
      </x:c>
      <x:c r="T149" s="21" t="str">
        <x:v>FT-Q-P180-548C3B05093C</x:v>
      </x:c>
      <x:c r="U149" s="21" t="str">
        <x:v>Candidate surface form is directly representable in the public Ngram interface.</x:v>
      </x:c>
      <x:c r="V149" s="21" t="str">
        <x:v>Fear of Temperature_ Stratified Lexical Expansion, Voice Mapping, and Semantic-Relational Pre-Valida.pdf</x:v>
      </x:c>
      <x:c r="W149" s="21" t="str">
        <x:v>11</x:v>
      </x:c>
      <x:c r="X149" s="23" t="str">
        <x:v>RECONSTRUCTED_FROM_REPORT</x:v>
      </x:c>
    </x:row>
    <x:row r="150" ht="19" customHeight="1">
      <x:c r="A150" s="20" t="str">
        <x:v>FT-SEED-R1B-P-2015-29</x:v>
      </x:c>
      <x:c r="B150" s="21" t="str">
        <x:v>FT-A2015</x:v>
      </x:c>
      <x:c r="C150" s="22" t="str">
        <x:v>2015</x:v>
      </x:c>
      <x:c r="D150" s="22" t="str">
        <x:v>29</x:v>
      </x:c>
      <x:c r="E150" s="21" t="str">
        <x:v>drought or water shortages</x:v>
      </x:c>
      <x:c r="F150" s="21" t="str">
        <x:v>drought or water shortages</x:v>
      </x:c>
      <x:c r="G150" s="21" t="str">
        <x:v>generic damage</x:v>
      </x:c>
      <x:c r="H150" s="21" t="str">
        <x:v>FT-C-GENERIC_DAMAGE</x:v>
      </x:c>
      <x:c r="I150" s="21" t="str">
        <x:v>Generic material, ecological, or social damage.</x:v>
      </x:c>
      <x:c r="J150" s="21" t="str">
        <x:v>FT-LF-P180-A5F132EC7F9E</x:v>
      </x:c>
      <x:c r="K150" s="22" t="str">
        <x:v>harm_loss_consequences</x:v>
      </x:c>
      <x:c r="L150" s="21" t="str">
        <x:v>FT-F14</x:v>
      </x:c>
      <x:c r="M150" s="22" t="str">
        <x:v>D</x:v>
      </x:c>
      <x:c r="N150" s="22" t="str">
        <x:v>V5</x:v>
      </x:c>
      <x:c r="O150" s="22" t="str">
        <x:v>E5</x:v>
      </x:c>
      <x:c r="P150" s="21" t="str">
        <x:v>RECONSTRUCTED_FROM_REPORT; Fear of Temperature_ Stratified Lexical Expansion, Voice Mapping, and Semantic-Relational Pre-Valida.pdf; p.11; project candidate FT-SEED-R1B-P-2015-29; original visible ID not available</x:v>
      </x:c>
      <x:c r="Q150" s="21" t="str">
        <x:v>FT-NGM-A5F132EC7F9EF1</x:v>
      </x:c>
      <x:c r="R150" s="21" t="str">
        <x:v>drought or water shortages</x:v>
      </x:c>
      <x:c r="S150" s="22" t="str">
        <x:v>EXACT</x:v>
      </x:c>
      <x:c r="T150" s="21" t="str">
        <x:v>FT-Q-P180-AB6A4623A8E7</x:v>
      </x:c>
      <x:c r="U150" s="21" t="str">
        <x:v>Candidate surface form is directly representable in the public Ngram interface.</x:v>
      </x:c>
      <x:c r="V150" s="21" t="str">
        <x:v>Fear of Temperature_ Stratified Lexical Expansion, Voice Mapping, and Semantic-Relational Pre-Valida.pdf</x:v>
      </x:c>
      <x:c r="W150" s="21" t="str">
        <x:v>11</x:v>
      </x:c>
      <x:c r="X150" s="23" t="str">
        <x:v>RECONSTRUCTED_FROM_REPORT</x:v>
      </x:c>
    </x:row>
    <x:row r="151" ht="19" customHeight="1">
      <x:c r="A151" s="20" t="str">
        <x:v>FT-SEED-R1B-P-2015-30</x:v>
      </x:c>
      <x:c r="B151" s="21" t="str">
        <x:v>FT-A2015</x:v>
      </x:c>
      <x:c r="C151" s="22" t="str">
        <x:v>2015</x:v>
      </x:c>
      <x:c r="D151" s="22" t="str">
        <x:v>30</x:v>
      </x:c>
      <x:c r="E151" s="21" t="str">
        <x:v>We are nature defending itself</x:v>
      </x:c>
      <x:c r="F151" s="21" t="str">
        <x:v>we are nature defending itself</x:v>
      </x:c>
      <x:c r="G151" s="21" t="str">
        <x:v>personal concern</x:v>
      </x:c>
      <x:c r="H151" s="21" t="str">
        <x:v>FT-C-PERSONAL_CONCERN</x:v>
      </x:c>
      <x:c r="I151" s="21" t="str">
        <x:v>Concern expressed or endorsed by an identifiable person about a climate or heat object.</x:v>
      </x:c>
      <x:c r="J151" s="21" t="str">
        <x:v>FT-LF-P180-2BA83918B091</x:v>
      </x:c>
      <x:c r="K151" s="22" t="str">
        <x:v>concern_alarm</x:v>
      </x:c>
      <x:c r="L151" s="21" t="str">
        <x:v>FT-F06</x:v>
      </x:c>
      <x:c r="M151" s="22" t="str">
        <x:v>C</x:v>
      </x:c>
      <x:c r="N151" s="22" t="str">
        <x:v>V4</x:v>
      </x:c>
      <x:c r="O151" s="22" t="str">
        <x:v>E5</x:v>
      </x:c>
      <x:c r="P151" s="21" t="str">
        <x:v>RECONSTRUCTED_FROM_REPORT; Fear of Temperature_ Stratified Lexical Expansion, Voice Mapping, and Semantic-Relational Pre-Valida.pdf; p.11; project candidate FT-SEED-R1B-P-2015-30; original visible ID not available</x:v>
      </x:c>
      <x:c r="Q151" s="21" t="str">
        <x:v>FT-NGM-2BA83918B091D4</x:v>
      </x:c>
      <x:c r="R151" s="21" t="str">
        <x:v>We are nature defending itself</x:v>
      </x:c>
      <x:c r="S151" s="22" t="str">
        <x:v>EXACT</x:v>
      </x:c>
      <x:c r="T151" s="21" t="str">
        <x:v>FT-Q-P180-7519F55D198F</x:v>
      </x:c>
      <x:c r="U151" s="21" t="str">
        <x:v>Candidate surface form is directly representable in the public Ngram interface.</x:v>
      </x:c>
      <x:c r="V151" s="21" t="str">
        <x:v>Fear of Temperature_ Stratified Lexical Expansion, Voice Mapping, and Semantic-Relational Pre-Valida.pdf</x:v>
      </x:c>
      <x:c r="W151" s="21" t="str">
        <x:v>11</x:v>
      </x:c>
      <x:c r="X151" s="23" t="str">
        <x:v>RECONSTRUCTED_FROM_REPORT</x:v>
      </x:c>
    </x:row>
    <x:row r="152" ht="19" customHeight="1">
      <x:c r="A152" s="20" t="str">
        <x:v>FT-SEED-R1B-P-2022-01</x:v>
      </x:c>
      <x:c r="B152" s="21" t="str">
        <x:v>FT-A2022</x:v>
      </x:c>
      <x:c r="C152" s="22" t="str">
        <x:v>2022</x:v>
      </x:c>
      <x:c r="D152" s="22" t="str">
        <x:v>1</x:v>
      </x:c>
      <x:c r="E152" s="21" t="str">
        <x:v>climate change</x:v>
      </x:c>
      <x:c r="F152" s="21" t="str">
        <x:v>climate change</x:v>
      </x:c>
      <x:c r="G152" s="21" t="str">
        <x:v>modern climate change</x:v>
      </x:c>
      <x:c r="H152" s="21" t="str">
        <x:v>FT-C-MODERN_CLIMATE_CHANGE</x:v>
      </x:c>
      <x:c r="I152" s="21" t="str">
        <x:v>Modern climate change as an anthropogenic scientific, public, or governance problem.</x:v>
      </x:c>
      <x:c r="J152" s="21" t="str">
        <x:v>FT-LF-CLIMATE_CHANGE</x:v>
      </x:c>
      <x:c r="K152" s="22" t="str">
        <x:v>climate</x:v>
      </x:c>
      <x:c r="L152" s="21" t="str">
        <x:v>FT-F04</x:v>
      </x:c>
      <x:c r="M152" s="22" t="str">
        <x:v>B</x:v>
      </x:c>
      <x:c r="N152" s="22" t="str">
        <x:v>V5</x:v>
      </x:c>
      <x:c r="O152" s="22" t="str">
        <x:v>E5</x:v>
      </x:c>
      <x:c r="P152" s="21" t="str">
        <x:v>RECONSTRUCTED_FROM_REPORT; Fear of Temperature_ Stratified Lexical Expansion, Voice Mapping, and Semantic-Relational Pre-Valida.pdf; p.12; project candidate FT-SEED-R1B-P-2022-01; original visible ID not available</x:v>
      </x:c>
      <x:c r="Q152" s="21" t="str">
        <x:v>FT-NGM-F28D567CF5453B</x:v>
      </x:c>
      <x:c r="R152" s="21" t="str">
        <x:v>climate change</x:v>
      </x:c>
      <x:c r="S152" s="22" t="str">
        <x:v>EXACT</x:v>
      </x:c>
      <x:c r="T152" s="21" t="str">
        <x:v>FT-Q-V01-101</x:v>
      </x:c>
      <x:c r="U152" s="21" t="str">
        <x:v>Candidate surface form is directly representable in the public Ngram interface.</x:v>
      </x:c>
      <x:c r="V152" s="21" t="str">
        <x:v>Fear of Temperature_ Stratified Lexical Expansion, Voice Mapping, and Semantic-Relational Pre-Valida.pdf</x:v>
      </x:c>
      <x:c r="W152" s="21" t="str">
        <x:v>12</x:v>
      </x:c>
      <x:c r="X152" s="23" t="str">
        <x:v>RECONSTRUCTED_FROM_REPORT</x:v>
      </x:c>
    </x:row>
    <x:row r="153" ht="19" customHeight="1">
      <x:c r="A153" s="20" t="str">
        <x:v>FT-SEED-R1B-P-2022-02</x:v>
      </x:c>
      <x:c r="B153" s="21" t="str">
        <x:v>FT-A2022</x:v>
      </x:c>
      <x:c r="C153" s="22" t="str">
        <x:v>2022</x:v>
      </x:c>
      <x:c r="D153" s="22" t="str">
        <x:v>2</x:v>
      </x:c>
      <x:c r="E153" s="21" t="str">
        <x:v>global warming</x:v>
      </x:c>
      <x:c r="F153" s="21" t="str">
        <x:v>global warming</x:v>
      </x:c>
      <x:c r="G153" s="21" t="str">
        <x:v>global warming as issue label</x:v>
      </x:c>
      <x:c r="H153" s="21" t="str">
        <x:v>FT-C-GLOBAL_WARMING_ISSUE_LABEL</x:v>
      </x:c>
      <x:c r="I153" s="21" t="str">
        <x:v>Global warming used as an established public, scientific, or policy issue label.</x:v>
      </x:c>
      <x:c r="J153" s="21" t="str">
        <x:v>FT-LF-GLOBAL_WARMING</x:v>
      </x:c>
      <x:c r="K153" s="22" t="str">
        <x:v>warming</x:v>
      </x:c>
      <x:c r="L153" s="21" t="str">
        <x:v>FT-F03</x:v>
      </x:c>
      <x:c r="M153" s="22" t="str">
        <x:v>A</x:v>
      </x:c>
      <x:c r="N153" s="22" t="str">
        <x:v>V5</x:v>
      </x:c>
      <x:c r="O153" s="22" t="str">
        <x:v>E5</x:v>
      </x:c>
      <x:c r="P153" s="21" t="str">
        <x:v>RECONSTRUCTED_FROM_REPORT; Fear of Temperature_ Stratified Lexical Expansion, Voice Mapping, and Semantic-Relational Pre-Valida.pdf; p.12; project candidate FT-SEED-R1B-P-2022-02; original visible ID not available</x:v>
      </x:c>
      <x:c r="Q153" s="21" t="str">
        <x:v>FT-NGM-41A40CE559EFC5</x:v>
      </x:c>
      <x:c r="R153" s="21" t="str">
        <x:v>global warming</x:v>
      </x:c>
      <x:c r="S153" s="22" t="str">
        <x:v>EXACT</x:v>
      </x:c>
      <x:c r="T153" s="21" t="str">
        <x:v>FT-Q-V01-102</x:v>
      </x:c>
      <x:c r="U153" s="21" t="str">
        <x:v>Candidate surface form is directly representable in the public Ngram interface.</x:v>
      </x:c>
      <x:c r="V153" s="21" t="str">
        <x:v>Fear of Temperature_ Stratified Lexical Expansion, Voice Mapping, and Semantic-Relational Pre-Valida.pdf</x:v>
      </x:c>
      <x:c r="W153" s="21" t="str">
        <x:v>12</x:v>
      </x:c>
      <x:c r="X153" s="23" t="str">
        <x:v>RECONSTRUCTED_FROM_REPORT</x:v>
      </x:c>
    </x:row>
    <x:row r="154" ht="19" customHeight="1">
      <x:c r="A154" s="20" t="str">
        <x:v>FT-SEED-R1B-P-2022-03</x:v>
      </x:c>
      <x:c r="B154" s="21" t="str">
        <x:v>FT-A2022</x:v>
      </x:c>
      <x:c r="C154" s="22" t="str">
        <x:v>2022</x:v>
      </x:c>
      <x:c r="D154" s="22" t="str">
        <x:v>3</x:v>
      </x:c>
      <x:c r="E154" s="21" t="str">
        <x:v>very worried</x:v>
      </x:c>
      <x:c r="F154" s="21" t="str">
        <x:v>very worried</x:v>
      </x:c>
      <x:c r="G154" s="21" t="str">
        <x:v>participant worry endorsement</x:v>
      </x:c>
      <x:c r="H154" s="21" t="str">
        <x:v>FT-C-PARTICIPANT_WORRY_ENDORSEMENT</x:v>
      </x:c>
      <x:c r="I154" s="21" t="str">
        <x:v>A participant selection or endorsement of a supplied worry category.</x:v>
      </x:c>
      <x:c r="J154" s="21" t="str">
        <x:v>FT-LF-VERY_WORRIED</x:v>
      </x:c>
      <x:c r="K154" s="22" t="str">
        <x:v>worry</x:v>
      </x:c>
      <x:c r="L154" s="21" t="str">
        <x:v>FT-F07</x:v>
      </x:c>
      <x:c r="M154" s="22" t="str">
        <x:v>C</x:v>
      </x:c>
      <x:c r="N154" s="22" t="str">
        <x:v>V5</x:v>
      </x:c>
      <x:c r="O154" s="22" t="str">
        <x:v>E3</x:v>
      </x:c>
      <x:c r="P154" s="21" t="str">
        <x:v>RECONSTRUCTED_FROM_REPORT; Fear of Temperature_ Stratified Lexical Expansion, Voice Mapping, and Semantic-Relational Pre-Valida.pdf; p.12; project candidate FT-SEED-R1B-P-2022-03; original visible ID not available</x:v>
      </x:c>
      <x:c r="Q154" s="21" t="str">
        <x:v>FT-NGM-DBC51F52C218DC</x:v>
      </x:c>
      <x:c r="R154" s="21" t="str">
        <x:v>very worried</x:v>
      </x:c>
      <x:c r="S154" s="22" t="str">
        <x:v>EXACT</x:v>
      </x:c>
      <x:c r="T154" s="21" t="str">
        <x:v>FT-Q-V01-103</x:v>
      </x:c>
      <x:c r="U154" s="21" t="str">
        <x:v>Candidate surface form is directly representable in the public Ngram interface.</x:v>
      </x:c>
      <x:c r="V154" s="21" t="str">
        <x:v>Fear of Temperature_ Stratified Lexical Expansion, Voice Mapping, and Semantic-Relational Pre-Valida.pdf</x:v>
      </x:c>
      <x:c r="W154" s="21" t="str">
        <x:v>12</x:v>
      </x:c>
      <x:c r="X154" s="23" t="str">
        <x:v>RECONSTRUCTED_FROM_REPORT</x:v>
      </x:c>
    </x:row>
    <x:row r="155" ht="19" customHeight="1">
      <x:c r="A155" s="20" t="str">
        <x:v>FT-SEED-R1B-P-2022-04</x:v>
      </x:c>
      <x:c r="B155" s="21" t="str">
        <x:v>FT-A2022</x:v>
      </x:c>
      <x:c r="C155" s="22" t="str">
        <x:v>2022</x:v>
      </x:c>
      <x:c r="D155" s="22" t="str">
        <x:v>4</x:v>
      </x:c>
      <x:c r="E155" s="21" t="str">
        <x:v>somewhat worried</x:v>
      </x:c>
      <x:c r="F155" s="21" t="str">
        <x:v>somewhat worried</x:v>
      </x:c>
      <x:c r="G155" s="21" t="str">
        <x:v>participant worry endorsement</x:v>
      </x:c>
      <x:c r="H155" s="21" t="str">
        <x:v>FT-C-PARTICIPANT_WORRY_ENDORSEMENT</x:v>
      </x:c>
      <x:c r="I155" s="21" t="str">
        <x:v>A participant selection or endorsement of a supplied worry category.</x:v>
      </x:c>
      <x:c r="J155" s="21" t="str">
        <x:v>FT-LF-Q-AFDF367E346E</x:v>
      </x:c>
      <x:c r="K155" s="22" t="str">
        <x:v>worry</x:v>
      </x:c>
      <x:c r="L155" s="21" t="str">
        <x:v>FT-F07</x:v>
      </x:c>
      <x:c r="M155" s="22" t="str">
        <x:v>C</x:v>
      </x:c>
      <x:c r="N155" s="22" t="str">
        <x:v>V5</x:v>
      </x:c>
      <x:c r="O155" s="22" t="str">
        <x:v>E5</x:v>
      </x:c>
      <x:c r="P155" s="21" t="str">
        <x:v>RECONSTRUCTED_FROM_REPORT; Fear of Temperature_ Stratified Lexical Expansion, Voice Mapping, and Semantic-Relational Pre-Valida.pdf; p.12; project candidate FT-SEED-R1B-P-2022-04; original visible ID not available</x:v>
      </x:c>
      <x:c r="Q155" s="21" t="str">
        <x:v>FT-NGM-AFDF367E346E94</x:v>
      </x:c>
      <x:c r="R155" s="21" t="str">
        <x:v>somewhat worried</x:v>
      </x:c>
      <x:c r="S155" s="22" t="str">
        <x:v>EXACT</x:v>
      </x:c>
      <x:c r="T155" s="21" t="str">
        <x:v>FT-Q-V01-104</x:v>
      </x:c>
      <x:c r="U155" s="21" t="str">
        <x:v>Candidate surface form is directly representable in the public Ngram interface.</x:v>
      </x:c>
      <x:c r="V155" s="21" t="str">
        <x:v>Fear of Temperature_ Stratified Lexical Expansion, Voice Mapping, and Semantic-Relational Pre-Valida.pdf</x:v>
      </x:c>
      <x:c r="W155" s="21" t="str">
        <x:v>12</x:v>
      </x:c>
      <x:c r="X155" s="23" t="str">
        <x:v>RECONSTRUCTED_FROM_REPORT</x:v>
      </x:c>
    </x:row>
    <x:row r="156" ht="19" customHeight="1">
      <x:c r="A156" s="20" t="str">
        <x:v>FT-SEED-R1B-P-2022-05</x:v>
      </x:c>
      <x:c r="B156" s="21" t="str">
        <x:v>FT-A2022</x:v>
      </x:c>
      <x:c r="C156" s="22" t="str">
        <x:v>2022</x:v>
      </x:c>
      <x:c r="D156" s="22" t="str">
        <x:v>5</x:v>
      </x:c>
      <x:c r="E156" s="21" t="str">
        <x:v>afraid</x:v>
      </x:c>
      <x:c r="F156" s="21" t="str">
        <x:v>afraid</x:v>
      </x:c>
      <x:c r="G156" s="21" t="str">
        <x:v>participant afraid endorsement</x:v>
      </x:c>
      <x:c r="H156" s="21" t="str">
        <x:v>FT-C-PARTICIPANT_AFRAID_ENDORSEMENT</x:v>
      </x:c>
      <x:c r="I156" s="21" t="str">
        <x:v>Participant endorsement of a supplied afraid category.</x:v>
      </x:c>
      <x:c r="J156" s="21" t="str">
        <x:v>FT-LF-AFRAID</x:v>
      </x:c>
      <x:c r="K156" s="22" t="str">
        <x:v>fear_afraid</x:v>
      </x:c>
      <x:c r="L156" s="21" t="str">
        <x:v>FT-F08</x:v>
      </x:c>
      <x:c r="M156" s="22" t="str">
        <x:v>C</x:v>
      </x:c>
      <x:c r="N156" s="22" t="str">
        <x:v>V5</x:v>
      </x:c>
      <x:c r="O156" s="22" t="str">
        <x:v>E5</x:v>
      </x:c>
      <x:c r="P156" s="21" t="str">
        <x:v>RECONSTRUCTED_FROM_REPORT; Fear of Temperature_ Stratified Lexical Expansion, Voice Mapping, and Semantic-Relational Pre-Valida.pdf; p.12; project candidate FT-SEED-R1B-P-2022-05; original visible ID not available</x:v>
      </x:c>
      <x:c r="Q156" s="21" t="str">
        <x:v>FT-NGM-180366DD3B2CC1</x:v>
      </x:c>
      <x:c r="R156" s="21" t="str">
        <x:v>afraid</x:v>
      </x:c>
      <x:c r="S156" s="22" t="str">
        <x:v>EXACT</x:v>
      </x:c>
      <x:c r="T156" s="21" t="str">
        <x:v>FT-Q-V01-105</x:v>
      </x:c>
      <x:c r="U156" s="21" t="str">
        <x:v>Candidate surface form is directly representable in the public Ngram interface.</x:v>
      </x:c>
      <x:c r="V156" s="21" t="str">
        <x:v>Fear of Temperature_ Stratified Lexical Expansion, Voice Mapping, and Semantic-Relational Pre-Valida.pdf</x:v>
      </x:c>
      <x:c r="W156" s="21" t="str">
        <x:v>12</x:v>
      </x:c>
      <x:c r="X156" s="23" t="str">
        <x:v>RECONSTRUCTED_FROM_REPORT</x:v>
      </x:c>
    </x:row>
    <x:row r="157" ht="19" customHeight="1">
      <x:c r="A157" s="20" t="str">
        <x:v>FT-SEED-R1B-P-2022-06</x:v>
      </x:c>
      <x:c r="B157" s="21" t="str">
        <x:v>FT-A2022</x:v>
      </x:c>
      <x:c r="C157" s="22" t="str">
        <x:v>2022</x:v>
      </x:c>
      <x:c r="D157" s="22" t="str">
        <x:v>6</x:v>
      </x:c>
      <x:c r="E157" s="21" t="str">
        <x:v>anxious</x:v>
      </x:c>
      <x:c r="F157" s="21" t="str">
        <x:v>anxious</x:v>
      </x:c>
      <x:c r="G157" s="21" t="str">
        <x:v>anxious affect</x:v>
      </x:c>
      <x:c r="H157" s="21" t="str">
        <x:v>FT-C-ANXIOUS_AFFECT</x:v>
      </x:c>
      <x:c r="I157" s="21" t="str">
        <x:v>Anxious feeling directly expressed or endorsed by a participant.</x:v>
      </x:c>
      <x:c r="J157" s="21" t="str">
        <x:v>FT-LF-Q-FAEF616DF2EC</x:v>
      </x:c>
      <x:c r="K157" s="22" t="str">
        <x:v>anxiety</x:v>
      </x:c>
      <x:c r="L157" s="21" t="str">
        <x:v>FT-F09</x:v>
      </x:c>
      <x:c r="M157" s="22" t="str">
        <x:v>C</x:v>
      </x:c>
      <x:c r="N157" s="22" t="str">
        <x:v>V5</x:v>
      </x:c>
      <x:c r="O157" s="22" t="str">
        <x:v>E5</x:v>
      </x:c>
      <x:c r="P157" s="21" t="str">
        <x:v>RECONSTRUCTED_FROM_REPORT; Fear of Temperature_ Stratified Lexical Expansion, Voice Mapping, and Semantic-Relational Pre-Valida.pdf; p.12; project candidate FT-SEED-R1B-P-2022-06; original visible ID not available</x:v>
      </x:c>
      <x:c r="Q157" s="21" t="str">
        <x:v>FT-NGM-FAEF616DF2EC24</x:v>
      </x:c>
      <x:c r="R157" s="21" t="str">
        <x:v>anxious</x:v>
      </x:c>
      <x:c r="S157" s="22" t="str">
        <x:v>EXACT</x:v>
      </x:c>
      <x:c r="T157" s="21" t="str">
        <x:v>FT-Q-V01-106</x:v>
      </x:c>
      <x:c r="U157" s="21" t="str">
        <x:v>Candidate surface form is directly representable in the public Ngram interface.</x:v>
      </x:c>
      <x:c r="V157" s="21" t="str">
        <x:v>Fear of Temperature_ Stratified Lexical Expansion, Voice Mapping, and Semantic-Relational Pre-Valida.pdf</x:v>
      </x:c>
      <x:c r="W157" s="21" t="str">
        <x:v>12</x:v>
      </x:c>
      <x:c r="X157" s="23" t="str">
        <x:v>RECONSTRUCTED_FROM_REPORT</x:v>
      </x:c>
    </x:row>
    <x:row r="158" ht="19" customHeight="1">
      <x:c r="A158" s="20" t="str">
        <x:v>FT-SEED-R1B-P-2022-07</x:v>
      </x:c>
      <x:c r="B158" s="21" t="str">
        <x:v>FT-A2022</x:v>
      </x:c>
      <x:c r="C158" s="22" t="str">
        <x:v>2022</x:v>
      </x:c>
      <x:c r="D158" s="22" t="str">
        <x:v>7</x:v>
      </x:c>
      <x:c r="E158" s="21" t="str">
        <x:v>hopeless</x:v>
      </x:c>
      <x:c r="F158" s="21" t="str">
        <x:v>hopeless</x:v>
      </x:c>
      <x:c r="G158" s="21" t="str">
        <x:v>depressed affect</x:v>
      </x:c>
      <x:c r="H158" s="21" t="str">
        <x:v>FT-C-DEPRESSED_AFFECT</x:v>
      </x:c>
      <x:c r="I158" s="21" t="str">
        <x:v>Depressed affect directly expressed or instrument-endorsed in a climate context.</x:v>
      </x:c>
      <x:c r="J158" s="21" t="str">
        <x:v>FT-LF-Q-B12B89C7BBA2</x:v>
      </x:c>
      <x:c r="K158" s="22" t="str">
        <x:v>distress_depression</x:v>
      </x:c>
      <x:c r="L158" s="21" t="str">
        <x:v>FT-F10</x:v>
      </x:c>
      <x:c r="M158" s="22" t="str">
        <x:v>C</x:v>
      </x:c>
      <x:c r="N158" s="22" t="str">
        <x:v>V5</x:v>
      </x:c>
      <x:c r="O158" s="22" t="str">
        <x:v>E5</x:v>
      </x:c>
      <x:c r="P158" s="21" t="str">
        <x:v>RECONSTRUCTED_FROM_REPORT; Fear of Temperature_ Stratified Lexical Expansion, Voice Mapping, and Semantic-Relational Pre-Valida.pdf; p.12; project candidate FT-SEED-R1B-P-2022-07; original visible ID not available</x:v>
      </x:c>
      <x:c r="Q158" s="21" t="str">
        <x:v>FT-NGM-B12B89C7BBA2B2</x:v>
      </x:c>
      <x:c r="R158" s="21" t="str">
        <x:v>hopeless</x:v>
      </x:c>
      <x:c r="S158" s="22" t="str">
        <x:v>EXACT</x:v>
      </x:c>
      <x:c r="T158" s="21" t="str">
        <x:v>FT-Q-V01-107</x:v>
      </x:c>
      <x:c r="U158" s="21" t="str">
        <x:v>Candidate surface form is directly representable in the public Ngram interface.</x:v>
      </x:c>
      <x:c r="V158" s="21" t="str">
        <x:v>Fear of Temperature_ Stratified Lexical Expansion, Voice Mapping, and Semantic-Relational Pre-Valida.pdf</x:v>
      </x:c>
      <x:c r="W158" s="21" t="str">
        <x:v>12</x:v>
      </x:c>
      <x:c r="X158" s="23" t="str">
        <x:v>RECONSTRUCTED_FROM_REPORT</x:v>
      </x:c>
    </x:row>
    <x:row r="159" ht="19" customHeight="1">
      <x:c r="A159" s="20" t="str">
        <x:v>FT-SEED-R1B-P-2022-08</x:v>
      </x:c>
      <x:c r="B159" s="21" t="str">
        <x:v>FT-A2022</x:v>
      </x:c>
      <x:c r="C159" s="22" t="str">
        <x:v>2022</x:v>
      </x:c>
      <x:c r="D159" s="22" t="str">
        <x:v>8</x:v>
      </x:c>
      <x:c r="E159" s="21" t="str">
        <x:v>sad</x:v>
      </x:c>
      <x:c r="F159" s="21" t="str">
        <x:v>sad</x:v>
      </x:c>
      <x:c r="G159" s="21" t="str">
        <x:v>depressed affect</x:v>
      </x:c>
      <x:c r="H159" s="21" t="str">
        <x:v>FT-C-DEPRESSED_AFFECT</x:v>
      </x:c>
      <x:c r="I159" s="21" t="str">
        <x:v>Depressed affect directly expressed or instrument-endorsed in a climate context.</x:v>
      </x:c>
      <x:c r="J159" s="21" t="str">
        <x:v>FT-LF-Q-45C9A6614FCC</x:v>
      </x:c>
      <x:c r="K159" s="22" t="str">
        <x:v>distress_depression</x:v>
      </x:c>
      <x:c r="L159" s="21" t="str">
        <x:v>FT-F10</x:v>
      </x:c>
      <x:c r="M159" s="22" t="str">
        <x:v>C</x:v>
      </x:c>
      <x:c r="N159" s="22" t="str">
        <x:v>V5</x:v>
      </x:c>
      <x:c r="O159" s="22" t="str">
        <x:v>E5</x:v>
      </x:c>
      <x:c r="P159" s="21" t="str">
        <x:v>RECONSTRUCTED_FROM_REPORT; Fear of Temperature_ Stratified Lexical Expansion, Voice Mapping, and Semantic-Relational Pre-Valida.pdf; p.12; project candidate FT-SEED-R1B-P-2022-08; original visible ID not available</x:v>
      </x:c>
      <x:c r="Q159" s="21" t="str">
        <x:v>FT-NGM-45C9A6614FCCD4</x:v>
      </x:c>
      <x:c r="R159" s="21" t="str">
        <x:v>sad</x:v>
      </x:c>
      <x:c r="S159" s="22" t="str">
        <x:v>EXACT</x:v>
      </x:c>
      <x:c r="T159" s="21" t="str">
        <x:v>FT-Q-V01-108</x:v>
      </x:c>
      <x:c r="U159" s="21" t="str">
        <x:v>Candidate surface form is directly representable in the public Ngram interface.</x:v>
      </x:c>
      <x:c r="V159" s="21" t="str">
        <x:v>Fear of Temperature_ Stratified Lexical Expansion, Voice Mapping, and Semantic-Relational Pre-Valida.pdf</x:v>
      </x:c>
      <x:c r="W159" s="21" t="str">
        <x:v>12</x:v>
      </x:c>
      <x:c r="X159" s="23" t="str">
        <x:v>RECONSTRUCTED_FROM_REPORT</x:v>
      </x:c>
    </x:row>
    <x:row r="160" ht="19" customHeight="1">
      <x:c r="A160" s="20" t="str">
        <x:v>FT-SEED-R1B-P-2022-09</x:v>
      </x:c>
      <x:c r="B160" s="21" t="str">
        <x:v>FT-A2022</x:v>
      </x:c>
      <x:c r="C160" s="22" t="str">
        <x:v>2022</x:v>
      </x:c>
      <x:c r="D160" s="22" t="str">
        <x:v>9</x:v>
      </x:c>
      <x:c r="E160" s="21" t="str">
        <x:v>angry</x:v>
      </x:c>
      <x:c r="F160" s="21" t="str">
        <x:v>angry</x:v>
      </x:c>
      <x:c r="G160" s="21" t="str">
        <x:v>depressed affect</x:v>
      </x:c>
      <x:c r="H160" s="21" t="str">
        <x:v>FT-C-DEPRESSED_AFFECT</x:v>
      </x:c>
      <x:c r="I160" s="21" t="str">
        <x:v>Depressed affect directly expressed or instrument-endorsed in a climate context.</x:v>
      </x:c>
      <x:c r="J160" s="21" t="str">
        <x:v>FT-LF-Q-0A96F1960786</x:v>
      </x:c>
      <x:c r="K160" s="22" t="str">
        <x:v>distress_depression</x:v>
      </x:c>
      <x:c r="L160" s="21" t="str">
        <x:v>FT-F10</x:v>
      </x:c>
      <x:c r="M160" s="22" t="str">
        <x:v>C</x:v>
      </x:c>
      <x:c r="N160" s="22" t="str">
        <x:v>V5</x:v>
      </x:c>
      <x:c r="O160" s="22" t="str">
        <x:v>E5</x:v>
      </x:c>
      <x:c r="P160" s="21" t="str">
        <x:v>RECONSTRUCTED_FROM_REPORT; Fear of Temperature_ Stratified Lexical Expansion, Voice Mapping, and Semantic-Relational Pre-Valida.pdf; p.13; project candidate FT-SEED-R1B-P-2022-09; original visible ID not available</x:v>
      </x:c>
      <x:c r="Q160" s="21" t="str">
        <x:v>FT-NGM-0A96F1960786D8</x:v>
      </x:c>
      <x:c r="R160" s="21" t="str">
        <x:v>angry</x:v>
      </x:c>
      <x:c r="S160" s="22" t="str">
        <x:v>EXACT</x:v>
      </x:c>
      <x:c r="T160" s="21" t="str">
        <x:v>FT-Q-V01-109</x:v>
      </x:c>
      <x:c r="U160" s="21" t="str">
        <x:v>Candidate surface form is directly representable in the public Ngram interface.</x:v>
      </x:c>
      <x:c r="V160" s="21" t="str">
        <x:v>Fear of Temperature_ Stratified Lexical Expansion, Voice Mapping, and Semantic-Relational Pre-Valida.pdf</x:v>
      </x:c>
      <x:c r="W160" s="21" t="str">
        <x:v>13</x:v>
      </x:c>
      <x:c r="X160" s="23" t="str">
        <x:v>RECONSTRUCTED_FROM_REPORT</x:v>
      </x:c>
    </x:row>
    <x:row r="161" ht="19" customHeight="1">
      <x:c r="A161" s="20" t="str">
        <x:v>FT-SEED-R1B-P-2022-10</x:v>
      </x:c>
      <x:c r="B161" s="21" t="str">
        <x:v>FT-A2022</x:v>
      </x:c>
      <x:c r="C161" s="22" t="str">
        <x:v>2022</x:v>
      </x:c>
      <x:c r="D161" s="22" t="str">
        <x:v>10</x:v>
      </x:c>
      <x:c r="E161" s="21" t="str">
        <x:v>frustrated</x:v>
      </x:c>
      <x:c r="F161" s="21" t="str">
        <x:v>frustrated</x:v>
      </x:c>
      <x:c r="G161" s="21" t="str">
        <x:v>depressed affect</x:v>
      </x:c>
      <x:c r="H161" s="21" t="str">
        <x:v>FT-C-DEPRESSED_AFFECT</x:v>
      </x:c>
      <x:c r="I161" s="21" t="str">
        <x:v>Depressed affect directly expressed or instrument-endorsed in a climate context.</x:v>
      </x:c>
      <x:c r="J161" s="21" t="str">
        <x:v>FT-LF-Q-6AFB642998F6</x:v>
      </x:c>
      <x:c r="K161" s="22" t="str">
        <x:v>distress_depression</x:v>
      </x:c>
      <x:c r="L161" s="21" t="str">
        <x:v>FT-F10</x:v>
      </x:c>
      <x:c r="M161" s="22" t="str">
        <x:v>C</x:v>
      </x:c>
      <x:c r="N161" s="22" t="str">
        <x:v>V5</x:v>
      </x:c>
      <x:c r="O161" s="22" t="str">
        <x:v>E5</x:v>
      </x:c>
      <x:c r="P161" s="21" t="str">
        <x:v>RECONSTRUCTED_FROM_REPORT; Fear of Temperature_ Stratified Lexical Expansion, Voice Mapping, and Semantic-Relational Pre-Valida.pdf; p.13; project candidate FT-SEED-R1B-P-2022-10; original visible ID not available</x:v>
      </x:c>
      <x:c r="Q161" s="21" t="str">
        <x:v>FT-NGM-6AFB642998F6A6</x:v>
      </x:c>
      <x:c r="R161" s="21" t="str">
        <x:v>frustrated</x:v>
      </x:c>
      <x:c r="S161" s="22" t="str">
        <x:v>EXACT</x:v>
      </x:c>
      <x:c r="T161" s="21" t="str">
        <x:v>FT-Q-V01-110</x:v>
      </x:c>
      <x:c r="U161" s="21" t="str">
        <x:v>Candidate surface form is directly representable in the public Ngram interface.</x:v>
      </x:c>
      <x:c r="V161" s="21" t="str">
        <x:v>Fear of Temperature_ Stratified Lexical Expansion, Voice Mapping, and Semantic-Relational Pre-Valida.pdf</x:v>
      </x:c>
      <x:c r="W161" s="21" t="str">
        <x:v>13</x:v>
      </x:c>
      <x:c r="X161" s="23" t="str">
        <x:v>RECONSTRUCTED_FROM_REPORT</x:v>
      </x:c>
    </x:row>
    <x:row r="162" ht="19" customHeight="1">
      <x:c r="A162" s="20" t="str">
        <x:v>FT-SEED-R1B-P-2022-11</x:v>
      </x:c>
      <x:c r="B162" s="21" t="str">
        <x:v>FT-A2022</x:v>
      </x:c>
      <x:c r="C162" s="22" t="str">
        <x:v>2022</x:v>
      </x:c>
      <x:c r="D162" s="22" t="str">
        <x:v>11</x:v>
      </x:c>
      <x:c r="E162" s="21" t="str">
        <x:v>hopeful</x:v>
      </x:c>
      <x:c r="F162" s="21" t="str">
        <x:v>hopeful</x:v>
      </x:c>
      <x:c r="G162" s="21" t="str">
        <x:v>personal concern</x:v>
      </x:c>
      <x:c r="H162" s="21" t="str">
        <x:v>FT-C-PERSONAL_CONCERN</x:v>
      </x:c>
      <x:c r="I162" s="21" t="str">
        <x:v>Concern expressed or endorsed by an identifiable person about a climate or heat object.</x:v>
      </x:c>
      <x:c r="J162" s="21" t="str">
        <x:v>FT-LF-Q-0AD2E0351BE5</x:v>
      </x:c>
      <x:c r="K162" s="22" t="str">
        <x:v>concern_alarm</x:v>
      </x:c>
      <x:c r="L162" s="21" t="str">
        <x:v>FT-F06</x:v>
      </x:c>
      <x:c r="M162" s="22" t="str">
        <x:v>C</x:v>
      </x:c>
      <x:c r="N162" s="22" t="str">
        <x:v>V5</x:v>
      </x:c>
      <x:c r="O162" s="22" t="str">
        <x:v>E5</x:v>
      </x:c>
      <x:c r="P162" s="21" t="str">
        <x:v>RECONSTRUCTED_FROM_REPORT; Fear of Temperature_ Stratified Lexical Expansion, Voice Mapping, and Semantic-Relational Pre-Valida.pdf; p.12; project candidate FT-SEED-R1B-P-2022-11; original visible ID not available</x:v>
      </x:c>
      <x:c r="Q162" s="21" t="str">
        <x:v>FT-NGM-0AD2E0351BE5FB</x:v>
      </x:c>
      <x:c r="R162" s="21" t="str">
        <x:v>hopeful</x:v>
      </x:c>
      <x:c r="S162" s="22" t="str">
        <x:v>EXACT</x:v>
      </x:c>
      <x:c r="T162" s="21" t="str">
        <x:v>FT-Q-V01-111</x:v>
      </x:c>
      <x:c r="U162" s="21" t="str">
        <x:v>Candidate surface form is directly representable in the public Ngram interface.</x:v>
      </x:c>
      <x:c r="V162" s="21" t="str">
        <x:v>Fear of Temperature_ Stratified Lexical Expansion, Voice Mapping, and Semantic-Relational Pre-Valida.pdf</x:v>
      </x:c>
      <x:c r="W162" s="21" t="str">
        <x:v>12</x:v>
      </x:c>
      <x:c r="X162" s="23" t="str">
        <x:v>RECONSTRUCTED_FROM_REPORT</x:v>
      </x:c>
    </x:row>
    <x:row r="163" ht="19" customHeight="1">
      <x:c r="A163" s="20" t="str">
        <x:v>FT-SEED-R1B-P-2022-12</x:v>
      </x:c>
      <x:c r="B163" s="21" t="str">
        <x:v>FT-A2022</x:v>
      </x:c>
      <x:c r="C163" s="22" t="str">
        <x:v>2022</x:v>
      </x:c>
      <x:c r="D163" s="22" t="str">
        <x:v>12</x:v>
      </x:c>
      <x:c r="E163" s="21" t="str">
        <x:v>disgusted</x:v>
      </x:c>
      <x:c r="F163" s="21" t="str">
        <x:v>disgusted</x:v>
      </x:c>
      <x:c r="G163" s="21" t="str">
        <x:v>depressed affect</x:v>
      </x:c>
      <x:c r="H163" s="21" t="str">
        <x:v>FT-C-DEPRESSED_AFFECT</x:v>
      </x:c>
      <x:c r="I163" s="21" t="str">
        <x:v>Depressed affect directly expressed or instrument-endorsed in a climate context.</x:v>
      </x:c>
      <x:c r="J163" s="21" t="str">
        <x:v>FT-LF-Q-1291EFD4E284</x:v>
      </x:c>
      <x:c r="K163" s="22" t="str">
        <x:v>distress_depression</x:v>
      </x:c>
      <x:c r="L163" s="21" t="str">
        <x:v>FT-F10</x:v>
      </x:c>
      <x:c r="M163" s="22" t="str">
        <x:v>C</x:v>
      </x:c>
      <x:c r="N163" s="22" t="str">
        <x:v>V5</x:v>
      </x:c>
      <x:c r="O163" s="22" t="str">
        <x:v>E5</x:v>
      </x:c>
      <x:c r="P163" s="21" t="str">
        <x:v>RECONSTRUCTED_FROM_REPORT; Fear of Temperature_ Stratified Lexical Expansion, Voice Mapping, and Semantic-Relational Pre-Valida.pdf; p.12; project candidate FT-SEED-R1B-P-2022-12; original visible ID not available</x:v>
      </x:c>
      <x:c r="Q163" s="21" t="str">
        <x:v>FT-NGM-1291EFD4E28474</x:v>
      </x:c>
      <x:c r="R163" s="21" t="str">
        <x:v>disgusted</x:v>
      </x:c>
      <x:c r="S163" s="22" t="str">
        <x:v>EXACT</x:v>
      </x:c>
      <x:c r="T163" s="21" t="str">
        <x:v>FT-Q-V01-112</x:v>
      </x:c>
      <x:c r="U163" s="21" t="str">
        <x:v>Candidate surface form is directly representable in the public Ngram interface.</x:v>
      </x:c>
      <x:c r="V163" s="21" t="str">
        <x:v>Fear of Temperature_ Stratified Lexical Expansion, Voice Mapping, and Semantic-Relational Pre-Valida.pdf</x:v>
      </x:c>
      <x:c r="W163" s="21" t="str">
        <x:v>12</x:v>
      </x:c>
      <x:c r="X163" s="23" t="str">
        <x:v>RECONSTRUCTED_FROM_REPORT</x:v>
      </x:c>
    </x:row>
    <x:row r="164" ht="19" customHeight="1">
      <x:c r="A164" s="20" t="str">
        <x:v>FT-SEED-R1B-P-2022-13</x:v>
      </x:c>
      <x:c r="B164" s="21" t="str">
        <x:v>FT-A2022</x:v>
      </x:c>
      <x:c r="C164" s="22" t="str">
        <x:v>2022</x:v>
      </x:c>
      <x:c r="D164" s="22" t="str">
        <x:v>13</x:v>
      </x:c>
      <x:c r="E164" s="21" t="str">
        <x:v>outraged</x:v>
      </x:c>
      <x:c r="F164" s="21" t="str">
        <x:v>outraged</x:v>
      </x:c>
      <x:c r="G164" s="21" t="str">
        <x:v>depressed affect</x:v>
      </x:c>
      <x:c r="H164" s="21" t="str">
        <x:v>FT-C-DEPRESSED_AFFECT</x:v>
      </x:c>
      <x:c r="I164" s="21" t="str">
        <x:v>Depressed affect directly expressed or instrument-endorsed in a climate context.</x:v>
      </x:c>
      <x:c r="J164" s="21" t="str">
        <x:v>FT-LF-Q-B51A2108888D</x:v>
      </x:c>
      <x:c r="K164" s="22" t="str">
        <x:v>distress_depression</x:v>
      </x:c>
      <x:c r="L164" s="21" t="str">
        <x:v>FT-F10</x:v>
      </x:c>
      <x:c r="M164" s="22" t="str">
        <x:v>C</x:v>
      </x:c>
      <x:c r="N164" s="22" t="str">
        <x:v>V5</x:v>
      </x:c>
      <x:c r="O164" s="22" t="str">
        <x:v>E5</x:v>
      </x:c>
      <x:c r="P164" s="21" t="str">
        <x:v>RECONSTRUCTED_FROM_REPORT; Fear of Temperature_ Stratified Lexical Expansion, Voice Mapping, and Semantic-Relational Pre-Valida.pdf; p.12; project candidate FT-SEED-R1B-P-2022-13; original visible ID not available</x:v>
      </x:c>
      <x:c r="Q164" s="21" t="str">
        <x:v>FT-NGM-B51A2108888D28</x:v>
      </x:c>
      <x:c r="R164" s="21" t="str">
        <x:v>outraged</x:v>
      </x:c>
      <x:c r="S164" s="22" t="str">
        <x:v>EXACT</x:v>
      </x:c>
      <x:c r="T164" s="21" t="str">
        <x:v>FT-Q-V01-113</x:v>
      </x:c>
      <x:c r="U164" s="21" t="str">
        <x:v>Candidate surface form is directly representable in the public Ngram interface.</x:v>
      </x:c>
      <x:c r="V164" s="21" t="str">
        <x:v>Fear of Temperature_ Stratified Lexical Expansion, Voice Mapping, and Semantic-Relational Pre-Valida.pdf</x:v>
      </x:c>
      <x:c r="W164" s="21" t="str">
        <x:v>12</x:v>
      </x:c>
      <x:c r="X164" s="23" t="str">
        <x:v>RECONSTRUCTED_FROM_REPORT</x:v>
      </x:c>
    </x:row>
    <x:row r="165" ht="19" customHeight="1">
      <x:c r="A165" s="20" t="str">
        <x:v>FT-SEED-R1B-P-2022-14</x:v>
      </x:c>
      <x:c r="B165" s="21" t="str">
        <x:v>FT-A2022</x:v>
      </x:c>
      <x:c r="C165" s="22" t="str">
        <x:v>2022</x:v>
      </x:c>
      <x:c r="D165" s="22" t="str">
        <x:v>14</x:v>
      </x:c>
      <x:c r="E165" s="21" t="str">
        <x:v>depressed</x:v>
      </x:c>
      <x:c r="F165" s="21" t="str">
        <x:v>depressed</x:v>
      </x:c>
      <x:c r="G165" s="21" t="str">
        <x:v>depressed affect</x:v>
      </x:c>
      <x:c r="H165" s="21" t="str">
        <x:v>FT-C-DEPRESSED_AFFECT</x:v>
      </x:c>
      <x:c r="I165" s="21" t="str">
        <x:v>Depressed affect directly expressed or instrument-endorsed in a climate context.</x:v>
      </x:c>
      <x:c r="J165" s="21" t="str">
        <x:v>FT-LF-Q-22C90970F55E</x:v>
      </x:c>
      <x:c r="K165" s="22" t="str">
        <x:v>distress_depression</x:v>
      </x:c>
      <x:c r="L165" s="21" t="str">
        <x:v>FT-F10</x:v>
      </x:c>
      <x:c r="M165" s="22" t="str">
        <x:v>C</x:v>
      </x:c>
      <x:c r="N165" s="22" t="str">
        <x:v>V5</x:v>
      </x:c>
      <x:c r="O165" s="22" t="str">
        <x:v>E5</x:v>
      </x:c>
      <x:c r="P165" s="21" t="str">
        <x:v>RECONSTRUCTED_FROM_REPORT; Fear of Temperature_ Stratified Lexical Expansion, Voice Mapping, and Semantic-Relational Pre-Valida.pdf; p.12; project candidate FT-SEED-R1B-P-2022-14; original visible ID not available</x:v>
      </x:c>
      <x:c r="Q165" s="21" t="str">
        <x:v>FT-NGM-22C90970F55EC1</x:v>
      </x:c>
      <x:c r="R165" s="21" t="str">
        <x:v>depressed</x:v>
      </x:c>
      <x:c r="S165" s="22" t="str">
        <x:v>EXACT</x:v>
      </x:c>
      <x:c r="T165" s="21" t="str">
        <x:v>FT-Q-V01-114</x:v>
      </x:c>
      <x:c r="U165" s="21" t="str">
        <x:v>Candidate surface form is directly representable in the public Ngram interface.</x:v>
      </x:c>
      <x:c r="V165" s="21" t="str">
        <x:v>Fear of Temperature_ Stratified Lexical Expansion, Voice Mapping, and Semantic-Relational Pre-Valida.pdf</x:v>
      </x:c>
      <x:c r="W165" s="21" t="str">
        <x:v>12</x:v>
      </x:c>
      <x:c r="X165" s="23" t="str">
        <x:v>RECONSTRUCTED_FROM_REPORT</x:v>
      </x:c>
    </x:row>
    <x:row r="166" ht="19" customHeight="1">
      <x:c r="A166" s="20" t="str">
        <x:v>FT-SEED-R1B-P-2022-15</x:v>
      </x:c>
      <x:c r="B166" s="21" t="str">
        <x:v>FT-A2022</x:v>
      </x:c>
      <x:c r="C166" s="22" t="str">
        <x:v>2022</x:v>
      </x:c>
      <x:c r="D166" s="22" t="str">
        <x:v>15</x:v>
      </x:c>
      <x:c r="E166" s="21" t="str">
        <x:v>symptoms of anxiety</x:v>
      </x:c>
      <x:c r="F166" s="21" t="str">
        <x:v>symptoms of anxiety</x:v>
      </x:c>
      <x:c r="G166" s="21" t="str">
        <x:v>anxiety symptom measure</x:v>
      </x:c>
      <x:c r="H166" s="21" t="str">
        <x:v>FT-C-ANXIETY_SYMPTOM_MEASURE</x:v>
      </x:c>
      <x:c r="I166" s="21" t="str">
        <x:v>Anxiety operationalised as a symptom or health measure.</x:v>
      </x:c>
      <x:c r="J166" s="21" t="str">
        <x:v>FT-LF-Q-B621300AB03E</x:v>
      </x:c>
      <x:c r="K166" s="22" t="str">
        <x:v>anxiety</x:v>
      </x:c>
      <x:c r="L166" s="21" t="str">
        <x:v>FT-F09</x:v>
      </x:c>
      <x:c r="M166" s="22" t="str">
        <x:v>C</x:v>
      </x:c>
      <x:c r="N166" s="22" t="str">
        <x:v>V5</x:v>
      </x:c>
      <x:c r="O166" s="22" t="str">
        <x:v>E5</x:v>
      </x:c>
      <x:c r="P166" s="21" t="str">
        <x:v>RECONSTRUCTED_FROM_REPORT; Fear of Temperature_ Stratified Lexical Expansion, Voice Mapping, and Semantic-Relational Pre-Valida.pdf; p.12; project candidate FT-SEED-R1B-P-2022-15; original visible ID not available</x:v>
      </x:c>
      <x:c r="Q166" s="21" t="str">
        <x:v>FT-NGM-B621300AB03ECF</x:v>
      </x:c>
      <x:c r="R166" s="21" t="str">
        <x:v>symptoms of anxiety</x:v>
      </x:c>
      <x:c r="S166" s="22" t="str">
        <x:v>EXACT</x:v>
      </x:c>
      <x:c r="T166" s="21" t="str">
        <x:v>FT-Q-V01-115</x:v>
      </x:c>
      <x:c r="U166" s="21" t="str">
        <x:v>Candidate surface form is directly representable in the public Ngram interface.</x:v>
      </x:c>
      <x:c r="V166" s="21" t="str">
        <x:v>Fear of Temperature_ Stratified Lexical Expansion, Voice Mapping, and Semantic-Relational Pre-Valida.pdf</x:v>
      </x:c>
      <x:c r="W166" s="21" t="str">
        <x:v>12</x:v>
      </x:c>
      <x:c r="X166" s="23" t="str">
        <x:v>RECONSTRUCTED_FROM_REPORT</x:v>
      </x:c>
    </x:row>
    <x:row r="167" ht="19" customHeight="1">
      <x:c r="A167" s="20" t="str">
        <x:v>FT-SEED-R1B-P-2022-16</x:v>
      </x:c>
      <x:c r="B167" s="21" t="str">
        <x:v>FT-A2022</x:v>
      </x:c>
      <x:c r="C167" s="22" t="str">
        <x:v>2022</x:v>
      </x:c>
      <x:c r="D167" s="22" t="str">
        <x:v>16</x:v>
      </x:c>
      <x:c r="E167" s="21" t="str">
        <x:v>climate anxiety</x:v>
      </x:c>
      <x:c r="F167" s="21" t="str">
        <x:v>climate anxiety</x:v>
      </x:c>
      <x:c r="G167" s="21" t="str">
        <x:v>climate anxiety research construct</x:v>
      </x:c>
      <x:c r="H167" s="21" t="str">
        <x:v>FT-C-CLIMATE_ANXIETY_RESEARCH_CONSTRUCT</x:v>
      </x:c>
      <x:c r="I167" s="21" t="str">
        <x:v>Climate anxiety used as a researcher-defined construct.</x:v>
      </x:c>
      <x:c r="J167" s="21" t="str">
        <x:v>FT-LF-CLIMATE_ANXIETY</x:v>
      </x:c>
      <x:c r="K167" s="22" t="str">
        <x:v>anxiety</x:v>
      </x:c>
      <x:c r="L167" s="21" t="str">
        <x:v>FT-F09</x:v>
      </x:c>
      <x:c r="M167" s="22" t="str">
        <x:v>C</x:v>
      </x:c>
      <x:c r="N167" s="22" t="str">
        <x:v>V1</x:v>
      </x:c>
      <x:c r="O167" s="22" t="str">
        <x:v>E4</x:v>
      </x:c>
      <x:c r="P167" s="21" t="str">
        <x:v>RECONSTRUCTED_FROM_REPORT; Fear of Temperature_ Stratified Lexical Expansion, Voice Mapping, and Semantic-Relational Pre-Valida.pdf; p.12; project candidate FT-SEED-R1B-P-2022-16; original visible ID not available</x:v>
      </x:c>
      <x:c r="Q167" s="21" t="str">
        <x:v>FT-NGM-A1AE67FB4A7B32</x:v>
      </x:c>
      <x:c r="R167" s="21" t="str">
        <x:v>climate anxiety</x:v>
      </x:c>
      <x:c r="S167" s="22" t="str">
        <x:v>EXACT</x:v>
      </x:c>
      <x:c r="T167" s="21" t="str">
        <x:v>FT-Q-V01-116</x:v>
      </x:c>
      <x:c r="U167" s="21" t="str">
        <x:v>Candidate surface form is directly representable in the public Ngram interface.</x:v>
      </x:c>
      <x:c r="V167" s="21" t="str">
        <x:v>Fear of Temperature_ Stratified Lexical Expansion, Voice Mapping, and Semantic-Relational Pre-Valida.pdf</x:v>
      </x:c>
      <x:c r="W167" s="21" t="str">
        <x:v>12</x:v>
      </x:c>
      <x:c r="X167" s="23" t="str">
        <x:v>RECONSTRUCTED_FROM_REPORT</x:v>
      </x:c>
    </x:row>
    <x:row r="168" ht="19" customHeight="1">
      <x:c r="A168" s="20" t="str">
        <x:v>FT-SEED-R1B-P-2022-17</x:v>
      </x:c>
      <x:c r="B168" s="21" t="str">
        <x:v>FT-A2022</x:v>
      </x:c>
      <x:c r="C168" s="22" t="str">
        <x:v>2022</x:v>
      </x:c>
      <x:c r="D168" s="22" t="str">
        <x:v>17</x:v>
      </x:c>
      <x:c r="E168" s="21" t="str">
        <x:v>eco-anxiety</x:v>
      </x:c>
      <x:c r="F168" s="21" t="str">
        <x:v>eco-anxiety</x:v>
      </x:c>
      <x:c r="G168" s="21" t="str">
        <x:v>eco-anxiety research construct</x:v>
      </x:c>
      <x:c r="H168" s="21" t="str">
        <x:v>FT-C-ECO_ANXIETY_RESEARCH_CONSTRUCT</x:v>
      </x:c>
      <x:c r="I168" s="21" t="str">
        <x:v>Eco-anxiety used as a researcher-defined construct.</x:v>
      </x:c>
      <x:c r="J168" s="21" t="str">
        <x:v>FT-LF-ECO_ANXIETY</x:v>
      </x:c>
      <x:c r="K168" s="22" t="str">
        <x:v>anxiety</x:v>
      </x:c>
      <x:c r="L168" s="21" t="str">
        <x:v>FT-F09</x:v>
      </x:c>
      <x:c r="M168" s="22" t="str">
        <x:v>C</x:v>
      </x:c>
      <x:c r="N168" s="22" t="str">
        <x:v>V1</x:v>
      </x:c>
      <x:c r="O168" s="22" t="str">
        <x:v>E5</x:v>
      </x:c>
      <x:c r="P168" s="21" t="str">
        <x:v>RECONSTRUCTED_FROM_REPORT; Fear of Temperature_ Stratified Lexical Expansion, Voice Mapping, and Semantic-Relational Pre-Valida.pdf; p.12; project candidate FT-SEED-R1B-P-2022-17; original visible ID not available</x:v>
      </x:c>
      <x:c r="Q168" s="21" t="str">
        <x:v>FT-NGM-84E37A614BC226</x:v>
      </x:c>
      <x:c r="R168" s="21" t="str">
        <x:v>eco-anxiety</x:v>
      </x:c>
      <x:c r="S168" s="22" t="str">
        <x:v>EXACT</x:v>
      </x:c>
      <x:c r="T168" s="21" t="str">
        <x:v>FT-Q-V01-117</x:v>
      </x:c>
      <x:c r="U168" s="21" t="str">
        <x:v>Candidate surface form is directly representable in the public Ngram interface.</x:v>
      </x:c>
      <x:c r="V168" s="21" t="str">
        <x:v>Fear of Temperature_ Stratified Lexical Expansion, Voice Mapping, and Semantic-Relational Pre-Valida.pdf</x:v>
      </x:c>
      <x:c r="W168" s="21" t="str">
        <x:v>12</x:v>
      </x:c>
      <x:c r="X168" s="23" t="str">
        <x:v>RECONSTRUCTED_FROM_REPORT</x:v>
      </x:c>
    </x:row>
    <x:row r="169" ht="19" customHeight="1">
      <x:c r="A169" s="20" t="str">
        <x:v>FT-SEED-R1B-P-2022-18</x:v>
      </x:c>
      <x:c r="B169" s="21" t="str">
        <x:v>FT-A2022</x:v>
      </x:c>
      <x:c r="C169" s="22" t="str">
        <x:v>2022</x:v>
      </x:c>
      <x:c r="D169" s="22" t="str">
        <x:v>18</x:v>
      </x:c>
      <x:c r="E169" s="21" t="str">
        <x:v>psychological distress</x:v>
      </x:c>
      <x:c r="F169" s="21" t="str">
        <x:v>psychological distress</x:v>
      </x:c>
      <x:c r="G169" s="21" t="str">
        <x:v>psychological distress</x:v>
      </x:c>
      <x:c r="H169" s="21" t="str">
        <x:v>FT-C-PSYCHOLOGICAL_DISTRESS</x:v>
      </x:c>
      <x:c r="I169" s="21" t="str">
        <x:v>Modern psychological distress as a research, health, or participant category.</x:v>
      </x:c>
      <x:c r="J169" s="21" t="str">
        <x:v>FT-LF-Q-3D707CD7CC49</x:v>
      </x:c>
      <x:c r="K169" s="22" t="str">
        <x:v>distress_depression</x:v>
      </x:c>
      <x:c r="L169" s="21" t="str">
        <x:v>FT-F10</x:v>
      </x:c>
      <x:c r="M169" s="22" t="str">
        <x:v>C</x:v>
      </x:c>
      <x:c r="N169" s="22" t="str">
        <x:v>V1</x:v>
      </x:c>
      <x:c r="O169" s="22" t="str">
        <x:v>E5</x:v>
      </x:c>
      <x:c r="P169" s="21" t="str">
        <x:v>RECONSTRUCTED_FROM_REPORT; Fear of Temperature_ Stratified Lexical Expansion, Voice Mapping, and Semantic-Relational Pre-Valida.pdf; p.12; project candidate FT-SEED-R1B-P-2022-18; original visible ID not available</x:v>
      </x:c>
      <x:c r="Q169" s="21" t="str">
        <x:v>FT-NGM-3D707CD7CC497F</x:v>
      </x:c>
      <x:c r="R169" s="21" t="str">
        <x:v>psychological distress</x:v>
      </x:c>
      <x:c r="S169" s="22" t="str">
        <x:v>EXACT</x:v>
      </x:c>
      <x:c r="T169" s="21" t="str">
        <x:v>FT-Q-V01-118</x:v>
      </x:c>
      <x:c r="U169" s="21" t="str">
        <x:v>Candidate surface form is directly representable in the public Ngram interface.</x:v>
      </x:c>
      <x:c r="V169" s="21" t="str">
        <x:v>Fear of Temperature_ Stratified Lexical Expansion, Voice Mapping, and Semantic-Relational Pre-Valida.pdf</x:v>
      </x:c>
      <x:c r="W169" s="21" t="str">
        <x:v>12</x:v>
      </x:c>
      <x:c r="X169" s="23" t="str">
        <x:v>RECONSTRUCTED_FROM_REPORT</x:v>
      </x:c>
    </x:row>
    <x:row r="170" ht="19" customHeight="1">
      <x:c r="A170" s="20" t="str">
        <x:v>FT-SEED-R1B-P-2022-19</x:v>
      </x:c>
      <x:c r="B170" s="21" t="str">
        <x:v>FT-A2022</x:v>
      </x:c>
      <x:c r="C170" s="22" t="str">
        <x:v>2022</x:v>
      </x:c>
      <x:c r="D170" s="22" t="str">
        <x:v>19</x:v>
      </x:c>
      <x:c r="E170" s="21" t="str">
        <x:v>distress</x:v>
      </x:c>
      <x:c r="F170" s="21" t="str">
        <x:v>distress</x:v>
      </x:c>
      <x:c r="G170" s="21" t="str">
        <x:v>psychological distress</x:v>
      </x:c>
      <x:c r="H170" s="21" t="str">
        <x:v>FT-C-PSYCHOLOGICAL_DISTRESS</x:v>
      </x:c>
      <x:c r="I170" s="21" t="str">
        <x:v>Modern psychological distress as a research, health, or participant category.</x:v>
      </x:c>
      <x:c r="J170" s="21" t="str">
        <x:v>FT-LF-DISTRESS</x:v>
      </x:c>
      <x:c r="K170" s="22" t="str">
        <x:v>distress_depression</x:v>
      </x:c>
      <x:c r="L170" s="21" t="str">
        <x:v>FT-F10</x:v>
      </x:c>
      <x:c r="M170" s="22" t="str">
        <x:v>C</x:v>
      </x:c>
      <x:c r="N170" s="22" t="str">
        <x:v>V1</x:v>
      </x:c>
      <x:c r="O170" s="22" t="str">
        <x:v>E5</x:v>
      </x:c>
      <x:c r="P170" s="21" t="str">
        <x:v>RECONSTRUCTED_FROM_REPORT; Fear of Temperature_ Stratified Lexical Expansion, Voice Mapping, and Semantic-Relational Pre-Valida.pdf; p.13; project candidate FT-SEED-R1B-P-2022-19; original visible ID not available</x:v>
      </x:c>
      <x:c r="Q170" s="21" t="str">
        <x:v>FT-NGM-16E601ED6C846B</x:v>
      </x:c>
      <x:c r="R170" s="21" t="str">
        <x:v>distress</x:v>
      </x:c>
      <x:c r="S170" s="22" t="str">
        <x:v>EXACT</x:v>
      </x:c>
      <x:c r="T170" s="21" t="str">
        <x:v>FT-Q-V01-119</x:v>
      </x:c>
      <x:c r="U170" s="21" t="str">
        <x:v>Candidate surface form is directly representable in the public Ngram interface.</x:v>
      </x:c>
      <x:c r="V170" s="21" t="str">
        <x:v>Fear of Temperature_ Stratified Lexical Expansion, Voice Mapping, and Semantic-Relational Pre-Valida.pdf</x:v>
      </x:c>
      <x:c r="W170" s="21" t="str">
        <x:v>13</x:v>
      </x:c>
      <x:c r="X170" s="23" t="str">
        <x:v>RECONSTRUCTED_FROM_REPORT</x:v>
      </x:c>
    </x:row>
    <x:row r="171" ht="19" customHeight="1">
      <x:c r="A171" s="20" t="str">
        <x:v>FT-SEED-R1B-P-2022-20</x:v>
      </x:c>
      <x:c r="B171" s="21" t="str">
        <x:v>FT-A2022</x:v>
      </x:c>
      <x:c r="C171" s="22" t="str">
        <x:v>2022</x:v>
      </x:c>
      <x:c r="D171" s="22" t="str">
        <x:v>20</x:v>
      </x:c>
      <x:c r="E171" s="21" t="str">
        <x:v>powerlessness</x:v>
      </x:c>
      <x:c r="F171" s="21" t="str">
        <x:v>powerlessness</x:v>
      </x:c>
      <x:c r="G171" s="21" t="str">
        <x:v>depressed affect</x:v>
      </x:c>
      <x:c r="H171" s="21" t="str">
        <x:v>FT-C-DEPRESSED_AFFECT</x:v>
      </x:c>
      <x:c r="I171" s="21" t="str">
        <x:v>Depressed affect directly expressed or instrument-endorsed in a climate context.</x:v>
      </x:c>
      <x:c r="J171" s="21" t="str">
        <x:v>FT-LF-Q-620055E4F2B4</x:v>
      </x:c>
      <x:c r="K171" s="22" t="str">
        <x:v>distress_depression</x:v>
      </x:c>
      <x:c r="L171" s="21" t="str">
        <x:v>FT-F10</x:v>
      </x:c>
      <x:c r="M171" s="22" t="str">
        <x:v>C</x:v>
      </x:c>
      <x:c r="N171" s="22" t="str">
        <x:v>V1</x:v>
      </x:c>
      <x:c r="O171" s="22" t="str">
        <x:v>E5</x:v>
      </x:c>
      <x:c r="P171" s="21" t="str">
        <x:v>RECONSTRUCTED_FROM_REPORT; Fear of Temperature_ Stratified Lexical Expansion, Voice Mapping, and Semantic-Relational Pre-Valida.pdf; p.13; project candidate FT-SEED-R1B-P-2022-20; original visible ID not available</x:v>
      </x:c>
      <x:c r="Q171" s="21" t="str">
        <x:v>FT-NGM-620055E4F2B47B</x:v>
      </x:c>
      <x:c r="R171" s="21" t="str">
        <x:v>powerlessness</x:v>
      </x:c>
      <x:c r="S171" s="22" t="str">
        <x:v>EXACT</x:v>
      </x:c>
      <x:c r="T171" s="21" t="str">
        <x:v>FT-Q-V01-120</x:v>
      </x:c>
      <x:c r="U171" s="21" t="str">
        <x:v>Candidate surface form is directly representable in the public Ngram interface.</x:v>
      </x:c>
      <x:c r="V171" s="21" t="str">
        <x:v>Fear of Temperature_ Stratified Lexical Expansion, Voice Mapping, and Semantic-Relational Pre-Valida.pdf</x:v>
      </x:c>
      <x:c r="W171" s="21" t="str">
        <x:v>13</x:v>
      </x:c>
      <x:c r="X171" s="23" t="str">
        <x:v>RECONSTRUCTED_FROM_REPORT</x:v>
      </x:c>
    </x:row>
    <x:row r="172" ht="19" customHeight="1">
      <x:c r="A172" s="20" t="str">
        <x:v>FT-SEED-R1B-P-2022-21</x:v>
      </x:c>
      <x:c r="B172" s="21" t="str">
        <x:v>FT-A2022</x:v>
      </x:c>
      <x:c r="C172" s="22" t="str">
        <x:v>2022</x:v>
      </x:c>
      <x:c r="D172" s="22" t="str">
        <x:v>21</x:v>
      </x:c>
      <x:c r="E172" s="21" t="str">
        <x:v>guilt</x:v>
      </x:c>
      <x:c r="F172" s="21" t="str">
        <x:v>guilt</x:v>
      </x:c>
      <x:c r="G172" s="21" t="str">
        <x:v>depressed affect</x:v>
      </x:c>
      <x:c r="H172" s="21" t="str">
        <x:v>FT-C-DEPRESSED_AFFECT</x:v>
      </x:c>
      <x:c r="I172" s="21" t="str">
        <x:v>Depressed affect directly expressed or instrument-endorsed in a climate context.</x:v>
      </x:c>
      <x:c r="J172" s="21" t="str">
        <x:v>FT-LF-Q-BDE7DD741C38</x:v>
      </x:c>
      <x:c r="K172" s="22" t="str">
        <x:v>distress_depression</x:v>
      </x:c>
      <x:c r="L172" s="21" t="str">
        <x:v>FT-F10</x:v>
      </x:c>
      <x:c r="M172" s="22" t="str">
        <x:v>C</x:v>
      </x:c>
      <x:c r="N172" s="22" t="str">
        <x:v>V1</x:v>
      </x:c>
      <x:c r="O172" s="22" t="str">
        <x:v>E5</x:v>
      </x:c>
      <x:c r="P172" s="21" t="str">
        <x:v>RECONSTRUCTED_FROM_REPORT; Fear of Temperature_ Stratified Lexical Expansion, Voice Mapping, and Semantic-Relational Pre-Valida.pdf; p.12; project candidate FT-SEED-R1B-P-2022-21; original visible ID not available</x:v>
      </x:c>
      <x:c r="Q172" s="21" t="str">
        <x:v>FT-NGM-BDE7DD741C3844</x:v>
      </x:c>
      <x:c r="R172" s="21" t="str">
        <x:v>guilt</x:v>
      </x:c>
      <x:c r="S172" s="22" t="str">
        <x:v>EXACT</x:v>
      </x:c>
      <x:c r="T172" s="21" t="str">
        <x:v>FT-Q-V01-143</x:v>
      </x:c>
      <x:c r="U172" s="21" t="str">
        <x:v>Candidate surface form is directly representable in the public Ngram interface.</x:v>
      </x:c>
      <x:c r="V172" s="21" t="str">
        <x:v>Fear of Temperature_ Stratified Lexical Expansion, Voice Mapping, and Semantic-Relational Pre-Valida.pdf</x:v>
      </x:c>
      <x:c r="W172" s="21" t="str">
        <x:v>12</x:v>
      </x:c>
      <x:c r="X172" s="23" t="str">
        <x:v>RECONSTRUCTED_FROM_REPORT</x:v>
      </x:c>
    </x:row>
    <x:row r="173" ht="19" customHeight="1">
      <x:c r="A173" s="20" t="str">
        <x:v>FT-SEED-R1B-P-2022-22</x:v>
      </x:c>
      <x:c r="B173" s="21" t="str">
        <x:v>FT-A2022</x:v>
      </x:c>
      <x:c r="C173" s="22" t="str">
        <x:v>2022</x:v>
      </x:c>
      <x:c r="D173" s="22" t="str">
        <x:v>22</x:v>
      </x:c>
      <x:c r="E173" s="21" t="str">
        <x:v>heatwaves</x:v>
      </x:c>
      <x:c r="F173" s="21" t="str">
        <x:v>heatwaves</x:v>
      </x:c>
      <x:c r="G173" s="21" t="str">
        <x:v>heatwave / weather event</x:v>
      </x:c>
      <x:c r="H173" s="21" t="str">
        <x:v>FT-C-HEATWAVE_WEATHER_EVENT</x:v>
      </x:c>
      <x:c r="I173" s="21" t="str">
        <x:v>A bounded hot-weather or heatwave event.</x:v>
      </x:c>
      <x:c r="J173" s="21" t="str">
        <x:v>FT-LF-P180-573FB889FA18</x:v>
      </x:c>
      <x:c r="K173" s="22" t="str">
        <x:v>heat</x:v>
      </x:c>
      <x:c r="L173" s="21" t="str">
        <x:v>FT-F02</x:v>
      </x:c>
      <x:c r="M173" s="22" t="str">
        <x:v>A</x:v>
      </x:c>
      <x:c r="N173" s="22" t="str">
        <x:v>V1</x:v>
      </x:c>
      <x:c r="O173" s="22" t="str">
        <x:v>E5</x:v>
      </x:c>
      <x:c r="P173" s="21" t="str">
        <x:v>RECONSTRUCTED_FROM_REPORT; Fear of Temperature_ Stratified Lexical Expansion, Voice Mapping, and Semantic-Relational Pre-Valida.pdf; p.12; project candidate FT-SEED-R1B-P-2022-22; original visible ID not available</x:v>
      </x:c>
      <x:c r="Q173" s="21" t="str">
        <x:v>FT-NGM-573FB889FA181B</x:v>
      </x:c>
      <x:c r="R173" s="21" t="str">
        <x:v>heatwaves</x:v>
      </x:c>
      <x:c r="S173" s="22" t="str">
        <x:v>EXACT</x:v>
      </x:c>
      <x:c r="T173" s="21" t="str">
        <x:v>FT-Q-P180-5EF8668DB1EC</x:v>
      </x:c>
      <x:c r="U173" s="21" t="str">
        <x:v>Candidate surface form is directly representable in the public Ngram interface.</x:v>
      </x:c>
      <x:c r="V173" s="21" t="str">
        <x:v>Fear of Temperature_ Stratified Lexical Expansion, Voice Mapping, and Semantic-Relational Pre-Valida.pdf</x:v>
      </x:c>
      <x:c r="W173" s="21" t="str">
        <x:v>12</x:v>
      </x:c>
      <x:c r="X173" s="23" t="str">
        <x:v>RECONSTRUCTED_FROM_REPORT</x:v>
      </x:c>
    </x:row>
    <x:row r="174" ht="19" customHeight="1">
      <x:c r="A174" s="20" t="str">
        <x:v>FT-SEED-R1B-P-2022-23</x:v>
      </x:c>
      <x:c r="B174" s="21" t="str">
        <x:v>FT-A2022</x:v>
      </x:c>
      <x:c r="C174" s="22" t="str">
        <x:v>2022</x:v>
      </x:c>
      <x:c r="D174" s="22" t="str">
        <x:v>23</x:v>
      </x:c>
      <x:c r="E174" s="21" t="str">
        <x:v>heat-related mortality</x:v>
      </x:c>
      <x:c r="F174" s="21" t="str">
        <x:v>heat-related mortality</x:v>
      </x:c>
      <x:c r="G174" s="21" t="str">
        <x:v>extreme-heat hazard</x:v>
      </x:c>
      <x:c r="H174" s="21" t="str">
        <x:v>FT-C-EXTREME_HEAT_HAZARD</x:v>
      </x:c>
      <x:c r="I174" s="21" t="str">
        <x:v>Extreme heat framed as a hazard with health or social consequences.</x:v>
      </x:c>
      <x:c r="J174" s="21" t="str">
        <x:v>FT-LF-P180-4402BAC78B2B</x:v>
      </x:c>
      <x:c r="K174" s="22" t="str">
        <x:v>heat</x:v>
      </x:c>
      <x:c r="L174" s="21" t="str">
        <x:v>FT-F02</x:v>
      </x:c>
      <x:c r="M174" s="22" t="str">
        <x:v>D</x:v>
      </x:c>
      <x:c r="N174" s="22" t="str">
        <x:v>V1</x:v>
      </x:c>
      <x:c r="O174" s="22" t="str">
        <x:v>E5</x:v>
      </x:c>
      <x:c r="P174" s="21" t="str">
        <x:v>RECONSTRUCTED_FROM_REPORT; Fear of Temperature_ Stratified Lexical Expansion, Voice Mapping, and Semantic-Relational Pre-Valida.pdf; p.12; project candidate FT-SEED-R1B-P-2022-23; original visible ID not available</x:v>
      </x:c>
      <x:c r="Q174" s="21" t="str">
        <x:v>FT-NGM-4402BAC78B2BDD</x:v>
      </x:c>
      <x:c r="R174" s="21" t="str">
        <x:v>heat-related mortality</x:v>
      </x:c>
      <x:c r="S174" s="22" t="str">
        <x:v>EXACT</x:v>
      </x:c>
      <x:c r="T174" s="21" t="str">
        <x:v>FT-Q-P180-4E8D44A8A178</x:v>
      </x:c>
      <x:c r="U174" s="21" t="str">
        <x:v>Candidate surface form is directly representable in the public Ngram interface.</x:v>
      </x:c>
      <x:c r="V174" s="21" t="str">
        <x:v>Fear of Temperature_ Stratified Lexical Expansion, Voice Mapping, and Semantic-Relational Pre-Valida.pdf</x:v>
      </x:c>
      <x:c r="W174" s="21" t="str">
        <x:v>12</x:v>
      </x:c>
      <x:c r="X174" s="23" t="str">
        <x:v>RECONSTRUCTED_FROM_REPORT</x:v>
      </x:c>
    </x:row>
    <x:row r="175" ht="19" customHeight="1">
      <x:c r="A175" s="20" t="str">
        <x:v>FT-SEED-R1B-P-2022-24</x:v>
      </x:c>
      <x:c r="B175" s="21" t="str">
        <x:v>FT-A2022</x:v>
      </x:c>
      <x:c r="C175" s="22" t="str">
        <x:v>2022</x:v>
      </x:c>
      <x:c r="D175" s="22" t="str">
        <x:v>24</x:v>
      </x:c>
      <x:c r="E175" s="21" t="str">
        <x:v>mental health challenges</x:v>
      </x:c>
      <x:c r="F175" s="21" t="str">
        <x:v>mental health challenges</x:v>
      </x:c>
      <x:c r="G175" s="21" t="str">
        <x:v>generic damage</x:v>
      </x:c>
      <x:c r="H175" s="21" t="str">
        <x:v>FT-C-GENERIC_DAMAGE</x:v>
      </x:c>
      <x:c r="I175" s="21" t="str">
        <x:v>Generic material, ecological, or social damage.</x:v>
      </x:c>
      <x:c r="J175" s="21" t="str">
        <x:v>FT-LF-P180-649F81D45995</x:v>
      </x:c>
      <x:c r="K175" s="22" t="str">
        <x:v>harm_loss_consequences</x:v>
      </x:c>
      <x:c r="L175" s="21" t="str">
        <x:v>FT-F14</x:v>
      </x:c>
      <x:c r="M175" s="22" t="str">
        <x:v>D</x:v>
      </x:c>
      <x:c r="N175" s="22" t="str">
        <x:v>V1</x:v>
      </x:c>
      <x:c r="O175" s="22" t="str">
        <x:v>E5</x:v>
      </x:c>
      <x:c r="P175" s="21" t="str">
        <x:v>RECONSTRUCTED_FROM_REPORT; Fear of Temperature_ Stratified Lexical Expansion, Voice Mapping, and Semantic-Relational Pre-Valida.pdf; p.12; project candidate FT-SEED-R1B-P-2022-24; original visible ID not available</x:v>
      </x:c>
      <x:c r="Q175" s="21" t="str">
        <x:v>FT-NGM-649F81D4599508</x:v>
      </x:c>
      <x:c r="R175" s="21" t="str">
        <x:v>mental health challenges</x:v>
      </x:c>
      <x:c r="S175" s="22" t="str">
        <x:v>EXACT</x:v>
      </x:c>
      <x:c r="T175" s="21" t="str">
        <x:v>FT-Q-P180-5B5B2297FCBF</x:v>
      </x:c>
      <x:c r="U175" s="21" t="str">
        <x:v>Candidate surface form is directly representable in the public Ngram interface.</x:v>
      </x:c>
      <x:c r="V175" s="21" t="str">
        <x:v>Fear of Temperature_ Stratified Lexical Expansion, Voice Mapping, and Semantic-Relational Pre-Valida.pdf</x:v>
      </x:c>
      <x:c r="W175" s="21" t="str">
        <x:v>12</x:v>
      </x:c>
      <x:c r="X175" s="23" t="str">
        <x:v>RECONSTRUCTED_FROM_REPORT</x:v>
      </x:c>
    </x:row>
    <x:row r="176" ht="19" customHeight="1">
      <x:c r="A176" s="20" t="str">
        <x:v>FT-SEED-R1B-P-2022-25</x:v>
      </x:c>
      <x:c r="B176" s="21" t="str">
        <x:v>FT-A2022</x:v>
      </x:c>
      <x:c r="C176" s="22" t="str">
        <x:v>2022</x:v>
      </x:c>
      <x:c r="D176" s="22" t="str">
        <x:v>25</x:v>
      </x:c>
      <x:c r="E176" s="21" t="str">
        <x:v>anxiety and stress</x:v>
      </x:c>
      <x:c r="F176" s="21" t="str">
        <x:v>anxiety and stress</x:v>
      </x:c>
      <x:c r="G176" s="21" t="str">
        <x:v>anxiety symptom measure</x:v>
      </x:c>
      <x:c r="H176" s="21" t="str">
        <x:v>FT-C-ANXIETY_SYMPTOM_MEASURE</x:v>
      </x:c>
      <x:c r="I176" s="21" t="str">
        <x:v>Anxiety operationalised as a symptom or health measure.</x:v>
      </x:c>
      <x:c r="J176" s="21" t="str">
        <x:v>FT-LF-P180-591E7DE9D81F</x:v>
      </x:c>
      <x:c r="K176" s="22" t="str">
        <x:v>anxiety</x:v>
      </x:c>
      <x:c r="L176" s="21" t="str">
        <x:v>FT-F09</x:v>
      </x:c>
      <x:c r="M176" s="22" t="str">
        <x:v>C</x:v>
      </x:c>
      <x:c r="N176" s="22" t="str">
        <x:v>V1</x:v>
      </x:c>
      <x:c r="O176" s="22" t="str">
        <x:v>E5</x:v>
      </x:c>
      <x:c r="P176" s="21" t="str">
        <x:v>RECONSTRUCTED_FROM_REPORT; Fear of Temperature_ Stratified Lexical Expansion, Voice Mapping, and Semantic-Relational Pre-Valida.pdf; p.12; project candidate FT-SEED-R1B-P-2022-25; original visible ID not available</x:v>
      </x:c>
      <x:c r="Q176" s="21" t="str">
        <x:v>FT-NGM-591E7DE9D81F90</x:v>
      </x:c>
      <x:c r="R176" s="21" t="str">
        <x:v>anxiety and stress</x:v>
      </x:c>
      <x:c r="S176" s="22" t="str">
        <x:v>EXACT</x:v>
      </x:c>
      <x:c r="T176" s="21" t="str">
        <x:v>FT-Q-P180-DC3B8883BB1C</x:v>
      </x:c>
      <x:c r="U176" s="21" t="str">
        <x:v>Candidate surface form is directly representable in the public Ngram interface.</x:v>
      </x:c>
      <x:c r="V176" s="21" t="str">
        <x:v>Fear of Temperature_ Stratified Lexical Expansion, Voice Mapping, and Semantic-Relational Pre-Valida.pdf</x:v>
      </x:c>
      <x:c r="W176" s="21" t="str">
        <x:v>12</x:v>
      </x:c>
      <x:c r="X176" s="23" t="str">
        <x:v>RECONSTRUCTED_FROM_REPORT</x:v>
      </x:c>
    </x:row>
    <x:row r="177" ht="19" customHeight="1">
      <x:c r="A177" s="20" t="str">
        <x:v>FT-SEED-R1B-P-2022-26</x:v>
      </x:c>
      <x:c r="B177" s="21" t="str">
        <x:v>FT-A2022</x:v>
      </x:c>
      <x:c r="C177" s="22" t="str">
        <x:v>2022</x:v>
      </x:c>
      <x:c r="D177" s="22" t="str">
        <x:v>26</x:v>
      </x:c>
      <x:c r="E177" s="21" t="str">
        <x:v>ill health</x:v>
      </x:c>
      <x:c r="F177" s="21" t="str">
        <x:v>ill health</x:v>
      </x:c>
      <x:c r="G177" s="21" t="str">
        <x:v>generic damage</x:v>
      </x:c>
      <x:c r="H177" s="21" t="str">
        <x:v>FT-C-GENERIC_DAMAGE</x:v>
      </x:c>
      <x:c r="I177" s="21" t="str">
        <x:v>Generic material, ecological, or social damage.</x:v>
      </x:c>
      <x:c r="J177" s="21" t="str">
        <x:v>FT-LF-P180-244E566F3FFC</x:v>
      </x:c>
      <x:c r="K177" s="22" t="str">
        <x:v>harm_loss_consequences</x:v>
      </x:c>
      <x:c r="L177" s="21" t="str">
        <x:v>FT-F14</x:v>
      </x:c>
      <x:c r="M177" s="22" t="str">
        <x:v>D</x:v>
      </x:c>
      <x:c r="N177" s="22" t="str">
        <x:v>V1</x:v>
      </x:c>
      <x:c r="O177" s="22" t="str">
        <x:v>E5</x:v>
      </x:c>
      <x:c r="P177" s="21" t="str">
        <x:v>RECONSTRUCTED_FROM_REPORT; Fear of Temperature_ Stratified Lexical Expansion, Voice Mapping, and Semantic-Relational Pre-Valida.pdf; p.12; project candidate FT-SEED-R1B-P-2022-26; original visible ID not available</x:v>
      </x:c>
      <x:c r="Q177" s="21" t="str">
        <x:v>FT-NGM-244E566F3FFC05</x:v>
      </x:c>
      <x:c r="R177" s="21" t="str">
        <x:v>ill health</x:v>
      </x:c>
      <x:c r="S177" s="22" t="str">
        <x:v>EXACT</x:v>
      </x:c>
      <x:c r="T177" s="21" t="str">
        <x:v>FT-Q-P180-B924C0D033A0</x:v>
      </x:c>
      <x:c r="U177" s="21" t="str">
        <x:v>Candidate surface form is directly representable in the public Ngram interface.</x:v>
      </x:c>
      <x:c r="V177" s="21" t="str">
        <x:v>Fear of Temperature_ Stratified Lexical Expansion, Voice Mapping, and Semantic-Relational Pre-Valida.pdf</x:v>
      </x:c>
      <x:c r="W177" s="21" t="str">
        <x:v>12</x:v>
      </x:c>
      <x:c r="X177" s="23" t="str">
        <x:v>RECONSTRUCTED_FROM_REPORT</x:v>
      </x:c>
    </x:row>
    <x:row r="178" ht="19" customHeight="1">
      <x:c r="A178" s="20" t="str">
        <x:v>FT-SEED-R1B-P-2022-27</x:v>
      </x:c>
      <x:c r="B178" s="21" t="str">
        <x:v>FT-A2022</x:v>
      </x:c>
      <x:c r="C178" s="22" t="str">
        <x:v>2022</x:v>
      </x:c>
      <x:c r="D178" s="22" t="str">
        <x:v>27</x:v>
      </x:c>
      <x:c r="E178" s="21" t="str">
        <x:v>premature deaths</x:v>
      </x:c>
      <x:c r="F178" s="21" t="str">
        <x:v>premature deaths</x:v>
      </x:c>
      <x:c r="G178" s="21" t="str">
        <x:v>mortality</x:v>
      </x:c>
      <x:c r="H178" s="21" t="str">
        <x:v>FT-C-MORTALITY</x:v>
      </x:c>
      <x:c r="I178" s="21" t="str">
        <x:v>Death or mortality attributed to heat or climate consequences.</x:v>
      </x:c>
      <x:c r="J178" s="21" t="str">
        <x:v>FT-LF-P180-5D240057ECDE</x:v>
      </x:c>
      <x:c r="K178" s="22" t="str">
        <x:v>harm_loss_consequences</x:v>
      </x:c>
      <x:c r="L178" s="21" t="str">
        <x:v>FT-F14</x:v>
      </x:c>
      <x:c r="M178" s="22" t="str">
        <x:v>D</x:v>
      </x:c>
      <x:c r="N178" s="22" t="str">
        <x:v>V1</x:v>
      </x:c>
      <x:c r="O178" s="22" t="str">
        <x:v>E5</x:v>
      </x:c>
      <x:c r="P178" s="21" t="str">
        <x:v>RECONSTRUCTED_FROM_REPORT; Fear of Temperature_ Stratified Lexical Expansion, Voice Mapping, and Semantic-Relational Pre-Valida.pdf; p.12; project candidate FT-SEED-R1B-P-2022-27; original visible ID not available</x:v>
      </x:c>
      <x:c r="Q178" s="21" t="str">
        <x:v>FT-NGM-5D240057ECDED4</x:v>
      </x:c>
      <x:c r="R178" s="21" t="str">
        <x:v>premature deaths</x:v>
      </x:c>
      <x:c r="S178" s="22" t="str">
        <x:v>EXACT</x:v>
      </x:c>
      <x:c r="T178" s="21" t="str">
        <x:v>FT-Q-P180-9B46C9F1133A</x:v>
      </x:c>
      <x:c r="U178" s="21" t="str">
        <x:v>Candidate surface form is directly representable in the public Ngram interface.</x:v>
      </x:c>
      <x:c r="V178" s="21" t="str">
        <x:v>Fear of Temperature_ Stratified Lexical Expansion, Voice Mapping, and Semantic-Relational Pre-Valida.pdf</x:v>
      </x:c>
      <x:c r="W178" s="21" t="str">
        <x:v>12</x:v>
      </x:c>
      <x:c r="X178" s="23" t="str">
        <x:v>RECONSTRUCTED_FROM_REPORT</x:v>
      </x:c>
    </x:row>
    <x:row r="179" ht="19" customHeight="1">
      <x:c r="A179" s="20" t="str">
        <x:v>FT-SEED-R1B-P-2022-28</x:v>
      </x:c>
      <x:c r="B179" s="21" t="str">
        <x:v>FT-A2022</x:v>
      </x:c>
      <x:c r="C179" s="22" t="str">
        <x:v>2022</x:v>
      </x:c>
      <x:c r="D179" s="22" t="str">
        <x:v>28</x:v>
      </x:c>
      <x:c r="E179" s="21" t="str">
        <x:v>very serious threat</x:v>
      </x:c>
      <x:c r="F179" s="21" t="str">
        <x:v>very serious threat</x:v>
      </x:c>
      <x:c r="G179" s="21" t="str">
        <x:v>institutional climate threat</x:v>
      </x:c>
      <x:c r="H179" s="21" t="str">
        <x:v>FT-C-INSTITUTIONAL_CLIMATE_THREAT</x:v>
      </x:c>
      <x:c r="I179" s="21" t="str">
        <x:v>Climate change framed as an institutional threat.</x:v>
      </x:c>
      <x:c r="J179" s="21" t="str">
        <x:v>FT-LF-P180-136422D01887</x:v>
      </x:c>
      <x:c r="K179" s="22" t="str">
        <x:v>danger_threat</x:v>
      </x:c>
      <x:c r="L179" s="21" t="str">
        <x:v>FT-F11</x:v>
      </x:c>
      <x:c r="M179" s="22" t="str">
        <x:v>D</x:v>
      </x:c>
      <x:c r="N179" s="22" t="str">
        <x:v>V5</x:v>
      </x:c>
      <x:c r="O179" s="22" t="str">
        <x:v>E5</x:v>
      </x:c>
      <x:c r="P179" s="21" t="str">
        <x:v>RECONSTRUCTED_FROM_REPORT; Fear of Temperature_ Stratified Lexical Expansion, Voice Mapping, and Semantic-Relational Pre-Valida.pdf; p.12; project candidate FT-SEED-R1B-P-2022-28; original visible ID not available</x:v>
      </x:c>
      <x:c r="Q179" s="21" t="str">
        <x:v>FT-NGM-136422D0188728</x:v>
      </x:c>
      <x:c r="R179" s="21" t="str">
        <x:v>very serious threat</x:v>
      </x:c>
      <x:c r="S179" s="22" t="str">
        <x:v>EXACT</x:v>
      </x:c>
      <x:c r="T179" s="21" t="str">
        <x:v>FT-Q-P180-4BC5F94348C2</x:v>
      </x:c>
      <x:c r="U179" s="21" t="str">
        <x:v>Candidate surface form is directly representable in the public Ngram interface.</x:v>
      </x:c>
      <x:c r="V179" s="21" t="str">
        <x:v>Fear of Temperature_ Stratified Lexical Expansion, Voice Mapping, and Semantic-Relational Pre-Valida.pdf</x:v>
      </x:c>
      <x:c r="W179" s="21" t="str">
        <x:v>12</x:v>
      </x:c>
      <x:c r="X179" s="23" t="str">
        <x:v>RECONSTRUCTED_FROM_REPORT</x:v>
      </x:c>
    </x:row>
    <x:row r="180" ht="19" customHeight="1">
      <x:c r="A180" s="20" t="str">
        <x:v>FT-SEED-R1B-P-2022-29</x:v>
      </x:c>
      <x:c r="B180" s="21" t="str">
        <x:v>FT-A2022</x:v>
      </x:c>
      <x:c r="C180" s="22" t="str">
        <x:v>2022</x:v>
      </x:c>
      <x:c r="D180" s="22" t="str">
        <x:v>29</x:v>
      </x:c>
      <x:c r="E180" s="21" t="str">
        <x:v>harm future generations</x:v>
      </x:c>
      <x:c r="F180" s="21" t="str">
        <x:v>harm future generations</x:v>
      </x:c>
      <x:c r="G180" s="21" t="str">
        <x:v>future-generation harm</x:v>
      </x:c>
      <x:c r="H180" s="21" t="str">
        <x:v>FT-C-FUTURE_GENERATION_HARM</x:v>
      </x:c>
      <x:c r="I180" s="21" t="str">
        <x:v>Harm or loss explicitly attributed to future generations.</x:v>
      </x:c>
      <x:c r="J180" s="21" t="str">
        <x:v>FT-LF-P180-0B2B9154D723</x:v>
      </x:c>
      <x:c r="K180" s="22" t="str">
        <x:v>harm_loss_consequences</x:v>
      </x:c>
      <x:c r="L180" s="21" t="str">
        <x:v>FT-F14</x:v>
      </x:c>
      <x:c r="M180" s="22" t="str">
        <x:v>D</x:v>
      </x:c>
      <x:c r="N180" s="22" t="str">
        <x:v>V5</x:v>
      </x:c>
      <x:c r="O180" s="22" t="str">
        <x:v>E5</x:v>
      </x:c>
      <x:c r="P180" s="21" t="str">
        <x:v>RECONSTRUCTED_FROM_REPORT; Fear of Temperature_ Stratified Lexical Expansion, Voice Mapping, and Semantic-Relational Pre-Valida.pdf; p.13; project candidate FT-SEED-R1B-P-2022-29; original visible ID not available</x:v>
      </x:c>
      <x:c r="Q180" s="21" t="str">
        <x:v>FT-NGM-0B2B9154D723D6</x:v>
      </x:c>
      <x:c r="R180" s="21" t="str">
        <x:v>harm future generations</x:v>
      </x:c>
      <x:c r="S180" s="22" t="str">
        <x:v>EXACT</x:v>
      </x:c>
      <x:c r="T180" s="21" t="str">
        <x:v>FT-Q-P180-6258B483BD16</x:v>
      </x:c>
      <x:c r="U180" s="21" t="str">
        <x:v>Candidate surface form is directly representable in the public Ngram interface.</x:v>
      </x:c>
      <x:c r="V180" s="21" t="str">
        <x:v>Fear of Temperature_ Stratified Lexical Expansion, Voice Mapping, and Semantic-Relational Pre-Valida.pdf</x:v>
      </x:c>
      <x:c r="W180" s="21" t="str">
        <x:v>13</x:v>
      </x:c>
      <x:c r="X180" s="23" t="str">
        <x:v>RECONSTRUCTED_FROM_REPORT</x:v>
      </x:c>
    </x:row>
    <x:row r="181" ht="19" customHeight="1">
      <x:c r="A181" s="24" t="str">
        <x:v>FT-SEED-R1B-P-2022-30</x:v>
      </x:c>
      <x:c r="B181" s="25" t="str">
        <x:v>FT-A2022</x:v>
      </x:c>
      <x:c r="C181" s="26" t="str">
        <x:v>2022</x:v>
      </x:c>
      <x:c r="D181" s="26" t="str">
        <x:v>30</x:v>
      </x:c>
      <x:c r="E181" s="25" t="str">
        <x:v>climate crisis</x:v>
      </x:c>
      <x:c r="F181" s="25" t="str">
        <x:v>climate crisis</x:v>
      </x:c>
      <x:c r="G181" s="25" t="str">
        <x:v>climate crisis issue label</x:v>
      </x:c>
      <x:c r="H181" s="25" t="str">
        <x:v>FT-C-CLIMATE_CRISIS_ISSUE_LABEL</x:v>
      </x:c>
      <x:c r="I181" s="25" t="str">
        <x:v>Climate crisis used as an established issue label.</x:v>
      </x:c>
      <x:c r="J181" s="25" t="str">
        <x:v>FT-LF-CLIMATE_CRISIS</x:v>
      </x:c>
      <x:c r="K181" s="26" t="str">
        <x:v>crisis_emergency</x:v>
      </x:c>
      <x:c r="L181" s="25" t="str">
        <x:v>FT-F13</x:v>
      </x:c>
      <x:c r="M181" s="26" t="str">
        <x:v>D</x:v>
      </x:c>
      <x:c r="N181" s="26" t="str">
        <x:v>V4</x:v>
      </x:c>
      <x:c r="O181" s="26" t="str">
        <x:v>E5</x:v>
      </x:c>
      <x:c r="P181" s="25" t="str">
        <x:v>RECONSTRUCTED_FROM_REPORT; Fear of Temperature_ Stratified Lexical Expansion, Voice Mapping, and Semantic-Relational Pre-Valida.pdf; p.13; project candidate FT-SEED-R1B-P-2022-30; original visible ID not available</x:v>
      </x:c>
      <x:c r="Q181" s="25" t="str">
        <x:v>FT-NGM-3D5247D0EBAD31</x:v>
      </x:c>
      <x:c r="R181" s="25" t="str">
        <x:v>climate crisis</x:v>
      </x:c>
      <x:c r="S181" s="26" t="str">
        <x:v>EXACT</x:v>
      </x:c>
      <x:c r="T181" s="25" t="str">
        <x:v>FT-Q-P180-2CA3EB4228AC</x:v>
      </x:c>
      <x:c r="U181" s="25" t="str">
        <x:v>Candidate surface form is directly representable in the public Ngram interface.</x:v>
      </x:c>
      <x:c r="V181" s="25" t="str">
        <x:v>Fear of Temperature_ Stratified Lexical Expansion, Voice Mapping, and Semantic-Relational Pre-Valida.pdf</x:v>
      </x:c>
      <x:c r="W181" s="25" t="str">
        <x:v>13</x:v>
      </x:c>
      <x:c r="X181" s="27" t="str">
        <x:v>RECONSTRUCTED_FROM_REPORT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5" hidden="0" customWidth="1"/>
    <x:col min="3" max="3" width="15" hidden="0" customWidth="1"/>
    <x:col min="4" max="4" width="25" hidden="0" customWidth="1"/>
    <x:col min="5" max="5" width="2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25" hidden="0" customWidth="1"/>
    <x:col min="11" max="11" width="25" hidden="0" customWidth="1"/>
    <x:col min="12" max="12" width="15" hidden="0" customWidth="1"/>
    <x:col min="13" max="13" width="28" hidden="0" customWidth="1"/>
    <x:col min="14" max="14" width="2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42" hidden="0" customWidth="1"/>
  </x:cols>
  <x:sheetData>
    <x:row r="1" ht="38" customHeight="1">
      <x:c r="A1" s="12" t="str">
        <x:v>candidate_id</x:v>
      </x:c>
      <x:c r="B1" s="12" t="str">
        <x:v>anchor</x:v>
      </x:c>
      <x:c r="C1" s="12" t="str">
        <x:v>priority_rank</x:v>
      </x:c>
      <x:c r="D1" s="12" t="str">
        <x:v>surface_form</x:v>
      </x:c>
      <x:c r="E1" s="12" t="str">
        <x:v>normalized_concept</x:v>
      </x:c>
      <x:c r="F1" s="12" t="str">
        <x:v>lexical_family</x:v>
      </x:c>
      <x:c r="G1" s="12" t="str">
        <x:v>layer</x:v>
      </x:c>
      <x:c r="H1" s="12" t="str">
        <x:v>primary_voice</x:v>
      </x:c>
      <x:c r="I1" s="12" t="str">
        <x:v>expression_mode</x:v>
      </x:c>
      <x:c r="J1" s="12" t="str">
        <x:v>candidate_provenance</x:v>
      </x:c>
      <x:c r="K1" s="12" t="str">
        <x:v>ngram_measurement_form</x:v>
      </x:c>
      <x:c r="L1" s="12" t="str">
        <x:v>ngram_mapping_type</x:v>
      </x:c>
      <x:c r="M1" s="12" t="str">
        <x:v>ngram_status</x:v>
      </x:c>
      <x:c r="N1" s="12" t="str">
        <x:v>ngram_query_id</x:v>
      </x:c>
      <x:c r="O1" s="12" t="str">
        <x:v>ngram_year_start</x:v>
      </x:c>
      <x:c r="P1" s="12" t="str">
        <x:v>ngram_year_end</x:v>
      </x:c>
      <x:c r="Q1" s="12" t="str">
        <x:v>ngram_first_nonzero_year</x:v>
      </x:c>
      <x:c r="R1" s="12" t="str">
        <x:v>ngram_nonzero_year_count</x:v>
      </x:c>
      <x:c r="S1" s="12" t="str">
        <x:v>ngram_peak_year</x:v>
      </x:c>
      <x:c r="T1" s="12" t="str">
        <x:v>ngram_peak_frequency</x:v>
      </x:c>
      <x:c r="U1" s="12" t="str">
        <x:v>ngram_anchor_value</x:v>
      </x:c>
      <x:c r="V1" s="12" t="str">
        <x:v>ngram_context_window_mean</x:v>
      </x:c>
      <x:c r="W1" s="12" t="str">
        <x:v>ngram_context_window_median</x:v>
      </x:c>
      <x:c r="X1" s="12" t="str">
        <x:v>ngram_context_window_max</x:v>
      </x:c>
      <x:c r="Y1" s="12" t="str">
        <x:v>ngram_1842_value</x:v>
      </x:c>
      <x:c r="Z1" s="12" t="str">
        <x:v>ngram_1938_value</x:v>
      </x:c>
      <x:c r="AA1" s="12" t="str">
        <x:v>ngram_1988_value</x:v>
      </x:c>
      <x:c r="AB1" s="12" t="str">
        <x:v>ngram_2006_value</x:v>
      </x:c>
      <x:c r="AC1" s="12" t="str">
        <x:v>ngram_2007_value</x:v>
      </x:c>
      <x:c r="AD1" s="12" t="str">
        <x:v>ngram_2006_07_mean</x:v>
      </x:c>
      <x:c r="AE1" s="12" t="str">
        <x:v>ngram_2015_value</x:v>
      </x:c>
      <x:c r="AF1" s="12" t="str">
        <x:v>ngram_2022_value</x:v>
      </x:c>
      <x:c r="AG1" s="12" t="str">
        <x:v>ngram_notes</x:v>
      </x:c>
    </x:row>
    <x:row r="2" ht="19" customHeight="1">
      <x:c r="A2" s="16" t="str">
        <x:v>FT-SEED-R1B-P-1842-01</x:v>
      </x:c>
      <x:c r="B2" s="18" t="str">
        <x:v>1842</x:v>
      </x:c>
      <x:c r="C2" s="18" t="str">
        <x:v>1</x:v>
      </x:c>
      <x:c r="D2" s="17" t="str">
        <x:v>temperature</x:v>
      </x:c>
      <x:c r="E2" s="17" t="str">
        <x:v>local / instrumental temperature</x:v>
      </x:c>
      <x:c r="F2" s="18" t="str">
        <x:v>temperature_threshold</x:v>
      </x:c>
      <x:c r="G2" s="18" t="str">
        <x:v>A</x:v>
      </x:c>
      <x:c r="H2" s="18" t="str">
        <x:v>V1</x:v>
      </x:c>
      <x:c r="I2" s="18" t="str">
        <x:v>E5</x:v>
      </x:c>
      <x:c r="J2" s="17" t="str">
        <x:v>RECONSTRUCTED_FROM_REPORT; Fear of Temperature_ Stratified Lexical Expansion, Voice Mapping, and Semantic-Relational Pre-Valida.pdf; p.6; project candidate FT-SEED-R1B-P-1842-01; original visible ID not available</x:v>
      </x:c>
      <x:c r="K2" s="17" t="str">
        <x:v>temperature</x:v>
      </x:c>
      <x:c r="L2" s="18" t="str">
        <x:v>EXACT</x:v>
      </x:c>
      <x:c r="M2" s="17" t="str">
        <x:v>SUCCEEDED_REUSED_BASELINE</x:v>
      </x:c>
      <x:c r="N2" s="17" t="str">
        <x:v>FT-Q-V01-001</x:v>
      </x:c>
      <x:c r="O2" s="18" t="str">
        <x:v>1842</x:v>
      </x:c>
      <x:c r="P2" s="18" t="str">
        <x:v>2022</x:v>
      </x:c>
      <x:c r="Q2" s="18" t="str">
        <x:v>1842</x:v>
      </x:c>
      <x:c r="R2" s="18" t="str">
        <x:v>181</x:v>
      </x:c>
      <x:c r="S2" s="18" t="str">
        <x:v>1962</x:v>
      </x:c>
      <x:c r="T2" s="42" t="str">
        <x:v>0.00018277823122134218</x:v>
      </x:c>
      <x:c r="U2" s="42" t="str">
        <x:v>3.8178546390099655e-05</x:v>
      </x:c>
      <x:c r="V2" s="42" t="str">
        <x:v>3.5562592416230054e-05</x:v>
      </x:c>
      <x:c r="W2" s="42" t="str">
        <x:v>3.5297205181583635e-05</x:v>
      </x:c>
      <x:c r="X2" s="42" t="str">
        <x:v>3.969042568030545e-05</x:v>
      </x:c>
      <x:c r="Y2" s="42" t="str">
        <x:v>3.8178546390099655e-05</x:v>
      </x:c>
      <x:c r="Z2" s="42" t="str">
        <x:v>0.0001075987250857835</x:v>
      </x:c>
      <x:c r="AA2" s="42" t="str">
        <x:v>0.00013810821317843808</x:v>
      </x:c>
      <x:c r="AB2" s="42" t="str">
        <x:v>9.349962672342699e-05</x:v>
      </x:c>
      <x:c r="AC2" s="42" t="str">
        <x:v>9.569523659125334e-05</x:v>
      </x:c>
      <x:c r="AD2" s="42" t="str">
        <x:v>9.459743165734016e-05</x:v>
      </x:c>
      <x:c r="AE2" s="42" t="str">
        <x:v>7.593630839236587e-05</x:v>
      </x:c>
      <x:c r="AF2" s="42" t="str">
        <x:v>9.003187850510977e-05</x:v>
      </x:c>
      <x:c r="AG2" s="19" t="str">
        <x:v>Candidate surface form is directly representable in the public Ngram interface. Complete 1842–2022 unsmoothed series reused from the audited quantitative-v0.1 baseline.</x:v>
      </x:c>
    </x:row>
    <x:row r="3" ht="19" customHeight="1">
      <x:c r="A3" s="20" t="str">
        <x:v>FT-SEED-R1B-P-1842-02</x:v>
      </x:c>
      <x:c r="B3" s="22" t="str">
        <x:v>1842</x:v>
      </x:c>
      <x:c r="C3" s="22" t="str">
        <x:v>2</x:v>
      </x:c>
      <x:c r="D3" s="21" t="str">
        <x:v>mean temperature</x:v>
      </x:c>
      <x:c r="E3" s="21" t="str">
        <x:v>mean temperature</x:v>
      </x:c>
      <x:c r="F3" s="22" t="str">
        <x:v>temperature_threshold</x:v>
      </x:c>
      <x:c r="G3" s="22" t="str">
        <x:v>A</x:v>
      </x:c>
      <x:c r="H3" s="22" t="str">
        <x:v>V1</x:v>
      </x:c>
      <x:c r="I3" s="22" t="str">
        <x:v>E5</x:v>
      </x:c>
      <x:c r="J3" s="21" t="str">
        <x:v>RECONSTRUCTED_FROM_REPORT; Fear of Temperature_ Stratified Lexical Expansion, Voice Mapping, and Semantic-Relational Pre-Valida.pdf; p.6; project candidate FT-SEED-R1B-P-1842-02; original visible ID not available</x:v>
      </x:c>
      <x:c r="K3" s="21" t="str">
        <x:v>mean temperature</x:v>
      </x:c>
      <x:c r="L3" s="22" t="str">
        <x:v>EXACT</x:v>
      </x:c>
      <x:c r="M3" s="21" t="str">
        <x:v>SUCCEEDED_REUSED_BASELINE</x:v>
      </x:c>
      <x:c r="N3" s="21" t="str">
        <x:v>FT-Q-V01-002</x:v>
      </x:c>
      <x:c r="O3" s="22" t="str">
        <x:v>1842</x:v>
      </x:c>
      <x:c r="P3" s="22" t="str">
        <x:v>2022</x:v>
      </x:c>
      <x:c r="Q3" s="22" t="str">
        <x:v>1842</x:v>
      </x:c>
      <x:c r="R3" s="22" t="str">
        <x:v>181</x:v>
      </x:c>
      <x:c r="S3" s="22" t="str">
        <x:v>1858</x:v>
      </x:c>
      <x:c r="T3" s="43" t="str">
        <x:v>3.219442511692705e-06</x:v>
      </x:c>
      <x:c r="U3" s="43" t="str">
        <x:v>2.3651722909079353e-06</x:v>
      </x:c>
      <x:c r="V3" s="43" t="str">
        <x:v>2.3625686028094783e-06</x:v>
      </x:c>
      <x:c r="W3" s="43" t="str">
        <x:v>2.478758438062556e-06</x:v>
      </x:c>
      <x:c r="X3" s="43" t="str">
        <x:v>2.7793096510908555e-06</x:v>
      </x:c>
      <x:c r="Y3" s="43" t="str">
        <x:v>2.3651722909079353e-06</x:v>
      </x:c>
      <x:c r="Z3" s="43" t="str">
        <x:v>1.0646044789619502e-06</x:v>
      </x:c>
      <x:c r="AA3" s="43" t="str">
        <x:v>5.396020415979197e-07</x:v>
      </x:c>
      <x:c r="AB3" s="43" t="str">
        <x:v>4.0590074483481953e-07</x:v>
      </x:c>
      <x:c r="AC3" s="43" t="str">
        <x:v>4.2002552441688934e-07</x:v>
      </x:c>
      <x:c r="AD3" s="43" t="str">
        <x:v>4.1296313462585443e-07</x:v>
      </x:c>
      <x:c r="AE3" s="43" t="str">
        <x:v>3.0473253164603475e-07</x:v>
      </x:c>
      <x:c r="AF3" s="43" t="str">
        <x:v>3.990877988080399e-07</x:v>
      </x:c>
      <x:c r="AG3" s="23" t="str">
        <x:v>Candidate surface form is directly representable in the public Ngram interface. Complete 1842–2022 unsmoothed series reused from the audited quantitative-v0.1 baseline.</x:v>
      </x:c>
    </x:row>
    <x:row r="4" ht="19" customHeight="1">
      <x:c r="A4" s="20" t="str">
        <x:v>FT-SEED-R1B-P-1842-03</x:v>
      </x:c>
      <x:c r="B4" s="22" t="str">
        <x:v>1842</x:v>
      </x:c>
      <x:c r="C4" s="22" t="str">
        <x:v>3</x:v>
      </x:c>
      <x:c r="D4" s="21" t="str">
        <x:v>temperature of the air in shade</x:v>
      </x:c>
      <x:c r="E4" s="21" t="str">
        <x:v>local / instrumental temperature</x:v>
      </x:c>
      <x:c r="F4" s="22" t="str">
        <x:v>temperature_threshold</x:v>
      </x:c>
      <x:c r="G4" s="22" t="str">
        <x:v>A</x:v>
      </x:c>
      <x:c r="H4" s="22" t="str">
        <x:v>V1</x:v>
      </x:c>
      <x:c r="I4" s="22" t="str">
        <x:v>E5</x:v>
      </x:c>
      <x:c r="J4" s="21" t="str">
        <x:v>RECONSTRUCTED_FROM_REPORT; Fear of Temperature_ Stratified Lexical Expansion, Voice Mapping, and Semantic-Relational Pre-Valida.pdf; p.6; project candidate FT-SEED-R1B-P-1842-03; original visible ID not available</x:v>
      </x:c>
      <x:c r="K4" s="21" t="str">
        <x:v>temperature of the air in shade</x:v>
      </x:c>
      <x:c r="L4" s="22" t="str">
        <x:v>EXACT</x:v>
      </x:c>
      <x:c r="M4" s="21" t="str">
        <x:v>SUCCEEDED_REUSED_BASELINE</x:v>
      </x:c>
      <x:c r="N4" s="21" t="str">
        <x:v>FT-Q-V01-003</x:v>
      </x:c>
      <x:c r="O4" s="22" t="str">
        <x:v>1842</x:v>
      </x:c>
      <x:c r="P4" s="22" t="str">
        <x:v>2022</x:v>
      </x:c>
      <x:c r="Q4" s="22" t="str">
        <x:v>1846</x:v>
      </x:c>
      <x:c r="R4" s="22" t="str">
        <x:v>79</x:v>
      </x:c>
      <x:c r="S4" s="22" t="str">
        <x:v>1858</x:v>
      </x:c>
      <x:c r="T4" s="43" t="str">
        <x:v>1.4379699209143837e-08</x:v>
      </x:c>
      <x:c r="U4" s="43" t="str">
        <x:v>0.0</x:v>
      </x:c>
      <x:c r="V4" s="43" t="str">
        <x:v>0.0</x:v>
      </x:c>
      <x:c r="W4" s="43" t="str">
        <x:v>0.0</x:v>
      </x:c>
      <x:c r="X4" s="43" t="str">
        <x:v>0.0</x:v>
      </x:c>
      <x:c r="Y4" s="43" t="str">
        <x:v>0.0</x:v>
      </x:c>
      <x:c r="Z4" s="43" t="str">
        <x:v>0.0</x:v>
      </x:c>
      <x:c r="AA4" s="43" t="str">
        <x:v>0.0</x:v>
      </x:c>
      <x:c r="AB4" s="43" t="str">
        <x:v>0.0</x:v>
      </x:c>
      <x:c r="AC4" s="43" t="str">
        <x:v>0.0</x:v>
      </x:c>
      <x:c r="AD4" s="43" t="str">
        <x:v>0.0</x:v>
      </x:c>
      <x:c r="AE4" s="43" t="str">
        <x:v>6.163167892703214e-11</x:v>
      </x:c>
      <x:c r="AF4" s="43" t="str">
        <x:v>5.8122076596056615e-11</x:v>
      </x:c>
      <x:c r="AG4" s="23" t="str">
        <x:v>Candidate surface form is directly representable in the public Ngram interface. Complete 1842–2022 unsmoothed series reused from the audited quantitative-v0.1 baseline.</x:v>
      </x:c>
    </x:row>
    <x:row r="5" ht="19" customHeight="1">
      <x:c r="A5" s="20" t="str">
        <x:v>FT-SEED-R1B-P-1842-04</x:v>
      </x:c>
      <x:c r="B5" s="22" t="str">
        <x:v>1842</x:v>
      </x:c>
      <x:c r="C5" s="22" t="str">
        <x:v>4</x:v>
      </x:c>
      <x:c r="D5" s="21" t="str">
        <x:v>maximum temperature</x:v>
      </x:c>
      <x:c r="E5" s="21" t="str">
        <x:v>local / instrumental temperature</x:v>
      </x:c>
      <x:c r="F5" s="22" t="str">
        <x:v>temperature_threshold</x:v>
      </x:c>
      <x:c r="G5" s="22" t="str">
        <x:v>A</x:v>
      </x:c>
      <x:c r="H5" s="22" t="str">
        <x:v>V1</x:v>
      </x:c>
      <x:c r="I5" s="22" t="str">
        <x:v>E5</x:v>
      </x:c>
      <x:c r="J5" s="21" t="str">
        <x:v>RECONSTRUCTED_FROM_REPORT; Fear of Temperature_ Stratified Lexical Expansion, Voice Mapping, and Semantic-Relational Pre-Valida.pdf; p.6; project candidate FT-SEED-R1B-P-1842-04; original visible ID not available</x:v>
      </x:c>
      <x:c r="K5" s="21" t="str">
        <x:v>maximum temperature</x:v>
      </x:c>
      <x:c r="L5" s="22" t="str">
        <x:v>EXACT</x:v>
      </x:c>
      <x:c r="M5" s="21" t="str">
        <x:v>SUCCEEDED_REUSED_BASELINE</x:v>
      </x:c>
      <x:c r="N5" s="21" t="str">
        <x:v>FT-Q-V01-004</x:v>
      </x:c>
      <x:c r="O5" s="22" t="str">
        <x:v>1842</x:v>
      </x:c>
      <x:c r="P5" s="22" t="str">
        <x:v>2022</x:v>
      </x:c>
      <x:c r="Q5" s="22" t="str">
        <x:v>1842</x:v>
      </x:c>
      <x:c r="R5" s="22" t="str">
        <x:v>181</x:v>
      </x:c>
      <x:c r="S5" s="22" t="str">
        <x:v>1958</x:v>
      </x:c>
      <x:c r="T5" s="43" t="str">
        <x:v>1.0416047427352915e-06</x:v>
      </x:c>
      <x:c r="U5" s="43" t="str">
        <x:v>3.8828298315474186e-07</x:v>
      </x:c>
      <x:c r="V5" s="43" t="str">
        <x:v>1.566754800064185e-07</x:v>
      </x:c>
      <x:c r="W5" s="43" t="str">
        <x:v>9.252725954866925e-08</x:v>
      </x:c>
      <x:c r="X5" s="43" t="str">
        <x:v>3.8828298315474186e-07</x:v>
      </x:c>
      <x:c r="Y5" s="43" t="str">
        <x:v>3.8828298315474186e-07</x:v>
      </x:c>
      <x:c r="Z5" s="43" t="str">
        <x:v>7.694687983172965e-07</x:v>
      </x:c>
      <x:c r="AA5" s="43" t="str">
        <x:v>6.011975100389533e-07</x:v>
      </x:c>
      <x:c r="AB5" s="43" t="str">
        <x:v>5.097794715247517e-07</x:v>
      </x:c>
      <x:c r="AC5" s="43" t="str">
        <x:v>4.458864027237497e-07</x:v>
      </x:c>
      <x:c r="AD5" s="43" t="str">
        <x:v>4.778329371242507e-07</x:v>
      </x:c>
      <x:c r="AE5" s="43" t="str">
        <x:v>3.2369369246110224e-07</x:v>
      </x:c>
      <x:c r="AF5" s="43" t="str">
        <x:v>4.5735168766047885e-07</x:v>
      </x:c>
      <x:c r="AG5" s="23" t="str">
        <x:v>Candidate surface form is directly representable in the public Ngram interface. Complete 1842–2022 unsmoothed series reused from the audited quantitative-v0.1 baseline.</x:v>
      </x:c>
    </x:row>
    <x:row r="6" ht="19" customHeight="1">
      <x:c r="A6" s="20" t="str">
        <x:v>FT-SEED-R1B-P-1842-05</x:v>
      </x:c>
      <x:c r="B6" s="22" t="str">
        <x:v>1842</x:v>
      </x:c>
      <x:c r="C6" s="22" t="str">
        <x:v>5</x:v>
      </x:c>
      <x:c r="D6" s="21" t="str">
        <x:v>minimum temperature</x:v>
      </x:c>
      <x:c r="E6" s="21" t="str">
        <x:v>local / instrumental temperature</x:v>
      </x:c>
      <x:c r="F6" s="22" t="str">
        <x:v>temperature_threshold</x:v>
      </x:c>
      <x:c r="G6" s="22" t="str">
        <x:v>A</x:v>
      </x:c>
      <x:c r="H6" s="22" t="str">
        <x:v>V1</x:v>
      </x:c>
      <x:c r="I6" s="22" t="str">
        <x:v>E5</x:v>
      </x:c>
      <x:c r="J6" s="21" t="str">
        <x:v>RECONSTRUCTED_FROM_REPORT; Fear of Temperature_ Stratified Lexical Expansion, Voice Mapping, and Semantic-Relational Pre-Valida.pdf; p.6; project candidate FT-SEED-R1B-P-1842-05; original visible ID not available</x:v>
      </x:c>
      <x:c r="K6" s="21" t="str">
        <x:v>minimum temperature</x:v>
      </x:c>
      <x:c r="L6" s="22" t="str">
        <x:v>EXACT</x:v>
      </x:c>
      <x:c r="M6" s="21" t="str">
        <x:v>SUCCEEDED_REUSED_BASELINE</x:v>
      </x:c>
      <x:c r="N6" s="21" t="str">
        <x:v>FT-Q-V01-005</x:v>
      </x:c>
      <x:c r="O6" s="22" t="str">
        <x:v>1842</x:v>
      </x:c>
      <x:c r="P6" s="22" t="str">
        <x:v>2022</x:v>
      </x:c>
      <x:c r="Q6" s="22" t="str">
        <x:v>1842</x:v>
      </x:c>
      <x:c r="R6" s="22" t="str">
        <x:v>181</x:v>
      </x:c>
      <x:c r="S6" s="22" t="str">
        <x:v>1985</x:v>
      </x:c>
      <x:c r="T6" s="43" t="str">
        <x:v>5.244083450678394e-07</x:v>
      </x:c>
      <x:c r="U6" s="43" t="str">
        <x:v>2.3348578032100775e-07</x:v>
      </x:c>
      <x:c r="V6" s="43" t="str">
        <x:v>1.0500049639483588e-07</x:v>
      </x:c>
      <x:c r="W6" s="43" t="str">
        <x:v>7.300534160536998e-08</x:v>
      </x:c>
      <x:c r="X6" s="43" t="str">
        <x:v>2.3348578032100775e-07</x:v>
      </x:c>
      <x:c r="Y6" s="43" t="str">
        <x:v>2.3348578032100775e-07</x:v>
      </x:c>
      <x:c r="Z6" s="43" t="str">
        <x:v>4.1419229157568793e-07</x:v>
      </x:c>
      <x:c r="AA6" s="43" t="str">
        <x:v>3.6552572839354536e-07</x:v>
      </x:c>
      <x:c r="AB6" s="43" t="str">
        <x:v>2.5408856043490635e-07</x:v>
      </x:c>
      <x:c r="AC6" s="43" t="str">
        <x:v>2.430921979997003e-07</x:v>
      </x:c>
      <x:c r="AD6" s="43" t="str">
        <x:v>2.485903792173033e-07</x:v>
      </x:c>
      <x:c r="AE6" s="43" t="str">
        <x:v>1.5458462648484939e-07</x:v>
      </x:c>
      <x:c r="AF6" s="43" t="str">
        <x:v>2.2186291173675876e-07</x:v>
      </x:c>
      <x:c r="AG6" s="23" t="str">
        <x:v>Candidate surface form is directly representable in the public Ngram interface. Complete 1842–2022 unsmoothed series reused from the audited quantitative-v0.1 baseline.</x:v>
      </x:c>
    </x:row>
    <x:row r="7" ht="19" customHeight="1">
      <x:c r="A7" s="20" t="str">
        <x:v>FT-SEED-R1B-P-1842-06</x:v>
      </x:c>
      <x:c r="B7" s="22" t="str">
        <x:v>1842</x:v>
      </x:c>
      <x:c r="C7" s="22" t="str">
        <x:v>6</x:v>
      </x:c>
      <x:c r="D7" s="21" t="str">
        <x:v>mean temperature of sea at surface</x:v>
      </x:c>
      <x:c r="E7" s="21" t="str">
        <x:v>mean temperature</x:v>
      </x:c>
      <x:c r="F7" s="22" t="str">
        <x:v>temperature_threshold</x:v>
      </x:c>
      <x:c r="G7" s="22" t="str">
        <x:v>A</x:v>
      </x:c>
      <x:c r="H7" s="22" t="str">
        <x:v>V1</x:v>
      </x:c>
      <x:c r="I7" s="22" t="str">
        <x:v>E5</x:v>
      </x:c>
      <x:c r="J7" s="21" t="str">
        <x:v>RECONSTRUCTED_FROM_REPORT; Fear of Temperature_ Stratified Lexical Expansion, Voice Mapping, and Semantic-Relational Pre-Valida.pdf; p.6; project candidate FT-SEED-R1B-P-1842-06; original visible ID not available</x:v>
      </x:c>
      <x:c r="K7" s="21" t="str">
        <x:v>mean temperature of sea at surface</x:v>
      </x:c>
      <x:c r="L7" s="22" t="str">
        <x:v>EXACT</x:v>
      </x:c>
      <x:c r="M7" s="21" t="str">
        <x:v>ZERO_RESPONSE_REUSED_BASELINE</x:v>
      </x:c>
      <x:c r="N7" s="21" t="str">
        <x:v>FT-Q-V01-006</x:v>
      </x:c>
      <x:c r="O7" s="22" t="str">
        <x:v>1842</x:v>
      </x:c>
      <x:c r="P7" s="22" t="str">
        <x:v>2022</x:v>
      </x:c>
      <x:c r="Q7" s="22" t="str"/>
      <x:c r="R7" s="22" t="str">
        <x:v>0</x:v>
      </x:c>
      <x:c r="S7" s="22" t="str"/>
      <x:c r="T7" s="43" t="str"/>
      <x:c r="U7" s="43" t="str"/>
      <x:c r="V7" s="43" t="str"/>
      <x:c r="W7" s="43" t="str"/>
      <x:c r="X7" s="43" t="str"/>
      <x:c r="Y7" s="43" t="str"/>
      <x:c r="Z7" s="43" t="str"/>
      <x:c r="AA7" s="43" t="str"/>
      <x:c r="AB7" s="43" t="str"/>
      <x:c r="AC7" s="43" t="str"/>
      <x:c r="AD7" s="43" t="str"/>
      <x:c r="AE7" s="43" t="str"/>
      <x:c r="AF7" s="43" t="str"/>
      <x:c r="AG7" s="23" t="str">
        <x:v>Candidate surface form is directly representable in the public Ngram interface. The audited executable rule returned an empty Ngram payload; retained as source/query zero-response evidence, not historical absence.</x:v>
      </x:c>
    </x:row>
    <x:row r="8" ht="19" customHeight="1">
      <x:c r="A8" s="20" t="str">
        <x:v>FT-SEED-R1B-P-1842-07</x:v>
      </x:c>
      <x:c r="B8" s="22" t="str">
        <x:v>1842</x:v>
      </x:c>
      <x:c r="C8" s="22" t="str">
        <x:v>7</x:v>
      </x:c>
      <x:c r="D8" s="21" t="str">
        <x:v>dew point</x:v>
      </x:c>
      <x:c r="E8" s="21" t="str">
        <x:v>local / instrumental temperature</x:v>
      </x:c>
      <x:c r="F8" s="22" t="str">
        <x:v>temperature_threshold</x:v>
      </x:c>
      <x:c r="G8" s="22" t="str">
        <x:v>A</x:v>
      </x:c>
      <x:c r="H8" s="22" t="str">
        <x:v>V1</x:v>
      </x:c>
      <x:c r="I8" s="22" t="str">
        <x:v>E5</x:v>
      </x:c>
      <x:c r="J8" s="21" t="str">
        <x:v>RECONSTRUCTED_FROM_REPORT; Fear of Temperature_ Stratified Lexical Expansion, Voice Mapping, and Semantic-Relational Pre-Valida.pdf; p.6; project candidate FT-SEED-R1B-P-1842-07; original visible ID not available</x:v>
      </x:c>
      <x:c r="K8" s="21" t="str">
        <x:v>dew point</x:v>
      </x:c>
      <x:c r="L8" s="22" t="str">
        <x:v>EXACT</x:v>
      </x:c>
      <x:c r="M8" s="21" t="str">
        <x:v>SUCCEEDED_REUSED_BASELINE</x:v>
      </x:c>
      <x:c r="N8" s="21" t="str">
        <x:v>FT-Q-V01-007</x:v>
      </x:c>
      <x:c r="O8" s="22" t="str">
        <x:v>1842</x:v>
      </x:c>
      <x:c r="P8" s="22" t="str">
        <x:v>2022</x:v>
      </x:c>
      <x:c r="Q8" s="22" t="str">
        <x:v>1842</x:v>
      </x:c>
      <x:c r="R8" s="22" t="str">
        <x:v>181</x:v>
      </x:c>
      <x:c r="S8" s="22" t="str">
        <x:v>1844</x:v>
      </x:c>
      <x:c r="T8" s="43" t="str">
        <x:v>1.2860426563676697e-06</x:v>
      </x:c>
      <x:c r="U8" s="43" t="str">
        <x:v>5.02445909766891e-07</x:v>
      </x:c>
      <x:c r="V8" s="43" t="str">
        <x:v>6.271446773009615e-07</x:v>
      </x:c>
      <x:c r="W8" s="43" t="str">
        <x:v>4.5150026517504216e-07</x:v>
      </x:c>
      <x:c r="X8" s="43" t="str">
        <x:v>1.2860426563676697e-06</x:v>
      </x:c>
      <x:c r="Y8" s="43" t="str">
        <x:v>5.02445909766891e-07</x:v>
      </x:c>
      <x:c r="Z8" s="43" t="str">
        <x:v>5.571938874737725e-07</x:v>
      </x:c>
      <x:c r="AA8" s="43" t="str">
        <x:v>3.645386200609724e-07</x:v>
      </x:c>
      <x:c r="AB8" s="43" t="str">
        <x:v>2.918584796063328e-07</x:v>
      </x:c>
      <x:c r="AC8" s="43" t="str">
        <x:v>2.695827225132619e-07</x:v>
      </x:c>
      <x:c r="AD8" s="43" t="str">
        <x:v>2.8072060105979735e-07</x:v>
      </x:c>
      <x:c r="AE8" s="43" t="str">
        <x:v>2.239375508326924e-07</x:v>
      </x:c>
      <x:c r="AF8" s="43" t="str">
        <x:v>2.2973760255284859e-07</x:v>
      </x:c>
      <x:c r="AG8" s="23" t="str">
        <x:v>Candidate surface form is directly representable in the public Ngram interface. Complete 1842–2022 unsmoothed series reused from the audited quantitative-v0.1 baseline.</x:v>
      </x:c>
    </x:row>
    <x:row r="9" ht="19" customHeight="1">
      <x:c r="A9" s="20" t="str">
        <x:v>FT-SEED-R1B-P-1842-08</x:v>
      </x:c>
      <x:c r="B9" s="22" t="str">
        <x:v>1842</x:v>
      </x:c>
      <x:c r="C9" s="22" t="str">
        <x:v>8</x:v>
      </x:c>
      <x:c r="D9" s="21" t="str">
        <x:v>standard thermometer</x:v>
      </x:c>
      <x:c r="E9" s="21" t="str">
        <x:v>local / instrumental temperature</x:v>
      </x:c>
      <x:c r="F9" s="22" t="str">
        <x:v>temperature_threshold</x:v>
      </x:c>
      <x:c r="G9" s="22" t="str">
        <x:v>A</x:v>
      </x:c>
      <x:c r="H9" s="22" t="str">
        <x:v>V1</x:v>
      </x:c>
      <x:c r="I9" s="22" t="str">
        <x:v>E5</x:v>
      </x:c>
      <x:c r="J9" s="21" t="str">
        <x:v>RECONSTRUCTED_FROM_REPORT; Fear of Temperature_ Stratified Lexical Expansion, Voice Mapping, and Semantic-Relational Pre-Valida.pdf; p.7; project candidate FT-SEED-R1B-P-1842-08; original visible ID not available</x:v>
      </x:c>
      <x:c r="K9" s="21" t="str">
        <x:v>standard thermometer</x:v>
      </x:c>
      <x:c r="L9" s="22" t="str">
        <x:v>EXACT</x:v>
      </x:c>
      <x:c r="M9" s="21" t="str">
        <x:v>SUCCEEDED_REUSED_BASELINE</x:v>
      </x:c>
      <x:c r="N9" s="21" t="str">
        <x:v>FT-Q-V01-008</x:v>
      </x:c>
      <x:c r="O9" s="22" t="str">
        <x:v>1842</x:v>
      </x:c>
      <x:c r="P9" s="22" t="str">
        <x:v>2022</x:v>
      </x:c>
      <x:c r="Q9" s="22" t="str">
        <x:v>1842</x:v>
      </x:c>
      <x:c r="R9" s="22" t="str">
        <x:v>181</x:v>
      </x:c>
      <x:c r="S9" s="22" t="str">
        <x:v>1875</x:v>
      </x:c>
      <x:c r="T9" s="43" t="str">
        <x:v>2.0496997077401602e-07</x:v>
      </x:c>
      <x:c r="U9" s="43" t="str">
        <x:v>8.384848482201335e-09</x:v>
      </x:c>
      <x:c r="V9" s="43" t="str">
        <x:v>2.3637724833047713e-08</x:v>
      </x:c>
      <x:c r="W9" s="43" t="str">
        <x:v>2.430154905086468e-08</x:v>
      </x:c>
      <x:c r="X9" s="43" t="str">
        <x:v>3.756295274826016e-08</x:v>
      </x:c>
      <x:c r="Y9" s="43" t="str">
        <x:v>8.384848482201335e-09</x:v>
      </x:c>
      <x:c r="Z9" s="43" t="str">
        <x:v>3.5416282684330724e-08</x:v>
      </x:c>
      <x:c r="AA9" s="43" t="str">
        <x:v>5.922642067751616e-09</x:v>
      </x:c>
      <x:c r="AB9" s="43" t="str">
        <x:v>2.9758119579614828e-09</x:v>
      </x:c>
      <x:c r="AC9" s="43" t="str">
        <x:v>4.857346223158254e-09</x:v>
      </x:c>
      <x:c r="AD9" s="43" t="str">
        <x:v>3.9165790905598685e-09</x:v>
      </x:c>
      <x:c r="AE9" s="43" t="str">
        <x:v>2.335115319856973e-09</x:v>
      </x:c>
      <x:c r="AF9" s="43" t="str">
        <x:v>2.6101517891508053e-09</x:v>
      </x:c>
      <x:c r="AG9" s="23" t="str">
        <x:v>Candidate surface form is directly representable in the public Ngram interface. Complete 1842–2022 unsmoothed series reused from the audited quantitative-v0.1 baseline.</x:v>
      </x:c>
    </x:row>
    <x:row r="10" ht="19" customHeight="1">
      <x:c r="A10" s="20" t="str">
        <x:v>FT-SEED-R1B-P-1842-09</x:v>
      </x:c>
      <x:c r="B10" s="22" t="str">
        <x:v>1842</x:v>
      </x:c>
      <x:c r="C10" s="22" t="str">
        <x:v>9</x:v>
      </x:c>
      <x:c r="D10" s="21" t="str">
        <x:v>attached thermometer</x:v>
      </x:c>
      <x:c r="E10" s="21" t="str">
        <x:v>local / instrumental temperature</x:v>
      </x:c>
      <x:c r="F10" s="22" t="str">
        <x:v>temperature_threshold</x:v>
      </x:c>
      <x:c r="G10" s="22" t="str">
        <x:v>A</x:v>
      </x:c>
      <x:c r="H10" s="22" t="str">
        <x:v>V1</x:v>
      </x:c>
      <x:c r="I10" s="22" t="str">
        <x:v>E5</x:v>
      </x:c>
      <x:c r="J10" s="21" t="str">
        <x:v>RECONSTRUCTED_FROM_REPORT; Fear of Temperature_ Stratified Lexical Expansion, Voice Mapping, and Semantic-Relational Pre-Valida.pdf; p.7; project candidate FT-SEED-R1B-P-1842-09; original visible ID not available</x:v>
      </x:c>
      <x:c r="K10" s="21" t="str">
        <x:v>attached thermometer</x:v>
      </x:c>
      <x:c r="L10" s="22" t="str">
        <x:v>EXACT</x:v>
      </x:c>
      <x:c r="M10" s="21" t="str">
        <x:v>SUCCEEDED_REUSED_BASELINE</x:v>
      </x:c>
      <x:c r="N10" s="21" t="str">
        <x:v>FT-Q-V01-009</x:v>
      </x:c>
      <x:c r="O10" s="22" t="str">
        <x:v>1842</x:v>
      </x:c>
      <x:c r="P10" s="22" t="str">
        <x:v>2022</x:v>
      </x:c>
      <x:c r="Q10" s="22" t="str">
        <x:v>1842</x:v>
      </x:c>
      <x:c r="R10" s="22" t="str">
        <x:v>181</x:v>
      </x:c>
      <x:c r="S10" s="22" t="str">
        <x:v>1844</x:v>
      </x:c>
      <x:c r="T10" s="43" t="str">
        <x:v>2.3284261124745242e-07</x:v>
      </x:c>
      <x:c r="U10" s="43" t="str">
        <x:v>6.901375293466572e-08</x:v>
      </x:c>
      <x:c r="V10" s="43" t="str">
        <x:v>1.3605652200709972e-07</x:v>
      </x:c>
      <x:c r="W10" s="43" t="str">
        <x:v>1.2118486192314037e-07</x:v>
      </x:c>
      <x:c r="X10" s="43" t="str">
        <x:v>2.3284261124745242e-07</x:v>
      </x:c>
      <x:c r="Y10" s="43" t="str">
        <x:v>6.901375293466572e-08</x:v>
      </x:c>
      <x:c r="Z10" s="43" t="str">
        <x:v>6.23682937239689e-09</x:v>
      </x:c>
      <x:c r="AA10" s="43" t="str">
        <x:v>1.085817696172553e-09</x:v>
      </x:c>
      <x:c r="AB10" s="43" t="str">
        <x:v>1.2818882309806323e-09</x:v>
      </x:c>
      <x:c r="AC10" s="43" t="str">
        <x:v>1.619115414658312e-09</x:v>
      </x:c>
      <x:c r="AD10" s="43" t="str">
        <x:v>1.4505018228194722e-09</x:v>
      </x:c>
      <x:c r="AE10" s="43" t="str">
        <x:v>6.538322626370441e-10</x:v>
      </x:c>
      <x:c r="AF10" s="43" t="str">
        <x:v>3.406469412103874e-09</x:v>
      </x:c>
      <x:c r="AG10" s="23" t="str">
        <x:v>Candidate surface form is directly representable in the public Ngram interface. Complete 1842–2022 unsmoothed series reused from the audited quantitative-v0.1 baseline.</x:v>
      </x:c>
    </x:row>
    <x:row r="11" ht="19" customHeight="1">
      <x:c r="A11" s="20" t="str">
        <x:v>FT-SEED-R1B-P-1842-10</x:v>
      </x:c>
      <x:c r="B11" s="22" t="str">
        <x:v>1842</x:v>
      </x:c>
      <x:c r="C11" s="22" t="str">
        <x:v>10</x:v>
      </x:c>
      <x:c r="D11" s="21" t="str">
        <x:v>dry bulb thermometer</x:v>
      </x:c>
      <x:c r="E11" s="21" t="str">
        <x:v>local / instrumental temperature</x:v>
      </x:c>
      <x:c r="F11" s="22" t="str">
        <x:v>temperature_threshold</x:v>
      </x:c>
      <x:c r="G11" s="22" t="str">
        <x:v>A</x:v>
      </x:c>
      <x:c r="H11" s="22" t="str">
        <x:v>V1</x:v>
      </x:c>
      <x:c r="I11" s="22" t="str">
        <x:v>E5</x:v>
      </x:c>
      <x:c r="J11" s="21" t="str">
        <x:v>RECONSTRUCTED_FROM_REPORT; Fear of Temperature_ Stratified Lexical Expansion, Voice Mapping, and Semantic-Relational Pre-Valida.pdf; p.7; project candidate FT-SEED-R1B-P-1842-10; original visible ID not available</x:v>
      </x:c>
      <x:c r="K11" s="21" t="str">
        <x:v>dry bulb thermometer</x:v>
      </x:c>
      <x:c r="L11" s="22" t="str">
        <x:v>EXACT</x:v>
      </x:c>
      <x:c r="M11" s="21" t="str">
        <x:v>SUCCEEDED_REUSED_BASELINE</x:v>
      </x:c>
      <x:c r="N11" s="21" t="str">
        <x:v>FT-Q-V01-010</x:v>
      </x:c>
      <x:c r="O11" s="22" t="str">
        <x:v>1842</x:v>
      </x:c>
      <x:c r="P11" s="22" t="str">
        <x:v>2022</x:v>
      </x:c>
      <x:c r="Q11" s="22" t="str">
        <x:v>1842</x:v>
      </x:c>
      <x:c r="R11" s="22" t="str">
        <x:v>181</x:v>
      </x:c>
      <x:c r="S11" s="22" t="str">
        <x:v>1869</x:v>
      </x:c>
      <x:c r="T11" s="43" t="str">
        <x:v>2.647877378469943e-07</x:v>
      </x:c>
      <x:c r="U11" s="43" t="str">
        <x:v>8.854272692815357e-08</x:v>
      </x:c>
      <x:c r="V11" s="43" t="str">
        <x:v>4.692082165858036e-08</x:v>
      </x:c>
      <x:c r="W11" s="43" t="str">
        <x:v>4.5330674547372496e-08</x:v>
      </x:c>
      <x:c r="X11" s="43" t="str">
        <x:v>8.854272692815357e-08</x:v>
      </x:c>
      <x:c r="Y11" s="43" t="str">
        <x:v>8.854272692815357e-08</x:v>
      </x:c>
      <x:c r="Z11" s="43" t="str">
        <x:v>2.3591360809316342e-08</x:v>
      </x:c>
      <x:c r="AA11" s="43" t="str">
        <x:v>5.081662771133644e-09</x:v>
      </x:c>
      <x:c r="AB11" s="43" t="str">
        <x:v>4.013041593475819e-09</x:v>
      </x:c>
      <x:c r="AC11" s="43" t="str">
        <x:v>4.081663229626997e-09</x:v>
      </x:c>
      <x:c r="AD11" s="43" t="str">
        <x:v>4.047352411551408e-09</x:v>
      </x:c>
      <x:c r="AE11" s="43" t="str">
        <x:v>3.149171701188891e-09</x:v>
      </x:c>
      <x:c r="AF11" s="43" t="str">
        <x:v>8.466447189159343e-09</x:v>
      </x:c>
      <x:c r="AG11" s="23" t="str">
        <x:v>Candidate surface form is directly representable in the public Ngram interface. Complete 1842–2022 unsmoothed series reused from the audited quantitative-v0.1 baseline.</x:v>
      </x:c>
    </x:row>
    <x:row r="12" ht="19" customHeight="1">
      <x:c r="A12" s="20" t="str">
        <x:v>FT-SEED-R1B-P-1842-11</x:v>
      </x:c>
      <x:c r="B12" s="22" t="str">
        <x:v>1842</x:v>
      </x:c>
      <x:c r="C12" s="22" t="str">
        <x:v>11</x:v>
      </x:c>
      <x:c r="D12" s="21" t="str">
        <x:v>wet bulb thermometer</x:v>
      </x:c>
      <x:c r="E12" s="21" t="str">
        <x:v>local / instrumental temperature</x:v>
      </x:c>
      <x:c r="F12" s="22" t="str">
        <x:v>temperature_threshold</x:v>
      </x:c>
      <x:c r="G12" s="22" t="str">
        <x:v>A</x:v>
      </x:c>
      <x:c r="H12" s="22" t="str">
        <x:v>V1</x:v>
      </x:c>
      <x:c r="I12" s="22" t="str">
        <x:v>E5</x:v>
      </x:c>
      <x:c r="J12" s="21" t="str">
        <x:v>RECONSTRUCTED_FROM_REPORT; Fear of Temperature_ Stratified Lexical Expansion, Voice Mapping, and Semantic-Relational Pre-Valida.pdf; p.6; project candidate FT-SEED-R1B-P-1842-11; original visible ID not available</x:v>
      </x:c>
      <x:c r="K12" s="21" t="str">
        <x:v>wet bulb thermometer</x:v>
      </x:c>
      <x:c r="L12" s="22" t="str">
        <x:v>EXACT</x:v>
      </x:c>
      <x:c r="M12" s="21" t="str">
        <x:v>SUCCEEDED_REUSED_BASELINE</x:v>
      </x:c>
      <x:c r="N12" s="21" t="str">
        <x:v>FT-Q-V01-011</x:v>
      </x:c>
      <x:c r="O12" s="22" t="str">
        <x:v>1842</x:v>
      </x:c>
      <x:c r="P12" s="22" t="str">
        <x:v>2022</x:v>
      </x:c>
      <x:c r="Q12" s="22" t="str">
        <x:v>1842</x:v>
      </x:c>
      <x:c r="R12" s="22" t="str">
        <x:v>181</x:v>
      </x:c>
      <x:c r="S12" s="22" t="str">
        <x:v>1869</x:v>
      </x:c>
      <x:c r="T12" s="43" t="str">
        <x:v>1.703290762877785e-07</x:v>
      </x:c>
      <x:c r="U12" s="43" t="str">
        <x:v>7.550155167734829e-09</x:v>
      </x:c>
      <x:c r="V12" s="43" t="str">
        <x:v>5.215477506814725e-08</x:v>
      </x:c>
      <x:c r="W12" s="43" t="str">
        <x:v>2.7552694514820786e-08</x:v>
      </x:c>
      <x:c r="X12" s="43" t="str">
        <x:v>1.459635560752126e-07</x:v>
      </x:c>
      <x:c r="Y12" s="43" t="str">
        <x:v>7.550155167734829e-09</x:v>
      </x:c>
      <x:c r="Z12" s="43" t="str">
        <x:v>2.5791590863022407e-08</x:v>
      </x:c>
      <x:c r="AA12" s="43" t="str">
        <x:v>5.406024211618288e-09</x:v>
      </x:c>
      <x:c r="AB12" s="43" t="str">
        <x:v>5.350721948849113e-09</x:v>
      </x:c>
      <x:c r="AC12" s="43" t="str">
        <x:v>4.421801869103348e-09</x:v>
      </x:c>
      <x:c r="AD12" s="43" t="str">
        <x:v>4.8862619089762305e-09</x:v>
      </x:c>
      <x:c r="AE12" s="43" t="str">
        <x:v>2.749276847846538e-09</x:v>
      </x:c>
      <x:c r="AF12" s="43" t="str">
        <x:v>7.142087012079745e-09</x:v>
      </x:c>
      <x:c r="AG12" s="23" t="str">
        <x:v>Candidate surface form is directly representable in the public Ngram interface. Complete 1842–2022 unsmoothed series reused from the audited quantitative-v0.1 baseline.</x:v>
      </x:c>
    </x:row>
    <x:row r="13" ht="19" customHeight="1">
      <x:c r="A13" s="20" t="str">
        <x:v>FT-SEED-R1B-P-1842-12</x:v>
      </x:c>
      <x:c r="B13" s="22" t="str">
        <x:v>1842</x:v>
      </x:c>
      <x:c r="C13" s="22" t="str">
        <x:v>12</x:v>
      </x:c>
      <x:c r="D13" s="21" t="str">
        <x:v>meteorological observations</x:v>
      </x:c>
      <x:c r="E13" s="21" t="str">
        <x:v>historical climate / climatological condition</x:v>
      </x:c>
      <x:c r="F13" s="22" t="str">
        <x:v>climate</x:v>
      </x:c>
      <x:c r="G13" s="22" t="str">
        <x:v>B</x:v>
      </x:c>
      <x:c r="H13" s="22" t="str">
        <x:v>V1</x:v>
      </x:c>
      <x:c r="I13" s="22" t="str">
        <x:v>E5</x:v>
      </x:c>
      <x:c r="J13" s="21" t="str">
        <x:v>RECONSTRUCTED_FROM_REPORT; Fear of Temperature_ Stratified Lexical Expansion, Voice Mapping, and Semantic-Relational Pre-Valida.pdf; p.6; project candidate FT-SEED-R1B-P-1842-12; original visible ID not available</x:v>
      </x:c>
      <x:c r="K13" s="21" t="str">
        <x:v>meteorological observations</x:v>
      </x:c>
      <x:c r="L13" s="22" t="str">
        <x:v>EXACT</x:v>
      </x:c>
      <x:c r="M13" s="21" t="str">
        <x:v>SUCCEEDED_REUSED_BASELINE</x:v>
      </x:c>
      <x:c r="N13" s="21" t="str">
        <x:v>FT-Q-V01-012</x:v>
      </x:c>
      <x:c r="O13" s="22" t="str">
        <x:v>1842</x:v>
      </x:c>
      <x:c r="P13" s="22" t="str">
        <x:v>2022</x:v>
      </x:c>
      <x:c r="Q13" s="22" t="str">
        <x:v>1842</x:v>
      </x:c>
      <x:c r="R13" s="22" t="str">
        <x:v>181</x:v>
      </x:c>
      <x:c r="S13" s="22" t="str">
        <x:v>1875</x:v>
      </x:c>
      <x:c r="T13" s="43" t="str">
        <x:v>1.7900506604495714e-06</x:v>
      </x:c>
      <x:c r="U13" s="43" t="str">
        <x:v>9.468428674996865e-07</x:v>
      </x:c>
      <x:c r="V13" s="43" t="str">
        <x:v>8.245251478522508e-07</x:v>
      </x:c>
      <x:c r="W13" s="43" t="str">
        <x:v>8.517944637687069e-07</x:v>
      </x:c>
      <x:c r="X13" s="43" t="str">
        <x:v>9.586065328193172e-07</x:v>
      </x:c>
      <x:c r="Y13" s="43" t="str">
        <x:v>9.468428674996865e-07</x:v>
      </x:c>
      <x:c r="Z13" s="43" t="str">
        <x:v>1.8487744402051476e-07</x:v>
      </x:c>
      <x:c r="AA13" s="43" t="str">
        <x:v>1.3380235424839682e-07</x:v>
      </x:c>
      <x:c r="AB13" s="43" t="str">
        <x:v>5.699824457902625e-08</x:v>
      </x:c>
      <x:c r="AC13" s="43" t="str">
        <x:v>5.293608024148355e-08</x:v>
      </x:c>
      <x:c r="AD13" s="43" t="str">
        <x:v>5.49671624102549e-08</x:v>
      </x:c>
      <x:c r="AE13" s="43" t="str">
        <x:v>3.44663013546187e-08</x:v>
      </x:c>
      <x:c r="AF13" s="43" t="str">
        <x:v>6.520955656008631e-08</x:v>
      </x:c>
      <x:c r="AG13" s="23" t="str">
        <x:v>Candidate surface form is directly representable in the public Ngram interface. Complete 1842–2022 unsmoothed series reused from the audited quantitative-v0.1 baseline.</x:v>
      </x:c>
    </x:row>
    <x:row r="14" ht="19" customHeight="1">
      <x:c r="A14" s="20" t="str">
        <x:v>FT-SEED-R1B-P-1842-13</x:v>
      </x:c>
      <x:c r="B14" s="22" t="str">
        <x:v>1842</x:v>
      </x:c>
      <x:c r="C14" s="22" t="str">
        <x:v>13</x:v>
      </x:c>
      <x:c r="D14" s="21" t="str">
        <x:v>meteorological journal</x:v>
      </x:c>
      <x:c r="E14" s="21" t="str">
        <x:v>historical climate / climatological condition</x:v>
      </x:c>
      <x:c r="F14" s="22" t="str">
        <x:v>climate</x:v>
      </x:c>
      <x:c r="G14" s="22" t="str">
        <x:v>B</x:v>
      </x:c>
      <x:c r="H14" s="22" t="str">
        <x:v>V1</x:v>
      </x:c>
      <x:c r="I14" s="22" t="str">
        <x:v>E5</x:v>
      </x:c>
      <x:c r="J14" s="21" t="str">
        <x:v>RECONSTRUCTED_FROM_REPORT; Fear of Temperature_ Stratified Lexical Expansion, Voice Mapping, and Semantic-Relational Pre-Valida.pdf; p.6; project candidate FT-SEED-R1B-P-1842-13; original visible ID not available</x:v>
      </x:c>
      <x:c r="K14" s="21" t="str">
        <x:v>meteorological journal</x:v>
      </x:c>
      <x:c r="L14" s="22" t="str">
        <x:v>EXACT</x:v>
      </x:c>
      <x:c r="M14" s="21" t="str">
        <x:v>SUCCEEDED_REUSED_BASELINE</x:v>
      </x:c>
      <x:c r="N14" s="21" t="str">
        <x:v>FT-Q-V01-013</x:v>
      </x:c>
      <x:c r="O14" s="22" t="str">
        <x:v>1842</x:v>
      </x:c>
      <x:c r="P14" s="22" t="str">
        <x:v>2022</x:v>
      </x:c>
      <x:c r="Q14" s="22" t="str">
        <x:v>1842</x:v>
      </x:c>
      <x:c r="R14" s="22" t="str">
        <x:v>181</x:v>
      </x:c>
      <x:c r="S14" s="22" t="str">
        <x:v>1842</x:v>
      </x:c>
      <x:c r="T14" s="43" t="str">
        <x:v>5.256654992402687e-07</x:v>
      </x:c>
      <x:c r="U14" s="43" t="str">
        <x:v>5.256654992402687e-07</x:v>
      </x:c>
      <x:c r="V14" s="43" t="str">
        <x:v>2.929219990871479e-07</x:v>
      </x:c>
      <x:c r="W14" s="43" t="str">
        <x:v>2.548970942373163e-07</x:v>
      </x:c>
      <x:c r="X14" s="43" t="str">
        <x:v>5.256654992402687e-07</x:v>
      </x:c>
      <x:c r="Y14" s="43" t="str">
        <x:v>5.256654992402687e-07</x:v>
      </x:c>
      <x:c r="Z14" s="43" t="str">
        <x:v>4.900366015747615e-09</x:v>
      </x:c>
      <x:c r="AA14" s="43" t="str">
        <x:v>2.023569350279031e-09</x:v>
      </x:c>
      <x:c r="AB14" s="43" t="str">
        <x:v>2.4722130106957785e-09</x:v>
      </x:c>
      <x:c r="AC14" s="43" t="str">
        <x:v>3.598034273299966e-09</x:v>
      </x:c>
      <x:c r="AD14" s="43" t="str">
        <x:v>3.0351236419978722e-09</x:v>
      </x:c>
      <x:c r="AE14" s="43" t="str">
        <x:v>3.7828867746614314e-09</x:v>
      </x:c>
      <x:c r="AF14" s="43" t="str">
        <x:v>2.964070766608984e-09</x:v>
      </x:c>
      <x:c r="AG14" s="23" t="str">
        <x:v>Candidate surface form is directly representable in the public Ngram interface. Complete 1842–2022 unsmoothed series reused from the audited quantitative-v0.1 baseline.</x:v>
      </x:c>
    </x:row>
    <x:row r="15" ht="19" customHeight="1">
      <x:c r="A15" s="20" t="str">
        <x:v>FT-SEED-R1B-P-1842-14</x:v>
      </x:c>
      <x:c r="B15" s="22" t="str">
        <x:v>1842</x:v>
      </x:c>
      <x:c r="C15" s="22" t="str">
        <x:v>14</x:v>
      </x:c>
      <x:c r="D15" s="21" t="str">
        <x:v>weather</x:v>
      </x:c>
      <x:c r="E15" s="21" t="str">
        <x:v>historical climate / climatological condition</x:v>
      </x:c>
      <x:c r="F15" s="22" t="str">
        <x:v>climate</x:v>
      </x:c>
      <x:c r="G15" s="22" t="str">
        <x:v>B</x:v>
      </x:c>
      <x:c r="H15" s="22" t="str">
        <x:v>V1</x:v>
      </x:c>
      <x:c r="I15" s="22" t="str">
        <x:v>E5</x:v>
      </x:c>
      <x:c r="J15" s="21" t="str">
        <x:v>RECONSTRUCTED_FROM_REPORT; Fear of Temperature_ Stratified Lexical Expansion, Voice Mapping, and Semantic-Relational Pre-Valida.pdf; p.6; project candidate FT-SEED-R1B-P-1842-14; original visible ID not available</x:v>
      </x:c>
      <x:c r="K15" s="21" t="str">
        <x:v>weather</x:v>
      </x:c>
      <x:c r="L15" s="22" t="str">
        <x:v>EXACT</x:v>
      </x:c>
      <x:c r="M15" s="21" t="str">
        <x:v>SUCCEEDED_REUSED_BASELINE</x:v>
      </x:c>
      <x:c r="N15" s="21" t="str">
        <x:v>FT-Q-V01-014</x:v>
      </x:c>
      <x:c r="O15" s="22" t="str">
        <x:v>1842</x:v>
      </x:c>
      <x:c r="P15" s="22" t="str">
        <x:v>2022</x:v>
      </x:c>
      <x:c r="Q15" s="22" t="str">
        <x:v>1842</x:v>
      </x:c>
      <x:c r="R15" s="22" t="str">
        <x:v>181</x:v>
      </x:c>
      <x:c r="S15" s="22" t="str">
        <x:v>1928</x:v>
      </x:c>
      <x:c r="T15" s="43" t="str">
        <x:v>6.017915046766659e-05</x:v>
      </x:c>
      <x:c r="U15" s="43" t="str">
        <x:v>4.3293189150972466e-05</x:v>
      </x:c>
      <x:c r="V15" s="43" t="str">
        <x:v>4.177567043939234e-05</x:v>
      </x:c>
      <x:c r="W15" s="43" t="str">
        <x:v>4.1445891866942475e-05</x:v>
      </x:c>
      <x:c r="X15" s="43" t="str">
        <x:v>4.3293189150972466e-05</x:v>
      </x:c>
      <x:c r="Y15" s="43" t="str">
        <x:v>4.3293189150972466e-05</x:v>
      </x:c>
      <x:c r="Z15" s="43" t="str">
        <x:v>5.426566421712353e-05</x:v>
      </x:c>
      <x:c r="AA15" s="43" t="str">
        <x:v>2.997015501321476e-05</x:v>
      </x:c>
      <x:c r="AB15" s="43" t="str">
        <x:v>2.8475663455110323e-05</x:v>
      </x:c>
      <x:c r="AC15" s="43" t="str">
        <x:v>2.852544831488668e-05</x:v>
      </x:c>
      <x:c r="AD15" s="43" t="str">
        <x:v>2.8500555884998502e-05</x:v>
      </x:c>
      <x:c r="AE15" s="43" t="str">
        <x:v>3.181802008718482e-05</x:v>
      </x:c>
      <x:c r="AF15" s="43" t="str">
        <x:v>3.1858087396925694e-05</x:v>
      </x:c>
      <x:c r="AG15" s="23" t="str">
        <x:v>Candidate surface form is directly representable in the public Ngram interface. Complete 1842–2022 unsmoothed series reused from the audited quantitative-v0.1 baseline.</x:v>
      </x:c>
    </x:row>
    <x:row r="16" ht="19" customHeight="1">
      <x:c r="A16" s="20" t="str">
        <x:v>FT-SEED-R1B-P-1842-15</x:v>
      </x:c>
      <x:c r="B16" s="22" t="str">
        <x:v>1842</x:v>
      </x:c>
      <x:c r="C16" s="22" t="str">
        <x:v>15</x:v>
      </x:c>
      <x:c r="D16" s="21" t="str">
        <x:v>climate</x:v>
      </x:c>
      <x:c r="E16" s="21" t="str">
        <x:v>historical climate / climatological condition</x:v>
      </x:c>
      <x:c r="F16" s="22" t="str">
        <x:v>climate</x:v>
      </x:c>
      <x:c r="G16" s="22" t="str">
        <x:v>B</x:v>
      </x:c>
      <x:c r="H16" s="22" t="str">
        <x:v>V1</x:v>
      </x:c>
      <x:c r="I16" s="22" t="str">
        <x:v>E5</x:v>
      </x:c>
      <x:c r="J16" s="21" t="str">
        <x:v>RECONSTRUCTED_FROM_REPORT; Fear of Temperature_ Stratified Lexical Expansion, Voice Mapping, and Semantic-Relational Pre-Valida.pdf; p.6; project candidate FT-SEED-R1B-P-1842-15; original visible ID not available</x:v>
      </x:c>
      <x:c r="K16" s="21" t="str">
        <x:v>climate</x:v>
      </x:c>
      <x:c r="L16" s="22" t="str">
        <x:v>EXACT</x:v>
      </x:c>
      <x:c r="M16" s="21" t="str">
        <x:v>SUCCEEDED_REUSED_BASELINE</x:v>
      </x:c>
      <x:c r="N16" s="21" t="str">
        <x:v>FT-Q-V01-015</x:v>
      </x:c>
      <x:c r="O16" s="22" t="str">
        <x:v>1842</x:v>
      </x:c>
      <x:c r="P16" s="22" t="str">
        <x:v>2022</x:v>
      </x:c>
      <x:c r="Q16" s="22" t="str">
        <x:v>1842</x:v>
      </x:c>
      <x:c r="R16" s="22" t="str">
        <x:v>181</x:v>
      </x:c>
      <x:c r="S16" s="22" t="str">
        <x:v>2022</x:v>
      </x:c>
      <x:c r="T16" s="43" t="str">
        <x:v>6.484931783038578e-05</x:v>
      </x:c>
      <x:c r="U16" s="43" t="str">
        <x:v>3.055828983633546e-05</x:v>
      </x:c>
      <x:c r="V16" s="43" t="str">
        <x:v>2.7172661063445958e-05</x:v>
      </x:c>
      <x:c r="W16" s="43" t="str">
        <x:v>2.628997900444574e-05</x:v>
      </x:c>
      <x:c r="X16" s="43" t="str">
        <x:v>3.055828983633546e-05</x:v>
      </x:c>
      <x:c r="Y16" s="43" t="str">
        <x:v>3.055828983633546e-05</x:v>
      </x:c>
      <x:c r="Z16" s="43" t="str">
        <x:v>1.1961277641442392e-05</x:v>
      </x:c>
      <x:c r="AA16" s="43" t="str">
        <x:v>2.184559476219039e-05</x:v>
      </x:c>
      <x:c r="AB16" s="43" t="str">
        <x:v>3.0835951945605566e-05</x:v>
      </x:c>
      <x:c r="AC16" s="43" t="str">
        <x:v>3.638060761700784e-05</x:v>
      </x:c>
      <x:c r="AD16" s="43" t="str">
        <x:v>3.3608279781306705e-05</x:v>
      </x:c>
      <x:c r="AE16" s="43" t="str">
        <x:v>4.357352890455024e-05</x:v>
      </x:c>
      <x:c r="AF16" s="43" t="str">
        <x:v>6.484931783038578e-05</x:v>
      </x:c>
      <x:c r="AG16" s="23" t="str">
        <x:v>Candidate surface form is directly representable in the public Ngram interface. Complete 1842–2022 unsmoothed series reused from the audited quantitative-v0.1 baseline.</x:v>
      </x:c>
    </x:row>
    <x:row r="17" ht="19" customHeight="1">
      <x:c r="A17" s="20" t="str">
        <x:v>FT-SEED-R1B-P-1842-16</x:v>
      </x:c>
      <x:c r="B17" s="22" t="str">
        <x:v>1842</x:v>
      </x:c>
      <x:c r="C17" s="22" t="str">
        <x:v>16</x:v>
      </x:c>
      <x:c r="D17" s="21" t="str">
        <x:v>sun's heat</x:v>
      </x:c>
      <x:c r="E17" s="21" t="str">
        <x:v>physical heat source / state</x:v>
      </x:c>
      <x:c r="F17" s="22" t="str">
        <x:v>heat</x:v>
      </x:c>
      <x:c r="G17" s="22" t="str">
        <x:v>A</x:v>
      </x:c>
      <x:c r="H17" s="22" t="str">
        <x:v>V1</x:v>
      </x:c>
      <x:c r="I17" s="22" t="str">
        <x:v>E5</x:v>
      </x:c>
      <x:c r="J17" s="21" t="str">
        <x:v>RECONSTRUCTED_FROM_REPORT; Fear of Temperature_ Stratified Lexical Expansion, Voice Mapping, and Semantic-Relational Pre-Valida.pdf; p.6; project candidate FT-SEED-R1B-P-1842-16; original visible ID not available</x:v>
      </x:c>
      <x:c r="K17" s="21" t="str">
        <x:v>sun's heat</x:v>
      </x:c>
      <x:c r="L17" s="22" t="str">
        <x:v>EXACT</x:v>
      </x:c>
      <x:c r="M17" s="21" t="str">
        <x:v>ZERO_RESPONSE_REUSED_BASELINE</x:v>
      </x:c>
      <x:c r="N17" s="21" t="str">
        <x:v>FT-Q-V01-016</x:v>
      </x:c>
      <x:c r="O17" s="22" t="str">
        <x:v>1842</x:v>
      </x:c>
      <x:c r="P17" s="22" t="str">
        <x:v>2022</x:v>
      </x:c>
      <x:c r="Q17" s="22" t="str"/>
      <x:c r="R17" s="22" t="str">
        <x:v>0</x:v>
      </x:c>
      <x:c r="S17" s="22" t="str"/>
      <x:c r="T17" s="43" t="str"/>
      <x:c r="U17" s="43" t="str"/>
      <x:c r="V17" s="43" t="str"/>
      <x:c r="W17" s="43" t="str"/>
      <x:c r="X17" s="43" t="str"/>
      <x:c r="Y17" s="43" t="str"/>
      <x:c r="Z17" s="43" t="str"/>
      <x:c r="AA17" s="43" t="str"/>
      <x:c r="AB17" s="43" t="str"/>
      <x:c r="AC17" s="43" t="str"/>
      <x:c r="AD17" s="43" t="str"/>
      <x:c r="AE17" s="43" t="str"/>
      <x:c r="AF17" s="43" t="str"/>
      <x:c r="AG17" s="23" t="str">
        <x:v>Candidate surface form is directly representable in the public Ngram interface. The audited executable rule returned an empty Ngram payload; retained as source/query zero-response evidence, not historical absence.</x:v>
      </x:c>
    </x:row>
    <x:row r="18" ht="19" customHeight="1">
      <x:c r="A18" s="20" t="str">
        <x:v>FT-SEED-R1B-P-1842-17</x:v>
      </x:c>
      <x:c r="B18" s="22" t="str">
        <x:v>1842</x:v>
      </x:c>
      <x:c r="C18" s="22" t="str">
        <x:v>17</x:v>
      </x:c>
      <x:c r="D18" s="21" t="str">
        <x:v>radiation of the heat</x:v>
      </x:c>
      <x:c r="E18" s="21" t="str">
        <x:v>physical heat source / state</x:v>
      </x:c>
      <x:c r="F18" s="22" t="str">
        <x:v>heat</x:v>
      </x:c>
      <x:c r="G18" s="22" t="str">
        <x:v>B</x:v>
      </x:c>
      <x:c r="H18" s="22" t="str">
        <x:v>V1</x:v>
      </x:c>
      <x:c r="I18" s="22" t="str">
        <x:v>E5</x:v>
      </x:c>
      <x:c r="J18" s="21" t="str">
        <x:v>RECONSTRUCTED_FROM_REPORT; Fear of Temperature_ Stratified Lexical Expansion, Voice Mapping, and Semantic-Relational Pre-Valida.pdf; p.6; project candidate FT-SEED-R1B-P-1842-17; original visible ID not available</x:v>
      </x:c>
      <x:c r="K18" s="21" t="str">
        <x:v>radiation of the heat</x:v>
      </x:c>
      <x:c r="L18" s="22" t="str">
        <x:v>EXACT</x:v>
      </x:c>
      <x:c r="M18" s="21" t="str">
        <x:v>SUCCEEDED_REUSED_BASELINE</x:v>
      </x:c>
      <x:c r="N18" s="21" t="str">
        <x:v>FT-Q-V01-017</x:v>
      </x:c>
      <x:c r="O18" s="22" t="str">
        <x:v>1842</x:v>
      </x:c>
      <x:c r="P18" s="22" t="str">
        <x:v>2022</x:v>
      </x:c>
      <x:c r="Q18" s="22" t="str">
        <x:v>1842</x:v>
      </x:c>
      <x:c r="R18" s="22" t="str">
        <x:v>180</x:v>
      </x:c>
      <x:c r="S18" s="22" t="str">
        <x:v>1850</x:v>
      </x:c>
      <x:c r="T18" s="43" t="str">
        <x:v>2.7596689378128758e-08</x:v>
      </x:c>
      <x:c r="U18" s="43" t="str">
        <x:v>5.867545560533927e-09</x:v>
      </x:c>
      <x:c r="V18" s="43" t="str">
        <x:v>6.7355773181176914e-09</x:v>
      </x:c>
      <x:c r="W18" s="43" t="str">
        <x:v>5.5216926586609816e-09</x:v>
      </x:c>
      <x:c r="X18" s="43" t="str">
        <x:v>1.151023809597973e-08</x:v>
      </x:c>
      <x:c r="Y18" s="43" t="str">
        <x:v>5.867545560533927e-09</x:v>
      </x:c>
      <x:c r="Z18" s="43" t="str">
        <x:v>2.7089259446722025e-09</x:v>
      </x:c>
      <x:c r="AA18" s="43" t="str">
        <x:v>1.792699877434245e-10</x:v>
      </x:c>
      <x:c r="AB18" s="43" t="str">
        <x:v>4.3183473463770383e-10</x:v>
      </x:c>
      <x:c r="AC18" s="43" t="str">
        <x:v>7.925886058579579e-10</x:v>
      </x:c>
      <x:c r="AD18" s="43" t="str">
        <x:v>6.122116702478309e-10</x:v>
      </x:c>
      <x:c r="AE18" s="43" t="str">
        <x:v>4.301466960399125e-10</x:v>
      </x:c>
      <x:c r="AF18" s="43" t="str">
        <x:v>5.081168263920688e-10</x:v>
      </x:c>
      <x:c r="AG18" s="23" t="str">
        <x:v>Candidate surface form is directly representable in the public Ngram interface. Complete 1842–2022 unsmoothed series reused from the audited quantitative-v0.1 baseline.</x:v>
      </x:c>
    </x:row>
    <x:row r="19" ht="19" customHeight="1">
      <x:c r="A19" s="20" t="str">
        <x:v>FT-SEED-R1B-P-1842-18</x:v>
      </x:c>
      <x:c r="B19" s="22" t="str">
        <x:v>1842</x:v>
      </x:c>
      <x:c r="C19" s="22" t="str">
        <x:v>18</x:v>
      </x:c>
      <x:c r="D19" s="21" t="str">
        <x:v>changes of temperature</x:v>
      </x:c>
      <x:c r="E19" s="21" t="str">
        <x:v>local / instrumental temperature</x:v>
      </x:c>
      <x:c r="F19" s="22" t="str">
        <x:v>temperature_threshold</x:v>
      </x:c>
      <x:c r="G19" s="22" t="str">
        <x:v>A</x:v>
      </x:c>
      <x:c r="H19" s="22" t="str">
        <x:v>V2</x:v>
      </x:c>
      <x:c r="I19" s="22" t="str">
        <x:v>E5</x:v>
      </x:c>
      <x:c r="J19" s="21" t="str">
        <x:v>RECONSTRUCTED_FROM_REPORT; Fear of Temperature_ Stratified Lexical Expansion, Voice Mapping, and Semantic-Relational Pre-Valida.pdf; p.7; project candidate FT-SEED-R1B-P-1842-18; original visible ID not available</x:v>
      </x:c>
      <x:c r="K19" s="21" t="str">
        <x:v>changes of temperature</x:v>
      </x:c>
      <x:c r="L19" s="22" t="str">
        <x:v>EXACT</x:v>
      </x:c>
      <x:c r="M19" s="21" t="str">
        <x:v>SUCCEEDED_REUSED_BASELINE</x:v>
      </x:c>
      <x:c r="N19" s="21" t="str">
        <x:v>FT-Q-V01-018</x:v>
      </x:c>
      <x:c r="O19" s="22" t="str">
        <x:v>1842</x:v>
      </x:c>
      <x:c r="P19" s="22" t="str">
        <x:v>2022</x:v>
      </x:c>
      <x:c r="Q19" s="22" t="str">
        <x:v>1842</x:v>
      </x:c>
      <x:c r="R19" s="22" t="str">
        <x:v>181</x:v>
      </x:c>
      <x:c r="S19" s="22" t="str">
        <x:v>1884</x:v>
      </x:c>
      <x:c r="T19" s="43" t="str">
        <x:v>9.022425947469159e-07</x:v>
      </x:c>
      <x:c r="U19" s="43" t="str">
        <x:v>6.602953730450167e-07</x:v>
      </x:c>
      <x:c r="V19" s="43" t="str">
        <x:v>4.767976034547594e-07</x:v>
      </x:c>
      <x:c r="W19" s="43" t="str">
        <x:v>4.4175014768388365e-07</x:v>
      </x:c>
      <x:c r="X19" s="43" t="str">
        <x:v>6.602953730450167e-07</x:v>
      </x:c>
      <x:c r="Y19" s="43" t="str">
        <x:v>6.602953730450167e-07</x:v>
      </x:c>
      <x:c r="Z19" s="43" t="str">
        <x:v>2.283350331311329e-07</x:v>
      </x:c>
      <x:c r="AA19" s="43" t="str">
        <x:v>3.962615856278884e-08</x:v>
      </x:c>
      <x:c r="AB19" s="43" t="str">
        <x:v>2.7546310669979146e-08</x:v>
      </x:c>
      <x:c r="AC19" s="43" t="str">
        <x:v>4.290605436219064e-08</x:v>
      </x:c>
      <x:c r="AD19" s="43" t="str">
        <x:v>3.522618251608489e-08</x:v>
      </x:c>
      <x:c r="AE19" s="43" t="str">
        <x:v>2.9892137941994745e-08</x:v>
      </x:c>
      <x:c r="AF19" s="43" t="str">
        <x:v>6.394769389017618e-08</x:v>
      </x:c>
      <x:c r="AG19" s="23" t="str">
        <x:v>Candidate surface form is directly representable in the public Ngram interface. Complete 1842–2022 unsmoothed series reused from the audited quantitative-v0.1 baseline.</x:v>
      </x:c>
    </x:row>
    <x:row r="20" ht="19" customHeight="1">
      <x:c r="A20" s="20" t="str">
        <x:v>FT-SEED-R1B-P-1842-19</x:v>
      </x:c>
      <x:c r="B20" s="22" t="str">
        <x:v>1842</x:v>
      </x:c>
      <x:c r="C20" s="22" t="str">
        <x:v>19</x:v>
      </x:c>
      <x:c r="D20" s="21" t="str">
        <x:v>excessive heat</x:v>
      </x:c>
      <x:c r="E20" s="21" t="str">
        <x:v>extreme-heat hazard</x:v>
      </x:c>
      <x:c r="F20" s="22" t="str">
        <x:v>heat</x:v>
      </x:c>
      <x:c r="G20" s="22" t="str">
        <x:v>D</x:v>
      </x:c>
      <x:c r="H20" s="22" t="str">
        <x:v>V5</x:v>
      </x:c>
      <x:c r="I20" s="22" t="str">
        <x:v>E5</x:v>
      </x:c>
      <x:c r="J20" s="21" t="str">
        <x:v>RECONSTRUCTED_FROM_REPORT; Fear of Temperature_ Stratified Lexical Expansion, Voice Mapping, and Semantic-Relational Pre-Valida.pdf; p.7; project candidate FT-SEED-R1B-P-1842-19; original visible ID not available</x:v>
      </x:c>
      <x:c r="K20" s="21" t="str">
        <x:v>excessive heat</x:v>
      </x:c>
      <x:c r="L20" s="22" t="str">
        <x:v>EXACT</x:v>
      </x:c>
      <x:c r="M20" s="21" t="str">
        <x:v>SUCCEEDED_REUSED_BASELINE</x:v>
      </x:c>
      <x:c r="N20" s="21" t="str">
        <x:v>FT-Q-V01-019</x:v>
      </x:c>
      <x:c r="O20" s="22" t="str">
        <x:v>1842</x:v>
      </x:c>
      <x:c r="P20" s="22" t="str">
        <x:v>2022</x:v>
      </x:c>
      <x:c r="Q20" s="22" t="str">
        <x:v>1842</x:v>
      </x:c>
      <x:c r="R20" s="22" t="str">
        <x:v>181</x:v>
      </x:c>
      <x:c r="S20" s="22" t="str">
        <x:v>1842</x:v>
      </x:c>
      <x:c r="T20" s="43" t="str">
        <x:v>4.7277645354171227e-07</x:v>
      </x:c>
      <x:c r="U20" s="43" t="str">
        <x:v>4.7277645354171227e-07</x:v>
      </x:c>
      <x:c r="V20" s="43" t="str">
        <x:v>4.305090330891659e-07</x:v>
      </x:c>
      <x:c r="W20" s="43" t="str">
        <x:v>4.404261579882274e-07</x:v>
      </x:c>
      <x:c r="X20" s="43" t="str">
        <x:v>4.7277645354171227e-07</x:v>
      </x:c>
      <x:c r="Y20" s="43" t="str">
        <x:v>4.7277645354171227e-07</x:v>
      </x:c>
      <x:c r="Z20" s="43" t="str">
        <x:v>4.2042911316264586e-07</x:v>
      </x:c>
      <x:c r="AA20" s="43" t="str">
        <x:v>1.9194294957614044e-07</x:v>
      </x:c>
      <x:c r="AB20" s="43" t="str">
        <x:v>1.719103683017753e-07</x:v>
      </x:c>
      <x:c r="AC20" s="43" t="str">
        <x:v>1.945187375618218e-07</x:v>
      </x:c>
      <x:c r="AD20" s="43" t="str">
        <x:v>1.8321455293179856e-07</x:v>
      </x:c>
      <x:c r="AE20" s="43" t="str">
        <x:v>1.5280994641875267e-07</x:v>
      </x:c>
      <x:c r="AF20" s="43" t="str">
        <x:v>1.6687275639082344e-07</x:v>
      </x:c>
      <x:c r="AG20" s="23" t="str">
        <x:v>Candidate surface form is directly representable in the public Ngram interface. Complete 1842–2022 unsmoothed series reused from the audited quantitative-v0.1 baseline.</x:v>
      </x:c>
    </x:row>
    <x:row r="21" ht="19" customHeight="1">
      <x:c r="A21" s="20" t="str">
        <x:v>FT-SEED-R1B-P-1842-20</x:v>
      </x:c>
      <x:c r="B21" s="22" t="str">
        <x:v>1842</x:v>
      </x:c>
      <x:c r="C21" s="22" t="str">
        <x:v>20</x:v>
      </x:c>
      <x:c r="D21" s="21" t="str">
        <x:v>heat of the men</x:v>
      </x:c>
      <x:c r="E21" s="21" t="str">
        <x:v>embodied heat exposure</x:v>
      </x:c>
      <x:c r="F21" s="22" t="str">
        <x:v>heat</x:v>
      </x:c>
      <x:c r="G21" s="22" t="str">
        <x:v>A</x:v>
      </x:c>
      <x:c r="H21" s="22" t="str">
        <x:v>V5</x:v>
      </x:c>
      <x:c r="I21" s="22" t="str">
        <x:v>E5</x:v>
      </x:c>
      <x:c r="J21" s="21" t="str">
        <x:v>RECONSTRUCTED_FROM_REPORT; Fear of Temperature_ Stratified Lexical Expansion, Voice Mapping, and Semantic-Relational Pre-Valida.pdf; p.7; project candidate FT-SEED-R1B-P-1842-20; original visible ID not available</x:v>
      </x:c>
      <x:c r="K21" s="21" t="str">
        <x:v>heat of the men</x:v>
      </x:c>
      <x:c r="L21" s="22" t="str">
        <x:v>EXACT</x:v>
      </x:c>
      <x:c r="M21" s="21" t="str">
        <x:v>SUCCEEDED_REUSED_BASELINE</x:v>
      </x:c>
      <x:c r="N21" s="21" t="str">
        <x:v>FT-Q-V01-020</x:v>
      </x:c>
      <x:c r="O21" s="22" t="str">
        <x:v>1842</x:v>
      </x:c>
      <x:c r="P21" s="22" t="str">
        <x:v>2022</x:v>
      </x:c>
      <x:c r="Q21" s="22" t="str">
        <x:v>1842</x:v>
      </x:c>
      <x:c r="R21" s="22" t="str">
        <x:v>88</x:v>
      </x:c>
      <x:c r="S21" s="22" t="str">
        <x:v>1864</x:v>
      </x:c>
      <x:c r="T21" s="43" t="str">
        <x:v>7.825550873974407e-09</x:v>
      </x:c>
      <x:c r="U21" s="43" t="str">
        <x:v>7.334431950667408e-10</x:v>
      </x:c>
      <x:c r="V21" s="43" t="str">
        <x:v>2.6111680595519715e-09</x:v>
      </x:c>
      <x:c r="W21" s="43" t="str">
        <x:v>2.6612715919860364e-09</x:v>
      </x:c>
      <x:c r="X21" s="43" t="str">
        <x:v>4.3886858591690725e-09</x:v>
      </x:c>
      <x:c r="Y21" s="43" t="str">
        <x:v>7.334431950667408e-10</x:v>
      </x:c>
      <x:c r="Z21" s="43" t="str">
        <x:v>0.0</x:v>
      </x:c>
      <x:c r="AA21" s="43" t="str">
        <x:v>5.975666489410614e-11</x:v>
      </x:c>
      <x:c r="AB21" s="43" t="str">
        <x:v>5.397934182971298e-11</x:v>
      </x:c>
      <x:c r="AC21" s="43" t="str">
        <x:v>1.585177267227067e-10</x:v>
      </x:c>
      <x:c r="AD21" s="43" t="str">
        <x:v>1.0624853427620984e-10</x:v>
      </x:c>
      <x:c r="AE21" s="43" t="str">
        <x:v>1.613050110149672e-10</x:v>
      </x:c>
      <x:c r="AF21" s="43" t="str">
        <x:v>1.524350368153904e-10</x:v>
      </x:c>
      <x:c r="AG21" s="23" t="str">
        <x:v>Candidate surface form is directly representable in the public Ngram interface. Complete 1842–2022 unsmoothed series reused from the audited quantitative-v0.1 baseline.</x:v>
      </x:c>
    </x:row>
    <x:row r="22" ht="19" customHeight="1">
      <x:c r="A22" s="20" t="str">
        <x:v>FT-SEED-R1B-P-1842-21</x:v>
      </x:c>
      <x:c r="B22" s="22" t="str">
        <x:v>1842</x:v>
      </x:c>
      <x:c r="C22" s="22" t="str">
        <x:v>21</x:v>
      </x:c>
      <x:c r="D22" s="21" t="str">
        <x:v>heat of the irons</x:v>
      </x:c>
      <x:c r="E22" s="21" t="str">
        <x:v>physical heat source / state</x:v>
      </x:c>
      <x:c r="F22" s="22" t="str">
        <x:v>heat</x:v>
      </x:c>
      <x:c r="G22" s="22" t="str">
        <x:v>A</x:v>
      </x:c>
      <x:c r="H22" s="22" t="str">
        <x:v>V5</x:v>
      </x:c>
      <x:c r="I22" s="22" t="str">
        <x:v>E5</x:v>
      </x:c>
      <x:c r="J22" s="21" t="str">
        <x:v>RECONSTRUCTED_FROM_REPORT; Fear of Temperature_ Stratified Lexical Expansion, Voice Mapping, and Semantic-Relational Pre-Valida.pdf; p.6; project candidate FT-SEED-R1B-P-1842-21; original visible ID not available</x:v>
      </x:c>
      <x:c r="K22" s="21" t="str">
        <x:v>heat of the irons</x:v>
      </x:c>
      <x:c r="L22" s="22" t="str">
        <x:v>EXACT</x:v>
      </x:c>
      <x:c r="M22" s="21" t="str">
        <x:v>SUCCEEDED_REUSED_BASELINE</x:v>
      </x:c>
      <x:c r="N22" s="21" t="str">
        <x:v>FT-Q-V01-138</x:v>
      </x:c>
      <x:c r="O22" s="22" t="str">
        <x:v>1842</x:v>
      </x:c>
      <x:c r="P22" s="22" t="str">
        <x:v>2022</x:v>
      </x:c>
      <x:c r="Q22" s="22" t="str">
        <x:v>1842</x:v>
      </x:c>
      <x:c r="R22" s="22" t="str">
        <x:v>108</x:v>
      </x:c>
      <x:c r="S22" s="22" t="str">
        <x:v>1843</x:v>
      </x:c>
      <x:c r="T22" s="43" t="str">
        <x:v>6.583029232842819e-09</x:v>
      </x:c>
      <x:c r="U22" s="43" t="str">
        <x:v>1.4668863901334817e-09</x:v>
      </x:c>
      <x:c r="V22" s="43" t="str">
        <x:v>4.098238637340046e-09</x:v>
      </x:c>
      <x:c r="W22" s="43" t="str">
        <x:v>4.171519463191942e-09</x:v>
      </x:c>
      <x:c r="X22" s="43" t="str">
        <x:v>6.583029232842819e-09</x:v>
      </x:c>
      <x:c r="Y22" s="43" t="str">
        <x:v>1.4668863901334817e-09</x:v>
      </x:c>
      <x:c r="Z22" s="43" t="str">
        <x:v>1.3544629307027378e-10</x:v>
      </x:c>
      <x:c r="AA22" s="43" t="str">
        <x:v>5.975666489410614e-11</x:v>
      </x:c>
      <x:c r="AB22" s="43" t="str">
        <x:v>0.0</x:v>
      </x:c>
      <x:c r="AC22" s="43" t="str">
        <x:v>0.0</x:v>
      </x:c>
      <x:c r="AD22" s="43" t="str">
        <x:v>0.0</x:v>
      </x:c>
      <x:c r="AE22" s="43" t="str">
        <x:v>1.0753667400997813e-10</x:v>
      </x:c>
      <x:c r="AF22" s="43" t="str">
        <x:v>1.016233625028562e-10</x:v>
      </x:c>
      <x:c r="AG22" s="23" t="str">
        <x:v>Candidate surface form is directly representable in the public Ngram interface. Complete 1842–2022 unsmoothed series reused from the audited quantitative-v0.1 baseline.</x:v>
      </x:c>
    </x:row>
    <x:row r="23" ht="19" customHeight="1">
      <x:c r="A23" s="20" t="str">
        <x:v>FT-SEED-R1B-P-1842-22</x:v>
      </x:c>
      <x:c r="B23" s="22" t="str">
        <x:v>1842</x:v>
      </x:c>
      <x:c r="C23" s="22" t="str">
        <x:v>22</x:v>
      </x:c>
      <x:c r="D23" s="21" t="str">
        <x:v>most suffocating</x:v>
      </x:c>
      <x:c r="E23" s="21" t="str">
        <x:v>generic damage</x:v>
      </x:c>
      <x:c r="F23" s="22" t="str">
        <x:v>harm_loss_consequences</x:v>
      </x:c>
      <x:c r="G23" s="22" t="str">
        <x:v>D</x:v>
      </x:c>
      <x:c r="H23" s="22" t="str">
        <x:v>V5</x:v>
      </x:c>
      <x:c r="I23" s="22" t="str">
        <x:v>E5</x:v>
      </x:c>
      <x:c r="J23" s="21" t="str">
        <x:v>RECONSTRUCTED_FROM_REPORT; Fear of Temperature_ Stratified Lexical Expansion, Voice Mapping, and Semantic-Relational Pre-Valida.pdf; p.6; project candidate FT-SEED-R1B-P-1842-22; original visible ID not available</x:v>
      </x:c>
      <x:c r="K23" s="21" t="str">
        <x:v>most suffocating</x:v>
      </x:c>
      <x:c r="L23" s="22" t="str">
        <x:v>EXACT</x:v>
      </x:c>
      <x:c r="M23" s="21" t="str">
        <x:v>SUCCEEDED_NEW</x:v>
      </x:c>
      <x:c r="N23" s="21" t="str">
        <x:v>FT-Q-P180-FC9FF7E38391</x:v>
      </x:c>
      <x:c r="O23" s="22" t="str">
        <x:v>1842</x:v>
      </x:c>
      <x:c r="P23" s="22" t="str">
        <x:v>2022</x:v>
      </x:c>
      <x:c r="Q23" s="22" t="str">
        <x:v>1842</x:v>
      </x:c>
      <x:c r="R23" s="22" t="str">
        <x:v>179</x:v>
      </x:c>
      <x:c r="S23" s="22" t="str">
        <x:v>1842</x:v>
      </x:c>
      <x:c r="T23" s="43" t="str">
        <x:v>1.6769696742358065e-08</x:v>
      </x:c>
      <x:c r="U23" s="43" t="str">
        <x:v>1.6769696742358065e-08</x:v>
      </x:c>
      <x:c r="V23" s="43" t="str">
        <x:v>1.1918405373734231e-08</x:v>
      </x:c>
      <x:c r="W23" s="43" t="str">
        <x:v>1.1194827731486612e-08</x:v>
      </x:c>
      <x:c r="X23" s="43" t="str">
        <x:v>1.6769696742358065e-08</x:v>
      </x:c>
      <x:c r="Y23" s="43" t="str">
        <x:v>1.6769696742358065e-08</x:v>
      </x:c>
      <x:c r="Z23" s="43" t="str">
        <x:v>3.341158461012128e-10</x:v>
      </x:c>
      <x:c r="AA23" s="43" t="str">
        <x:v>6.909748884176281e-10</x:v>
      </x:c>
      <x:c r="AB23" s="43" t="str">
        <x:v>9.156344571437103e-10</x:v>
      </x:c>
      <x:c r="AC23" s="43" t="str">
        <x:v>8.095577541666898e-10</x:v>
      </x:c>
      <x:c r="AD23" s="43" t="str">
        <x:v>8.625961056552001e-10</x:v>
      </x:c>
      <x:c r="AE23" s="43" t="str">
        <x:v>1.6812830017087776e-09</x:v>
      </x:c>
      <x:c r="AF23" s="43" t="str">
        <x:v>1.946554029075287e-09</x:v>
      </x:c>
      <x:c r="AG23" s="23" t="str">
        <x:v>Candidate surface form is directly representable in the public Ngram interface. New unsmoothed 1842–2022 series retrieved for the candidate audit.</x:v>
      </x:c>
    </x:row>
    <x:row r="24" ht="19" customHeight="1">
      <x:c r="A24" s="20" t="str">
        <x:v>FT-SEED-R1B-P-1842-23</x:v>
      </x:c>
      <x:c r="B24" s="22" t="str">
        <x:v>1842</x:v>
      </x:c>
      <x:c r="C24" s="22" t="str">
        <x:v>23</x:v>
      </x:c>
      <x:c r="D24" s="21" t="str">
        <x:v>faint away</x:v>
      </x:c>
      <x:c r="E24" s="21" t="str">
        <x:v>generic damage</x:v>
      </x:c>
      <x:c r="F24" s="22" t="str">
        <x:v>harm_loss_consequences</x:v>
      </x:c>
      <x:c r="G24" s="22" t="str">
        <x:v>D</x:v>
      </x:c>
      <x:c r="H24" s="22" t="str">
        <x:v>V5</x:v>
      </x:c>
      <x:c r="I24" s="22" t="str">
        <x:v>E5</x:v>
      </x:c>
      <x:c r="J24" s="21" t="str">
        <x:v>RECONSTRUCTED_FROM_REPORT; Fear of Temperature_ Stratified Lexical Expansion, Voice Mapping, and Semantic-Relational Pre-Valida.pdf; p.6; project candidate FT-SEED-R1B-P-1842-23; original visible ID not available</x:v>
      </x:c>
      <x:c r="K24" s="21" t="str">
        <x:v>faint away</x:v>
      </x:c>
      <x:c r="L24" s="22" t="str">
        <x:v>EXACT</x:v>
      </x:c>
      <x:c r="M24" s="21" t="str">
        <x:v>SUCCEEDED_NEW</x:v>
      </x:c>
      <x:c r="N24" s="21" t="str">
        <x:v>FT-Q-P180-C155052E7DB4</x:v>
      </x:c>
      <x:c r="O24" s="22" t="str">
        <x:v>1842</x:v>
      </x:c>
      <x:c r="P24" s="22" t="str">
        <x:v>2022</x:v>
      </x:c>
      <x:c r="Q24" s="22" t="str">
        <x:v>1842</x:v>
      </x:c>
      <x:c r="R24" s="22" t="str">
        <x:v>181</x:v>
      </x:c>
      <x:c r="S24" s="22" t="str">
        <x:v>1854</x:v>
      </x:c>
      <x:c r="T24" s="43" t="str">
        <x:v>1.1952927536640345e-07</x:v>
      </x:c>
      <x:c r="U24" s="43" t="str">
        <x:v>7.030372728422662e-08</x:v>
      </x:c>
      <x:c r="V24" s="43" t="str">
        <x:v>7.127352741331805e-08</x:v>
      </x:c>
      <x:c r="W24" s="43" t="str">
        <x:v>7.08353000700157e-08</x:v>
      </x:c>
      <x:c r="X24" s="43" t="str">
        <x:v>8.482530233777652e-08</x:v>
      </x:c>
      <x:c r="Y24" s="43" t="str">
        <x:v>7.030372728422662e-08</x:v>
      </x:c>
      <x:c r="Z24" s="43" t="str">
        <x:v>8.798383951957867e-09</x:v>
      </x:c>
      <x:c r="AA24" s="43" t="str">
        <x:v>6.317484639584148e-09</x:v>
      </x:c>
      <x:c r="AB24" s="43" t="str">
        <x:v>7.55398378224359e-09</x:v>
      </x:c>
      <x:c r="AC24" s="43" t="str">
        <x:v>8.63528241273892e-09</x:v>
      </x:c>
      <x:c r="AD24" s="43" t="str">
        <x:v>8.094633097491255e-09</x:v>
      </x:c>
      <x:c r="AE24" s="43" t="str">
        <x:v>1.204919449979136e-08</x:v>
      </x:c>
      <x:c r="AF24" s="43" t="str">
        <x:v>2.092545509091437e-08</x:v>
      </x:c>
      <x:c r="AG24" s="23" t="str">
        <x:v>Candidate surface form is directly representable in the public Ngram interface. New unsmoothed 1842–2022 series retrieved for the candidate audit.</x:v>
      </x:c>
    </x:row>
    <x:row r="25" ht="19" customHeight="1">
      <x:c r="A25" s="20" t="str">
        <x:v>FT-SEED-R1B-P-1842-24</x:v>
      </x:c>
      <x:c r="B25" s="22" t="str">
        <x:v>1842</x:v>
      </x:c>
      <x:c r="C25" s="22" t="str">
        <x:v>24</x:v>
      </x:c>
      <x:c r="D25" s="21" t="str">
        <x:v>perspiration</x:v>
      </x:c>
      <x:c r="E25" s="21" t="str">
        <x:v>generic damage</x:v>
      </x:c>
      <x:c r="F25" s="22" t="str">
        <x:v>harm_loss_consequences</x:v>
      </x:c>
      <x:c r="G25" s="22" t="str">
        <x:v>D</x:v>
      </x:c>
      <x:c r="H25" s="22" t="str">
        <x:v>V5</x:v>
      </x:c>
      <x:c r="I25" s="22" t="str">
        <x:v>E5</x:v>
      </x:c>
      <x:c r="J25" s="21" t="str">
        <x:v>RECONSTRUCTED_FROM_REPORT; Fear of Temperature_ Stratified Lexical Expansion, Voice Mapping, and Semantic-Relational Pre-Valida.pdf; p.6; project candidate FT-SEED-R1B-P-1842-24; original visible ID not available</x:v>
      </x:c>
      <x:c r="K25" s="21" t="str">
        <x:v>perspiration</x:v>
      </x:c>
      <x:c r="L25" s="22" t="str">
        <x:v>EXACT</x:v>
      </x:c>
      <x:c r="M25" s="21" t="str">
        <x:v>SUCCEEDED_NEW</x:v>
      </x:c>
      <x:c r="N25" s="21" t="str">
        <x:v>FT-Q-P180-EC2B3513EBA6</x:v>
      </x:c>
      <x:c r="O25" s="22" t="str">
        <x:v>1842</x:v>
      </x:c>
      <x:c r="P25" s="22" t="str">
        <x:v>2022</x:v>
      </x:c>
      <x:c r="Q25" s="22" t="str">
        <x:v>1842</x:v>
      </x:c>
      <x:c r="R25" s="22" t="str">
        <x:v>181</x:v>
      </x:c>
      <x:c r="S25" s="22" t="str">
        <x:v>1850</x:v>
      </x:c>
      <x:c r="T25" s="43" t="str">
        <x:v>3.977690766987507e-06</x:v>
      </x:c>
      <x:c r="U25" s="43" t="str">
        <x:v>3.651665382520264e-06</x:v>
      </x:c>
      <x:c r="V25" s="43" t="str">
        <x:v>3.703881898964312e-06</x:v>
      </x:c>
      <x:c r="W25" s="43" t="str">
        <x:v>3.6991450818035787e-06</x:v>
      </x:c>
      <x:c r="X25" s="43" t="str">
        <x:v>3.766906244706547e-06</x:v>
      </x:c>
      <x:c r="Y25" s="43" t="str">
        <x:v>3.651665382520264e-06</x:v>
      </x:c>
      <x:c r="Z25" s="43" t="str">
        <x:v>1.4390068940883793e-06</x:v>
      </x:c>
      <x:c r="AA25" s="43" t="str">
        <x:v>5.707714505476247e-07</x:v>
      </x:c>
      <x:c r="AB25" s="43" t="str">
        <x:v>8.519079073288083e-07</x:v>
      </x:c>
      <x:c r="AC25" s="43" t="str">
        <x:v>9.215165865938957e-07</x:v>
      </x:c>
      <x:c r="AD25" s="43" t="str">
        <x:v>8.86712246961352e-07</x:v>
      </x:c>
      <x:c r="AE25" s="43" t="str">
        <x:v>1.4593866786150045e-06</x:v>
      </x:c>
      <x:c r="AF25" s="43" t="str">
        <x:v>1.4236373244713718e-06</x:v>
      </x:c>
      <x:c r="AG25" s="23" t="str">
        <x:v>Candidate surface form is directly representable in the public Ngram interface. New unsmoothed 1842–2022 series retrieved for the candidate audit.</x:v>
      </x:c>
    </x:row>
    <x:row r="26" ht="19" customHeight="1">
      <x:c r="A26" s="20" t="str">
        <x:v>FT-SEED-R1B-P-1842-25</x:v>
      </x:c>
      <x:c r="B26" s="22" t="str">
        <x:v>1842</x:v>
      </x:c>
      <x:c r="C26" s="22" t="str">
        <x:v>25</x:v>
      </x:c>
      <x:c r="D26" s="21" t="str">
        <x:v>depressing effect</x:v>
      </x:c>
      <x:c r="E26" s="21" t="str">
        <x:v>historical depressing effect</x:v>
      </x:c>
      <x:c r="F26" s="22" t="str">
        <x:v>distress_depression</x:v>
      </x:c>
      <x:c r="G26" s="22" t="str">
        <x:v>C</x:v>
      </x:c>
      <x:c r="H26" s="22" t="str">
        <x:v>V5</x:v>
      </x:c>
      <x:c r="I26" s="22" t="str">
        <x:v>E3</x:v>
      </x:c>
      <x:c r="J26" s="21" t="str">
        <x:v>RECONSTRUCTED_FROM_REPORT; Fear of Temperature_ Stratified Lexical Expansion, Voice Mapping, and Semantic-Relational Pre-Valida.pdf; p.6; project candidate FT-SEED-R1B-P-1842-25; original visible ID not available</x:v>
      </x:c>
      <x:c r="K26" s="21" t="str">
        <x:v>depressing effect</x:v>
      </x:c>
      <x:c r="L26" s="22" t="str">
        <x:v>EXACT</x:v>
      </x:c>
      <x:c r="M26" s="21" t="str">
        <x:v>SUCCEEDED_NEW</x:v>
      </x:c>
      <x:c r="N26" s="21" t="str">
        <x:v>FT-Q-P180-F133E24539FD</x:v>
      </x:c>
      <x:c r="O26" s="22" t="str">
        <x:v>1842</x:v>
      </x:c>
      <x:c r="P26" s="22" t="str">
        <x:v>2022</x:v>
      </x:c>
      <x:c r="Q26" s="22" t="str">
        <x:v>1842</x:v>
      </x:c>
      <x:c r="R26" s="22" t="str">
        <x:v>181</x:v>
      </x:c>
      <x:c r="S26" s="22" t="str">
        <x:v>1932</x:v>
      </x:c>
      <x:c r="T26" s="43" t="str">
        <x:v>4.1821657831286885e-07</x:v>
      </x:c>
      <x:c r="U26" s="43" t="str">
        <x:v>7.417365566197986e-08</x:v>
      </x:c>
      <x:c r="V26" s="43" t="str">
        <x:v>7.959695991210936e-08</x:v>
      </x:c>
      <x:c r="W26" s="43" t="str">
        <x:v>7.902978849116948e-08</x:v>
      </x:c>
      <x:c r="X26" s="43" t="str">
        <x:v>8.615460700411859e-08</x:v>
      </x:c>
      <x:c r="Y26" s="43" t="str">
        <x:v>7.417365566197986e-08</x:v>
      </x:c>
      <x:c r="Z26" s="43" t="str">
        <x:v>3.3701152923892863e-07</x:v>
      </x:c>
      <x:c r="AA26" s="43" t="str">
        <x:v>9.086320157045136e-08</x:v>
      </x:c>
      <x:c r="AB26" s="43" t="str">
        <x:v>4.0333698568539855e-08</x:v>
      </x:c>
      <x:c r="AC26" s="43" t="str">
        <x:v>4.0208033492972195e-08</x:v>
      </x:c>
      <x:c r="AD26" s="43" t="str">
        <x:v>4.0270866030756025e-08</x:v>
      </x:c>
      <x:c r="AE26" s="43" t="str">
        <x:v>3.834259428708853e-08</x:v>
      </x:c>
      <x:c r="AF26" s="43" t="str">
        <x:v>4.3930182047624555e-08</x:v>
      </x:c>
      <x:c r="AG26" s="23" t="str">
        <x:v>Candidate surface form is directly representable in the public Ngram interface. New unsmoothed 1842–2022 series retrieved for the candidate audit.</x:v>
      </x:c>
    </x:row>
    <x:row r="27" ht="19" customHeight="1">
      <x:c r="A27" s="20" t="str">
        <x:v>FT-SEED-R1B-P-1842-26</x:v>
      </x:c>
      <x:c r="B27" s="22" t="str">
        <x:v>1842</x:v>
      </x:c>
      <x:c r="C27" s="22" t="str">
        <x:v>26</x:v>
      </x:c>
      <x:c r="D27" s="21" t="str">
        <x:v>complain of the heat</x:v>
      </x:c>
      <x:c r="E27" s="21" t="str">
        <x:v>embodied heat exposure</x:v>
      </x:c>
      <x:c r="F27" s="22" t="str">
        <x:v>heat</x:v>
      </x:c>
      <x:c r="G27" s="22" t="str">
        <x:v>C</x:v>
      </x:c>
      <x:c r="H27" s="22" t="str">
        <x:v>V5</x:v>
      </x:c>
      <x:c r="I27" s="22" t="str">
        <x:v>E5</x:v>
      </x:c>
      <x:c r="J27" s="21" t="str">
        <x:v>RECONSTRUCTED_FROM_REPORT; Fear of Temperature_ Stratified Lexical Expansion, Voice Mapping, and Semantic-Relational Pre-Valida.pdf; p.6; project candidate FT-SEED-R1B-P-1842-26; original visible ID not available</x:v>
      </x:c>
      <x:c r="K27" s="21" t="str">
        <x:v>complain of the heat</x:v>
      </x:c>
      <x:c r="L27" s="22" t="str">
        <x:v>EXACT</x:v>
      </x:c>
      <x:c r="M27" s="21" t="str">
        <x:v>SUCCEEDED_NEW</x:v>
      </x:c>
      <x:c r="N27" s="21" t="str">
        <x:v>FT-Q-P180-CA3666E569CE</x:v>
      </x:c>
      <x:c r="O27" s="22" t="str">
        <x:v>1842</x:v>
      </x:c>
      <x:c r="P27" s="22" t="str">
        <x:v>2022</x:v>
      </x:c>
      <x:c r="Q27" s="22" t="str">
        <x:v>1842</x:v>
      </x:c>
      <x:c r="R27" s="22" t="str">
        <x:v>180</x:v>
      </x:c>
      <x:c r="S27" s="22" t="str">
        <x:v>1843</x:v>
      </x:c>
      <x:c r="T27" s="43" t="str">
        <x:v>1.5360400951180964e-08</x:v>
      </x:c>
      <x:c r="U27" s="43" t="str">
        <x:v>1.4668863457245607e-08</x:v>
      </x:c>
      <x:c r="V27" s="43" t="str">
        <x:v>1.0437534836427176e-08</x:v>
      </x:c>
      <x:c r="W27" s="43" t="str">
        <x:v>1.0892821533659003e-08</x:v>
      </x:c>
      <x:c r="X27" s="43" t="str">
        <x:v>1.5360400951180964e-08</x:v>
      </x:c>
      <x:c r="Y27" s="43" t="str">
        <x:v>1.4668863457245607e-08</x:v>
      </x:c>
      <x:c r="Z27" s="43" t="str">
        <x:v>1.489909196017436e-09</x:v>
      </x:c>
      <x:c r="AA27" s="43" t="str">
        <x:v>8.963499942282738e-10</x:v>
      </x:c>
      <x:c r="AB27" s="43" t="str">
        <x:v>1.4574422779745078e-09</x:v>
      </x:c>
      <x:c r="AC27" s="43" t="str">
        <x:v>1.2681418137816536e-09</x:v>
      </x:c>
      <x:c r="AD27" s="43" t="str">
        <x:v>1.3627920458780807e-09</x:v>
      </x:c>
      <x:c r="AE27" s="43" t="str">
        <x:v>9.140617152070263e-10</x:v>
      </x:c>
      <x:c r="AF27" s="43" t="str">
        <x:v>1.7275971764263431e-09</x:v>
      </x:c>
      <x:c r="AG27" s="23" t="str">
        <x:v>Candidate surface form is directly representable in the public Ngram interface. New unsmoothed 1842–2022 series retrieved for the candidate audit.</x:v>
      </x:c>
    </x:row>
    <x:row r="28" ht="19" customHeight="1">
      <x:c r="A28" s="20" t="str">
        <x:v>FT-SEED-R1B-P-1842-27</x:v>
      </x:c>
      <x:c r="B28" s="22" t="str">
        <x:v>1842</x:v>
      </x:c>
      <x:c r="C28" s="22" t="str">
        <x:v>27</x:v>
      </x:c>
      <x:c r="D28" s="21" t="str">
        <x:v>premature heat of the weather</x:v>
      </x:c>
      <x:c r="E28" s="21" t="str">
        <x:v>physical heat source / state</x:v>
      </x:c>
      <x:c r="F28" s="22" t="str">
        <x:v>heat</x:v>
      </x:c>
      <x:c r="G28" s="22" t="str">
        <x:v>A</x:v>
      </x:c>
      <x:c r="H28" s="22" t="str">
        <x:v>V5</x:v>
      </x:c>
      <x:c r="I28" s="22" t="str">
        <x:v>E5</x:v>
      </x:c>
      <x:c r="J28" s="21" t="str">
        <x:v>RECONSTRUCTED_FROM_REPORT; Fear of Temperature_ Stratified Lexical Expansion, Voice Mapping, and Semantic-Relational Pre-Valida.pdf; p.6; project candidate FT-SEED-R1B-P-1842-27; original visible ID not available</x:v>
      </x:c>
      <x:c r="K28" s="21" t="str">
        <x:v>premature heat of the weather</x:v>
      </x:c>
      <x:c r="L28" s="22" t="str">
        <x:v>EXACT</x:v>
      </x:c>
      <x:c r="M28" s="21" t="str">
        <x:v>ZERO_RESPONSE_NEW</x:v>
      </x:c>
      <x:c r="N28" s="21" t="str">
        <x:v>FT-Q-P180-616B2876E3C5</x:v>
      </x:c>
      <x:c r="O28" s="22" t="str">
        <x:v>1842</x:v>
      </x:c>
      <x:c r="P28" s="22" t="str">
        <x:v>2022</x:v>
      </x:c>
      <x:c r="Q28" s="22" t="str"/>
      <x:c r="R28" s="22" t="str">
        <x:v>0</x:v>
      </x:c>
      <x:c r="S28" s="22" t="str"/>
      <x:c r="T28" s="43" t="str"/>
      <x:c r="U28" s="43" t="str"/>
      <x:c r="V28" s="43" t="str"/>
      <x:c r="W28" s="43" t="str"/>
      <x:c r="X28" s="43" t="str"/>
      <x:c r="Y28" s="43" t="str"/>
      <x:c r="Z28" s="43" t="str"/>
      <x:c r="AA28" s="43" t="str"/>
      <x:c r="AB28" s="43" t="str"/>
      <x:c r="AC28" s="43" t="str"/>
      <x:c r="AD28" s="43" t="str"/>
      <x:c r="AE28" s="43" t="str"/>
      <x:c r="AF28" s="43" t="str"/>
      <x:c r="AG28" s="23" t="str">
        <x:v>Candidate surface form is directly representable in the public Ngram interface. The public Ngram endpoint returned an empty list; retained without fabricating annual zero frequencies.</x:v>
      </x:c>
    </x:row>
    <x:row r="29" ht="19" customHeight="1">
      <x:c r="A29" s="20" t="str">
        <x:v>FT-SEED-R1B-P-1842-28</x:v>
      </x:c>
      <x:c r="B29" s="22" t="str">
        <x:v>1842</x:v>
      </x:c>
      <x:c r="C29" s="22" t="str">
        <x:v>28</x:v>
      </x:c>
      <x:c r="D29" s="21" t="str">
        <x:v>suffered more from cold than from heat</x:v>
      </x:c>
      <x:c r="E29" s="21" t="str">
        <x:v>physical heat source / state</x:v>
      </x:c>
      <x:c r="F29" s="22" t="str">
        <x:v>heat</x:v>
      </x:c>
      <x:c r="G29" s="22" t="str">
        <x:v>D</x:v>
      </x:c>
      <x:c r="H29" s="22" t="str">
        <x:v>V1</x:v>
      </x:c>
      <x:c r="I29" s="22" t="str">
        <x:v>E5</x:v>
      </x:c>
      <x:c r="J29" s="21" t="str">
        <x:v>RECONSTRUCTED_FROM_REPORT; Fear of Temperature_ Stratified Lexical Expansion, Voice Mapping, and Semantic-Relational Pre-Valida.pdf; p.7; project candidate FT-SEED-R1B-P-1842-28; original visible ID not available</x:v>
      </x:c>
      <x:c r="K29" s="21" t="str">
        <x:v>suffered more from cold than from heat</x:v>
      </x:c>
      <x:c r="L29" s="22" t="str">
        <x:v>EXACT</x:v>
      </x:c>
      <x:c r="M29" s="21" t="str">
        <x:v>ZERO_RESPONSE_NEW</x:v>
      </x:c>
      <x:c r="N29" s="21" t="str">
        <x:v>FT-Q-P180-FF18DD3754C6</x:v>
      </x:c>
      <x:c r="O29" s="22" t="str">
        <x:v>1842</x:v>
      </x:c>
      <x:c r="P29" s="22" t="str">
        <x:v>2022</x:v>
      </x:c>
      <x:c r="Q29" s="22" t="str"/>
      <x:c r="R29" s="22" t="str">
        <x:v>0</x:v>
      </x:c>
      <x:c r="S29" s="22" t="str"/>
      <x:c r="T29" s="43" t="str"/>
      <x:c r="U29" s="43" t="str"/>
      <x:c r="V29" s="43" t="str"/>
      <x:c r="W29" s="43" t="str"/>
      <x:c r="X29" s="43" t="str"/>
      <x:c r="Y29" s="43" t="str"/>
      <x:c r="Z29" s="43" t="str"/>
      <x:c r="AA29" s="43" t="str"/>
      <x:c r="AB29" s="43" t="str"/>
      <x:c r="AC29" s="43" t="str"/>
      <x:c r="AD29" s="43" t="str"/>
      <x:c r="AE29" s="43" t="str"/>
      <x:c r="AF29" s="43" t="str"/>
      <x:c r="AG29" s="23" t="str">
        <x:v>Candidate surface form is directly representable in the public Ngram interface. The public Ngram endpoint returned an empty list; retained without fabricating annual zero frequencies.</x:v>
      </x:c>
    </x:row>
    <x:row r="30" ht="19" customHeight="1">
      <x:c r="A30" s="20" t="str">
        <x:v>FT-SEED-R1B-P-1842-29</x:v>
      </x:c>
      <x:c r="B30" s="22" t="str">
        <x:v>1842</x:v>
      </x:c>
      <x:c r="C30" s="22" t="str">
        <x:v>29</x:v>
      </x:c>
      <x:c r="D30" s="21" t="str">
        <x:v>sickness and mortality</x:v>
      </x:c>
      <x:c r="E30" s="21" t="str">
        <x:v>mortality</x:v>
      </x:c>
      <x:c r="F30" s="22" t="str">
        <x:v>harm_loss_consequences</x:v>
      </x:c>
      <x:c r="G30" s="22" t="str">
        <x:v>D</x:v>
      </x:c>
      <x:c r="H30" s="22" t="str">
        <x:v>V2</x:v>
      </x:c>
      <x:c r="I30" s="22" t="str">
        <x:v>E5</x:v>
      </x:c>
      <x:c r="J30" s="21" t="str">
        <x:v>RECONSTRUCTED_FROM_REPORT; Fear of Temperature_ Stratified Lexical Expansion, Voice Mapping, and Semantic-Relational Pre-Valida.pdf; p.7; project candidate FT-SEED-R1B-P-1842-29; original visible ID not available</x:v>
      </x:c>
      <x:c r="K30" s="21" t="str">
        <x:v>sickness and mortality</x:v>
      </x:c>
      <x:c r="L30" s="22" t="str">
        <x:v>EXACT</x:v>
      </x:c>
      <x:c r="M30" s="21" t="str">
        <x:v>SUCCEEDED_NEW</x:v>
      </x:c>
      <x:c r="N30" s="21" t="str">
        <x:v>FT-Q-P180-7E32BFDE7A55</x:v>
      </x:c>
      <x:c r="O30" s="22" t="str">
        <x:v>1842</x:v>
      </x:c>
      <x:c r="P30" s="22" t="str">
        <x:v>2022</x:v>
      </x:c>
      <x:c r="Q30" s="22" t="str">
        <x:v>1842</x:v>
      </x:c>
      <x:c r="R30" s="22" t="str">
        <x:v>181</x:v>
      </x:c>
      <x:c r="S30" s="22" t="str">
        <x:v>1875</x:v>
      </x:c>
      <x:c r="T30" s="43" t="str">
        <x:v>5.163315972556148e-07</x:v>
      </x:c>
      <x:c r="U30" s="43" t="str">
        <x:v>2.7180557848893727e-07</x:v>
      </x:c>
      <x:c r="V30" s="43" t="str">
        <x:v>2.6085028570488333e-07</x:v>
      </x:c>
      <x:c r="W30" s="43" t="str">
        <x:v>2.6979914180547127e-07</x:v>
      </x:c>
      <x:c r="X30" s="43" t="str">
        <x:v>2.887942960327905e-07</x:v>
      </x:c>
      <x:c r="Y30" s="43" t="str">
        <x:v>2.7180557848893727e-07</x:v>
      </x:c>
      <x:c r="Z30" s="43" t="str">
        <x:v>4.400460984488319e-08</x:v>
      </x:c>
      <x:c r="AA30" s="43" t="str">
        <x:v>7.135952065362439e-09</x:v>
      </x:c>
      <x:c r="AB30" s="43" t="str">
        <x:v>6.985664845193806e-09</x:v>
      </x:c>
      <x:c r="AC30" s="43" t="str">
        <x:v>7.67741414886558e-09</x:v>
      </x:c>
      <x:c r="AD30" s="43" t="str">
        <x:v>7.331539497029693e-09</x:v>
      </x:c>
      <x:c r="AE30" s="43" t="str">
        <x:v>7.348067390666735e-09</x:v>
      </x:c>
      <x:c r="AF30" s="43" t="str">
        <x:v>1.8919435802733364e-08</x:v>
      </x:c>
      <x:c r="AG30" s="23" t="str">
        <x:v>Candidate surface form is directly representable in the public Ngram interface. New unsmoothed 1842–2022 series retrieved for the candidate audit.</x:v>
      </x:c>
    </x:row>
    <x:row r="31" ht="19" customHeight="1">
      <x:c r="A31" s="20" t="str">
        <x:v>FT-SEED-R1B-P-1842-30</x:v>
      </x:c>
      <x:c r="B31" s="22" t="str">
        <x:v>1842</x:v>
      </x:c>
      <x:c r="C31" s="22" t="str">
        <x:v>30</x:v>
      </x:c>
      <x:c r="D31" s="21" t="str">
        <x:v>alarm to the public</x:v>
      </x:c>
      <x:c r="E31" s="21" t="str">
        <x:v>public alarm</x:v>
      </x:c>
      <x:c r="F31" s="22" t="str">
        <x:v>concern_alarm</x:v>
      </x:c>
      <x:c r="G31" s="22" t="str">
        <x:v>C</x:v>
      </x:c>
      <x:c r="H31" s="22" t="str">
        <x:v>V3</x:v>
      </x:c>
      <x:c r="I31" s="22" t="str">
        <x:v>E5</x:v>
      </x:c>
      <x:c r="J31" s="21" t="str">
        <x:v>RECONSTRUCTED_FROM_REPORT; Fear of Temperature_ Stratified Lexical Expansion, Voice Mapping, and Semantic-Relational Pre-Valida.pdf; p.7; project candidate FT-SEED-R1B-P-1842-30; original visible ID not available</x:v>
      </x:c>
      <x:c r="K31" s="21" t="str">
        <x:v>alarm to the public</x:v>
      </x:c>
      <x:c r="L31" s="22" t="str">
        <x:v>EXACT</x:v>
      </x:c>
      <x:c r="M31" s="21" t="str">
        <x:v>SUCCEEDED_NEW</x:v>
      </x:c>
      <x:c r="N31" s="21" t="str">
        <x:v>FT-Q-P180-668E6FC2A222</x:v>
      </x:c>
      <x:c r="O31" s="22" t="str">
        <x:v>1842</x:v>
      </x:c>
      <x:c r="P31" s="22" t="str">
        <x:v>2022</x:v>
      </x:c>
      <x:c r="Q31" s="22" t="str">
        <x:v>1842</x:v>
      </x:c>
      <x:c r="R31" s="22" t="str">
        <x:v>179</x:v>
      </x:c>
      <x:c r="S31" s="22" t="str">
        <x:v>1850</x:v>
      </x:c>
      <x:c r="T31" s="43" t="str">
        <x:v>1.0281119067201416e-08</x:v>
      </x:c>
      <x:c r="U31" s="43" t="str">
        <x:v>2.9337727802669633e-09</x:v>
      </x:c>
      <x:c r="V31" s="43" t="str">
        <x:v>2.216764855011988e-09</x:v>
      </x:c>
      <x:c r="W31" s="43" t="str">
        <x:v>2.3911314039892773e-09</x:v>
      </x:c>
      <x:c r="X31" s="43" t="str">
        <x:v>2.9337727802669633e-09</x:v>
      </x:c>
      <x:c r="Y31" s="43" t="str">
        <x:v>2.9337727802669633e-09</x:v>
      </x:c>
      <x:c r="Z31" s="43" t="str">
        <x:v>1.8962480474726817e-09</x:v>
      </x:c>
      <x:c r="AA31" s="43" t="str">
        <x:v>2.6292932275850944e-09</x:v>
      </x:c>
      <x:c r="AB31" s="43" t="str">
        <x:v>1.4034629014503253e-09</x:v>
      </x:c>
      <x:c r="AC31" s="43" t="str">
        <x:v>1.373820279759741e-09</x:v>
      </x:c>
      <x:c r="AD31" s="43" t="str">
        <x:v>1.3886415906050331e-09</x:v>
      </x:c>
      <x:c r="AE31" s="43" t="str">
        <x:v>4.839150191671138e-10</x:v>
      </x:c>
      <x:c r="AF31" s="43" t="str">
        <x:v>1.7275971764263431e-09</x:v>
      </x:c>
      <x:c r="AG31" s="23" t="str">
        <x:v>Candidate surface form is directly representable in the public Ngram interface. New unsmoothed 1842–2022 series retrieved for the candidate audit.</x:v>
      </x:c>
    </x:row>
    <x:row r="32" ht="19" customHeight="1">
      <x:c r="A32" s="20" t="str">
        <x:v>FT-SEED-R1B-P-1938-01</x:v>
      </x:c>
      <x:c r="B32" s="22" t="str">
        <x:v>1938</x:v>
      </x:c>
      <x:c r="C32" s="22" t="str">
        <x:v>1</x:v>
      </x:c>
      <x:c r="D32" s="21" t="str">
        <x:v>artificial production of carbon dioxide</x:v>
      </x:c>
      <x:c r="E32" s="21" t="str">
        <x:v>anthropogenic carbon-dioxide production</x:v>
      </x:c>
      <x:c r="F32" s="22" t="str">
        <x:v>carbon_greenhouse</x:v>
      </x:c>
      <x:c r="G32" s="22" t="str">
        <x:v>B</x:v>
      </x:c>
      <x:c r="H32" s="22" t="str">
        <x:v>V1</x:v>
      </x:c>
      <x:c r="I32" s="22" t="str">
        <x:v>E5</x:v>
      </x:c>
      <x:c r="J32" s="21" t="str">
        <x:v>RECONSTRUCTED_FROM_REPORT; Fear of Temperature_ Stratified Lexical Expansion, Voice Mapping, and Semantic-Relational Pre-Valida.pdf; p.7; project candidate FT-SEED-R1B-P-1938-01; original visible ID not available</x:v>
      </x:c>
      <x:c r="K32" s="21" t="str">
        <x:v>artificial production of carbon dioxide</x:v>
      </x:c>
      <x:c r="L32" s="22" t="str">
        <x:v>EXACT</x:v>
      </x:c>
      <x:c r="M32" s="21" t="str">
        <x:v>SUCCEEDED_REUSED_BASELINE</x:v>
      </x:c>
      <x:c r="N32" s="21" t="str">
        <x:v>FT-Q-V01-021</x:v>
      </x:c>
      <x:c r="O32" s="22" t="str">
        <x:v>1842</x:v>
      </x:c>
      <x:c r="P32" s="22" t="str">
        <x:v>2022</x:v>
      </x:c>
      <x:c r="Q32" s="22" t="str">
        <x:v>1902</x:v>
      </x:c>
      <x:c r="R32" s="22" t="str">
        <x:v>79</x:v>
      </x:c>
      <x:c r="S32" s="22" t="str">
        <x:v>1938</x:v>
      </x:c>
      <x:c r="T32" s="43" t="str">
        <x:v>4.288904842386643e-09</x:v>
      </x:c>
      <x:c r="U32" s="43" t="str">
        <x:v>4.288904842386643e-09</x:v>
      </x:c>
      <x:c r="V32" s="43" t="str">
        <x:v>1.0332850186589582e-09</x:v>
      </x:c>
      <x:c r="W32" s="43" t="str">
        <x:v>2.8462429635389697e-10</x:v>
      </x:c>
      <x:c r="X32" s="43" t="str">
        <x:v>4.288904842386643e-09</x:v>
      </x:c>
      <x:c r="Y32" s="43" t="str">
        <x:v>0.0</x:v>
      </x:c>
      <x:c r="Z32" s="43" t="str">
        <x:v>4.288904842386643e-09</x:v>
      </x:c>
      <x:c r="AA32" s="43" t="str">
        <x:v>3.2583505338301677e-10</x:v>
      </x:c>
      <x:c r="AB32" s="43" t="str">
        <x:v>5.240586020693883e-10</x:v>
      </x:c>
      <x:c r="AC32" s="43" t="str">
        <x:v>9.678072787622227e-10</x:v>
      </x:c>
      <x:c r="AD32" s="43" t="str">
        <x:v>7.459329404158055e-10</x:v>
      </x:c>
      <x:c r="AE32" s="43" t="str">
        <x:v>1.1517647946490683e-09</x:v>
      </x:c>
      <x:c r="AF32" s="43" t="str">
        <x:v>1.7940347540879031e-09</x:v>
      </x:c>
      <x:c r="AG32" s="23" t="str">
        <x:v>Candidate surface form is directly representable in the public Ngram interface. Complete 1842–2022 unsmoothed series reused from the audited quantitative-v0.1 baseline.</x:v>
      </x:c>
    </x:row>
    <x:row r="33" ht="19" customHeight="1">
      <x:c r="A33" s="20" t="str">
        <x:v>FT-SEED-R1B-P-1938-02</x:v>
      </x:c>
      <x:c r="B33" s="22" t="str">
        <x:v>1938</x:v>
      </x:c>
      <x:c r="C33" s="22" t="str">
        <x:v>2</x:v>
      </x:c>
      <x:c r="D33" s="21" t="str">
        <x:v>carbon dioxide</x:v>
      </x:c>
      <x:c r="E33" s="21" t="str">
        <x:v>atmospheric carbon dioxide</x:v>
      </x:c>
      <x:c r="F33" s="22" t="str">
        <x:v>carbon_greenhouse</x:v>
      </x:c>
      <x:c r="G33" s="22" t="str">
        <x:v>B</x:v>
      </x:c>
      <x:c r="H33" s="22" t="str">
        <x:v>V1</x:v>
      </x:c>
      <x:c r="I33" s="22" t="str">
        <x:v>E5</x:v>
      </x:c>
      <x:c r="J33" s="21" t="str">
        <x:v>RECONSTRUCTED_FROM_REPORT; Fear of Temperature_ Stratified Lexical Expansion, Voice Mapping, and Semantic-Relational Pre-Valida.pdf; p.7; project candidate FT-SEED-R1B-P-1938-02; original visible ID not available</x:v>
      </x:c>
      <x:c r="K33" s="21" t="str">
        <x:v>carbon dioxide</x:v>
      </x:c>
      <x:c r="L33" s="22" t="str">
        <x:v>EXACT</x:v>
      </x:c>
      <x:c r="M33" s="21" t="str">
        <x:v>SUCCEEDED_REUSED_BASELINE</x:v>
      </x:c>
      <x:c r="N33" s="21" t="str">
        <x:v>FT-Q-V01-022</x:v>
      </x:c>
      <x:c r="O33" s="22" t="str">
        <x:v>1842</x:v>
      </x:c>
      <x:c r="P33" s="22" t="str">
        <x:v>2022</x:v>
      </x:c>
      <x:c r="Q33" s="22" t="str">
        <x:v>1842</x:v>
      </x:c>
      <x:c r="R33" s="22" t="str">
        <x:v>177</x:v>
      </x:c>
      <x:c r="S33" s="22" t="str">
        <x:v>1965</x:v>
      </x:c>
      <x:c r="T33" s="43" t="str">
        <x:v>1.041381219862858e-05</x:v>
      </x:c>
      <x:c r="U33" s="43" t="str">
        <x:v>9.657730330014935e-06</x:v>
      </x:c>
      <x:c r="V33" s="43" t="str">
        <x:v>8.807275233857492e-06</x:v>
      </x:c>
      <x:c r="W33" s="43" t="str">
        <x:v>8.965923886772309e-06</x:v>
      </x:c>
      <x:c r="X33" s="43" t="str">
        <x:v>9.657730330014935e-06</x:v>
      </x:c>
      <x:c r="Y33" s="43" t="str">
        <x:v>7.094871634638622e-09</x:v>
      </x:c>
      <x:c r="Z33" s="43" t="str">
        <x:v>9.657730330014935e-06</x:v>
      </x:c>
      <x:c r="AA33" s="43" t="str">
        <x:v>7.055988905570881e-06</x:v>
      </x:c>
      <x:c r="AB33" s="43" t="str">
        <x:v>6.240827137342364e-06</x:v>
      </x:c>
      <x:c r="AC33" s="43" t="str">
        <x:v>7.639031842188865e-06</x:v>
      </x:c>
      <x:c r="AD33" s="43" t="str">
        <x:v>6.939929489765614e-06</x:v>
      </x:c>
      <x:c r="AE33" s="43" t="str">
        <x:v>7.018469256155763e-06</x:v>
      </x:c>
      <x:c r="AF33" s="43" t="str">
        <x:v>7.5778903684264876e-06</x:v>
      </x:c>
      <x:c r="AG33" s="23" t="str">
        <x:v>Candidate surface form is directly representable in the public Ngram interface. Complete 1842–2022 unsmoothed series reused from the audited quantitative-v0.1 baseline.</x:v>
      </x:c>
    </x:row>
    <x:row r="34" ht="19" customHeight="1">
      <x:c r="A34" s="20" t="str">
        <x:v>FT-SEED-R1B-P-1938-03</x:v>
      </x:c>
      <x:c r="B34" s="22" t="str">
        <x:v>1938</x:v>
      </x:c>
      <x:c r="C34" s="22" t="str">
        <x:v>3</x:v>
      </x:c>
      <x:c r="D34" s="21" t="str">
        <x:v>fuel combustion</x:v>
      </x:c>
      <x:c r="E34" s="21" t="str">
        <x:v>anthropogenic carbon-dioxide production</x:v>
      </x:c>
      <x:c r="F34" s="22" t="str">
        <x:v>carbon_greenhouse</x:v>
      </x:c>
      <x:c r="G34" s="22" t="str">
        <x:v>B</x:v>
      </x:c>
      <x:c r="H34" s="22" t="str">
        <x:v>V1</x:v>
      </x:c>
      <x:c r="I34" s="22" t="str">
        <x:v>E5</x:v>
      </x:c>
      <x:c r="J34" s="21" t="str">
        <x:v>RECONSTRUCTED_FROM_REPORT; Fear of Temperature_ Stratified Lexical Expansion, Voice Mapping, and Semantic-Relational Pre-Valida.pdf; p.8; project candidate FT-SEED-R1B-P-1938-03; original visible ID not available</x:v>
      </x:c>
      <x:c r="K34" s="21" t="str">
        <x:v>fuel combustion</x:v>
      </x:c>
      <x:c r="L34" s="22" t="str">
        <x:v>EXACT</x:v>
      </x:c>
      <x:c r="M34" s="21" t="str">
        <x:v>SUCCEEDED_REUSED_BASELINE</x:v>
      </x:c>
      <x:c r="N34" s="21" t="str">
        <x:v>FT-Q-V01-023</x:v>
      </x:c>
      <x:c r="O34" s="22" t="str">
        <x:v>1842</x:v>
      </x:c>
      <x:c r="P34" s="22" t="str">
        <x:v>2022</x:v>
      </x:c>
      <x:c r="Q34" s="22" t="str">
        <x:v>1852</x:v>
      </x:c>
      <x:c r="R34" s="22" t="str">
        <x:v>163</x:v>
      </x:c>
      <x:c r="S34" s="22" t="str">
        <x:v>1978</x:v>
      </x:c>
      <x:c r="T34" s="43" t="str">
        <x:v>4.6729913591447847e-07</x:v>
      </x:c>
      <x:c r="U34" s="43" t="str">
        <x:v>3.608451315528782e-08</x:v>
      </x:c>
      <x:c r="V34" s="43" t="str">
        <x:v>3.974408916973538e-08</x:v>
      </x:c>
      <x:c r="W34" s="43" t="str">
        <x:v>4.17900504756652e-08</x:v>
      </x:c>
      <x:c r="X34" s="43" t="str">
        <x:v>4.519546270564945e-08</x:v>
      </x:c>
      <x:c r="Y34" s="43" t="str">
        <x:v>0.0</x:v>
      </x:c>
      <x:c r="Z34" s="43" t="str">
        <x:v>3.608451315528782e-08</x:v>
      </x:c>
      <x:c r="AA34" s="43" t="str">
        <x:v>2.62274336634144e-07</x:v>
      </x:c>
      <x:c r="AB34" s="43" t="str">
        <x:v>1.3963425543606078e-07</x:v>
      </x:c>
      <x:c r="AC34" s="43" t="str">
        <x:v>1.8147586466898957e-07</x:v>
      </x:c>
      <x:c r="AD34" s="43" t="str">
        <x:v>1.6055506005252518e-07</x:v>
      </x:c>
      <x:c r="AE34" s="43" t="str">
        <x:v>1.9647659771360182e-07</x:v>
      </x:c>
      <x:c r="AF34" s="43" t="str">
        <x:v>2.188545896730787e-07</x:v>
      </x:c>
      <x:c r="AG34" s="23" t="str">
        <x:v>Candidate surface form is directly representable in the public Ngram interface. Complete 1842–2022 unsmoothed series reused from the audited quantitative-v0.1 baseline.</x:v>
      </x:c>
    </x:row>
    <x:row r="35" ht="19" customHeight="1">
      <x:c r="A35" s="20" t="str">
        <x:v>FT-SEED-R1B-P-1938-04</x:v>
      </x:c>
      <x:c r="B35" s="22" t="str">
        <x:v>1938</x:v>
      </x:c>
      <x:c r="C35" s="22" t="str">
        <x:v>4</x:v>
      </x:c>
      <x:c r="D35" s="21" t="str">
        <x:v>air</x:v>
      </x:c>
      <x:c r="E35" s="21" t="str">
        <x:v>historical climate / climatological condition</x:v>
      </x:c>
      <x:c r="F35" s="22" t="str">
        <x:v>climate</x:v>
      </x:c>
      <x:c r="G35" s="22" t="str">
        <x:v>B</x:v>
      </x:c>
      <x:c r="H35" s="22" t="str">
        <x:v>V1</x:v>
      </x:c>
      <x:c r="I35" s="22" t="str">
        <x:v>E5</x:v>
      </x:c>
      <x:c r="J35" s="21" t="str">
        <x:v>RECONSTRUCTED_FROM_REPORT; Fear of Temperature_ Stratified Lexical Expansion, Voice Mapping, and Semantic-Relational Pre-Valida.pdf; p.8; project candidate FT-SEED-R1B-P-1938-04; original visible ID not available</x:v>
      </x:c>
      <x:c r="K35" s="21" t="str">
        <x:v>air</x:v>
      </x:c>
      <x:c r="L35" s="22" t="str">
        <x:v>EXACT</x:v>
      </x:c>
      <x:c r="M35" s="21" t="str">
        <x:v>SUCCEEDED_REUSED_BASELINE</x:v>
      </x:c>
      <x:c r="N35" s="21" t="str">
        <x:v>FT-Q-V01-024</x:v>
      </x:c>
      <x:c r="O35" s="22" t="str">
        <x:v>1842</x:v>
      </x:c>
      <x:c r="P35" s="22" t="str">
        <x:v>2022</x:v>
      </x:c>
      <x:c r="Q35" s="22" t="str">
        <x:v>1842</x:v>
      </x:c>
      <x:c r="R35" s="22" t="str">
        <x:v>181</x:v>
      </x:c>
      <x:c r="S35" s="22" t="str">
        <x:v>1944</x:v>
      </x:c>
      <x:c r="T35" s="43" t="str">
        <x:v>0.0003521059437459062</x:v>
      </x:c>
      <x:c r="U35" s="43" t="str">
        <x:v>0.0002449050748590531</x:v>
      </x:c>
      <x:c r="V35" s="43" t="str">
        <x:v>0.00023519730591028688</x:v>
      </x:c>
      <x:c r="W35" s="43" t="str">
        <x:v>0.00024117282765812043</x:v>
      </x:c>
      <x:c r="X35" s="43" t="str">
        <x:v>0.00025274040395867337</x:v>
      </x:c>
      <x:c r="Y35" s="43" t="str">
        <x:v>0.00015969511764524214</x:v>
      </x:c>
      <x:c r="Z35" s="43" t="str">
        <x:v>0.0002449050748590531</x:v>
      </x:c>
      <x:c r="AA35" s="43" t="str">
        <x:v>0.00019588275840055902</x:v>
      </x:c>
      <x:c r="AB35" s="43" t="str">
        <x:v>0.00015542482653079642</x:v>
      </x:c>
      <x:c r="AC35" s="43" t="str">
        <x:v>0.0001617948143970288</x:v>
      </x:c>
      <x:c r="AD35" s="43" t="str">
        <x:v>0.00015860982046391262</x:v>
      </x:c>
      <x:c r="AE35" s="43" t="str">
        <x:v>0.0001673772195566331</x:v>
      </x:c>
      <x:c r="AF35" s="43" t="str">
        <x:v>0.00016292625959826723</x:v>
      </x:c>
      <x:c r="AG35" s="23" t="str">
        <x:v>Candidate surface form is directly representable in the public Ngram interface. Complete 1842–2022 unsmoothed series reused from the audited quantitative-v0.1 baseline.</x:v>
      </x:c>
    </x:row>
    <x:row r="36" ht="19" customHeight="1">
      <x:c r="A36" s="20" t="str">
        <x:v>FT-SEED-R1B-P-1938-05</x:v>
      </x:c>
      <x:c r="B36" s="22" t="str">
        <x:v>1938</x:v>
      </x:c>
      <x:c r="C36" s="22" t="str">
        <x:v>5</x:v>
      </x:c>
      <x:c r="D36" s="21" t="str">
        <x:v>atmosphere</x:v>
      </x:c>
      <x:c r="E36" s="21" t="str">
        <x:v>historical climate / climatological condition</x:v>
      </x:c>
      <x:c r="F36" s="22" t="str">
        <x:v>climate</x:v>
      </x:c>
      <x:c r="G36" s="22" t="str">
        <x:v>B</x:v>
      </x:c>
      <x:c r="H36" s="22" t="str">
        <x:v>V1</x:v>
      </x:c>
      <x:c r="I36" s="22" t="str">
        <x:v>E5</x:v>
      </x:c>
      <x:c r="J36" s="21" t="str">
        <x:v>RECONSTRUCTED_FROM_REPORT; Fear of Temperature_ Stratified Lexical Expansion, Voice Mapping, and Semantic-Relational Pre-Valida.pdf; p.8; project candidate FT-SEED-R1B-P-1938-05; original visible ID not available</x:v>
      </x:c>
      <x:c r="K36" s="21" t="str">
        <x:v>atmosphere</x:v>
      </x:c>
      <x:c r="L36" s="22" t="str">
        <x:v>EXACT</x:v>
      </x:c>
      <x:c r="M36" s="21" t="str">
        <x:v>SUCCEEDED_REUSED_BASELINE</x:v>
      </x:c>
      <x:c r="N36" s="21" t="str">
        <x:v>FT-Q-V01-025</x:v>
      </x:c>
      <x:c r="O36" s="22" t="str">
        <x:v>1842</x:v>
      </x:c>
      <x:c r="P36" s="22" t="str">
        <x:v>2022</x:v>
      </x:c>
      <x:c r="Q36" s="22" t="str">
        <x:v>1842</x:v>
      </x:c>
      <x:c r="R36" s="22" t="str">
        <x:v>181</x:v>
      </x:c>
      <x:c r="S36" s="22" t="str">
        <x:v>1965</x:v>
      </x:c>
      <x:c r="T36" s="43" t="str">
        <x:v>3.836178537423851e-05</x:v>
      </x:c>
      <x:c r="U36" s="43" t="str">
        <x:v>1.888270770677991e-05</x:v>
      </x:c>
      <x:c r="V36" s="43" t="str">
        <x:v>1.742774464617014e-05</x:v>
      </x:c>
      <x:c r="W36" s="43" t="str">
        <x:v>1.7344184584544564e-05</x:v>
      </x:c>
      <x:c r="X36" s="43" t="str">
        <x:v>1.888270770677991e-05</x:v>
      </x:c>
      <x:c r="Y36" s="43" t="str">
        <x:v>2.831485350895946e-05</x:v>
      </x:c>
      <x:c r="Z36" s="43" t="str">
        <x:v>1.888270770677991e-05</x:v>
      </x:c>
      <x:c r="AA36" s="43" t="str">
        <x:v>2.3679818696109578e-05</x:v>
      </x:c>
      <x:c r="AB36" s="43" t="str">
        <x:v>2.1267784958922675e-05</x:v>
      </x:c>
      <x:c r="AC36" s="43" t="str">
        <x:v>2.1730444364424784e-05</x:v>
      </x:c>
      <x:c r="AD36" s="43" t="str">
        <x:v>2.149911466167373e-05</x:v>
      </x:c>
      <x:c r="AE36" s="43" t="str">
        <x:v>2.1225219477810642e-05</x:v>
      </x:c>
      <x:c r="AF36" s="43" t="str">
        <x:v>2.2702114429534737e-05</x:v>
      </x:c>
      <x:c r="AG36" s="23" t="str">
        <x:v>Candidate surface form is directly representable in the public Ngram interface. Complete 1842–2022 unsmoothed series reused from the audited quantitative-v0.1 baseline.</x:v>
      </x:c>
    </x:row>
    <x:row r="37" ht="19" customHeight="1">
      <x:c r="A37" s="20" t="str">
        <x:v>FT-SEED-R1B-P-1938-06</x:v>
      </x:c>
      <x:c r="B37" s="22" t="str">
        <x:v>1938</x:v>
      </x:c>
      <x:c r="C37" s="22" t="str">
        <x:v>6</x:v>
      </x:c>
      <x:c r="D37" s="21" t="str">
        <x:v>radiation absorption coefficients</x:v>
      </x:c>
      <x:c r="E37" s="21" t="str">
        <x:v>historical climate / climatological condition</x:v>
      </x:c>
      <x:c r="F37" s="22" t="str">
        <x:v>climate</x:v>
      </x:c>
      <x:c r="G37" s="22" t="str">
        <x:v>B</x:v>
      </x:c>
      <x:c r="H37" s="22" t="str">
        <x:v>V1</x:v>
      </x:c>
      <x:c r="I37" s="22" t="str">
        <x:v>E5</x:v>
      </x:c>
      <x:c r="J37" s="21" t="str">
        <x:v>RECONSTRUCTED_FROM_REPORT; Fear of Temperature_ Stratified Lexical Expansion, Voice Mapping, and Semantic-Relational Pre-Valida.pdf; p.8; project candidate FT-SEED-R1B-P-1938-06; original visible ID not available</x:v>
      </x:c>
      <x:c r="K37" s="21" t="str">
        <x:v>radiation absorption coefficients</x:v>
      </x:c>
      <x:c r="L37" s="22" t="str">
        <x:v>EXACT</x:v>
      </x:c>
      <x:c r="M37" s="21" t="str">
        <x:v>SUCCEEDED_REUSED_BASELINE</x:v>
      </x:c>
      <x:c r="N37" s="21" t="str">
        <x:v>FT-Q-V01-026</x:v>
      </x:c>
      <x:c r="O37" s="22" t="str">
        <x:v>1842</x:v>
      </x:c>
      <x:c r="P37" s="22" t="str">
        <x:v>2022</x:v>
      </x:c>
      <x:c r="Q37" s="22" t="str">
        <x:v>1929</x:v>
      </x:c>
      <x:c r="R37" s="22" t="str">
        <x:v>76</x:v>
      </x:c>
      <x:c r="S37" s="22" t="str">
        <x:v>1982</x:v>
      </x:c>
      <x:c r="T37" s="43" t="str">
        <x:v>6.3270380878943655e-09</x:v>
      </x:c>
      <x:c r="U37" s="43" t="str">
        <x:v>1.2223502210417792e-09</x:v>
      </x:c>
      <x:c r="V37" s="43" t="str">
        <x:v>3.3633488494277943e-10</x:v>
      </x:c>
      <x:c r="W37" s="43" t="str">
        <x:v>1.2238243751738764e-10</x:v>
      </x:c>
      <x:c r="X37" s="43" t="str">
        <x:v>1.2223502210417792e-09</x:v>
      </x:c>
      <x:c r="Y37" s="43" t="str">
        <x:v>0.0</x:v>
      </x:c>
      <x:c r="Z37" s="43" t="str">
        <x:v>1.2223502210417792e-09</x:v>
      </x:c>
      <x:c r="AA37" s="43" t="str">
        <x:v>3.7842168287838263e-10</x:v>
      </x:c>
      <x:c r="AB37" s="43" t="str">
        <x:v>9.908744658115864e-11</x:v>
      </x:c>
      <x:c r="AC37" s="43" t="str">
        <x:v>3.8872981222848324e-10</x:v>
      </x:c>
      <x:c r="AD37" s="43" t="str">
        <x:v>2.4390862940482094e-10</x:v>
      </x:c>
      <x:c r="AE37" s="43" t="str">
        <x:v>9.997370292724739e-11</x:v>
      </x:c>
      <x:c r="AF37" s="43" t="str">
        <x:v>4.729858865681891e-11</x:v>
      </x:c>
      <x:c r="AG37" s="23" t="str">
        <x:v>Candidate surface form is directly representable in the public Ngram interface. Complete 1842–2022 unsmoothed series reused from the audited quantitative-v0.1 baseline.</x:v>
      </x:c>
    </x:row>
    <x:row r="38" ht="19" customHeight="1">
      <x:c r="A38" s="20" t="str">
        <x:v>FT-SEED-R1B-P-1938-07</x:v>
      </x:c>
      <x:c r="B38" s="22" t="str">
        <x:v>1938</x:v>
      </x:c>
      <x:c r="C38" s="22" t="str">
        <x:v>7</x:v>
      </x:c>
      <x:c r="D38" s="21" t="str">
        <x:v>water vapour</x:v>
      </x:c>
      <x:c r="E38" s="21" t="str">
        <x:v>historical climate / climatological condition</x:v>
      </x:c>
      <x:c r="F38" s="22" t="str">
        <x:v>climate</x:v>
      </x:c>
      <x:c r="G38" s="22" t="str">
        <x:v>B</x:v>
      </x:c>
      <x:c r="H38" s="22" t="str">
        <x:v>V1</x:v>
      </x:c>
      <x:c r="I38" s="22" t="str">
        <x:v>E5</x:v>
      </x:c>
      <x:c r="J38" s="21" t="str">
        <x:v>RECONSTRUCTED_FROM_REPORT; Fear of Temperature_ Stratified Lexical Expansion, Voice Mapping, and Semantic-Relational Pre-Valida.pdf; p.8; project candidate FT-SEED-R1B-P-1938-07; original visible ID not available</x:v>
      </x:c>
      <x:c r="K38" s="21" t="str">
        <x:v>water vapour</x:v>
      </x:c>
      <x:c r="L38" s="22" t="str">
        <x:v>EXACT</x:v>
      </x:c>
      <x:c r="M38" s="21" t="str">
        <x:v>SUCCEEDED_REUSED_BASELINE</x:v>
      </x:c>
      <x:c r="N38" s="21" t="str">
        <x:v>FT-Q-V01-027</x:v>
      </x:c>
      <x:c r="O38" s="22" t="str">
        <x:v>1842</x:v>
      </x:c>
      <x:c r="P38" s="22" t="str">
        <x:v>2022</x:v>
      </x:c>
      <x:c r="Q38" s="22" t="str">
        <x:v>1842</x:v>
      </x:c>
      <x:c r="R38" s="22" t="str">
        <x:v>181</x:v>
      </x:c>
      <x:c r="S38" s="22" t="str">
        <x:v>1960</x:v>
      </x:c>
      <x:c r="T38" s="43" t="str">
        <x:v>1.1089097011682258e-06</x:v>
      </x:c>
      <x:c r="U38" s="43" t="str">
        <x:v>6.766959614878942e-07</x:v>
      </x:c>
      <x:c r="V38" s="43" t="str">
        <x:v>6.369132615313689e-07</x:v>
      </x:c>
      <x:c r="W38" s="43" t="str">
        <x:v>6.331438489881602e-07</x:v>
      </x:c>
      <x:c r="X38" s="43" t="str">
        <x:v>6.85133948130634e-07</x:v>
      </x:c>
      <x:c r="Y38" s="43" t="str">
        <x:v>4.514918217068953e-09</x:v>
      </x:c>
      <x:c r="Z38" s="43" t="str">
        <x:v>6.766959614878942e-07</x:v>
      </x:c>
      <x:c r="AA38" s="43" t="str">
        <x:v>6.493189931566778e-07</x:v>
      </x:c>
      <x:c r="AB38" s="43" t="str">
        <x:v>5.637561245712408e-07</x:v>
      </x:c>
      <x:c r="AC38" s="43" t="str">
        <x:v>5.652062349884024e-07</x:v>
      </x:c>
      <x:c r="AD38" s="43" t="str">
        <x:v>5.644811797798216e-07</x:v>
      </x:c>
      <x:c r="AE38" s="43" t="str">
        <x:v>5.057859777633789e-07</x:v>
      </x:c>
      <x:c r="AF38" s="43" t="str">
        <x:v>5.510517200879583e-07</x:v>
      </x:c>
      <x:c r="AG38" s="23" t="str">
        <x:v>Candidate surface form is directly representable in the public Ngram interface. Complete 1842–2022 unsmoothed series reused from the audited quantitative-v0.1 baseline.</x:v>
      </x:c>
    </x:row>
    <x:row r="39" ht="19" customHeight="1">
      <x:c r="A39" s="20" t="str">
        <x:v>FT-SEED-R1B-P-1938-08</x:v>
      </x:c>
      <x:c r="B39" s="22" t="str">
        <x:v>1938</x:v>
      </x:c>
      <x:c r="C39" s="22" t="str">
        <x:v>8</x:v>
      </x:c>
      <x:c r="D39" s="21" t="str">
        <x:v>sky radiation</x:v>
      </x:c>
      <x:c r="E39" s="21" t="str">
        <x:v>historical climate / climatological condition</x:v>
      </x:c>
      <x:c r="F39" s="22" t="str">
        <x:v>climate</x:v>
      </x:c>
      <x:c r="G39" s="22" t="str">
        <x:v>B</x:v>
      </x:c>
      <x:c r="H39" s="22" t="str">
        <x:v>V1</x:v>
      </x:c>
      <x:c r="I39" s="22" t="str">
        <x:v>E5</x:v>
      </x:c>
      <x:c r="J39" s="21" t="str">
        <x:v>RECONSTRUCTED_FROM_REPORT; Fear of Temperature_ Stratified Lexical Expansion, Voice Mapping, and Semantic-Relational Pre-Valida.pdf; p.8; project candidate FT-SEED-R1B-P-1938-08; original visible ID not available</x:v>
      </x:c>
      <x:c r="K39" s="21" t="str">
        <x:v>sky radiation</x:v>
      </x:c>
      <x:c r="L39" s="22" t="str">
        <x:v>EXACT</x:v>
      </x:c>
      <x:c r="M39" s="21" t="str">
        <x:v>SUCCEEDED_REUSED_BASELINE</x:v>
      </x:c>
      <x:c r="N39" s="21" t="str">
        <x:v>FT-Q-V01-028</x:v>
      </x:c>
      <x:c r="O39" s="22" t="str">
        <x:v>1842</x:v>
      </x:c>
      <x:c r="P39" s="22" t="str">
        <x:v>2022</x:v>
      </x:c>
      <x:c r="Q39" s="22" t="str">
        <x:v>1843</x:v>
      </x:c>
      <x:c r="R39" s="22" t="str">
        <x:v>162</x:v>
      </x:c>
      <x:c r="S39" s="22" t="str">
        <x:v>1964</x:v>
      </x:c>
      <x:c r="T39" s="43" t="str">
        <x:v>1.2076405697669657e-07</x:v>
      </x:c>
      <x:c r="U39" s="43" t="str">
        <x:v>7.016433356543672e-08</x:v>
      </x:c>
      <x:c r="V39" s="43" t="str">
        <x:v>4.266326549262622e-08</x:v>
      </x:c>
      <x:c r="W39" s="43" t="str">
        <x:v>4.4212759148232195e-08</x:v>
      </x:c>
      <x:c r="X39" s="43" t="str">
        <x:v>7.016433356543672e-08</x:v>
      </x:c>
      <x:c r="Y39" s="43" t="str">
        <x:v>0.0</x:v>
      </x:c>
      <x:c r="Z39" s="43" t="str">
        <x:v>7.016433356543672e-08</x:v>
      </x:c>
      <x:c r="AA39" s="43" t="str">
        <x:v>3.5190363623094356e-08</x:v>
      </x:c>
      <x:c r="AB39" s="43" t="str">
        <x:v>1.0117760393391073e-08</x:v>
      </x:c>
      <x:c r="AC39" s="43" t="str">
        <x:v>1.0974004739650045e-08</x:v>
      </x:c>
      <x:c r="AD39" s="43" t="str">
        <x:v>1.0545882566520559e-08</x:v>
      </x:c>
      <x:c r="AE39" s="43" t="str">
        <x:v>7.612475511065142e-09</x:v>
      </x:c>
      <x:c r="AF39" s="43" t="str">
        <x:v>8.007414870059293e-09</x:v>
      </x:c>
      <x:c r="AG39" s="23" t="str">
        <x:v>Candidate surface form is directly representable in the public Ngram interface. Complete 1842–2022 unsmoothed series reused from the audited quantitative-v0.1 baseline.</x:v>
      </x:c>
    </x:row>
    <x:row r="40" ht="19" customHeight="1">
      <x:c r="A40" s="20" t="str">
        <x:v>FT-SEED-R1B-P-1938-09</x:v>
      </x:c>
      <x:c r="B40" s="22" t="str">
        <x:v>1938</x:v>
      </x:c>
      <x:c r="C40" s="22" t="str">
        <x:v>9</x:v>
      </x:c>
      <x:c r="D40" s="21" t="str">
        <x:v>increase in mean temperature</x:v>
      </x:c>
      <x:c r="E40" s="21" t="str">
        <x:v>mean temperature</x:v>
      </x:c>
      <x:c r="F40" s="22" t="str">
        <x:v>temperature_threshold</x:v>
      </x:c>
      <x:c r="G40" s="22" t="str">
        <x:v>A</x:v>
      </x:c>
      <x:c r="H40" s="22" t="str">
        <x:v>V1</x:v>
      </x:c>
      <x:c r="I40" s="22" t="str">
        <x:v>E5</x:v>
      </x:c>
      <x:c r="J40" s="21" t="str">
        <x:v>RECONSTRUCTED_FROM_REPORT; Fear of Temperature_ Stratified Lexical Expansion, Voice Mapping, and Semantic-Relational Pre-Valida.pdf; p.8; project candidate FT-SEED-R1B-P-1938-09; original visible ID not available</x:v>
      </x:c>
      <x:c r="K40" s="21" t="str">
        <x:v>increase in mean temperature</x:v>
      </x:c>
      <x:c r="L40" s="22" t="str">
        <x:v>EXACT</x:v>
      </x:c>
      <x:c r="M40" s="21" t="str">
        <x:v>SUCCEEDED_REUSED_BASELINE</x:v>
      </x:c>
      <x:c r="N40" s="21" t="str">
        <x:v>FT-Q-V01-029</x:v>
      </x:c>
      <x:c r="O40" s="22" t="str">
        <x:v>1842</x:v>
      </x:c>
      <x:c r="P40" s="22" t="str">
        <x:v>2022</x:v>
      </x:c>
      <x:c r="Q40" s="22" t="str">
        <x:v>1868</x:v>
      </x:c>
      <x:c r="R40" s="22" t="str">
        <x:v>120</x:v>
      </x:c>
      <x:c r="S40" s="22" t="str">
        <x:v>1868</x:v>
      </x:c>
      <x:c r="T40" s="43" t="str">
        <x:v>4.0505838683202455e-09</x:v>
      </x:c>
      <x:c r="U40" s="43" t="str">
        <x:v>2.30258700995023e-09</x:v>
      </x:c>
      <x:c r="V40" s="43" t="str">
        <x:v>1.2013295913604338e-09</x:v>
      </x:c>
      <x:c r="W40" s="43" t="str">
        <x:v>6.679668484999013e-10</x:v>
      </x:c>
      <x:c r="X40" s="43" t="str">
        <x:v>2.30258700995023e-09</x:v>
      </x:c>
      <x:c r="Y40" s="43" t="str">
        <x:v>0.0</x:v>
      </x:c>
      <x:c r="Z40" s="43" t="str">
        <x:v>2.30258700995023e-09</x:v>
      </x:c>
      <x:c r="AA40" s="43" t="str">
        <x:v>1.2548899697151228e-09</x:v>
      </x:c>
      <x:c r="AB40" s="43" t="str">
        <x:v>1.5114215434763878e-09</x:v>
      </x:c>
      <x:c r="AC40" s="43" t="str">
        <x:v>2.430605078318493e-09</x:v>
      </x:c>
      <x:c r="AD40" s="43" t="str">
        <x:v>1.9710133108974404e-09</x:v>
      </x:c>
      <x:c r="AE40" s="43" t="str">
        <x:v>1.7743551072868513e-09</x:v>
      </x:c>
      <x:c r="AF40" s="43" t="str">
        <x:v>3.455194436119413e-09</x:v>
      </x:c>
      <x:c r="AG40" s="23" t="str">
        <x:v>Candidate surface form is directly representable in the public Ngram interface. Complete 1842–2022 unsmoothed series reused from the audited quantitative-v0.1 baseline.</x:v>
      </x:c>
    </x:row>
    <x:row r="41" ht="19" customHeight="1">
      <x:c r="A41" s="20" t="str">
        <x:v>FT-SEED-R1B-P-1938-10</x:v>
      </x:c>
      <x:c r="B41" s="22" t="str">
        <x:v>1938</x:v>
      </x:c>
      <x:c r="C41" s="22" t="str">
        <x:v>10</x:v>
      </x:c>
      <x:c r="D41" s="21" t="str">
        <x:v>mean temperature</x:v>
      </x:c>
      <x:c r="E41" s="21" t="str">
        <x:v>mean temperature</x:v>
      </x:c>
      <x:c r="F41" s="22" t="str">
        <x:v>temperature_threshold</x:v>
      </x:c>
      <x:c r="G41" s="22" t="str">
        <x:v>A</x:v>
      </x:c>
      <x:c r="H41" s="22" t="str">
        <x:v>V1</x:v>
      </x:c>
      <x:c r="I41" s="22" t="str">
        <x:v>E5</x:v>
      </x:c>
      <x:c r="J41" s="21" t="str">
        <x:v>RECONSTRUCTED_FROM_REPORT; Fear of Temperature_ Stratified Lexical Expansion, Voice Mapping, and Semantic-Relational Pre-Valida.pdf; p.8; project candidate FT-SEED-R1B-P-1938-10; original visible ID not available</x:v>
      </x:c>
      <x:c r="K41" s="21" t="str">
        <x:v>mean temperature</x:v>
      </x:c>
      <x:c r="L41" s="22" t="str">
        <x:v>EXACT</x:v>
      </x:c>
      <x:c r="M41" s="21" t="str">
        <x:v>SUCCEEDED_REUSED_BASELINE</x:v>
      </x:c>
      <x:c r="N41" s="21" t="str">
        <x:v>FT-Q-V01-030</x:v>
      </x:c>
      <x:c r="O41" s="22" t="str">
        <x:v>1842</x:v>
      </x:c>
      <x:c r="P41" s="22" t="str">
        <x:v>2022</x:v>
      </x:c>
      <x:c r="Q41" s="22" t="str">
        <x:v>1842</x:v>
      </x:c>
      <x:c r="R41" s="22" t="str">
        <x:v>181</x:v>
      </x:c>
      <x:c r="S41" s="22" t="str">
        <x:v>1858</x:v>
      </x:c>
      <x:c r="T41" s="43" t="str">
        <x:v>3.219442511692705e-06</x:v>
      </x:c>
      <x:c r="U41" s="43" t="str">
        <x:v>1.0646044789619502e-06</x:v>
      </x:c>
      <x:c r="V41" s="43" t="str">
        <x:v>8.800343775428044e-07</x:v>
      </x:c>
      <x:c r="W41" s="43" t="str">
        <x:v>8.062782838325067e-07</x:v>
      </x:c>
      <x:c r="X41" s="43" t="str">
        <x:v>1.0646044789619502e-06</x:v>
      </x:c>
      <x:c r="Y41" s="43" t="str">
        <x:v>2.3651722909079353e-06</x:v>
      </x:c>
      <x:c r="Z41" s="43" t="str">
        <x:v>1.0646044789619502e-06</x:v>
      </x:c>
      <x:c r="AA41" s="43" t="str">
        <x:v>5.396020415979197e-07</x:v>
      </x:c>
      <x:c r="AB41" s="43" t="str">
        <x:v>4.0590074483481953e-07</x:v>
      </x:c>
      <x:c r="AC41" s="43" t="str">
        <x:v>4.2002552441688934e-07</x:v>
      </x:c>
      <x:c r="AD41" s="43" t="str">
        <x:v>4.1296313462585443e-07</x:v>
      </x:c>
      <x:c r="AE41" s="43" t="str">
        <x:v>3.0473253164603475e-07</x:v>
      </x:c>
      <x:c r="AF41" s="43" t="str">
        <x:v>3.990877988080399e-07</x:v>
      </x:c>
      <x:c r="AG41" s="23" t="str">
        <x:v>Candidate surface form is directly representable in the public Ngram interface. Complete 1842–2022 unsmoothed series reused from the audited quantitative-v0.1 baseline.</x:v>
      </x:c>
    </x:row>
    <x:row r="42" ht="19" customHeight="1">
      <x:c r="A42" s="20" t="str">
        <x:v>FT-SEED-R1B-P-1938-11</x:v>
      </x:c>
      <x:c r="B42" s="22" t="str">
        <x:v>1938</x:v>
      </x:c>
      <x:c r="C42" s="22" t="str">
        <x:v>11</x:v>
      </x:c>
      <x:c r="D42" s="21" t="str">
        <x:v>temperature observations</x:v>
      </x:c>
      <x:c r="E42" s="21" t="str">
        <x:v>local / instrumental temperature</x:v>
      </x:c>
      <x:c r="F42" s="22" t="str">
        <x:v>temperature_threshold</x:v>
      </x:c>
      <x:c r="G42" s="22" t="str">
        <x:v>A</x:v>
      </x:c>
      <x:c r="H42" s="22" t="str">
        <x:v>V1</x:v>
      </x:c>
      <x:c r="I42" s="22" t="str">
        <x:v>E5</x:v>
      </x:c>
      <x:c r="J42" s="21" t="str">
        <x:v>RECONSTRUCTED_FROM_REPORT; Fear of Temperature_ Stratified Lexical Expansion, Voice Mapping, and Semantic-Relational Pre-Valida.pdf; p.7; project candidate FT-SEED-R1B-P-1938-11; original visible ID not available</x:v>
      </x:c>
      <x:c r="K42" s="21" t="str">
        <x:v>temperature observations</x:v>
      </x:c>
      <x:c r="L42" s="22" t="str">
        <x:v>EXACT</x:v>
      </x:c>
      <x:c r="M42" s="21" t="str">
        <x:v>SUCCEEDED_REUSED_BASELINE</x:v>
      </x:c>
      <x:c r="N42" s="21" t="str">
        <x:v>FT-Q-V01-031</x:v>
      </x:c>
      <x:c r="O42" s="22" t="str">
        <x:v>1842</x:v>
      </x:c>
      <x:c r="P42" s="22" t="str">
        <x:v>2022</x:v>
      </x:c>
      <x:c r="Q42" s="22" t="str">
        <x:v>1843</x:v>
      </x:c>
      <x:c r="R42" s="22" t="str">
        <x:v>178</x:v>
      </x:c>
      <x:c r="S42" s="22" t="str">
        <x:v>1908</x:v>
      </x:c>
      <x:c r="T42" s="43" t="str">
        <x:v>1.8129981749215318e-07</x:v>
      </x:c>
      <x:c r="U42" s="43" t="str">
        <x:v>3.630725631253995e-08</x:v>
      </x:c>
      <x:c r="V42" s="43" t="str">
        <x:v>3.627383349247282e-08</x:v>
      </x:c>
      <x:c r="W42" s="43" t="str">
        <x:v>3.630725631253995e-08</x:v>
      </x:c>
      <x:c r="X42" s="43" t="str">
        <x:v>4.2570130309727006e-08</x:v>
      </x:c>
      <x:c r="Y42" s="43" t="str">
        <x:v>0.0</x:v>
      </x:c>
      <x:c r="Z42" s="43" t="str">
        <x:v>3.630725631253995e-08</x:v>
      </x:c>
      <x:c r="AA42" s="43" t="str">
        <x:v>4.3333997223893306e-08</x:v>
      </x:c>
      <x:c r="AB42" s="43" t="str">
        <x:v>1.3276699156739014e-08</x:v>
      </x:c>
      <x:c r="AC42" s="43" t="str">
        <x:v>1.1963464718878214e-08</x:v>
      </x:c>
      <x:c r="AD42" s="43" t="str">
        <x:v>1.2620081937808614e-08</x:v>
      </x:c>
      <x:c r="AE42" s="43" t="str">
        <x:v>8.032796372514639e-09</x:v>
      </x:c>
      <x:c r="AF42" s="43" t="str">
        <x:v>1.0794526161816975e-08</x:v>
      </x:c>
      <x:c r="AG42" s="23" t="str">
        <x:v>Candidate surface form is directly representable in the public Ngram interface. Complete 1842–2022 unsmoothed series reused from the audited quantitative-v0.1 baseline.</x:v>
      </x:c>
    </x:row>
    <x:row r="43" ht="19" customHeight="1">
      <x:c r="A43" s="20" t="str">
        <x:v>FT-SEED-R1B-P-1938-12</x:v>
      </x:c>
      <x:c r="B43" s="22" t="str">
        <x:v>1938</x:v>
      </x:c>
      <x:c r="C43" s="22" t="str">
        <x:v>12</x:v>
      </x:c>
      <x:c r="D43" s="21" t="str">
        <x:v>meteorological stations</x:v>
      </x:c>
      <x:c r="E43" s="21" t="str">
        <x:v>historical climate / climatological condition</x:v>
      </x:c>
      <x:c r="F43" s="22" t="str">
        <x:v>climate</x:v>
      </x:c>
      <x:c r="G43" s="22" t="str">
        <x:v>B</x:v>
      </x:c>
      <x:c r="H43" s="22" t="str">
        <x:v>V1</x:v>
      </x:c>
      <x:c r="I43" s="22" t="str">
        <x:v>E5</x:v>
      </x:c>
      <x:c r="J43" s="21" t="str">
        <x:v>RECONSTRUCTED_FROM_REPORT; Fear of Temperature_ Stratified Lexical Expansion, Voice Mapping, and Semantic-Relational Pre-Valida.pdf; p.7; project candidate FT-SEED-R1B-P-1938-12; original visible ID not available</x:v>
      </x:c>
      <x:c r="K43" s="21" t="str">
        <x:v>meteorological stations</x:v>
      </x:c>
      <x:c r="L43" s="22" t="str">
        <x:v>EXACT</x:v>
      </x:c>
      <x:c r="M43" s="21" t="str">
        <x:v>SUCCEEDED_REUSED_BASELINE</x:v>
      </x:c>
      <x:c r="N43" s="21" t="str">
        <x:v>FT-Q-V01-032</x:v>
      </x:c>
      <x:c r="O43" s="22" t="str">
        <x:v>1842</x:v>
      </x:c>
      <x:c r="P43" s="22" t="str">
        <x:v>2022</x:v>
      </x:c>
      <x:c r="Q43" s="22" t="str">
        <x:v>1842</x:v>
      </x:c>
      <x:c r="R43" s="22" t="str">
        <x:v>180</x:v>
      </x:c>
      <x:c r="S43" s="22" t="str">
        <x:v>1965</x:v>
      </x:c>
      <x:c r="T43" s="43" t="str">
        <x:v>1.655199003414154e-07</x:v>
      </x:c>
      <x:c r="U43" s="43" t="str">
        <x:v>9.076814153075041e-08</x:v>
      </x:c>
      <x:c r="V43" s="43" t="str">
        <x:v>8.024797307215614e-08</x:v>
      </x:c>
      <x:c r="W43" s="43" t="str">
        <x:v>7.701278903482489e-08</x:v>
      </x:c>
      <x:c r="X43" s="43" t="str">
        <x:v>9.829019625984259e-08</x:v>
      </x:c>
      <x:c r="Y43" s="43" t="str">
        <x:v>6.449883405146295e-10</x:v>
      </x:c>
      <x:c r="Z43" s="43" t="str">
        <x:v>9.076814153075041e-08</x:v>
      </x:c>
      <x:c r="AA43" s="43" t="str">
        <x:v>9.47622730285147e-08</x:v>
      </x:c>
      <x:c r="AB43" s="43" t="str">
        <x:v>6.752804135312651e-08</x:v>
      </x:c>
      <x:c r="AC43" s="43" t="str">
        <x:v>5.707381896605246e-08</x:v>
      </x:c>
      <x:c r="AD43" s="43" t="str">
        <x:v>6.230093015958948e-08</x:v>
      </x:c>
      <x:c r="AE43" s="43" t="str">
        <x:v>4.119143208469733e-08</x:v>
      </x:c>
      <x:c r="AF43" s="43" t="str">
        <x:v>5.7069422049194074e-08</x:v>
      </x:c>
      <x:c r="AG43" s="23" t="str">
        <x:v>Candidate surface form is directly representable in the public Ngram interface. Complete 1842–2022 unsmoothed series reused from the audited quantitative-v0.1 baseline.</x:v>
      </x:c>
    </x:row>
    <x:row r="44" ht="19" customHeight="1">
      <x:c r="A44" s="20" t="str">
        <x:v>FT-SEED-R1B-P-1938-13</x:v>
      </x:c>
      <x:c r="B44" s="22" t="str">
        <x:v>1938</x:v>
      </x:c>
      <x:c r="C44" s="22" t="str">
        <x:v>13</x:v>
      </x:c>
      <x:c r="D44" s="21" t="str">
        <x:v>world temperatures</x:v>
      </x:c>
      <x:c r="E44" s="21" t="str">
        <x:v>global aggregate temperature</x:v>
      </x:c>
      <x:c r="F44" s="22" t="str">
        <x:v>temperature_threshold</x:v>
      </x:c>
      <x:c r="G44" s="22" t="str">
        <x:v>A</x:v>
      </x:c>
      <x:c r="H44" s="22" t="str">
        <x:v>V1</x:v>
      </x:c>
      <x:c r="I44" s="22" t="str">
        <x:v>E5</x:v>
      </x:c>
      <x:c r="J44" s="21" t="str">
        <x:v>RECONSTRUCTED_FROM_REPORT; Fear of Temperature_ Stratified Lexical Expansion, Voice Mapping, and Semantic-Relational Pre-Valida.pdf; p.8; project candidate FT-SEED-R1B-P-1938-13; original visible ID not available</x:v>
      </x:c>
      <x:c r="K44" s="21" t="str">
        <x:v>world temperatures</x:v>
      </x:c>
      <x:c r="L44" s="22" t="str">
        <x:v>EXACT</x:v>
      </x:c>
      <x:c r="M44" s="21" t="str">
        <x:v>SUCCEEDED_REUSED_BASELINE</x:v>
      </x:c>
      <x:c r="N44" s="21" t="str">
        <x:v>FT-Q-V01-033</x:v>
      </x:c>
      <x:c r="O44" s="22" t="str">
        <x:v>1842</x:v>
      </x:c>
      <x:c r="P44" s="22" t="str">
        <x:v>2022</x:v>
      </x:c>
      <x:c r="Q44" s="22" t="str">
        <x:v>1889</x:v>
      </x:c>
      <x:c r="R44" s="22" t="str">
        <x:v>112</x:v>
      </x:c>
      <x:c r="S44" s="22" t="str">
        <x:v>2007</x:v>
      </x:c>
      <x:c r="T44" s="43" t="str">
        <x:v>7.465921342958426e-09</x:v>
      </x:c>
      <x:c r="U44" s="43" t="str">
        <x:v>2.5615549820168226e-09</x:v>
      </x:c>
      <x:c r="V44" s="43" t="str">
        <x:v>1.5256018087717038e-09</x:v>
      </x:c>
      <x:c r="W44" s="43" t="str">
        <x:v>1.6454657914000137e-09</x:v>
      </x:c>
      <x:c r="X44" s="43" t="str">
        <x:v>2.5615549820168226e-09</x:v>
      </x:c>
      <x:c r="Y44" s="43" t="str">
        <x:v>0.0</x:v>
      </x:c>
      <x:c r="Z44" s="43" t="str">
        <x:v>2.5615549820168226e-09</x:v>
      </x:c>
      <x:c r="AA44" s="43" t="str">
        <x:v>4.590047536501274e-09</x:v>
      </x:c>
      <x:c r="AB44" s="43" t="str">
        <x:v>4.761299195188418e-09</x:v>
      </x:c>
      <x:c r="AC44" s="43" t="str">
        <x:v>7.465921342958426e-09</x:v>
      </x:c>
      <x:c r="AD44" s="43" t="str">
        <x:v>6.113610269073422e-09</x:v>
      </x:c>
      <x:c r="AE44" s="43" t="str">
        <x:v>5.650978740501245e-09</x:v>
      </x:c>
      <x:c r="AF44" s="43" t="str">
        <x:v>4.114307144975626e-09</x:v>
      </x:c>
      <x:c r="AG44" s="23" t="str">
        <x:v>Candidate surface form is directly representable in the public Ngram interface. Complete 1842–2022 unsmoothed series reused from the audited quantitative-v0.1 baseline.</x:v>
      </x:c>
    </x:row>
    <x:row r="45" ht="19" customHeight="1">
      <x:c r="A45" s="20" t="str">
        <x:v>FT-SEED-R1B-P-1938-14</x:v>
      </x:c>
      <x:c r="B45" s="22" t="str">
        <x:v>1938</x:v>
      </x:c>
      <x:c r="C45" s="22" t="str">
        <x:v>14</x:v>
      </x:c>
      <x:c r="D45" s="21" t="str">
        <x:v>actually increased</x:v>
      </x:c>
      <x:c r="E45" s="21" t="str">
        <x:v>temperature increase</x:v>
      </x:c>
      <x:c r="F45" s="22" t="str">
        <x:v>warming</x:v>
      </x:c>
      <x:c r="G45" s="22" t="str">
        <x:v>A</x:v>
      </x:c>
      <x:c r="H45" s="22" t="str">
        <x:v>V1</x:v>
      </x:c>
      <x:c r="I45" s="22" t="str">
        <x:v>E5</x:v>
      </x:c>
      <x:c r="J45" s="21" t="str">
        <x:v>RECONSTRUCTED_FROM_REPORT; Fear of Temperature_ Stratified Lexical Expansion, Voice Mapping, and Semantic-Relational Pre-Valida.pdf; p.8; project candidate FT-SEED-R1B-P-1938-14; original visible ID not available</x:v>
      </x:c>
      <x:c r="K45" s="21" t="str">
        <x:v>actually increased</x:v>
      </x:c>
      <x:c r="L45" s="22" t="str">
        <x:v>EXACT</x:v>
      </x:c>
      <x:c r="M45" s="21" t="str">
        <x:v>SUCCEEDED_REUSED_BASELINE</x:v>
      </x:c>
      <x:c r="N45" s="21" t="str">
        <x:v>FT-Q-V01-034</x:v>
      </x:c>
      <x:c r="O45" s="22" t="str">
        <x:v>1842</x:v>
      </x:c>
      <x:c r="P45" s="22" t="str">
        <x:v>2022</x:v>
      </x:c>
      <x:c r="Q45" s="22" t="str">
        <x:v>1842</x:v>
      </x:c>
      <x:c r="R45" s="22" t="str">
        <x:v>181</x:v>
      </x:c>
      <x:c r="S45" s="22" t="str">
        <x:v>1933</x:v>
      </x:c>
      <x:c r="T45" s="43" t="str">
        <x:v>2.775292560763809e-07</x:v>
      </x:c>
      <x:c r="U45" s="43" t="str">
        <x:v>1.8042256490213848e-07</x:v>
      </x:c>
      <x:c r="V45" s="43" t="str">
        <x:v>1.734230705124906e-07</x:v>
      </x:c>
      <x:c r="W45" s="43" t="str">
        <x:v>1.7574109278939432e-07</x:v>
      </x:c>
      <x:c r="X45" s="43" t="str">
        <x:v>1.8042256490213848e-07</x:v>
      </x:c>
      <x:c r="Y45" s="43" t="str">
        <x:v>5.611398634641773e-08</x:v>
      </x:c>
      <x:c r="Z45" s="43" t="str">
        <x:v>1.8042256490213848e-07</x:v>
      </x:c>
      <x:c r="AA45" s="43" t="str">
        <x:v>2.2145744817819724e-07</x:v>
      </x:c>
      <x:c r="AB45" s="43" t="str">
        <x:v>2.0034082142544873e-07</x:v>
      </x:c>
      <x:c r="AC45" s="43" t="str">
        <x:v>2.0068036387516086e-07</x:v>
      </x:c>
      <x:c r="AD45" s="43" t="str">
        <x:v>2.005105926503048e-07</x:v>
      </x:c>
      <x:c r="AE45" s="43" t="str">
        <x:v>1.6798818923066672e-07</x:v>
      </x:c>
      <x:c r="AF45" s="43" t="str">
        <x:v>1.0051296917001906e-07</x:v>
      </x:c>
      <x:c r="AG45" s="23" t="str">
        <x:v>Candidate surface form is directly representable in the public Ngram interface. Complete 1842–2022 unsmoothed series reused from the audited quantitative-v0.1 baseline.</x:v>
      </x:c>
    </x:row>
    <x:row r="46" ht="19" customHeight="1">
      <x:c r="A46" s="20" t="str">
        <x:v>FT-SEED-R1B-P-1938-15</x:v>
      </x:c>
      <x:c r="B46" s="22" t="str">
        <x:v>1938</x:v>
      </x:c>
      <x:c r="C46" s="22" t="str">
        <x:v>15</x:v>
      </x:c>
      <x:c r="D46" s="21" t="str">
        <x:v>average rate</x:v>
      </x:c>
      <x:c r="E46" s="21" t="str">
        <x:v>local / instrumental temperature</x:v>
      </x:c>
      <x:c r="F46" s="22" t="str">
        <x:v>temperature_threshold</x:v>
      </x:c>
      <x:c r="G46" s="22" t="str">
        <x:v>A</x:v>
      </x:c>
      <x:c r="H46" s="22" t="str">
        <x:v>V1</x:v>
      </x:c>
      <x:c r="I46" s="22" t="str">
        <x:v>E5</x:v>
      </x:c>
      <x:c r="J46" s="21" t="str">
        <x:v>RECONSTRUCTED_FROM_REPORT; Fear of Temperature_ Stratified Lexical Expansion, Voice Mapping, and Semantic-Relational Pre-Valida.pdf; p.8; project candidate FT-SEED-R1B-P-1938-15; original visible ID not available</x:v>
      </x:c>
      <x:c r="K46" s="21" t="str">
        <x:v>average rate</x:v>
      </x:c>
      <x:c r="L46" s="22" t="str">
        <x:v>EXACT</x:v>
      </x:c>
      <x:c r="M46" s="21" t="str">
        <x:v>SUCCEEDED_REUSED_BASELINE</x:v>
      </x:c>
      <x:c r="N46" s="21" t="str">
        <x:v>FT-Q-V01-035</x:v>
      </x:c>
      <x:c r="O46" s="22" t="str">
        <x:v>1842</x:v>
      </x:c>
      <x:c r="P46" s="22" t="str">
        <x:v>2022</x:v>
      </x:c>
      <x:c r="Q46" s="22" t="str">
        <x:v>1842</x:v>
      </x:c>
      <x:c r="R46" s="22" t="str">
        <x:v>181</x:v>
      </x:c>
      <x:c r="S46" s="22" t="str">
        <x:v>1885</x:v>
      </x:c>
      <x:c r="T46" s="43" t="str">
        <x:v>4.938462941139754e-06</x:v>
      </x:c>
      <x:c r="U46" s="43" t="str">
        <x:v>2.6782727571006415e-06</x:v>
      </x:c>
      <x:c r="V46" s="43" t="str">
        <x:v>2.751333045558635e-06</x:v>
      </x:c>
      <x:c r="W46" s="43" t="str">
        <x:v>2.750634414599995e-06</x:v>
      </x:c>
      <x:c r="X46" s="43" t="str">
        <x:v>2.89131432568146e-06</x:v>
      </x:c>
      <x:c r="Y46" s="43" t="str">
        <x:v>1.0248864657502743e-06</x:v>
      </x:c>
      <x:c r="Z46" s="43" t="str">
        <x:v>2.6782727571006415e-06</x:v>
      </x:c>
      <x:c r="AA46" s="43" t="str">
        <x:v>1.4772549871075458e-06</x:v>
      </x:c>
      <x:c r="AB46" s="43" t="str">
        <x:v>1.0879568854080257e-06</x:v>
      </x:c>
      <x:c r="AC46" s="43" t="str">
        <x:v>1.1094989244009312e-06</x:v>
      </x:c>
      <x:c r="AD46" s="43" t="str">
        <x:v>1.0987279049044785e-06</x:v>
      </x:c>
      <x:c r="AE46" s="43" t="str">
        <x:v>7.784807402877458e-07</x:v>
      </x:c>
      <x:c r="AF46" s="43" t="str">
        <x:v>5.522904276411555e-07</x:v>
      </x:c>
      <x:c r="AG46" s="23" t="str">
        <x:v>Candidate surface form is directly representable in the public Ngram interface. Complete 1842–2022 unsmoothed series reused from the audited quantitative-v0.1 baseline.</x:v>
      </x:c>
    </x:row>
    <x:row r="47" ht="19" customHeight="1">
      <x:c r="A47" s="20" t="str">
        <x:v>FT-SEED-R1B-P-1938-16</x:v>
      </x:c>
      <x:c r="B47" s="22" t="str">
        <x:v>1938</x:v>
      </x:c>
      <x:c r="C47" s="22" t="str">
        <x:v>16</x:v>
      </x:c>
      <x:c r="D47" s="21" t="str">
        <x:v>small increases in mean temperature</x:v>
      </x:c>
      <x:c r="E47" s="21" t="str">
        <x:v>mean temperature</x:v>
      </x:c>
      <x:c r="F47" s="22" t="str">
        <x:v>temperature_threshold</x:v>
      </x:c>
      <x:c r="G47" s="22" t="str">
        <x:v>A</x:v>
      </x:c>
      <x:c r="H47" s="22" t="str">
        <x:v>V1</x:v>
      </x:c>
      <x:c r="I47" s="22" t="str">
        <x:v>E5</x:v>
      </x:c>
      <x:c r="J47" s="21" t="str">
        <x:v>RECONSTRUCTED_FROM_REPORT; Fear of Temperature_ Stratified Lexical Expansion, Voice Mapping, and Semantic-Relational Pre-Valida.pdf; p.8; project candidate FT-SEED-R1B-P-1938-16; original visible ID not available</x:v>
      </x:c>
      <x:c r="K47" s="21" t="str">
        <x:v>small increases in mean temperature</x:v>
      </x:c>
      <x:c r="L47" s="22" t="str">
        <x:v>EXACT</x:v>
      </x:c>
      <x:c r="M47" s="21" t="str">
        <x:v>ZERO_RESPONSE_REUSED_BASELINE</x:v>
      </x:c>
      <x:c r="N47" s="21" t="str">
        <x:v>FT-Q-V01-036</x:v>
      </x:c>
      <x:c r="O47" s="22" t="str">
        <x:v>1842</x:v>
      </x:c>
      <x:c r="P47" s="22" t="str">
        <x:v>2022</x:v>
      </x:c>
      <x:c r="Q47" s="22" t="str"/>
      <x:c r="R47" s="22" t="str">
        <x:v>0</x:v>
      </x:c>
      <x:c r="S47" s="22" t="str"/>
      <x:c r="T47" s="43" t="str"/>
      <x:c r="U47" s="43" t="str"/>
      <x:c r="V47" s="43" t="str"/>
      <x:c r="W47" s="43" t="str"/>
      <x:c r="X47" s="43" t="str"/>
      <x:c r="Y47" s="43" t="str"/>
      <x:c r="Z47" s="43" t="str"/>
      <x:c r="AA47" s="43" t="str"/>
      <x:c r="AB47" s="43" t="str"/>
      <x:c r="AC47" s="43" t="str"/>
      <x:c r="AD47" s="43" t="str"/>
      <x:c r="AE47" s="43" t="str"/>
      <x:c r="AF47" s="43" t="str"/>
      <x:c r="AG47" s="23" t="str">
        <x:v>Candidate surface form is directly representable in the public Ngram interface. The audited executable rule returned an empty Ngram payload; retained as source/query zero-response evidence, not historical absence.</x:v>
      </x:c>
    </x:row>
    <x:row r="48" ht="19" customHeight="1">
      <x:c r="A48" s="20" t="str">
        <x:v>FT-SEED-R1B-P-1938-17</x:v>
      </x:c>
      <x:c r="B48" s="22" t="str">
        <x:v>1938</x:v>
      </x:c>
      <x:c r="C48" s="22" t="str">
        <x:v>17</x:v>
      </x:c>
      <x:c r="D48" s="21" t="str">
        <x:v>deadly glaciers</x:v>
      </x:c>
      <x:c r="E48" s="21" t="str">
        <x:v>institutional climate threat</x:v>
      </x:c>
      <x:c r="F48" s="22" t="str">
        <x:v>danger_threat</x:v>
      </x:c>
      <x:c r="G48" s="22" t="str">
        <x:v>D</x:v>
      </x:c>
      <x:c r="H48" s="22" t="str">
        <x:v>V1</x:v>
      </x:c>
      <x:c r="I48" s="22" t="str">
        <x:v>E5</x:v>
      </x:c>
      <x:c r="J48" s="21" t="str">
        <x:v>RECONSTRUCTED_FROM_REPORT; Fear of Temperature_ Stratified Lexical Expansion, Voice Mapping, and Semantic-Relational Pre-Valida.pdf; p.8; project candidate FT-SEED-R1B-P-1938-17; original visible ID not available</x:v>
      </x:c>
      <x:c r="K48" s="21" t="str">
        <x:v>deadly glaciers</x:v>
      </x:c>
      <x:c r="L48" s="22" t="str">
        <x:v>EXACT</x:v>
      </x:c>
      <x:c r="M48" s="21" t="str">
        <x:v>SUCCEEDED_REUSED_BASELINE</x:v>
      </x:c>
      <x:c r="N48" s="21" t="str">
        <x:v>FT-Q-V01-037</x:v>
      </x:c>
      <x:c r="O48" s="22" t="str">
        <x:v>1842</x:v>
      </x:c>
      <x:c r="P48" s="22" t="str">
        <x:v>2022</x:v>
      </x:c>
      <x:c r="Q48" s="22" t="str">
        <x:v>1845</x:v>
      </x:c>
      <x:c r="R48" s="22" t="str">
        <x:v>92</x:v>
      </x:c>
      <x:c r="S48" s="22" t="str">
        <x:v>1845</x:v>
      </x:c>
      <x:c r="T48" s="43" t="str">
        <x:v>1.5025181099304064e-09</x:v>
      </x:c>
      <x:c r="U48" s="43" t="str">
        <x:v>1.1137195332633354e-10</x:v>
      </x:c>
      <x:c r="V48" s="43" t="str">
        <x:v>4.2303724412384726e-11</x:v>
      </x:c>
      <x:c r="W48" s="43" t="str">
        <x:v>0.0</x:v>
      </x:c>
      <x:c r="X48" s="43" t="str">
        <x:v>1.1137195332633354e-10</x:v>
      </x:c>
      <x:c r="Y48" s="43" t="str">
        <x:v>0.0</x:v>
      </x:c>
      <x:c r="Z48" s="43" t="str">
        <x:v>1.1137195332633354e-10</x:v>
      </x:c>
      <x:c r="AA48" s="43" t="str">
        <x:v>4.9355349668323e-11</x:v>
      </x:c>
      <x:c r="AB48" s="43" t="str">
        <x:v>9.156344432659225e-11</x:v>
      </x:c>
      <x:c r="AC48" s="43" t="str">
        <x:v>4.497542963055601e-11</x:v>
      </x:c>
      <x:c r="AD48" s="43" t="str">
        <x:v>6.826943697857413e-11</x:v>
      </x:c>
      <x:c r="AE48" s="43" t="str">
        <x:v>3.269161330532455e-10</x:v>
      </x:c>
      <x:c r="AF48" s="43" t="str">
        <x:v>2.2119930886965733e-10</x:v>
      </x:c>
      <x:c r="AG48" s="23" t="str">
        <x:v>Candidate surface form is directly representable in the public Ngram interface. Complete 1842–2022 unsmoothed series reused from the audited quantitative-v0.1 baseline.</x:v>
      </x:c>
    </x:row>
    <x:row r="49" ht="19" customHeight="1">
      <x:c r="A49" s="20" t="str">
        <x:v>FT-SEED-R1B-P-1938-18</x:v>
      </x:c>
      <x:c r="B49" s="22" t="str">
        <x:v>1938</x:v>
      </x:c>
      <x:c r="C49" s="22" t="str">
        <x:v>18</x:v>
      </x:c>
      <x:c r="D49" s="21" t="str">
        <x:v>rather a coincidence</x:v>
      </x:c>
      <x:c r="E49" s="21" t="str">
        <x:v>personal concern</x:v>
      </x:c>
      <x:c r="F49" s="22" t="str">
        <x:v>concern_alarm</x:v>
      </x:c>
      <x:c r="G49" s="22" t="str">
        <x:v>C</x:v>
      </x:c>
      <x:c r="H49" s="22" t="str">
        <x:v>V1</x:v>
      </x:c>
      <x:c r="I49" s="22" t="str">
        <x:v>E2</x:v>
      </x:c>
      <x:c r="J49" s="21" t="str">
        <x:v>RECONSTRUCTED_FROM_REPORT; Fear of Temperature_ Stratified Lexical Expansion, Voice Mapping, and Semantic-Relational Pre-Valida.pdf; p.8; project candidate FT-SEED-R1B-P-1938-18; original visible ID not available</x:v>
      </x:c>
      <x:c r="K49" s="21" t="str">
        <x:v>rather a coincidence</x:v>
      </x:c>
      <x:c r="L49" s="22" t="str">
        <x:v>EXACT</x:v>
      </x:c>
      <x:c r="M49" s="21" t="str">
        <x:v>SUCCEEDED_REUSED_BASELINE</x:v>
      </x:c>
      <x:c r="N49" s="21" t="str">
        <x:v>FT-Q-V01-038</x:v>
      </x:c>
      <x:c r="O49" s="22" t="str">
        <x:v>1842</x:v>
      </x:c>
      <x:c r="P49" s="22" t="str">
        <x:v>2022</x:v>
      </x:c>
      <x:c r="Q49" s="22" t="str">
        <x:v>1842</x:v>
      </x:c>
      <x:c r="R49" s="22" t="str">
        <x:v>175</x:v>
      </x:c>
      <x:c r="S49" s="22" t="str">
        <x:v>1934</x:v>
      </x:c>
      <x:c r="T49" s="43" t="str">
        <x:v>1.1418470613477893e-08</x:v>
      </x:c>
      <x:c r="U49" s="43" t="str">
        <x:v>4.644931106412287e-09</x:v>
      </x:c>
      <x:c r="V49" s="43" t="str">
        <x:v>4.688150873066732e-09</x:v>
      </x:c>
      <x:c r="W49" s="43" t="str">
        <x:v>4.644931106412287e-09</x:v>
      </x:c>
      <x:c r="X49" s="43" t="str">
        <x:v>6.0279620461844985e-09</x:v>
      </x:c>
      <x:c r="Y49" s="43" t="str">
        <x:v>1.372755464856823e-09</x:v>
      </x:c>
      <x:c r="Z49" s="43" t="str">
        <x:v>4.644931106412287e-09</x:v>
      </x:c>
      <x:c r="AA49" s="43" t="str">
        <x:v>7.027831511186022e-10</x:v>
      </x:c>
      <x:c r="AB49" s="43" t="str">
        <x:v>9.413307355821132e-10</x:v>
      </x:c>
      <x:c r="AC49" s="43" t="str">
        <x:v>8.746421087391099e-10</x:v>
      </x:c>
      <x:c r="AD49" s="43" t="str">
        <x:v>9.079864221606115e-10</x:v>
      </x:c>
      <x:c r="AE49" s="43" t="str">
        <x:v>2.049460878783549e-09</x:v>
      </x:c>
      <x:c r="AF49" s="43" t="str">
        <x:v>3.2163039176413832e-09</x:v>
      </x:c>
      <x:c r="AG49" s="23" t="str">
        <x:v>Candidate surface form is directly representable in the public Ngram interface. Complete 1842–2022 unsmoothed series reused from the audited quantitative-v0.1 baseline.</x:v>
      </x:c>
    </x:row>
    <x:row r="50" ht="19" customHeight="1">
      <x:c r="A50" s="20" t="str">
        <x:v>FT-SEED-R1B-P-1938-19</x:v>
      </x:c>
      <x:c r="B50" s="22" t="str">
        <x:v>1938</x:v>
      </x:c>
      <x:c r="C50" s="22" t="str">
        <x:v>19</x:v>
      </x:c>
      <x:c r="D50" s="21" t="str">
        <x:v>Hottest Day for Ten Years</x:v>
      </x:c>
      <x:c r="E50" s="21" t="str">
        <x:v>heatwave / weather event</x:v>
      </x:c>
      <x:c r="F50" s="22" t="str">
        <x:v>heat</x:v>
      </x:c>
      <x:c r="G50" s="22" t="str">
        <x:v>A</x:v>
      </x:c>
      <x:c r="H50" s="22" t="str">
        <x:v>V3</x:v>
      </x:c>
      <x:c r="I50" s="22" t="str">
        <x:v>E5</x:v>
      </x:c>
      <x:c r="J50" s="21" t="str">
        <x:v>RECONSTRUCTED_FROM_REPORT; Fear of Temperature_ Stratified Lexical Expansion, Voice Mapping, and Semantic-Relational Pre-Valida.pdf; p.8; project candidate FT-SEED-R1B-P-1938-19; original visible ID not available</x:v>
      </x:c>
      <x:c r="K50" s="21" t="str">
        <x:v>Hottest Day for Ten Years</x:v>
      </x:c>
      <x:c r="L50" s="22" t="str">
        <x:v>EXACT</x:v>
      </x:c>
      <x:c r="M50" s="21" t="str">
        <x:v>ZERO_RESPONSE_REUSED_BASELINE</x:v>
      </x:c>
      <x:c r="N50" s="21" t="str">
        <x:v>FT-Q-V01-039</x:v>
      </x:c>
      <x:c r="O50" s="22" t="str">
        <x:v>1842</x:v>
      </x:c>
      <x:c r="P50" s="22" t="str">
        <x:v>2022</x:v>
      </x:c>
      <x:c r="Q50" s="22" t="str"/>
      <x:c r="R50" s="22" t="str">
        <x:v>0</x:v>
      </x:c>
      <x:c r="S50" s="22" t="str"/>
      <x:c r="T50" s="43" t="str"/>
      <x:c r="U50" s="43" t="str"/>
      <x:c r="V50" s="43" t="str"/>
      <x:c r="W50" s="43" t="str"/>
      <x:c r="X50" s="43" t="str"/>
      <x:c r="Y50" s="43" t="str"/>
      <x:c r="Z50" s="43" t="str"/>
      <x:c r="AA50" s="43" t="str"/>
      <x:c r="AB50" s="43" t="str"/>
      <x:c r="AC50" s="43" t="str"/>
      <x:c r="AD50" s="43" t="str"/>
      <x:c r="AE50" s="43" t="str"/>
      <x:c r="AF50" s="43" t="str"/>
      <x:c r="AG50" s="23" t="str">
        <x:v>Candidate surface form is directly representable in the public Ngram interface. The audited executable rule returned an empty Ngram payload; retained as source/query zero-response evidence, not historical absence.</x:v>
      </x:c>
    </x:row>
    <x:row r="51" ht="19" customHeight="1">
      <x:c r="A51" s="20" t="str">
        <x:v>FT-SEED-R1B-P-1938-20</x:v>
      </x:c>
      <x:c r="B51" s="22" t="str">
        <x:v>1938</x:v>
      </x:c>
      <x:c r="C51" s="22" t="str">
        <x:v>20</x:v>
      </x:c>
      <x:c r="D51" s="21" t="str">
        <x:v>Heat Wave Over Queensland</x:v>
      </x:c>
      <x:c r="E51" s="21" t="str">
        <x:v>heatwave / weather event</x:v>
      </x:c>
      <x:c r="F51" s="22" t="str">
        <x:v>heat</x:v>
      </x:c>
      <x:c r="G51" s="22" t="str">
        <x:v>A</x:v>
      </x:c>
      <x:c r="H51" s="22" t="str">
        <x:v>V3</x:v>
      </x:c>
      <x:c r="I51" s="22" t="str">
        <x:v>E5</x:v>
      </x:c>
      <x:c r="J51" s="21" t="str">
        <x:v>RECONSTRUCTED_FROM_REPORT; Fear of Temperature_ Stratified Lexical Expansion, Voice Mapping, and Semantic-Relational Pre-Valida.pdf; p.8; project candidate FT-SEED-R1B-P-1938-20; original visible ID not available</x:v>
      </x:c>
      <x:c r="K51" s="21" t="str">
        <x:v>Heat Wave Over Queensland</x:v>
      </x:c>
      <x:c r="L51" s="22" t="str">
        <x:v>EXACT</x:v>
      </x:c>
      <x:c r="M51" s="21" t="str">
        <x:v>ZERO_RESPONSE_REUSED_BASELINE</x:v>
      </x:c>
      <x:c r="N51" s="21" t="str">
        <x:v>FT-Q-V01-040</x:v>
      </x:c>
      <x:c r="O51" s="22" t="str">
        <x:v>1842</x:v>
      </x:c>
      <x:c r="P51" s="22" t="str">
        <x:v>2022</x:v>
      </x:c>
      <x:c r="Q51" s="22" t="str"/>
      <x:c r="R51" s="22" t="str">
        <x:v>0</x:v>
      </x:c>
      <x:c r="S51" s="22" t="str"/>
      <x:c r="T51" s="43" t="str"/>
      <x:c r="U51" s="43" t="str"/>
      <x:c r="V51" s="43" t="str"/>
      <x:c r="W51" s="43" t="str"/>
      <x:c r="X51" s="43" t="str"/>
      <x:c r="Y51" s="43" t="str"/>
      <x:c r="Z51" s="43" t="str"/>
      <x:c r="AA51" s="43" t="str"/>
      <x:c r="AB51" s="43" t="str"/>
      <x:c r="AC51" s="43" t="str"/>
      <x:c r="AD51" s="43" t="str"/>
      <x:c r="AE51" s="43" t="str"/>
      <x:c r="AF51" s="43" t="str"/>
      <x:c r="AG51" s="23" t="str">
        <x:v>Candidate surface form is directly representable in the public Ngram interface. The audited executable rule returned an empty Ngram payload; retained as source/query zero-response evidence, not historical absence.</x:v>
      </x:c>
    </x:row>
    <x:row r="52" ht="19" customHeight="1">
      <x:c r="A52" s="20" t="str">
        <x:v>FT-SEED-R1B-P-1938-21</x:v>
      </x:c>
      <x:c r="B52" s="22" t="str">
        <x:v>1938</x:v>
      </x:c>
      <x:c r="C52" s="22" t="str">
        <x:v>21</x:v>
      </x:c>
      <x:c r="D52" s="21" t="str">
        <x:v>heat wave</x:v>
      </x:c>
      <x:c r="E52" s="21" t="str">
        <x:v>heatwave / weather event</x:v>
      </x:c>
      <x:c r="F52" s="22" t="str">
        <x:v>heat</x:v>
      </x:c>
      <x:c r="G52" s="22" t="str">
        <x:v>A</x:v>
      </x:c>
      <x:c r="H52" s="22" t="str">
        <x:v>V3</x:v>
      </x:c>
      <x:c r="I52" s="22" t="str">
        <x:v>E5</x:v>
      </x:c>
      <x:c r="J52" s="21" t="str">
        <x:v>RECONSTRUCTED_FROM_REPORT; Fear of Temperature_ Stratified Lexical Expansion, Voice Mapping, and Semantic-Relational Pre-Valida.pdf; p.7; project candidate FT-SEED-R1B-P-1938-21; original visible ID not available</x:v>
      </x:c>
      <x:c r="K52" s="21" t="str">
        <x:v>heat wave</x:v>
      </x:c>
      <x:c r="L52" s="22" t="str">
        <x:v>EXACT</x:v>
      </x:c>
      <x:c r="M52" s="21" t="str">
        <x:v>SUCCEEDED_REUSED_BASELINE</x:v>
      </x:c>
      <x:c r="N52" s="21" t="str">
        <x:v>FT-Q-V01-139</x:v>
      </x:c>
      <x:c r="O52" s="22" t="str">
        <x:v>1842</x:v>
      </x:c>
      <x:c r="P52" s="22" t="str">
        <x:v>2022</x:v>
      </x:c>
      <x:c r="Q52" s="22" t="str">
        <x:v>1842</x:v>
      </x:c>
      <x:c r="R52" s="22" t="str">
        <x:v>169</x:v>
      </x:c>
      <x:c r="S52" s="22" t="str">
        <x:v>2020</x:v>
      </x:c>
      <x:c r="T52" s="43" t="str">
        <x:v>3.703185072062576e-07</x:v>
      </x:c>
      <x:c r="U52" s="43" t="str">
        <x:v>1.9211662527496287e-07</x:v>
      </x:c>
      <x:c r="V52" s="43" t="str">
        <x:v>2.1497802813463806e-07</x:v>
      </x:c>
      <x:c r="W52" s="43" t="str">
        <x:v>2.1731119406731558e-07</x:v>
      </x:c>
      <x:c r="X52" s="43" t="str">
        <x:v>2.596803092558275e-07</x:v>
      </x:c>
      <x:c r="Y52" s="43" t="str">
        <x:v>4.514918217068953e-09</x:v>
      </x:c>
      <x:c r="Z52" s="43" t="str">
        <x:v>1.9211662527496287e-07</x:v>
      </x:c>
      <x:c r="AA52" s="43" t="str">
        <x:v>1.7180597014498922e-07</x:v>
      </x:c>
      <x:c r="AB52" s="43" t="str">
        <x:v>2.572474944173564e-07</x:v>
      </x:c>
      <x:c r="AC52" s="43" t="str">
        <x:v>2.559551631371726e-07</x:v>
      </x:c>
      <x:c r="AD52" s="43" t="str">
        <x:v>2.566013287772645e-07</x:v>
      </x:c>
      <x:c r="AE52" s="43" t="str">
        <x:v>3.5283591536677816e-07</x:v>
      </x:c>
      <x:c r="AF52" s="43" t="str">
        <x:v>3.0065411360524763e-07</x:v>
      </x:c>
      <x:c r="AG52" s="23" t="str">
        <x:v>Candidate surface form is directly representable in the public Ngram interface. Complete 1842–2022 unsmoothed series reused from the audited quantitative-v0.1 baseline.</x:v>
      </x:c>
    </x:row>
    <x:row r="53" ht="19" customHeight="1">
      <x:c r="A53" s="20" t="str">
        <x:v>FT-SEED-R1B-P-1938-22</x:v>
      </x:c>
      <x:c r="B53" s="22" t="str">
        <x:v>1938</x:v>
      </x:c>
      <x:c r="C53" s="22" t="str">
        <x:v>22</x:v>
      </x:c>
      <x:c r="D53" s="21" t="str">
        <x:v>40-degree temperatures</x:v>
      </x:c>
      <x:c r="E53" s="21" t="str">
        <x:v>local / instrumental temperature</x:v>
      </x:c>
      <x:c r="F53" s="22" t="str">
        <x:v>temperature_threshold</x:v>
      </x:c>
      <x:c r="G53" s="22" t="str">
        <x:v>A</x:v>
      </x:c>
      <x:c r="H53" s="22" t="str">
        <x:v>V3</x:v>
      </x:c>
      <x:c r="I53" s="22" t="str">
        <x:v>E5</x:v>
      </x:c>
      <x:c r="J53" s="21" t="str">
        <x:v>RECONSTRUCTED_FROM_REPORT; Fear of Temperature_ Stratified Lexical Expansion, Voice Mapping, and Semantic-Relational Pre-Valida.pdf; p.7; project candidate FT-SEED-R1B-P-1938-22; original visible ID not available</x:v>
      </x:c>
      <x:c r="K53" s="21" t="str">
        <x:v>40 degree temperatures</x:v>
      </x:c>
      <x:c r="L53" s="22" t="str">
        <x:v>NORMALIZED_VARIANT</x:v>
      </x:c>
      <x:c r="M53" s="21" t="str">
        <x:v>SUCCEEDED_NEW</x:v>
      </x:c>
      <x:c r="N53" s="21" t="str">
        <x:v>FT-Q-P180-C1E5FFD153A9</x:v>
      </x:c>
      <x:c r="O53" s="22" t="str">
        <x:v>1842</x:v>
      </x:c>
      <x:c r="P53" s="22" t="str">
        <x:v>2022</x:v>
      </x:c>
      <x:c r="Q53" s="22" t="str">
        <x:v>1901</x:v>
      </x:c>
      <x:c r="R53" s="22" t="str">
        <x:v>78</x:v>
      </x:c>
      <x:c r="S53" s="22" t="str">
        <x:v>1964</x:v>
      </x:c>
      <x:c r="T53" s="43" t="str">
        <x:v>6.322877221798251e-10</x:v>
      </x:c>
      <x:c r="U53" s="43" t="str">
        <x:v>0.0</x:v>
      </x:c>
      <x:c r="V53" s="43" t="str">
        <x:v>1.5925319396536963e-10</x:v>
      </x:c>
      <x:c r="W53" s="43" t="str">
        <x:v>1.2238243751738764e-10</x:v>
      </x:c>
      <x:c r="X53" s="43" t="str">
        <x:v>4.383972351806875e-10</x:v>
      </x:c>
      <x:c r="Y53" s="43" t="str">
        <x:v>0.0</x:v>
      </x:c>
      <x:c r="Z53" s="43" t="str">
        <x:v>0.0</x:v>
      </x:c>
      <x:c r="AA53" s="43" t="str">
        <x:v>1.0812048478747727e-10</x:v>
      </x:c>
      <x:c r="AB53" s="43" t="str">
        <x:v>1.4863116293284406e-10</x:v>
      </x:c>
      <x:c r="AC53" s="43" t="str">
        <x:v>1.9436491305313552e-10</x:v>
      </x:c>
      <x:c r="AD53" s="43" t="str">
        <x:v>1.714980379929898e-10</x:v>
      </x:c>
      <x:c r="AE53" s="43" t="str">
        <x:v>1.4996055786031803e-10</x:v>
      </x:c>
      <x:c r="AF53" s="43" t="str">
        <x:v>4.729858865681891e-11</x:v>
      </x:c>
      <x:c r="AG53" s="23" t="str">
        <x:v>Hyphenation is normalized; lexical content and temperature sense are unchanged. New unsmoothed 1842–2022 series retrieved for the candidate audit.</x:v>
      </x:c>
    </x:row>
    <x:row r="54" ht="19" customHeight="1">
      <x:c r="A54" s="20" t="str">
        <x:v>FT-SEED-R1B-P-1938-23</x:v>
      </x:c>
      <x:c r="B54" s="22" t="str">
        <x:v>1938</x:v>
      </x:c>
      <x:c r="C54" s="22" t="str">
        <x:v>23</x:v>
      </x:c>
      <x:c r="D54" s="21" t="str">
        <x:v>scorching westerly wind</x:v>
      </x:c>
      <x:c r="E54" s="21" t="str">
        <x:v>heatwave / weather event</x:v>
      </x:c>
      <x:c r="F54" s="22" t="str">
        <x:v>heat</x:v>
      </x:c>
      <x:c r="G54" s="22" t="str">
        <x:v>D</x:v>
      </x:c>
      <x:c r="H54" s="22" t="str">
        <x:v>V3</x:v>
      </x:c>
      <x:c r="I54" s="22" t="str">
        <x:v>E5</x:v>
      </x:c>
      <x:c r="J54" s="21" t="str">
        <x:v>RECONSTRUCTED_FROM_REPORT; Fear of Temperature_ Stratified Lexical Expansion, Voice Mapping, and Semantic-Relational Pre-Valida.pdf; p.8; project candidate FT-SEED-R1B-P-1938-23; original visible ID not available</x:v>
      </x:c>
      <x:c r="K54" s="21" t="str">
        <x:v>scorching westerly wind</x:v>
      </x:c>
      <x:c r="L54" s="22" t="str">
        <x:v>EXACT</x:v>
      </x:c>
      <x:c r="M54" s="21" t="str">
        <x:v>ZERO_RESPONSE_NEW</x:v>
      </x:c>
      <x:c r="N54" s="21" t="str">
        <x:v>FT-Q-P180-3A71EDABFA32</x:v>
      </x:c>
      <x:c r="O54" s="22" t="str">
        <x:v>1842</x:v>
      </x:c>
      <x:c r="P54" s="22" t="str">
        <x:v>2022</x:v>
      </x:c>
      <x:c r="Q54" s="22" t="str"/>
      <x:c r="R54" s="22" t="str">
        <x:v>0</x:v>
      </x:c>
      <x:c r="S54" s="22" t="str"/>
      <x:c r="T54" s="43" t="str"/>
      <x:c r="U54" s="43" t="str"/>
      <x:c r="V54" s="43" t="str"/>
      <x:c r="W54" s="43" t="str"/>
      <x:c r="X54" s="43" t="str"/>
      <x:c r="Y54" s="43" t="str"/>
      <x:c r="Z54" s="43" t="str"/>
      <x:c r="AA54" s="43" t="str"/>
      <x:c r="AB54" s="43" t="str"/>
      <x:c r="AC54" s="43" t="str"/>
      <x:c r="AD54" s="43" t="str"/>
      <x:c r="AE54" s="43" t="str"/>
      <x:c r="AF54" s="43" t="str"/>
      <x:c r="AG54" s="23" t="str">
        <x:v>Candidate surface form is directly representable in the public Ngram interface. The public Ngram endpoint returned an empty list; retained without fabricating annual zero frequencies.</x:v>
      </x:c>
    </x:row>
    <x:row r="55" ht="19" customHeight="1">
      <x:c r="A55" s="20" t="str">
        <x:v>FT-SEED-R1B-P-1938-24</x:v>
      </x:c>
      <x:c r="B55" s="22" t="str">
        <x:v>1938</x:v>
      </x:c>
      <x:c r="C55" s="22" t="str">
        <x:v>24</x:v>
      </x:c>
      <x:c r="D55" s="21" t="str">
        <x:v>pitiless sun</x:v>
      </x:c>
      <x:c r="E55" s="21" t="str">
        <x:v>physical heat source / state</x:v>
      </x:c>
      <x:c r="F55" s="22" t="str">
        <x:v>heat</x:v>
      </x:c>
      <x:c r="G55" s="22" t="str">
        <x:v>D</x:v>
      </x:c>
      <x:c r="H55" s="22" t="str">
        <x:v>V3</x:v>
      </x:c>
      <x:c r="I55" s="22" t="str">
        <x:v>E5</x:v>
      </x:c>
      <x:c r="J55" s="21" t="str">
        <x:v>RECONSTRUCTED_FROM_REPORT; Fear of Temperature_ Stratified Lexical Expansion, Voice Mapping, and Semantic-Relational Pre-Valida.pdf; p.8; project candidate FT-SEED-R1B-P-1938-24; original visible ID not available</x:v>
      </x:c>
      <x:c r="K55" s="21" t="str">
        <x:v>pitiless sun</x:v>
      </x:c>
      <x:c r="L55" s="22" t="str">
        <x:v>EXACT</x:v>
      </x:c>
      <x:c r="M55" s="21" t="str">
        <x:v>SUCCEEDED_NEW</x:v>
      </x:c>
      <x:c r="N55" s="21" t="str">
        <x:v>FT-Q-P180-ED8DED1CEFEA</x:v>
      </x:c>
      <x:c r="O55" s="22" t="str">
        <x:v>1842</x:v>
      </x:c>
      <x:c r="P55" s="22" t="str">
        <x:v>2022</x:v>
      </x:c>
      <x:c r="Q55" s="22" t="str">
        <x:v>1842</x:v>
      </x:c>
      <x:c r="R55" s="22" t="str">
        <x:v>177</x:v>
      </x:c>
      <x:c r="S55" s="22" t="str">
        <x:v>1893</x:v>
      </x:c>
      <x:c r="T55" s="43" t="str">
        <x:v>1.3519818153895358e-08</x:v>
      </x:c>
      <x:c r="U55" s="43" t="str">
        <x:v>7.90740894984765e-09</x:v>
      </x:c>
      <x:c r="V55" s="43" t="str">
        <x:v>6.7370142242673126e-09</x:v>
      </x:c>
      <x:c r="W55" s="43" t="str">
        <x:v>6.240647498767515e-09</x:v>
      </x:c>
      <x:c r="X55" s="43" t="str">
        <x:v>8.913053406445215e-09</x:v>
      </x:c>
      <x:c r="Y55" s="43" t="str">
        <x:v>1.9349650770550397e-09</x:v>
      </x:c>
      <x:c r="Z55" s="43" t="str">
        <x:v>7.90740894984765e-09</x:v>
      </x:c>
      <x:c r="AA55" s="43" t="str">
        <x:v>2.418412137217274e-09</x:v>
      </x:c>
      <x:c r="AB55" s="43" t="str">
        <x:v>3.4336291587777623e-09</x:v>
      </x:c>
      <x:c r="AC55" s="43" t="str">
        <x:v>3.957837758916671e-09</x:v>
      </x:c>
      <x:c r="AD55" s="43" t="str">
        <x:v>3.695733458847217e-09</x:v>
      </x:c>
      <x:c r="AE55" s="43" t="str">
        <x:v>5.977895175396375e-09</x:v>
      </x:c>
      <x:c r="AF55" s="43" t="str">
        <x:v>8.007414870059293e-09</x:v>
      </x:c>
      <x:c r="AG55" s="23" t="str">
        <x:v>Candidate surface form is directly representable in the public Ngram interface. New unsmoothed 1842–2022 series retrieved for the candidate audit.</x:v>
      </x:c>
    </x:row>
    <x:row r="56" ht="19" customHeight="1">
      <x:c r="A56" s="20" t="str">
        <x:v>FT-SEED-R1B-P-1938-25</x:v>
      </x:c>
      <x:c r="B56" s="22" t="str">
        <x:v>1938</x:v>
      </x:c>
      <x:c r="C56" s="22" t="str">
        <x:v>25</x:v>
      </x:c>
      <x:c r="D56" s="21" t="str">
        <x:v>hottest spell for years</x:v>
      </x:c>
      <x:c r="E56" s="21" t="str">
        <x:v>heatwave / weather event</x:v>
      </x:c>
      <x:c r="F56" s="22" t="str">
        <x:v>heat</x:v>
      </x:c>
      <x:c r="G56" s="22" t="str">
        <x:v>A</x:v>
      </x:c>
      <x:c r="H56" s="22" t="str">
        <x:v>V3</x:v>
      </x:c>
      <x:c r="I56" s="22" t="str">
        <x:v>E5</x:v>
      </x:c>
      <x:c r="J56" s="21" t="str">
        <x:v>RECONSTRUCTED_FROM_REPORT; Fear of Temperature_ Stratified Lexical Expansion, Voice Mapping, and Semantic-Relational Pre-Valida.pdf; p.8; project candidate FT-SEED-R1B-P-1938-25; original visible ID not available</x:v>
      </x:c>
      <x:c r="K56" s="21" t="str">
        <x:v>hottest spell for years</x:v>
      </x:c>
      <x:c r="L56" s="22" t="str">
        <x:v>EXACT</x:v>
      </x:c>
      <x:c r="M56" s="21" t="str">
        <x:v>ZERO_RESPONSE_NEW</x:v>
      </x:c>
      <x:c r="N56" s="21" t="str">
        <x:v>FT-Q-P180-B6C72C58A1ED</x:v>
      </x:c>
      <x:c r="O56" s="22" t="str">
        <x:v>1842</x:v>
      </x:c>
      <x:c r="P56" s="22" t="str">
        <x:v>2022</x:v>
      </x:c>
      <x:c r="Q56" s="22" t="str"/>
      <x:c r="R56" s="22" t="str">
        <x:v>0</x:v>
      </x:c>
      <x:c r="S56" s="22" t="str"/>
      <x:c r="T56" s="43" t="str"/>
      <x:c r="U56" s="43" t="str"/>
      <x:c r="V56" s="43" t="str"/>
      <x:c r="W56" s="43" t="str"/>
      <x:c r="X56" s="43" t="str"/>
      <x:c r="Y56" s="43" t="str"/>
      <x:c r="Z56" s="43" t="str"/>
      <x:c r="AA56" s="43" t="str"/>
      <x:c r="AB56" s="43" t="str"/>
      <x:c r="AC56" s="43" t="str"/>
      <x:c r="AD56" s="43" t="str"/>
      <x:c r="AE56" s="43" t="str"/>
      <x:c r="AF56" s="43" t="str"/>
      <x:c r="AG56" s="23" t="str">
        <x:v>Candidate surface form is directly representable in the public Ngram interface. The public Ngram endpoint returned an empty list; retained without fabricating annual zero frequencies.</x:v>
      </x:c>
    </x:row>
    <x:row r="57" ht="19" customHeight="1">
      <x:c r="A57" s="20" t="str">
        <x:v>FT-SEED-R1B-P-1938-26</x:v>
      </x:c>
      <x:c r="B57" s="22" t="str">
        <x:v>1938</x:v>
      </x:c>
      <x:c r="C57" s="22" t="str">
        <x:v>26</x:v>
      </x:c>
      <x:c r="D57" s="21" t="str">
        <x:v>weather is just bearable</x:v>
      </x:c>
      <x:c r="E57" s="21" t="str">
        <x:v>personal concern</x:v>
      </x:c>
      <x:c r="F57" s="22" t="str">
        <x:v>concern_alarm</x:v>
      </x:c>
      <x:c r="G57" s="22" t="str">
        <x:v>C</x:v>
      </x:c>
      <x:c r="H57" s="22" t="str">
        <x:v>V3</x:v>
      </x:c>
      <x:c r="I57" s="22" t="str">
        <x:v>E5</x:v>
      </x:c>
      <x:c r="J57" s="21" t="str">
        <x:v>RECONSTRUCTED_FROM_REPORT; Fear of Temperature_ Stratified Lexical Expansion, Voice Mapping, and Semantic-Relational Pre-Valida.pdf; p.8; project candidate FT-SEED-R1B-P-1938-26; original visible ID not available</x:v>
      </x:c>
      <x:c r="K57" s="21" t="str">
        <x:v>weather is just bearable</x:v>
      </x:c>
      <x:c r="L57" s="22" t="str">
        <x:v>EXACT</x:v>
      </x:c>
      <x:c r="M57" s="21" t="str">
        <x:v>ZERO_RESPONSE_NEW</x:v>
      </x:c>
      <x:c r="N57" s="21" t="str">
        <x:v>FT-Q-P180-121ABBF6993D</x:v>
      </x:c>
      <x:c r="O57" s="22" t="str">
        <x:v>1842</x:v>
      </x:c>
      <x:c r="P57" s="22" t="str">
        <x:v>2022</x:v>
      </x:c>
      <x:c r="Q57" s="22" t="str"/>
      <x:c r="R57" s="22" t="str">
        <x:v>0</x:v>
      </x:c>
      <x:c r="S57" s="22" t="str"/>
      <x:c r="T57" s="43" t="str"/>
      <x:c r="U57" s="43" t="str"/>
      <x:c r="V57" s="43" t="str"/>
      <x:c r="W57" s="43" t="str"/>
      <x:c r="X57" s="43" t="str"/>
      <x:c r="Y57" s="43" t="str"/>
      <x:c r="Z57" s="43" t="str"/>
      <x:c r="AA57" s="43" t="str"/>
      <x:c r="AB57" s="43" t="str"/>
      <x:c r="AC57" s="43" t="str"/>
      <x:c r="AD57" s="43" t="str"/>
      <x:c r="AE57" s="43" t="str"/>
      <x:c r="AF57" s="43" t="str"/>
      <x:c r="AG57" s="23" t="str">
        <x:v>Candidate surface form is directly representable in the public Ngram interface. The public Ngram endpoint returned an empty list; retained without fabricating annual zero frequencies.</x:v>
      </x:c>
    </x:row>
    <x:row r="58" ht="19" customHeight="1">
      <x:c r="A58" s="20" t="str">
        <x:v>FT-SEED-R1B-P-1938-27</x:v>
      </x:c>
      <x:c r="B58" s="22" t="str">
        <x:v>1938</x:v>
      </x:c>
      <x:c r="C58" s="22" t="str">
        <x:v>27</x:v>
      </x:c>
      <x:c r="D58" s="21" t="str">
        <x:v>heat records</x:v>
      </x:c>
      <x:c r="E58" s="21" t="str">
        <x:v>physical heat source / state</x:v>
      </x:c>
      <x:c r="F58" s="22" t="str">
        <x:v>heat</x:v>
      </x:c>
      <x:c r="G58" s="22" t="str">
        <x:v>A</x:v>
      </x:c>
      <x:c r="H58" s="22" t="str">
        <x:v>V3</x:v>
      </x:c>
      <x:c r="I58" s="22" t="str">
        <x:v>E5</x:v>
      </x:c>
      <x:c r="J58" s="21" t="str">
        <x:v>RECONSTRUCTED_FROM_REPORT; Fear of Temperature_ Stratified Lexical Expansion, Voice Mapping, and Semantic-Relational Pre-Valida.pdf; p.8; project candidate FT-SEED-R1B-P-1938-27; original visible ID not available</x:v>
      </x:c>
      <x:c r="K58" s="21" t="str">
        <x:v>heat records</x:v>
      </x:c>
      <x:c r="L58" s="22" t="str">
        <x:v>EXACT</x:v>
      </x:c>
      <x:c r="M58" s="21" t="str">
        <x:v>SUCCEEDED_NEW</x:v>
      </x:c>
      <x:c r="N58" s="21" t="str">
        <x:v>FT-Q-P180-B655080E3998</x:v>
      </x:c>
      <x:c r="O58" s="22" t="str">
        <x:v>1842</x:v>
      </x:c>
      <x:c r="P58" s="22" t="str">
        <x:v>2022</x:v>
      </x:c>
      <x:c r="Q58" s="22" t="str">
        <x:v>1843</x:v>
      </x:c>
      <x:c r="R58" s="22" t="str">
        <x:v>137</x:v>
      </x:c>
      <x:c r="S58" s="22" t="str">
        <x:v>1936</x:v>
      </x:c>
      <x:c r="T58" s="43" t="str">
        <x:v>1.0014666540492101e-08</x:v>
      </x:c>
      <x:c r="U58" s="43" t="str">
        <x:v>5.6799695502540715e-09</x:v>
      </x:c>
      <x:c r="V58" s="43" t="str">
        <x:v>5.975816386172283e-09</x:v>
      </x:c>
      <x:c r="W58" s="43" t="str">
        <x:v>5.6799695502540715e-09</x:v>
      </x:c>
      <x:c r="X58" s="43" t="str">
        <x:v>1.0014666540492101e-08</x:v>
      </x:c>
      <x:c r="Y58" s="43" t="str">
        <x:v>0.0</x:v>
      </x:c>
      <x:c r="Z58" s="43" t="str">
        <x:v>5.6799695502540715e-09</x:v>
      </x:c>
      <x:c r="AA58" s="43" t="str">
        <x:v>1.8755033186212966e-09</x:v>
      </x:c>
      <x:c r="AB58" s="43" t="str">
        <x:v>1.3276699219189059e-09</x:v>
      </x:c>
      <x:c r="AC58" s="43" t="str">
        <x:v>9.894594484027852e-10</x:v>
      </x:c>
      <x:c r="AD58" s="43" t="str">
        <x:v>1.1585646851608455e-09</x:v>
      </x:c>
      <x:c r="AE58" s="43" t="str">
        <x:v>2.1950082793043e-09</x:v>
      </x:c>
      <x:c r="AF58" s="43" t="str">
        <x:v>3.5391889141589417e-09</x:v>
      </x:c>
      <x:c r="AG58" s="23" t="str">
        <x:v>Candidate surface form is directly representable in the public Ngram interface. New unsmoothed 1842–2022 series retrieved for the candidate audit.</x:v>
      </x:c>
    </x:row>
    <x:row r="59" ht="19" customHeight="1">
      <x:c r="A59" s="20" t="str">
        <x:v>FT-SEED-R1B-P-1938-28</x:v>
      </x:c>
      <x:c r="B59" s="22" t="str">
        <x:v>1938</x:v>
      </x:c>
      <x:c r="C59" s="22" t="str">
        <x:v>28</x:v>
      </x:c>
      <x:c r="D59" s="21" t="str">
        <x:v>drought</x:v>
      </x:c>
      <x:c r="E59" s="21" t="str">
        <x:v>generic damage</x:v>
      </x:c>
      <x:c r="F59" s="22" t="str">
        <x:v>harm_loss_consequences</x:v>
      </x:c>
      <x:c r="G59" s="22" t="str">
        <x:v>D</x:v>
      </x:c>
      <x:c r="H59" s="22" t="str">
        <x:v>V3</x:v>
      </x:c>
      <x:c r="I59" s="22" t="str">
        <x:v>E5</x:v>
      </x:c>
      <x:c r="J59" s="21" t="str">
        <x:v>RECONSTRUCTED_FROM_REPORT; Fear of Temperature_ Stratified Lexical Expansion, Voice Mapping, and Semantic-Relational Pre-Valida.pdf; p.8; project candidate FT-SEED-R1B-P-1938-28; original visible ID not available</x:v>
      </x:c>
      <x:c r="K59" s="21" t="str">
        <x:v>drought</x:v>
      </x:c>
      <x:c r="L59" s="22" t="str">
        <x:v>EXACT</x:v>
      </x:c>
      <x:c r="M59" s="21" t="str">
        <x:v>SUCCEEDED_REUSED_BASELINE</x:v>
      </x:c>
      <x:c r="N59" s="21" t="str">
        <x:v>FT-Q-P180-E42CD0DB6D56</x:v>
      </x:c>
      <x:c r="O59" s="22" t="str">
        <x:v>1842</x:v>
      </x:c>
      <x:c r="P59" s="22" t="str">
        <x:v>2022</x:v>
      </x:c>
      <x:c r="Q59" s="22" t="str">
        <x:v>1842</x:v>
      </x:c>
      <x:c r="R59" s="22" t="str">
        <x:v>181</x:v>
      </x:c>
      <x:c r="S59" s="22" t="str">
        <x:v>1934</x:v>
      </x:c>
      <x:c r="T59" s="43" t="str">
        <x:v>1.4142492887003755e-05</x:v>
      </x:c>
      <x:c r="U59" s="43" t="str">
        <x:v>9.374461029665326e-06</x:v>
      </x:c>
      <x:c r="V59" s="43" t="str">
        <x:v>9.55775340969467e-06</x:v>
      </x:c>
      <x:c r="W59" s="43" t="str">
        <x:v>9.374461029665326e-06</x:v>
      </x:c>
      <x:c r="X59" s="43" t="str">
        <x:v>1.150456472487349e-05</x:v>
      </x:c>
      <x:c r="Y59" s="43" t="str">
        <x:v>3.1151387602790237e-06</x:v>
      </x:c>
      <x:c r="Z59" s="43" t="str">
        <x:v>9.374461029665326e-06</x:v>
      </x:c>
      <x:c r="AA59" s="43" t="str">
        <x:v>1.090940310177757e-05</x:v>
      </x:c>
      <x:c r="AB59" s="43" t="str">
        <x:v>6.629869545804468e-06</x:v>
      </x:c>
      <x:c r="AC59" s="43" t="str">
        <x:v>6.241732602774164e-06</x:v>
      </x:c>
      <x:c r="AD59" s="43" t="str">
        <x:v>6.435801074289316e-06</x:v>
      </x:c>
      <x:c r="AE59" s="43" t="str">
        <x:v>5.7625219831436425e-06</x:v>
      </x:c>
      <x:c r="AF59" s="43" t="str">
        <x:v>8.803938708723535e-06</x:v>
      </x:c>
      <x:c r="AG59" s="23" t="str">
        <x:v>Candidate surface form is directly representable in the public Ngram interface. Complete 1842–2022 unsmoothed series reused from the audited quantitative-v0.1 baseline.</x:v>
      </x:c>
    </x:row>
    <x:row r="60" ht="19" customHeight="1">
      <x:c r="A60" s="20" t="str">
        <x:v>FT-SEED-R1B-P-1938-29</x:v>
      </x:c>
      <x:c r="B60" s="22" t="str">
        <x:v>1938</x:v>
      </x:c>
      <x:c r="C60" s="22" t="str">
        <x:v>29</x:v>
      </x:c>
      <x:c r="D60" s="21" t="str">
        <x:v>grass fires</x:v>
      </x:c>
      <x:c r="E60" s="21" t="str">
        <x:v>generic damage</x:v>
      </x:c>
      <x:c r="F60" s="22" t="str">
        <x:v>harm_loss_consequences</x:v>
      </x:c>
      <x:c r="G60" s="22" t="str">
        <x:v>D</x:v>
      </x:c>
      <x:c r="H60" s="22" t="str">
        <x:v>V3</x:v>
      </x:c>
      <x:c r="I60" s="22" t="str">
        <x:v>E5</x:v>
      </x:c>
      <x:c r="J60" s="21" t="str">
        <x:v>RECONSTRUCTED_FROM_REPORT; Fear of Temperature_ Stratified Lexical Expansion, Voice Mapping, and Semantic-Relational Pre-Valida.pdf; p.8; project candidate FT-SEED-R1B-P-1938-29; original visible ID not available</x:v>
      </x:c>
      <x:c r="K60" s="21" t="str">
        <x:v>grass fires</x:v>
      </x:c>
      <x:c r="L60" s="22" t="str">
        <x:v>EXACT</x:v>
      </x:c>
      <x:c r="M60" s="21" t="str">
        <x:v>SUCCEEDED_NEW</x:v>
      </x:c>
      <x:c r="N60" s="21" t="str">
        <x:v>FT-Q-P180-D32C48F05555</x:v>
      </x:c>
      <x:c r="O60" s="22" t="str">
        <x:v>1842</x:v>
      </x:c>
      <x:c r="P60" s="22" t="str">
        <x:v>2022</x:v>
      </x:c>
      <x:c r="Q60" s="22" t="str">
        <x:v>1846</x:v>
      </x:c>
      <x:c r="R60" s="22" t="str">
        <x:v>162</x:v>
      </x:c>
      <x:c r="S60" s="22" t="str">
        <x:v>1946</x:v>
      </x:c>
      <x:c r="T60" s="43" t="str">
        <x:v>9.174678930468083e-08</x:v>
      </x:c>
      <x:c r="U60" s="43" t="str">
        <x:v>7.929683021323797e-08</x:v>
      </x:c>
      <x:c r="V60" s="43" t="str">
        <x:v>7.162705532581804e-08</x:v>
      </x:c>
      <x:c r="W60" s="43" t="str">
        <x:v>6.965008447767929e-08</x:v>
      </x:c>
      <x:c r="X60" s="43" t="str">
        <x:v>8.011733343415983e-08</x:v>
      </x:c>
      <x:c r="Y60" s="43" t="str">
        <x:v>0.0</x:v>
      </x:c>
      <x:c r="Z60" s="43" t="str">
        <x:v>7.929683021323797e-08</x:v>
      </x:c>
      <x:c r="AA60" s="43" t="str">
        <x:v>2.6454467616510158e-08</x:v>
      </x:c>
      <x:c r="AB60" s="43" t="str">
        <x:v>1.9411450197237556e-08</x:v>
      </x:c>
      <x:c r="AC60" s="43" t="str">
        <x:v>1.641603147861659e-08</x:v>
      </x:c>
      <x:c r="AD60" s="43" t="str">
        <x:v>1.7913740837927072e-08</x:v>
      </x:c>
      <x:c r="AE60" s="43" t="str">
        <x:v>1.634580614612302e-08</x:v>
      </x:c>
      <x:c r="AF60" s="43" t="str">
        <x:v>1.336043833899403e-08</x:v>
      </x:c>
      <x:c r="AG60" s="23" t="str">
        <x:v>Candidate surface form is directly representable in the public Ngram interface. New unsmoothed 1842–2022 series retrieved for the candidate audit.</x:v>
      </x:c>
    </x:row>
    <x:row r="61" ht="19" customHeight="1">
      <x:c r="A61" s="20" t="str">
        <x:v>FT-SEED-R1B-P-1938-30</x:v>
      </x:c>
      <x:c r="B61" s="22" t="str">
        <x:v>1938</x:v>
      </x:c>
      <x:c r="C61" s="22" t="str">
        <x:v>30</x:v>
      </x:c>
      <x:c r="D61" s="21" t="str">
        <x:v>unbearable heat</x:v>
      </x:c>
      <x:c r="E61" s="21" t="str">
        <x:v>extreme-heat hazard</x:v>
      </x:c>
      <x:c r="F61" s="22" t="str">
        <x:v>heat</x:v>
      </x:c>
      <x:c r="G61" s="22" t="str">
        <x:v>D</x:v>
      </x:c>
      <x:c r="H61" s="22" t="str">
        <x:v>V3</x:v>
      </x:c>
      <x:c r="I61" s="22" t="str">
        <x:v>E5</x:v>
      </x:c>
      <x:c r="J61" s="21" t="str">
        <x:v>RECONSTRUCTED_FROM_REPORT; Fear of Temperature_ Stratified Lexical Expansion, Voice Mapping, and Semantic-Relational Pre-Valida.pdf; p.8; project candidate FT-SEED-R1B-P-1938-30; original visible ID not available</x:v>
      </x:c>
      <x:c r="K61" s="21" t="str">
        <x:v>unbearable heat</x:v>
      </x:c>
      <x:c r="L61" s="22" t="str">
        <x:v>EXACT</x:v>
      </x:c>
      <x:c r="M61" s="21" t="str">
        <x:v>SUCCEEDED_NEW</x:v>
      </x:c>
      <x:c r="N61" s="21" t="str">
        <x:v>FT-Q-P180-B3F473A5DEDD</x:v>
      </x:c>
      <x:c r="O61" s="22" t="str">
        <x:v>1842</x:v>
      </x:c>
      <x:c r="P61" s="22" t="str">
        <x:v>2022</x:v>
      </x:c>
      <x:c r="Q61" s="22" t="str">
        <x:v>1842</x:v>
      </x:c>
      <x:c r="R61" s="22" t="str">
        <x:v>176</x:v>
      </x:c>
      <x:c r="S61" s="22" t="str">
        <x:v>2021</x:v>
      </x:c>
      <x:c r="T61" s="43" t="str">
        <x:v>3.392838843208068e-08</x:v>
      </x:c>
      <x:c r="U61" s="43" t="str">
        <x:v>7.907408366980562e-09</x:v>
      </x:c>
      <x:c r="V61" s="43" t="str">
        <x:v>7.272420282644631e-09</x:v>
      </x:c>
      <x:c r="W61" s="43" t="str">
        <x:v>7.72650121660945e-09</x:v>
      </x:c>
      <x:c r="X61" s="43" t="str">
        <x:v>9.806732093053938e-09</x:v>
      </x:c>
      <x:c r="Y61" s="43" t="str">
        <x:v>1.289976681029259e-09</x:v>
      </x:c>
      <x:c r="Z61" s="43" t="str">
        <x:v>7.907408366980562e-09</x:v>
      </x:c>
      <x:c r="AA61" s="43" t="str">
        <x:v>9.1800950695331e-09</x:v>
      </x:c>
      <x:c r="AB61" s="43" t="str">
        <x:v>1.7809089807030443e-08</x:v>
      </x:c>
      <x:c r="AC61" s="43" t="str">
        <x:v>1.9834165254639657e-08</x:v>
      </x:c>
      <x:c r="AD61" s="43" t="str">
        <x:v>1.882162753083505e-08</x:v>
      </x:c>
      <x:c r="AE61" s="43" t="str">
        <x:v>2.937575081796151e-08</x:v>
      </x:c>
      <x:c r="AF61" s="43" t="str">
        <x:v>3.092366304691119e-08</x:v>
      </x:c>
      <x:c r="AG61" s="23" t="str">
        <x:v>Candidate surface form is directly representable in the public Ngram interface. New unsmoothed 1842–2022 series retrieved for the candidate audit.</x:v>
      </x:c>
    </x:row>
    <x:row r="62" ht="19" customHeight="1">
      <x:c r="A62" s="20" t="str">
        <x:v>FT-SEED-R1B-P-1988-01</x:v>
      </x:c>
      <x:c r="B62" s="22" t="str">
        <x:v>1988</x:v>
      </x:c>
      <x:c r="C62" s="22" t="str">
        <x:v>1</x:v>
      </x:c>
      <x:c r="D62" s="21" t="str">
        <x:v>greenhouse effect</x:v>
      </x:c>
      <x:c r="E62" s="21" t="str">
        <x:v>greenhouse mechanism</x:v>
      </x:c>
      <x:c r="F62" s="22" t="str">
        <x:v>carbon_greenhouse</x:v>
      </x:c>
      <x:c r="G62" s="22" t="str">
        <x:v>B</x:v>
      </x:c>
      <x:c r="H62" s="22" t="str">
        <x:v>V1</x:v>
      </x:c>
      <x:c r="I62" s="22" t="str">
        <x:v>E5</x:v>
      </x:c>
      <x:c r="J62" s="21" t="str">
        <x:v>RECONSTRUCTED_FROM_REPORT; Fear of Temperature_ Stratified Lexical Expansion, Voice Mapping, and Semantic-Relational Pre-Valida.pdf; p.9; project candidate FT-SEED-R1B-P-1988-01; original visible ID not available</x:v>
      </x:c>
      <x:c r="K62" s="21" t="str">
        <x:v>greenhouse effect</x:v>
      </x:c>
      <x:c r="L62" s="22" t="str">
        <x:v>EXACT</x:v>
      </x:c>
      <x:c r="M62" s="21" t="str">
        <x:v>SUCCEEDED_REUSED_BASELINE</x:v>
      </x:c>
      <x:c r="N62" s="21" t="str">
        <x:v>FT-Q-V01-041</x:v>
      </x:c>
      <x:c r="O62" s="22" t="str">
        <x:v>1842</x:v>
      </x:c>
      <x:c r="P62" s="22" t="str">
        <x:v>2022</x:v>
      </x:c>
      <x:c r="Q62" s="22" t="str">
        <x:v>1843</x:v>
      </x:c>
      <x:c r="R62" s="22" t="str">
        <x:v>133</x:v>
      </x:c>
      <x:c r="S62" s="22" t="str">
        <x:v>1990</x:v>
      </x:c>
      <x:c r="T62" s="43" t="str">
        <x:v>1.9607200425764137e-06</x:v>
      </x:c>
      <x:c r="U62" s="43" t="str">
        <x:v>1.0860151045330446e-06</x:v>
      </x:c>
      <x:c r="V62" s="43" t="str">
        <x:v>1.1813752772843467e-06</x:v>
      </x:c>
      <x:c r="W62" s="43" t="str">
        <x:v>1.0860151045330446e-06</x:v>
      </x:c>
      <x:c r="X62" s="43" t="str">
        <x:v>1.9607200425764137e-06</x:v>
      </x:c>
      <x:c r="Y62" s="43" t="str">
        <x:v>0.0</x:v>
      </x:c>
      <x:c r="Z62" s="43" t="str">
        <x:v>9.689360203068986e-09</x:v>
      </x:c>
      <x:c r="AA62" s="43" t="str">
        <x:v>1.0860151045330446e-06</x:v>
      </x:c>
      <x:c r="AB62" s="43" t="str">
        <x:v>4.812116740637862e-07</x:v>
      </x:c>
      <x:c r="AC62" s="43" t="str">
        <x:v>5.082223493886595e-07</x:v>
      </x:c>
      <x:c r="AD62" s="43" t="str">
        <x:v>4.947170117262228e-07</x:v>
      </x:c>
      <x:c r="AE62" s="43" t="str">
        <x:v>4.1616425027965476e-07</x:v>
      </x:c>
      <x:c r="AF62" s="43" t="str">
        <x:v>4.5310465940362477e-07</x:v>
      </x:c>
      <x:c r="AG62" s="23" t="str">
        <x:v>Candidate surface form is directly representable in the public Ngram interface. Complete 1842–2022 unsmoothed series reused from the audited quantitative-v0.1 baseline.</x:v>
      </x:c>
    </x:row>
    <x:row r="63" ht="19" customHeight="1">
      <x:c r="A63" s="20" t="str">
        <x:v>FT-SEED-R1B-P-1988-02</x:v>
      </x:c>
      <x:c r="B63" s="22" t="str">
        <x:v>1988</x:v>
      </x:c>
      <x:c r="C63" s="22" t="str">
        <x:v>2</x:v>
      </x:c>
      <x:c r="D63" s="21" t="str">
        <x:v>global warming</x:v>
      </x:c>
      <x:c r="E63" s="21" t="str">
        <x:v>global warming as issue label</x:v>
      </x:c>
      <x:c r="F63" s="22" t="str">
        <x:v>warming</x:v>
      </x:c>
      <x:c r="G63" s="22" t="str">
        <x:v>A</x:v>
      </x:c>
      <x:c r="H63" s="22" t="str">
        <x:v>V1</x:v>
      </x:c>
      <x:c r="I63" s="22" t="str">
        <x:v>E5</x:v>
      </x:c>
      <x:c r="J63" s="21" t="str">
        <x:v>RECONSTRUCTED_FROM_REPORT; Fear of Temperature_ Stratified Lexical Expansion, Voice Mapping, and Semantic-Relational Pre-Valida.pdf; p.9; project candidate FT-SEED-R1B-P-1988-02; original visible ID not available</x:v>
      </x:c>
      <x:c r="K63" s="21" t="str">
        <x:v>global warming</x:v>
      </x:c>
      <x:c r="L63" s="22" t="str">
        <x:v>EXACT</x:v>
      </x:c>
      <x:c r="M63" s="21" t="str">
        <x:v>SUCCEEDED_REUSED_BASELINE</x:v>
      </x:c>
      <x:c r="N63" s="21" t="str">
        <x:v>FT-Q-V01-042</x:v>
      </x:c>
      <x:c r="O63" s="22" t="str">
        <x:v>1842</x:v>
      </x:c>
      <x:c r="P63" s="22" t="str">
        <x:v>2022</x:v>
      </x:c>
      <x:c r="Q63" s="22" t="str">
        <x:v>1843</x:v>
      </x:c>
      <x:c r="R63" s="22" t="str">
        <x:v>138</x:v>
      </x:c>
      <x:c r="S63" s="22" t="str">
        <x:v>2009</x:v>
      </x:c>
      <x:c r="T63" s="43" t="str">
        <x:v>5.445639571555194e-06</x:v>
      </x:c>
      <x:c r="U63" s="43" t="str">
        <x:v>6.400895369296222e-07</x:v>
      </x:c>
      <x:c r="V63" s="43" t="str">
        <x:v>1.1427371357071448e-06</x:v>
      </x:c>
      <x:c r="W63" s="43" t="str">
        <x:v>6.400895369296222e-07</x:v>
      </x:c>
      <x:c r="X63" s="43" t="str">
        <x:v>2.645472821902195e-06</x:v>
      </x:c>
      <x:c r="Y63" s="43" t="str">
        <x:v>0.0</x:v>
      </x:c>
      <x:c r="Z63" s="43" t="str">
        <x:v>2.0046951182406403e-09</x:v>
      </x:c>
      <x:c r="AA63" s="43" t="str">
        <x:v>6.400895369296222e-07</x:v>
      </x:c>
      <x:c r="AB63" s="43" t="str">
        <x:v>3.3939363127816202e-06</x:v>
      </x:c>
      <x:c r="AC63" s="43" t="str">
        <x:v>4.9616444240396795e-06</x:v>
      </x:c>
      <x:c r="AD63" s="43" t="str">
        <x:v>4.17779036841065e-06</x:v>
      </x:c>
      <x:c r="AE63" s="43" t="str">
        <x:v>3.293586607857474e-06</x:v>
      </x:c>
      <x:c r="AF63" s="43" t="str">
        <x:v>3.963670369644401e-06</x:v>
      </x:c>
      <x:c r="AG63" s="23" t="str">
        <x:v>Candidate surface form is directly representable in the public Ngram interface. Complete 1842–2022 unsmoothed series reused from the audited quantitative-v0.1 baseline.</x:v>
      </x:c>
    </x:row>
    <x:row r="64" ht="19" customHeight="1">
      <x:c r="A64" s="20" t="str">
        <x:v>FT-SEED-R1B-P-1988-03</x:v>
      </x:c>
      <x:c r="B64" s="22" t="str">
        <x:v>1988</x:v>
      </x:c>
      <x:c r="C64" s="22" t="str">
        <x:v>3</x:v>
      </x:c>
      <x:c r="D64" s="21" t="str">
        <x:v>earth is warmer</x:v>
      </x:c>
      <x:c r="E64" s="21" t="str">
        <x:v>temperature increase</x:v>
      </x:c>
      <x:c r="F64" s="22" t="str">
        <x:v>warming</x:v>
      </x:c>
      <x:c r="G64" s="22" t="str">
        <x:v>A</x:v>
      </x:c>
      <x:c r="H64" s="22" t="str">
        <x:v>V1</x:v>
      </x:c>
      <x:c r="I64" s="22" t="str">
        <x:v>E5</x:v>
      </x:c>
      <x:c r="J64" s="21" t="str">
        <x:v>RECONSTRUCTED_FROM_REPORT; Fear of Temperature_ Stratified Lexical Expansion, Voice Mapping, and Semantic-Relational Pre-Valida.pdf; p.9; project candidate FT-SEED-R1B-P-1988-03; original visible ID not available</x:v>
      </x:c>
      <x:c r="K64" s="21" t="str">
        <x:v>earth is warmer</x:v>
      </x:c>
      <x:c r="L64" s="22" t="str">
        <x:v>EXACT</x:v>
      </x:c>
      <x:c r="M64" s="21" t="str">
        <x:v>SUCCEEDED_REUSED_BASELINE</x:v>
      </x:c>
      <x:c r="N64" s="21" t="str">
        <x:v>FT-Q-V01-043</x:v>
      </x:c>
      <x:c r="O64" s="22" t="str">
        <x:v>1842</x:v>
      </x:c>
      <x:c r="P64" s="22" t="str">
        <x:v>2022</x:v>
      </x:c>
      <x:c r="Q64" s="22" t="str">
        <x:v>1844</x:v>
      </x:c>
      <x:c r="R64" s="22" t="str">
        <x:v>168</x:v>
      </x:c>
      <x:c r="S64" s="22" t="str">
        <x:v>1857</x:v>
      </x:c>
      <x:c r="T64" s="43" t="str">
        <x:v>1.4437074646878045e-08</x:v>
      </x:c>
      <x:c r="U64" s="43" t="str">
        <x:v>1.2433855611782008e-09</x:v>
      </x:c>
      <x:c r="V64" s="43" t="str">
        <x:v>6.124371773608139e-10</x:v>
      </x:c>
      <x:c r="W64" s="43" t="str">
        <x:v>4.984370555183304e-10</x:v>
      </x:c>
      <x:c r="X64" s="43" t="str">
        <x:v>1.2433855611782008e-09</x:v>
      </x:c>
      <x:c r="Y64" s="43" t="str">
        <x:v>0.0</x:v>
      </x:c>
      <x:c r="Z64" s="43" t="str">
        <x:v>2.444700553105861e-10</x:v>
      </x:c>
      <x:c r="AA64" s="43" t="str">
        <x:v>1.2433855611782008e-09</x:v>
      </x:c>
      <x:c r="AB64" s="43" t="str">
        <x:v>1.0404181960410597e-09</x:v>
      </x:c>
      <x:c r="AC64" s="43" t="str">
        <x:v>2.235196472355483e-09</x:v>
      </x:c>
      <x:c r="AD64" s="43" t="str">
        <x:v>1.6378073341982713e-09</x:v>
      </x:c>
      <x:c r="AE64" s="43" t="str">
        <x:v>1.249671310876721e-09</x:v>
      </x:c>
      <x:c r="AF64" s="43" t="str">
        <x:v>1.7027492194010563e-09</x:v>
      </x:c>
      <x:c r="AG64" s="23" t="str">
        <x:v>Candidate surface form is directly representable in the public Ngram interface. Complete 1842–2022 unsmoothed series reused from the audited quantitative-v0.1 baseline.</x:v>
      </x:c>
    </x:row>
    <x:row r="65" ht="19" customHeight="1">
      <x:c r="A65" s="20" t="str">
        <x:v>FT-SEED-R1B-P-1988-04</x:v>
      </x:c>
      <x:c r="B65" s="22" t="str">
        <x:v>1988</x:v>
      </x:c>
      <x:c r="C65" s="22" t="str">
        <x:v>4</x:v>
      </x:c>
      <x:c r="D65" s="21" t="str">
        <x:v>instrumental measurements</x:v>
      </x:c>
      <x:c r="E65" s="21" t="str">
        <x:v>historical climate / climatological condition</x:v>
      </x:c>
      <x:c r="F65" s="22" t="str">
        <x:v>climate</x:v>
      </x:c>
      <x:c r="G65" s="22" t="str">
        <x:v>B</x:v>
      </x:c>
      <x:c r="H65" s="22" t="str">
        <x:v>V1</x:v>
      </x:c>
      <x:c r="I65" s="22" t="str">
        <x:v>E5</x:v>
      </x:c>
      <x:c r="J65" s="21" t="str">
        <x:v>RECONSTRUCTED_FROM_REPORT; Fear of Temperature_ Stratified Lexical Expansion, Voice Mapping, and Semantic-Relational Pre-Valida.pdf; p.9; project candidate FT-SEED-R1B-P-1988-04; original visible ID not available</x:v>
      </x:c>
      <x:c r="K65" s="21" t="str">
        <x:v>instrumental measurements</x:v>
      </x:c>
      <x:c r="L65" s="22" t="str">
        <x:v>EXACT</x:v>
      </x:c>
      <x:c r="M65" s="21" t="str">
        <x:v>SUCCEEDED_REUSED_BASELINE</x:v>
      </x:c>
      <x:c r="N65" s="21" t="str">
        <x:v>FT-Q-V01-044</x:v>
      </x:c>
      <x:c r="O65" s="22" t="str">
        <x:v>1842</x:v>
      </x:c>
      <x:c r="P65" s="22" t="str">
        <x:v>2022</x:v>
      </x:c>
      <x:c r="Q65" s="22" t="str">
        <x:v>1844</x:v>
      </x:c>
      <x:c r="R65" s="22" t="str">
        <x:v>176</x:v>
      </x:c>
      <x:c r="S65" s="22" t="str">
        <x:v>1974</x:v>
      </x:c>
      <x:c r="T65" s="43" t="str">
        <x:v>1.8620491870624534e-08</x:v>
      </x:c>
      <x:c r="U65" s="43" t="str">
        <x:v>6.959104164455665e-09</x:v>
      </x:c>
      <x:c r="V65" s="43" t="str">
        <x:v>9.169332604308522e-09</x:v>
      </x:c>
      <x:c r="W65" s="43" t="str">
        <x:v>8.630308870327674e-09</x:v>
      </x:c>
      <x:c r="X65" s="43" t="str">
        <x:v>1.2465769499980794e-08</x:v>
      </x:c>
      <x:c r="Y65" s="43" t="str">
        <x:v>0.0</x:v>
      </x:c>
      <x:c r="Z65" s="43" t="str">
        <x:v>4.343506249115947e-09</x:v>
      </x:c>
      <x:c r="AA65" s="43" t="str">
        <x:v>6.959104164455665e-09</x:v>
      </x:c>
      <x:c r="AB65" s="43" t="str">
        <x:v>9.659943039919128e-09</x:v>
      </x:c>
      <x:c r="AC65" s="43" t="str">
        <x:v>1.1558685786283718e-08</x:v>
      </x:c>
      <x:c r="AD65" s="43" t="str">
        <x:v>1.0609314413101423e-08</x:v>
      </x:c>
      <x:c r="AE65" s="43" t="str">
        <x:v>7.752582603659519e-09</x:v>
      </x:c>
      <x:c r="AF65" s="43" t="str">
        <x:v>8.892212299826951e-09</x:v>
      </x:c>
      <x:c r="AG65" s="23" t="str">
        <x:v>Candidate surface form is directly representable in the public Ngram interface. Complete 1842–2022 unsmoothed series reused from the audited quantitative-v0.1 baseline.</x:v>
      </x:c>
    </x:row>
    <x:row r="66" ht="19" customHeight="1">
      <x:c r="A66" s="20" t="str">
        <x:v>FT-SEED-R1B-P-1988-05</x:v>
      </x:c>
      <x:c r="B66" s="22" t="str">
        <x:v>1988</x:v>
      </x:c>
      <x:c r="C66" s="22" t="str">
        <x:v>5</x:v>
      </x:c>
      <x:c r="D66" s="21" t="str">
        <x:v>cause-and-effect relationship</x:v>
      </x:c>
      <x:c r="E66" s="21" t="str">
        <x:v>generic damage</x:v>
      </x:c>
      <x:c r="F66" s="22" t="str">
        <x:v>harm_loss_consequences</x:v>
      </x:c>
      <x:c r="G66" s="22" t="str">
        <x:v>B</x:v>
      </x:c>
      <x:c r="H66" s="22" t="str">
        <x:v>V1</x:v>
      </x:c>
      <x:c r="I66" s="22" t="str">
        <x:v>E5</x:v>
      </x:c>
      <x:c r="J66" s="21" t="str">
        <x:v>RECONSTRUCTED_FROM_REPORT; Fear of Temperature_ Stratified Lexical Expansion, Voice Mapping, and Semantic-Relational Pre-Valida.pdf; p.9; project candidate FT-SEED-R1B-P-1988-05; original visible ID not available</x:v>
      </x:c>
      <x:c r="K66" s="21" t="str">
        <x:v>cause-and-effect relationship</x:v>
      </x:c>
      <x:c r="L66" s="22" t="str">
        <x:v>EXACT</x:v>
      </x:c>
      <x:c r="M66" s="21" t="str">
        <x:v>SUCCEEDED_REUSED_BASELINE</x:v>
      </x:c>
      <x:c r="N66" s="21" t="str">
        <x:v>FT-Q-V01-045</x:v>
      </x:c>
      <x:c r="O66" s="22" t="str">
        <x:v>1842</x:v>
      </x:c>
      <x:c r="P66" s="22" t="str">
        <x:v>2022</x:v>
      </x:c>
      <x:c r="Q66" s="22" t="str">
        <x:v>1870</x:v>
      </x:c>
      <x:c r="R66" s="22" t="str">
        <x:v>127</x:v>
      </x:c>
      <x:c r="S66" s="22" t="str">
        <x:v>2011</x:v>
      </x:c>
      <x:c r="T66" s="43" t="str">
        <x:v>1.3955706246182586e-07</x:v>
      </x:c>
      <x:c r="U66" s="43" t="str">
        <x:v>1.0407409367640952e-07</x:v>
      </x:c>
      <x:c r="V66" s="43" t="str">
        <x:v>1.0096391321601228e-07</x:v>
      </x:c>
      <x:c r="W66" s="43" t="str">
        <x:v>1.0057708016431022e-07</x:v>
      </x:c>
      <x:c r="X66" s="43" t="str">
        <x:v>1.0407409367640952e-07</x:v>
      </x:c>
      <x:c r="Y66" s="43" t="str">
        <x:v>0.0</x:v>
      </x:c>
      <x:c r="Z66" s="43" t="str">
        <x:v>1.1530812887849962e-08</x:v>
      </x:c>
      <x:c r="AA66" s="43" t="str">
        <x:v>1.0407409367640952e-07</x:v>
      </x:c>
      <x:c r="AB66" s="43" t="str">
        <x:v>1.102150947035474e-07</x:v>
      </x:c>
      <x:c r="AC66" s="43" t="str">
        <x:v>1.140745307104396e-07</x:v>
      </x:c>
      <x:c r="AD66" s="43" t="str">
        <x:v>1.121448127069935e-07</x:v>
      </x:c>
      <x:c r="AE66" s="43" t="str">
        <x:v>1.3750027827441613e-07</x:v>
      </x:c>
      <x:c r="AF66" s="43" t="str">
        <x:v>1.0467785772905192e-07</x:v>
      </x:c>
      <x:c r="AG66" s="23" t="str">
        <x:v>Candidate surface form is directly representable in the public Ngram interface. Complete 1842–2022 unsmoothed series reused from the audited quantitative-v0.1 baseline.</x:v>
      </x:c>
    </x:row>
    <x:row r="67" ht="19" customHeight="1">
      <x:c r="A67" s="20" t="str">
        <x:v>FT-SEED-R1B-P-1988-06</x:v>
      </x:c>
      <x:c r="B67" s="22" t="str">
        <x:v>1988</x:v>
      </x:c>
      <x:c r="C67" s="22" t="str">
        <x:v>6</x:v>
      </x:c>
      <x:c r="D67" s="21" t="str">
        <x:v>global temperature</x:v>
      </x:c>
      <x:c r="E67" s="21" t="str">
        <x:v>global aggregate temperature</x:v>
      </x:c>
      <x:c r="F67" s="22" t="str">
        <x:v>temperature_threshold</x:v>
      </x:c>
      <x:c r="G67" s="22" t="str">
        <x:v>A</x:v>
      </x:c>
      <x:c r="H67" s="22" t="str">
        <x:v>V1</x:v>
      </x:c>
      <x:c r="I67" s="22" t="str">
        <x:v>E5</x:v>
      </x:c>
      <x:c r="J67" s="21" t="str">
        <x:v>RECONSTRUCTED_FROM_REPORT; Fear of Temperature_ Stratified Lexical Expansion, Voice Mapping, and Semantic-Relational Pre-Valida.pdf; p.9; project candidate FT-SEED-R1B-P-1988-06; original visible ID not available</x:v>
      </x:c>
      <x:c r="K67" s="21" t="str">
        <x:v>global temperature</x:v>
      </x:c>
      <x:c r="L67" s="22" t="str">
        <x:v>EXACT</x:v>
      </x:c>
      <x:c r="M67" s="21" t="str">
        <x:v>SUCCEEDED_REUSED_BASELINE</x:v>
      </x:c>
      <x:c r="N67" s="21" t="str">
        <x:v>FT-Q-V01-046</x:v>
      </x:c>
      <x:c r="O67" s="22" t="str">
        <x:v>1842</x:v>
      </x:c>
      <x:c r="P67" s="22" t="str">
        <x:v>2022</x:v>
      </x:c>
      <x:c r="Q67" s="22" t="str">
        <x:v>1843</x:v>
      </x:c>
      <x:c r="R67" s="22" t="str">
        <x:v>101</x:v>
      </x:c>
      <x:c r="S67" s="22" t="str">
        <x:v>2022</x:v>
      </x:c>
      <x:c r="T67" s="43" t="str">
        <x:v>3.1405876510515185e-07</x:v>
      </x:c>
      <x:c r="U67" s="43" t="str">
        <x:v>1.1016113932171834e-07</x:v>
      </x:c>
      <x:c r="V67" s="43" t="str">
        <x:v>1.0545273128742539e-07</x:v>
      </x:c>
      <x:c r="W67" s="43" t="str">
        <x:v>1.1016113932171834e-07</x:v>
      </x:c>
      <x:c r="X67" s="43" t="str">
        <x:v>1.5891582040572505e-07</x:v>
      </x:c>
      <x:c r="Y67" s="43" t="str">
        <x:v>0.0</x:v>
      </x:c>
      <x:c r="Z67" s="43" t="str">
        <x:v>0.0</x:v>
      </x:c>
      <x:c r="AA67" s="43" t="str">
        <x:v>1.1016113932171834e-07</x:v>
      </x:c>
      <x:c r="AB67" s="43" t="str">
        <x:v>1.36521097881398e-07</x:v>
      </x:c>
      <x:c r="AC67" s="43" t="str">
        <x:v>1.5233178399937097e-07</x:v>
      </x:c>
      <x:c r="AD67" s="43" t="str">
        <x:v>1.4442644094038448e-07</x:v>
      </x:c>
      <x:c r="AE67" s="43" t="str">
        <x:v>1.917596575834457e-07</x:v>
      </x:c>
      <x:c r="AF67" s="43" t="str">
        <x:v>3.1405876510515185e-07</x:v>
      </x:c>
      <x:c r="AG67" s="23" t="str">
        <x:v>Candidate surface form is directly representable in the public Ngram interface. Complete 1842–2022 unsmoothed series reused from the audited quantitative-v0.1 baseline.</x:v>
      </x:c>
    </x:row>
    <x:row r="68" ht="19" customHeight="1">
      <x:c r="A68" s="20" t="str">
        <x:v>FT-SEED-R1B-P-1988-07</x:v>
      </x:c>
      <x:c r="B68" s="22" t="str">
        <x:v>1988</x:v>
      </x:c>
      <x:c r="C68" s="22" t="str">
        <x:v>7</x:v>
      </x:c>
      <x:c r="D68" s="21" t="str">
        <x:v>regional heat waves</x:v>
      </x:c>
      <x:c r="E68" s="21" t="str">
        <x:v>heatwave / weather event</x:v>
      </x:c>
      <x:c r="F68" s="22" t="str">
        <x:v>heat</x:v>
      </x:c>
      <x:c r="G68" s="22" t="str">
        <x:v>A</x:v>
      </x:c>
      <x:c r="H68" s="22" t="str">
        <x:v>V1</x:v>
      </x:c>
      <x:c r="I68" s="22" t="str">
        <x:v>E5</x:v>
      </x:c>
      <x:c r="J68" s="21" t="str">
        <x:v>RECONSTRUCTED_FROM_REPORT; Fear of Temperature_ Stratified Lexical Expansion, Voice Mapping, and Semantic-Relational Pre-Valida.pdf; p.9; project candidate FT-SEED-R1B-P-1988-07; original visible ID not available</x:v>
      </x:c>
      <x:c r="K68" s="21" t="str">
        <x:v>regional heat waves</x:v>
      </x:c>
      <x:c r="L68" s="22" t="str">
        <x:v>EXACT</x:v>
      </x:c>
      <x:c r="M68" s="21" t="str">
        <x:v>SUCCEEDED_REUSED_BASELINE</x:v>
      </x:c>
      <x:c r="N68" s="21" t="str">
        <x:v>FT-Q-V01-047</x:v>
      </x:c>
      <x:c r="O68" s="22" t="str">
        <x:v>1842</x:v>
      </x:c>
      <x:c r="P68" s="22" t="str">
        <x:v>2022</x:v>
      </x:c>
      <x:c r="Q68" s="22" t="str">
        <x:v>1954</x:v>
      </x:c>
      <x:c r="R68" s="22" t="str">
        <x:v>39</x:v>
      </x:c>
      <x:c r="S68" s="22" t="str">
        <x:v>1990</x:v>
      </x:c>
      <x:c r="T68" s="43" t="str">
        <x:v>2.8410911401266503e-09</x:v>
      </x:c>
      <x:c r="U68" s="43" t="str">
        <x:v>7.0278316499639e-10</x:v>
      </x:c>
      <x:c r="V68" s="43" t="str">
        <x:v>1.1086871302967705e-09</x:v>
      </x:c>
      <x:c r="W68" s="43" t="str">
        <x:v>7.0278316499639e-10</x:v>
      </x:c>
      <x:c r="X68" s="43" t="str">
        <x:v>2.8410911401266503e-09</x:v>
      </x:c>
      <x:c r="Y68" s="43" t="str">
        <x:v>0.0</x:v>
      </x:c>
      <x:c r="Z68" s="43" t="str">
        <x:v>0.0</x:v>
      </x:c>
      <x:c r="AA68" s="43" t="str">
        <x:v>7.0278316499639e-10</x:v>
      </x:c>
      <x:c r="AB68" s="43" t="str">
        <x:v>4.954372329057932e-11</x:v>
      </x:c>
      <x:c r="AC68" s="43" t="str">
        <x:v>9.718245652656776e-11</x:v>
      </x:c>
      <x:c r="AD68" s="43" t="str">
        <x:v>7.336308990857354e-11</x:v>
      </x:c>
      <x:c r="AE68" s="43" t="str">
        <x:v>3.499079706537067e-10</x:v>
      </x:c>
      <x:c r="AF68" s="43" t="str">
        <x:v>4.729858865681891e-11</x:v>
      </x:c>
      <x:c r="AG68" s="23" t="str">
        <x:v>Candidate surface form is directly representable in the public Ngram interface. Complete 1842–2022 unsmoothed series reused from the audited quantitative-v0.1 baseline.</x:v>
      </x:c>
    </x:row>
    <x:row r="69" ht="19" customHeight="1">
      <x:c r="A69" s="20" t="str">
        <x:v>FT-SEED-R1B-P-1988-08</x:v>
      </x:c>
      <x:c r="B69" s="22" t="str">
        <x:v>1988</x:v>
      </x:c>
      <x:c r="C69" s="22" t="str">
        <x:v>8</x:v>
      </x:c>
      <x:c r="D69" s="21" t="str">
        <x:v>heat wave</x:v>
      </x:c>
      <x:c r="E69" s="21" t="str">
        <x:v>heatwave / weather event</x:v>
      </x:c>
      <x:c r="F69" s="22" t="str">
        <x:v>heat</x:v>
      </x:c>
      <x:c r="G69" s="22" t="str">
        <x:v>A</x:v>
      </x:c>
      <x:c r="H69" s="22" t="str">
        <x:v>V1</x:v>
      </x:c>
      <x:c r="I69" s="22" t="str">
        <x:v>E5</x:v>
      </x:c>
      <x:c r="J69" s="21" t="str">
        <x:v>RECONSTRUCTED_FROM_REPORT; Fear of Temperature_ Stratified Lexical Expansion, Voice Mapping, and Semantic-Relational Pre-Valida.pdf; p.9; project candidate FT-SEED-R1B-P-1988-08; original visible ID not available</x:v>
      </x:c>
      <x:c r="K69" s="21" t="str">
        <x:v>heat wave</x:v>
      </x:c>
      <x:c r="L69" s="22" t="str">
        <x:v>EXACT</x:v>
      </x:c>
      <x:c r="M69" s="21" t="str">
        <x:v>SUCCEEDED_REUSED_BASELINE</x:v>
      </x:c>
      <x:c r="N69" s="21" t="str">
        <x:v>FT-Q-V01-048</x:v>
      </x:c>
      <x:c r="O69" s="22" t="str">
        <x:v>1842</x:v>
      </x:c>
      <x:c r="P69" s="22" t="str">
        <x:v>2022</x:v>
      </x:c>
      <x:c r="Q69" s="22" t="str">
        <x:v>1842</x:v>
      </x:c>
      <x:c r="R69" s="22" t="str">
        <x:v>169</x:v>
      </x:c>
      <x:c r="S69" s="22" t="str">
        <x:v>2020</x:v>
      </x:c>
      <x:c r="T69" s="43" t="str">
        <x:v>3.703185072062576e-07</x:v>
      </x:c>
      <x:c r="U69" s="43" t="str">
        <x:v>1.7180597014498922e-07</x:v>
      </x:c>
      <x:c r="V69" s="43" t="str">
        <x:v>1.5487749849552036e-07</x:v>
      </x:c>
      <x:c r="W69" s="43" t="str">
        <x:v>1.5381445793438697e-07</x:v>
      </x:c>
      <x:c r="X69" s="43" t="str">
        <x:v>1.7180597014498922e-07</x:v>
      </x:c>
      <x:c r="Y69" s="43" t="str">
        <x:v>4.514918217068953e-09</x:v>
      </x:c>
      <x:c r="Z69" s="43" t="str">
        <x:v>1.9211662527496287e-07</x:v>
      </x:c>
      <x:c r="AA69" s="43" t="str">
        <x:v>1.7180597014498922e-07</x:v>
      </x:c>
      <x:c r="AB69" s="43" t="str">
        <x:v>2.572474944173564e-07</x:v>
      </x:c>
      <x:c r="AC69" s="43" t="str">
        <x:v>2.559551631371726e-07</x:v>
      </x:c>
      <x:c r="AD69" s="43" t="str">
        <x:v>2.566013287772645e-07</x:v>
      </x:c>
      <x:c r="AE69" s="43" t="str">
        <x:v>3.5283591536677816e-07</x:v>
      </x:c>
      <x:c r="AF69" s="43" t="str">
        <x:v>3.0065411360524763e-07</x:v>
      </x:c>
      <x:c r="AG69" s="23" t="str">
        <x:v>Candidate surface form is directly representable in the public Ngram interface. Complete 1842–2022 unsmoothed series reused from the audited quantitative-v0.1 baseline.</x:v>
      </x:c>
    </x:row>
    <x:row r="70" ht="19" customHeight="1">
      <x:c r="A70" s="20" t="str">
        <x:v>FT-SEED-R1B-P-1988-09</x:v>
      </x:c>
      <x:c r="B70" s="22" t="str">
        <x:v>1988</x:v>
      </x:c>
      <x:c r="C70" s="22" t="str">
        <x:v>9</x:v>
      </x:c>
      <x:c r="D70" s="21" t="str">
        <x:v>drought</x:v>
      </x:c>
      <x:c r="E70" s="21" t="str">
        <x:v>generic damage</x:v>
      </x:c>
      <x:c r="F70" s="22" t="str">
        <x:v>harm_loss_consequences</x:v>
      </x:c>
      <x:c r="G70" s="22" t="str">
        <x:v>D</x:v>
      </x:c>
      <x:c r="H70" s="22" t="str">
        <x:v>V1</x:v>
      </x:c>
      <x:c r="I70" s="22" t="str">
        <x:v>E5</x:v>
      </x:c>
      <x:c r="J70" s="21" t="str">
        <x:v>RECONSTRUCTED_FROM_REPORT; Fear of Temperature_ Stratified Lexical Expansion, Voice Mapping, and Semantic-Relational Pre-Valida.pdf; p.9; project candidate FT-SEED-R1B-P-1988-09; original visible ID not available</x:v>
      </x:c>
      <x:c r="K70" s="21" t="str">
        <x:v>drought</x:v>
      </x:c>
      <x:c r="L70" s="22" t="str">
        <x:v>EXACT</x:v>
      </x:c>
      <x:c r="M70" s="21" t="str">
        <x:v>SUCCEEDED_REUSED_BASELINE</x:v>
      </x:c>
      <x:c r="N70" s="21" t="str">
        <x:v>FT-Q-V01-049</x:v>
      </x:c>
      <x:c r="O70" s="22" t="str">
        <x:v>1842</x:v>
      </x:c>
      <x:c r="P70" s="22" t="str">
        <x:v>2022</x:v>
      </x:c>
      <x:c r="Q70" s="22" t="str">
        <x:v>1842</x:v>
      </x:c>
      <x:c r="R70" s="22" t="str">
        <x:v>181</x:v>
      </x:c>
      <x:c r="S70" s="22" t="str">
        <x:v>1934</x:v>
      </x:c>
      <x:c r="T70" s="43" t="str">
        <x:v>1.4142492887003755e-05</x:v>
      </x:c>
      <x:c r="U70" s="43" t="str">
        <x:v>1.090940310177757e-05</x:v>
      </x:c>
      <x:c r="V70" s="43" t="str">
        <x:v>9.547862759973214e-06</x:v>
      </x:c>
      <x:c r="W70" s="43" t="str">
        <x:v>9.224101717109079e-06</x:v>
      </x:c>
      <x:c r="X70" s="43" t="str">
        <x:v>1.090940310177757e-05</x:v>
      </x:c>
      <x:c r="Y70" s="43" t="str">
        <x:v>3.1151387602790237e-06</x:v>
      </x:c>
      <x:c r="Z70" s="43" t="str">
        <x:v>9.374461029665326e-06</x:v>
      </x:c>
      <x:c r="AA70" s="43" t="str">
        <x:v>1.090940310177757e-05</x:v>
      </x:c>
      <x:c r="AB70" s="43" t="str">
        <x:v>6.629869545804468e-06</x:v>
      </x:c>
      <x:c r="AC70" s="43" t="str">
        <x:v>6.241732602774164e-06</x:v>
      </x:c>
      <x:c r="AD70" s="43" t="str">
        <x:v>6.435801074289316e-06</x:v>
      </x:c>
      <x:c r="AE70" s="43" t="str">
        <x:v>5.7625219831436425e-06</x:v>
      </x:c>
      <x:c r="AF70" s="43" t="str">
        <x:v>8.803938708723535e-06</x:v>
      </x:c>
      <x:c r="AG70" s="23" t="str">
        <x:v>Candidate surface form is directly representable in the public Ngram interface. Complete 1842–2022 unsmoothed series reused from the audited quantitative-v0.1 baseline.</x:v>
      </x:c>
    </x:row>
    <x:row r="71" ht="19" customHeight="1">
      <x:c r="A71" s="20" t="str">
        <x:v>FT-SEED-R1B-P-1988-10</x:v>
      </x:c>
      <x:c r="B71" s="22" t="str">
        <x:v>1988</x:v>
      </x:c>
      <x:c r="C71" s="22" t="str">
        <x:v>10</x:v>
      </x:c>
      <x:c r="D71" s="21" t="str">
        <x:v>heat wave/drought occurrences</x:v>
      </x:c>
      <x:c r="E71" s="21" t="str">
        <x:v>heatwave / weather event</x:v>
      </x:c>
      <x:c r="F71" s="22" t="str">
        <x:v>heat</x:v>
      </x:c>
      <x:c r="G71" s="22" t="str">
        <x:v>D</x:v>
      </x:c>
      <x:c r="H71" s="22" t="str">
        <x:v>V1</x:v>
      </x:c>
      <x:c r="I71" s="22" t="str">
        <x:v>E5</x:v>
      </x:c>
      <x:c r="J71" s="21" t="str">
        <x:v>RECONSTRUCTED_FROM_REPORT; Fear of Temperature_ Stratified Lexical Expansion, Voice Mapping, and Semantic-Relational Pre-Valida.pdf; p.9; project candidate FT-SEED-R1B-P-1988-10; original visible ID not available</x:v>
      </x:c>
      <x:c r="K71" s="21" t="str"/>
      <x:c r="L71" s="22" t="str">
        <x:v>TECHNICALLY_UNREPRESENTABLE</x:v>
      </x:c>
      <x:c r="M71" s="21" t="str">
        <x:v>TECHNICALLY_UNREPRESENTABLE</x:v>
      </x:c>
      <x:c r="N71" s="21" t="str">
        <x:v>FT-Q-V01-050</x:v>
      </x:c>
      <x:c r="O71" s="22" t="str"/>
      <x:c r="P71" s="22" t="str"/>
      <x:c r="Q71" s="22" t="str"/>
      <x:c r="R71" s="22" t="str">
        <x:v>0</x:v>
      </x:c>
      <x:c r="S71" s="22" t="str"/>
      <x:c r="T71" s="43" t="str"/>
      <x:c r="U71" s="43" t="str"/>
      <x:c r="V71" s="43" t="str"/>
      <x:c r="W71" s="43" t="str"/>
      <x:c r="X71" s="43" t="str"/>
      <x:c r="Y71" s="43" t="str"/>
      <x:c r="Z71" s="43" t="str"/>
      <x:c r="AA71" s="43" t="str"/>
      <x:c r="AB71" s="43" t="str"/>
      <x:c r="AC71" s="43" t="str"/>
      <x:c r="AD71" s="43" t="str"/>
      <x:c r="AE71" s="43" t="str"/>
      <x:c r="AF71" s="43" t="str"/>
      <x:c r="AG71" s="23" t="str">
        <x:v>The slash coordinates two lexical objects; one linear Ngram would change the candidate's structure and sense.</x:v>
      </x:c>
    </x:row>
    <x:row r="72" ht="19" customHeight="1">
      <x:c r="A72" s="20" t="str">
        <x:v>FT-SEED-R1B-P-1988-11</x:v>
      </x:c>
      <x:c r="B72" s="22" t="str">
        <x:v>1988</x:v>
      </x:c>
      <x:c r="C72" s="22" t="str">
        <x:v>11</x:v>
      </x:c>
      <x:c r="D72" s="21" t="str">
        <x:v>extreme events</x:v>
      </x:c>
      <x:c r="E72" s="21" t="str">
        <x:v>generic damage</x:v>
      </x:c>
      <x:c r="F72" s="22" t="str">
        <x:v>harm_loss_consequences</x:v>
      </x:c>
      <x:c r="G72" s="22" t="str">
        <x:v>D</x:v>
      </x:c>
      <x:c r="H72" s="22" t="str">
        <x:v>V1</x:v>
      </x:c>
      <x:c r="I72" s="22" t="str">
        <x:v>E5</x:v>
      </x:c>
      <x:c r="J72" s="21" t="str">
        <x:v>RECONSTRUCTED_FROM_REPORT; Fear of Temperature_ Stratified Lexical Expansion, Voice Mapping, and Semantic-Relational Pre-Valida.pdf; p.9; project candidate FT-SEED-R1B-P-1988-11; original visible ID not available</x:v>
      </x:c>
      <x:c r="K72" s="21" t="str">
        <x:v>extreme events</x:v>
      </x:c>
      <x:c r="L72" s="22" t="str">
        <x:v>EXACT</x:v>
      </x:c>
      <x:c r="M72" s="21" t="str">
        <x:v>SUCCEEDED_REUSED_BASELINE</x:v>
      </x:c>
      <x:c r="N72" s="21" t="str">
        <x:v>FT-Q-V01-051</x:v>
      </x:c>
      <x:c r="O72" s="22" t="str">
        <x:v>1842</x:v>
      </x:c>
      <x:c r="P72" s="22" t="str">
        <x:v>2022</x:v>
      </x:c>
      <x:c r="Q72" s="22" t="str">
        <x:v>1843</x:v>
      </x:c>
      <x:c r="R72" s="22" t="str">
        <x:v>154</x:v>
      </x:c>
      <x:c r="S72" s="22" t="str">
        <x:v>2022</x:v>
      </x:c>
      <x:c r="T72" s="43" t="str">
        <x:v>4.5903280798675894e-07</x:v>
      </x:c>
      <x:c r="U72" s="43" t="str">
        <x:v>5.5376702223775e-08</x:v>
      </x:c>
      <x:c r="V72" s="43" t="str">
        <x:v>6.501919660450995e-08</x:v>
      </x:c>
      <x:c r="W72" s="43" t="str">
        <x:v>6.388363371634398e-08</x:v>
      </x:c>
      <x:c r="X72" s="43" t="str">
        <x:v>7.989011596709616e-08</x:v>
      </x:c>
      <x:c r="Y72" s="43" t="str">
        <x:v>0.0</x:v>
      </x:c>
      <x:c r="Z72" s="43" t="str">
        <x:v>3.341158599790006e-10</x:v>
      </x:c>
      <x:c r="AA72" s="43" t="str">
        <x:v>5.5376702223775e-08</x:v>
      </x:c>
      <x:c r="AB72" s="43" t="str">
        <x:v>2.56927021435871e-07</x:v>
      </x:c>
      <x:c r="AC72" s="43" t="str">
        <x:v>2.2046955328036688e-07</x:v>
      </x:c>
      <x:c r="AD72" s="43" t="str">
        <x:v>2.3869828735811893e-07</x:v>
      </x:c>
      <x:c r="AE72" s="43" t="str">
        <x:v>3.0627371061520137e-07</x:v>
      </x:c>
      <x:c r="AF72" s="43" t="str">
        <x:v>4.5903280798675894e-07</x:v>
      </x:c>
      <x:c r="AG72" s="23" t="str">
        <x:v>Candidate surface form is directly representable in the public Ngram interface. Complete 1842–2022 unsmoothed series reused from the audited quantitative-v0.1 baseline.</x:v>
      </x:c>
    </x:row>
    <x:row r="73" ht="19" customHeight="1">
      <x:c r="A73" s="20" t="str">
        <x:v>FT-SEED-R1B-P-1988-12</x:v>
      </x:c>
      <x:c r="B73" s="22" t="str">
        <x:v>1988</x:v>
      </x:c>
      <x:c r="C73" s="22" t="str">
        <x:v>12</x:v>
      </x:c>
      <x:c r="D73" s="21" t="str">
        <x:v>global climate models</x:v>
      </x:c>
      <x:c r="E73" s="21" t="str">
        <x:v>climate system</x:v>
      </x:c>
      <x:c r="F73" s="22" t="str">
        <x:v>climate</x:v>
      </x:c>
      <x:c r="G73" s="22" t="str">
        <x:v>B</x:v>
      </x:c>
      <x:c r="H73" s="22" t="str">
        <x:v>V1</x:v>
      </x:c>
      <x:c r="I73" s="22" t="str">
        <x:v>E5</x:v>
      </x:c>
      <x:c r="J73" s="21" t="str">
        <x:v>RECONSTRUCTED_FROM_REPORT; Fear of Temperature_ Stratified Lexical Expansion, Voice Mapping, and Semantic-Relational Pre-Valida.pdf; p.9; project candidate FT-SEED-R1B-P-1988-12; original visible ID not available</x:v>
      </x:c>
      <x:c r="K73" s="21" t="str">
        <x:v>global climate models</x:v>
      </x:c>
      <x:c r="L73" s="22" t="str">
        <x:v>EXACT</x:v>
      </x:c>
      <x:c r="M73" s="21" t="str">
        <x:v>SUCCEEDED_REUSED_BASELINE</x:v>
      </x:c>
      <x:c r="N73" s="21" t="str">
        <x:v>FT-Q-V01-052</x:v>
      </x:c>
      <x:c r="O73" s="22" t="str">
        <x:v>1842</x:v>
      </x:c>
      <x:c r="P73" s="22" t="str">
        <x:v>2022</x:v>
      </x:c>
      <x:c r="Q73" s="22" t="str">
        <x:v>1869</x:v>
      </x:c>
      <x:c r="R73" s="22" t="str">
        <x:v>75</x:v>
      </x:c>
      <x:c r="S73" s="22" t="str">
        <x:v>1994</x:v>
      </x:c>
      <x:c r="T73" s="43" t="str">
        <x:v>5.645689804545384e-08</x:v>
      </x:c>
      <x:c r="U73" s="43" t="str">
        <x:v>1.3785362060203532e-08</x:v>
      </x:c>
      <x:c r="V73" s="43" t="str">
        <x:v>2.040563838179299e-08</x:v>
      </x:c>
      <x:c r="W73" s="43" t="str">
        <x:v>1.3785362060203532e-08</x:v>
      </x:c>
      <x:c r="X73" s="43" t="str">
        <x:v>3.449184371451253e-08</x:v>
      </x:c>
      <x:c r="Y73" s="43" t="str">
        <x:v>0.0</x:v>
      </x:c>
      <x:c r="Z73" s="43" t="str">
        <x:v>0.0</x:v>
      </x:c>
      <x:c r="AA73" s="43" t="str">
        <x:v>1.3785362060203532e-08</x:v>
      </x:c>
      <x:c r="AB73" s="43" t="str">
        <x:v>3.141072137807788e-08</x:v>
      </x:c>
      <x:c r="AC73" s="43" t="str">
        <x:v>3.527723113627701e-08</x:v>
      </x:c>
      <x:c r="AD73" s="43" t="str">
        <x:v>3.3343976257177443e-08</x:v>
      </x:c>
      <x:c r="AE73" s="43" t="str">
        <x:v>3.7340178230677035e-08</x:v>
      </x:c>
      <x:c r="AF73" s="43" t="str">
        <x:v>4.237953538099859e-08</x:v>
      </x:c>
      <x:c r="AG73" s="23" t="str">
        <x:v>Candidate surface form is directly representable in the public Ngram interface. Complete 1842–2022 unsmoothed series reused from the audited quantitative-v0.1 baseline.</x:v>
      </x:c>
    </x:row>
    <x:row r="74" ht="19" customHeight="1">
      <x:c r="A74" s="20" t="str">
        <x:v>FT-SEED-R1B-P-1988-13</x:v>
      </x:c>
      <x:c r="B74" s="22" t="str">
        <x:v>1988</x:v>
      </x:c>
      <x:c r="C74" s="22" t="str">
        <x:v>13</x:v>
      </x:c>
      <x:c r="D74" s="21" t="str">
        <x:v>global observations</x:v>
      </x:c>
      <x:c r="E74" s="21" t="str">
        <x:v>historical climate / climatological condition</x:v>
      </x:c>
      <x:c r="F74" s="22" t="str">
        <x:v>climate</x:v>
      </x:c>
      <x:c r="G74" s="22" t="str">
        <x:v>B</x:v>
      </x:c>
      <x:c r="H74" s="22" t="str">
        <x:v>V1</x:v>
      </x:c>
      <x:c r="I74" s="22" t="str">
        <x:v>E5</x:v>
      </x:c>
      <x:c r="J74" s="21" t="str">
        <x:v>RECONSTRUCTED_FROM_REPORT; Fear of Temperature_ Stratified Lexical Expansion, Voice Mapping, and Semantic-Relational Pre-Valida.pdf; p.9; project candidate FT-SEED-R1B-P-1988-13; original visible ID not available</x:v>
      </x:c>
      <x:c r="K74" s="21" t="str">
        <x:v>global observations</x:v>
      </x:c>
      <x:c r="L74" s="22" t="str">
        <x:v>EXACT</x:v>
      </x:c>
      <x:c r="M74" s="21" t="str">
        <x:v>SUCCEEDED_REUSED_BASELINE</x:v>
      </x:c>
      <x:c r="N74" s="21" t="str">
        <x:v>FT-Q-V01-053</x:v>
      </x:c>
      <x:c r="O74" s="22" t="str">
        <x:v>1842</x:v>
      </x:c>
      <x:c r="P74" s="22" t="str">
        <x:v>2022</x:v>
      </x:c>
      <x:c r="Q74" s="22" t="str">
        <x:v>1869</x:v>
      </x:c>
      <x:c r="R74" s="22" t="str">
        <x:v>82</x:v>
      </x:c>
      <x:c r="S74" s="22" t="str">
        <x:v>1984</x:v>
      </x:c>
      <x:c r="T74" s="43" t="str">
        <x:v>2.193620524115758e-08</x:v>
      </x:c>
      <x:c r="U74" s="43" t="str">
        <x:v>1.599113318151435e-08</x:v>
      </x:c>
      <x:c r="V74" s="43" t="str">
        <x:v>1.3183894989610145e-08</x:v>
      </x:c>
      <x:c r="W74" s="43" t="str">
        <x:v>1.1335818617119742e-08</x:v>
      </x:c>
      <x:c r="X74" s="43" t="str">
        <x:v>1.847352654182899e-08</x:v>
      </x:c>
      <x:c r="Y74" s="43" t="str">
        <x:v>0.0</x:v>
      </x:c>
      <x:c r="Z74" s="43" t="str">
        <x:v>0.0</x:v>
      </x:c>
      <x:c r="AA74" s="43" t="str">
        <x:v>1.599113318151435e-08</x:v>
      </x:c>
      <x:c r="AB74" s="43" t="str">
        <x:v>1.16285575613162e-08</x:v>
      </x:c>
      <x:c r="AC74" s="43" t="str">
        <x:v>1.4212235461413814e-08</x:v>
      </x:c>
      <x:c r="AD74" s="43" t="str">
        <x:v>1.2920396511365007e-08</x:v>
      </x:c>
      <x:c r="AE74" s="43" t="str">
        <x:v>8.17290351715072e-09</x:v>
      </x:c>
      <x:c r="AF74" s="43" t="str">
        <x:v>1.1900522567387384e-08</x:v>
      </x:c>
      <x:c r="AG74" s="23" t="str">
        <x:v>Candidate surface form is directly representable in the public Ngram interface. Complete 1842–2022 unsmoothed series reused from the audited quantitative-v0.1 baseline.</x:v>
      </x:c>
    </x:row>
    <x:row r="75" ht="19" customHeight="1">
      <x:c r="A75" s="20" t="str">
        <x:v>FT-SEED-R1B-P-1988-14</x:v>
      </x:c>
      <x:c r="B75" s="22" t="str">
        <x:v>1988</x:v>
      </x:c>
      <x:c r="C75" s="22" t="str">
        <x:v>14</x:v>
      </x:c>
      <x:c r="D75" s="21" t="str">
        <x:v>warm air</x:v>
      </x:c>
      <x:c r="E75" s="21" t="str">
        <x:v>local / instrumental temperature</x:v>
      </x:c>
      <x:c r="F75" s="22" t="str">
        <x:v>temperature_threshold</x:v>
      </x:c>
      <x:c r="G75" s="22" t="str">
        <x:v>A</x:v>
      </x:c>
      <x:c r="H75" s="22" t="str">
        <x:v>V1</x:v>
      </x:c>
      <x:c r="I75" s="22" t="str">
        <x:v>E5</x:v>
      </x:c>
      <x:c r="J75" s="21" t="str">
        <x:v>RECONSTRUCTED_FROM_REPORT; Fear of Temperature_ Stratified Lexical Expansion, Voice Mapping, and Semantic-Relational Pre-Valida.pdf; p.9; project candidate FT-SEED-R1B-P-1988-14; original visible ID not available</x:v>
      </x:c>
      <x:c r="K75" s="21" t="str">
        <x:v>warm air</x:v>
      </x:c>
      <x:c r="L75" s="22" t="str">
        <x:v>EXACT</x:v>
      </x:c>
      <x:c r="M75" s="21" t="str">
        <x:v>SUCCEEDED_REUSED_BASELINE</x:v>
      </x:c>
      <x:c r="N75" s="21" t="str">
        <x:v>FT-Q-V01-054</x:v>
      </x:c>
      <x:c r="O75" s="22" t="str">
        <x:v>1842</x:v>
      </x:c>
      <x:c r="P75" s="22" t="str">
        <x:v>2022</x:v>
      </x:c>
      <x:c r="Q75" s="22" t="str">
        <x:v>1842</x:v>
      </x:c>
      <x:c r="R75" s="22" t="str">
        <x:v>181</x:v>
      </x:c>
      <x:c r="S75" s="22" t="str">
        <x:v>1916</x:v>
      </x:c>
      <x:c r="T75" s="43" t="str">
        <x:v>2.9105580415175747e-06</x:v>
      </x:c>
      <x:c r="U75" s="43" t="str">
        <x:v>4.812640085269382e-07</x:v>
      </x:c>
      <x:c r="V75" s="43" t="str">
        <x:v>5.471666789776119e-07</x:v>
      </x:c>
      <x:c r="W75" s="43" t="str">
        <x:v>5.268988674256292e-07</x:v>
      </x:c>
      <x:c r="X75" s="43" t="str">
        <x:v>6.027221210562483e-07</x:v>
      </x:c>
      <x:c r="Y75" s="43" t="str">
        <x:v>4.637466225476672e-07</x:v>
      </x:c>
      <x:c r="Z75" s="43" t="str">
        <x:v>1.5602096370415097e-06</x:v>
      </x:c>
      <x:c r="AA75" s="43" t="str">
        <x:v>4.812640085269382e-07</x:v>
      </x:c>
      <x:c r="AB75" s="43" t="str">
        <x:v>5.327618970638048e-07</x:v>
      </x:c>
      <x:c r="AC75" s="43" t="str">
        <x:v>5.737065812000397e-07</x:v>
      </x:c>
      <x:c r="AD75" s="43" t="str">
        <x:v>5.532342391319223e-07</x:v>
      </x:c>
      <x:c r="AE75" s="43" t="str">
        <x:v>6.757823330823254e-07</x:v>
      </x:c>
      <x:c r="AF75" s="43" t="str">
        <x:v>5.92194779214239e-07</x:v>
      </x:c>
      <x:c r="AG75" s="23" t="str">
        <x:v>Candidate surface form is directly representable in the public Ngram interface. Complete 1842–2022 unsmoothed series reused from the audited quantitative-v0.1 baseline.</x:v>
      </x:c>
    </x:row>
    <x:row r="76" ht="19" customHeight="1">
      <x:c r="A76" s="20" t="str">
        <x:v>FT-SEED-R1B-P-1988-15</x:v>
      </x:c>
      <x:c r="B76" s="22" t="str">
        <x:v>1988</x:v>
      </x:c>
      <x:c r="C76" s="22" t="str">
        <x:v>15</x:v>
      </x:c>
      <x:c r="D76" s="21" t="str">
        <x:v>changing atmosphere</x:v>
      </x:c>
      <x:c r="E76" s="21" t="str">
        <x:v>changing atmosphere</x:v>
      </x:c>
      <x:c r="F76" s="22" t="str">
        <x:v>climate</x:v>
      </x:c>
      <x:c r="G76" s="22" t="str">
        <x:v>B</x:v>
      </x:c>
      <x:c r="H76" s="22" t="str">
        <x:v>V2</x:v>
      </x:c>
      <x:c r="I76" s="22" t="str">
        <x:v>E5</x:v>
      </x:c>
      <x:c r="J76" s="21" t="str">
        <x:v>RECONSTRUCTED_FROM_REPORT; Fear of Temperature_ Stratified Lexical Expansion, Voice Mapping, and Semantic-Relational Pre-Valida.pdf; p.9; project candidate FT-SEED-R1B-P-1988-15; original visible ID not available</x:v>
      </x:c>
      <x:c r="K76" s="21" t="str">
        <x:v>changing atmosphere</x:v>
      </x:c>
      <x:c r="L76" s="22" t="str">
        <x:v>EXACT</x:v>
      </x:c>
      <x:c r="M76" s="21" t="str">
        <x:v>SUCCEEDED_REUSED_BASELINE</x:v>
      </x:c>
      <x:c r="N76" s="21" t="str">
        <x:v>FT-Q-V01-055</x:v>
      </x:c>
      <x:c r="O76" s="22" t="str">
        <x:v>1842</x:v>
      </x:c>
      <x:c r="P76" s="22" t="str">
        <x:v>2022</x:v>
      </x:c>
      <x:c r="Q76" s="22" t="str">
        <x:v>1842</x:v>
      </x:c>
      <x:c r="R76" s="22" t="str">
        <x:v>181</x:v>
      </x:c>
      <x:c r="S76" s="22" t="str">
        <x:v>1989</x:v>
      </x:c>
      <x:c r="T76" s="43" t="str">
        <x:v>6.209157343839422e-08</x:v>
      </x:c>
      <x:c r="U76" s="43" t="str">
        <x:v>3.622682637205443e-08</x:v>
      </x:c>
      <x:c r="V76" s="43" t="str">
        <x:v>3.301469004707291e-08</x:v>
      </x:c>
      <x:c r="W76" s="43" t="str">
        <x:v>3.622682637205443e-08</x:v>
      </x:c>
      <x:c r="X76" s="43" t="str">
        <x:v>6.209157343839422e-08</x:v>
      </x:c>
      <x:c r="Y76" s="43" t="str">
        <x:v>1.9349650770550397e-09</x:v>
      </x:c>
      <x:c r="Z76" s="43" t="str">
        <x:v>2.4501829454237622e-09</x:v>
      </x:c>
      <x:c r="AA76" s="43" t="str">
        <x:v>3.622682637205443e-08</x:v>
      </x:c>
      <x:c r="AB76" s="43" t="str">
        <x:v>9.110562668862565e-09</x:v>
      </x:c>
      <x:c r="AC76" s="43" t="str">
        <x:v>9.534791317600266e-09</x:v>
      </x:c>
      <x:c r="AD76" s="43" t="str">
        <x:v>9.322676993231416e-09</x:v>
      </x:c>
      <x:c r="AE76" s="43" t="str">
        <x:v>8.266307967991215e-09</x:v>
      </x:c>
      <x:c r="AF76" s="43" t="str">
        <x:v>1.0706047048891776e-08</x:v>
      </x:c>
      <x:c r="AG76" s="23" t="str">
        <x:v>Candidate surface form is directly representable in the public Ngram interface. Complete 1842–2022 unsmoothed series reused from the audited quantitative-v0.1 baseline.</x:v>
      </x:c>
    </x:row>
    <x:row r="77" ht="19" customHeight="1">
      <x:c r="A77" s="20" t="str">
        <x:v>FT-SEED-R1B-P-1988-16</x:v>
      </x:c>
      <x:c r="B77" s="22" t="str">
        <x:v>1988</x:v>
      </x:c>
      <x:c r="C77" s="22" t="str">
        <x:v>16</x:v>
      </x:c>
      <x:c r="D77" s="21" t="str">
        <x:v>global security</x:v>
      </x:c>
      <x:c r="E77" s="21" t="str">
        <x:v>global security frame</x:v>
      </x:c>
      <x:c r="F77" s="22" t="str">
        <x:v>danger_threat</x:v>
      </x:c>
      <x:c r="G77" s="22" t="str">
        <x:v>D</x:v>
      </x:c>
      <x:c r="H77" s="22" t="str">
        <x:v>V2</x:v>
      </x:c>
      <x:c r="I77" s="22" t="str">
        <x:v>E1</x:v>
      </x:c>
      <x:c r="J77" s="21" t="str">
        <x:v>RECONSTRUCTED_FROM_REPORT; Fear of Temperature_ Stratified Lexical Expansion, Voice Mapping, and Semantic-Relational Pre-Valida.pdf; p.9; project candidate FT-SEED-R1B-P-1988-16; original visible ID not available</x:v>
      </x:c>
      <x:c r="K77" s="21" t="str">
        <x:v>global security</x:v>
      </x:c>
      <x:c r="L77" s="22" t="str">
        <x:v>EXACT</x:v>
      </x:c>
      <x:c r="M77" s="21" t="str">
        <x:v>SUCCEEDED_REUSED_BASELINE</x:v>
      </x:c>
      <x:c r="N77" s="21" t="str">
        <x:v>FT-Q-V01-056</x:v>
      </x:c>
      <x:c r="O77" s="22" t="str">
        <x:v>1842</x:v>
      </x:c>
      <x:c r="P77" s="22" t="str">
        <x:v>2022</x:v>
      </x:c>
      <x:c r="Q77" s="22" t="str">
        <x:v>1843</x:v>
      </x:c>
      <x:c r="R77" s="22" t="str">
        <x:v>109</x:v>
      </x:c>
      <x:c r="S77" s="22" t="str">
        <x:v>2009</x:v>
      </x:c>
      <x:c r="T77" s="43" t="str">
        <x:v>4.3955566073061725e-07</x:v>
      </x:c>
      <x:c r="U77" s="43" t="str">
        <x:v>1.6978240102716313e-07</x:v>
      </x:c>
      <x:c r="V77" s="43" t="str">
        <x:v>1.554475363096941e-07</x:v>
      </x:c>
      <x:c r="W77" s="43" t="str">
        <x:v>1.6780119949100225e-07</x:v>
      </x:c>
      <x:c r="X77" s="43" t="str">
        <x:v>2.1705907704561156e-07</x:v>
      </x:c>
      <x:c r="Y77" s="43" t="str">
        <x:v>0.0</x:v>
      </x:c>
      <x:c r="Z77" s="43" t="str">
        <x:v>0.0</x:v>
      </x:c>
      <x:c r="AA77" s="43" t="str">
        <x:v>1.6978240102716313e-07</x:v>
      </x:c>
      <x:c r="AB77" s="43" t="str">
        <x:v>3.6108044582094934e-07</x:v>
      </x:c>
      <x:c r="AC77" s="43" t="str">
        <x:v>3.6861860941428404e-07</x:v>
      </x:c>
      <x:c r="AD77" s="43" t="str">
        <x:v>3.648495276176167e-07</x:v>
      </x:c>
      <x:c r="AE77" s="43" t="str">
        <x:v>2.9104876697258475e-07</x:v>
      </x:c>
      <x:c r="AF77" s="43" t="str">
        <x:v>2.638022949807972e-07</x:v>
      </x:c>
      <x:c r="AG77" s="23" t="str">
        <x:v>Candidate surface form is directly representable in the public Ngram interface. Complete 1842–2022 unsmoothed series reused from the audited quantitative-v0.1 baseline.</x:v>
      </x:c>
    </x:row>
    <x:row r="78" ht="19" customHeight="1">
      <x:c r="A78" s="20" t="str">
        <x:v>FT-SEED-R1B-P-1988-17</x:v>
      </x:c>
      <x:c r="B78" s="22" t="str">
        <x:v>1988</x:v>
      </x:c>
      <x:c r="C78" s="22" t="str">
        <x:v>17</x:v>
      </x:c>
      <x:c r="D78" s="21" t="str">
        <x:v>climate warming</x:v>
      </x:c>
      <x:c r="E78" s="21" t="str">
        <x:v>climate-system warming</x:v>
      </x:c>
      <x:c r="F78" s="22" t="str">
        <x:v>warming</x:v>
      </x:c>
      <x:c r="G78" s="22" t="str">
        <x:v>A</x:v>
      </x:c>
      <x:c r="H78" s="22" t="str">
        <x:v>V2</x:v>
      </x:c>
      <x:c r="I78" s="22" t="str">
        <x:v>E5</x:v>
      </x:c>
      <x:c r="J78" s="21" t="str">
        <x:v>RECONSTRUCTED_FROM_REPORT; Fear of Temperature_ Stratified Lexical Expansion, Voice Mapping, and Semantic-Relational Pre-Valida.pdf; p.9; project candidate FT-SEED-R1B-P-1988-17; original visible ID not available</x:v>
      </x:c>
      <x:c r="K78" s="21" t="str">
        <x:v>climate warming</x:v>
      </x:c>
      <x:c r="L78" s="22" t="str">
        <x:v>EXACT</x:v>
      </x:c>
      <x:c r="M78" s="21" t="str">
        <x:v>SUCCEEDED_REUSED_BASELINE</x:v>
      </x:c>
      <x:c r="N78" s="21" t="str">
        <x:v>FT-Q-V01-057</x:v>
      </x:c>
      <x:c r="O78" s="22" t="str">
        <x:v>1842</x:v>
      </x:c>
      <x:c r="P78" s="22" t="str">
        <x:v>2022</x:v>
      </x:c>
      <x:c r="Q78" s="22" t="str">
        <x:v>1865</x:v>
      </x:c>
      <x:c r="R78" s="22" t="str">
        <x:v>89</x:v>
      </x:c>
      <x:c r="S78" s="22" t="str">
        <x:v>2022</x:v>
      </x:c>
      <x:c r="T78" s="43" t="str">
        <x:v>1.5837870587231961e-07</x:v>
      </x:c>
      <x:c r="U78" s="43" t="str">
        <x:v>3.6325536800774216e-08</x:v>
      </x:c>
      <x:c r="V78" s="43" t="str">
        <x:v>4.2775522635096766e-08</x:v>
      </x:c>
      <x:c r="W78" s="43" t="str">
        <x:v>3.6325536800774216e-08</x:v>
      </x:c>
      <x:c r="X78" s="43" t="str">
        <x:v>7.675092628112168e-08</x:v>
      </x:c>
      <x:c r="Y78" s="43" t="str">
        <x:v>0.0</x:v>
      </x:c>
      <x:c r="Z78" s="43" t="str">
        <x:v>0.0</x:v>
      </x:c>
      <x:c r="AA78" s="43" t="str">
        <x:v>3.6325536800774216e-08</x:v>
      </x:c>
      <x:c r="AB78" s="43" t="str">
        <x:v>9.815601531570906e-08</x:v>
      </x:c>
      <x:c r="AC78" s="43" t="str">
        <x:v>9.899091737985977e-08</x:v>
      </x:c>
      <x:c r="AD78" s="43" t="str">
        <x:v>9.857346634778441e-08</x:v>
      </x:c>
      <x:c r="AE78" s="43" t="str">
        <x:v>8.350372171506137e-08</x:v>
      </x:c>
      <x:c r="AF78" s="43" t="str">
        <x:v>1.5837870587231961e-07</x:v>
      </x:c>
      <x:c r="AG78" s="23" t="str">
        <x:v>Candidate surface form is directly representable in the public Ngram interface. Complete 1842–2022 unsmoothed series reused from the audited quantitative-v0.1 baseline.</x:v>
      </x:c>
    </x:row>
    <x:row r="79" ht="19" customHeight="1">
      <x:c r="A79" s="20" t="str">
        <x:v>FT-SEED-R1B-P-1988-18</x:v>
      </x:c>
      <x:c r="B79" s="22" t="str">
        <x:v>1988</x:v>
      </x:c>
      <x:c r="C79" s="22" t="str">
        <x:v>18</x:v>
      </x:c>
      <x:c r="D79" s="21" t="str">
        <x:v>changed climatic extremes</x:v>
      </x:c>
      <x:c r="E79" s="21" t="str">
        <x:v>generic damage</x:v>
      </x:c>
      <x:c r="F79" s="22" t="str">
        <x:v>harm_loss_consequences</x:v>
      </x:c>
      <x:c r="G79" s="22" t="str">
        <x:v>D</x:v>
      </x:c>
      <x:c r="H79" s="22" t="str">
        <x:v>V2</x:v>
      </x:c>
      <x:c r="I79" s="22" t="str">
        <x:v>E5</x:v>
      </x:c>
      <x:c r="J79" s="21" t="str">
        <x:v>RECONSTRUCTED_FROM_REPORT; Fear of Temperature_ Stratified Lexical Expansion, Voice Mapping, and Semantic-Relational Pre-Valida.pdf; p.9; project candidate FT-SEED-R1B-P-1988-18; original visible ID not available</x:v>
      </x:c>
      <x:c r="K79" s="21" t="str">
        <x:v>changed climatic extremes</x:v>
      </x:c>
      <x:c r="L79" s="22" t="str">
        <x:v>EXACT</x:v>
      </x:c>
      <x:c r="M79" s="21" t="str">
        <x:v>ZERO_RESPONSE_REUSED_BASELINE</x:v>
      </x:c>
      <x:c r="N79" s="21" t="str">
        <x:v>FT-Q-V01-058</x:v>
      </x:c>
      <x:c r="O79" s="22" t="str">
        <x:v>1842</x:v>
      </x:c>
      <x:c r="P79" s="22" t="str">
        <x:v>2022</x:v>
      </x:c>
      <x:c r="Q79" s="22" t="str"/>
      <x:c r="R79" s="22" t="str">
        <x:v>0</x:v>
      </x:c>
      <x:c r="S79" s="22" t="str"/>
      <x:c r="T79" s="43" t="str"/>
      <x:c r="U79" s="43" t="str"/>
      <x:c r="V79" s="43" t="str"/>
      <x:c r="W79" s="43" t="str"/>
      <x:c r="X79" s="43" t="str"/>
      <x:c r="Y79" s="43" t="str"/>
      <x:c r="Z79" s="43" t="str"/>
      <x:c r="AA79" s="43" t="str"/>
      <x:c r="AB79" s="43" t="str"/>
      <x:c r="AC79" s="43" t="str"/>
      <x:c r="AD79" s="43" t="str"/>
      <x:c r="AE79" s="43" t="str"/>
      <x:c r="AF79" s="43" t="str"/>
      <x:c r="AG79" s="23" t="str">
        <x:v>Candidate surface form is directly representable in the public Ngram interface. The audited executable rule returned an empty Ngram payload; retained as source/query zero-response evidence, not historical absence.</x:v>
      </x:c>
    </x:row>
    <x:row r="80" ht="19" customHeight="1">
      <x:c r="A80" s="20" t="str">
        <x:v>FT-SEED-R1B-P-1988-19</x:v>
      </x:c>
      <x:c r="B80" s="22" t="str">
        <x:v>1988</x:v>
      </x:c>
      <x:c r="C80" s="22" t="str">
        <x:v>19</x:v>
      </x:c>
      <x:c r="D80" s="21" t="str">
        <x:v>major threat</x:v>
      </x:c>
      <x:c r="E80" s="21" t="str">
        <x:v>institutional climate threat</x:v>
      </x:c>
      <x:c r="F80" s="22" t="str">
        <x:v>danger_threat</x:v>
      </x:c>
      <x:c r="G80" s="22" t="str">
        <x:v>D</x:v>
      </x:c>
      <x:c r="H80" s="22" t="str">
        <x:v>V2</x:v>
      </x:c>
      <x:c r="I80" s="22" t="str">
        <x:v>E5</x:v>
      </x:c>
      <x:c r="J80" s="21" t="str">
        <x:v>RECONSTRUCTED_FROM_REPORT; Fear of Temperature_ Stratified Lexical Expansion, Voice Mapping, and Semantic-Relational Pre-Valida.pdf; p.9; project candidate FT-SEED-R1B-P-1988-19; original visible ID not available</x:v>
      </x:c>
      <x:c r="K80" s="21" t="str">
        <x:v>major threat</x:v>
      </x:c>
      <x:c r="L80" s="22" t="str">
        <x:v>EXACT</x:v>
      </x:c>
      <x:c r="M80" s="21" t="str">
        <x:v>SUCCEEDED_REUSED_BASELINE</x:v>
      </x:c>
      <x:c r="N80" s="21" t="str">
        <x:v>FT-Q-V01-059</x:v>
      </x:c>
      <x:c r="O80" s="22" t="str">
        <x:v>1842</x:v>
      </x:c>
      <x:c r="P80" s="22" t="str">
        <x:v>2022</x:v>
      </x:c>
      <x:c r="Q80" s="22" t="str">
        <x:v>1844</x:v>
      </x:c>
      <x:c r="R80" s="22" t="str">
        <x:v>136</x:v>
      </x:c>
      <x:c r="S80" s="22" t="str">
        <x:v>2021</x:v>
      </x:c>
      <x:c r="T80" s="43" t="str">
        <x:v>2.630044870777226e-07</x:v>
      </x:c>
      <x:c r="U80" s="43" t="str">
        <x:v>2.2550459527481692e-07</x:v>
      </x:c>
      <x:c r="V80" s="43" t="str">
        <x:v>2.1912260729783918e-07</x:v>
      </x:c>
      <x:c r="W80" s="43" t="str">
        <x:v>2.1533015956420876e-07</x:v>
      </x:c>
      <x:c r="X80" s="43" t="str">
        <x:v>2.2838745755704437e-07</x:v>
      </x:c>
      <x:c r="Y80" s="43" t="str">
        <x:v>0.0</x:v>
      </x:c>
      <x:c r="Z80" s="43" t="str">
        <x:v>1.403286584156227e-08</x:v>
      </x:c>
      <x:c r="AA80" s="43" t="str">
        <x:v>2.2550459527481692e-07</x:v>
      </x:c>
      <x:c r="AB80" s="43" t="str">
        <x:v>2.440623619870408e-07</x:v>
      </x:c>
      <x:c r="AC80" s="43" t="str">
        <x:v>2.3544637250960676e-07</x:v>
      </x:c>
      <x:c r="AD80" s="43" t="str">
        <x:v>2.397543672483238e-07</x:v>
      </x:c>
      <x:c r="AE80" s="43" t="str">
        <x:v>2.1884700518448597e-07</x:v>
      </x:c>
      <x:c r="AF80" s="43" t="str">
        <x:v>2.351791106303125e-07</x:v>
      </x:c>
      <x:c r="AG80" s="23" t="str">
        <x:v>Candidate surface form is directly representable in the public Ngram interface. Complete 1842–2022 unsmoothed series reused from the audited quantitative-v0.1 baseline.</x:v>
      </x:c>
    </x:row>
    <x:row r="81" ht="19" customHeight="1">
      <x:c r="A81" s="20" t="str">
        <x:v>FT-SEED-R1B-P-1988-20</x:v>
      </x:c>
      <x:c r="B81" s="22" t="str">
        <x:v>1988</x:v>
      </x:c>
      <x:c r="C81" s="22" t="str">
        <x:v>20</x:v>
      </x:c>
      <x:c r="D81" s="21" t="str">
        <x:v>harmful consequences</x:v>
      </x:c>
      <x:c r="E81" s="21" t="str">
        <x:v>generic damage</x:v>
      </x:c>
      <x:c r="F81" s="22" t="str">
        <x:v>harm_loss_consequences</x:v>
      </x:c>
      <x:c r="G81" s="22" t="str">
        <x:v>D</x:v>
      </x:c>
      <x:c r="H81" s="22" t="str">
        <x:v>V2</x:v>
      </x:c>
      <x:c r="I81" s="22" t="str">
        <x:v>E5</x:v>
      </x:c>
      <x:c r="J81" s="21" t="str">
        <x:v>RECONSTRUCTED_FROM_REPORT; Fear of Temperature_ Stratified Lexical Expansion, Voice Mapping, and Semantic-Relational Pre-Valida.pdf; p.9; project candidate FT-SEED-R1B-P-1988-20; original visible ID not available</x:v>
      </x:c>
      <x:c r="K81" s="21" t="str">
        <x:v>harmful consequences</x:v>
      </x:c>
      <x:c r="L81" s="22" t="str">
        <x:v>EXACT</x:v>
      </x:c>
      <x:c r="M81" s="21" t="str">
        <x:v>SUCCEEDED_REUSED_BASELINE</x:v>
      </x:c>
      <x:c r="N81" s="21" t="str">
        <x:v>FT-Q-V01-060</x:v>
      </x:c>
      <x:c r="O81" s="22" t="str">
        <x:v>1842</x:v>
      </x:c>
      <x:c r="P81" s="22" t="str">
        <x:v>2022</x:v>
      </x:c>
      <x:c r="Q81" s="22" t="str">
        <x:v>1844</x:v>
      </x:c>
      <x:c r="R81" s="22" t="str">
        <x:v>172</x:v>
      </x:c>
      <x:c r="S81" s="22" t="str">
        <x:v>2022</x:v>
      </x:c>
      <x:c r="T81" s="43" t="str">
        <x:v>1.4125787761720687e-07</x:v>
      </x:c>
      <x:c r="U81" s="43" t="str">
        <x:v>8.069599446991482e-08</x:v>
      </x:c>
      <x:c r="V81" s="43" t="str">
        <x:v>8.098120236471606e-08</x:v>
      </x:c>
      <x:c r="W81" s="43" t="str">
        <x:v>8.069599446991482e-08</x:v>
      </x:c>
      <x:c r="X81" s="43" t="str">
        <x:v>8.242399273522549e-08</x:v>
      </x:c>
      <x:c r="Y81" s="43" t="str">
        <x:v>0.0</x:v>
      </x:c>
      <x:c r="Z81" s="43" t="str">
        <x:v>2.7063384422376657e-08</x:v>
      </x:c>
      <x:c r="AA81" s="43" t="str">
        <x:v>8.069599446991482e-08</x:v>
      </x:c>
      <x:c r="AB81" s="43" t="str">
        <x:v>1.0502327367489794e-07</x:v>
      </x:c>
      <x:c r="AC81" s="43" t="str">
        <x:v>1.079860063382676e-07</x:v>
      </x:c>
      <x:c r="AD81" s="43" t="str">
        <x:v>1.0650464000658277e-07</x:v>
      </x:c>
      <x:c r="AE81" s="43" t="str">
        <x:v>1.1213223594097599e-07</x:v>
      </x:c>
      <x:c r="AF81" s="43" t="str">
        <x:v>1.4125787761720687e-07</x:v>
      </x:c>
      <x:c r="AG81" s="23" t="str">
        <x:v>Candidate surface form is directly representable in the public Ngram interface. Complete 1842–2022 unsmoothed series reused from the audited quantitative-v0.1 baseline.</x:v>
      </x:c>
    </x:row>
    <x:row r="82" ht="19" customHeight="1">
      <x:c r="A82" s="20" t="str">
        <x:v>FT-SEED-R1B-P-1988-21</x:v>
      </x:c>
      <x:c r="B82" s="22" t="str">
        <x:v>1988</x:v>
      </x:c>
      <x:c r="C82" s="22" t="str">
        <x:v>21</x:v>
      </x:c>
      <x:c r="D82" s="21" t="str">
        <x:v>grave threats</x:v>
      </x:c>
      <x:c r="E82" s="21" t="str">
        <x:v>institutional climate threat</x:v>
      </x:c>
      <x:c r="F82" s="22" t="str">
        <x:v>danger_threat</x:v>
      </x:c>
      <x:c r="G82" s="22" t="str">
        <x:v>D</x:v>
      </x:c>
      <x:c r="H82" s="22" t="str">
        <x:v>V2</x:v>
      </x:c>
      <x:c r="I82" s="22" t="str">
        <x:v>E5</x:v>
      </x:c>
      <x:c r="J82" s="21" t="str">
        <x:v>RECONSTRUCTED_FROM_REPORT; Fear of Temperature_ Stratified Lexical Expansion, Voice Mapping, and Semantic-Relational Pre-Valida.pdf; p.9; project candidate FT-SEED-R1B-P-1988-21; original visible ID not available</x:v>
      </x:c>
      <x:c r="K82" s="21" t="str">
        <x:v>grave threats</x:v>
      </x:c>
      <x:c r="L82" s="22" t="str">
        <x:v>EXACT</x:v>
      </x:c>
      <x:c r="M82" s="21" t="str">
        <x:v>SUCCEEDED_REUSED_BASELINE</x:v>
      </x:c>
      <x:c r="N82" s="21" t="str">
        <x:v>FT-Q-V01-140</x:v>
      </x:c>
      <x:c r="O82" s="22" t="str">
        <x:v>1842</x:v>
      </x:c>
      <x:c r="P82" s="22" t="str">
        <x:v>2022</x:v>
      </x:c>
      <x:c r="Q82" s="22" t="str">
        <x:v>1843</x:v>
      </x:c>
      <x:c r="R82" s="22" t="str">
        <x:v>141</x:v>
      </x:c>
      <x:c r="S82" s="22" t="str">
        <x:v>2008</x:v>
      </x:c>
      <x:c r="T82" s="43" t="str">
        <x:v>1.763470425242275e-08</x:v>
      </x:c>
      <x:c r="U82" s="43" t="str">
        <x:v>1.0710110541489737e-08</x:v>
      </x:c>
      <x:c r="V82" s="43" t="str">
        <x:v>1.2090141468523718e-08</x:v>
      </x:c>
      <x:c r="W82" s="43" t="str">
        <x:v>1.1371557553235823e-08</x:v>
      </x:c>
      <x:c r="X82" s="43" t="str">
        <x:v>1.5059013674934008e-08</x:v>
      </x:c>
      <x:c r="Y82" s="43" t="str">
        <x:v>0.0</x:v>
      </x:c>
      <x:c r="Z82" s="43" t="str">
        <x:v>2.3388109227084897e-09</x:v>
      </x:c>
      <x:c r="AA82" s="43" t="str">
        <x:v>1.0710110541489737e-08</x:v>
      </x:c>
      <x:c r="AB82" s="43" t="str">
        <x:v>1.703080053025441e-08</x:v>
      </x:c>
      <x:c r="AC82" s="43" t="str">
        <x:v>1.664090922698369e-08</x:v>
      </x:c>
      <x:c r="AD82" s="43" t="str">
        <x:v>1.683585487861905e-08</x:v>
      </x:c>
      <x:c r="AE82" s="43" t="str">
        <x:v>1.2516217902380777e-08</x:v>
      </x:c>
      <x:c r="AF82" s="43" t="str">
        <x:v>9.423090391313949e-09</x:v>
      </x:c>
      <x:c r="AG82" s="23" t="str">
        <x:v>Candidate surface form is directly representable in the public Ngram interface. Complete 1842–2022 unsmoothed series reused from the audited quantitative-v0.1 baseline.</x:v>
      </x:c>
    </x:row>
    <x:row r="83" ht="19" customHeight="1">
      <x:c r="A83" s="20" t="str">
        <x:v>FT-SEED-R1B-P-1988-22</x:v>
      </x:c>
      <x:c r="B83" s="22" t="str">
        <x:v>1988</x:v>
      </x:c>
      <x:c r="C83" s="22" t="str">
        <x:v>22</x:v>
      </x:c>
      <x:c r="D83" s="21" t="str">
        <x:v>severe economic and social dislocation</x:v>
      </x:c>
      <x:c r="E83" s="21" t="str">
        <x:v>generic damage</x:v>
      </x:c>
      <x:c r="F83" s="22" t="str">
        <x:v>harm_loss_consequences</x:v>
      </x:c>
      <x:c r="G83" s="22" t="str">
        <x:v>D</x:v>
      </x:c>
      <x:c r="H83" s="22" t="str">
        <x:v>V2</x:v>
      </x:c>
      <x:c r="I83" s="22" t="str">
        <x:v>E5</x:v>
      </x:c>
      <x:c r="J83" s="21" t="str">
        <x:v>RECONSTRUCTED_FROM_REPORT; Fear of Temperature_ Stratified Lexical Expansion, Voice Mapping, and Semantic-Relational Pre-Valida.pdf; p.9; project candidate FT-SEED-R1B-P-1988-22; original visible ID not available</x:v>
      </x:c>
      <x:c r="K83" s="21" t="str">
        <x:v>severe economic and social dislocation</x:v>
      </x:c>
      <x:c r="L83" s="22" t="str">
        <x:v>EXACT</x:v>
      </x:c>
      <x:c r="M83" s="21" t="str">
        <x:v>SUCCEEDED_NEW</x:v>
      </x:c>
      <x:c r="N83" s="21" t="str">
        <x:v>FT-Q-P180-08DEA4AF4C4A</x:v>
      </x:c>
      <x:c r="O83" s="22" t="str">
        <x:v>1842</x:v>
      </x:c>
      <x:c r="P83" s="22" t="str">
        <x:v>2022</x:v>
      </x:c>
      <x:c r="Q83" s="22" t="str">
        <x:v>1939</x:v>
      </x:c>
      <x:c r="R83" s="22" t="str">
        <x:v>63</x:v>
      </x:c>
      <x:c r="S83" s="22" t="str">
        <x:v>1989</x:v>
      </x:c>
      <x:c r="T83" s="43" t="str">
        <x:v>1.7840144916903e-09</x:v>
      </x:c>
      <x:c r="U83" s="43" t="str">
        <x:v>1.2381732306110393e-09</x:v>
      </x:c>
      <x:c r="V83" s="43" t="str">
        <x:v>1.0982789566682527e-09</x:v>
      </x:c>
      <x:c r="W83" s="43" t="str">
        <x:v>1.1424738932674927e-09</x:v>
      </x:c>
      <x:c r="X83" s="43" t="str">
        <x:v>1.7840144916903e-09</x:v>
      </x:c>
      <x:c r="Y83" s="43" t="str">
        <x:v>0.0</x:v>
      </x:c>
      <x:c r="Z83" s="43" t="str">
        <x:v>0.0</x:v>
      </x:c>
      <x:c r="AA83" s="43" t="str">
        <x:v>1.2381732306110393e-09</x:v>
      </x:c>
      <x:c r="AB83" s="43" t="str">
        <x:v>3.4937241988330925e-10</x:v>
      </x:c>
      <x:c r="AC83" s="43" t="str">
        <x:v>1.1385967862986845e-10</x:v>
      </x:c>
      <x:c r="AD83" s="43" t="str">
        <x:v>2.3161604925658885e-10</x:v>
      </x:c>
      <x:c r="AE83" s="43" t="str">
        <x:v>2.3035295892981367e-10</x:v>
      </x:c>
      <x:c r="AF83" s="43" t="str">
        <x:v>1.630940660302116e-10</x:v>
      </x:c>
      <x:c r="AG83" s="23" t="str">
        <x:v>Candidate surface form is directly representable in the public Ngram interface. New unsmoothed 1842–2022 series retrieved for the candidate audit.</x:v>
      </x:c>
    </x:row>
    <x:row r="84" ht="19" customHeight="1">
      <x:c r="A84" s="20" t="str">
        <x:v>FT-SEED-R1B-P-1988-23</x:v>
      </x:c>
      <x:c r="B84" s="22" t="str">
        <x:v>1988</x:v>
      </x:c>
      <x:c r="C84" s="22" t="str">
        <x:v>23</x:v>
      </x:c>
      <x:c r="D84" s="21" t="str">
        <x:v>risk of conflicts</x:v>
      </x:c>
      <x:c r="E84" s="21" t="str">
        <x:v>administrative risk assessment</x:v>
      </x:c>
      <x:c r="F84" s="22" t="str">
        <x:v>risk</x:v>
      </x:c>
      <x:c r="G84" s="22" t="str">
        <x:v>D</x:v>
      </x:c>
      <x:c r="H84" s="22" t="str">
        <x:v>V2</x:v>
      </x:c>
      <x:c r="I84" s="22" t="str">
        <x:v>E5</x:v>
      </x:c>
      <x:c r="J84" s="21" t="str">
        <x:v>RECONSTRUCTED_FROM_REPORT; Fear of Temperature_ Stratified Lexical Expansion, Voice Mapping, and Semantic-Relational Pre-Valida.pdf; p.9; project candidate FT-SEED-R1B-P-1988-23; original visible ID not available</x:v>
      </x:c>
      <x:c r="K84" s="21" t="str">
        <x:v>risk of conflicts</x:v>
      </x:c>
      <x:c r="L84" s="22" t="str">
        <x:v>EXACT</x:v>
      </x:c>
      <x:c r="M84" s="21" t="str">
        <x:v>SUCCEEDED_NEW</x:v>
      </x:c>
      <x:c r="N84" s="21" t="str">
        <x:v>FT-Q-P180-74E64574B767</x:v>
      </x:c>
      <x:c r="O84" s="22" t="str">
        <x:v>1842</x:v>
      </x:c>
      <x:c r="P84" s="22" t="str">
        <x:v>2022</x:v>
      </x:c>
      <x:c r="Q84" s="22" t="str">
        <x:v>1868</x:v>
      </x:c>
      <x:c r="R84" s="22" t="str">
        <x:v>116</x:v>
      </x:c>
      <x:c r="S84" s="22" t="str">
        <x:v>2011</x:v>
      </x:c>
      <x:c r="T84" s="43" t="str">
        <x:v>9.72769109708338e-09</x:v>
      </x:c>
      <x:c r="U84" s="43" t="str">
        <x:v>3.2436144881131668e-09</x:v>
      </x:c>
      <x:c r="V84" s="43" t="str">
        <x:v>3.07107153041386e-09</x:v>
      </x:c>
      <x:c r="W84" s="43" t="str">
        <x:v>3.144433824431303e-09</x:v>
      </x:c>
      <x:c r="X84" s="43" t="str">
        <x:v>4.08543110452797e-09</x:v>
      </x:c>
      <x:c r="Y84" s="43" t="str">
        <x:v>0.0</x:v>
      </x:c>
      <x:c r="Z84" s="43" t="str">
        <x:v>0.0</x:v>
      </x:c>
      <x:c r="AA84" s="43" t="str">
        <x:v>3.2436144881131668e-09</x:v>
      </x:c>
      <x:c r="AB84" s="43" t="str">
        <x:v>5.400266012145494e-09</x:v>
      </x:c>
      <x:c r="AC84" s="43" t="str">
        <x:v>6.268268445963621e-09</x:v>
      </x:c>
      <x:c r="AD84" s="43" t="str">
        <x:v>5.834267229054557e-09</x:v>
      </x:c>
      <x:c r="AE84" s="43" t="str">
        <x:v>6.3483300317968006e-09</x:v>
      </x:c>
      <x:c r="AF84" s="43" t="str">
        <x:v>7.3312812765014e-09</x:v>
      </x:c>
      <x:c r="AG84" s="23" t="str">
        <x:v>Candidate surface form is directly representable in the public Ngram interface. New unsmoothed 1842–2022 series retrieved for the candidate audit.</x:v>
      </x:c>
    </x:row>
    <x:row r="85" ht="19" customHeight="1">
      <x:c r="A85" s="20" t="str">
        <x:v>FT-SEED-R1B-P-1988-24</x:v>
      </x:c>
      <x:c r="B85" s="22" t="str">
        <x:v>1988</x:v>
      </x:c>
      <x:c r="C85" s="22" t="str">
        <x:v>24</x:v>
      </x:c>
      <x:c r="D85" s="21" t="str">
        <x:v>impending crisis</x:v>
      </x:c>
      <x:c r="E85" s="21" t="str">
        <x:v>severity / crisis predicate</x:v>
      </x:c>
      <x:c r="F85" s="22" t="str">
        <x:v>crisis_emergency</x:v>
      </x:c>
      <x:c r="G85" s="22" t="str">
        <x:v>D</x:v>
      </x:c>
      <x:c r="H85" s="22" t="str">
        <x:v>V2</x:v>
      </x:c>
      <x:c r="I85" s="22" t="str">
        <x:v>E5</x:v>
      </x:c>
      <x:c r="J85" s="21" t="str">
        <x:v>RECONSTRUCTED_FROM_REPORT; Fear of Temperature_ Stratified Lexical Expansion, Voice Mapping, and Semantic-Relational Pre-Valida.pdf; p.9; project candidate FT-SEED-R1B-P-1988-24; original visible ID not available</x:v>
      </x:c>
      <x:c r="K85" s="21" t="str">
        <x:v>impending crisis</x:v>
      </x:c>
      <x:c r="L85" s="22" t="str">
        <x:v>EXACT</x:v>
      </x:c>
      <x:c r="M85" s="21" t="str">
        <x:v>SUCCEEDED_NEW</x:v>
      </x:c>
      <x:c r="N85" s="21" t="str">
        <x:v>FT-Q-P180-A56145CA2BE7</x:v>
      </x:c>
      <x:c r="O85" s="22" t="str">
        <x:v>1842</x:v>
      </x:c>
      <x:c r="P85" s="22" t="str">
        <x:v>2022</x:v>
      </x:c>
      <x:c r="Q85" s="22" t="str">
        <x:v>1842</x:v>
      </x:c>
      <x:c r="R85" s="22" t="str">
        <x:v>181</x:v>
      </x:c>
      <x:c r="S85" s="22" t="str">
        <x:v>1860</x:v>
      </x:c>
      <x:c r="T85" s="43" t="str">
        <x:v>2.7402237695595133e-07</x:v>
      </x:c>
      <x:c r="U85" s="43" t="str">
        <x:v>5.004632412305976e-08</x:v>
      </x:c>
      <x:c r="V85" s="43" t="str">
        <x:v>5.116446560385346e-08</x:v>
      </x:c>
      <x:c r="W85" s="43" t="str">
        <x:v>5.004632412305976e-08</x:v>
      </x:c>
      <x:c r="X85" s="43" t="str">
        <x:v>5.6056268443044344e-08</x:v>
      </x:c>
      <x:c r="Y85" s="43" t="str">
        <x:v>1.2254778802844868e-08</x:v>
      </x:c>
      <x:c r="Z85" s="43" t="str">
        <x:v>2.906807983205084e-08</x:v>
      </x:c>
      <x:c r="AA85" s="43" t="str">
        <x:v>5.004632412305976e-08</x:v>
      </x:c>
      <x:c r="AB85" s="43" t="str">
        <x:v>7.801205435462033e-08</x:v>
      </x:c>
      <x:c r="AC85" s="43" t="str">
        <x:v>6.543925031021747e-08</x:v>
      </x:c>
      <x:c r="AD85" s="43" t="str">
        <x:v>7.17256523324189e-08</x:v>
      </x:c>
      <x:c r="AE85" s="43" t="str">
        <x:v>5.739713200905716e-08</x:v>
      </x:c>
      <x:c r="AF85" s="43" t="str">
        <x:v>5.18933595816673e-08</x:v>
      </x:c>
      <x:c r="AG85" s="23" t="str">
        <x:v>Candidate surface form is directly representable in the public Ngram interface. New unsmoothed 1842–2022 series retrieved for the candidate audit.</x:v>
      </x:c>
    </x:row>
    <x:row r="86" ht="19" customHeight="1">
      <x:c r="A86" s="20" t="str">
        <x:v>FT-SEED-R1B-P-1988-25</x:v>
      </x:c>
      <x:c r="B86" s="22" t="str">
        <x:v>1988</x:v>
      </x:c>
      <x:c r="C86" s="22" t="str">
        <x:v>25</x:v>
      </x:c>
      <x:c r="D86" s="21" t="str">
        <x:v>degradation of the atmosphere</x:v>
      </x:c>
      <x:c r="E86" s="21" t="str">
        <x:v>generic damage</x:v>
      </x:c>
      <x:c r="F86" s="22" t="str">
        <x:v>harm_loss_consequences</x:v>
      </x:c>
      <x:c r="G86" s="22" t="str">
        <x:v>D</x:v>
      </x:c>
      <x:c r="H86" s="22" t="str">
        <x:v>V2</x:v>
      </x:c>
      <x:c r="I86" s="22" t="str">
        <x:v>E5</x:v>
      </x:c>
      <x:c r="J86" s="21" t="str">
        <x:v>RECONSTRUCTED_FROM_REPORT; Fear of Temperature_ Stratified Lexical Expansion, Voice Mapping, and Semantic-Relational Pre-Valida.pdf; p.9; project candidate FT-SEED-R1B-P-1988-25; original visible ID not available</x:v>
      </x:c>
      <x:c r="K86" s="21" t="str">
        <x:v>degradation of the atmosphere</x:v>
      </x:c>
      <x:c r="L86" s="22" t="str">
        <x:v>EXACT</x:v>
      </x:c>
      <x:c r="M86" s="21" t="str">
        <x:v>SUCCEEDED_NEW</x:v>
      </x:c>
      <x:c r="N86" s="21" t="str">
        <x:v>FT-Q-P180-F2CD82125CB1</x:v>
      </x:c>
      <x:c r="O86" s="22" t="str">
        <x:v>1842</x:v>
      </x:c>
      <x:c r="P86" s="22" t="str">
        <x:v>2022</x:v>
      </x:c>
      <x:c r="Q86" s="22" t="str">
        <x:v>1901</x:v>
      </x:c>
      <x:c r="R86" s="22" t="str">
        <x:v>73</x:v>
      </x:c>
      <x:c r="S86" s="22" t="str">
        <x:v>1974</x:v>
      </x:c>
      <x:c r="T86" s="43" t="str">
        <x:v>2.048499814222282e-09</x:v>
      </x:c>
      <x:c r="U86" s="43" t="str">
        <x:v>7.17079950973698e-10</x:v>
      </x:c>
      <x:c r="V86" s="43" t="str">
        <x:v>9.548699442252228e-10</x:v>
      </x:c>
      <x:c r="W86" s="43" t="str">
        <x:v>7.17079950973698e-10</x:v>
      </x:c>
      <x:c r="X86" s="43" t="str">
        <x:v>2.0391028865418548e-09</x:v>
      </x:c>
      <x:c r="Y86" s="43" t="str">
        <x:v>0.0</x:v>
      </x:c>
      <x:c r="Z86" s="43" t="str">
        <x:v>0.0</x:v>
      </x:c>
      <x:c r="AA86" s="43" t="str">
        <x:v>7.17079950973698e-10</x:v>
      </x:c>
      <x:c r="AB86" s="43" t="str">
        <x:v>3.2387603710049007e-10</x:v>
      </x:c>
      <x:c r="AC86" s="43" t="str">
        <x:v>1.056784798558752e-10</x:v>
      </x:c>
      <x:c r="AD86" s="43" t="str">
        <x:v>2.1477725847818263e-10</x:v>
      </x:c>
      <x:c r="AE86" s="43" t="str">
        <x:v>1.613050110149672e-10</x:v>
      </x:c>
      <x:c r="AF86" s="43" t="str">
        <x:v>5.081168263920688e-10</x:v>
      </x:c>
      <x:c r="AG86" s="23" t="str">
        <x:v>Candidate surface form is directly representable in the public Ngram interface. New unsmoothed 1842–2022 series retrieved for the candidate audit.</x:v>
      </x:c>
    </x:row>
    <x:row r="87" ht="19" customHeight="1">
      <x:c r="A87" s="20" t="str">
        <x:v>FT-SEED-R1B-P-1988-26</x:v>
      </x:c>
      <x:c r="B87" s="22" t="str">
        <x:v>1988</x:v>
      </x:c>
      <x:c r="C87" s="22" t="str">
        <x:v>26</x:v>
      </x:c>
      <x:c r="D87" s="21" t="str">
        <x:v>atmospheric pollution</x:v>
      </x:c>
      <x:c r="E87" s="21" t="str">
        <x:v>generic damage</x:v>
      </x:c>
      <x:c r="F87" s="22" t="str">
        <x:v>harm_loss_consequences</x:v>
      </x:c>
      <x:c r="G87" s="22" t="str">
        <x:v>D</x:v>
      </x:c>
      <x:c r="H87" s="22" t="str">
        <x:v>V2</x:v>
      </x:c>
      <x:c r="I87" s="22" t="str">
        <x:v>E5</x:v>
      </x:c>
      <x:c r="J87" s="21" t="str">
        <x:v>RECONSTRUCTED_FROM_REPORT; Fear of Temperature_ Stratified Lexical Expansion, Voice Mapping, and Semantic-Relational Pre-Valida.pdf; p.9; project candidate FT-SEED-R1B-P-1988-26; original visible ID not available</x:v>
      </x:c>
      <x:c r="K87" s="21" t="str">
        <x:v>atmospheric pollution</x:v>
      </x:c>
      <x:c r="L87" s="22" t="str">
        <x:v>EXACT</x:v>
      </x:c>
      <x:c r="M87" s="21" t="str">
        <x:v>SUCCEEDED_NEW</x:v>
      </x:c>
      <x:c r="N87" s="21" t="str">
        <x:v>FT-Q-P180-46FC0D954885</x:v>
      </x:c>
      <x:c r="O87" s="22" t="str">
        <x:v>1842</x:v>
      </x:c>
      <x:c r="P87" s="22" t="str">
        <x:v>2022</x:v>
      </x:c>
      <x:c r="Q87" s="22" t="str">
        <x:v>1842</x:v>
      </x:c>
      <x:c r="R87" s="22" t="str">
        <x:v>179</x:v>
      </x:c>
      <x:c r="S87" s="22" t="str">
        <x:v>1971</x:v>
      </x:c>
      <x:c r="T87" s="43" t="str">
        <x:v>8.334724958536377e-07</x:v>
      </x:c>
      <x:c r="U87" s="43" t="str">
        <x:v>3.3304990159840897e-07</x:v>
      </x:c>
      <x:c r="V87" s="43" t="str">
        <x:v>3.300189624841354e-07</x:v>
      </x:c>
      <x:c r="W87" s="43" t="str">
        <x:v>3.3304990159840897e-07</x:v>
      </x:c>
      <x:c r="X87" s="43" t="str">
        <x:v>3.587876010423263e-07</x:v>
      </x:c>
      <x:c r="Y87" s="43" t="str">
        <x:v>1.289976681029259e-09</x:v>
      </x:c>
      <x:c r="Z87" s="43" t="str">
        <x:v>1.8187039756145662e-07</x:v>
      </x:c>
      <x:c r="AA87" s="43" t="str">
        <x:v>3.3304990159840897e-07</x:v>
      </x:c>
      <x:c r="AB87" s="43" t="str">
        <x:v>1.3578858671856042e-07</x:v>
      </x:c>
      <x:c r="AC87" s="43" t="str">
        <x:v>1.2368242896521053e-07</x:v>
      </x:c>
      <x:c r="AD87" s="43" t="str">
        <x:v>1.2973550784188548e-07</x:v>
      </x:c>
      <x:c r="AE87" s="43" t="str">
        <x:v>9.345131174454124e-08</x:v>
      </x:c>
      <x:c r="AF87" s="43" t="str">
        <x:v>1.1042269712491226e-07</x:v>
      </x:c>
      <x:c r="AG87" s="23" t="str">
        <x:v>Candidate surface form is directly representable in the public Ngram interface. New unsmoothed 1842–2022 series retrieved for the candidate audit.</x:v>
      </x:c>
    </x:row>
    <x:row r="88" ht="19" customHeight="1">
      <x:c r="A88" s="20" t="str">
        <x:v>FT-SEED-R1B-P-1988-27</x:v>
      </x:c>
      <x:c r="B88" s="22" t="str">
        <x:v>1988</x:v>
      </x:c>
      <x:c r="C88" s="22" t="str">
        <x:v>27</x:v>
      </x:c>
      <x:c r="D88" s="21" t="str">
        <x:v>greenhouse gases</x:v>
      </x:c>
      <x:c r="E88" s="21" t="str">
        <x:v>anthropogenic greenhouse-gas emissions</x:v>
      </x:c>
      <x:c r="F88" s="22" t="str">
        <x:v>carbon_greenhouse</x:v>
      </x:c>
      <x:c r="G88" s="22" t="str">
        <x:v>B</x:v>
      </x:c>
      <x:c r="H88" s="22" t="str">
        <x:v>V2</x:v>
      </x:c>
      <x:c r="I88" s="22" t="str">
        <x:v>E5</x:v>
      </x:c>
      <x:c r="J88" s="21" t="str">
        <x:v>RECONSTRUCTED_FROM_REPORT; Fear of Temperature_ Stratified Lexical Expansion, Voice Mapping, and Semantic-Relational Pre-Valida.pdf; p.9; project candidate FT-SEED-R1B-P-1988-27; original visible ID not available</x:v>
      </x:c>
      <x:c r="K88" s="21" t="str">
        <x:v>greenhouse gases</x:v>
      </x:c>
      <x:c r="L88" s="22" t="str">
        <x:v>EXACT</x:v>
      </x:c>
      <x:c r="M88" s="21" t="str">
        <x:v>SUCCEEDED_NEW</x:v>
      </x:c>
      <x:c r="N88" s="21" t="str">
        <x:v>FT-Q-P180-4D1539260C64</x:v>
      </x:c>
      <x:c r="O88" s="22" t="str">
        <x:v>1842</x:v>
      </x:c>
      <x:c r="P88" s="22" t="str">
        <x:v>2022</x:v>
      </x:c>
      <x:c r="Q88" s="22" t="str">
        <x:v>1843</x:v>
      </x:c>
      <x:c r="R88" s="22" t="str">
        <x:v>113</x:v>
      </x:c>
      <x:c r="S88" s="22" t="str">
        <x:v>2009</x:v>
      </x:c>
      <x:c r="T88" s="43" t="str">
        <x:v>2.002253256805364e-06</x:v>
      </x:c>
      <x:c r="U88" s="43" t="str">
        <x:v>3.0486798507922686e-07</x:v>
      </x:c>
      <x:c r="V88" s="43" t="str">
        <x:v>4.962433368921327e-07</x:v>
      </x:c>
      <x:c r="W88" s="43" t="str">
        <x:v>3.0486798507922686e-07</x:v>
      </x:c>
      <x:c r="X88" s="43" t="str">
        <x:v>1.053403051357038e-06</x:v>
      </x:c>
      <x:c r="Y88" s="43" t="str">
        <x:v>0.0</x:v>
      </x:c>
      <x:c r="Z88" s="43" t="str">
        <x:v>2.2274390665266708e-10</x:v>
      </x:c>
      <x:c r="AA88" s="43" t="str">
        <x:v>3.0486798507922686e-07</x:v>
      </x:c>
      <x:c r="AB88" s="43" t="str">
        <x:v>1.274700506603138e-06</x:v>
      </x:c>
      <x:c r="AC88" s="43" t="str">
        <x:v>1.6380501750568044e-06</x:v>
      </x:c>
      <x:c r="AD88" s="43" t="str">
        <x:v>1.4563753408299712e-06</x:v>
      </x:c>
      <x:c r="AE88" s="43" t="str">
        <x:v>1.2591408641259016e-06</x:v>
      </x:c>
      <x:c r="AF88" s="43" t="str">
        <x:v>1.4560665626828229e-06</x:v>
      </x:c>
      <x:c r="AG88" s="23" t="str">
        <x:v>Candidate surface form is directly representable in the public Ngram interface. New unsmoothed 1842–2022 series retrieved for the candidate audit.</x:v>
      </x:c>
    </x:row>
    <x:row r="89" ht="19" customHeight="1">
      <x:c r="A89" s="20" t="str">
        <x:v>FT-SEED-R1B-P-1988-28</x:v>
      </x:c>
      <x:c r="B89" s="22" t="str">
        <x:v>1988</x:v>
      </x:c>
      <x:c r="C89" s="22" t="str">
        <x:v>28</x:v>
      </x:c>
      <x:c r="D89" s="21" t="str">
        <x:v>Global Warming Has Begun</x:v>
      </x:c>
      <x:c r="E89" s="21" t="str">
        <x:v>global warming as issue label</x:v>
      </x:c>
      <x:c r="F89" s="22" t="str">
        <x:v>warming</x:v>
      </x:c>
      <x:c r="G89" s="22" t="str">
        <x:v>A</x:v>
      </x:c>
      <x:c r="H89" s="22" t="str">
        <x:v>V3</x:v>
      </x:c>
      <x:c r="I89" s="22" t="str">
        <x:v>E5</x:v>
      </x:c>
      <x:c r="J89" s="21" t="str">
        <x:v>RECONSTRUCTED_FROM_REPORT; Fear of Temperature_ Stratified Lexical Expansion, Voice Mapping, and Semantic-Relational Pre-Valida.pdf; p.9; project candidate FT-SEED-R1B-P-1988-28; original visible ID not available</x:v>
      </x:c>
      <x:c r="K89" s="21" t="str">
        <x:v>Global Warming Has Begun</x:v>
      </x:c>
      <x:c r="L89" s="22" t="str">
        <x:v>EXACT</x:v>
      </x:c>
      <x:c r="M89" s="21" t="str">
        <x:v>SUCCEEDED_NEW</x:v>
      </x:c>
      <x:c r="N89" s="21" t="str">
        <x:v>FT-Q-P180-BC8CDB78B2CA</x:v>
      </x:c>
      <x:c r="O89" s="22" t="str">
        <x:v>1842</x:v>
      </x:c>
      <x:c r="P89" s="22" t="str">
        <x:v>2022</x:v>
      </x:c>
      <x:c r="Q89" s="22" t="str">
        <x:v>1979</x:v>
      </x:c>
      <x:c r="R89" s="22" t="str">
        <x:v>40</x:v>
      </x:c>
      <x:c r="S89" s="22" t="str">
        <x:v>1989</x:v>
      </x:c>
      <x:c r="T89" s="43" t="str">
        <x:v>2.5948427573307953e-09</x:v>
      </x:c>
      <x:c r="U89" s="43" t="str">
        <x:v>2.27075322434267e-09</x:v>
      </x:c>
      <x:c r="V89" s="43" t="str">
        <x:v>1.3878436400105442e-09</x:v>
      </x:c>
      <x:c r="W89" s="43" t="str">
        <x:v>1.7084374748232989e-09</x:v>
      </x:c>
      <x:c r="X89" s="43" t="str">
        <x:v>2.5948427573307953e-09</x:v>
      </x:c>
      <x:c r="Y89" s="43" t="str">
        <x:v>0.0</x:v>
      </x:c>
      <x:c r="Z89" s="43" t="str">
        <x:v>0.0</x:v>
      </x:c>
      <x:c r="AA89" s="43" t="str">
        <x:v>2.27075322434267e-09</x:v>
      </x:c>
      <x:c r="AB89" s="43" t="str">
        <x:v>8.636694692754077e-10</x:v>
      </x:c>
      <x:c r="AC89" s="43" t="str">
        <x:v>8.982670718360453e-10</x:v>
      </x:c>
      <x:c r="AD89" s="43" t="str">
        <x:v>8.809682705557265e-10</x:v>
      </x:c>
      <x:c r="AE89" s="43" t="str">
        <x:v>1.0753667400997813e-09</x:v>
      </x:c>
      <x:c r="AF89" s="43" t="str">
        <x:v>2.591395681372788e-09</x:v>
      </x:c>
      <x:c r="AG89" s="23" t="str">
        <x:v>Candidate surface form is directly representable in the public Ngram interface. New unsmoothed 1842–2022 series retrieved for the candidate audit.</x:v>
      </x:c>
    </x:row>
    <x:row r="90" ht="19" customHeight="1">
      <x:c r="A90" s="20" t="str">
        <x:v>FT-SEED-R1B-P-1988-29</x:v>
      </x:c>
      <x:c r="B90" s="22" t="str">
        <x:v>1988</x:v>
      </x:c>
      <x:c r="C90" s="22" t="str">
        <x:v>29</x:v>
      </x:c>
      <x:c r="D90" s="21" t="str">
        <x:v>evidence is pretty strong</x:v>
      </x:c>
      <x:c r="E90" s="21" t="str">
        <x:v>personal concern</x:v>
      </x:c>
      <x:c r="F90" s="22" t="str">
        <x:v>concern_alarm</x:v>
      </x:c>
      <x:c r="G90" s="22" t="str">
        <x:v>C</x:v>
      </x:c>
      <x:c r="H90" s="22" t="str">
        <x:v>V3</x:v>
      </x:c>
      <x:c r="I90" s="22" t="str">
        <x:v>E5</x:v>
      </x:c>
      <x:c r="J90" s="21" t="str">
        <x:v>RECONSTRUCTED_FROM_REPORT; Fear of Temperature_ Stratified Lexical Expansion, Voice Mapping, and Semantic-Relational Pre-Valida.pdf; p.9; project candidate FT-SEED-R1B-P-1988-29; original visible ID not available</x:v>
      </x:c>
      <x:c r="K90" s="21" t="str">
        <x:v>evidence is pretty strong</x:v>
      </x:c>
      <x:c r="L90" s="22" t="str">
        <x:v>EXACT</x:v>
      </x:c>
      <x:c r="M90" s="21" t="str">
        <x:v>SUCCEEDED_NEW</x:v>
      </x:c>
      <x:c r="N90" s="21" t="str">
        <x:v>FT-Q-P180-700FAFA739C8</x:v>
      </x:c>
      <x:c r="O90" s="22" t="str">
        <x:v>1842</x:v>
      </x:c>
      <x:c r="P90" s="22" t="str">
        <x:v>2022</x:v>
      </x:c>
      <x:c r="Q90" s="22" t="str">
        <x:v>1842</x:v>
      </x:c>
      <x:c r="R90" s="22" t="str">
        <x:v>153</x:v>
      </x:c>
      <x:c r="S90" s="22" t="str">
        <x:v>1864</x:v>
      </x:c>
      <x:c r="T90" s="43" t="str">
        <x:v>5.380066170346254e-09</x:v>
      </x:c>
      <x:c r="U90" s="43" t="str">
        <x:v>2.3902666512753967e-09</x:v>
      </x:c>
      <x:c r="V90" s="43" t="str">
        <x:v>1.0665741734250389e-09</x:v>
      </x:c>
      <x:c r="W90" s="43" t="str">
        <x:v>1.1022177615060968e-09</x:v>
      </x:c>
      <x:c r="X90" s="43" t="str">
        <x:v>2.3902666512753967e-09</x:v>
      </x:c>
      <x:c r="Y90" s="43" t="str">
        <x:v>7.334431950667408e-10</x:v>
      </x:c>
      <x:c r="Z90" s="43" t="str">
        <x:v>0.0</x:v>
      </x:c>
      <x:c r="AA90" s="43" t="str">
        <x:v>2.3902666512753967e-09</x:v>
      </x:c>
      <x:c r="AB90" s="43" t="str">
        <x:v>6.477520742009801e-10</x:v>
      </x:c>
      <x:c r="AC90" s="43" t="str">
        <x:v>1.0567847708031763e-09</x:v>
      </x:c>
      <x:c r="AD90" s="43" t="str">
        <x:v>8.522684225020782e-10</x:v>
      </x:c>
      <x:c r="AE90" s="43" t="str">
        <x:v>1.4517450575013413e-09</x:v>
      </x:c>
      <x:c r="AF90" s="43" t="str">
        <x:v>1.2194802945231231e-09</x:v>
      </x:c>
      <x:c r="AG90" s="23" t="str">
        <x:v>Candidate surface form is directly representable in the public Ngram interface. New unsmoothed 1842–2022 series retrieved for the candidate audit.</x:v>
      </x:c>
    </x:row>
    <x:row r="91" ht="19" customHeight="1">
      <x:c r="A91" s="20" t="str">
        <x:v>FT-SEED-R1B-P-1988-30</x:v>
      </x:c>
      <x:c r="B91" s="22" t="str">
        <x:v>1988</x:v>
      </x:c>
      <x:c r="C91" s="22" t="str">
        <x:v>30</x:v>
      </x:c>
      <x:c r="D91" s="21" t="str">
        <x:v>too much carbon dioxide is dangerous</x:v>
      </x:c>
      <x:c r="E91" s="21" t="str">
        <x:v>atmospheric carbon dioxide</x:v>
      </x:c>
      <x:c r="F91" s="22" t="str">
        <x:v>carbon_greenhouse</x:v>
      </x:c>
      <x:c r="G91" s="22" t="str">
        <x:v>D</x:v>
      </x:c>
      <x:c r="H91" s="22" t="str">
        <x:v>V3</x:v>
      </x:c>
      <x:c r="I91" s="22" t="str">
        <x:v>E5</x:v>
      </x:c>
      <x:c r="J91" s="21" t="str">
        <x:v>RECONSTRUCTED_FROM_REPORT; Fear of Temperature_ Stratified Lexical Expansion, Voice Mapping, and Semantic-Relational Pre-Valida.pdf; p.9; project candidate FT-SEED-R1B-P-1988-30; original visible ID not available</x:v>
      </x:c>
      <x:c r="K91" s="21" t="str">
        <x:v>too much carbon dioxide is dangerous</x:v>
      </x:c>
      <x:c r="L91" s="22" t="str">
        <x:v>EXACT</x:v>
      </x:c>
      <x:c r="M91" s="21" t="str">
        <x:v>ZERO_RESPONSE_NEW</x:v>
      </x:c>
      <x:c r="N91" s="21" t="str">
        <x:v>FT-Q-P180-59D638D2BD5B</x:v>
      </x:c>
      <x:c r="O91" s="22" t="str">
        <x:v>1842</x:v>
      </x:c>
      <x:c r="P91" s="22" t="str">
        <x:v>2022</x:v>
      </x:c>
      <x:c r="Q91" s="22" t="str"/>
      <x:c r="R91" s="22" t="str">
        <x:v>0</x:v>
      </x:c>
      <x:c r="S91" s="22" t="str"/>
      <x:c r="T91" s="43" t="str"/>
      <x:c r="U91" s="43" t="str"/>
      <x:c r="V91" s="43" t="str"/>
      <x:c r="W91" s="43" t="str"/>
      <x:c r="X91" s="43" t="str"/>
      <x:c r="Y91" s="43" t="str"/>
      <x:c r="Z91" s="43" t="str"/>
      <x:c r="AA91" s="43" t="str"/>
      <x:c r="AB91" s="43" t="str"/>
      <x:c r="AC91" s="43" t="str"/>
      <x:c r="AD91" s="43" t="str"/>
      <x:c r="AE91" s="43" t="str"/>
      <x:c r="AF91" s="43" t="str"/>
      <x:c r="AG91" s="23" t="str">
        <x:v>Candidate surface form is directly representable in the public Ngram interface. The public Ngram endpoint returned an empty list; retained without fabricating annual zero frequencies.</x:v>
      </x:c>
    </x:row>
    <x:row r="92" ht="19" customHeight="1">
      <x:c r="A92" s="20" t="str">
        <x:v>FT-SEED-R1B-P-0607-01</x:v>
      </x:c>
      <x:c r="B92" s="22" t="str">
        <x:v>2006–2007</x:v>
      </x:c>
      <x:c r="C92" s="22" t="str">
        <x:v>1</x:v>
      </x:c>
      <x:c r="D92" s="21" t="str">
        <x:v>warming of the climate system</x:v>
      </x:c>
      <x:c r="E92" s="21" t="str">
        <x:v>climate-system warming</x:v>
      </x:c>
      <x:c r="F92" s="22" t="str">
        <x:v>warming</x:v>
      </x:c>
      <x:c r="G92" s="22" t="str">
        <x:v>A</x:v>
      </x:c>
      <x:c r="H92" s="22" t="str">
        <x:v>V1</x:v>
      </x:c>
      <x:c r="I92" s="22" t="str">
        <x:v>E5</x:v>
      </x:c>
      <x:c r="J92" s="21" t="str">
        <x:v>RECONSTRUCTED_FROM_REPORT; Fear of Temperature_ Stratified Lexical Expansion, Voice Mapping, and Semantic-Relational Pre-Valida.pdf; p.10; project candidate FT-SEED-R1B-P-0607-01; original visible ID not available</x:v>
      </x:c>
      <x:c r="K92" s="21" t="str">
        <x:v>warming of the climate system</x:v>
      </x:c>
      <x:c r="L92" s="22" t="str">
        <x:v>EXACT</x:v>
      </x:c>
      <x:c r="M92" s="21" t="str">
        <x:v>SUCCEEDED_REUSED_BASELINE</x:v>
      </x:c>
      <x:c r="N92" s="21" t="str">
        <x:v>FT-Q-V01-061</x:v>
      </x:c>
      <x:c r="O92" s="22" t="str">
        <x:v>1842</x:v>
      </x:c>
      <x:c r="P92" s="22" t="str">
        <x:v>2022</x:v>
      </x:c>
      <x:c r="Q92" s="22" t="str">
        <x:v>1949</x:v>
      </x:c>
      <x:c r="R92" s="22" t="str">
        <x:v>40</x:v>
      </x:c>
      <x:c r="S92" s="22" t="str">
        <x:v>2008</x:v>
      </x:c>
      <x:c r="T92" s="43" t="str">
        <x:v>1.7286482467682163e-08</x:v>
      </x:c>
      <x:c r="U92" s="43" t="str">
        <x:v>4.110638524013055e-09</x:v>
      </x:c>
      <x:c r="V92" s="43" t="str">
        <x:v>6.480305066863812e-09</x:v>
      </x:c>
      <x:c r="W92" s="43" t="str">
        <x:v>4.110638524013055e-09</x:v>
      </x:c>
      <x:c r="X92" s="43" t="str">
        <x:v>1.7286482467682163e-08</x:v>
      </x:c>
      <x:c r="Y92" s="43" t="str">
        <x:v>0.0</x:v>
      </x:c>
      <x:c r="Z92" s="43" t="str">
        <x:v>0.0</x:v>
      </x:c>
      <x:c r="AA92" s="43" t="str">
        <x:v>1.303340213532067e-10</x:v>
      </x:c>
      <x:c r="AB92" s="43" t="str">
        <x:v>1.0481172041387765e-09</x:v>
      </x:c>
      <x:c r="AC92" s="43" t="str">
        <x:v>7.173159843887333e-09</x:v>
      </x:c>
      <x:c r="AD92" s="43" t="str">
        <x:v>4.110638524013055e-09</x:v>
      </x:c>
      <x:c r="AE92" s="43" t="str">
        <x:v>1.3360471395884588e-08</x:v>
      </x:c>
      <x:c r="AF92" s="43" t="str">
        <x:v>4.8928221474398015e-09</x:v>
      </x:c>
      <x:c r="AG92" s="23" t="str">
        <x:v>Candidate surface form is directly representable in the public Ngram interface. Complete 1842–2022 unsmoothed series reused from the audited quantitative-v0.1 baseline.</x:v>
      </x:c>
    </x:row>
    <x:row r="93" ht="19" customHeight="1">
      <x:c r="A93" s="20" t="str">
        <x:v>FT-SEED-R1B-P-0607-02</x:v>
      </x:c>
      <x:c r="B93" s="22" t="str">
        <x:v>2006–2007</x:v>
      </x:c>
      <x:c r="C93" s="22" t="str">
        <x:v>2</x:v>
      </x:c>
      <x:c r="D93" s="21" t="str">
        <x:v>unequivocal</x:v>
      </x:c>
      <x:c r="E93" s="21" t="str">
        <x:v>historical climate / climatological condition</x:v>
      </x:c>
      <x:c r="F93" s="22" t="str">
        <x:v>climate</x:v>
      </x:c>
      <x:c r="G93" s="22" t="str">
        <x:v>B</x:v>
      </x:c>
      <x:c r="H93" s="22" t="str">
        <x:v>V1</x:v>
      </x:c>
      <x:c r="I93" s="22" t="str">
        <x:v>E5</x:v>
      </x:c>
      <x:c r="J93" s="21" t="str">
        <x:v>RECONSTRUCTED_FROM_REPORT; Fear of Temperature_ Stratified Lexical Expansion, Voice Mapping, and Semantic-Relational Pre-Valida.pdf; p.10; project candidate FT-SEED-R1B-P-0607-02; original visible ID not available</x:v>
      </x:c>
      <x:c r="K93" s="21" t="str">
        <x:v>unequivocal</x:v>
      </x:c>
      <x:c r="L93" s="22" t="str">
        <x:v>EXACT</x:v>
      </x:c>
      <x:c r="M93" s="21" t="str">
        <x:v>SUCCEEDED_REUSED_BASELINE</x:v>
      </x:c>
      <x:c r="N93" s="21" t="str">
        <x:v>FT-Q-V01-062</x:v>
      </x:c>
      <x:c r="O93" s="22" t="str">
        <x:v>1842</x:v>
      </x:c>
      <x:c r="P93" s="22" t="str">
        <x:v>2022</x:v>
      </x:c>
      <x:c r="Q93" s="22" t="str">
        <x:v>1842</x:v>
      </x:c>
      <x:c r="R93" s="22" t="str">
        <x:v>181</x:v>
      </x:c>
      <x:c r="S93" s="22" t="str">
        <x:v>1844</x:v>
      </x:c>
      <x:c r="T93" s="43" t="str">
        <x:v>2.493547962445497e-06</x:v>
      </x:c>
      <x:c r="U93" s="43" t="str">
        <x:v>1.1813608685184995e-06</x:v>
      </x:c>
      <x:c r="V93" s="43" t="str">
        <x:v>1.1878409533205847e-06</x:v>
      </x:c>
      <x:c r="W93" s="43" t="str">
        <x:v>1.187627293230964e-06</x:v>
      </x:c>
      <x:c r="X93" s="43" t="str">
        <x:v>1.2128577232539683e-06</x:v>
      </x:c>
      <x:c r="Y93" s="43" t="str">
        <x:v>2.4891912246971515e-06</x:v>
      </x:c>
      <x:c r="Z93" s="43" t="str">
        <x:v>6.214660617231971e-07</x:v>
      </x:c>
      <x:c r="AA93" s="43" t="str">
        <x:v>1.2658131665066463e-06</x:v>
      </x:c>
      <x:c r="AB93" s="43" t="str">
        <x:v>1.1632515035664426e-06</x:v>
      </x:c>
      <x:c r="AC93" s="43" t="str">
        <x:v>1.1994702334705565e-06</x:v>
      </x:c>
      <x:c r="AD93" s="43" t="str">
        <x:v>1.1813608685184995e-06</x:v>
      </x:c>
      <x:c r="AE93" s="43" t="str">
        <x:v>1.04477917728385e-06</x:v>
      </x:c>
      <x:c r="AF93" s="43" t="str">
        <x:v>9.735799887389263e-07</x:v>
      </x:c>
      <x:c r="AG93" s="23" t="str">
        <x:v>Candidate surface form is directly representable in the public Ngram interface. Complete 1842–2022 unsmoothed series reused from the audited quantitative-v0.1 baseline.</x:v>
      </x:c>
    </x:row>
    <x:row r="94" ht="19" customHeight="1">
      <x:c r="A94" s="20" t="str">
        <x:v>FT-SEED-R1B-P-0607-03</x:v>
      </x:c>
      <x:c r="B94" s="22" t="str">
        <x:v>2006–2007</x:v>
      </x:c>
      <x:c r="C94" s="22" t="str">
        <x:v>3</x:v>
      </x:c>
      <x:c r="D94" s="21" t="str">
        <x:v>global average air and ocean temperatures</x:v>
      </x:c>
      <x:c r="E94" s="21" t="str">
        <x:v>global aggregate temperature</x:v>
      </x:c>
      <x:c r="F94" s="22" t="str">
        <x:v>temperature_threshold</x:v>
      </x:c>
      <x:c r="G94" s="22" t="str">
        <x:v>A</x:v>
      </x:c>
      <x:c r="H94" s="22" t="str">
        <x:v>V1</x:v>
      </x:c>
      <x:c r="I94" s="22" t="str">
        <x:v>E5</x:v>
      </x:c>
      <x:c r="J94" s="21" t="str">
        <x:v>RECONSTRUCTED_FROM_REPORT; Fear of Temperature_ Stratified Lexical Expansion, Voice Mapping, and Semantic-Relational Pre-Valida.pdf; p.10; project candidate FT-SEED-R1B-P-0607-03; original visible ID not available</x:v>
      </x:c>
      <x:c r="K94" s="21" t="str">
        <x:v>global average air and ocean temperatures</x:v>
      </x:c>
      <x:c r="L94" s="22" t="str">
        <x:v>EXACT</x:v>
      </x:c>
      <x:c r="M94" s="21" t="str">
        <x:v>SUCCEEDED_REUSED_BASELINE</x:v>
      </x:c>
      <x:c r="N94" s="21" t="str">
        <x:v>FT-Q-V01-063</x:v>
      </x:c>
      <x:c r="O94" s="22" t="str">
        <x:v>1842</x:v>
      </x:c>
      <x:c r="P94" s="22" t="str">
        <x:v>2022</x:v>
      </x:c>
      <x:c r="Q94" s="22" t="str">
        <x:v>1949</x:v>
      </x:c>
      <x:c r="R94" s="22" t="str">
        <x:v>28</x:v>
      </x:c>
      <x:c r="S94" s="22" t="str">
        <x:v>2010</x:v>
      </x:c>
      <x:c r="T94" s="43" t="str">
        <x:v>9.683230217660821e-09</x:v>
      </x:c>
      <x:c r="U94" s="43" t="str">
        <x:v>2.0195753541729644e-09</x:v>
      </x:c>
      <x:c r="V94" s="43" t="str">
        <x:v>3.239182859438028e-09</x:v>
      </x:c>
      <x:c r="W94" s="43" t="str">
        <x:v>2.0195753541729644e-09</x:v>
      </x:c>
      <x:c r="X94" s="43" t="str">
        <x:v>8.854073030306608e-09</x:v>
      </x:c>
      <x:c r="Y94" s="43" t="str">
        <x:v>0.0</x:v>
      </x:c>
      <x:c r="Z94" s="43" t="str">
        <x:v>0.0</x:v>
      </x:c>
      <x:c r="AA94" s="43" t="str">
        <x:v>0.0</x:v>
      </x:c>
      <x:c r="AB94" s="43" t="str">
        <x:v>1.8775994647945993e-10</x:v>
      </x:c>
      <x:c r="AC94" s="43" t="str">
        <x:v>3.851390761866469e-09</x:v>
      </x:c>
      <x:c r="AD94" s="43" t="str">
        <x:v>2.0195753541729644e-09</x:v>
      </x:c>
      <x:c r="AE94" s="43" t="str">
        <x:v>2.896688888753829e-09</x:v>
      </x:c>
      <x:c r="AF94" s="43" t="str">
        <x:v>9.299532255369058e-10</x:v>
      </x:c>
      <x:c r="AG94" s="23" t="str">
        <x:v>Candidate surface form is directly representable in the public Ngram interface. Complete 1842–2022 unsmoothed series reused from the audited quantitative-v0.1 baseline.</x:v>
      </x:c>
    </x:row>
    <x:row r="95" ht="19" customHeight="1">
      <x:c r="A95" s="20" t="str">
        <x:v>FT-SEED-R1B-P-0607-04</x:v>
      </x:c>
      <x:c r="B95" s="22" t="str">
        <x:v>2006–2007</x:v>
      </x:c>
      <x:c r="C95" s="22" t="str">
        <x:v>4</x:v>
      </x:c>
      <x:c r="D95" s="21" t="str">
        <x:v>global surface temperature</x:v>
      </x:c>
      <x:c r="E95" s="21" t="str">
        <x:v>global aggregate temperature</x:v>
      </x:c>
      <x:c r="F95" s="22" t="str">
        <x:v>temperature_threshold</x:v>
      </x:c>
      <x:c r="G95" s="22" t="str">
        <x:v>A</x:v>
      </x:c>
      <x:c r="H95" s="22" t="str">
        <x:v>V1</x:v>
      </x:c>
      <x:c r="I95" s="22" t="str">
        <x:v>E5</x:v>
      </x:c>
      <x:c r="J95" s="21" t="str">
        <x:v>RECONSTRUCTED_FROM_REPORT; Fear of Temperature_ Stratified Lexical Expansion, Voice Mapping, and Semantic-Relational Pre-Valida.pdf; p.10; project candidate FT-SEED-R1B-P-0607-04; original visible ID not available</x:v>
      </x:c>
      <x:c r="K95" s="21" t="str">
        <x:v>global surface temperature</x:v>
      </x:c>
      <x:c r="L95" s="22" t="str">
        <x:v>EXACT</x:v>
      </x:c>
      <x:c r="M95" s="21" t="str">
        <x:v>SUCCEEDED_REUSED_BASELINE</x:v>
      </x:c>
      <x:c r="N95" s="21" t="str">
        <x:v>FT-Q-V01-064</x:v>
      </x:c>
      <x:c r="O95" s="22" t="str">
        <x:v>1842</x:v>
      </x:c>
      <x:c r="P95" s="22" t="str">
        <x:v>2022</x:v>
      </x:c>
      <x:c r="Q95" s="22" t="str">
        <x:v>1869</x:v>
      </x:c>
      <x:c r="R95" s="22" t="str">
        <x:v>72</x:v>
      </x:c>
      <x:c r="S95" s="22" t="str">
        <x:v>2022</x:v>
      </x:c>
      <x:c r="T95" s="43" t="str">
        <x:v>3.419688007766375e-08</x:v>
      </x:c>
      <x:c r="U95" s="43" t="str">
        <x:v>1.4327226731392084e-08</x:v>
      </x:c>
      <x:c r="V95" s="43" t="str">
        <x:v>1.659791600341909e-08</x:v>
      </x:c>
      <x:c r="W95" s="43" t="str">
        <x:v>1.4327226731392084e-08</x:v>
      </x:c>
      <x:c r="X95" s="43" t="str">
        <x:v>2.3729921888593353e-08</x:v>
      </x:c>
      <x:c r="Y95" s="43" t="str">
        <x:v>0.0</x:v>
      </x:c>
      <x:c r="Z95" s="43" t="str">
        <x:v>0.0</x:v>
      </x:c>
      <x:c r="AA95" s="43" t="str">
        <x:v>7.4062531524310415e-09</x:v>
      </x:c>
      <x:c r="AB95" s="43" t="str">
        <x:v>1.4417223248575084e-08</x:v>
      </x:c>
      <x:c r="AC95" s="43" t="str">
        <x:v>1.4237230214209085e-08</x:v>
      </x:c>
      <x:c r="AD95" s="43" t="str">
        <x:v>1.4327226731392084e-08</x:v>
      </x:c>
      <x:c r="AE95" s="43" t="str">
        <x:v>2.6543018408209385e-08</x:v>
      </x:c>
      <x:c r="AF95" s="43" t="str">
        <x:v>3.419688007766375e-08</x:v>
      </x:c>
      <x:c r="AG95" s="23" t="str">
        <x:v>Candidate surface form is directly representable in the public Ngram interface. Complete 1842–2022 unsmoothed series reused from the audited quantitative-v0.1 baseline.</x:v>
      </x:c>
    </x:row>
    <x:row r="96" ht="19" customHeight="1">
      <x:c r="A96" s="20" t="str">
        <x:v>FT-SEED-R1B-P-0607-05</x:v>
      </x:c>
      <x:c r="B96" s="22" t="str">
        <x:v>2006–2007</x:v>
      </x:c>
      <x:c r="C96" s="22" t="str">
        <x:v>5</x:v>
      </x:c>
      <x:c r="D96" s="21" t="str">
        <x:v>temperature increase</x:v>
      </x:c>
      <x:c r="E96" s="21" t="str">
        <x:v>temperature increase</x:v>
      </x:c>
      <x:c r="F96" s="22" t="str">
        <x:v>warming</x:v>
      </x:c>
      <x:c r="G96" s="22" t="str">
        <x:v>A</x:v>
      </x:c>
      <x:c r="H96" s="22" t="str">
        <x:v>V1</x:v>
      </x:c>
      <x:c r="I96" s="22" t="str">
        <x:v>E5</x:v>
      </x:c>
      <x:c r="J96" s="21" t="str">
        <x:v>RECONSTRUCTED_FROM_REPORT; Fear of Temperature_ Stratified Lexical Expansion, Voice Mapping, and Semantic-Relational Pre-Valida.pdf; p.10; project candidate FT-SEED-R1B-P-0607-05; original visible ID not available</x:v>
      </x:c>
      <x:c r="K96" s="21" t="str">
        <x:v>temperature increase</x:v>
      </x:c>
      <x:c r="L96" s="22" t="str">
        <x:v>EXACT</x:v>
      </x:c>
      <x:c r="M96" s="21" t="str">
        <x:v>SUCCEEDED_REUSED_BASELINE</x:v>
      </x:c>
      <x:c r="N96" s="21" t="str">
        <x:v>FT-Q-V01-065</x:v>
      </x:c>
      <x:c r="O96" s="22" t="str">
        <x:v>1842</x:v>
      </x:c>
      <x:c r="P96" s="22" t="str">
        <x:v>2022</x:v>
      </x:c>
      <x:c r="Q96" s="22" t="str">
        <x:v>1842</x:v>
      </x:c>
      <x:c r="R96" s="22" t="str">
        <x:v>180</x:v>
      </x:c>
      <x:c r="S96" s="22" t="str">
        <x:v>2012</x:v>
      </x:c>
      <x:c r="T96" s="43" t="str">
        <x:v>4.5873130977147625e-07</x:v>
      </x:c>
      <x:c r="U96" s="43" t="str">
        <x:v>3.1799401488397105e-07</x:v>
      </x:c>
      <x:c r="V96" s="43" t="str">
        <x:v>3.186941229353646e-07</x:v>
      </x:c>
      <x:c r="W96" s="43" t="str">
        <x:v>3.18835105005133e-07</x:v>
      </x:c>
      <x:c r="X96" s="43" t="str">
        <x:v>3.209835044426512e-07</x:v>
      </x:c>
      <x:c r="Y96" s="43" t="str">
        <x:v>2.579953362058518e-09</x:v>
      </x:c>
      <x:c r="Z96" s="43" t="str">
        <x:v>7.439646565465807e-08</x:v>
      </x:c>
      <x:c r="AA96" s="43" t="str">
        <x:v>2.921836819713697e-07</x:v>
      </x:c>
      <x:c r="AB96" s="43" t="str">
        <x:v>3.161227772885411e-07</x:v>
      </x:c>
      <x:c r="AC96" s="43" t="str">
        <x:v>3.19865252479401e-07</x:v>
      </x:c>
      <x:c r="AD96" s="43" t="str">
        <x:v>3.1799401488397105e-07</x:v>
      </x:c>
      <x:c r="AE96" s="43" t="str">
        <x:v>3.0165019931915893e-07</x:v>
      </x:c>
      <x:c r="AF96" s="43" t="str">
        <x:v>3.5537879566893693e-07</x:v>
      </x:c>
      <x:c r="AG96" s="23" t="str">
        <x:v>Candidate surface form is directly representable in the public Ngram interface. Complete 1842–2022 unsmoothed series reused from the audited quantitative-v0.1 baseline.</x:v>
      </x:c>
    </x:row>
    <x:row r="97" ht="19" customHeight="1">
      <x:c r="A97" s="20" t="str">
        <x:v>FT-SEED-R1B-P-0607-06</x:v>
      </x:c>
      <x:c r="B97" s="22" t="str">
        <x:v>2006–2007</x:v>
      </x:c>
      <x:c r="C97" s="22" t="str">
        <x:v>6</x:v>
      </x:c>
      <x:c r="D97" s="21" t="str">
        <x:v>rising global average sea level</x:v>
      </x:c>
      <x:c r="E97" s="21" t="str">
        <x:v>generic damage</x:v>
      </x:c>
      <x:c r="F97" s="22" t="str">
        <x:v>harm_loss_consequences</x:v>
      </x:c>
      <x:c r="G97" s="22" t="str">
        <x:v>D</x:v>
      </x:c>
      <x:c r="H97" s="22" t="str">
        <x:v>V1</x:v>
      </x:c>
      <x:c r="I97" s="22" t="str">
        <x:v>E5</x:v>
      </x:c>
      <x:c r="J97" s="21" t="str">
        <x:v>RECONSTRUCTED_FROM_REPORT; Fear of Temperature_ Stratified Lexical Expansion, Voice Mapping, and Semantic-Relational Pre-Valida.pdf; p.10; project candidate FT-SEED-R1B-P-0607-06; original visible ID not available</x:v>
      </x:c>
      <x:c r="K97" s="21" t="str">
        <x:v>rising global average sea level</x:v>
      </x:c>
      <x:c r="L97" s="22" t="str">
        <x:v>EXACT</x:v>
      </x:c>
      <x:c r="M97" s="21" t="str">
        <x:v>SUCCEEDED_REUSED_BASELINE</x:v>
      </x:c>
      <x:c r="N97" s="21" t="str">
        <x:v>FT-Q-V01-066</x:v>
      </x:c>
      <x:c r="O97" s="22" t="str">
        <x:v>1842</x:v>
      </x:c>
      <x:c r="P97" s="22" t="str">
        <x:v>2022</x:v>
      </x:c>
      <x:c r="Q97" s="22" t="str">
        <x:v>1953</x:v>
      </x:c>
      <x:c r="R97" s="22" t="str">
        <x:v>25</x:v>
      </x:c>
      <x:c r="S97" s="22" t="str">
        <x:v>2008</x:v>
      </x:c>
      <x:c r="T97" s="43" t="str">
        <x:v>6.8787042728502e-09</x:v>
      </x:c>
      <x:c r="U97" s="43" t="str">
        <x:v>1.1101318753148348e-09</x:v>
      </x:c>
      <x:c r="V97" s="43" t="str">
        <x:v>2.2895084612895023e-09</x:v>
      </x:c>
      <x:c r="W97" s="43" t="str">
        <x:v>1.1396647861539044e-09</x:v>
      </x:c>
      <x:c r="X97" s="43" t="str">
        <x:v>6.8787042728502e-09</x:v>
      </x:c>
      <x:c r="Y97" s="43" t="str">
        <x:v>0.0</x:v>
      </x:c>
      <x:c r="Z97" s="43" t="str">
        <x:v>0.0</x:v>
      </x:c>
      <x:c r="AA97" s="43" t="str">
        <x:v>0.0</x:v>
      </x:c>
      <x:c r="AB97" s="43" t="str">
        <x:v>0.0</x:v>
      </x:c>
      <x:c r="AC97" s="43" t="str">
        <x:v>2.2202637506296696e-09</x:v>
      </x:c>
      <x:c r="AD97" s="43" t="str">
        <x:v>1.1101318753148348e-09</x:v>
      </x:c>
      <x:c r="AE97" s="43" t="str">
        <x:v>2.130764897856352e-09</x:v>
      </x:c>
      <x:c r="AF97" s="43" t="str">
        <x:v>6.523762641208464e-10</x:v>
      </x:c>
      <x:c r="AG97" s="23" t="str">
        <x:v>Candidate surface form is directly representable in the public Ngram interface. Complete 1842–2022 unsmoothed series reused from the audited quantitative-v0.1 baseline.</x:v>
      </x:c>
    </x:row>
    <x:row r="98" ht="19" customHeight="1">
      <x:c r="A98" s="20" t="str">
        <x:v>FT-SEED-R1B-P-0607-07</x:v>
      </x:c>
      <x:c r="B98" s="22" t="str">
        <x:v>2006–2007</x:v>
      </x:c>
      <x:c r="C98" s="22" t="str">
        <x:v>7</x:v>
      </x:c>
      <x:c r="D98" s="21" t="str">
        <x:v>widespread melting of snow and ice</x:v>
      </x:c>
      <x:c r="E98" s="21" t="str">
        <x:v>generic damage</x:v>
      </x:c>
      <x:c r="F98" s="22" t="str">
        <x:v>harm_loss_consequences</x:v>
      </x:c>
      <x:c r="G98" s="22" t="str">
        <x:v>D</x:v>
      </x:c>
      <x:c r="H98" s="22" t="str">
        <x:v>V1</x:v>
      </x:c>
      <x:c r="I98" s="22" t="str">
        <x:v>E5</x:v>
      </x:c>
      <x:c r="J98" s="21" t="str">
        <x:v>RECONSTRUCTED_FROM_REPORT; Fear of Temperature_ Stratified Lexical Expansion, Voice Mapping, and Semantic-Relational Pre-Valida.pdf; p.10; project candidate FT-SEED-R1B-P-0607-07; original visible ID not available</x:v>
      </x:c>
      <x:c r="K98" s="21" t="str">
        <x:v>widespread melting of snow and ice</x:v>
      </x:c>
      <x:c r="L98" s="22" t="str">
        <x:v>EXACT</x:v>
      </x:c>
      <x:c r="M98" s="21" t="str">
        <x:v>SUCCEEDED_REUSED_BASELINE</x:v>
      </x:c>
      <x:c r="N98" s="21" t="str">
        <x:v>FT-Q-V01-067</x:v>
      </x:c>
      <x:c r="O98" s="22" t="str">
        <x:v>1842</x:v>
      </x:c>
      <x:c r="P98" s="22" t="str">
        <x:v>2022</x:v>
      </x:c>
      <x:c r="Q98" s="22" t="str">
        <x:v>1949</x:v>
      </x:c>
      <x:c r="R98" s="22" t="str">
        <x:v>30</x:v>
      </x:c>
      <x:c r="S98" s="22" t="str">
        <x:v>2008</x:v>
      </x:c>
      <x:c r="T98" s="43" t="str">
        <x:v>1.1227990981410585e-08</x:v>
      </x:c>
      <x:c r="U98" s="43" t="str">
        <x:v>2.6622005572241036e-09</x:v>
      </x:c>
      <x:c r="V98" s="43" t="str">
        <x:v>4.169851873514485e-09</x:v>
      </x:c>
      <x:c r="W98" s="43" t="str">
        <x:v>2.6622005572241036e-09</x:v>
      </x:c>
      <x:c r="X98" s="43" t="str">
        <x:v>1.1227990981410585e-08</x:v>
      </x:c>
      <x:c r="Y98" s="43" t="str">
        <x:v>0.0</x:v>
      </x:c>
      <x:c r="Z98" s="43" t="str">
        <x:v>0.0</x:v>
      </x:c>
      <x:c r="AA98" s="43" t="str">
        <x:v>0.0</x:v>
      </x:c>
      <x:c r="AB98" s="43" t="str">
        <x:v>2.503466045578051e-10</x:v>
      </x:c>
      <x:c r="AC98" s="43" t="str">
        <x:v>5.074054509890402e-09</x:v>
      </x:c>
      <x:c r="AD98" s="43" t="str">
        <x:v>2.6622005572241036e-09</x:v>
      </x:c>
      <x:c r="AE98" s="43" t="str">
        <x:v>3.451374075424951e-09</x:v>
      </x:c>
      <x:c r="AF98" s="43" t="str">
        <x:v>1.1043194136917123e-09</x:v>
      </x:c>
      <x:c r="AG98" s="23" t="str">
        <x:v>Candidate surface form is directly representable in the public Ngram interface. Complete 1842–2022 unsmoothed series reused from the audited quantitative-v0.1 baseline.</x:v>
      </x:c>
    </x:row>
    <x:row r="99" ht="19" customHeight="1">
      <x:c r="A99" s="20" t="str">
        <x:v>FT-SEED-R1B-P-0607-08</x:v>
      </x:c>
      <x:c r="B99" s="22" t="str">
        <x:v>2006–2007</x:v>
      </x:c>
      <x:c r="C99" s="22" t="str">
        <x:v>8</x:v>
      </x:c>
      <x:c r="D99" s="21" t="str">
        <x:v>anthropogenic CO₂</x:v>
      </x:c>
      <x:c r="E99" s="21" t="str">
        <x:v>anthropogenic carbon-dioxide production</x:v>
      </x:c>
      <x:c r="F99" s="22" t="str">
        <x:v>carbon_greenhouse</x:v>
      </x:c>
      <x:c r="G99" s="22" t="str">
        <x:v>B</x:v>
      </x:c>
      <x:c r="H99" s="22" t="str">
        <x:v>V1</x:v>
      </x:c>
      <x:c r="I99" s="22" t="str">
        <x:v>E5</x:v>
      </x:c>
      <x:c r="J99" s="21" t="str">
        <x:v>RECONSTRUCTED_FROM_REPORT; Fear of Temperature_ Stratified Lexical Expansion, Voice Mapping, and Semantic-Relational Pre-Valida.pdf; p.10; project candidate FT-SEED-R1B-P-0607-08; original visible ID not available</x:v>
      </x:c>
      <x:c r="K99" s="21" t="str">
        <x:v>anthropogenic carbon dioxide</x:v>
      </x:c>
      <x:c r="L99" s="22" t="str">
        <x:v>VALIDATED_ALIAS</x:v>
      </x:c>
      <x:c r="M99" s="21" t="str">
        <x:v>SUCCEEDED_NEW</x:v>
      </x:c>
      <x:c r="N99" s="21" t="str">
        <x:v>FT-Q-V01-068</x:v>
      </x:c>
      <x:c r="O99" s="22" t="str">
        <x:v>1842</x:v>
      </x:c>
      <x:c r="P99" s="22" t="str">
        <x:v>2022</x:v>
      </x:c>
      <x:c r="Q99" s="22" t="str">
        <x:v>1869</x:v>
      </x:c>
      <x:c r="R99" s="22" t="str">
        <x:v>58</x:v>
      </x:c>
      <x:c r="S99" s="22" t="str">
        <x:v>2018</x:v>
      </x:c>
      <x:c r="T99" s="43" t="str">
        <x:v>1.3785233732299673e-08</x:v>
      </x:c>
      <x:c r="U99" s="43" t="str">
        <x:v>8.282402000348021e-09</x:v>
      </x:c>
      <x:c r="V99" s="43" t="str">
        <x:v>8.289992976806548e-09</x:v>
      </x:c>
      <x:c r="W99" s="43" t="str">
        <x:v>8.297583953265075e-09</x:v>
      </x:c>
      <x:c r="X99" s="43" t="str">
        <x:v>9.232333120223757e-09</x:v>
      </x:c>
      <x:c r="Y99" s="43" t="str">
        <x:v>0.0</x:v>
      </x:c>
      <x:c r="Z99" s="43" t="str">
        <x:v>0.0</x:v>
      </x:c>
      <x:c r="AA99" s="43" t="str">
        <x:v>1.5136867315135305e-09</x:v>
      </x:c>
      <x:c r="AB99" s="43" t="str">
        <x:v>7.332470880472286e-09</x:v>
      </x:c>
      <x:c r="AC99" s="43" t="str">
        <x:v>9.232333120223757e-09</x:v>
      </x:c>
      <x:c r="AD99" s="43" t="str">
        <x:v>8.282402000348021e-09</x:v>
      </x:c>
      <x:c r="AE99" s="43" t="str">
        <x:v>9.44751499254437e-09</x:v>
      </x:c>
      <x:c r="AF99" s="43" t="str">
        <x:v>1.2155737000307809e-08</x:v>
      </x:c>
      <x:c r="AG99" s="23" t="str">
        <x:v>CO₂ is expanded to its standard full lexical form; referent and historical sense are unchanged. New unsmoothed 1842–2022 series retrieved for the candidate audit.</x:v>
      </x:c>
    </x:row>
    <x:row r="100" ht="19" customHeight="1">
      <x:c r="A100" s="20" t="str">
        <x:v>FT-SEED-R1B-P-0607-09</x:v>
      </x:c>
      <x:c r="B100" s="22" t="str">
        <x:v>2006–2007</x:v>
      </x:c>
      <x:c r="C100" s="22" t="str">
        <x:v>9</x:v>
      </x:c>
      <x:c r="D100" s="21" t="str">
        <x:v>anthropogenic GHG emissions</x:v>
      </x:c>
      <x:c r="E100" s="21" t="str">
        <x:v>anthropogenic greenhouse-gas emissions</x:v>
      </x:c>
      <x:c r="F100" s="22" t="str">
        <x:v>carbon_greenhouse</x:v>
      </x:c>
      <x:c r="G100" s="22" t="str">
        <x:v>B</x:v>
      </x:c>
      <x:c r="H100" s="22" t="str">
        <x:v>V1</x:v>
      </x:c>
      <x:c r="I100" s="22" t="str">
        <x:v>E5</x:v>
      </x:c>
      <x:c r="J100" s="21" t="str">
        <x:v>RECONSTRUCTED_FROM_REPORT; Fear of Temperature_ Stratified Lexical Expansion, Voice Mapping, and Semantic-Relational Pre-Valida.pdf; p.10; project candidate FT-SEED-R1B-P-0607-09; original visible ID not available</x:v>
      </x:c>
      <x:c r="K100" s="21" t="str">
        <x:v>anthropogenic GHG emissions</x:v>
      </x:c>
      <x:c r="L100" s="22" t="str">
        <x:v>EXACT</x:v>
      </x:c>
      <x:c r="M100" s="21" t="str">
        <x:v>SUCCEEDED_REUSED_BASELINE</x:v>
      </x:c>
      <x:c r="N100" s="21" t="str">
        <x:v>FT-Q-V01-069</x:v>
      </x:c>
      <x:c r="O100" s="22" t="str">
        <x:v>1842</x:v>
      </x:c>
      <x:c r="P100" s="22" t="str">
        <x:v>2022</x:v>
      </x:c>
      <x:c r="Q100" s="22" t="str">
        <x:v>1901</x:v>
      </x:c>
      <x:c r="R100" s="22" t="str">
        <x:v>36</x:v>
      </x:c>
      <x:c r="S100" s="22" t="str">
        <x:v>2022</x:v>
      </x:c>
      <x:c r="T100" s="43" t="str">
        <x:v>1.6223415388871842e-08</x:v>
      </x:c>
      <x:c r="U100" s="43" t="str">
        <x:v>2.250436378914422e-09</x:v>
      </x:c>
      <x:c r="V100" s="43" t="str">
        <x:v>2.7409669048350516e-09</x:v>
      </x:c>
      <x:c r="W100" s="43" t="str">
        <x:v>2.5622542143555194e-09</x:v>
      </x:c>
      <x:c r="X100" s="43" t="str">
        <x:v>4.253960045330629e-09</x:v>
      </x:c>
      <x:c r="Y100" s="43" t="str">
        <x:v>0.0</x:v>
      </x:c>
      <x:c r="Z100" s="43" t="str">
        <x:v>0.0</x:v>
      </x:c>
      <x:c r="AA100" s="43" t="str">
        <x:v>0.0</x:v>
      </x:c>
      <x:c r="AB100" s="43" t="str">
        <x:v>1.5853991452985383e-09</x:v>
      </x:c>
      <x:c r="AC100" s="43" t="str">
        <x:v>2.915473612530306e-09</x:v>
      </x:c>
      <x:c r="AD100" s="43" t="str">
        <x:v>2.250436378914422e-09</x:v>
      </x:c>
      <x:c r="AE100" s="43" t="str">
        <x:v>1.4396213138256897e-08</x:v>
      </x:c>
      <x:c r="AF100" s="43" t="str">
        <x:v>1.6223415388871842e-08</x:v>
      </x:c>
      <x:c r="AG100" s="23" t="str">
        <x:v>Candidate surface form is directly representable in the public Ngram interface. Complete 1842–2022 unsmoothed series reused from the audited quantitative-v0.1 baseline.</x:v>
      </x:c>
    </x:row>
    <x:row r="101" ht="19" customHeight="1">
      <x:c r="A101" s="20" t="str">
        <x:v>FT-SEED-R1B-P-0607-10</x:v>
      </x:c>
      <x:c r="B101" s="22" t="str">
        <x:v>2006–2007</x:v>
      </x:c>
      <x:c r="C101" s="22" t="str">
        <x:v>10</x:v>
      </x:c>
      <x:c r="D101" s="21" t="str">
        <x:v>climate change</x:v>
      </x:c>
      <x:c r="E101" s="21" t="str">
        <x:v>modern climate change</x:v>
      </x:c>
      <x:c r="F101" s="22" t="str">
        <x:v>climate</x:v>
      </x:c>
      <x:c r="G101" s="22" t="str">
        <x:v>B</x:v>
      </x:c>
      <x:c r="H101" s="22" t="str">
        <x:v>V2</x:v>
      </x:c>
      <x:c r="I101" s="22" t="str">
        <x:v>E5</x:v>
      </x:c>
      <x:c r="J101" s="21" t="str">
        <x:v>RECONSTRUCTED_FROM_REPORT; Fear of Temperature_ Stratified Lexical Expansion, Voice Mapping, and Semantic-Relational Pre-Valida.pdf; p.10; project candidate FT-SEED-R1B-P-0607-10; original visible ID not available</x:v>
      </x:c>
      <x:c r="K101" s="21" t="str">
        <x:v>climate change</x:v>
      </x:c>
      <x:c r="L101" s="22" t="str">
        <x:v>EXACT</x:v>
      </x:c>
      <x:c r="M101" s="21" t="str">
        <x:v>SUCCEEDED_REUSED_BASELINE</x:v>
      </x:c>
      <x:c r="N101" s="21" t="str">
        <x:v>FT-Q-V01-070</x:v>
      </x:c>
      <x:c r="O101" s="22" t="str">
        <x:v>1842</x:v>
      </x:c>
      <x:c r="P101" s="22" t="str">
        <x:v>2022</x:v>
      </x:c>
      <x:c r="Q101" s="22" t="str">
        <x:v>1842</x:v>
      </x:c>
      <x:c r="R101" s="22" t="str">
        <x:v>180</x:v>
      </x:c>
      <x:c r="S101" s="22" t="str">
        <x:v>2022</x:v>
      </x:c>
      <x:c r="T101" s="43" t="str">
        <x:v>2.890008815206735e-05</x:v>
      </x:c>
      <x:c r="U101" s="43" t="str">
        <x:v>1.095392866206149e-05</x:v>
      </x:c>
      <x:c r="V101" s="43" t="str">
        <x:v>1.1502200587204872e-05</x:v>
      </x:c>
      <x:c r="W101" s="43" t="str">
        <x:v>1.095392866206149e-05</x:v>
      </x:c>
      <x:c r="X101" s="43" t="str">
        <x:v>1.6101769033910474e-05</x:v>
      </x:c>
      <x:c r="Y101" s="43" t="str">
        <x:v>5.159906557583582e-09</x:v>
      </x:c>
      <x:c r="Z101" s="43" t="str">
        <x:v>2.5615549126278836e-09</x:v>
      </x:c>
      <x:c r="AA101" s="43" t="str">
        <x:v>1.2407935109301493e-06</x:v>
      </x:c>
      <x:c r="AB101" s="43" t="str">
        <x:v>8.716473492563492e-06</x:v>
      </x:c>
      <x:c r="AC101" s="43" t="str">
        <x:v>1.3191383831559489e-05</x:v>
      </x:c>
      <x:c r="AD101" s="43" t="str">
        <x:v>1.095392866206149e-05</x:v>
      </x:c>
      <x:c r="AE101" s="43" t="str">
        <x:v>1.967096413684616e-05</x:v>
      </x:c>
      <x:c r="AF101" s="43" t="str">
        <x:v>2.890008815206735e-05</x:v>
      </x:c>
      <x:c r="AG101" s="23" t="str">
        <x:v>Candidate surface form is directly representable in the public Ngram interface. Complete 1842–2022 unsmoothed series reused from the audited quantitative-v0.1 baseline.</x:v>
      </x:c>
    </x:row>
    <x:row r="102" ht="19" customHeight="1">
      <x:c r="A102" s="20" t="str">
        <x:v>FT-SEED-R1B-P-0607-11</x:v>
      </x:c>
      <x:c r="B102" s="22" t="str">
        <x:v>2006–2007</x:v>
      </x:c>
      <x:c r="C102" s="22" t="str">
        <x:v>11</x:v>
      </x:c>
      <x:c r="D102" s="21" t="str">
        <x:v>global warming</x:v>
      </x:c>
      <x:c r="E102" s="21" t="str">
        <x:v>global warming as issue label</x:v>
      </x:c>
      <x:c r="F102" s="22" t="str">
        <x:v>warming</x:v>
      </x:c>
      <x:c r="G102" s="22" t="str">
        <x:v>A</x:v>
      </x:c>
      <x:c r="H102" s="22" t="str">
        <x:v>V3</x:v>
      </x:c>
      <x:c r="I102" s="22" t="str">
        <x:v>E5</x:v>
      </x:c>
      <x:c r="J102" s="21" t="str">
        <x:v>RECONSTRUCTED_FROM_REPORT; Fear of Temperature_ Stratified Lexical Expansion, Voice Mapping, and Semantic-Relational Pre-Valida.pdf; p.10; project candidate FT-SEED-R1B-P-0607-11; original visible ID not available</x:v>
      </x:c>
      <x:c r="K102" s="21" t="str">
        <x:v>global warming</x:v>
      </x:c>
      <x:c r="L102" s="22" t="str">
        <x:v>EXACT</x:v>
      </x:c>
      <x:c r="M102" s="21" t="str">
        <x:v>SUCCEEDED_REUSED_BASELINE</x:v>
      </x:c>
      <x:c r="N102" s="21" t="str">
        <x:v>FT-Q-V01-071</x:v>
      </x:c>
      <x:c r="O102" s="22" t="str">
        <x:v>1842</x:v>
      </x:c>
      <x:c r="P102" s="22" t="str">
        <x:v>2022</x:v>
      </x:c>
      <x:c r="Q102" s="22" t="str">
        <x:v>1843</x:v>
      </x:c>
      <x:c r="R102" s="22" t="str">
        <x:v>138</x:v>
      </x:c>
      <x:c r="S102" s="22" t="str">
        <x:v>2009</x:v>
      </x:c>
      <x:c r="T102" s="43" t="str">
        <x:v>5.445639571555194e-06</x:v>
      </x:c>
      <x:c r="U102" s="43" t="str">
        <x:v>4.17779036841065e-06</x:v>
      </x:c>
      <x:c r="V102" s="43" t="str">
        <x:v>4.173465091666245e-06</x:v>
      </x:c>
      <x:c r="W102" s="43" t="str">
        <x:v>4.17779036841065e-06</x:v>
      </x:c>
      <x:c r="X102" s="43" t="str">
        <x:v>5.431204078656937e-06</x:v>
      </x:c>
      <x:c r="Y102" s="43" t="str">
        <x:v>0.0</x:v>
      </x:c>
      <x:c r="Z102" s="43" t="str">
        <x:v>2.0046951182406403e-09</x:v>
      </x:c>
      <x:c r="AA102" s="43" t="str">
        <x:v>6.400895369296222e-07</x:v>
      </x:c>
      <x:c r="AB102" s="43" t="str">
        <x:v>3.3939363127816202e-06</x:v>
      </x:c>
      <x:c r="AC102" s="43" t="str">
        <x:v>4.9616444240396795e-06</x:v>
      </x:c>
      <x:c r="AD102" s="43" t="str">
        <x:v>4.17779036841065e-06</x:v>
      </x:c>
      <x:c r="AE102" s="43" t="str">
        <x:v>3.293586607857474e-06</x:v>
      </x:c>
      <x:c r="AF102" s="43" t="str">
        <x:v>3.963670369644401e-06</x:v>
      </x:c>
      <x:c r="AG102" s="23" t="str">
        <x:v>Candidate surface form is directly representable in the public Ngram interface. Complete 1842–2022 unsmoothed series reused from the audited quantitative-v0.1 baseline.</x:v>
      </x:c>
    </x:row>
    <x:row r="103" ht="19" customHeight="1">
      <x:c r="A103" s="20" t="str">
        <x:v>FT-SEED-R1B-P-0607-12</x:v>
      </x:c>
      <x:c r="B103" s="22" t="str">
        <x:v>2006–2007</x:v>
      </x:c>
      <x:c r="C103" s="22" t="str">
        <x:v>12</x:v>
      </x:c>
      <x:c r="D103" s="21" t="str">
        <x:v>serious global threat</x:v>
      </x:c>
      <x:c r="E103" s="21" t="str">
        <x:v>institutional climate threat</x:v>
      </x:c>
      <x:c r="F103" s="22" t="str">
        <x:v>danger_threat</x:v>
      </x:c>
      <x:c r="G103" s="22" t="str">
        <x:v>D</x:v>
      </x:c>
      <x:c r="H103" s="22" t="str">
        <x:v>V2</x:v>
      </x:c>
      <x:c r="I103" s="22" t="str">
        <x:v>E5</x:v>
      </x:c>
      <x:c r="J103" s="21" t="str">
        <x:v>RECONSTRUCTED_FROM_REPORT; Fear of Temperature_ Stratified Lexical Expansion, Voice Mapping, and Semantic-Relational Pre-Valida.pdf; p.10; project candidate FT-SEED-R1B-P-0607-12; original visible ID not available</x:v>
      </x:c>
      <x:c r="K103" s="21" t="str">
        <x:v>serious global threat</x:v>
      </x:c>
      <x:c r="L103" s="22" t="str">
        <x:v>EXACT</x:v>
      </x:c>
      <x:c r="M103" s="21" t="str">
        <x:v>SUCCEEDED_REUSED_BASELINE</x:v>
      </x:c>
      <x:c r="N103" s="21" t="str">
        <x:v>FT-Q-V01-072</x:v>
      </x:c>
      <x:c r="O103" s="22" t="str">
        <x:v>1842</x:v>
      </x:c>
      <x:c r="P103" s="22" t="str">
        <x:v>2022</x:v>
      </x:c>
      <x:c r="Q103" s="22" t="str">
        <x:v>1946</x:v>
      </x:c>
      <x:c r="R103" s="22" t="str">
        <x:v>51</x:v>
      </x:c>
      <x:c r="S103" s="22" t="str">
        <x:v>2022</x:v>
      </x:c>
      <x:c r="T103" s="43" t="str">
        <x:v>2.3176307539785057e-09</x:v>
      </x:c>
      <x:c r="U103" s="43" t="str">
        <x:v>1.2957637740562689e-09</x:v>
      </x:c>
      <x:c r="V103" s="43" t="str">
        <x:v>1.16850794318335e-09</x:v>
      </x:c>
      <x:c r="W103" s="43" t="str">
        <x:v>1.0412521123104312e-09</x:v>
      </x:c>
      <x:c r="X103" s="43" t="str">
        <x:v>1.749284272989371e-09</x:v>
      </x:c>
      <x:c r="Y103" s="43" t="str">
        <x:v>0.0</x:v>
      </x:c>
      <x:c r="Z103" s="43" t="str">
        <x:v>0.0</x:v>
      </x:c>
      <x:c r="AA103" s="43" t="str">
        <x:v>7.568433657567653e-10</x:v>
      </x:c>
      <x:c r="AB103" s="43" t="str">
        <x:v>8.422432751231668e-10</x:v>
      </x:c>
      <x:c r="AC103" s="43" t="str">
        <x:v>1.749284272989371e-09</x:v>
      </x:c>
      <x:c r="AD103" s="43" t="str">
        <x:v>1.2957637740562689e-09</x:v>
      </x:c>
      <x:c r="AE103" s="43" t="str">
        <x:v>6.498290794354489e-10</x:v>
      </x:c>
      <x:c r="AF103" s="43" t="str">
        <x:v>2.3176307539785057e-09</x:v>
      </x:c>
      <x:c r="AG103" s="23" t="str">
        <x:v>Candidate surface form is directly representable in the public Ngram interface. Complete 1842–2022 unsmoothed series reused from the audited quantitative-v0.1 baseline.</x:v>
      </x:c>
    </x:row>
    <x:row r="104" ht="19" customHeight="1">
      <x:c r="A104" s="20" t="str">
        <x:v>FT-SEED-R1B-P-0607-13</x:v>
      </x:c>
      <x:c r="B104" s="22" t="str">
        <x:v>2006–2007</x:v>
      </x:c>
      <x:c r="C104" s="22" t="str">
        <x:v>13</x:v>
      </x:c>
      <x:c r="D104" s="21" t="str">
        <x:v>urgent global response</x:v>
      </x:c>
      <x:c r="E104" s="21" t="str">
        <x:v>generic damage</x:v>
      </x:c>
      <x:c r="F104" s="22" t="str">
        <x:v>harm_loss_consequences</x:v>
      </x:c>
      <x:c r="G104" s="22" t="str">
        <x:v>D</x:v>
      </x:c>
      <x:c r="H104" s="22" t="str">
        <x:v>V2</x:v>
      </x:c>
      <x:c r="I104" s="22" t="str">
        <x:v>E5</x:v>
      </x:c>
      <x:c r="J104" s="21" t="str">
        <x:v>RECONSTRUCTED_FROM_REPORT; Fear of Temperature_ Stratified Lexical Expansion, Voice Mapping, and Semantic-Relational Pre-Valida.pdf; p.10; project candidate FT-SEED-R1B-P-0607-13; original visible ID not available</x:v>
      </x:c>
      <x:c r="K104" s="21" t="str">
        <x:v>urgent global response</x:v>
      </x:c>
      <x:c r="L104" s="22" t="str">
        <x:v>EXACT</x:v>
      </x:c>
      <x:c r="M104" s="21" t="str">
        <x:v>SUCCEEDED_REUSED_BASELINE</x:v>
      </x:c>
      <x:c r="N104" s="21" t="str">
        <x:v>FT-Q-V01-073</x:v>
      </x:c>
      <x:c r="O104" s="22" t="str">
        <x:v>1842</x:v>
      </x:c>
      <x:c r="P104" s="22" t="str">
        <x:v>2022</x:v>
      </x:c>
      <x:c r="Q104" s="22" t="str">
        <x:v>1946</x:v>
      </x:c>
      <x:c r="R104" s="22" t="str">
        <x:v>34</x:v>
      </x:c>
      <x:c r="S104" s="22" t="str">
        <x:v>2007</x:v>
      </x:c>
      <x:c r="T104" s="43" t="str">
        <x:v>1.6521017887072276e-09</x:v>
      </x:c>
      <x:c r="U104" s="43" t="str">
        <x:v>1.1480850992118263e-09</x:v>
      </x:c>
      <x:c r="V104" s="43" t="str">
        <x:v>9.44838009914184e-10</x:v>
      </x:c>
      <x:c r="W104" s="43" t="str">
        <x:v>9.883171225855136e-10</x:v>
      </x:c>
      <x:c r="X104" s="43" t="str">
        <x:v>1.6521017887072276e-09</x:v>
      </x:c>
      <x:c r="Y104" s="43" t="str">
        <x:v>0.0</x:v>
      </x:c>
      <x:c r="Z104" s="43" t="str">
        <x:v>0.0</x:v>
      </x:c>
      <x:c r="AA104" s="43" t="str">
        <x:v>5.4060242393738633e-11</x:v>
      </x:c>
      <x:c r="AB104" s="43" t="str">
        <x:v>6.440684097164251e-10</x:v>
      </x:c>
      <x:c r="AC104" s="43" t="str">
        <x:v>1.6521017887072276e-09</x:v>
      </x:c>
      <x:c r="AD104" s="43" t="str">
        <x:v>1.1480850992118263e-09</x:v>
      </x:c>
      <x:c r="AE104" s="43" t="str">
        <x:v>7.997896234179791e-10</x:v>
      </x:c>
      <x:c r="AF104" s="43" t="str">
        <x:v>3.7838870925455126e-10</x:v>
      </x:c>
      <x:c r="AG104" s="23" t="str">
        <x:v>Candidate surface form is directly representable in the public Ngram interface. Complete 1842–2022 unsmoothed series reused from the audited quantitative-v0.1 baseline.</x:v>
      </x:c>
    </x:row>
    <x:row r="105" ht="19" customHeight="1">
      <x:c r="A105" s="20" t="str">
        <x:v>FT-SEED-R1B-P-0607-14</x:v>
      </x:c>
      <x:c r="B105" s="22" t="str">
        <x:v>2006–2007</x:v>
      </x:c>
      <x:c r="C105" s="22" t="str">
        <x:v>14</x:v>
      </x:c>
      <x:c r="D105" s="21" t="str">
        <x:v>costs and risks of climate change</x:v>
      </x:c>
      <x:c r="E105" s="21" t="str">
        <x:v>modern climate change</x:v>
      </x:c>
      <x:c r="F105" s="22" t="str">
        <x:v>climate</x:v>
      </x:c>
      <x:c r="G105" s="22" t="str">
        <x:v>D</x:v>
      </x:c>
      <x:c r="H105" s="22" t="str">
        <x:v>V2</x:v>
      </x:c>
      <x:c r="I105" s="22" t="str">
        <x:v>E5</x:v>
      </x:c>
      <x:c r="J105" s="21" t="str">
        <x:v>RECONSTRUCTED_FROM_REPORT; Fear of Temperature_ Stratified Lexical Expansion, Voice Mapping, and Semantic-Relational Pre-Valida.pdf; p.10; project candidate FT-SEED-R1B-P-0607-14; original visible ID not available</x:v>
      </x:c>
      <x:c r="K105" s="21" t="str">
        <x:v>costs and risks of climate change</x:v>
      </x:c>
      <x:c r="L105" s="22" t="str">
        <x:v>EXACT</x:v>
      </x:c>
      <x:c r="M105" s="21" t="str">
        <x:v>SUCCEEDED_REUSED_BASELINE</x:v>
      </x:c>
      <x:c r="N105" s="21" t="str">
        <x:v>FT-Q-V01-074</x:v>
      </x:c>
      <x:c r="O105" s="22" t="str">
        <x:v>1842</x:v>
      </x:c>
      <x:c r="P105" s="22" t="str">
        <x:v>2022</x:v>
      </x:c>
      <x:c r="Q105" s="22" t="str">
        <x:v>1986</x:v>
      </x:c>
      <x:c r="R105" s="22" t="str">
        <x:v>22</x:v>
      </x:c>
      <x:c r="S105" s="22" t="str">
        <x:v>2009</x:v>
      </x:c>
      <x:c r="T105" s="43" t="str">
        <x:v>2.4810227206018e-09</x:v>
      </x:c>
      <x:c r="U105" s="43" t="str">
        <x:v>1.2008179450795353e-09</x:v>
      </x:c>
      <x:c r="V105" s="43" t="str">
        <x:v>1.2094392848327473e-09</x:v>
      </x:c>
      <x:c r="W105" s="43" t="str">
        <x:v>1.2008179450795353e-09</x:v>
      </x:c>
      <x:c r="X105" s="43" t="str">
        <x:v>2.245598151873196e-09</x:v>
      </x:c>
      <x:c r="Y105" s="43" t="str">
        <x:v>0.0</x:v>
      </x:c>
      <x:c r="Z105" s="43" t="str">
        <x:v>0.0</x:v>
      </x:c>
      <x:c r="AA105" s="43" t="str">
        <x:v>7.065451002041812e-11</x:v>
      </x:c>
      <x:c r="AB105" s="43" t="str">
        <x:v>7.510397859178397e-10</x:v>
      </x:c>
      <x:c r="AC105" s="43" t="str">
        <x:v>1.650596104241231e-09</x:v>
      </x:c>
      <x:c r="AD105" s="43" t="str">
        <x:v>1.2008179450795353e-09</x:v>
      </x:c>
      <x:c r="AE105" s="43" t="str">
        <x:v>4.930534314162571e-10</x:v>
      </x:c>
      <x:c r="AF105" s="43" t="str">
        <x:v>8.137091001003682e-10</x:v>
      </x:c>
      <x:c r="AG105" s="23" t="str">
        <x:v>Candidate surface form is directly representable in the public Ngram interface. Complete 1842–2022 unsmoothed series reused from the audited quantitative-v0.1 baseline.</x:v>
      </x:c>
    </x:row>
    <x:row r="106" ht="19" customHeight="1">
      <x:c r="A106" s="20" t="str">
        <x:v>FT-SEED-R1B-P-0607-15</x:v>
      </x:c>
      <x:c r="B106" s="22" t="str">
        <x:v>2006–2007</x:v>
      </x:c>
      <x:c r="C106" s="22" t="str">
        <x:v>15</x:v>
      </x:c>
      <x:c r="D106" s="21" t="str">
        <x:v>impacts of climate change</x:v>
      </x:c>
      <x:c r="E106" s="21" t="str">
        <x:v>modern climate change</x:v>
      </x:c>
      <x:c r="F106" s="22" t="str">
        <x:v>climate</x:v>
      </x:c>
      <x:c r="G106" s="22" t="str">
        <x:v>D</x:v>
      </x:c>
      <x:c r="H106" s="22" t="str">
        <x:v>V2</x:v>
      </x:c>
      <x:c r="I106" s="22" t="str">
        <x:v>E5</x:v>
      </x:c>
      <x:c r="J106" s="21" t="str">
        <x:v>RECONSTRUCTED_FROM_REPORT; Fear of Temperature_ Stratified Lexical Expansion, Voice Mapping, and Semantic-Relational Pre-Valida.pdf; p.10; project candidate FT-SEED-R1B-P-0607-15; original visible ID not available</x:v>
      </x:c>
      <x:c r="K106" s="21" t="str">
        <x:v>impacts of climate change</x:v>
      </x:c>
      <x:c r="L106" s="22" t="str">
        <x:v>EXACT</x:v>
      </x:c>
      <x:c r="M106" s="21" t="str">
        <x:v>SUCCEEDED_REUSED_BASELINE</x:v>
      </x:c>
      <x:c r="N106" s="21" t="str">
        <x:v>FT-Q-V01-075</x:v>
      </x:c>
      <x:c r="O106" s="22" t="str">
        <x:v>1842</x:v>
      </x:c>
      <x:c r="P106" s="22" t="str">
        <x:v>2022</x:v>
      </x:c>
      <x:c r="Q106" s="22" t="str">
        <x:v>1881</x:v>
      </x:c>
      <x:c r="R106" s="22" t="str">
        <x:v>87</x:v>
      </x:c>
      <x:c r="S106" s="22" t="str">
        <x:v>2022</x:v>
      </x:c>
      <x:c r="T106" s="43" t="str">
        <x:v>7.144630615740777e-07</x:v>
      </x:c>
      <x:c r="U106" s="43" t="str">
        <x:v>2.670266320836667e-07</x:v>
      </x:c>
      <x:c r="V106" s="43" t="str">
        <x:v>2.8205449021170836e-07</x:v>
      </x:c>
      <x:c r="W106" s="43" t="str">
        <x:v>2.670266320836667e-07</x:v>
      </x:c>
      <x:c r="X106" s="43" t="str">
        <x:v>3.9801150367169136e-07</x:v>
      </x:c>
      <x:c r="Y106" s="43" t="str">
        <x:v>0.0</x:v>
      </x:c>
      <x:c r="Z106" s="43" t="str">
        <x:v>0.0</x:v>
      </x:c>
      <x:c r="AA106" s="43" t="str">
        <x:v>4.559433364192955e-08</x:v>
      </x:c>
      <x:c r="AB106" s="43" t="str">
        <x:v>2.2298866472064693e-07</x:v>
      </x:c>
      <x:c r="AC106" s="43" t="str">
        <x:v>3.110645994466865e-07</x:v>
      </x:c>
      <x:c r="AD106" s="43" t="str">
        <x:v>2.670266320836667e-07</x:v>
      </x:c>
      <x:c r="AE106" s="43" t="str">
        <x:v>5.157996520455121e-07</x:v>
      </x:c>
      <x:c r="AF106" s="43" t="str">
        <x:v>7.144630615740777e-07</x:v>
      </x:c>
      <x:c r="AG106" s="23" t="str">
        <x:v>Candidate surface form is directly representable in the public Ngram interface. Complete 1842–2022 unsmoothed series reused from the audited quantitative-v0.1 baseline.</x:v>
      </x:c>
    </x:row>
    <x:row r="107" ht="19" customHeight="1">
      <x:c r="A107" s="20" t="str">
        <x:v>FT-SEED-R1B-P-0607-16</x:v>
      </x:c>
      <x:c r="B107" s="22" t="str">
        <x:v>2006–2007</x:v>
      </x:c>
      <x:c r="C107" s="22" t="str">
        <x:v>16</x:v>
      </x:c>
      <x:c r="D107" s="21" t="str">
        <x:v>damage</x:v>
      </x:c>
      <x:c r="E107" s="21" t="str">
        <x:v>generic damage</x:v>
      </x:c>
      <x:c r="F107" s="22" t="str">
        <x:v>harm_loss_consequences</x:v>
      </x:c>
      <x:c r="G107" s="22" t="str">
        <x:v>D</x:v>
      </x:c>
      <x:c r="H107" s="22" t="str">
        <x:v>V2</x:v>
      </x:c>
      <x:c r="I107" s="22" t="str">
        <x:v>E5</x:v>
      </x:c>
      <x:c r="J107" s="21" t="str">
        <x:v>RECONSTRUCTED_FROM_REPORT; Fear of Temperature_ Stratified Lexical Expansion, Voice Mapping, and Semantic-Relational Pre-Valida.pdf; p.10; project candidate FT-SEED-R1B-P-0607-16; original visible ID not available</x:v>
      </x:c>
      <x:c r="K107" s="21" t="str">
        <x:v>damage</x:v>
      </x:c>
      <x:c r="L107" s="22" t="str">
        <x:v>EXACT</x:v>
      </x:c>
      <x:c r="M107" s="21" t="str">
        <x:v>SUCCEEDED_REUSED_BASELINE</x:v>
      </x:c>
      <x:c r="N107" s="21" t="str">
        <x:v>FT-Q-V01-076</x:v>
      </x:c>
      <x:c r="O107" s="22" t="str">
        <x:v>1842</x:v>
      </x:c>
      <x:c r="P107" s="22" t="str">
        <x:v>2022</x:v>
      </x:c>
      <x:c r="Q107" s="22" t="str">
        <x:v>1842</x:v>
      </x:c>
      <x:c r="R107" s="22" t="str">
        <x:v>181</x:v>
      </x:c>
      <x:c r="S107" s="22" t="str">
        <x:v>1986</x:v>
      </x:c>
      <x:c r="T107" s="43" t="str">
        <x:v>5.7598560955232636e-05</x:v>
      </x:c>
      <x:c r="U107" s="43" t="str">
        <x:v>4.829082256977389e-05</x:v>
      </x:c>
      <x:c r="V107" s="43" t="str">
        <x:v>4.876599097426628e-05</x:v>
      </x:c>
      <x:c r="W107" s="43" t="str">
        <x:v>4.829082256977389e-05</x:v>
      </x:c>
      <x:c r="X107" s="43" t="str">
        <x:v>5.0625979690854805e-05</x:v>
      </x:c>
      <x:c r="Y107" s="43" t="str">
        <x:v>1.40214699513308e-05</x:v>
      </x:c>
      <x:c r="Z107" s="43" t="str">
        <x:v>4.59952369169514e-05</x:v>
      </x:c>
      <x:c r="AA107" s="43" t="str">
        <x:v>5.460717676498972e-05</x:v>
      </x:c>
      <x:c r="AB107" s="43" t="str">
        <x:v>4.860308943087019e-05</x:v>
      </x:c>
      <x:c r="AC107" s="43" t="str">
        <x:v>4.7978555708677595e-05</x:v>
      </x:c>
      <x:c r="AD107" s="43" t="str">
        <x:v>4.829082256977389e-05</x:v>
      </x:c>
      <x:c r="AE107" s="43" t="str">
        <x:v>4.768336144450602e-05</x:v>
      </x:c>
      <x:c r="AF107" s="43" t="str">
        <x:v>4.813777670335459e-05</x:v>
      </x:c>
      <x:c r="AG107" s="23" t="str">
        <x:v>Candidate surface form is directly representable in the public Ngram interface. Complete 1842–2022 unsmoothed series reused from the audited quantitative-v0.1 baseline.</x:v>
      </x:c>
    </x:row>
    <x:row r="108" ht="19" customHeight="1">
      <x:c r="A108" s="20" t="str">
        <x:v>FT-SEED-R1B-P-0607-17</x:v>
      </x:c>
      <x:c r="B108" s="22" t="str">
        <x:v>2006–2007</x:v>
      </x:c>
      <x:c r="C108" s="22" t="str">
        <x:v>17</x:v>
      </x:c>
      <x:c r="D108" s="21" t="str">
        <x:v>hunger</x:v>
      </x:c>
      <x:c r="E108" s="21" t="str">
        <x:v>generic damage</x:v>
      </x:c>
      <x:c r="F108" s="22" t="str">
        <x:v>harm_loss_consequences</x:v>
      </x:c>
      <x:c r="G108" s="22" t="str">
        <x:v>D</x:v>
      </x:c>
      <x:c r="H108" s="22" t="str">
        <x:v>V2</x:v>
      </x:c>
      <x:c r="I108" s="22" t="str">
        <x:v>E5</x:v>
      </x:c>
      <x:c r="J108" s="21" t="str">
        <x:v>RECONSTRUCTED_FROM_REPORT; Fear of Temperature_ Stratified Lexical Expansion, Voice Mapping, and Semantic-Relational Pre-Valida.pdf; p.10; project candidate FT-SEED-R1B-P-0607-17; original visible ID not available</x:v>
      </x:c>
      <x:c r="K108" s="21" t="str">
        <x:v>hunger</x:v>
      </x:c>
      <x:c r="L108" s="22" t="str">
        <x:v>EXACT</x:v>
      </x:c>
      <x:c r="M108" s="21" t="str">
        <x:v>SUCCEEDED_REUSED_BASELINE</x:v>
      </x:c>
      <x:c r="N108" s="21" t="str">
        <x:v>FT-Q-V01-077</x:v>
      </x:c>
      <x:c r="O108" s="22" t="str">
        <x:v>1842</x:v>
      </x:c>
      <x:c r="P108" s="22" t="str">
        <x:v>2022</x:v>
      </x:c>
      <x:c r="Q108" s="22" t="str">
        <x:v>1842</x:v>
      </x:c>
      <x:c r="R108" s="22" t="str">
        <x:v>181</x:v>
      </x:c>
      <x:c r="S108" s="22" t="str">
        <x:v>2015</x:v>
      </x:c>
      <x:c r="T108" s="43" t="str">
        <x:v>1.1913927409068492e-05</x:v>
      </x:c>
      <x:c r="U108" s="43" t="str">
        <x:v>7.730505573771279e-06</x:v>
      </x:c>
      <x:c r="V108" s="43" t="str">
        <x:v>7.81596456063318e-06</x:v>
      </x:c>
      <x:c r="W108" s="43" t="str">
        <x:v>7.793144442085759e-06</x:v>
      </x:c>
      <x:c r="X108" s="43" t="str">
        <x:v>8.226896156402624e-06</x:v>
      </x:c>
      <x:c r="Y108" s="43" t="str">
        <x:v>8.491353739259466e-06</x:v>
      </x:c>
      <x:c r="Z108" s="43" t="str">
        <x:v>3.766231525759167e-06</x:v>
      </x:c>
      <x:c r="AA108" s="43" t="str">
        <x:v>6.1379614493262125e-06</x:v>
      </x:c>
      <x:c r="AB108" s="43" t="str">
        <x:v>7.45067320195858e-06</x:v>
      </x:c>
      <x:c r="AC108" s="43" t="str">
        <x:v>8.010337945583978e-06</x:v>
      </x:c>
      <x:c r="AD108" s="43" t="str">
        <x:v>7.730505573771279e-06</x:v>
      </x:c>
      <x:c r="AE108" s="43" t="str">
        <x:v>1.1913927409068492e-05</x:v>
      </x:c>
      <x:c r="AF108" s="43" t="str">
        <x:v>1.1471040437527336e-05</x:v>
      </x:c>
      <x:c r="AG108" s="23" t="str">
        <x:v>Candidate surface form is directly representable in the public Ngram interface. Complete 1842–2022 unsmoothed series reused from the audited quantitative-v0.1 baseline.</x:v>
      </x:c>
    </x:row>
    <x:row r="109" ht="19" customHeight="1">
      <x:c r="A109" s="20" t="str">
        <x:v>FT-SEED-R1B-P-0607-18</x:v>
      </x:c>
      <x:c r="B109" s="22" t="str">
        <x:v>2006–2007</x:v>
      </x:c>
      <x:c r="C109" s="22" t="str">
        <x:v>18</x:v>
      </x:c>
      <x:c r="D109" s="21" t="str">
        <x:v>water shortages</x:v>
      </x:c>
      <x:c r="E109" s="21" t="str">
        <x:v>generic damage</x:v>
      </x:c>
      <x:c r="F109" s="22" t="str">
        <x:v>harm_loss_consequences</x:v>
      </x:c>
      <x:c r="G109" s="22" t="str">
        <x:v>D</x:v>
      </x:c>
      <x:c r="H109" s="22" t="str">
        <x:v>V2</x:v>
      </x:c>
      <x:c r="I109" s="22" t="str">
        <x:v>E5</x:v>
      </x:c>
      <x:c r="J109" s="21" t="str">
        <x:v>RECONSTRUCTED_FROM_REPORT; Fear of Temperature_ Stratified Lexical Expansion, Voice Mapping, and Semantic-Relational Pre-Valida.pdf; p.10; project candidate FT-SEED-R1B-P-0607-18; original visible ID not available</x:v>
      </x:c>
      <x:c r="K109" s="21" t="str">
        <x:v>water shortages</x:v>
      </x:c>
      <x:c r="L109" s="22" t="str">
        <x:v>EXACT</x:v>
      </x:c>
      <x:c r="M109" s="21" t="str">
        <x:v>SUCCEEDED_REUSED_BASELINE</x:v>
      </x:c>
      <x:c r="N109" s="21" t="str">
        <x:v>FT-Q-V01-078</x:v>
      </x:c>
      <x:c r="O109" s="22" t="str">
        <x:v>1842</x:v>
      </x:c>
      <x:c r="P109" s="22" t="str">
        <x:v>2022</x:v>
      </x:c>
      <x:c r="Q109" s="22" t="str">
        <x:v>1843</x:v>
      </x:c>
      <x:c r="R109" s="22" t="str">
        <x:v>143</x:v>
      </x:c>
      <x:c r="S109" s="22" t="str">
        <x:v>2009</x:v>
      </x:c>
      <x:c r="T109" s="43" t="str">
        <x:v>2.6262098024032454e-07</x:v>
      </x:c>
      <x:c r="U109" s="43" t="str">
        <x:v>2.0904360503726238e-07</x:v>
      </x:c>
      <x:c r="V109" s="43" t="str">
        <x:v>2.1109862891055542e-07</x:v>
      </x:c>
      <x:c r="W109" s="43" t="str">
        <x:v>2.0904360503726238e-07</x:v>
      </x:c>
      <x:c r="X109" s="43" t="str">
        <x:v>2.3970839713172154e-07</x:v>
      </x:c>
      <x:c r="Y109" s="43" t="str">
        <x:v>0.0</x:v>
      </x:c>
      <x:c r="Z109" s="43" t="str">
        <x:v>4.131899500325886e-08</x:v>
      </x:c>
      <x:c r="AA109" s="43" t="str">
        <x:v>1.4480859233945154e-07</x:v>
      </x:c>
      <x:c r="AB109" s="43" t="str">
        <x:v>2.0404913880778253e-07</x:v>
      </x:c>
      <x:c r="AC109" s="43" t="str">
        <x:v>2.1403807126674224e-07</x:v>
      </x:c>
      <x:c r="AD109" s="43" t="str">
        <x:v>2.0904360503726238e-07</x:v>
      </x:c>
      <x:c r="AE109" s="43" t="str">
        <x:v>1.8788336961228502e-07</x:v>
      </x:c>
      <x:c r="AF109" s="43" t="str">
        <x:v>1.7408386068784587e-07</x:v>
      </x:c>
      <x:c r="AG109" s="23" t="str">
        <x:v>Candidate surface form is directly representable in the public Ngram interface. Complete 1842–2022 unsmoothed series reused from the audited quantitative-v0.1 baseline.</x:v>
      </x:c>
    </x:row>
    <x:row r="110" ht="19" customHeight="1">
      <x:c r="A110" s="20" t="str">
        <x:v>FT-SEED-R1B-P-0607-19</x:v>
      </x:c>
      <x:c r="B110" s="22" t="str">
        <x:v>2006–2007</x:v>
      </x:c>
      <x:c r="C110" s="22" t="str">
        <x:v>19</x:v>
      </x:c>
      <x:c r="D110" s="21" t="str">
        <x:v>coastal flooding</x:v>
      </x:c>
      <x:c r="E110" s="21" t="str">
        <x:v>generic damage</x:v>
      </x:c>
      <x:c r="F110" s="22" t="str">
        <x:v>harm_loss_consequences</x:v>
      </x:c>
      <x:c r="G110" s="22" t="str">
        <x:v>D</x:v>
      </x:c>
      <x:c r="H110" s="22" t="str">
        <x:v>V2</x:v>
      </x:c>
      <x:c r="I110" s="22" t="str">
        <x:v>E5</x:v>
      </x:c>
      <x:c r="J110" s="21" t="str">
        <x:v>RECONSTRUCTED_FROM_REPORT; Fear of Temperature_ Stratified Lexical Expansion, Voice Mapping, and Semantic-Relational Pre-Valida.pdf; p.10; project candidate FT-SEED-R1B-P-0607-19; original visible ID not available</x:v>
      </x:c>
      <x:c r="K110" s="21" t="str">
        <x:v>coastal flooding</x:v>
      </x:c>
      <x:c r="L110" s="22" t="str">
        <x:v>EXACT</x:v>
      </x:c>
      <x:c r="M110" s="21" t="str">
        <x:v>SUCCEEDED_REUSED_BASELINE</x:v>
      </x:c>
      <x:c r="N110" s="21" t="str">
        <x:v>FT-Q-V01-079</x:v>
      </x:c>
      <x:c r="O110" s="22" t="str">
        <x:v>1842</x:v>
      </x:c>
      <x:c r="P110" s="22" t="str">
        <x:v>2022</x:v>
      </x:c>
      <x:c r="Q110" s="22" t="str">
        <x:v>1843</x:v>
      </x:c>
      <x:c r="R110" s="22" t="str">
        <x:v>92</x:v>
      </x:c>
      <x:c r="S110" s="22" t="str">
        <x:v>2022</x:v>
      </x:c>
      <x:c r="T110" s="43" t="str">
        <x:v>1.0343279566171759e-07</x:v>
      </x:c>
      <x:c r="U110" s="43" t="str">
        <x:v>4.927007213849366e-08</x:v>
      </x:c>
      <x:c r="V110" s="43" t="str">
        <x:v>4.964529571032522e-08</x:v>
      </x:c>
      <x:c r="W110" s="43" t="str">
        <x:v>4.927007213849366e-08</x:v>
      </x:c>
      <x:c r="X110" s="43" t="str">
        <x:v>5.9558722120822694e-08</x:v>
      </x:c>
      <x:c r="Y110" s="43" t="str">
        <x:v>0.0</x:v>
      </x:c>
      <x:c r="Z110" s="43" t="str">
        <x:v>4.4548779942754635e-10</x:v>
      </x:c>
      <x:c r="AA110" s="43" t="str">
        <x:v>2.6207690573265552e-08</x:v>
      </x:c>
      <x:c r="AB110" s="43" t="str">
        <x:v>4.3355292588670435e-08</x:v>
      </x:c>
      <x:c r="AC110" s="43" t="str">
        <x:v>5.518485168831688e-08</x:v>
      </x:c>
      <x:c r="AD110" s="43" t="str">
        <x:v>4.927007213849366e-08</x:v>
      </x:c>
      <x:c r="AE110" s="43" t="str">
        <x:v>5.2726901678123994e-08</x:v>
      </x:c>
      <x:c r="AF110" s="43" t="str">
        <x:v>1.0343279566171759e-07</x:v>
      </x:c>
      <x:c r="AG110" s="23" t="str">
        <x:v>Candidate surface form is directly representable in the public Ngram interface. Complete 1842–2022 unsmoothed series reused from the audited quantitative-v0.1 baseline.</x:v>
      </x:c>
    </x:row>
    <x:row r="111" ht="19" customHeight="1">
      <x:c r="A111" s="20" t="str">
        <x:v>FT-SEED-R1B-P-0607-20</x:v>
      </x:c>
      <x:c r="B111" s="22" t="str">
        <x:v>2006–2007</x:v>
      </x:c>
      <x:c r="C111" s="22" t="str">
        <x:v>20</x:v>
      </x:c>
      <x:c r="D111" s="21" t="str">
        <x:v>worst impacts</x:v>
      </x:c>
      <x:c r="E111" s="21" t="str">
        <x:v>generic damage</x:v>
      </x:c>
      <x:c r="F111" s="22" t="str">
        <x:v>harm_loss_consequences</x:v>
      </x:c>
      <x:c r="G111" s="22" t="str">
        <x:v>D</x:v>
      </x:c>
      <x:c r="H111" s="22" t="str">
        <x:v>V2</x:v>
      </x:c>
      <x:c r="I111" s="22" t="str">
        <x:v>E5</x:v>
      </x:c>
      <x:c r="J111" s="21" t="str">
        <x:v>RECONSTRUCTED_FROM_REPORT; Fear of Temperature_ Stratified Lexical Expansion, Voice Mapping, and Semantic-Relational Pre-Valida.pdf; p.10; project candidate FT-SEED-R1B-P-0607-20; original visible ID not available</x:v>
      </x:c>
      <x:c r="K111" s="21" t="str">
        <x:v>worst impacts</x:v>
      </x:c>
      <x:c r="L111" s="22" t="str">
        <x:v>EXACT</x:v>
      </x:c>
      <x:c r="M111" s="21" t="str">
        <x:v>SUCCEEDED_REUSED_BASELINE</x:v>
      </x:c>
      <x:c r="N111" s="21" t="str">
        <x:v>FT-Q-V01-080</x:v>
      </x:c>
      <x:c r="O111" s="22" t="str">
        <x:v>1842</x:v>
      </x:c>
      <x:c r="P111" s="22" t="str">
        <x:v>2022</x:v>
      </x:c>
      <x:c r="Q111" s="22" t="str">
        <x:v>1906</x:v>
      </x:c>
      <x:c r="R111" s="22" t="str">
        <x:v>80</x:v>
      </x:c>
      <x:c r="S111" s="22" t="str">
        <x:v>2022</x:v>
      </x:c>
      <x:c r="T111" s="43" t="str">
        <x:v>1.9288579872211997e-08</x:v>
      </x:c>
      <x:c r="U111" s="43" t="str">
        <x:v>7.893453371835002e-09</x:v>
      </x:c>
      <x:c r="V111" s="43" t="str">
        <x:v>7.610180590734983e-09</x:v>
      </x:c>
      <x:c r="W111" s="43" t="str">
        <x:v>7.893453371835002e-09</x:v>
      </x:c>
      <x:c r="X111" s="43" t="str">
        <x:v>9.506579648488334e-09</x:v>
      </x:c>
      <x:c r="Y111" s="43" t="str">
        <x:v>0.0</x:v>
      </x:c>
      <x:c r="Z111" s="43" t="str">
        <x:v>1.1137195332633354e-10</x:v>
      </x:c>
      <x:c r="AA111" s="43" t="str">
        <x:v>1.3325944792086375e-09</x:v>
      </x:c>
      <x:c r="AB111" s="43" t="str">
        <x:v>7.691329351189324e-09</x:v>
      </x:c>
      <x:c r="AC111" s="43" t="str">
        <x:v>8.09557739248068e-09</x:v>
      </x:c>
      <x:c r="AD111" s="43" t="str">
        <x:v>7.893453371835002e-09</x:v>
      </x:c>
      <x:c r="AE111" s="43" t="str">
        <x:v>1.125525539436012e-08</x:v>
      </x:c>
      <x:c r="AF111" s="43" t="str">
        <x:v>1.9288579872211997e-08</x:v>
      </x:c>
      <x:c r="AG111" s="23" t="str">
        <x:v>Candidate surface form is directly representable in the public Ngram interface. Complete 1842–2022 unsmoothed series reused from the audited quantitative-v0.1 baseline.</x:v>
      </x:c>
    </x:row>
    <x:row r="112" ht="19" customHeight="1">
      <x:c r="A112" s="20" t="str">
        <x:v>FT-SEED-R1B-P-0607-21</x:v>
      </x:c>
      <x:c r="B112" s="22" t="str">
        <x:v>2006–2007</x:v>
      </x:c>
      <x:c r="C112" s="22" t="str">
        <x:v>21</x:v>
      </x:c>
      <x:c r="D112" s="21" t="str">
        <x:v>Be Worried. Be Very Worried.</x:v>
      </x:c>
      <x:c r="E112" s="21" t="str">
        <x:v>prescribed worry</x:v>
      </x:c>
      <x:c r="F112" s="22" t="str">
        <x:v>worry</x:v>
      </x:c>
      <x:c r="G112" s="22" t="str">
        <x:v>C</x:v>
      </x:c>
      <x:c r="H112" s="22" t="str">
        <x:v>V3</x:v>
      </x:c>
      <x:c r="I112" s="22" t="str">
        <x:v>E1</x:v>
      </x:c>
      <x:c r="J112" s="21" t="str">
        <x:v>RECONSTRUCTED_FROM_REPORT; Fear of Temperature_ Stratified Lexical Expansion, Voice Mapping, and Semantic-Relational Pre-Valida.pdf; p.10; project candidate FT-SEED-R1B-P-0607-21; original visible ID not available</x:v>
      </x:c>
      <x:c r="K112" s="21" t="str">
        <x:v>be worried be very worried</x:v>
      </x:c>
      <x:c r="L112" s="22" t="str">
        <x:v>NORMALIZED_VARIANT</x:v>
      </x:c>
      <x:c r="M112" s="21" t="str">
        <x:v>ZERO_RESPONSE_NEW</x:v>
      </x:c>
      <x:c r="N112" s="21" t="str">
        <x:v>FT-Q-V01-141</x:v>
      </x:c>
      <x:c r="O112" s="22" t="str">
        <x:v>1842</x:v>
      </x:c>
      <x:c r="P112" s="22" t="str">
        <x:v>2022</x:v>
      </x:c>
      <x:c r="Q112" s="22" t="str"/>
      <x:c r="R112" s="22" t="str">
        <x:v>0</x:v>
      </x:c>
      <x:c r="S112" s="22" t="str"/>
      <x:c r="T112" s="43" t="str"/>
      <x:c r="U112" s="43" t="str"/>
      <x:c r="V112" s="43" t="str"/>
      <x:c r="W112" s="43" t="str"/>
      <x:c r="X112" s="43" t="str"/>
      <x:c r="Y112" s="43" t="str"/>
      <x:c r="Z112" s="43" t="str"/>
      <x:c r="AA112" s="43" t="str"/>
      <x:c r="AB112" s="43" t="str"/>
      <x:c r="AC112" s="43" t="str"/>
      <x:c r="AD112" s="43" t="str"/>
      <x:c r="AE112" s="43" t="str"/>
      <x:c r="AF112" s="43" t="str"/>
      <x:c r="AG112" s="23" t="str">
        <x:v>Sentence punctuation and capitalization are removed while the complete wording is preserved. The public Ngram endpoint returned an empty list; retained without fabricating annual zero frequencies.</x:v>
      </x:c>
    </x:row>
    <x:row r="113" ht="19" customHeight="1">
      <x:c r="A113" s="20" t="str">
        <x:v>FT-SEED-R1B-P-0607-22</x:v>
      </x:c>
      <x:c r="B113" s="22" t="str">
        <x:v>2006–2007</x:v>
      </x:c>
      <x:c r="C113" s="22" t="str">
        <x:v>22</x:v>
      </x:c>
      <x:c r="D113" s="21" t="str">
        <x:v>personally worry</x:v>
      </x:c>
      <x:c r="E113" s="21" t="str">
        <x:v>elicited worry category</x:v>
      </x:c>
      <x:c r="F113" s="22" t="str">
        <x:v>worry</x:v>
      </x:c>
      <x:c r="G113" s="22" t="str">
        <x:v>C</x:v>
      </x:c>
      <x:c r="H113" s="22" t="str">
        <x:v>V5</x:v>
      </x:c>
      <x:c r="I113" s="22" t="str">
        <x:v>E3</x:v>
      </x:c>
      <x:c r="J113" s="21" t="str">
        <x:v>RECONSTRUCTED_FROM_REPORT; Fear of Temperature_ Stratified Lexical Expansion, Voice Mapping, and Semantic-Relational Pre-Valida.pdf; p.10; project candidate FT-SEED-R1B-P-0607-22; original visible ID not available</x:v>
      </x:c>
      <x:c r="K113" s="21" t="str">
        <x:v>personally worry</x:v>
      </x:c>
      <x:c r="L113" s="22" t="str">
        <x:v>EXACT</x:v>
      </x:c>
      <x:c r="M113" s="21" t="str">
        <x:v>SUCCEEDED_NEW</x:v>
      </x:c>
      <x:c r="N113" s="21" t="str">
        <x:v>FT-Q-P180-08820811A990</x:v>
      </x:c>
      <x:c r="O113" s="22" t="str">
        <x:v>1842</x:v>
      </x:c>
      <x:c r="P113" s="22" t="str">
        <x:v>2022</x:v>
      </x:c>
      <x:c r="Q113" s="22" t="str">
        <x:v>1910</x:v>
      </x:c>
      <x:c r="R113" s="22" t="str">
        <x:v>75</x:v>
      </x:c>
      <x:c r="S113" s="22" t="str">
        <x:v>1981</x:v>
      </x:c>
      <x:c r="T113" s="43" t="str">
        <x:v>8.570305354282937e-09</x:v>
      </x:c>
      <x:c r="U113" s="43" t="str">
        <x:v>1.9994793598598903e-09</x:v>
      </x:c>
      <x:c r="V113" s="43" t="str">
        <x:v>1.2942071372923358e-09</x:v>
      </x:c>
      <x:c r="W113" s="43" t="str">
        <x:v>1.2123086146065276e-09</x:v>
      </x:c>
      <x:c r="X113" s="43" t="str">
        <x:v>2.334867854614231e-09</x:v>
      </x:c>
      <x:c r="Y113" s="43" t="str">
        <x:v>0.0</x:v>
      </x:c>
      <x:c r="Z113" s="43" t="str">
        <x:v>0.0</x:v>
      </x:c>
      <x:c r="AA113" s="43" t="str">
        <x:v>5.922641821420882e-10</x:v>
      </x:c>
      <x:c r="AB113" s="43" t="str">
        <x:v>2.334867854614231e-09</x:v>
      </x:c>
      <x:c r="AC113" s="43" t="str">
        <x:v>1.6640908651055497e-09</x:v>
      </x:c>
      <x:c r="AD113" s="43" t="str">
        <x:v>1.9994793598598903e-09</x:v>
      </x:c>
      <x:c r="AE113" s="43" t="str">
        <x:v>1.2609622235260076e-09</x:v>
      </x:c>
      <x:c r="AF113" s="43" t="str">
        <x:v>4.866385072688217e-10</x:v>
      </x:c>
      <x:c r="AG113" s="23" t="str">
        <x:v>Candidate surface form is directly representable in the public Ngram interface. New unsmoothed 1842–2022 series retrieved for the candidate audit.</x:v>
      </x:c>
    </x:row>
    <x:row r="114" ht="19" customHeight="1">
      <x:c r="A114" s="20" t="str">
        <x:v>FT-SEED-R1B-P-0607-23</x:v>
      </x:c>
      <x:c r="B114" s="22" t="str">
        <x:v>2006–2007</x:v>
      </x:c>
      <x:c r="C114" s="22" t="str">
        <x:v>23</x:v>
      </x:c>
      <x:c r="D114" s="21" t="str">
        <x:v>worry a great deal</x:v>
      </x:c>
      <x:c r="E114" s="21" t="str">
        <x:v>elicited worry category</x:v>
      </x:c>
      <x:c r="F114" s="22" t="str">
        <x:v>worry</x:v>
      </x:c>
      <x:c r="G114" s="22" t="str">
        <x:v>C</x:v>
      </x:c>
      <x:c r="H114" s="22" t="str">
        <x:v>V5</x:v>
      </x:c>
      <x:c r="I114" s="22" t="str">
        <x:v>E5</x:v>
      </x:c>
      <x:c r="J114" s="21" t="str">
        <x:v>RECONSTRUCTED_FROM_REPORT; Fear of Temperature_ Stratified Lexical Expansion, Voice Mapping, and Semantic-Relational Pre-Valida.pdf; p.10; project candidate FT-SEED-R1B-P-0607-23; original visible ID not available</x:v>
      </x:c>
      <x:c r="K114" s="21" t="str">
        <x:v>worry a great deal</x:v>
      </x:c>
      <x:c r="L114" s="22" t="str">
        <x:v>EXACT</x:v>
      </x:c>
      <x:c r="M114" s="21" t="str">
        <x:v>SUCCEEDED_NEW</x:v>
      </x:c>
      <x:c r="N114" s="21" t="str">
        <x:v>FT-Q-P180-3A4C9CAB7A27</x:v>
      </x:c>
      <x:c r="O114" s="22" t="str">
        <x:v>1842</x:v>
      </x:c>
      <x:c r="P114" s="22" t="str">
        <x:v>2022</x:v>
      </x:c>
      <x:c r="Q114" s="22" t="str">
        <x:v>1864</x:v>
      </x:c>
      <x:c r="R114" s="22" t="str">
        <x:v>145</x:v>
      </x:c>
      <x:c r="S114" s="22" t="str">
        <x:v>1981</x:v>
      </x:c>
      <x:c r="T114" s="43" t="str">
        <x:v>1.051101666815768e-08</x:v>
      </x:c>
      <x:c r="U114" s="43" t="str">
        <x:v>7.930994777582967e-09</x:v>
      </x:c>
      <x:c r="V114" s="43" t="str">
        <x:v>7.336361296239602e-09</x:v>
      </x:c>
      <x:c r="W114" s="43" t="str">
        <x:v>7.930994777582967e-09</x:v>
      </x:c>
      <x:c r="X114" s="43" t="str">
        <x:v>8.229352255195721e-09</x:v>
      </x:c>
      <x:c r="Y114" s="43" t="str">
        <x:v>0.0</x:v>
      </x:c>
      <x:c r="Z114" s="43" t="str">
        <x:v>6.095083049384442e-09</x:v>
      </x:c>
      <x:c r="AA114" s="43" t="str">
        <x:v>7.111043309748766e-09</x:v>
      </x:c>
      <x:c r="AB114" s="43" t="str">
        <x:v>7.988942840597701e-09</x:v>
      </x:c>
      <x:c r="AC114" s="43" t="str">
        <x:v>7.873046714568233e-09</x:v>
      </x:c>
      <x:c r="AD114" s="43" t="str">
        <x:v>7.930994777582967e-09</x:v>
      </x:c>
      <x:c r="AE114" s="43" t="str">
        <x:v>6.7748106014065e-09</x:v>
      </x:c>
      <x:c r="AF114" s="43" t="str">
        <x:v>4.115746049526692e-09</x:v>
      </x:c>
      <x:c r="AG114" s="23" t="str">
        <x:v>Candidate surface form is directly representable in the public Ngram interface. New unsmoothed 1842–2022 series retrieved for the candidate audit.</x:v>
      </x:c>
    </x:row>
    <x:row r="115" ht="19" customHeight="1">
      <x:c r="A115" s="20" t="str">
        <x:v>FT-SEED-R1B-P-0607-24</x:v>
      </x:c>
      <x:c r="B115" s="22" t="str">
        <x:v>2006–2007</x:v>
      </x:c>
      <x:c r="C115" s="22" t="str">
        <x:v>24</x:v>
      </x:c>
      <x:c r="D115" s="21" t="str">
        <x:v>serious problem</x:v>
      </x:c>
      <x:c r="E115" s="21" t="str">
        <x:v>generic damage</x:v>
      </x:c>
      <x:c r="F115" s="22" t="str">
        <x:v>harm_loss_consequences</x:v>
      </x:c>
      <x:c r="G115" s="22" t="str">
        <x:v>D</x:v>
      </x:c>
      <x:c r="H115" s="22" t="str">
        <x:v>V5</x:v>
      </x:c>
      <x:c r="I115" s="22" t="str">
        <x:v>E5</x:v>
      </x:c>
      <x:c r="J115" s="21" t="str">
        <x:v>RECONSTRUCTED_FROM_REPORT; Fear of Temperature_ Stratified Lexical Expansion, Voice Mapping, and Semantic-Relational Pre-Valida.pdf; p.10; project candidate FT-SEED-R1B-P-0607-24; original visible ID not available</x:v>
      </x:c>
      <x:c r="K115" s="21" t="str">
        <x:v>serious problem</x:v>
      </x:c>
      <x:c r="L115" s="22" t="str">
        <x:v>EXACT</x:v>
      </x:c>
      <x:c r="M115" s="21" t="str">
        <x:v>SUCCEEDED_NEW</x:v>
      </x:c>
      <x:c r="N115" s="21" t="str">
        <x:v>FT-Q-P180-E3A808A6D063</x:v>
      </x:c>
      <x:c r="O115" s="22" t="str">
        <x:v>1842</x:v>
      </x:c>
      <x:c r="P115" s="22" t="str">
        <x:v>2022</x:v>
      </x:c>
      <x:c r="Q115" s="22" t="str">
        <x:v>1842</x:v>
      </x:c>
      <x:c r="R115" s="22" t="str">
        <x:v>181</x:v>
      </x:c>
      <x:c r="S115" s="22" t="str">
        <x:v>1980</x:v>
      </x:c>
      <x:c r="T115" s="43" t="str">
        <x:v>2.3235911891239525e-06</x:v>
      </x:c>
      <x:c r="U115" s="43" t="str">
        <x:v>1.367453012855041e-06</x:v>
      </x:c>
      <x:c r="V115" s="43" t="str">
        <x:v>1.3775302502841077e-06</x:v>
      </x:c>
      <x:c r="W115" s="43" t="str">
        <x:v>1.367453012855041e-06</x:v>
      </x:c>
      <x:c r="X115" s="43" t="str">
        <x:v>1.466776860969965e-06</x:v>
      </x:c>
      <x:c r="Y115" s="43" t="str">
        <x:v>2.579953362058518e-09</x:v>
      </x:c>
      <x:c r="Z115" s="43" t="str">
        <x:v>1.4501742259254158e-06</x:v>
      </x:c>
      <x:c r="AA115" s="43" t="str">
        <x:v>1.9676003617345728e-06</x:v>
      </x:c>
      <x:c r="AB115" s="43" t="str">
        <x:v>1.3838440994506929e-06</x:v>
      </x:c>
      <x:c r="AC115" s="43" t="str">
        <x:v>1.3510619262593893e-06</x:v>
      </x:c>
      <x:c r="AD115" s="43" t="str">
        <x:v>1.367453012855041e-06</x:v>
      </x:c>
      <x:c r="AE115" s="43" t="str">
        <x:v>1.084193997337446e-06</x:v>
      </x:c>
      <x:c r="AF115" s="43" t="str">
        <x:v>7.833109815225114e-07</x:v>
      </x:c>
      <x:c r="AG115" s="23" t="str">
        <x:v>Candidate surface form is directly representable in the public Ngram interface. New unsmoothed 1842–2022 series retrieved for the candidate audit.</x:v>
      </x:c>
    </x:row>
    <x:row r="116" ht="19" customHeight="1">
      <x:c r="A116" s="20" t="str">
        <x:v>FT-SEED-R1B-P-0607-25</x:v>
      </x:c>
      <x:c r="B116" s="22" t="str">
        <x:v>2006–2007</x:v>
      </x:c>
      <x:c r="C116" s="22" t="str">
        <x:v>25</x:v>
      </x:c>
      <x:c r="D116" s="21" t="str">
        <x:v>danger</x:v>
      </x:c>
      <x:c r="E116" s="21" t="str">
        <x:v>hazard evaluation</x:v>
      </x:c>
      <x:c r="F116" s="22" t="str">
        <x:v>danger_threat</x:v>
      </x:c>
      <x:c r="G116" s="22" t="str">
        <x:v>D</x:v>
      </x:c>
      <x:c r="H116" s="22" t="str">
        <x:v>V5</x:v>
      </x:c>
      <x:c r="I116" s="22" t="str">
        <x:v>E5</x:v>
      </x:c>
      <x:c r="J116" s="21" t="str">
        <x:v>RECONSTRUCTED_FROM_REPORT; Fear of Temperature_ Stratified Lexical Expansion, Voice Mapping, and Semantic-Relational Pre-Valida.pdf; p.10; project candidate FT-SEED-R1B-P-0607-25; original visible ID not available</x:v>
      </x:c>
      <x:c r="K116" s="21" t="str">
        <x:v>danger</x:v>
      </x:c>
      <x:c r="L116" s="22" t="str">
        <x:v>EXACT</x:v>
      </x:c>
      <x:c r="M116" s="21" t="str">
        <x:v>SUCCEEDED_REUSED_BASELINE</x:v>
      </x:c>
      <x:c r="N116" s="21" t="str">
        <x:v>FT-Q-P180-D66C22728199</x:v>
      </x:c>
      <x:c r="O116" s="22" t="str">
        <x:v>1842</x:v>
      </x:c>
      <x:c r="P116" s="22" t="str">
        <x:v>2022</x:v>
      </x:c>
      <x:c r="Q116" s="22" t="str">
        <x:v>1842</x:v>
      </x:c>
      <x:c r="R116" s="22" t="str">
        <x:v>181</x:v>
      </x:c>
      <x:c r="S116" s="22" t="str">
        <x:v>1848</x:v>
      </x:c>
      <x:c r="T116" s="43" t="str">
        <x:v>6.80098231100601e-05</x:v>
      </x:c>
      <x:c r="U116" s="43" t="str">
        <x:v>2.2866885732362313e-05</x:v>
      </x:c>
      <x:c r="V116" s="43" t="str">
        <x:v>2.3115713736036186e-05</x:v>
      </x:c>
      <x:c r="W116" s="43" t="str">
        <x:v>2.2866885732362313e-05</x:v>
      </x:c>
      <x:c r="X116" s="43" t="str">
        <x:v>2.455948258290458e-05</x:v>
      </x:c>
      <x:c r="Y116" s="43" t="str">
        <x:v>6.476216250916877e-05</x:v>
      </x:c>
      <x:c r="Z116" s="43" t="str">
        <x:v>3.397146667794004e-05</x:v>
      </x:c>
      <x:c r="AA116" s="43" t="str">
        <x:v>1.9257168858786283e-05</x:v>
      </x:c>
      <x:c r="AB116" s="43" t="str">
        <x:v>2.236469851597117e-05</x:v>
      </x:c>
      <x:c r="AC116" s="43" t="str">
        <x:v>2.3369072948753455e-05</x:v>
      </x:c>
      <x:c r="AD116" s="43" t="str">
        <x:v>2.2866885732362313e-05</x:v>
      </x:c>
      <x:c r="AE116" s="43" t="str">
        <x:v>3.1826653810185235e-05</x:v>
      </x:c>
      <x:c r="AF116" s="43" t="str">
        <x:v>3.4476990950049746e-05</x:v>
      </x:c>
      <x:c r="AG116" s="23" t="str">
        <x:v>Candidate surface form is directly representable in the public Ngram interface. Complete 1842–2022 unsmoothed series reused from the audited quantitative-v0.1 baseline.</x:v>
      </x:c>
    </x:row>
    <x:row r="117" ht="19" customHeight="1">
      <x:c r="A117" s="20" t="str">
        <x:v>FT-SEED-R1B-P-0607-26</x:v>
      </x:c>
      <x:c r="B117" s="22" t="str">
        <x:v>2006–2007</x:v>
      </x:c>
      <x:c r="C117" s="22" t="str">
        <x:v>26</x:v>
      </x:c>
      <x:c r="D117" s="21" t="str">
        <x:v>urgent threat</x:v>
      </x:c>
      <x:c r="E117" s="21" t="str">
        <x:v>institutional climate threat</x:v>
      </x:c>
      <x:c r="F117" s="22" t="str">
        <x:v>danger_threat</x:v>
      </x:c>
      <x:c r="G117" s="22" t="str">
        <x:v>D</x:v>
      </x:c>
      <x:c r="H117" s="22" t="str">
        <x:v>V5</x:v>
      </x:c>
      <x:c r="I117" s="22" t="str">
        <x:v>E5</x:v>
      </x:c>
      <x:c r="J117" s="21" t="str">
        <x:v>RECONSTRUCTED_FROM_REPORT; Fear of Temperature_ Stratified Lexical Expansion, Voice Mapping, and Semantic-Relational Pre-Valida.pdf; p.10; project candidate FT-SEED-R1B-P-0607-26; original visible ID not available</x:v>
      </x:c>
      <x:c r="K117" s="21" t="str">
        <x:v>urgent threat</x:v>
      </x:c>
      <x:c r="L117" s="22" t="str">
        <x:v>EXACT</x:v>
      </x:c>
      <x:c r="M117" s="21" t="str">
        <x:v>SUCCEEDED_NEW</x:v>
      </x:c>
      <x:c r="N117" s="21" t="str">
        <x:v>FT-Q-P180-98AE32748827</x:v>
      </x:c>
      <x:c r="O117" s="22" t="str">
        <x:v>1842</x:v>
      </x:c>
      <x:c r="P117" s="22" t="str">
        <x:v>2022</x:v>
      </x:c>
      <x:c r="Q117" s="22" t="str">
        <x:v>1884</x:v>
      </x:c>
      <x:c r="R117" s="22" t="str">
        <x:v>103</x:v>
      </x:c>
      <x:c r="S117" s="22" t="str">
        <x:v>2021</x:v>
      </x:c>
      <x:c r="T117" s="43" t="str">
        <x:v>1.622662043621048e-08</x:v>
      </x:c>
      <x:c r="U117" s="43" t="str">
        <x:v>9.14479110492028e-09</x:v>
      </x:c>
      <x:c r="V117" s="43" t="str">
        <x:v>9.229664071214172e-09</x:v>
      </x:c>
      <x:c r="W117" s="43" t="str">
        <x:v>9.14479110492028e-09</x:v>
      </x:c>
      <x:c r="X117" s="43" t="str">
        <x:v>1.0885033707719316e-08</x:v>
      </x:c>
      <x:c r="Y117" s="43" t="str">
        <x:v>0.0</x:v>
      </x:c>
      <x:c r="Z117" s="43" t="str">
        <x:v>6.682316922024256e-10</x:v>
      </x:c>
      <x:c r="AA117" s="43" t="str">
        <x:v>3.948427806932386e-09</x:v>
      </x:c>
      <x:c r="AB117" s="43" t="str">
        <x:v>9.339471335190197e-09</x:v>
      </x:c>
      <x:c r="AC117" s="43" t="str">
        <x:v>8.950110874650363e-09</x:v>
      </x:c>
      <x:c r="AD117" s="43" t="str">
        <x:v>9.14479110492028e-09</x:v>
      </x:c>
      <x:c r="AE117" s="43" t="str">
        <x:v>9.387163449336988e-09</x:v>
      </x:c>
      <x:c r="AF117" s="43" t="str">
        <x:v>1.4156755517857889e-08</x:v>
      </x:c>
      <x:c r="AG117" s="23" t="str">
        <x:v>Candidate surface form is directly representable in the public Ngram interface. New unsmoothed 1842–2022 series retrieved for the candidate audit.</x:v>
      </x:c>
    </x:row>
    <x:row r="118" ht="19" customHeight="1">
      <x:c r="A118" s="20" t="str">
        <x:v>FT-SEED-R1B-P-0607-27</x:v>
      </x:c>
      <x:c r="B118" s="22" t="str">
        <x:v>2006–2007</x:v>
      </x:c>
      <x:c r="C118" s="22" t="str">
        <x:v>27</x:v>
      </x:c>
      <x:c r="D118" s="21" t="str">
        <x:v>dangerous impacts</x:v>
      </x:c>
      <x:c r="E118" s="21" t="str">
        <x:v>institutional climate threat</x:v>
      </x:c>
      <x:c r="F118" s="22" t="str">
        <x:v>danger_threat</x:v>
      </x:c>
      <x:c r="G118" s="22" t="str">
        <x:v>D</x:v>
      </x:c>
      <x:c r="H118" s="22" t="str">
        <x:v>V5</x:v>
      </x:c>
      <x:c r="I118" s="22" t="str">
        <x:v>E5</x:v>
      </x:c>
      <x:c r="J118" s="21" t="str">
        <x:v>RECONSTRUCTED_FROM_REPORT; Fear of Temperature_ Stratified Lexical Expansion, Voice Mapping, and Semantic-Relational Pre-Valida.pdf; p.10; project candidate FT-SEED-R1B-P-0607-27; original visible ID not available</x:v>
      </x:c>
      <x:c r="K118" s="21" t="str">
        <x:v>dangerous impacts</x:v>
      </x:c>
      <x:c r="L118" s="22" t="str">
        <x:v>EXACT</x:v>
      </x:c>
      <x:c r="M118" s="21" t="str">
        <x:v>SUCCEEDED_NEW</x:v>
      </x:c>
      <x:c r="N118" s="21" t="str">
        <x:v>FT-Q-P180-70F007765CE8</x:v>
      </x:c>
      <x:c r="O118" s="22" t="str">
        <x:v>1842</x:v>
      </x:c>
      <x:c r="P118" s="22" t="str">
        <x:v>2022</x:v>
      </x:c>
      <x:c r="Q118" s="22" t="str">
        <x:v>1911</x:v>
      </x:c>
      <x:c r="R118" s="22" t="str">
        <x:v>79</x:v>
      </x:c>
      <x:c r="S118" s="22" t="str">
        <x:v>2021</x:v>
      </x:c>
      <x:c r="T118" s="43" t="str">
        <x:v>3.806831773423003e-09</x:v>
      </x:c>
      <x:c r="U118" s="43" t="str">
        <x:v>1.7448578276679783e-09</x:v>
      </x:c>
      <x:c r="V118" s="43" t="str">
        <x:v>1.6972862126179988e-09</x:v>
      </x:c>
      <x:c r="W118" s="43" t="str">
        <x:v>1.7448578276679783e-09</x:v>
      </x:c>
      <x:c r="X118" s="43" t="str">
        <x:v>2.186513255175715e-09</x:v>
      </x:c>
      <x:c r="Y118" s="43" t="str">
        <x:v>0.0</x:v>
      </x:c>
      <x:c r="Z118" s="43" t="str">
        <x:v>0.0</x:v>
      </x:c>
      <x:c r="AA118" s="43" t="str">
        <x:v>1.97421398673292e-10</x:v>
      </x:c>
      <x:c r="AB118" s="43" t="str">
        <x:v>1.5107968487360068e-09</x:v>
      </x:c>
      <x:c r="AC118" s="43" t="str">
        <x:v>1.9789188065999497e-09</x:v>
      </x:c>
      <x:c r="AD118" s="43" t="str">
        <x:v>1.7448578276679783e-09</x:v>
      </x:c>
      <x:c r="AE118" s="43" t="str">
        <x:v>3.6894821503485886e-09</x:v>
      </x:c>
      <x:c r="AF118" s="43" t="str">
        <x:v>3.4507092738778056e-09</x:v>
      </x:c>
      <x:c r="AG118" s="23" t="str">
        <x:v>Candidate surface form is directly representable in the public Ngram interface. New unsmoothed 1842–2022 series retrieved for the candidate audit.</x:v>
      </x:c>
    </x:row>
    <x:row r="119" ht="19" customHeight="1">
      <x:c r="A119" s="20" t="str">
        <x:v>FT-SEED-R1B-P-0607-28</x:v>
      </x:c>
      <x:c r="B119" s="22" t="str">
        <x:v>2006–2007</x:v>
      </x:c>
      <x:c r="C119" s="22" t="str">
        <x:v>28</x:v>
      </x:c>
      <x:c r="D119" s="21" t="str">
        <x:v>drastic action</x:v>
      </x:c>
      <x:c r="E119" s="21" t="str">
        <x:v>generic damage</x:v>
      </x:c>
      <x:c r="F119" s="22" t="str">
        <x:v>harm_loss_consequences</x:v>
      </x:c>
      <x:c r="G119" s="22" t="str">
        <x:v>D</x:v>
      </x:c>
      <x:c r="H119" s="22" t="str">
        <x:v>V5</x:v>
      </x:c>
      <x:c r="I119" s="22" t="str">
        <x:v>E5</x:v>
      </x:c>
      <x:c r="J119" s="21" t="str">
        <x:v>RECONSTRUCTED_FROM_REPORT; Fear of Temperature_ Stratified Lexical Expansion, Voice Mapping, and Semantic-Relational Pre-Valida.pdf; p.10; project candidate FT-SEED-R1B-P-0607-28; original visible ID not available</x:v>
      </x:c>
      <x:c r="K119" s="21" t="str">
        <x:v>drastic action</x:v>
      </x:c>
      <x:c r="L119" s="22" t="str">
        <x:v>EXACT</x:v>
      </x:c>
      <x:c r="M119" s="21" t="str">
        <x:v>SUCCEEDED_NEW</x:v>
      </x:c>
      <x:c r="N119" s="21" t="str">
        <x:v>FT-Q-P180-474C80D4E4A5</x:v>
      </x:c>
      <x:c r="O119" s="22" t="str">
        <x:v>1842</x:v>
      </x:c>
      <x:c r="P119" s="22" t="str">
        <x:v>2022</x:v>
      </x:c>
      <x:c r="Q119" s="22" t="str">
        <x:v>1843</x:v>
      </x:c>
      <x:c r="R119" s="22" t="str">
        <x:v>177</x:v>
      </x:c>
      <x:c r="S119" s="22" t="str">
        <x:v>1918</x:v>
      </x:c>
      <x:c r="T119" s="43" t="str">
        <x:v>4.5693959421777564e-07</x:v>
      </x:c>
      <x:c r="U119" s="43" t="str">
        <x:v>9.450825471345181e-08</x:v>
      </x:c>
      <x:c r="V119" s="43" t="str">
        <x:v>9.88963815796648e-08</x:v>
      </x:c>
      <x:c r="W119" s="43" t="str">
        <x:v>9.627058759377471e-08</x:v>
      </x:c>
      <x:c r="X119" s="43" t="str">
        <x:v>1.0942072858899365e-07</x:v>
      </x:c>
      <x:c r="Y119" s="43" t="str">
        <x:v>0.0</x:v>
      </x:c>
      <x:c r="Z119" s="43" t="str">
        <x:v>2.901239415792345e-07</x:v>
      </x:c>
      <x:c r="AA119" s="43" t="str">
        <x:v>1.1652797748951116e-07</x:v>
      </x:c>
      <x:c r="AB119" s="43" t="str">
        <x:v>9.362362254211609e-08</x:v>
      </x:c>
      <x:c r="AC119" s="43" t="str">
        <x:v>9.539288688478753e-08</x:v>
      </x:c>
      <x:c r="AD119" s="43" t="str">
        <x:v>9.450825471345181e-08</x:v>
      </x:c>
      <x:c r="AE119" s="43" t="str">
        <x:v>1.15121183360406e-07</x:v>
      </x:c>
      <x:c r="AF119" s="43" t="str">
        <x:v>8.657740815931625e-08</x:v>
      </x:c>
      <x:c r="AG119" s="23" t="str">
        <x:v>Candidate surface form is directly representable in the public Ngram interface. New unsmoothed 1842–2022 series retrieved for the candidate audit.</x:v>
      </x:c>
    </x:row>
    <x:row r="120" ht="19" customHeight="1">
      <x:c r="A120" s="20" t="str">
        <x:v>FT-SEED-R1B-P-0607-29</x:v>
      </x:c>
      <x:c r="B120" s="22" t="str">
        <x:v>2006–2007</x:v>
      </x:c>
      <x:c r="C120" s="22" t="str">
        <x:v>29</x:v>
      </x:c>
      <x:c r="D120" s="21" t="str">
        <x:v>dangerous climate change</x:v>
      </x:c>
      <x:c r="E120" s="21" t="str">
        <x:v>modern climate change</x:v>
      </x:c>
      <x:c r="F120" s="22" t="str">
        <x:v>climate</x:v>
      </x:c>
      <x:c r="G120" s="22" t="str">
        <x:v>D</x:v>
      </x:c>
      <x:c r="H120" s="22" t="str">
        <x:v>V4</x:v>
      </x:c>
      <x:c r="I120" s="22" t="str">
        <x:v>E5</x:v>
      </x:c>
      <x:c r="J120" s="21" t="str">
        <x:v>RECONSTRUCTED_FROM_REPORT; Fear of Temperature_ Stratified Lexical Expansion, Voice Mapping, and Semantic-Relational Pre-Valida.pdf; p.10; project candidate FT-SEED-R1B-P-0607-29; original visible ID not available</x:v>
      </x:c>
      <x:c r="K120" s="21" t="str">
        <x:v>dangerous climate change</x:v>
      </x:c>
      <x:c r="L120" s="22" t="str">
        <x:v>EXACT</x:v>
      </x:c>
      <x:c r="M120" s="21" t="str">
        <x:v>SUCCEEDED_NEW</x:v>
      </x:c>
      <x:c r="N120" s="21" t="str">
        <x:v>FT-Q-P180-F88C2B918C1B</x:v>
      </x:c>
      <x:c r="O120" s="22" t="str">
        <x:v>1842</x:v>
      </x:c>
      <x:c r="P120" s="22" t="str">
        <x:v>2022</x:v>
      </x:c>
      <x:c r="Q120" s="22" t="str">
        <x:v>1843</x:v>
      </x:c>
      <x:c r="R120" s="22" t="str">
        <x:v>43</x:v>
      </x:c>
      <x:c r="S120" s="22" t="str">
        <x:v>2009</x:v>
      </x:c>
      <x:c r="T120" s="43" t="str">
        <x:v>5.960008092609215e-08</x:v>
      </x:c>
      <x:c r="U120" s="43" t="str">
        <x:v>4.0968505851668446e-08</x:v>
      </x:c>
      <x:c r="V120" s="43" t="str">
        <x:v>3.854462884284038e-08</x:v>
      </x:c>
      <x:c r="W120" s="43" t="str">
        <x:v>4.0968505851668446e-08</x:v>
      </x:c>
      <x:c r="X120" s="43" t="str">
        <x:v>5.1406288892330565e-08</x:v>
      </x:c>
      <x:c r="Y120" s="43" t="str">
        <x:v>0.0</x:v>
      </x:c>
      <x:c r="Z120" s="43" t="str">
        <x:v>0.0</x:v>
      </x:c>
      <x:c r="AA120" s="43" t="str">
        <x:v>0.0</x:v>
      </x:c>
      <x:c r="AB120" s="43" t="str">
        <x:v>3.349155683340932e-08</x:v>
      </x:c>
      <x:c r="AC120" s="43" t="str">
        <x:v>4.8445454869927573e-08</x:v>
      </x:c>
      <x:c r="AD120" s="43" t="str">
        <x:v>4.0968505851668446e-08</x:v>
      </x:c>
      <x:c r="AE120" s="43" t="str">
        <x:v>5.3535918979191743e-08</x:v>
      </x:c>
      <x:c r="AF120" s="43" t="str">
        <x:v>2.9088631392504283e-08</x:v>
      </x:c>
      <x:c r="AG120" s="23" t="str">
        <x:v>Candidate surface form is directly representable in the public Ngram interface. New unsmoothed 1842–2022 series retrieved for the candidate audit.</x:v>
      </x:c>
    </x:row>
    <x:row r="121" ht="19" customHeight="1">
      <x:c r="A121" s="20" t="str">
        <x:v>FT-SEED-R1B-P-0607-30</x:v>
      </x:c>
      <x:c r="B121" s="22" t="str">
        <x:v>2006–2007</x:v>
      </x:c>
      <x:c r="C121" s="22" t="str">
        <x:v>30</x:v>
      </x:c>
      <x:c r="D121" s="21" t="str">
        <x:v>threatens serious negative effects</x:v>
      </x:c>
      <x:c r="E121" s="21" t="str">
        <x:v>institutional climate threat</x:v>
      </x:c>
      <x:c r="F121" s="22" t="str">
        <x:v>danger_threat</x:v>
      </x:c>
      <x:c r="G121" s="22" t="str">
        <x:v>D</x:v>
      </x:c>
      <x:c r="H121" s="22" t="str">
        <x:v>V4</x:v>
      </x:c>
      <x:c r="I121" s="22" t="str">
        <x:v>E5</x:v>
      </x:c>
      <x:c r="J121" s="21" t="str">
        <x:v>RECONSTRUCTED_FROM_REPORT; Fear of Temperature_ Stratified Lexical Expansion, Voice Mapping, and Semantic-Relational Pre-Valida.pdf; p.10; project candidate FT-SEED-R1B-P-0607-30; original visible ID not available</x:v>
      </x:c>
      <x:c r="K121" s="21" t="str">
        <x:v>threatens serious negative effects</x:v>
      </x:c>
      <x:c r="L121" s="22" t="str">
        <x:v>EXACT</x:v>
      </x:c>
      <x:c r="M121" s="21" t="str">
        <x:v>ZERO_RESPONSE_NEW</x:v>
      </x:c>
      <x:c r="N121" s="21" t="str">
        <x:v>FT-Q-P180-6C32D3302148</x:v>
      </x:c>
      <x:c r="O121" s="22" t="str">
        <x:v>1842</x:v>
      </x:c>
      <x:c r="P121" s="22" t="str">
        <x:v>2022</x:v>
      </x:c>
      <x:c r="Q121" s="22" t="str"/>
      <x:c r="R121" s="22" t="str">
        <x:v>0</x:v>
      </x:c>
      <x:c r="S121" s="22" t="str"/>
      <x:c r="T121" s="43" t="str"/>
      <x:c r="U121" s="43" t="str"/>
      <x:c r="V121" s="43" t="str"/>
      <x:c r="W121" s="43" t="str"/>
      <x:c r="X121" s="43" t="str"/>
      <x:c r="Y121" s="43" t="str"/>
      <x:c r="Z121" s="43" t="str"/>
      <x:c r="AA121" s="43" t="str"/>
      <x:c r="AB121" s="43" t="str"/>
      <x:c r="AC121" s="43" t="str"/>
      <x:c r="AD121" s="43" t="str"/>
      <x:c r="AE121" s="43" t="str"/>
      <x:c r="AF121" s="43" t="str"/>
      <x:c r="AG121" s="23" t="str">
        <x:v>Candidate surface form is directly representable in the public Ngram interface. The public Ngram endpoint returned an empty list; retained without fabricating annual zero frequencies.</x:v>
      </x:c>
    </x:row>
    <x:row r="122" ht="19" customHeight="1">
      <x:c r="A122" s="20" t="str">
        <x:v>FT-SEED-R1B-P-2015-01</x:v>
      </x:c>
      <x:c r="B122" s="22" t="str">
        <x:v>2015</x:v>
      </x:c>
      <x:c r="C122" s="22" t="str">
        <x:v>1</x:v>
      </x:c>
      <x:c r="D122" s="21" t="str">
        <x:v>climate change</x:v>
      </x:c>
      <x:c r="E122" s="21" t="str">
        <x:v>modern climate change</x:v>
      </x:c>
      <x:c r="F122" s="22" t="str">
        <x:v>climate</x:v>
      </x:c>
      <x:c r="G122" s="22" t="str">
        <x:v>B</x:v>
      </x:c>
      <x:c r="H122" s="22" t="str">
        <x:v>V2</x:v>
      </x:c>
      <x:c r="I122" s="22" t="str">
        <x:v>E5</x:v>
      </x:c>
      <x:c r="J122" s="21" t="str">
        <x:v>RECONSTRUCTED_FROM_REPORT; Fear of Temperature_ Stratified Lexical Expansion, Voice Mapping, and Semantic-Relational Pre-Valida.pdf; p.11; project candidate FT-SEED-R1B-P-2015-01; original visible ID not available</x:v>
      </x:c>
      <x:c r="K122" s="21" t="str">
        <x:v>climate change</x:v>
      </x:c>
      <x:c r="L122" s="22" t="str">
        <x:v>EXACT</x:v>
      </x:c>
      <x:c r="M122" s="21" t="str">
        <x:v>SUCCEEDED_REUSED_BASELINE</x:v>
      </x:c>
      <x:c r="N122" s="21" t="str">
        <x:v>FT-Q-V01-081</x:v>
      </x:c>
      <x:c r="O122" s="22" t="str">
        <x:v>1842</x:v>
      </x:c>
      <x:c r="P122" s="22" t="str">
        <x:v>2022</x:v>
      </x:c>
      <x:c r="Q122" s="22" t="str">
        <x:v>1842</x:v>
      </x:c>
      <x:c r="R122" s="22" t="str">
        <x:v>180</x:v>
      </x:c>
      <x:c r="S122" s="22" t="str">
        <x:v>2022</x:v>
      </x:c>
      <x:c r="T122" s="43" t="str">
        <x:v>2.890008815206735e-05</x:v>
      </x:c>
      <x:c r="U122" s="43" t="str">
        <x:v>1.967096413684616e-05</x:v>
      </x:c>
      <x:c r="V122" s="43" t="str">
        <x:v>1.8854750985463492e-05</x:v>
      </x:c>
      <x:c r="W122" s="43" t="str">
        <x:v>1.967096413684616e-05</x:v>
      </x:c>
      <x:c r="X122" s="43" t="str">
        <x:v>2.0139663738864833e-05</x:v>
      </x:c>
      <x:c r="Y122" s="43" t="str">
        <x:v>5.159906557583582e-09</x:v>
      </x:c>
      <x:c r="Z122" s="43" t="str">
        <x:v>2.5615549126278836e-09</x:v>
      </x:c>
      <x:c r="AA122" s="43" t="str">
        <x:v>1.2407935109301493e-06</x:v>
      </x:c>
      <x:c r="AB122" s="43" t="str">
        <x:v>8.716473492563492e-06</x:v>
      </x:c>
      <x:c r="AC122" s="43" t="str">
        <x:v>1.3191383831559489e-05</x:v>
      </x:c>
      <x:c r="AD122" s="43" t="str">
        <x:v>1.095392866206149e-05</x:v>
      </x:c>
      <x:c r="AE122" s="43" t="str">
        <x:v>1.967096413684616e-05</x:v>
      </x:c>
      <x:c r="AF122" s="43" t="str">
        <x:v>2.890008815206735e-05</x:v>
      </x:c>
      <x:c r="AG122" s="23" t="str">
        <x:v>Candidate surface form is directly representable in the public Ngram interface. Complete 1842–2022 unsmoothed series reused from the audited quantitative-v0.1 baseline.</x:v>
      </x:c>
    </x:row>
    <x:row r="123" ht="19" customHeight="1">
      <x:c r="A123" s="20" t="str">
        <x:v>FT-SEED-R1B-P-2015-02</x:v>
      </x:c>
      <x:c r="B123" s="22" t="str">
        <x:v>2015</x:v>
      </x:c>
      <x:c r="C123" s="22" t="str">
        <x:v>2</x:v>
      </x:c>
      <x:c r="D123" s="21" t="str">
        <x:v>threat of climate change</x:v>
      </x:c>
      <x:c r="E123" s="21" t="str">
        <x:v>modern climate change</x:v>
      </x:c>
      <x:c r="F123" s="22" t="str">
        <x:v>climate</x:v>
      </x:c>
      <x:c r="G123" s="22" t="str">
        <x:v>D</x:v>
      </x:c>
      <x:c r="H123" s="22" t="str">
        <x:v>V2</x:v>
      </x:c>
      <x:c r="I123" s="22" t="str">
        <x:v>E5</x:v>
      </x:c>
      <x:c r="J123" s="21" t="str">
        <x:v>RECONSTRUCTED_FROM_REPORT; Fear of Temperature_ Stratified Lexical Expansion, Voice Mapping, and Semantic-Relational Pre-Valida.pdf; p.11; project candidate FT-SEED-R1B-P-2015-02; original visible ID not available</x:v>
      </x:c>
      <x:c r="K123" s="21" t="str">
        <x:v>threat of climate change</x:v>
      </x:c>
      <x:c r="L123" s="22" t="str">
        <x:v>EXACT</x:v>
      </x:c>
      <x:c r="M123" s="21" t="str">
        <x:v>SUCCEEDED_REUSED_BASELINE</x:v>
      </x:c>
      <x:c r="N123" s="21" t="str">
        <x:v>FT-Q-V01-082</x:v>
      </x:c>
      <x:c r="O123" s="22" t="str">
        <x:v>1842</x:v>
      </x:c>
      <x:c r="P123" s="22" t="str">
        <x:v>2022</x:v>
      </x:c>
      <x:c r="Q123" s="22" t="str">
        <x:v>1900</x:v>
      </x:c>
      <x:c r="R123" s="22" t="str">
        <x:v>61</x:v>
      </x:c>
      <x:c r="S123" s="22" t="str">
        <x:v>2021</x:v>
      </x:c>
      <x:c r="T123" s="43" t="str">
        <x:v>1.1604019513333785e-07</x:v>
      </x:c>
      <x:c r="U123" s="43" t="str">
        <x:v>4.538047629343289e-08</x:v>
      </x:c>
      <x:c r="V123" s="43" t="str">
        <x:v>4.426350256348891e-08</x:v>
      </x:c>
      <x:c r="W123" s="43" t="str">
        <x:v>4.538047629343289e-08</x:v>
      </x:c>
      <x:c r="X123" s="43" t="str">
        <x:v>5.0742874530690374e-08</x:v>
      </x:c>
      <x:c r="Y123" s="43" t="str">
        <x:v>0.0</x:v>
      </x:c>
      <x:c r="Z123" s="43" t="str">
        <x:v>0.0</x:v>
      </x:c>
      <x:c r="AA123" s="43" t="str">
        <x:v>2.210996594143033e-09</x:v>
      </x:c>
      <x:c r="AB123" s="43" t="str">
        <x:v>2.3157137839235897e-08</x:v>
      </x:c>
      <x:c r="AC123" s="43" t="str">
        <x:v>3.566648866526467e-08</x:v>
      </x:c>
      <x:c r="AD123" s="43" t="str">
        <x:v>2.9411813252250285e-08</x:v>
      </x:c>
      <x:c r="AE123" s="43" t="str">
        <x:v>4.538047629343289e-08</x:v>
      </x:c>
      <x:c r="AF123" s="43" t="str">
        <x:v>1.1407222426373931e-07</x:v>
      </x:c>
      <x:c r="AG123" s="23" t="str">
        <x:v>Candidate surface form is directly representable in the public Ngram interface. Complete 1842–2022 unsmoothed series reused from the audited quantitative-v0.1 baseline.</x:v>
      </x:c>
    </x:row>
    <x:row r="124" ht="19" customHeight="1">
      <x:c r="A124" s="20" t="str">
        <x:v>FT-SEED-R1B-P-2015-03</x:v>
      </x:c>
      <x:c r="B124" s="22" t="str">
        <x:v>2015</x:v>
      </x:c>
      <x:c r="C124" s="22" t="str">
        <x:v>3</x:v>
      </x:c>
      <x:c r="D124" s="21" t="str">
        <x:v>global average temperature</x:v>
      </x:c>
      <x:c r="E124" s="21" t="str">
        <x:v>global aggregate temperature</x:v>
      </x:c>
      <x:c r="F124" s="22" t="str">
        <x:v>temperature_threshold</x:v>
      </x:c>
      <x:c r="G124" s="22" t="str">
        <x:v>A</x:v>
      </x:c>
      <x:c r="H124" s="22" t="str">
        <x:v>V2</x:v>
      </x:c>
      <x:c r="I124" s="22" t="str">
        <x:v>E5</x:v>
      </x:c>
      <x:c r="J124" s="21" t="str">
        <x:v>RECONSTRUCTED_FROM_REPORT; Fear of Temperature_ Stratified Lexical Expansion, Voice Mapping, and Semantic-Relational Pre-Valida.pdf; p.11; project candidate FT-SEED-R1B-P-2015-03; original visible ID not available</x:v>
      </x:c>
      <x:c r="K124" s="21" t="str">
        <x:v>global average temperature</x:v>
      </x:c>
      <x:c r="L124" s="22" t="str">
        <x:v>EXACT</x:v>
      </x:c>
      <x:c r="M124" s="21" t="str">
        <x:v>SUCCEEDED_REUSED_BASELINE</x:v>
      </x:c>
      <x:c r="N124" s="21" t="str">
        <x:v>FT-Q-V01-083</x:v>
      </x:c>
      <x:c r="O124" s="22" t="str">
        <x:v>1842</x:v>
      </x:c>
      <x:c r="P124" s="22" t="str">
        <x:v>2022</x:v>
      </x:c>
      <x:c r="Q124" s="22" t="str">
        <x:v>1869</x:v>
      </x:c>
      <x:c r="R124" s="22" t="str">
        <x:v>73</x:v>
      </x:c>
      <x:c r="S124" s="22" t="str">
        <x:v>2022</x:v>
      </x:c>
      <x:c r="T124" s="43" t="str">
        <x:v>7.577234045763603e-08</x:v>
      </x:c>
      <x:c r="U124" s="43" t="str">
        <x:v>4.038937463646253e-08</x:v>
      </x:c>
      <x:c r="V124" s="43" t="str">
        <x:v>4.3346591080406505e-08</x:v>
      </x:c>
      <x:c r="W124" s="43" t="str">
        <x:v>4.131762193493316e-08</x:v>
      </x:c>
      <x:c r="X124" s="43" t="str">
        <x:v>4.833277666982383e-08</x:v>
      </x:c>
      <x:c r="Y124" s="43" t="str">
        <x:v>0.0</x:v>
      </x:c>
      <x:c r="Z124" s="43" t="str">
        <x:v>0.0</x:v>
      </x:c>
      <x:c r="AA124" s="43" t="str">
        <x:v>6.216928000180033e-09</x:v>
      </x:c>
      <x:c r="AB124" s="43" t="str">
        <x:v>1.575490385374856e-08</x:v>
      </x:c>
      <x:c r="AC124" s="43" t="str">
        <x:v>2.793995544647654e-08</x:v>
      </x:c>
      <x:c r="AD124" s="43" t="str">
        <x:v>2.184742965011255e-08</x:v>
      </x:c>
      <x:c r="AE124" s="43" t="str">
        <x:v>4.038937463646253e-08</x:v>
      </x:c>
      <x:c r="AF124" s="43" t="str">
        <x:v>7.577234045763603e-08</x:v>
      </x:c>
      <x:c r="AG124" s="23" t="str">
        <x:v>Candidate surface form is directly representable in the public Ngram interface. Complete 1842–2022 unsmoothed series reused from the audited quantitative-v0.1 baseline.</x:v>
      </x:c>
    </x:row>
    <x:row r="125" ht="19" customHeight="1">
      <x:c r="A125" s="20" t="str">
        <x:v>FT-SEED-R1B-P-2015-04</x:v>
      </x:c>
      <x:c r="B125" s="22" t="str">
        <x:v>2015</x:v>
      </x:c>
      <x:c r="C125" s="22" t="str">
        <x:v>4</x:v>
      </x:c>
      <x:c r="D125" s="21" t="str">
        <x:v>well below 2°C above pre-industrial levels</x:v>
      </x:c>
      <x:c r="E125" s="21" t="str">
        <x:v>2°C threshold</x:v>
      </x:c>
      <x:c r="F125" s="22" t="str">
        <x:v>temperature_threshold</x:v>
      </x:c>
      <x:c r="G125" s="22" t="str">
        <x:v>A</x:v>
      </x:c>
      <x:c r="H125" s="22" t="str">
        <x:v>V2</x:v>
      </x:c>
      <x:c r="I125" s="22" t="str">
        <x:v>E5</x:v>
      </x:c>
      <x:c r="J125" s="21" t="str">
        <x:v>RECONSTRUCTED_FROM_REPORT; Fear of Temperature_ Stratified Lexical Expansion, Voice Mapping, and Semantic-Relational Pre-Valida.pdf; p.11; project candidate FT-SEED-R1B-P-2015-04; original visible ID not available</x:v>
      </x:c>
      <x:c r="K125" s="21" t="str">
        <x:v>well below two degrees above pre-industrial levels</x:v>
      </x:c>
      <x:c r="L125" s="22" t="str">
        <x:v>VALIDATED_ALIAS</x:v>
      </x:c>
      <x:c r="M125" s="21" t="str">
        <x:v>ZERO_RESPONSE_NEW</x:v>
      </x:c>
      <x:c r="N125" s="21" t="str">
        <x:v>FT-Q-V01-084</x:v>
      </x:c>
      <x:c r="O125" s="22" t="str">
        <x:v>1842</x:v>
      </x:c>
      <x:c r="P125" s="22" t="str">
        <x:v>2022</x:v>
      </x:c>
      <x:c r="Q125" s="22" t="str"/>
      <x:c r="R125" s="22" t="str">
        <x:v>0</x:v>
      </x:c>
      <x:c r="S125" s="22" t="str"/>
      <x:c r="T125" s="43" t="str"/>
      <x:c r="U125" s="43" t="str"/>
      <x:c r="V125" s="43" t="str"/>
      <x:c r="W125" s="43" t="str"/>
      <x:c r="X125" s="43" t="str"/>
      <x:c r="Y125" s="43" t="str"/>
      <x:c r="Z125" s="43" t="str"/>
      <x:c r="AA125" s="43" t="str"/>
      <x:c r="AB125" s="43" t="str"/>
      <x:c r="AC125" s="43" t="str"/>
      <x:c r="AD125" s="43" t="str"/>
      <x:c r="AE125" s="43" t="str"/>
      <x:c r="AF125" s="43" t="str"/>
      <x:c r="AG125" s="23" t="str">
        <x:v>The symbolic temperature is verbalized for the Ngram interface without changing the treaty threshold relation. The public Ngram endpoint returned an empty list; retained without fabricating annual zero frequencies.</x:v>
      </x:c>
    </x:row>
    <x:row r="126" ht="19" customHeight="1">
      <x:c r="A126" s="20" t="str">
        <x:v>FT-SEED-R1B-P-2015-05</x:v>
      </x:c>
      <x:c r="B126" s="22" t="str">
        <x:v>2015</x:v>
      </x:c>
      <x:c r="C126" s="22" t="str">
        <x:v>5</x:v>
      </x:c>
      <x:c r="D126" s="21" t="str">
        <x:v>1.5°C above pre-industrial levels</x:v>
      </x:c>
      <x:c r="E126" s="21" t="str">
        <x:v>1.5°C threshold</x:v>
      </x:c>
      <x:c r="F126" s="22" t="str">
        <x:v>temperature_threshold</x:v>
      </x:c>
      <x:c r="G126" s="22" t="str">
        <x:v>A</x:v>
      </x:c>
      <x:c r="H126" s="22" t="str">
        <x:v>V2</x:v>
      </x:c>
      <x:c r="I126" s="22" t="str">
        <x:v>E5</x:v>
      </x:c>
      <x:c r="J126" s="21" t="str">
        <x:v>RECONSTRUCTED_FROM_REPORT; Fear of Temperature_ Stratified Lexical Expansion, Voice Mapping, and Semantic-Relational Pre-Valida.pdf; p.11; project candidate FT-SEED-R1B-P-2015-05; original visible ID not available</x:v>
      </x:c>
      <x:c r="K126" s="21" t="str">
        <x:v>one point five degrees above pre-industrial levels</x:v>
      </x:c>
      <x:c r="L126" s="22" t="str">
        <x:v>VALIDATED_ALIAS</x:v>
      </x:c>
      <x:c r="M126" s="21" t="str">
        <x:v>ZERO_RESPONSE_NEW</x:v>
      </x:c>
      <x:c r="N126" s="21" t="str">
        <x:v>FT-Q-V01-085</x:v>
      </x:c>
      <x:c r="O126" s="22" t="str">
        <x:v>1842</x:v>
      </x:c>
      <x:c r="P126" s="22" t="str">
        <x:v>2022</x:v>
      </x:c>
      <x:c r="Q126" s="22" t="str"/>
      <x:c r="R126" s="22" t="str">
        <x:v>0</x:v>
      </x:c>
      <x:c r="S126" s="22" t="str"/>
      <x:c r="T126" s="43" t="str"/>
      <x:c r="U126" s="43" t="str"/>
      <x:c r="V126" s="43" t="str"/>
      <x:c r="W126" s="43" t="str"/>
      <x:c r="X126" s="43" t="str"/>
      <x:c r="Y126" s="43" t="str"/>
      <x:c r="Z126" s="43" t="str"/>
      <x:c r="AA126" s="43" t="str"/>
      <x:c r="AB126" s="43" t="str"/>
      <x:c r="AC126" s="43" t="str"/>
      <x:c r="AD126" s="43" t="str"/>
      <x:c r="AE126" s="43" t="str"/>
      <x:c r="AF126" s="43" t="str"/>
      <x:c r="AG126" s="23" t="str">
        <x:v>The decimal degree notation is verbalized for the Ngram interface without changing the treaty threshold relation. The public Ngram endpoint returned an empty list; retained without fabricating annual zero frequencies.</x:v>
      </x:c>
    </x:row>
    <x:row r="127" ht="19" customHeight="1">
      <x:c r="A127" s="20" t="str">
        <x:v>FT-SEED-R1B-P-2015-06</x:v>
      </x:c>
      <x:c r="B127" s="22" t="str">
        <x:v>2015</x:v>
      </x:c>
      <x:c r="C127" s="22" t="str">
        <x:v>6</x:v>
      </x:c>
      <x:c r="D127" s="21" t="str">
        <x:v>pre-industrial levels</x:v>
      </x:c>
      <x:c r="E127" s="21" t="str">
        <x:v>historical climate / climatological condition</x:v>
      </x:c>
      <x:c r="F127" s="22" t="str">
        <x:v>climate</x:v>
      </x:c>
      <x:c r="G127" s="22" t="str">
        <x:v>B</x:v>
      </x:c>
      <x:c r="H127" s="22" t="str">
        <x:v>V2</x:v>
      </x:c>
      <x:c r="I127" s="22" t="str">
        <x:v>E5</x:v>
      </x:c>
      <x:c r="J127" s="21" t="str">
        <x:v>RECONSTRUCTED_FROM_REPORT; Fear of Temperature_ Stratified Lexical Expansion, Voice Mapping, and Semantic-Relational Pre-Valida.pdf; p.11; project candidate FT-SEED-R1B-P-2015-06; original visible ID not available</x:v>
      </x:c>
      <x:c r="K127" s="21" t="str">
        <x:v>pre-industrial levels</x:v>
      </x:c>
      <x:c r="L127" s="22" t="str">
        <x:v>EXACT</x:v>
      </x:c>
      <x:c r="M127" s="21" t="str">
        <x:v>SUCCEEDED_REUSED_BASELINE</x:v>
      </x:c>
      <x:c r="N127" s="21" t="str">
        <x:v>FT-Q-V01-086</x:v>
      </x:c>
      <x:c r="O127" s="22" t="str">
        <x:v>1842</x:v>
      </x:c>
      <x:c r="P127" s="22" t="str">
        <x:v>2022</x:v>
      </x:c>
      <x:c r="Q127" s="22" t="str">
        <x:v>1843</x:v>
      </x:c>
      <x:c r="R127" s="22" t="str">
        <x:v>71</x:v>
      </x:c>
      <x:c r="S127" s="22" t="str">
        <x:v>2022</x:v>
      </x:c>
      <x:c r="T127" s="43" t="str">
        <x:v>1.564491737549023e-07</x:v>
      </x:c>
      <x:c r="U127" s="43" t="str">
        <x:v>3.183085471591962e-08</x:v>
      </x:c>
      <x:c r="V127" s="43" t="str">
        <x:v>3.5058934146995714e-08</x:v>
      </x:c>
      <x:c r="W127" s="43" t="str">
        <x:v>3.183085471591962e-08</x:v>
      </x:c>
      <x:c r="X127" s="43" t="str">
        <x:v>4.467634775323637e-08</x:v>
      </x:c>
      <x:c r="Y127" s="43" t="str">
        <x:v>0.0</x:v>
      </x:c>
      <x:c r="Z127" s="43" t="str">
        <x:v>0.0</x:v>
      </x:c>
      <x:c r="AA127" s="43" t="str">
        <x:v>3.406129822636217e-09</x:v>
      </x:c>
      <x:c r="AB127" s="43" t="str">
        <x:v>1.9216646059139197e-08</x:v>
      </x:c>
      <x:c r="AC127" s="43" t="str">
        <x:v>2.4358890446385395e-08</x:v>
      </x:c>
      <x:c r="AD127" s="43" t="str">
        <x:v>2.1787768252762296e-08</x:v>
      </x:c>
      <x:c r="AE127" s="43" t="str">
        <x:v>3.183085471591962e-08</x:v>
      </x:c>
      <x:c r="AF127" s="43" t="str">
        <x:v>1.564491737549023e-07</x:v>
      </x:c>
      <x:c r="AG127" s="23" t="str">
        <x:v>Candidate surface form is directly representable in the public Ngram interface. Complete 1842–2022 unsmoothed series reused from the audited quantitative-v0.1 baseline.</x:v>
      </x:c>
    </x:row>
    <x:row r="128" ht="19" customHeight="1">
      <x:c r="A128" s="20" t="str">
        <x:v>FT-SEED-R1B-P-2015-07</x:v>
      </x:c>
      <x:c r="B128" s="22" t="str">
        <x:v>2015</x:v>
      </x:c>
      <x:c r="C128" s="22" t="str">
        <x:v>7</x:v>
      </x:c>
      <x:c r="D128" s="21" t="str">
        <x:v>risks and impacts</x:v>
      </x:c>
      <x:c r="E128" s="21" t="str">
        <x:v>administrative risk assessment</x:v>
      </x:c>
      <x:c r="F128" s="22" t="str">
        <x:v>risk</x:v>
      </x:c>
      <x:c r="G128" s="22" t="str">
        <x:v>D</x:v>
      </x:c>
      <x:c r="H128" s="22" t="str">
        <x:v>V2</x:v>
      </x:c>
      <x:c r="I128" s="22" t="str">
        <x:v>E5</x:v>
      </x:c>
      <x:c r="J128" s="21" t="str">
        <x:v>RECONSTRUCTED_FROM_REPORT; Fear of Temperature_ Stratified Lexical Expansion, Voice Mapping, and Semantic-Relational Pre-Valida.pdf; p.11; project candidate FT-SEED-R1B-P-2015-07; original visible ID not available</x:v>
      </x:c>
      <x:c r="K128" s="21" t="str">
        <x:v>risks and impacts</x:v>
      </x:c>
      <x:c r="L128" s="22" t="str">
        <x:v>EXACT</x:v>
      </x:c>
      <x:c r="M128" s="21" t="str">
        <x:v>SUCCEEDED_REUSED_BASELINE</x:v>
      </x:c>
      <x:c r="N128" s="21" t="str">
        <x:v>FT-Q-V01-087</x:v>
      </x:c>
      <x:c r="O128" s="22" t="str">
        <x:v>1842</x:v>
      </x:c>
      <x:c r="P128" s="22" t="str">
        <x:v>2022</x:v>
      </x:c>
      <x:c r="Q128" s="22" t="str">
        <x:v>1901</x:v>
      </x:c>
      <x:c r="R128" s="22" t="str">
        <x:v>64</x:v>
      </x:c>
      <x:c r="S128" s="22" t="str">
        <x:v>2022</x:v>
      </x:c>
      <x:c r="T128" s="43" t="str">
        <x:v>4.441337393690237e-08</x:v>
      </x:c>
      <x:c r="U128" s="43" t="str">
        <x:v>1.904498948129829e-08</x:v>
      </x:c>
      <x:c r="V128" s="43" t="str">
        <x:v>1.882378900322501e-08</x:v>
      </x:c>
      <x:c r="W128" s="43" t="str">
        <x:v>1.904498948129829e-08</x:v>
      </x:c>
      <x:c r="X128" s="43" t="str">
        <x:v>2.0960154320515123e-08</x:v>
      </x:c>
      <x:c r="Y128" s="43" t="str">
        <x:v>0.0</x:v>
      </x:c>
      <x:c r="Z128" s="43" t="str">
        <x:v>0.0</x:v>
      </x:c>
      <x:c r="AA128" s="43" t="str">
        <x:v>3.730156780679117e-09</x:v>
      </x:c>
      <x:c r="AB128" s="43" t="str">
        <x:v>8.719695195058552e-09</x:v>
      </x:c>
      <x:c r="AC128" s="43" t="str">
        <x:v>1.1710486191862657e-08</x:v>
      </x:c>
      <x:c r="AD128" s="43" t="str">
        <x:v>1.0215090693460604e-08</x:v>
      </x:c>
      <x:c r="AE128" s="43" t="str">
        <x:v>1.904498948129829e-08</x:v>
      </x:c>
      <x:c r="AF128" s="43" t="str">
        <x:v>4.441337393690237e-08</x:v>
      </x:c>
      <x:c r="AG128" s="23" t="str">
        <x:v>Candidate surface form is directly representable in the public Ngram interface. Complete 1842–2022 unsmoothed series reused from the audited quantitative-v0.1 baseline.</x:v>
      </x:c>
    </x:row>
    <x:row r="129" ht="19" customHeight="1">
      <x:c r="A129" s="20" t="str">
        <x:v>FT-SEED-R1B-P-2015-08</x:v>
      </x:c>
      <x:c r="B129" s="22" t="str">
        <x:v>2015</x:v>
      </x:c>
      <x:c r="C129" s="22" t="str">
        <x:v>8</x:v>
      </x:c>
      <x:c r="D129" s="21" t="str">
        <x:v>adverse impacts</x:v>
      </x:c>
      <x:c r="E129" s="21" t="str">
        <x:v>generic damage</x:v>
      </x:c>
      <x:c r="F129" s="22" t="str">
        <x:v>harm_loss_consequences</x:v>
      </x:c>
      <x:c r="G129" s="22" t="str">
        <x:v>D</x:v>
      </x:c>
      <x:c r="H129" s="22" t="str">
        <x:v>V2</x:v>
      </x:c>
      <x:c r="I129" s="22" t="str">
        <x:v>E5</x:v>
      </x:c>
      <x:c r="J129" s="21" t="str">
        <x:v>RECONSTRUCTED_FROM_REPORT; Fear of Temperature_ Stratified Lexical Expansion, Voice Mapping, and Semantic-Relational Pre-Valida.pdf; p.11; project candidate FT-SEED-R1B-P-2015-08; original visible ID not available</x:v>
      </x:c>
      <x:c r="K129" s="21" t="str">
        <x:v>adverse impacts</x:v>
      </x:c>
      <x:c r="L129" s="22" t="str">
        <x:v>EXACT</x:v>
      </x:c>
      <x:c r="M129" s="21" t="str">
        <x:v>SUCCEEDED_REUSED_BASELINE</x:v>
      </x:c>
      <x:c r="N129" s="21" t="str">
        <x:v>FT-Q-V01-088</x:v>
      </x:c>
      <x:c r="O129" s="22" t="str">
        <x:v>1842</x:v>
      </x:c>
      <x:c r="P129" s="22" t="str">
        <x:v>2022</x:v>
      </x:c>
      <x:c r="Q129" s="22" t="str">
        <x:v>1847</x:v>
      </x:c>
      <x:c r="R129" s="22" t="str">
        <x:v>118</x:v>
      </x:c>
      <x:c r="S129" s="22" t="str">
        <x:v>2008</x:v>
      </x:c>
      <x:c r="T129" s="43" t="str">
        <x:v>1.2637095669620901e-06</x:v>
      </x:c>
      <x:c r="U129" s="43" t="str">
        <x:v>2.372477044543242e-07</x:v>
      </x:c>
      <x:c r="V129" s="43" t="str">
        <x:v>2.6210660234819255e-07</x:v>
      </x:c>
      <x:c r="W129" s="43" t="str">
        <x:v>2.703218208166547e-07</x:v>
      </x:c>
      <x:c r="X129" s="43" t="str">
        <x:v>2.7875028177359873e-07</x:v>
      </x:c>
      <x:c r="Y129" s="43" t="str">
        <x:v>0.0</x:v>
      </x:c>
      <x:c r="Z129" s="43" t="str">
        <x:v>3.341158461012128e-10</x:v>
      </x:c>
      <x:c r="AA129" s="43" t="str">
        <x:v>7.824303560610701e-07</x:v>
      </x:c>
      <x:c r="AB129" s="43" t="str">
        <x:v>1.0024823677845518e-06</x:v>
      </x:c>
      <x:c r="AC129" s="43" t="str">
        <x:v>8.86375771003145e-07</x:v>
      </x:c>
      <x:c r="AD129" s="43" t="str">
        <x:v>9.444290693938484e-07</x:v>
      </x:c>
      <x:c r="AE129" s="43" t="str">
        <x:v>2.372477044543242e-07</x:v>
      </x:c>
      <x:c r="AF129" s="43" t="str">
        <x:v>3.1348365897576613e-07</x:v>
      </x:c>
      <x:c r="AG129" s="23" t="str">
        <x:v>Candidate surface form is directly representable in the public Ngram interface. Complete 1842–2022 unsmoothed series reused from the audited quantitative-v0.1 baseline.</x:v>
      </x:c>
    </x:row>
    <x:row r="130" ht="19" customHeight="1">
      <x:c r="A130" s="20" t="str">
        <x:v>FT-SEED-R1B-P-2015-09</x:v>
      </x:c>
      <x:c r="B130" s="22" t="str">
        <x:v>2015</x:v>
      </x:c>
      <x:c r="C130" s="22" t="str">
        <x:v>9</x:v>
      </x:c>
      <x:c r="D130" s="21" t="str">
        <x:v>adverse effects of climate change</x:v>
      </x:c>
      <x:c r="E130" s="21" t="str">
        <x:v>modern climate change</x:v>
      </x:c>
      <x:c r="F130" s="22" t="str">
        <x:v>climate</x:v>
      </x:c>
      <x:c r="G130" s="22" t="str">
        <x:v>D</x:v>
      </x:c>
      <x:c r="H130" s="22" t="str">
        <x:v>V2</x:v>
      </x:c>
      <x:c r="I130" s="22" t="str">
        <x:v>E5</x:v>
      </x:c>
      <x:c r="J130" s="21" t="str">
        <x:v>RECONSTRUCTED_FROM_REPORT; Fear of Temperature_ Stratified Lexical Expansion, Voice Mapping, and Semantic-Relational Pre-Valida.pdf; p.11; project candidate FT-SEED-R1B-P-2015-09; original visible ID not available</x:v>
      </x:c>
      <x:c r="K130" s="21" t="str">
        <x:v>adverse effects of climate change</x:v>
      </x:c>
      <x:c r="L130" s="22" t="str">
        <x:v>EXACT</x:v>
      </x:c>
      <x:c r="M130" s="21" t="str">
        <x:v>SUCCEEDED_REUSED_BASELINE</x:v>
      </x:c>
      <x:c r="N130" s="21" t="str">
        <x:v>FT-Q-V01-089</x:v>
      </x:c>
      <x:c r="O130" s="22" t="str">
        <x:v>1842</x:v>
      </x:c>
      <x:c r="P130" s="22" t="str">
        <x:v>2022</x:v>
      </x:c>
      <x:c r="Q130" s="22" t="str">
        <x:v>1901</x:v>
      </x:c>
      <x:c r="R130" s="22" t="str">
        <x:v>55</x:v>
      </x:c>
      <x:c r="S130" s="22" t="str">
        <x:v>2021</x:v>
      </x:c>
      <x:c r="T130" s="43" t="str">
        <x:v>6.824104539782105e-08</x:v>
      </x:c>
      <x:c r="U130" s="43" t="str">
        <x:v>3.449535698751838e-08</x:v>
      </x:c>
      <x:c r="V130" s="43" t="str">
        <x:v>3.321515398835295e-08</x:v>
      </x:c>
      <x:c r="W130" s="43" t="str">
        <x:v>3.449535698751838e-08</x:v>
      </x:c>
      <x:c r="X130" s="43" t="str">
        <x:v>4.084377236424075e-08</x:v>
      </x:c>
      <x:c r="Y130" s="43" t="str">
        <x:v>0.0</x:v>
      </x:c>
      <x:c r="Z130" s="43" t="str">
        <x:v>0.0</x:v>
      </x:c>
      <x:c r="AA130" s="43" t="str">
        <x:v>8.47171111040268e-10</x:v>
      </x:c>
      <x:c r="AB130" s="43" t="str">
        <x:v>1.8924337798209567e-08</x:v>
      </x:c>
      <x:c r="AC130" s="43" t="str">
        <x:v>1.7591320768117757e-08</x:v>
      </x:c>
      <x:c r="AD130" s="43" t="str">
        <x:v>1.8257829283163662e-08</x:v>
      </x:c>
      <x:c r="AE130" s="43" t="str">
        <x:v>3.449535698751838e-08</x:v>
      </x:c>
      <x:c r="AF130" s="43" t="str">
        <x:v>6.007298156140983e-08</x:v>
      </x:c>
      <x:c r="AG130" s="23" t="str">
        <x:v>Candidate surface form is directly representable in the public Ngram interface. Complete 1842–2022 unsmoothed series reused from the audited quantitative-v0.1 baseline.</x:v>
      </x:c>
    </x:row>
    <x:row r="131" ht="19" customHeight="1">
      <x:c r="A131" s="20" t="str">
        <x:v>FT-SEED-R1B-P-2015-10</x:v>
      </x:c>
      <x:c r="B131" s="22" t="str">
        <x:v>2015</x:v>
      </x:c>
      <x:c r="C131" s="22" t="str">
        <x:v>10</x:v>
      </x:c>
      <x:c r="D131" s="21" t="str">
        <x:v>greenhouse gas emissions</x:v>
      </x:c>
      <x:c r="E131" s="21" t="str">
        <x:v>anthropogenic greenhouse-gas emissions</x:v>
      </x:c>
      <x:c r="F131" s="22" t="str">
        <x:v>carbon_greenhouse</x:v>
      </x:c>
      <x:c r="G131" s="22" t="str">
        <x:v>B</x:v>
      </x:c>
      <x:c r="H131" s="22" t="str">
        <x:v>V2</x:v>
      </x:c>
      <x:c r="I131" s="22" t="str">
        <x:v>E5</x:v>
      </x:c>
      <x:c r="J131" s="21" t="str">
        <x:v>RECONSTRUCTED_FROM_REPORT; Fear of Temperature_ Stratified Lexical Expansion, Voice Mapping, and Semantic-Relational Pre-Valida.pdf; p.11; project candidate FT-SEED-R1B-P-2015-10; original visible ID not available</x:v>
      </x:c>
      <x:c r="K131" s="21" t="str">
        <x:v>greenhouse gas emissions</x:v>
      </x:c>
      <x:c r="L131" s="22" t="str">
        <x:v>EXACT</x:v>
      </x:c>
      <x:c r="M131" s="21" t="str">
        <x:v>SUCCEEDED_REUSED_BASELINE</x:v>
      </x:c>
      <x:c r="N131" s="21" t="str">
        <x:v>FT-Q-V01-090</x:v>
      </x:c>
      <x:c r="O131" s="22" t="str">
        <x:v>1842</x:v>
      </x:c>
      <x:c r="P131" s="22" t="str">
        <x:v>2022</x:v>
      </x:c>
      <x:c r="Q131" s="22" t="str">
        <x:v>1843</x:v>
      </x:c>
      <x:c r="R131" s="22" t="str">
        <x:v>102</x:v>
      </x:c>
      <x:c r="S131" s="22" t="str">
        <x:v>2009</x:v>
      </x:c>
      <x:c r="T131" s="43" t="str">
        <x:v>2.058088877550379e-06</x:v>
      </x:c>
      <x:c r="U131" s="43" t="str">
        <x:v>1.2874613679464408e-06</x:v>
      </x:c>
      <x:c r="V131" s="43" t="str">
        <x:v>1.2413949962905106e-06</x:v>
      </x:c>
      <x:c r="W131" s="43" t="str">
        <x:v>1.2874613679464408e-06</x:v>
      </x:c>
      <x:c r="X131" s="43" t="str">
        <x:v>1.3219732738628531e-06</x:v>
      </x:c>
      <x:c r="Y131" s="43" t="str">
        <x:v>0.0</x:v>
      </x:c>
      <x:c r="Z131" s="43" t="str">
        <x:v>0.0</x:v>
      </x:c>
      <x:c r="AA131" s="43" t="str">
        <x:v>6.1250253577394e-08</x:v>
      </x:c>
      <x:c r="AB131" s="43" t="str">
        <x:v>1.0909032338093927e-06</x:v>
      </x:c>
      <x:c r="AC131" s="43" t="str">
        <x:v>1.6686714108815615e-06</x:v>
      </x:c>
      <x:c r="AD131" s="43" t="str">
        <x:v>1.379787322345477e-06</x:v>
      </x:c>
      <x:c r="AE131" s="43" t="str">
        <x:v>1.2874613679464408e-06</x:v>
      </x:c>
      <x:c r="AF131" s="43" t="str">
        <x:v>1.6692617707675383e-06</x:v>
      </x:c>
      <x:c r="AG131" s="23" t="str">
        <x:v>Candidate surface form is directly representable in the public Ngram interface. Complete 1842–2022 unsmoothed series reused from the audited quantitative-v0.1 baseline.</x:v>
      </x:c>
    </x:row>
    <x:row r="132" ht="19" customHeight="1">
      <x:c r="A132" s="20" t="str">
        <x:v>FT-SEED-R1B-P-2015-11</x:v>
      </x:c>
      <x:c r="B132" s="22" t="str">
        <x:v>2015</x:v>
      </x:c>
      <x:c r="C132" s="22" t="str">
        <x:v>11</x:v>
      </x:c>
      <x:c r="D132" s="21" t="str">
        <x:v>climate resilience</x:v>
      </x:c>
      <x:c r="E132" s="21" t="str">
        <x:v>generic damage</x:v>
      </x:c>
      <x:c r="F132" s="22" t="str">
        <x:v>harm_loss_consequences</x:v>
      </x:c>
      <x:c r="G132" s="22" t="str">
        <x:v>D</x:v>
      </x:c>
      <x:c r="H132" s="22" t="str">
        <x:v>V2</x:v>
      </x:c>
      <x:c r="I132" s="22" t="str">
        <x:v>E5</x:v>
      </x:c>
      <x:c r="J132" s="21" t="str">
        <x:v>RECONSTRUCTED_FROM_REPORT; Fear of Temperature_ Stratified Lexical Expansion, Voice Mapping, and Semantic-Relational Pre-Valida.pdf; p.11; project candidate FT-SEED-R1B-P-2015-11; original visible ID not available</x:v>
      </x:c>
      <x:c r="K132" s="21" t="str">
        <x:v>climate resilience</x:v>
      </x:c>
      <x:c r="L132" s="22" t="str">
        <x:v>EXACT</x:v>
      </x:c>
      <x:c r="M132" s="21" t="str">
        <x:v>SUCCEEDED_REUSED_BASELINE</x:v>
      </x:c>
      <x:c r="N132" s="21" t="str">
        <x:v>FT-Q-V01-091</x:v>
      </x:c>
      <x:c r="O132" s="22" t="str">
        <x:v>1842</x:v>
      </x:c>
      <x:c r="P132" s="22" t="str">
        <x:v>2022</x:v>
      </x:c>
      <x:c r="Q132" s="22" t="str">
        <x:v>1901</x:v>
      </x:c>
      <x:c r="R132" s="22" t="str">
        <x:v>30</x:v>
      </x:c>
      <x:c r="S132" s="22" t="str">
        <x:v>2022</x:v>
      </x:c>
      <x:c r="T132" s="43" t="str">
        <x:v>2.3778926283579693e-07</x:v>
      </x:c>
      <x:c r="U132" s="43" t="str">
        <x:v>6.192725596904092e-08</x:v>
      </x:c>
      <x:c r="V132" s="43" t="str">
        <x:v>6.380985545275293e-08</x:v>
      </x:c>
      <x:c r="W132" s="43" t="str">
        <x:v>6.192725596904092e-08</x:v>
      </x:c>
      <x:c r="X132" s="43" t="str">
        <x:v>8.508418414265861e-08</x:v>
      </x:c>
      <x:c r="Y132" s="43" t="str">
        <x:v>0.0</x:v>
      </x:c>
      <x:c r="Z132" s="43" t="str">
        <x:v>0.0</x:v>
      </x:c>
      <x:c r="AA132" s="43" t="str">
        <x:v>0.0</x:v>
      </x:c>
      <x:c r="AB132" s="43" t="str">
        <x:v>7.782892767760341e-10</x:v>
      </x:c>
      <x:c r="AC132" s="43" t="str">
        <x:v>1.0794103388889198e-09</x:v>
      </x:c>
      <x:c r="AD132" s="43" t="str">
        <x:v>9.288498078324769e-10</x:v>
      </x:c>
      <x:c r="AE132" s="43" t="str">
        <x:v>6.192725596904092e-08</x:v>
      </x:c>
      <x:c r="AF132" s="43" t="str">
        <x:v>2.3778926283579693e-07</x:v>
      </x:c>
      <x:c r="AG132" s="23" t="str">
        <x:v>Candidate surface form is directly representable in the public Ngram interface. Complete 1842–2022 unsmoothed series reused from the audited quantitative-v0.1 baseline.</x:v>
      </x:c>
    </x:row>
    <x:row r="133" ht="19" customHeight="1">
      <x:c r="A133" s="20" t="str">
        <x:v>FT-SEED-R1B-P-2015-12</x:v>
      </x:c>
      <x:c r="B133" s="22" t="str">
        <x:v>2015</x:v>
      </x:c>
      <x:c r="C133" s="22" t="str">
        <x:v>12</x:v>
      </x:c>
      <x:c r="D133" s="21" t="str">
        <x:v>vulnerability</x:v>
      </x:c>
      <x:c r="E133" s="21" t="str">
        <x:v>vulnerability</x:v>
      </x:c>
      <x:c r="F133" s="22" t="str">
        <x:v>harm_loss_consequences</x:v>
      </x:c>
      <x:c r="G133" s="22" t="str">
        <x:v>D</x:v>
      </x:c>
      <x:c r="H133" s="22" t="str">
        <x:v>V2</x:v>
      </x:c>
      <x:c r="I133" s="22" t="str">
        <x:v>E5</x:v>
      </x:c>
      <x:c r="J133" s="21" t="str">
        <x:v>RECONSTRUCTED_FROM_REPORT; Fear of Temperature_ Stratified Lexical Expansion, Voice Mapping, and Semantic-Relational Pre-Valida.pdf; p.11; project candidate FT-SEED-R1B-P-2015-12; original visible ID not available</x:v>
      </x:c>
      <x:c r="K133" s="21" t="str">
        <x:v>vulnerability</x:v>
      </x:c>
      <x:c r="L133" s="22" t="str">
        <x:v>EXACT</x:v>
      </x:c>
      <x:c r="M133" s="21" t="str">
        <x:v>SUCCEEDED_REUSED_BASELINE</x:v>
      </x:c>
      <x:c r="N133" s="21" t="str">
        <x:v>FT-Q-V01-092</x:v>
      </x:c>
      <x:c r="O133" s="22" t="str">
        <x:v>1842</x:v>
      </x:c>
      <x:c r="P133" s="22" t="str">
        <x:v>2022</x:v>
      </x:c>
      <x:c r="Q133" s="22" t="str">
        <x:v>1842</x:v>
      </x:c>
      <x:c r="R133" s="22" t="str">
        <x:v>181</x:v>
      </x:c>
      <x:c r="S133" s="22" t="str">
        <x:v>2021</x:v>
      </x:c>
      <x:c r="T133" s="43" t="str">
        <x:v>1.2114193474133117e-05</x:v>
      </x:c>
      <x:c r="U133" s="43" t="str">
        <x:v>9.355508542086e-06</x:v>
      </x:c>
      <x:c r="V133" s="43" t="str">
        <x:v>9.594339388740991e-06</x:v>
      </x:c>
      <x:c r="W133" s="43" t="str">
        <x:v>9.355508542086e-06</x:v>
      </x:c>
      <x:c r="X133" s="43" t="str">
        <x:v>1.0346192734544957e-05</x:v>
      </x:c>
      <x:c r="Y133" s="43" t="str">
        <x:v>4.866453906515744e-09</x:v>
      </x:c>
      <x:c r="Z133" s="43" t="str">
        <x:v>3.1758592466957225e-07</x:v>
      </x:c>
      <x:c r="AA133" s="43" t="str">
        <x:v>3.529738691554485e-06</x:v>
      </x:c>
      <x:c r="AB133" s="43" t="str">
        <x:v>7.107033283659803e-06</x:v>
      </x:c>
      <x:c r="AC133" s="43" t="str">
        <x:v>7.274388785560859e-06</x:v>
      </x:c>
      <x:c r="AD133" s="43" t="str">
        <x:v>7.190711034610331e-06</x:v>
      </x:c>
      <x:c r="AE133" s="43" t="str">
        <x:v>9.355508542086e-06</x:v>
      </x:c>
      <x:c r="AF133" s="43" t="str">
        <x:v>1.1780358960322701e-05</x:v>
      </x:c>
      <x:c r="AG133" s="23" t="str">
        <x:v>Candidate surface form is directly representable in the public Ngram interface. Complete 1842–2022 unsmoothed series reused from the audited quantitative-v0.1 baseline.</x:v>
      </x:c>
    </x:row>
    <x:row r="134" ht="19" customHeight="1">
      <x:c r="A134" s="20" t="str">
        <x:v>FT-SEED-R1B-P-2015-13</x:v>
      </x:c>
      <x:c r="B134" s="22" t="str">
        <x:v>2015</x:v>
      </x:c>
      <x:c r="C134" s="22" t="str">
        <x:v>13</x:v>
      </x:c>
      <x:c r="D134" s="21" t="str">
        <x:v>vulnerable groups</x:v>
      </x:c>
      <x:c r="E134" s="21" t="str">
        <x:v>vulnerability</x:v>
      </x:c>
      <x:c r="F134" s="22" t="str">
        <x:v>harm_loss_consequences</x:v>
      </x:c>
      <x:c r="G134" s="22" t="str">
        <x:v>D</x:v>
      </x:c>
      <x:c r="H134" s="22" t="str">
        <x:v>V2</x:v>
      </x:c>
      <x:c r="I134" s="22" t="str">
        <x:v>E5</x:v>
      </x:c>
      <x:c r="J134" s="21" t="str">
        <x:v>RECONSTRUCTED_FROM_REPORT; Fear of Temperature_ Stratified Lexical Expansion, Voice Mapping, and Semantic-Relational Pre-Valida.pdf; p.11; project candidate FT-SEED-R1B-P-2015-13; original visible ID not available</x:v>
      </x:c>
      <x:c r="K134" s="21" t="str">
        <x:v>vulnerable groups</x:v>
      </x:c>
      <x:c r="L134" s="22" t="str">
        <x:v>EXACT</x:v>
      </x:c>
      <x:c r="M134" s="21" t="str">
        <x:v>SUCCEEDED_REUSED_BASELINE</x:v>
      </x:c>
      <x:c r="N134" s="21" t="str">
        <x:v>FT-Q-V01-093</x:v>
      </x:c>
      <x:c r="O134" s="22" t="str">
        <x:v>1842</x:v>
      </x:c>
      <x:c r="P134" s="22" t="str">
        <x:v>2022</x:v>
      </x:c>
      <x:c r="Q134" s="22" t="str">
        <x:v>1869</x:v>
      </x:c>
      <x:c r="R134" s="22" t="str">
        <x:v>117</x:v>
      </x:c>
      <x:c r="S134" s="22" t="str">
        <x:v>2022</x:v>
      </x:c>
      <x:c r="T134" s="43" t="str">
        <x:v>6.561656151760076e-07</x:v>
      </x:c>
      <x:c r="U134" s="43" t="str">
        <x:v>4.145763595753138e-07</x:v>
      </x:c>
      <x:c r="V134" s="43" t="str">
        <x:v>4.2210607039660136e-07</x:v>
      </x:c>
      <x:c r="W134" s="43" t="str">
        <x:v>4.145763595753138e-07</x:v>
      </x:c>
      <x:c r="X134" s="43" t="str">
        <x:v>4.7465426506604347e-07</x:v>
      </x:c>
      <x:c r="Y134" s="43" t="str">
        <x:v>0.0</x:v>
      </x:c>
      <x:c r="Z134" s="43" t="str">
        <x:v>2.5615548987500958e-09</x:v>
      </x:c>
      <x:c r="AA134" s="43" t="str">
        <x:v>1.8305899907034018e-07</x:v>
      </x:c>
      <x:c r="AB134" s="43" t="str">
        <x:v>5.319378349119552e-07</x:v>
      </x:c>
      <x:c r="AC134" s="43" t="str">
        <x:v>4.877135600170335e-07</x:v>
      </x:c>
      <x:c r="AD134" s="43" t="str">
        <x:v>5.098256974644944e-07</x:v>
      </x:c>
      <x:c r="AE134" s="43" t="str">
        <x:v>4.145763595753138e-07</x:v>
      </x:c>
      <x:c r="AF134" s="43" t="str">
        <x:v>6.561656151760076e-07</x:v>
      </x:c>
      <x:c r="AG134" s="23" t="str">
        <x:v>Candidate surface form is directly representable in the public Ngram interface. Complete 1842–2022 unsmoothed series reused from the audited quantitative-v0.1 baseline.</x:v>
      </x:c>
    </x:row>
    <x:row r="135" ht="19" customHeight="1">
      <x:c r="A135" s="20" t="str">
        <x:v>FT-SEED-R1B-P-2015-14</x:v>
      </x:c>
      <x:c r="B135" s="22" t="str">
        <x:v>2015</x:v>
      </x:c>
      <x:c r="C135" s="22" t="str">
        <x:v>14</x:v>
      </x:c>
      <x:c r="D135" s="21" t="str">
        <x:v>loss and damage</x:v>
      </x:c>
      <x:c r="E135" s="21" t="str">
        <x:v>loss and damage</x:v>
      </x:c>
      <x:c r="F135" s="22" t="str">
        <x:v>harm_loss_consequences</x:v>
      </x:c>
      <x:c r="G135" s="22" t="str">
        <x:v>D</x:v>
      </x:c>
      <x:c r="H135" s="22" t="str">
        <x:v>V2</x:v>
      </x:c>
      <x:c r="I135" s="22" t="str">
        <x:v>E5</x:v>
      </x:c>
      <x:c r="J135" s="21" t="str">
        <x:v>RECONSTRUCTED_FROM_REPORT; Fear of Temperature_ Stratified Lexical Expansion, Voice Mapping, and Semantic-Relational Pre-Valida.pdf; p.11; project candidate FT-SEED-R1B-P-2015-14; original visible ID not available</x:v>
      </x:c>
      <x:c r="K135" s="21" t="str">
        <x:v>loss and damage</x:v>
      </x:c>
      <x:c r="L135" s="22" t="str">
        <x:v>EXACT</x:v>
      </x:c>
      <x:c r="M135" s="21" t="str">
        <x:v>SUCCEEDED_REUSED_BASELINE</x:v>
      </x:c>
      <x:c r="N135" s="21" t="str">
        <x:v>FT-Q-V01-094</x:v>
      </x:c>
      <x:c r="O135" s="22" t="str">
        <x:v>1842</x:v>
      </x:c>
      <x:c r="P135" s="22" t="str">
        <x:v>2022</x:v>
      </x:c>
      <x:c r="Q135" s="22" t="str">
        <x:v>1842</x:v>
      </x:c>
      <x:c r="R135" s="22" t="str">
        <x:v>181</x:v>
      </x:c>
      <x:c r="S135" s="22" t="str">
        <x:v>1947</x:v>
      </x:c>
      <x:c r="T135" s="43" t="str">
        <x:v>1.5430762074220006e-06</x:v>
      </x:c>
      <x:c r="U135" s="43" t="str">
        <x:v>8.407788263178895e-08</x:v>
      </x:c>
      <x:c r="V135" s="43" t="str">
        <x:v>9.455398923321108e-08</x:v>
      </x:c>
      <x:c r="W135" s="43" t="str">
        <x:v>8.407788263178895e-08</x:v>
      </x:c>
      <x:c r="X135" s="43" t="str">
        <x:v>1.24899555420388e-07</x:v>
      </x:c>
      <x:c r="Y135" s="43" t="str">
        <x:v>1.3796192477322222e-07</x:v>
      </x:c>
      <x:c r="Z135" s="43" t="str">
        <x:v>8.379211266507092e-07</x:v>
      </x:c>
      <x:c r="AA135" s="43" t="str">
        <x:v>1.054715317444499e-07</x:v>
      </x:c>
      <x:c r="AB135" s="43" t="str">
        <x:v>7.471193348013161e-08</x:v>
      </x:c>
      <x:c r="AC135" s="43" t="str">
        <x:v>7.050587146062437e-08</x:v>
      </x:c>
      <x:c r="AD135" s="43" t="str">
        <x:v>7.260890247037799e-08</x:v>
      </x:c>
      <x:c r="AE135" s="43" t="str">
        <x:v>8.407788263178895e-08</x:v>
      </x:c>
      <x:c r="AF135" s="43" t="str">
        <x:v>1.615246781744295e-07</x:v>
      </x:c>
      <x:c r="AG135" s="23" t="str">
        <x:v>Candidate surface form is directly representable in the public Ngram interface. Complete 1842–2022 unsmoothed series reused from the audited quantitative-v0.1 baseline.</x:v>
      </x:c>
    </x:row>
    <x:row r="136" ht="19" customHeight="1">
      <x:c r="A136" s="20" t="str">
        <x:v>FT-SEED-R1B-P-2015-15</x:v>
      </x:c>
      <x:c r="B136" s="22" t="str">
        <x:v>2015</x:v>
      </x:c>
      <x:c r="C136" s="22" t="str">
        <x:v>15</x:v>
      </x:c>
      <x:c r="D136" s="21" t="str">
        <x:v>extreme weather events</x:v>
      </x:c>
      <x:c r="E136" s="21" t="str">
        <x:v>generic damage</x:v>
      </x:c>
      <x:c r="F136" s="22" t="str">
        <x:v>harm_loss_consequences</x:v>
      </x:c>
      <x:c r="G136" s="22" t="str">
        <x:v>D</x:v>
      </x:c>
      <x:c r="H136" s="22" t="str">
        <x:v>V2</x:v>
      </x:c>
      <x:c r="I136" s="22" t="str">
        <x:v>E5</x:v>
      </x:c>
      <x:c r="J136" s="21" t="str">
        <x:v>RECONSTRUCTED_FROM_REPORT; Fear of Temperature_ Stratified Lexical Expansion, Voice Mapping, and Semantic-Relational Pre-Valida.pdf; p.11; project candidate FT-SEED-R1B-P-2015-15; original visible ID not available</x:v>
      </x:c>
      <x:c r="K136" s="21" t="str">
        <x:v>extreme weather events</x:v>
      </x:c>
      <x:c r="L136" s="22" t="str">
        <x:v>EXACT</x:v>
      </x:c>
      <x:c r="M136" s="21" t="str">
        <x:v>SUCCEEDED_REUSED_BASELINE</x:v>
      </x:c>
      <x:c r="N136" s="21" t="str">
        <x:v>FT-Q-V01-095</x:v>
      </x:c>
      <x:c r="O136" s="22" t="str">
        <x:v>1842</x:v>
      </x:c>
      <x:c r="P136" s="22" t="str">
        <x:v>2022</x:v>
      </x:c>
      <x:c r="Q136" s="22" t="str">
        <x:v>1843</x:v>
      </x:c>
      <x:c r="R136" s="22" t="str">
        <x:v>85</x:v>
      </x:c>
      <x:c r="S136" s="22" t="str">
        <x:v>2022</x:v>
      </x:c>
      <x:c r="T136" s="43" t="str">
        <x:v>4.511812501384327e-07</x:v>
      </x:c>
      <x:c r="U136" s="43" t="str">
        <x:v>2.641805035841216e-07</x:v>
      </x:c>
      <x:c r="V136" s="43" t="str">
        <x:v>2.457166067559857e-07</x:v>
      </x:c>
      <x:c r="W136" s="43" t="str">
        <x:v>2.5530234859516554e-07</x:v>
      </x:c>
      <x:c r="X136" s="43" t="str">
        <x:v>2.641805035841216e-07</x:v>
      </x:c>
      <x:c r="Y136" s="43" t="str">
        <x:v>0.0</x:v>
      </x:c>
      <x:c r="Z136" s="43" t="str">
        <x:v>0.0</x:v>
      </x:c>
      <x:c r="AA136" s="43" t="str">
        <x:v>3.4057953679500486e-09</x:v>
      </x:c>
      <x:c r="AB136" s="43" t="str">
        <x:v>8.521520449000786e-08</x:v>
      </x:c>
      <x:c r="AC136" s="43" t="str">
        <x:v>1.0656056481650467e-07</x:v>
      </x:c>
      <x:c r="AD136" s="43" t="str">
        <x:v>9.588788465325626e-08</x:v>
      </x:c>
      <x:c r="AE136" s="43" t="str">
        <x:v>2.641805035841216e-07</x:v>
      </x:c>
      <x:c r="AF136" s="43" t="str">
        <x:v>4.511812501384327e-07</x:v>
      </x:c>
      <x:c r="AG136" s="23" t="str">
        <x:v>Candidate surface form is directly representable in the public Ngram interface. Complete 1842–2022 unsmoothed series reused from the audited quantitative-v0.1 baseline.</x:v>
      </x:c>
    </x:row>
    <x:row r="137" ht="19" customHeight="1">
      <x:c r="A137" s="20" t="str">
        <x:v>FT-SEED-R1B-P-2015-16</x:v>
      </x:c>
      <x:c r="B137" s="22" t="str">
        <x:v>2015</x:v>
      </x:c>
      <x:c r="C137" s="22" t="str">
        <x:v>16</x:v>
      </x:c>
      <x:c r="D137" s="21" t="str">
        <x:v>slow onset events</x:v>
      </x:c>
      <x:c r="E137" s="21" t="str">
        <x:v>generic damage</x:v>
      </x:c>
      <x:c r="F137" s="22" t="str">
        <x:v>harm_loss_consequences</x:v>
      </x:c>
      <x:c r="G137" s="22" t="str">
        <x:v>D</x:v>
      </x:c>
      <x:c r="H137" s="22" t="str">
        <x:v>V2</x:v>
      </x:c>
      <x:c r="I137" s="22" t="str">
        <x:v>E5</x:v>
      </x:c>
      <x:c r="J137" s="21" t="str">
        <x:v>RECONSTRUCTED_FROM_REPORT; Fear of Temperature_ Stratified Lexical Expansion, Voice Mapping, and Semantic-Relational Pre-Valida.pdf; p.11; project candidate FT-SEED-R1B-P-2015-16; original visible ID not available</x:v>
      </x:c>
      <x:c r="K137" s="21" t="str">
        <x:v>slow onset events</x:v>
      </x:c>
      <x:c r="L137" s="22" t="str">
        <x:v>EXACT</x:v>
      </x:c>
      <x:c r="M137" s="21" t="str">
        <x:v>SUCCEEDED_REUSED_BASELINE</x:v>
      </x:c>
      <x:c r="N137" s="21" t="str">
        <x:v>FT-Q-V01-096</x:v>
      </x:c>
      <x:c r="O137" s="22" t="str">
        <x:v>1842</x:v>
      </x:c>
      <x:c r="P137" s="22" t="str">
        <x:v>2022</x:v>
      </x:c>
      <x:c r="Q137" s="22" t="str">
        <x:v>1964</x:v>
      </x:c>
      <x:c r="R137" s="22" t="str">
        <x:v>25</x:v>
      </x:c>
      <x:c r="S137" s="22" t="str">
        <x:v>2021</x:v>
      </x:c>
      <x:c r="T137" s="43" t="str">
        <x:v>7.283442959860054e-09</x:v>
      </x:c>
      <x:c r="U137" s="43" t="str">
        <x:v>2.049460948172488e-09</x:v>
      </x:c>
      <x:c r="V137" s="43" t="str">
        <x:v>2.314395087614033e-09</x:v>
      </x:c>
      <x:c r="W137" s="43" t="str">
        <x:v>2.049460948172488e-09</x:v>
      </x:c>
      <x:c r="X137" s="43" t="str">
        <x:v>4.546152315709762e-09</x:v>
      </x:c>
      <x:c r="Y137" s="43" t="str">
        <x:v>0.0</x:v>
      </x:c>
      <x:c r="Z137" s="43" t="str">
        <x:v>0.0</x:v>
      </x:c>
      <x:c r="AA137" s="43" t="str">
        <x:v>0.0</x:v>
      </x:c>
      <x:c r="AB137" s="43" t="str">
        <x:v>2.477186233917905e-10</x:v>
      </x:c>
      <x:c r="AC137" s="43" t="str">
        <x:v>4.859122965106266e-10</x:v>
      </x:c>
      <x:c r="AD137" s="43" t="str">
        <x:v>3.6681545995120857e-10</x:v>
      </x:c>
      <x:c r="AE137" s="43" t="str">
        <x:v>2.049460948172488e-09</x:v>
      </x:c>
      <x:c r="AF137" s="43" t="str">
        <x:v>5.013650494767319e-09</x:v>
      </x:c>
      <x:c r="AG137" s="23" t="str">
        <x:v>Candidate surface form is directly representable in the public Ngram interface. Complete 1842–2022 unsmoothed series reused from the audited quantitative-v0.1 baseline.</x:v>
      </x:c>
    </x:row>
    <x:row r="138" ht="19" customHeight="1">
      <x:c r="A138" s="20" t="str">
        <x:v>FT-SEED-R1B-P-2015-17</x:v>
      </x:c>
      <x:c r="B138" s="22" t="str">
        <x:v>2015</x:v>
      </x:c>
      <x:c r="C138" s="22" t="str">
        <x:v>17</x:v>
      </x:c>
      <x:c r="D138" s="21" t="str">
        <x:v>risk of loss and damage</x:v>
      </x:c>
      <x:c r="E138" s="21" t="str">
        <x:v>administrative risk assessment</x:v>
      </x:c>
      <x:c r="F138" s="22" t="str">
        <x:v>risk</x:v>
      </x:c>
      <x:c r="G138" s="22" t="str">
        <x:v>D</x:v>
      </x:c>
      <x:c r="H138" s="22" t="str">
        <x:v>V2</x:v>
      </x:c>
      <x:c r="I138" s="22" t="str">
        <x:v>E5</x:v>
      </x:c>
      <x:c r="J138" s="21" t="str">
        <x:v>RECONSTRUCTED_FROM_REPORT; Fear of Temperature_ Stratified Lexical Expansion, Voice Mapping, and Semantic-Relational Pre-Valida.pdf; p.11; project candidate FT-SEED-R1B-P-2015-17; original visible ID not available</x:v>
      </x:c>
      <x:c r="K138" s="21" t="str">
        <x:v>risk of loss and damage</x:v>
      </x:c>
      <x:c r="L138" s="22" t="str">
        <x:v>EXACT</x:v>
      </x:c>
      <x:c r="M138" s="21" t="str">
        <x:v>SUCCEEDED_REUSED_BASELINE</x:v>
      </x:c>
      <x:c r="N138" s="21" t="str">
        <x:v>FT-Q-V01-097</x:v>
      </x:c>
      <x:c r="O138" s="22" t="str">
        <x:v>1842</x:v>
      </x:c>
      <x:c r="P138" s="22" t="str">
        <x:v>2022</x:v>
      </x:c>
      <x:c r="Q138" s="22" t="str">
        <x:v>1842</x:v>
      </x:c>
      <x:c r="R138" s="22" t="str">
        <x:v>165</x:v>
      </x:c>
      <x:c r="S138" s="22" t="str">
        <x:v>1956</x:v>
      </x:c>
      <x:c r="T138" s="43" t="str">
        <x:v>7.821105985073018e-09</x:v>
      </x:c>
      <x:c r="U138" s="43" t="str">
        <x:v>9.214118357192547e-10</x:v>
      </x:c>
      <x:c r="V138" s="43" t="str">
        <x:v>1.2443122562414792e-09</x:v>
      </x:c>
      <x:c r="W138" s="43" t="str">
        <x:v>1.0524391531874233e-09</x:v>
      </x:c>
      <x:c r="X138" s="43" t="str">
        <x:v>1.7590857798177595e-09</x:v>
      </x:c>
      <x:c r="Y138" s="43" t="str">
        <x:v>7.81099351865322e-10</x:v>
      </x:c>
      <x:c r="Z138" s="43" t="str">
        <x:v>5.767837332748549e-09</x:v>
      </x:c>
      <x:c r="AA138" s="43" t="str">
        <x:v>6.516700790104579e-10</x:v>
      </x:c>
      <x:c r="AB138" s="43" t="str">
        <x:v>8.152023084351256e-10</x:v>
      </x:c>
      <x:c r="AC138" s="43" t="str">
        <x:v>6.262282359337235e-10</x:v>
      </x:c>
      <x:c r="AD138" s="43" t="str">
        <x:v>7.207152721844245e-10</x:v>
      </x:c>
      <x:c r="AE138" s="43" t="str">
        <x:v>9.214118357192547e-10</x:v>
      </x:c>
      <x:c r="AF138" s="43" t="str">
        <x:v>2.0658581616206373e-09</x:v>
      </x:c>
      <x:c r="AG138" s="23" t="str">
        <x:v>Candidate surface form is directly representable in the public Ngram interface. Complete 1842–2022 unsmoothed series reused from the audited quantitative-v0.1 baseline.</x:v>
      </x:c>
    </x:row>
    <x:row r="139" ht="19" customHeight="1">
      <x:c r="A139" s="20" t="str">
        <x:v>FT-SEED-R1B-P-2015-18</x:v>
      </x:c>
      <x:c r="B139" s="22" t="str">
        <x:v>2015</x:v>
      </x:c>
      <x:c r="C139" s="22" t="str">
        <x:v>18</x:v>
      </x:c>
      <x:c r="D139" s="21" t="str">
        <x:v>early warning systems</x:v>
      </x:c>
      <x:c r="E139" s="21" t="str">
        <x:v>generic damage</x:v>
      </x:c>
      <x:c r="F139" s="22" t="str">
        <x:v>harm_loss_consequences</x:v>
      </x:c>
      <x:c r="G139" s="22" t="str">
        <x:v>D</x:v>
      </x:c>
      <x:c r="H139" s="22" t="str">
        <x:v>V2</x:v>
      </x:c>
      <x:c r="I139" s="22" t="str">
        <x:v>E5</x:v>
      </x:c>
      <x:c r="J139" s="21" t="str">
        <x:v>RECONSTRUCTED_FROM_REPORT; Fear of Temperature_ Stratified Lexical Expansion, Voice Mapping, and Semantic-Relational Pre-Valida.pdf; p.11; project candidate FT-SEED-R1B-P-2015-18; original visible ID not available</x:v>
      </x:c>
      <x:c r="K139" s="21" t="str">
        <x:v>early warning systems</x:v>
      </x:c>
      <x:c r="L139" s="22" t="str">
        <x:v>EXACT</x:v>
      </x:c>
      <x:c r="M139" s="21" t="str">
        <x:v>SUCCEEDED_REUSED_BASELINE</x:v>
      </x:c>
      <x:c r="N139" s="21" t="str">
        <x:v>FT-Q-V01-098</x:v>
      </x:c>
      <x:c r="O139" s="22" t="str">
        <x:v>1842</x:v>
      </x:c>
      <x:c r="P139" s="22" t="str">
        <x:v>2022</x:v>
      </x:c>
      <x:c r="Q139" s="22" t="str">
        <x:v>1869</x:v>
      </x:c>
      <x:c r="R139" s="22" t="str">
        <x:v>99</x:v>
      </x:c>
      <x:c r="S139" s="22" t="str">
        <x:v>2022</x:v>
      </x:c>
      <x:c r="T139" s="43" t="str">
        <x:v>2.0064061378999298e-07</x:v>
      </x:c>
      <x:c r="U139" s="43" t="str">
        <x:v>1.4231256331709297e-07</x:v>
      </x:c>
      <x:c r="V139" s="43" t="str">
        <x:v>1.4610297251309764e-07</x:v>
      </x:c>
      <x:c r="W139" s="43" t="str">
        <x:v>1.4231256331709297e-07</x:v>
      </x:c>
      <x:c r="X139" s="43" t="str">
        <x:v>1.5466489043658438e-07</x:v>
      </x:c>
      <x:c r="Y139" s="43" t="str">
        <x:v>0.0</x:v>
      </x:c>
      <x:c r="Z139" s="43" t="str">
        <x:v>0.0</x:v>
      </x:c>
      <x:c r="AA139" s="43" t="str">
        <x:v>9.379452314828285e-08</x:v>
      </x:c>
      <x:c r="AB139" s="43" t="str">
        <x:v>1.3872242171641957e-07</x:v>
      </x:c>
      <x:c r="AC139" s="43" t="str">
        <x:v>1.2973858229403668e-07</x:v>
      </x:c>
      <x:c r="AD139" s="43" t="str">
        <x:v>1.3423050200522813e-07</x:v>
      </x:c>
      <x:c r="AE139" s="43" t="str">
        <x:v>1.4231256331709297e-07</x:v>
      </x:c>
      <x:c r="AF139" s="43" t="str">
        <x:v>2.0064061378999298e-07</x:v>
      </x:c>
      <x:c r="AG139" s="23" t="str">
        <x:v>Candidate surface form is directly representable in the public Ngram interface. Complete 1842–2022 unsmoothed series reused from the audited quantitative-v0.1 baseline.</x:v>
      </x:c>
    </x:row>
    <x:row r="140" ht="19" customHeight="1">
      <x:c r="A140" s="20" t="str">
        <x:v>FT-SEED-R1B-P-2015-19</x:v>
      </x:c>
      <x:c r="B140" s="22" t="str">
        <x:v>2015</x:v>
      </x:c>
      <x:c r="C140" s="22" t="str">
        <x:v>19</x:v>
      </x:c>
      <x:c r="D140" s="21" t="str">
        <x:v>emergency preparedness</x:v>
      </x:c>
      <x:c r="E140" s="21" t="str">
        <x:v>emergency response category</x:v>
      </x:c>
      <x:c r="F140" s="22" t="str">
        <x:v>crisis_emergency</x:v>
      </x:c>
      <x:c r="G140" s="22" t="str">
        <x:v>D</x:v>
      </x:c>
      <x:c r="H140" s="22" t="str">
        <x:v>V2</x:v>
      </x:c>
      <x:c r="I140" s="22" t="str">
        <x:v>E5</x:v>
      </x:c>
      <x:c r="J140" s="21" t="str">
        <x:v>RECONSTRUCTED_FROM_REPORT; Fear of Temperature_ Stratified Lexical Expansion, Voice Mapping, and Semantic-Relational Pre-Valida.pdf; p.11; project candidate FT-SEED-R1B-P-2015-19; original visible ID not available</x:v>
      </x:c>
      <x:c r="K140" s="21" t="str">
        <x:v>emergency preparedness</x:v>
      </x:c>
      <x:c r="L140" s="22" t="str">
        <x:v>EXACT</x:v>
      </x:c>
      <x:c r="M140" s="21" t="str">
        <x:v>SUCCEEDED_REUSED_BASELINE</x:v>
      </x:c>
      <x:c r="N140" s="21" t="str">
        <x:v>FT-Q-V01-099</x:v>
      </x:c>
      <x:c r="O140" s="22" t="str">
        <x:v>1842</x:v>
      </x:c>
      <x:c r="P140" s="22" t="str">
        <x:v>2022</x:v>
      </x:c>
      <x:c r="Q140" s="22" t="str">
        <x:v>1847</x:v>
      </x:c>
      <x:c r="R140" s="22" t="str">
        <x:v>122</x:v>
      </x:c>
      <x:c r="S140" s="22" t="str">
        <x:v>1986</x:v>
      </x:c>
      <x:c r="T140" s="43" t="str">
        <x:v>2.826408131394176e-06</x:v>
      </x:c>
      <x:c r="U140" s="43" t="str">
        <x:v>3.2953145755534874e-07</x:v>
      </x:c>
      <x:c r="V140" s="43" t="str">
        <x:v>3.3156906676171105e-07</x:v>
      </x:c>
      <x:c r="W140" s="43" t="str">
        <x:v>3.2953145755534874e-07</x:v>
      </x:c>
      <x:c r="X140" s="43" t="str">
        <x:v>3.4260777249245367e-07</x:v>
      </x:c>
      <x:c r="Y140" s="43" t="str">
        <x:v>0.0</x:v>
      </x:c>
      <x:c r="Z140" s="43" t="str">
        <x:v>3.5639025064426733e-09</x:v>
      </x:c>
      <x:c r="AA140" s="43" t="str">
        <x:v>1.0464814905603026e-06</x:v>
      </x:c>
      <x:c r="AB140" s="43" t="str">
        <x:v>8.403235325082914e-07</x:v>
      </x:c>
      <x:c r="AC140" s="43" t="str">
        <x:v>7.499652697369463e-07</x:v>
      </x:c>
      <x:c r="AD140" s="43" t="str">
        <x:v>7.951444011226189e-07</x:v>
      </x:c>
      <x:c r="AE140" s="43" t="str">
        <x:v>3.2953145755534874e-07</x:v>
      </x:c>
      <x:c r="AF140" s="43" t="str">
        <x:v>2.663239674349782e-07</x:v>
      </x:c>
      <x:c r="AG140" s="23" t="str">
        <x:v>Candidate surface form is directly representable in the public Ngram interface. Complete 1842–2022 unsmoothed series reused from the audited quantitative-v0.1 baseline.</x:v>
      </x:c>
    </x:row>
    <x:row r="141" ht="19" customHeight="1">
      <x:c r="A141" s="20" t="str">
        <x:v>FT-SEED-R1B-P-2015-20</x:v>
      </x:c>
      <x:c r="B141" s="22" t="str">
        <x:v>2015</x:v>
      </x:c>
      <x:c r="C141" s="22" t="str">
        <x:v>20</x:v>
      </x:c>
      <x:c r="D141" s="21" t="str">
        <x:v>irreversible and permanent loss and damage</x:v>
      </x:c>
      <x:c r="E141" s="21" t="str">
        <x:v>loss and damage</x:v>
      </x:c>
      <x:c r="F141" s="22" t="str">
        <x:v>harm_loss_consequences</x:v>
      </x:c>
      <x:c r="G141" s="22" t="str">
        <x:v>D</x:v>
      </x:c>
      <x:c r="H141" s="22" t="str">
        <x:v>V2</x:v>
      </x:c>
      <x:c r="I141" s="22" t="str">
        <x:v>E5</x:v>
      </x:c>
      <x:c r="J141" s="21" t="str">
        <x:v>RECONSTRUCTED_FROM_REPORT; Fear of Temperature_ Stratified Lexical Expansion, Voice Mapping, and Semantic-Relational Pre-Valida.pdf; p.11; project candidate FT-SEED-R1B-P-2015-20; original visible ID not available</x:v>
      </x:c>
      <x:c r="K141" s="21" t="str">
        <x:v>irreversible and permanent loss and damage</x:v>
      </x:c>
      <x:c r="L141" s="22" t="str">
        <x:v>EXACT</x:v>
      </x:c>
      <x:c r="M141" s="21" t="str">
        <x:v>SUCCEEDED_REUSED_BASELINE</x:v>
      </x:c>
      <x:c r="N141" s="21" t="str">
        <x:v>FT-Q-V01-100</x:v>
      </x:c>
      <x:c r="O141" s="22" t="str">
        <x:v>1842</x:v>
      </x:c>
      <x:c r="P141" s="22" t="str">
        <x:v>2022</x:v>
      </x:c>
      <x:c r="Q141" s="22" t="str">
        <x:v>2015</x:v>
      </x:c>
      <x:c r="R141" s="22" t="str">
        <x:v>8</x:v>
      </x:c>
      <x:c r="S141" s="22" t="str">
        <x:v>2021</x:v>
      </x:c>
      <x:c r="T141" s="43" t="str">
        <x:v>8.163354991985727e-10</x:v>
      </x:c>
      <x:c r="U141" s="43" t="str">
        <x:v>6.163167892703214e-11</x:v>
      </x:c>
      <x:c r="V141" s="43" t="str">
        <x:v>1.5757996065420463e-10</x:v>
      </x:c>
      <x:c r="W141" s="43" t="str">
        <x:v>6.163167892703214e-11</x:v>
      </x:c>
      <x:c r="X141" s="43" t="str">
        <x:v>4.111082030355817e-10</x:v>
      </x:c>
      <x:c r="Y141" s="43" t="str">
        <x:v>0.0</x:v>
      </x:c>
      <x:c r="Z141" s="43" t="str">
        <x:v>0.0</x:v>
      </x:c>
      <x:c r="AA141" s="43" t="str">
        <x:v>0.0</x:v>
      </x:c>
      <x:c r="AB141" s="43" t="str">
        <x:v>0.0</x:v>
      </x:c>
      <x:c r="AC141" s="43" t="str">
        <x:v>0.0</x:v>
      </x:c>
      <x:c r="AD141" s="43" t="str">
        <x:v>0.0</x:v>
      </x:c>
      <x:c r="AE141" s="43" t="str">
        <x:v>6.163167892703214e-11</x:v>
      </x:c>
      <x:c r="AF141" s="43" t="str">
        <x:v>6.393428564344106e-10</x:v>
      </x:c>
      <x:c r="AG141" s="23" t="str">
        <x:v>Candidate surface form is directly representable in the public Ngram interface. Complete 1842–2022 unsmoothed series reused from the audited quantitative-v0.1 baseline.</x:v>
      </x:c>
    </x:row>
    <x:row r="142" ht="19" customHeight="1">
      <x:c r="A142" s="20" t="str">
        <x:v>FT-SEED-R1B-P-2015-21</x:v>
      </x:c>
      <x:c r="B142" s="22" t="str">
        <x:v>2015</x:v>
      </x:c>
      <x:c r="C142" s="22" t="str">
        <x:v>21</x:v>
      </x:c>
      <x:c r="D142" s="21" t="str">
        <x:v>comprehensive risk assessment and management</x:v>
      </x:c>
      <x:c r="E142" s="21" t="str">
        <x:v>administrative risk assessment</x:v>
      </x:c>
      <x:c r="F142" s="22" t="str">
        <x:v>risk</x:v>
      </x:c>
      <x:c r="G142" s="22" t="str">
        <x:v>D</x:v>
      </x:c>
      <x:c r="H142" s="22" t="str">
        <x:v>V2</x:v>
      </x:c>
      <x:c r="I142" s="22" t="str">
        <x:v>E5</x:v>
      </x:c>
      <x:c r="J142" s="21" t="str">
        <x:v>RECONSTRUCTED_FROM_REPORT; Fear of Temperature_ Stratified Lexical Expansion, Voice Mapping, and Semantic-Relational Pre-Valida.pdf; p.11; project candidate FT-SEED-R1B-P-2015-21; original visible ID not available</x:v>
      </x:c>
      <x:c r="K142" s="21" t="str">
        <x:v>comprehensive risk assessment and management</x:v>
      </x:c>
      <x:c r="L142" s="22" t="str">
        <x:v>EXACT</x:v>
      </x:c>
      <x:c r="M142" s="21" t="str">
        <x:v>SUCCEEDED_REUSED_BASELINE</x:v>
      </x:c>
      <x:c r="N142" s="21" t="str">
        <x:v>FT-Q-V01-142</x:v>
      </x:c>
      <x:c r="O142" s="22" t="str">
        <x:v>1842</x:v>
      </x:c>
      <x:c r="P142" s="22" t="str">
        <x:v>2022</x:v>
      </x:c>
      <x:c r="Q142" s="22" t="str">
        <x:v>1963</x:v>
      </x:c>
      <x:c r="R142" s="22" t="str">
        <x:v>31</x:v>
      </x:c>
      <x:c r="S142" s="22" t="str">
        <x:v>2018</x:v>
      </x:c>
      <x:c r="T142" s="43" t="str">
        <x:v>1.2794914017177916e-09</x:v>
      </x:c>
      <x:c r="U142" s="43" t="str">
        <x:v>2.879411986622671e-10</x:v>
      </x:c>
      <x:c r="V142" s="43" t="str">
        <x:v>3.81069227099277e-10</x:v>
      </x:c>
      <x:c r="W142" s="43" t="str">
        <x:v>2.879411986622671e-10</x:v>
      </x:c>
      <x:c r="X142" s="43" t="str">
        <x:v>6.046857320418653e-10</x:v>
      </x:c>
      <x:c r="Y142" s="43" t="str">
        <x:v>0.0</x:v>
      </x:c>
      <x:c r="Z142" s="43" t="str">
        <x:v>0.0</x:v>
      </x:c>
      <x:c r="AA142" s="43" t="str">
        <x:v>1.303340213532067e-10</x:v>
      </x:c>
      <x:c r="AB142" s="43" t="str">
        <x:v>1.7468620994165462e-10</x:v>
      </x:c>
      <x:c r="AC142" s="43" t="str">
        <x:v>1.7078952141424963e-10</x:v>
      </x:c>
      <x:c r="AD142" s="43" t="str">
        <x:v>1.7273786567795213e-10</x:v>
      </x:c>
      <x:c r="AE142" s="43" t="str">
        <x:v>2.879411986622671e-10</x:v>
      </x:c>
      <x:c r="AF142" s="43" t="str">
        <x:v>7.611056784817549e-10</x:v>
      </x:c>
      <x:c r="AG142" s="23" t="str">
        <x:v>Candidate surface form is directly representable in the public Ngram interface. Complete 1842–2022 unsmoothed series reused from the audited quantitative-v0.1 baseline.</x:v>
      </x:c>
    </x:row>
    <x:row r="143" ht="19" customHeight="1">
      <x:c r="A143" s="20" t="str">
        <x:v>FT-SEED-R1B-P-2015-22</x:v>
      </x:c>
      <x:c r="B143" s="22" t="str">
        <x:v>2015</x:v>
      </x:c>
      <x:c r="C143" s="22" t="str">
        <x:v>22</x:v>
      </x:c>
      <x:c r="D143" s="21" t="str">
        <x:v>non-economic losses</x:v>
      </x:c>
      <x:c r="E143" s="21" t="str">
        <x:v>non-economic losses</x:v>
      </x:c>
      <x:c r="F143" s="22" t="str">
        <x:v>harm_loss_consequences</x:v>
      </x:c>
      <x:c r="G143" s="22" t="str">
        <x:v>D</x:v>
      </x:c>
      <x:c r="H143" s="22" t="str">
        <x:v>V2</x:v>
      </x:c>
      <x:c r="I143" s="22" t="str">
        <x:v>E5</x:v>
      </x:c>
      <x:c r="J143" s="21" t="str">
        <x:v>RECONSTRUCTED_FROM_REPORT; Fear of Temperature_ Stratified Lexical Expansion, Voice Mapping, and Semantic-Relational Pre-Valida.pdf; p.11; project candidate FT-SEED-R1B-P-2015-22; original visible ID not available</x:v>
      </x:c>
      <x:c r="K143" s="21" t="str">
        <x:v>non-economic losses</x:v>
      </x:c>
      <x:c r="L143" s="22" t="str">
        <x:v>EXACT</x:v>
      </x:c>
      <x:c r="M143" s="21" t="str">
        <x:v>SUCCEEDED_NEW</x:v>
      </x:c>
      <x:c r="N143" s="21" t="str">
        <x:v>FT-Q-P180-AF35B6022DCF</x:v>
      </x:c>
      <x:c r="O143" s="22" t="str">
        <x:v>1842</x:v>
      </x:c>
      <x:c r="P143" s="22" t="str">
        <x:v>2022</x:v>
      </x:c>
      <x:c r="Q143" s="22" t="str">
        <x:v>1924</x:v>
      </x:c>
      <x:c r="R143" s="22" t="str">
        <x:v>80</x:v>
      </x:c>
      <x:c r="S143" s="22" t="str">
        <x:v>1986</x:v>
      </x:c>
      <x:c r="T143" s="43" t="str">
        <x:v>1.8812469290696576e-08</x:v>
      </x:c>
      <x:c r="U143" s="43" t="str">
        <x:v>4.731613434394433e-09</x:v>
      </x:c>
      <x:c r="V143" s="43" t="str">
        <x:v>3.908430465845066e-09</x:v>
      </x:c>
      <x:c r="W143" s="43" t="str">
        <x:v>4.421364774298553e-09</x:v>
      </x:c>
      <x:c r="X143" s="43" t="str">
        <x:v>4.731613434394433e-09</x:v>
      </x:c>
      <x:c r="Y143" s="43" t="str">
        <x:v>0.0</x:v>
      </x:c>
      <x:c r="Z143" s="43" t="str">
        <x:v>1.3544629307027378e-10</x:v>
      </x:c>
      <x:c r="AA143" s="43" t="str">
        <x:v>1.236962998696356e-08</x:v>
      </x:c>
      <x:c r="AB143" s="43" t="str">
        <x:v>6.963334985010672e-09</x:v>
      </x:c>
      <x:c r="AC143" s="43" t="str">
        <x:v>5.1782453741600065e-09</x:v>
      </x:c>
      <x:c r="AD143" s="43" t="str">
        <x:v>6.070790179585339e-09</x:v>
      </x:c>
      <x:c r="AE143" s="43" t="str">
        <x:v>4.731613434394433e-09</x:v>
      </x:c>
      <x:c r="AF143" s="43" t="str">
        <x:v>6.453083678525928e-09</x:v>
      </x:c>
      <x:c r="AG143" s="23" t="str">
        <x:v>Candidate surface form is directly representable in the public Ngram interface. New unsmoothed 1842–2022 series retrieved for the candidate audit.</x:v>
      </x:c>
    </x:row>
    <x:row r="144" ht="19" customHeight="1">
      <x:c r="A144" s="20" t="str">
        <x:v>FT-SEED-R1B-P-2015-23</x:v>
      </x:c>
      <x:c r="B144" s="22" t="str">
        <x:v>2015</x:v>
      </x:c>
      <x:c r="C144" s="22" t="str">
        <x:v>23</x:v>
      </x:c>
      <x:c r="D144" s="21" t="str">
        <x:v>common concern of humankind</x:v>
      </x:c>
      <x:c r="E144" s="21" t="str">
        <x:v>common concern of humankind</x:v>
      </x:c>
      <x:c r="F144" s="22" t="str">
        <x:v>concern_alarm</x:v>
      </x:c>
      <x:c r="G144" s="22" t="str">
        <x:v>C</x:v>
      </x:c>
      <x:c r="H144" s="22" t="str">
        <x:v>V2</x:v>
      </x:c>
      <x:c r="I144" s="22" t="str">
        <x:v>E1</x:v>
      </x:c>
      <x:c r="J144" s="21" t="str">
        <x:v>RECONSTRUCTED_FROM_REPORT; Fear of Temperature_ Stratified Lexical Expansion, Voice Mapping, and Semantic-Relational Pre-Valida.pdf; p.11; project candidate FT-SEED-R1B-P-2015-23; original visible ID not available</x:v>
      </x:c>
      <x:c r="K144" s="21" t="str">
        <x:v>common concern of humankind</x:v>
      </x:c>
      <x:c r="L144" s="22" t="str">
        <x:v>EXACT</x:v>
      </x:c>
      <x:c r="M144" s="21" t="str">
        <x:v>SUCCEEDED_NEW</x:v>
      </x:c>
      <x:c r="N144" s="21" t="str">
        <x:v>FT-Q-P180-77AA231E4338</x:v>
      </x:c>
      <x:c r="O144" s="22" t="str">
        <x:v>1842</x:v>
      </x:c>
      <x:c r="P144" s="22" t="str">
        <x:v>2022</x:v>
      </x:c>
      <x:c r="Q144" s="22" t="str">
        <x:v>1901</x:v>
      </x:c>
      <x:c r="R144" s="22" t="str">
        <x:v>47</x:v>
      </x:c>
      <x:c r="S144" s="22" t="str">
        <x:v>2021</x:v>
      </x:c>
      <x:c r="T144" s="43" t="str">
        <x:v>4.958280197531195e-08</x:v>
      </x:c>
      <x:c r="U144" s="43" t="str">
        <x:v>6.452200274065234e-09</x:v>
      </x:c>
      <x:c r="V144" s="43" t="str">
        <x:v>8.595441171321827e-09</x:v>
      </x:c>
      <x:c r="W144" s="43" t="str">
        <x:v>6.452200274065234e-09</x:v>
      </x:c>
      <x:c r="X144" s="43" t="str">
        <x:v>1.41894966609879e-08</x:v>
      </x:c>
      <x:c r="Y144" s="43" t="str">
        <x:v>0.0</x:v>
      </x:c>
      <x:c r="Z144" s="43" t="str">
        <x:v>0.0</x:v>
      </x:c>
      <x:c r="AA144" s="43" t="str">
        <x:v>1.1951332978821227e-10</x:v>
      </x:c>
      <x:c r="AB144" s="43" t="str">
        <x:v>4.80416123549432e-09</x:v>
      </x:c>
      <x:c r="AC144" s="43" t="str">
        <x:v>4.2799784272240515e-09</x:v>
      </x:c>
      <x:c r="AD144" s="43" t="str">
        <x:v>4.542069831359186e-09</x:v>
      </x:c>
      <x:c r="AE144" s="43" t="str">
        <x:v>6.452200274065234e-09</x:v>
      </x:c>
      <x:c r="AF144" s="43" t="str">
        <x:v>3.892174793573844e-08</x:v>
      </x:c>
      <x:c r="AG144" s="23" t="str">
        <x:v>Candidate surface form is directly representable in the public Ngram interface. New unsmoothed 1842–2022 series retrieved for the candidate audit.</x:v>
      </x:c>
    </x:row>
    <x:row r="145" ht="19" customHeight="1">
      <x:c r="A145" s="20" t="str">
        <x:v>FT-SEED-R1B-P-2015-24</x:v>
      </x:c>
      <x:c r="B145" s="22" t="str">
        <x:v>2015</x:v>
      </x:c>
      <x:c r="C145" s="22" t="str">
        <x:v>24</x:v>
      </x:c>
      <x:c r="D145" s="21" t="str">
        <x:v>climate justice</x:v>
      </x:c>
      <x:c r="E145" s="21" t="str">
        <x:v>generic damage</x:v>
      </x:c>
      <x:c r="F145" s="22" t="str">
        <x:v>harm_loss_consequences</x:v>
      </x:c>
      <x:c r="G145" s="22" t="str">
        <x:v>D</x:v>
      </x:c>
      <x:c r="H145" s="22" t="str">
        <x:v>V2</x:v>
      </x:c>
      <x:c r="I145" s="22" t="str">
        <x:v>E5</x:v>
      </x:c>
      <x:c r="J145" s="21" t="str">
        <x:v>RECONSTRUCTED_FROM_REPORT; Fear of Temperature_ Stratified Lexical Expansion, Voice Mapping, and Semantic-Relational Pre-Valida.pdf; p.11; project candidate FT-SEED-R1B-P-2015-24; original visible ID not available</x:v>
      </x:c>
      <x:c r="K145" s="21" t="str">
        <x:v>climate justice</x:v>
      </x:c>
      <x:c r="L145" s="22" t="str">
        <x:v>EXACT</x:v>
      </x:c>
      <x:c r="M145" s="21" t="str">
        <x:v>SUCCEEDED_NEW</x:v>
      </x:c>
      <x:c r="N145" s="21" t="str">
        <x:v>FT-Q-P180-6901F0C01389</x:v>
      </x:c>
      <x:c r="O145" s="22" t="str">
        <x:v>1842</x:v>
      </x:c>
      <x:c r="P145" s="22" t="str">
        <x:v>2022</x:v>
      </x:c>
      <x:c r="Q145" s="22" t="str">
        <x:v>1892</x:v>
      </x:c>
      <x:c r="R145" s="22" t="str">
        <x:v>46</x:v>
      </x:c>
      <x:c r="S145" s="22" t="str">
        <x:v>2021</x:v>
      </x:c>
      <x:c r="T145" s="43" t="str">
        <x:v>3.9843253718530036e-07</x:v>
      </x:c>
      <x:c r="U145" s="43" t="str">
        <x:v>1.2123918213813312e-07</x:v>
      </x:c>
      <x:c r="V145" s="43" t="str">
        <x:v>1.2847355246314862e-07</x:v>
      </x:c>
      <x:c r="W145" s="43" t="str">
        <x:v>1.2123918213813312e-07</x:v>
      </x:c>
      <x:c r="X145" s="43" t="str">
        <x:v>1.7043691702411934e-07</x:v>
      </x:c>
      <x:c r="Y145" s="43" t="str">
        <x:v>0.0</x:v>
      </x:c>
      <x:c r="Z145" s="43" t="str">
        <x:v>3.341158461012128e-10</x:v>
      </x:c>
      <x:c r="AA145" s="43" t="str">
        <x:v>0.0</x:v>
      </x:c>
      <x:c r="AB145" s="43" t="str">
        <x:v>1.0117760490535588e-08</x:v>
      </x:c>
      <x:c r="AC145" s="43" t="str">
        <x:v>1.5381597023855775e-08</x:v>
      </x:c>
      <x:c r="AD145" s="43" t="str">
        <x:v>1.2749678757195682e-08</x:v>
      </x:c>
      <x:c r="AE145" s="43" t="str">
        <x:v>1.2123918213813312e-07</x:v>
      </x:c>
      <x:c r="AF145" s="43" t="str">
        <x:v>3.904167882318177e-07</x:v>
      </x:c>
      <x:c r="AG145" s="23" t="str">
        <x:v>Candidate surface form is directly representable in the public Ngram interface. New unsmoothed 1842–2022 series retrieved for the candidate audit.</x:v>
      </x:c>
    </x:row>
    <x:row r="146" ht="19" customHeight="1">
      <x:c r="A146" s="20" t="str">
        <x:v>FT-SEED-R1B-P-2015-25</x:v>
      </x:c>
      <x:c r="B146" s="22" t="str">
        <x:v>2015</x:v>
      </x:c>
      <x:c r="C146" s="22" t="str">
        <x:v>25</x:v>
      </x:c>
      <x:c r="D146" s="21" t="str">
        <x:v>very worried</x:v>
      </x:c>
      <x:c r="E146" s="21" t="str">
        <x:v>participant worry endorsement</x:v>
      </x:c>
      <x:c r="F146" s="22" t="str">
        <x:v>worry</x:v>
      </x:c>
      <x:c r="G146" s="22" t="str">
        <x:v>C</x:v>
      </x:c>
      <x:c r="H146" s="22" t="str">
        <x:v>V5</x:v>
      </x:c>
      <x:c r="I146" s="22" t="str">
        <x:v>E5</x:v>
      </x:c>
      <x:c r="J146" s="21" t="str">
        <x:v>RECONSTRUCTED_FROM_REPORT; Fear of Temperature_ Stratified Lexical Expansion, Voice Mapping, and Semantic-Relational Pre-Valida.pdf; p.11; project candidate FT-SEED-R1B-P-2015-25; original visible ID not available</x:v>
      </x:c>
      <x:c r="K146" s="21" t="str">
        <x:v>very worried</x:v>
      </x:c>
      <x:c r="L146" s="22" t="str">
        <x:v>EXACT</x:v>
      </x:c>
      <x:c r="M146" s="21" t="str">
        <x:v>SUCCEEDED_REUSED_BASELINE</x:v>
      </x:c>
      <x:c r="N146" s="21" t="str">
        <x:v>FT-Q-P180-D1BF7C1461D4</x:v>
      </x:c>
      <x:c r="O146" s="22" t="str">
        <x:v>1842</x:v>
      </x:c>
      <x:c r="P146" s="22" t="str">
        <x:v>2022</x:v>
      </x:c>
      <x:c r="Q146" s="22" t="str">
        <x:v>1843</x:v>
      </x:c>
      <x:c r="R146" s="22" t="str">
        <x:v>167</x:v>
      </x:c>
      <x:c r="S146" s="22" t="str">
        <x:v>2020</x:v>
      </x:c>
      <x:c r="T146" s="43" t="str">
        <x:v>1.237675283025097e-06</x:v>
      </x:c>
      <x:c r="U146" s="43" t="str">
        <x:v>4.244305496919898e-07</x:v>
      </x:c>
      <x:c r="V146" s="43" t="str">
        <x:v>4.109526408104432e-07</x:v>
      </x:c>
      <x:c r="W146" s="43" t="str">
        <x:v>4.244305496919898e-07</x:v>
      </x:c>
      <x:c r="X146" s="43" t="str">
        <x:v>4.306732870051899e-07</x:v>
      </x:c>
      <x:c r="Y146" s="43" t="str">
        <x:v>0.0</x:v>
      </x:c>
      <x:c r="Z146" s="43" t="str">
        <x:v>5.7579301035448616e-08</x:v>
      </x:c>
      <x:c r="AA146" s="43" t="str">
        <x:v>1.573942034760467e-07</x:v>
      </x:c>
      <x:c r="AB146" s="43" t="str">
        <x:v>2.430551577989326e-07</x:v>
      </x:c>
      <x:c r="AC146" s="43" t="str">
        <x:v>2.654000055557493e-07</x:v>
      </x:c>
      <x:c r="AD146" s="43" t="str">
        <x:v>2.5422758167734094e-07</x:v>
      </x:c>
      <x:c r="AE146" s="43" t="str">
        <x:v>4.244305496919898e-07</x:v>
      </x:c>
      <x:c r="AF146" s="43" t="str">
        <x:v>3.79268325273463e-07</x:v>
      </x:c>
      <x:c r="AG146" s="23" t="str">
        <x:v>Candidate surface form is directly representable in the public Ngram interface. Complete 1842–2022 unsmoothed series reused from the audited quantitative-v0.1 baseline.</x:v>
      </x:c>
    </x:row>
    <x:row r="147" ht="19" customHeight="1">
      <x:c r="A147" s="20" t="str">
        <x:v>FT-SEED-R1B-P-2015-26</x:v>
      </x:c>
      <x:c r="B147" s="22" t="str">
        <x:v>2015</x:v>
      </x:c>
      <x:c r="C147" s="22" t="str">
        <x:v>26</x:v>
      </x:c>
      <x:c r="D147" s="21" t="str">
        <x:v>somewhat worried</x:v>
      </x:c>
      <x:c r="E147" s="21" t="str">
        <x:v>participant worry endorsement</x:v>
      </x:c>
      <x:c r="F147" s="22" t="str">
        <x:v>worry</x:v>
      </x:c>
      <x:c r="G147" s="22" t="str">
        <x:v>C</x:v>
      </x:c>
      <x:c r="H147" s="22" t="str">
        <x:v>V5</x:v>
      </x:c>
      <x:c r="I147" s="22" t="str">
        <x:v>E5</x:v>
      </x:c>
      <x:c r="J147" s="21" t="str">
        <x:v>RECONSTRUCTED_FROM_REPORT; Fear of Temperature_ Stratified Lexical Expansion, Voice Mapping, and Semantic-Relational Pre-Valida.pdf; p.11; project candidate FT-SEED-R1B-P-2015-26; original visible ID not available</x:v>
      </x:c>
      <x:c r="K147" s="21" t="str">
        <x:v>somewhat worried</x:v>
      </x:c>
      <x:c r="L147" s="22" t="str">
        <x:v>EXACT</x:v>
      </x:c>
      <x:c r="M147" s="21" t="str">
        <x:v>SUCCEEDED_REUSED_BASELINE</x:v>
      </x:c>
      <x:c r="N147" s="21" t="str">
        <x:v>FT-Q-P180-1446D842EC85</x:v>
      </x:c>
      <x:c r="O147" s="22" t="str">
        <x:v>1842</x:v>
      </x:c>
      <x:c r="P147" s="22" t="str">
        <x:v>2022</x:v>
      </x:c>
      <x:c r="Q147" s="22" t="str">
        <x:v>1842</x:v>
      </x:c>
      <x:c r="R147" s="22" t="str">
        <x:v>172</x:v>
      </x:c>
      <x:c r="S147" s="22" t="str">
        <x:v>2020</x:v>
      </x:c>
      <x:c r="T147" s="43" t="str">
        <x:v>1.0021906679189008e-07</x:v>
      </x:c>
      <x:c r="U147" s="43" t="str">
        <x:v>1.5691974161041733e-08</x:v>
      </x:c>
      <x:c r="V147" s="43" t="str">
        <x:v>1.5353693271630275e-08</x:v>
      </x:c>
      <x:c r="W147" s="43" t="str">
        <x:v>1.544136932901674e-08</x:v>
      </x:c>
      <x:c r="X147" s="43" t="str">
        <x:v>1.5691974161041733e-08</x:v>
      </x:c>
      <x:c r="Y147" s="43" t="str">
        <x:v>1.289976681029259e-09</x:v>
      </x:c>
      <x:c r="Z147" s="43" t="str">
        <x:v>1.0468963806964382e-08</x:v>
      </x:c>
      <x:c r="AA147" s="43" t="str">
        <x:v>8.686541097535638e-09</x:v>
      </x:c>
      <x:c r="AB147" s="43" t="str">
        <x:v>1.1903247387756721e-08</x:v>
      </x:c>
      <x:c r="AC147" s="43" t="str">
        <x:v>1.2413218744566912e-08</x:v>
      </x:c>
      <x:c r="AD147" s="43" t="str">
        <x:v>1.2158233066161817e-08</x:v>
      </x:c>
      <x:c r="AE147" s="43" t="str">
        <x:v>1.5691974161041733e-08</x:v>
      </x:c>
      <x:c r="AF147" s="43" t="str">
        <x:v>1.6988106976700834e-08</x:v>
      </x:c>
      <x:c r="AG147" s="23" t="str">
        <x:v>Candidate surface form is directly representable in the public Ngram interface. Complete 1842–2022 unsmoothed series reused from the audited quantitative-v0.1 baseline.</x:v>
      </x:c>
    </x:row>
    <x:row r="148" ht="19" customHeight="1">
      <x:c r="A148" s="20" t="str">
        <x:v>FT-SEED-R1B-P-2015-27</x:v>
      </x:c>
      <x:c r="B148" s="22" t="str">
        <x:v>2015</x:v>
      </x:c>
      <x:c r="C148" s="22" t="str">
        <x:v>27</x:v>
      </x:c>
      <x:c r="D148" s="21" t="str">
        <x:v>very serious problem</x:v>
      </x:c>
      <x:c r="E148" s="21" t="str">
        <x:v>generic damage</x:v>
      </x:c>
      <x:c r="F148" s="22" t="str">
        <x:v>harm_loss_consequences</x:v>
      </x:c>
      <x:c r="G148" s="22" t="str">
        <x:v>D</x:v>
      </x:c>
      <x:c r="H148" s="22" t="str">
        <x:v>V5</x:v>
      </x:c>
      <x:c r="I148" s="22" t="str">
        <x:v>E5</x:v>
      </x:c>
      <x:c r="J148" s="21" t="str">
        <x:v>RECONSTRUCTED_FROM_REPORT; Fear of Temperature_ Stratified Lexical Expansion, Voice Mapping, and Semantic-Relational Pre-Valida.pdf; p.11; project candidate FT-SEED-R1B-P-2015-27; original visible ID not available</x:v>
      </x:c>
      <x:c r="K148" s="21" t="str">
        <x:v>very serious problem</x:v>
      </x:c>
      <x:c r="L148" s="22" t="str">
        <x:v>EXACT</x:v>
      </x:c>
      <x:c r="M148" s="21" t="str">
        <x:v>SUCCEEDED_NEW</x:v>
      </x:c>
      <x:c r="N148" s="21" t="str">
        <x:v>FT-Q-P180-A0EB09D33170</x:v>
      </x:c>
      <x:c r="O148" s="22" t="str">
        <x:v>1842</x:v>
      </x:c>
      <x:c r="P148" s="22" t="str">
        <x:v>2022</x:v>
      </x:c>
      <x:c r="Q148" s="22" t="str">
        <x:v>1847</x:v>
      </x:c>
      <x:c r="R148" s="22" t="str">
        <x:v>164</x:v>
      </x:c>
      <x:c r="S148" s="22" t="str">
        <x:v>1970</x:v>
      </x:c>
      <x:c r="T148" s="43" t="str">
        <x:v>2.437142834904593e-07</x:v>
      </x:c>
      <x:c r="U148" s="43" t="str">
        <x:v>5.5235472331410795e-08</x:v>
      </x:c>
      <x:c r="V148" s="43" t="str">
        <x:v>5.2916150271771954e-08</x:v>
      </x:c>
      <x:c r="W148" s="43" t="str">
        <x:v>5.5235472331410795e-08</x:v>
      </x:c>
      <x:c r="X148" s="43" t="str">
        <x:v>5.608943045090631e-08</x:v>
      </x:c>
      <x:c r="Y148" s="43" t="str">
        <x:v>0.0</x:v>
      </x:c>
      <x:c r="Z148" s="43" t="str">
        <x:v>1.3225830139407257e-07</x:v>
      </x:c>
      <x:c r="AA148" s="43" t="str">
        <x:v>1.6596494885334767e-07</x:v>
      </x:c>
      <x:c r="AB148" s="43" t="str">
        <x:v>6.921257910547096e-08</x:v>
      </x:c>
      <x:c r="AC148" s="43" t="str">
        <x:v>7.220656612905163e-08</x:v>
      </x:c>
      <x:c r="AD148" s="43" t="str">
        <x:v>7.07095726172613e-08</x:v>
      </x:c>
      <x:c r="AE148" s="43" t="str">
        <x:v>5.5235472331410795e-08</x:v>
      </x:c>
      <x:c r="AF148" s="43" t="str">
        <x:v>3.684559933547771e-08</x:v>
      </x:c>
      <x:c r="AG148" s="23" t="str">
        <x:v>Candidate surface form is directly representable in the public Ngram interface. New unsmoothed 1842–2022 series retrieved for the candidate audit.</x:v>
      </x:c>
    </x:row>
    <x:row r="149" ht="19" customHeight="1">
      <x:c r="A149" s="20" t="str">
        <x:v>FT-SEED-R1B-P-2015-28</x:v>
      </x:c>
      <x:c r="B149" s="22" t="str">
        <x:v>2015</x:v>
      </x:c>
      <x:c r="C149" s="22" t="str">
        <x:v>28</x:v>
      </x:c>
      <x:c r="D149" s="21" t="str">
        <x:v>harm them personally</x:v>
      </x:c>
      <x:c r="E149" s="21" t="str">
        <x:v>generic damage</x:v>
      </x:c>
      <x:c r="F149" s="22" t="str">
        <x:v>harm_loss_consequences</x:v>
      </x:c>
      <x:c r="G149" s="22" t="str">
        <x:v>D</x:v>
      </x:c>
      <x:c r="H149" s="22" t="str">
        <x:v>V5</x:v>
      </x:c>
      <x:c r="I149" s="22" t="str">
        <x:v>E5</x:v>
      </x:c>
      <x:c r="J149" s="21" t="str">
        <x:v>RECONSTRUCTED_FROM_REPORT; Fear of Temperature_ Stratified Lexical Expansion, Voice Mapping, and Semantic-Relational Pre-Valida.pdf; p.11; project candidate FT-SEED-R1B-P-2015-28; original visible ID not available</x:v>
      </x:c>
      <x:c r="K149" s="21" t="str">
        <x:v>harm them personally</x:v>
      </x:c>
      <x:c r="L149" s="22" t="str">
        <x:v>EXACT</x:v>
      </x:c>
      <x:c r="M149" s="21" t="str">
        <x:v>SUCCEEDED_NEW</x:v>
      </x:c>
      <x:c r="N149" s="21" t="str">
        <x:v>FT-Q-P180-548C3B05093C</x:v>
      </x:c>
      <x:c r="O149" s="22" t="str">
        <x:v>1842</x:v>
      </x:c>
      <x:c r="P149" s="22" t="str">
        <x:v>2022</x:v>
      </x:c>
      <x:c r="Q149" s="22" t="str">
        <x:v>1878</x:v>
      </x:c>
      <x:c r="R149" s="22" t="str">
        <x:v>60</x:v>
      </x:c>
      <x:c r="S149" s="22" t="str">
        <x:v>1988</x:v>
      </x:c>
      <x:c r="T149" s="43" t="str">
        <x:v>2.4327109215960263e-09</x:v>
      </x:c>
      <x:c r="U149" s="43" t="str">
        <x:v>2.9992111572063607e-10</x:v>
      </x:c>
      <x:c r="V149" s="43" t="str">
        <x:v>1.898051947094951e-10</x:v>
      </x:c>
      <x:c r="W149" s="43" t="str">
        <x:v>1.7378599947992512e-10</x:v>
      </x:c>
      <x:c r="X149" s="43" t="str">
        <x:v>2.9992111572063607e-10</x:v>
      </x:c>
      <x:c r="Y149" s="43" t="str">
        <x:v>0.0</x:v>
      </x:c>
      <x:c r="Z149" s="43" t="str">
        <x:v>0.0</x:v>
      </x:c>
      <x:c r="AA149" s="43" t="str">
        <x:v>2.4327109215960263e-09</x:v>
      </x:c>
      <x:c r="AB149" s="43" t="str">
        <x:v>4.954372329057932e-11</x:v>
      </x:c>
      <x:c r="AC149" s="43" t="str">
        <x:v>1.4577368478985164e-10</x:v>
      </x:c>
      <x:c r="AD149" s="43" t="str">
        <x:v>9.765870404021548e-11</x:v>
      </x:c>
      <x:c r="AE149" s="43" t="str">
        <x:v>2.9992111572063607e-10</x:v>
      </x:c>
      <x:c r="AF149" s="43" t="str">
        <x:v>7.567774185091025e-10</x:v>
      </x:c>
      <x:c r="AG149" s="23" t="str">
        <x:v>Candidate surface form is directly representable in the public Ngram interface. New unsmoothed 1842–2022 series retrieved for the candidate audit.</x:v>
      </x:c>
    </x:row>
    <x:row r="150" ht="19" customHeight="1">
      <x:c r="A150" s="20" t="str">
        <x:v>FT-SEED-R1B-P-2015-29</x:v>
      </x:c>
      <x:c r="B150" s="22" t="str">
        <x:v>2015</x:v>
      </x:c>
      <x:c r="C150" s="22" t="str">
        <x:v>29</x:v>
      </x:c>
      <x:c r="D150" s="21" t="str">
        <x:v>drought or water shortages</x:v>
      </x:c>
      <x:c r="E150" s="21" t="str">
        <x:v>generic damage</x:v>
      </x:c>
      <x:c r="F150" s="22" t="str">
        <x:v>harm_loss_consequences</x:v>
      </x:c>
      <x:c r="G150" s="22" t="str">
        <x:v>D</x:v>
      </x:c>
      <x:c r="H150" s="22" t="str">
        <x:v>V5</x:v>
      </x:c>
      <x:c r="I150" s="22" t="str">
        <x:v>E5</x:v>
      </x:c>
      <x:c r="J150" s="21" t="str">
        <x:v>RECONSTRUCTED_FROM_REPORT; Fear of Temperature_ Stratified Lexical Expansion, Voice Mapping, and Semantic-Relational Pre-Valida.pdf; p.11; project candidate FT-SEED-R1B-P-2015-29; original visible ID not available</x:v>
      </x:c>
      <x:c r="K150" s="21" t="str">
        <x:v>drought or water shortages</x:v>
      </x:c>
      <x:c r="L150" s="22" t="str">
        <x:v>EXACT</x:v>
      </x:c>
      <x:c r="M150" s="21" t="str">
        <x:v>SUCCEEDED_NEW</x:v>
      </x:c>
      <x:c r="N150" s="21" t="str">
        <x:v>FT-Q-P180-AB6A4623A8E7</x:v>
      </x:c>
      <x:c r="O150" s="22" t="str">
        <x:v>1842</x:v>
      </x:c>
      <x:c r="P150" s="22" t="str">
        <x:v>2022</x:v>
      </x:c>
      <x:c r="Q150" s="22" t="str">
        <x:v>1940</x:v>
      </x:c>
      <x:c r="R150" s="22" t="str">
        <x:v>34</x:v>
      </x:c>
      <x:c r="S150" s="22" t="str">
        <x:v>1943</x:v>
      </x:c>
      <x:c r="T150" s="43" t="str">
        <x:v>1.5119944185570944e-09</x:v>
      </x:c>
      <x:c r="U150" s="43" t="str">
        <x:v>1.0753667400997813e-10</x:v>
      </x:c>
      <x:c r="V150" s="43" t="str">
        <x:v>6.857240816837695e-11</x:v>
      </x:c>
      <x:c r="W150" s="43" t="str">
        <x:v>5.141121903196044e-11</x:v>
      </x:c>
      <x:c r="X150" s="43" t="str">
        <x:v>1.0753667400997813e-10</x:v>
      </x:c>
      <x:c r="Y150" s="43" t="str">
        <x:v>0.0</x:v>
      </x:c>
      <x:c r="Z150" s="43" t="str">
        <x:v>0.0</x:v>
      </x:c>
      <x:c r="AA150" s="43" t="str">
        <x:v>1.1951332978821227e-10</x:v>
      </x:c>
      <x:c r="AB150" s="43" t="str">
        <x:v>5.397934182971298e-11</x:v>
      </x:c>
      <x:c r="AC150" s="43" t="str">
        <x:v>5.28392399279376e-11</x:v>
      </x:c>
      <x:c r="AD150" s="43" t="str">
        <x:v>5.340929087882529e-11</x:v>
      </x:c>
      <x:c r="AE150" s="43" t="str">
        <x:v>1.0753667400997813e-10</x:v>
      </x:c>
      <x:c r="AF150" s="43" t="str">
        <x:v>5.08116812514281e-11</x:v>
      </x:c>
      <x:c r="AG150" s="23" t="str">
        <x:v>Candidate surface form is directly representable in the public Ngram interface. New unsmoothed 1842–2022 series retrieved for the candidate audit.</x:v>
      </x:c>
    </x:row>
    <x:row r="151" ht="19" customHeight="1">
      <x:c r="A151" s="20" t="str">
        <x:v>FT-SEED-R1B-P-2015-30</x:v>
      </x:c>
      <x:c r="B151" s="22" t="str">
        <x:v>2015</x:v>
      </x:c>
      <x:c r="C151" s="22" t="str">
        <x:v>30</x:v>
      </x:c>
      <x:c r="D151" s="21" t="str">
        <x:v>We are nature defending itself</x:v>
      </x:c>
      <x:c r="E151" s="21" t="str">
        <x:v>personal concern</x:v>
      </x:c>
      <x:c r="F151" s="22" t="str">
        <x:v>concern_alarm</x:v>
      </x:c>
      <x:c r="G151" s="22" t="str">
        <x:v>C</x:v>
      </x:c>
      <x:c r="H151" s="22" t="str">
        <x:v>V4</x:v>
      </x:c>
      <x:c r="I151" s="22" t="str">
        <x:v>E5</x:v>
      </x:c>
      <x:c r="J151" s="21" t="str">
        <x:v>RECONSTRUCTED_FROM_REPORT; Fear of Temperature_ Stratified Lexical Expansion, Voice Mapping, and Semantic-Relational Pre-Valida.pdf; p.11; project candidate FT-SEED-R1B-P-2015-30; original visible ID not available</x:v>
      </x:c>
      <x:c r="K151" s="21" t="str">
        <x:v>We are nature defending itself</x:v>
      </x:c>
      <x:c r="L151" s="22" t="str">
        <x:v>EXACT</x:v>
      </x:c>
      <x:c r="M151" s="21" t="str">
        <x:v>ZERO_RESPONSE_NEW</x:v>
      </x:c>
      <x:c r="N151" s="21" t="str">
        <x:v>FT-Q-P180-7519F55D198F</x:v>
      </x:c>
      <x:c r="O151" s="22" t="str">
        <x:v>1842</x:v>
      </x:c>
      <x:c r="P151" s="22" t="str">
        <x:v>2022</x:v>
      </x:c>
      <x:c r="Q151" s="22" t="str"/>
      <x:c r="R151" s="22" t="str">
        <x:v>0</x:v>
      </x:c>
      <x:c r="S151" s="22" t="str"/>
      <x:c r="T151" s="43" t="str"/>
      <x:c r="U151" s="43" t="str"/>
      <x:c r="V151" s="43" t="str"/>
      <x:c r="W151" s="43" t="str"/>
      <x:c r="X151" s="43" t="str"/>
      <x:c r="Y151" s="43" t="str"/>
      <x:c r="Z151" s="43" t="str"/>
      <x:c r="AA151" s="43" t="str"/>
      <x:c r="AB151" s="43" t="str"/>
      <x:c r="AC151" s="43" t="str"/>
      <x:c r="AD151" s="43" t="str"/>
      <x:c r="AE151" s="43" t="str"/>
      <x:c r="AF151" s="43" t="str"/>
      <x:c r="AG151" s="23" t="str">
        <x:v>Candidate surface form is directly representable in the public Ngram interface. The public Ngram endpoint returned an empty list; retained without fabricating annual zero frequencies.</x:v>
      </x:c>
    </x:row>
    <x:row r="152" ht="19" customHeight="1">
      <x:c r="A152" s="20" t="str">
        <x:v>FT-SEED-R1B-P-2022-01</x:v>
      </x:c>
      <x:c r="B152" s="22" t="str">
        <x:v>2022</x:v>
      </x:c>
      <x:c r="C152" s="22" t="str">
        <x:v>1</x:v>
      </x:c>
      <x:c r="D152" s="21" t="str">
        <x:v>climate change</x:v>
      </x:c>
      <x:c r="E152" s="21" t="str">
        <x:v>modern climate change</x:v>
      </x:c>
      <x:c r="F152" s="22" t="str">
        <x:v>climate</x:v>
      </x:c>
      <x:c r="G152" s="22" t="str">
        <x:v>B</x:v>
      </x:c>
      <x:c r="H152" s="22" t="str">
        <x:v>V5</x:v>
      </x:c>
      <x:c r="I152" s="22" t="str">
        <x:v>E5</x:v>
      </x:c>
      <x:c r="J152" s="21" t="str">
        <x:v>RECONSTRUCTED_FROM_REPORT; Fear of Temperature_ Stratified Lexical Expansion, Voice Mapping, and Semantic-Relational Pre-Valida.pdf; p.12; project candidate FT-SEED-R1B-P-2022-01; original visible ID not available</x:v>
      </x:c>
      <x:c r="K152" s="21" t="str">
        <x:v>climate change</x:v>
      </x:c>
      <x:c r="L152" s="22" t="str">
        <x:v>EXACT</x:v>
      </x:c>
      <x:c r="M152" s="21" t="str">
        <x:v>SUCCEEDED_REUSED_BASELINE</x:v>
      </x:c>
      <x:c r="N152" s="21" t="str">
        <x:v>FT-Q-V01-101</x:v>
      </x:c>
      <x:c r="O152" s="22" t="str">
        <x:v>1842</x:v>
      </x:c>
      <x:c r="P152" s="22" t="str">
        <x:v>2022</x:v>
      </x:c>
      <x:c r="Q152" s="22" t="str">
        <x:v>1842</x:v>
      </x:c>
      <x:c r="R152" s="22" t="str">
        <x:v>180</x:v>
      </x:c>
      <x:c r="S152" s="22" t="str">
        <x:v>2022</x:v>
      </x:c>
      <x:c r="T152" s="43" t="str">
        <x:v>2.890008815206735e-05</x:v>
      </x:c>
      <x:c r="U152" s="43" t="str">
        <x:v>2.890008815206735e-05</x:v>
      </x:c>
      <x:c r="V152" s="43" t="str">
        <x:v>2.869409079314829e-05</x:v>
      </x:c>
      <x:c r="W152" s="43" t="str">
        <x:v>2.869409079314829e-05</x:v>
      </x:c>
      <x:c r="X152" s="43" t="str">
        <x:v>2.890008815206735e-05</x:v>
      </x:c>
      <x:c r="Y152" s="43" t="str">
        <x:v>5.159906557583582e-09</x:v>
      </x:c>
      <x:c r="Z152" s="43" t="str">
        <x:v>2.5615549126278836e-09</x:v>
      </x:c>
      <x:c r="AA152" s="43" t="str">
        <x:v>1.2407935109301493e-06</x:v>
      </x:c>
      <x:c r="AB152" s="43" t="str">
        <x:v>8.716473492563492e-06</x:v>
      </x:c>
      <x:c r="AC152" s="43" t="str">
        <x:v>1.3191383831559489e-05</x:v>
      </x:c>
      <x:c r="AD152" s="43" t="str">
        <x:v>1.095392866206149e-05</x:v>
      </x:c>
      <x:c r="AE152" s="43" t="str">
        <x:v>1.967096413684616e-05</x:v>
      </x:c>
      <x:c r="AF152" s="43" t="str">
        <x:v>2.890008815206735e-05</x:v>
      </x:c>
      <x:c r="AG152" s="23" t="str">
        <x:v>Candidate surface form is directly representable in the public Ngram interface. Complete 1842–2022 unsmoothed series reused from the audited quantitative-v0.1 baseline.</x:v>
      </x:c>
    </x:row>
    <x:row r="153" ht="19" customHeight="1">
      <x:c r="A153" s="20" t="str">
        <x:v>FT-SEED-R1B-P-2022-02</x:v>
      </x:c>
      <x:c r="B153" s="22" t="str">
        <x:v>2022</x:v>
      </x:c>
      <x:c r="C153" s="22" t="str">
        <x:v>2</x:v>
      </x:c>
      <x:c r="D153" s="21" t="str">
        <x:v>global warming</x:v>
      </x:c>
      <x:c r="E153" s="21" t="str">
        <x:v>global warming as issue label</x:v>
      </x:c>
      <x:c r="F153" s="22" t="str">
        <x:v>warming</x:v>
      </x:c>
      <x:c r="G153" s="22" t="str">
        <x:v>A</x:v>
      </x:c>
      <x:c r="H153" s="22" t="str">
        <x:v>V5</x:v>
      </x:c>
      <x:c r="I153" s="22" t="str">
        <x:v>E5</x:v>
      </x:c>
      <x:c r="J153" s="21" t="str">
        <x:v>RECONSTRUCTED_FROM_REPORT; Fear of Temperature_ Stratified Lexical Expansion, Voice Mapping, and Semantic-Relational Pre-Valida.pdf; p.12; project candidate FT-SEED-R1B-P-2022-02; original visible ID not available</x:v>
      </x:c>
      <x:c r="K153" s="21" t="str">
        <x:v>global warming</x:v>
      </x:c>
      <x:c r="L153" s="22" t="str">
        <x:v>EXACT</x:v>
      </x:c>
      <x:c r="M153" s="21" t="str">
        <x:v>SUCCEEDED_REUSED_BASELINE</x:v>
      </x:c>
      <x:c r="N153" s="21" t="str">
        <x:v>FT-Q-V01-102</x:v>
      </x:c>
      <x:c r="O153" s="22" t="str">
        <x:v>1842</x:v>
      </x:c>
      <x:c r="P153" s="22" t="str">
        <x:v>2022</x:v>
      </x:c>
      <x:c r="Q153" s="22" t="str">
        <x:v>1843</x:v>
      </x:c>
      <x:c r="R153" s="22" t="str">
        <x:v>138</x:v>
      </x:c>
      <x:c r="S153" s="22" t="str">
        <x:v>2009</x:v>
      </x:c>
      <x:c r="T153" s="43" t="str">
        <x:v>5.445639571555194e-06</x:v>
      </x:c>
      <x:c r="U153" s="43" t="str">
        <x:v>3.963670369644401e-06</x:v>
      </x:c>
      <x:c r="V153" s="43" t="str">
        <x:v>4.0554877937144795e-06</x:v>
      </x:c>
      <x:c r="W153" s="43" t="str">
        <x:v>4.0554877937144795e-06</x:v>
      </x:c>
      <x:c r="X153" s="43" t="str">
        <x:v>4.147305217784558e-06</x:v>
      </x:c>
      <x:c r="Y153" s="43" t="str">
        <x:v>0.0</x:v>
      </x:c>
      <x:c r="Z153" s="43" t="str">
        <x:v>2.0046951182406403e-09</x:v>
      </x:c>
      <x:c r="AA153" s="43" t="str">
        <x:v>6.400895369296222e-07</x:v>
      </x:c>
      <x:c r="AB153" s="43" t="str">
        <x:v>3.3939363127816202e-06</x:v>
      </x:c>
      <x:c r="AC153" s="43" t="str">
        <x:v>4.9616444240396795e-06</x:v>
      </x:c>
      <x:c r="AD153" s="43" t="str">
        <x:v>4.17779036841065e-06</x:v>
      </x:c>
      <x:c r="AE153" s="43" t="str">
        <x:v>3.293586607857474e-06</x:v>
      </x:c>
      <x:c r="AF153" s="43" t="str">
        <x:v>3.963670369644401e-06</x:v>
      </x:c>
      <x:c r="AG153" s="23" t="str">
        <x:v>Candidate surface form is directly representable in the public Ngram interface. Complete 1842–2022 unsmoothed series reused from the audited quantitative-v0.1 baseline.</x:v>
      </x:c>
    </x:row>
    <x:row r="154" ht="19" customHeight="1">
      <x:c r="A154" s="20" t="str">
        <x:v>FT-SEED-R1B-P-2022-03</x:v>
      </x:c>
      <x:c r="B154" s="22" t="str">
        <x:v>2022</x:v>
      </x:c>
      <x:c r="C154" s="22" t="str">
        <x:v>3</x:v>
      </x:c>
      <x:c r="D154" s="21" t="str">
        <x:v>very worried</x:v>
      </x:c>
      <x:c r="E154" s="21" t="str">
        <x:v>participant worry endorsement</x:v>
      </x:c>
      <x:c r="F154" s="22" t="str">
        <x:v>worry</x:v>
      </x:c>
      <x:c r="G154" s="22" t="str">
        <x:v>C</x:v>
      </x:c>
      <x:c r="H154" s="22" t="str">
        <x:v>V5</x:v>
      </x:c>
      <x:c r="I154" s="22" t="str">
        <x:v>E3</x:v>
      </x:c>
      <x:c r="J154" s="21" t="str">
        <x:v>RECONSTRUCTED_FROM_REPORT; Fear of Temperature_ Stratified Lexical Expansion, Voice Mapping, and Semantic-Relational Pre-Valida.pdf; p.12; project candidate FT-SEED-R1B-P-2022-03; original visible ID not available</x:v>
      </x:c>
      <x:c r="K154" s="21" t="str">
        <x:v>very worried</x:v>
      </x:c>
      <x:c r="L154" s="22" t="str">
        <x:v>EXACT</x:v>
      </x:c>
      <x:c r="M154" s="21" t="str">
        <x:v>SUCCEEDED_REUSED_BASELINE</x:v>
      </x:c>
      <x:c r="N154" s="21" t="str">
        <x:v>FT-Q-V01-103</x:v>
      </x:c>
      <x:c r="O154" s="22" t="str">
        <x:v>1842</x:v>
      </x:c>
      <x:c r="P154" s="22" t="str">
        <x:v>2022</x:v>
      </x:c>
      <x:c r="Q154" s="22" t="str">
        <x:v>1843</x:v>
      </x:c>
      <x:c r="R154" s="22" t="str">
        <x:v>167</x:v>
      </x:c>
      <x:c r="S154" s="22" t="str">
        <x:v>2020</x:v>
      </x:c>
      <x:c r="T154" s="43" t="str">
        <x:v>1.237675283025097e-06</x:v>
      </x:c>
      <x:c r="U154" s="43" t="str">
        <x:v>3.79268325273463e-07</x:v>
      </x:c>
      <x:c r="V154" s="43" t="str">
        <x:v>3.800947214332995e-07</x:v>
      </x:c>
      <x:c r="W154" s="43" t="str">
        <x:v>3.800947214332995e-07</x:v>
      </x:c>
      <x:c r="X154" s="43" t="str">
        <x:v>3.8092111759313596e-07</x:v>
      </x:c>
      <x:c r="Y154" s="43" t="str">
        <x:v>0.0</x:v>
      </x:c>
      <x:c r="Z154" s="43" t="str">
        <x:v>5.7579301035448616e-08</x:v>
      </x:c>
      <x:c r="AA154" s="43" t="str">
        <x:v>1.573942034760467e-07</x:v>
      </x:c>
      <x:c r="AB154" s="43" t="str">
        <x:v>2.430551577989326e-07</x:v>
      </x:c>
      <x:c r="AC154" s="43" t="str">
        <x:v>2.654000055557493e-07</x:v>
      </x:c>
      <x:c r="AD154" s="43" t="str">
        <x:v>2.5422758167734094e-07</x:v>
      </x:c>
      <x:c r="AE154" s="43" t="str">
        <x:v>4.244305496919898e-07</x:v>
      </x:c>
      <x:c r="AF154" s="43" t="str">
        <x:v>3.79268325273463e-07</x:v>
      </x:c>
      <x:c r="AG154" s="23" t="str">
        <x:v>Candidate surface form is directly representable in the public Ngram interface. Complete 1842–2022 unsmoothed series reused from the audited quantitative-v0.1 baseline.</x:v>
      </x:c>
    </x:row>
    <x:row r="155" ht="19" customHeight="1">
      <x:c r="A155" s="20" t="str">
        <x:v>FT-SEED-R1B-P-2022-04</x:v>
      </x:c>
      <x:c r="B155" s="22" t="str">
        <x:v>2022</x:v>
      </x:c>
      <x:c r="C155" s="22" t="str">
        <x:v>4</x:v>
      </x:c>
      <x:c r="D155" s="21" t="str">
        <x:v>somewhat worried</x:v>
      </x:c>
      <x:c r="E155" s="21" t="str">
        <x:v>participant worry endorsement</x:v>
      </x:c>
      <x:c r="F155" s="22" t="str">
        <x:v>worry</x:v>
      </x:c>
      <x:c r="G155" s="22" t="str">
        <x:v>C</x:v>
      </x:c>
      <x:c r="H155" s="22" t="str">
        <x:v>V5</x:v>
      </x:c>
      <x:c r="I155" s="22" t="str">
        <x:v>E5</x:v>
      </x:c>
      <x:c r="J155" s="21" t="str">
        <x:v>RECONSTRUCTED_FROM_REPORT; Fear of Temperature_ Stratified Lexical Expansion, Voice Mapping, and Semantic-Relational Pre-Valida.pdf; p.12; project candidate FT-SEED-R1B-P-2022-04; original visible ID not available</x:v>
      </x:c>
      <x:c r="K155" s="21" t="str">
        <x:v>somewhat worried</x:v>
      </x:c>
      <x:c r="L155" s="22" t="str">
        <x:v>EXACT</x:v>
      </x:c>
      <x:c r="M155" s="21" t="str">
        <x:v>SUCCEEDED_REUSED_BASELINE</x:v>
      </x:c>
      <x:c r="N155" s="21" t="str">
        <x:v>FT-Q-V01-104</x:v>
      </x:c>
      <x:c r="O155" s="22" t="str">
        <x:v>1842</x:v>
      </x:c>
      <x:c r="P155" s="22" t="str">
        <x:v>2022</x:v>
      </x:c>
      <x:c r="Q155" s="22" t="str">
        <x:v>1842</x:v>
      </x:c>
      <x:c r="R155" s="22" t="str">
        <x:v>172</x:v>
      </x:c>
      <x:c r="S155" s="22" t="str">
        <x:v>2020</x:v>
      </x:c>
      <x:c r="T155" s="43" t="str">
        <x:v>1.0021906679189008e-07</x:v>
      </x:c>
      <x:c r="U155" s="43" t="str">
        <x:v>1.6988106976700834e-08</x:v>
      </x:c>
      <x:c r="V155" s="43" t="str">
        <x:v>1.6607363815743237e-08</x:v>
      </x:c>
      <x:c r="W155" s="43" t="str">
        <x:v>1.6607363815743237e-08</x:v>
      </x:c>
      <x:c r="X155" s="43" t="str">
        <x:v>1.6988106976700834e-08</x:v>
      </x:c>
      <x:c r="Y155" s="43" t="str">
        <x:v>1.289976681029259e-09</x:v>
      </x:c>
      <x:c r="Z155" s="43" t="str">
        <x:v>1.0468963806964382e-08</x:v>
      </x:c>
      <x:c r="AA155" s="43" t="str">
        <x:v>8.686541097535638e-09</x:v>
      </x:c>
      <x:c r="AB155" s="43" t="str">
        <x:v>1.1903247387756721e-08</x:v>
      </x:c>
      <x:c r="AC155" s="43" t="str">
        <x:v>1.2413218744566912e-08</x:v>
      </x:c>
      <x:c r="AD155" s="43" t="str">
        <x:v>1.2158233066161817e-08</x:v>
      </x:c>
      <x:c r="AE155" s="43" t="str">
        <x:v>1.5691974161041733e-08</x:v>
      </x:c>
      <x:c r="AF155" s="43" t="str">
        <x:v>1.6988106976700834e-08</x:v>
      </x:c>
      <x:c r="AG155" s="23" t="str">
        <x:v>Candidate surface form is directly representable in the public Ngram interface. Complete 1842–2022 unsmoothed series reused from the audited quantitative-v0.1 baseline.</x:v>
      </x:c>
    </x:row>
    <x:row r="156" ht="19" customHeight="1">
      <x:c r="A156" s="20" t="str">
        <x:v>FT-SEED-R1B-P-2022-05</x:v>
      </x:c>
      <x:c r="B156" s="22" t="str">
        <x:v>2022</x:v>
      </x:c>
      <x:c r="C156" s="22" t="str">
        <x:v>5</x:v>
      </x:c>
      <x:c r="D156" s="21" t="str">
        <x:v>afraid</x:v>
      </x:c>
      <x:c r="E156" s="21" t="str">
        <x:v>participant afraid endorsement</x:v>
      </x:c>
      <x:c r="F156" s="22" t="str">
        <x:v>fear_afraid</x:v>
      </x:c>
      <x:c r="G156" s="22" t="str">
        <x:v>C</x:v>
      </x:c>
      <x:c r="H156" s="22" t="str">
        <x:v>V5</x:v>
      </x:c>
      <x:c r="I156" s="22" t="str">
        <x:v>E5</x:v>
      </x:c>
      <x:c r="J156" s="21" t="str">
        <x:v>RECONSTRUCTED_FROM_REPORT; Fear of Temperature_ Stratified Lexical Expansion, Voice Mapping, and Semantic-Relational Pre-Valida.pdf; p.12; project candidate FT-SEED-R1B-P-2022-05; original visible ID not available</x:v>
      </x:c>
      <x:c r="K156" s="21" t="str">
        <x:v>afraid</x:v>
      </x:c>
      <x:c r="L156" s="22" t="str">
        <x:v>EXACT</x:v>
      </x:c>
      <x:c r="M156" s="21" t="str">
        <x:v>SUCCEEDED_REUSED_BASELINE</x:v>
      </x:c>
      <x:c r="N156" s="21" t="str">
        <x:v>FT-Q-V01-105</x:v>
      </x:c>
      <x:c r="O156" s="22" t="str">
        <x:v>1842</x:v>
      </x:c>
      <x:c r="P156" s="22" t="str">
        <x:v>2022</x:v>
      </x:c>
      <x:c r="Q156" s="22" t="str">
        <x:v>1842</x:v>
      </x:c>
      <x:c r="R156" s="22" t="str">
        <x:v>181</x:v>
      </x:c>
      <x:c r="S156" s="22" t="str">
        <x:v>2020</x:v>
      </x:c>
      <x:c r="T156" s="43" t="str">
        <x:v>7.990909915633893e-05</x:v>
      </x:c>
      <x:c r="U156" s="43" t="str">
        <x:v>4.2338097898834276e-05</x:v>
      </x:c>
      <x:c r="V156" s="43" t="str">
        <x:v>4.088140822501238e-05</x:v>
      </x:c>
      <x:c r="W156" s="43" t="str">
        <x:v>4.088140822501238e-05</x:v>
      </x:c>
      <x:c r="X156" s="43" t="str">
        <x:v>4.2338097898834276e-05</x:v>
      </x:c>
      <x:c r="Y156" s="43" t="str">
        <x:v>2.2121682565767742e-05</x:v>
      </x:c>
      <x:c r="Z156" s="43" t="str">
        <x:v>1.4005590038834725e-05</x:v>
      </x:c>
      <x:c r="AA156" s="43" t="str">
        <x:v>1.09846374348882e-05</x:v>
      </x:c>
      <x:c r="AB156" s="43" t="str">
        <x:v>1.9768807746345374e-05</x:v>
      </x:c>
      <x:c r="AC156" s="43" t="str">
        <x:v>2.159649101456107e-05</x:v>
      </x:c>
      <x:c r="AD156" s="43" t="str">
        <x:v>2.0682649380453222e-05</x:v>
      </x:c>
      <x:c r="AE156" s="43" t="str">
        <x:v>4.288384451456295e-05</x:v>
      </x:c>
      <x:c r="AF156" s="43" t="str">
        <x:v>4.2338097898834276e-05</x:v>
      </x:c>
      <x:c r="AG156" s="23" t="str">
        <x:v>Candidate surface form is directly representable in the public Ngram interface. Complete 1842–2022 unsmoothed series reused from the audited quantitative-v0.1 baseline.</x:v>
      </x:c>
    </x:row>
    <x:row r="157" ht="19" customHeight="1">
      <x:c r="A157" s="20" t="str">
        <x:v>FT-SEED-R1B-P-2022-06</x:v>
      </x:c>
      <x:c r="B157" s="22" t="str">
        <x:v>2022</x:v>
      </x:c>
      <x:c r="C157" s="22" t="str">
        <x:v>6</x:v>
      </x:c>
      <x:c r="D157" s="21" t="str">
        <x:v>anxious</x:v>
      </x:c>
      <x:c r="E157" s="21" t="str">
        <x:v>anxious affect</x:v>
      </x:c>
      <x:c r="F157" s="22" t="str">
        <x:v>anxiety</x:v>
      </x:c>
      <x:c r="G157" s="22" t="str">
        <x:v>C</x:v>
      </x:c>
      <x:c r="H157" s="22" t="str">
        <x:v>V5</x:v>
      </x:c>
      <x:c r="I157" s="22" t="str">
        <x:v>E5</x:v>
      </x:c>
      <x:c r="J157" s="21" t="str">
        <x:v>RECONSTRUCTED_FROM_REPORT; Fear of Temperature_ Stratified Lexical Expansion, Voice Mapping, and Semantic-Relational Pre-Valida.pdf; p.12; project candidate FT-SEED-R1B-P-2022-06; original visible ID not available</x:v>
      </x:c>
      <x:c r="K157" s="21" t="str">
        <x:v>anxious</x:v>
      </x:c>
      <x:c r="L157" s="22" t="str">
        <x:v>EXACT</x:v>
      </x:c>
      <x:c r="M157" s="21" t="str">
        <x:v>SUCCEEDED_REUSED_BASELINE</x:v>
      </x:c>
      <x:c r="N157" s="21" t="str">
        <x:v>FT-Q-V01-106</x:v>
      </x:c>
      <x:c r="O157" s="22" t="str">
        <x:v>1842</x:v>
      </x:c>
      <x:c r="P157" s="22" t="str">
        <x:v>2022</x:v>
      </x:c>
      <x:c r="Q157" s="22" t="str">
        <x:v>1842</x:v>
      </x:c>
      <x:c r="R157" s="22" t="str">
        <x:v>181</x:v>
      </x:c>
      <x:c r="S157" s="22" t="str">
        <x:v>1844</x:v>
      </x:c>
      <x:c r="T157" s="43" t="str">
        <x:v>4.193757599324499e-05</x:v>
      </x:c>
      <x:c r="U157" s="43" t="str">
        <x:v>1.7530547914985928e-05</x:v>
      </x:c>
      <x:c r="V157" s="43" t="str">
        <x:v>1.608468696928829e-05</x:v>
      </x:c>
      <x:c r="W157" s="43" t="str">
        <x:v>1.608468696928829e-05</x:v>
      </x:c>
      <x:c r="X157" s="43" t="str">
        <x:v>1.7530547914985928e-05</x:v>
      </x:c>
      <x:c r="Y157" s="43" t="str">
        <x:v>3.8699258364971456e-05</x:v>
      </x:c>
      <x:c r="Z157" s="43" t="str">
        <x:v>1.1306160757840189e-05</x:v>
      </x:c>
      <x:c r="AA157" s="43" t="str">
        <x:v>6.107358935025786e-06</x:v>
      </x:c>
      <x:c r="AB157" s="43" t="str">
        <x:v>8.508186313434252e-06</x:v>
      </x:c>
      <x:c r="AC157" s="43" t="str">
        <x:v>9.368124114672582e-06</x:v>
      </x:c>
      <x:c r="AD157" s="43" t="str">
        <x:v>8.938155214053417e-06</x:v>
      </x:c>
      <x:c r="AE157" s="43" t="str">
        <x:v>1.4822052108343087e-05</x:v>
      </x:c>
      <x:c r="AF157" s="43" t="str">
        <x:v>1.7530547914985928e-05</x:v>
      </x:c>
      <x:c r="AG157" s="23" t="str">
        <x:v>Candidate surface form is directly representable in the public Ngram interface. Complete 1842–2022 unsmoothed series reused from the audited quantitative-v0.1 baseline.</x:v>
      </x:c>
    </x:row>
    <x:row r="158" ht="19" customHeight="1">
      <x:c r="A158" s="20" t="str">
        <x:v>FT-SEED-R1B-P-2022-07</x:v>
      </x:c>
      <x:c r="B158" s="22" t="str">
        <x:v>2022</x:v>
      </x:c>
      <x:c r="C158" s="22" t="str">
        <x:v>7</x:v>
      </x:c>
      <x:c r="D158" s="21" t="str">
        <x:v>hopeless</x:v>
      </x:c>
      <x:c r="E158" s="21" t="str">
        <x:v>depressed affect</x:v>
      </x:c>
      <x:c r="F158" s="22" t="str">
        <x:v>distress_depression</x:v>
      </x:c>
      <x:c r="G158" s="22" t="str">
        <x:v>C</x:v>
      </x:c>
      <x:c r="H158" s="22" t="str">
        <x:v>V5</x:v>
      </x:c>
      <x:c r="I158" s="22" t="str">
        <x:v>E5</x:v>
      </x:c>
      <x:c r="J158" s="21" t="str">
        <x:v>RECONSTRUCTED_FROM_REPORT; Fear of Temperature_ Stratified Lexical Expansion, Voice Mapping, and Semantic-Relational Pre-Valida.pdf; p.12; project candidate FT-SEED-R1B-P-2022-07; original visible ID not available</x:v>
      </x:c>
      <x:c r="K158" s="21" t="str">
        <x:v>hopeless</x:v>
      </x:c>
      <x:c r="L158" s="22" t="str">
        <x:v>EXACT</x:v>
      </x:c>
      <x:c r="M158" s="21" t="str">
        <x:v>SUCCEEDED_REUSED_BASELINE</x:v>
      </x:c>
      <x:c r="N158" s="21" t="str">
        <x:v>FT-Q-V01-107</x:v>
      </x:c>
      <x:c r="O158" s="22" t="str">
        <x:v>1842</x:v>
      </x:c>
      <x:c r="P158" s="22" t="str">
        <x:v>2022</x:v>
      </x:c>
      <x:c r="Q158" s="22" t="str">
        <x:v>1842</x:v>
      </x:c>
      <x:c r="R158" s="22" t="str">
        <x:v>181</x:v>
      </x:c>
      <x:c r="S158" s="22" t="str">
        <x:v>1848</x:v>
      </x:c>
      <x:c r="T158" s="43" t="str">
        <x:v>8.843983238193687e-06</x:v>
      </x:c>
      <x:c r="U158" s="43" t="str">
        <x:v>4.716772487256549e-06</x:v>
      </x:c>
      <x:c r="V158" s="43" t="str">
        <x:v>4.3393091004872986e-06</x:v>
      </x:c>
      <x:c r="W158" s="43" t="str">
        <x:v>4.3393091004872986e-06</x:v>
      </x:c>
      <x:c r="X158" s="43" t="str">
        <x:v>4.716772487256549e-06</x:v>
      </x:c>
      <x:c r="Y158" s="43" t="str">
        <x:v>7.7498279829058e-06</x:v>
      </x:c>
      <x:c r="Z158" s="43" t="str">
        <x:v>3.078077401852397e-06</x:v>
      </x:c>
      <x:c r="AA158" s="43" t="str">
        <x:v>1.5741959904502778e-06</x:v>
      </x:c>
      <x:c r="AB158" s="43" t="str">
        <x:v>2.3668836135470883e-06</x:v>
      </x:c>
      <x:c r="AC158" s="43" t="str">
        <x:v>2.6035962257253686e-06</x:v>
      </x:c>
      <x:c r="AD158" s="43" t="str">
        <x:v>2.4852399196362285e-06</x:v>
      </x:c>
      <x:c r="AE158" s="43" t="str">
        <x:v>4.200327168746298e-06</x:v>
      </x:c>
      <x:c r="AF158" s="43" t="str">
        <x:v>4.716772487256549e-06</x:v>
      </x:c>
      <x:c r="AG158" s="23" t="str">
        <x:v>Candidate surface form is directly representable in the public Ngram interface. Complete 1842–2022 unsmoothed series reused from the audited quantitative-v0.1 baseline.</x:v>
      </x:c>
    </x:row>
    <x:row r="159" ht="19" customHeight="1">
      <x:c r="A159" s="20" t="str">
        <x:v>FT-SEED-R1B-P-2022-08</x:v>
      </x:c>
      <x:c r="B159" s="22" t="str">
        <x:v>2022</x:v>
      </x:c>
      <x:c r="C159" s="22" t="str">
        <x:v>8</x:v>
      </x:c>
      <x:c r="D159" s="21" t="str">
        <x:v>sad</x:v>
      </x:c>
      <x:c r="E159" s="21" t="str">
        <x:v>depressed affect</x:v>
      </x:c>
      <x:c r="F159" s="22" t="str">
        <x:v>distress_depression</x:v>
      </x:c>
      <x:c r="G159" s="22" t="str">
        <x:v>C</x:v>
      </x:c>
      <x:c r="H159" s="22" t="str">
        <x:v>V5</x:v>
      </x:c>
      <x:c r="I159" s="22" t="str">
        <x:v>E5</x:v>
      </x:c>
      <x:c r="J159" s="21" t="str">
        <x:v>RECONSTRUCTED_FROM_REPORT; Fear of Temperature_ Stratified Lexical Expansion, Voice Mapping, and Semantic-Relational Pre-Valida.pdf; p.12; project candidate FT-SEED-R1B-P-2022-08; original visible ID not available</x:v>
      </x:c>
      <x:c r="K159" s="21" t="str">
        <x:v>sad</x:v>
      </x:c>
      <x:c r="L159" s="22" t="str">
        <x:v>EXACT</x:v>
      </x:c>
      <x:c r="M159" s="21" t="str">
        <x:v>SUCCEEDED_REUSED_BASELINE</x:v>
      </x:c>
      <x:c r="N159" s="21" t="str">
        <x:v>FT-Q-V01-108</x:v>
      </x:c>
      <x:c r="O159" s="22" t="str">
        <x:v>1842</x:v>
      </x:c>
      <x:c r="P159" s="22" t="str">
        <x:v>2022</x:v>
      </x:c>
      <x:c r="Q159" s="22" t="str">
        <x:v>1842</x:v>
      </x:c>
      <x:c r="R159" s="22" t="str">
        <x:v>181</x:v>
      </x:c>
      <x:c r="S159" s="22" t="str">
        <x:v>1850</x:v>
      </x:c>
      <x:c r="T159" s="43" t="str">
        <x:v>3.509316660199602e-05</x:v>
      </x:c>
      <x:c r="U159" s="43" t="str">
        <x:v>2.540873449891415e-05</x:v>
      </x:c>
      <x:c r="V159" s="43" t="str">
        <x:v>2.4303538081332787e-05</x:v>
      </x:c>
      <x:c r="W159" s="43" t="str">
        <x:v>2.4303538081332787e-05</x:v>
      </x:c>
      <x:c r="X159" s="43" t="str">
        <x:v>2.540873449891415e-05</x:v>
      </x:c>
      <x:c r="Y159" s="43" t="str">
        <x:v>2.8106813502404293e-05</x:v>
      </x:c>
      <x:c r="Z159" s="43" t="str">
        <x:v>7.116686279312612e-06</x:v>
      </x:c>
      <x:c r="AA159" s="43" t="str">
        <x:v>7.082451503964693e-06</x:v>
      </x:c>
      <x:c r="AB159" s="43" t="str">
        <x:v>1.2702324528133385e-05</x:v>
      </x:c>
      <x:c r="AC159" s="43" t="str">
        <x:v>1.3578995950960793e-05</x:v>
      </x:c>
      <x:c r="AD159" s="43" t="str">
        <x:v>1.3140660239547089e-05</x:v>
      </x:c>
      <x:c r="AE159" s="43" t="str">
        <x:v>2.244314198969477e-05</x:v>
      </x:c>
      <x:c r="AF159" s="43" t="str">
        <x:v>2.540873449891415e-05</x:v>
      </x:c>
      <x:c r="AG159" s="23" t="str">
        <x:v>Candidate surface form is directly representable in the public Ngram interface. Complete 1842–2022 unsmoothed series reused from the audited quantitative-v0.1 baseline.</x:v>
      </x:c>
    </x:row>
    <x:row r="160" ht="19" customHeight="1">
      <x:c r="A160" s="20" t="str">
        <x:v>FT-SEED-R1B-P-2022-09</x:v>
      </x:c>
      <x:c r="B160" s="22" t="str">
        <x:v>2022</x:v>
      </x:c>
      <x:c r="C160" s="22" t="str">
        <x:v>9</x:v>
      </x:c>
      <x:c r="D160" s="21" t="str">
        <x:v>angry</x:v>
      </x:c>
      <x:c r="E160" s="21" t="str">
        <x:v>depressed affect</x:v>
      </x:c>
      <x:c r="F160" s="22" t="str">
        <x:v>distress_depression</x:v>
      </x:c>
      <x:c r="G160" s="22" t="str">
        <x:v>C</x:v>
      </x:c>
      <x:c r="H160" s="22" t="str">
        <x:v>V5</x:v>
      </x:c>
      <x:c r="I160" s="22" t="str">
        <x:v>E5</x:v>
      </x:c>
      <x:c r="J160" s="21" t="str">
        <x:v>RECONSTRUCTED_FROM_REPORT; Fear of Temperature_ Stratified Lexical Expansion, Voice Mapping, and Semantic-Relational Pre-Valida.pdf; p.13; project candidate FT-SEED-R1B-P-2022-09; original visible ID not available</x:v>
      </x:c>
      <x:c r="K160" s="21" t="str">
        <x:v>angry</x:v>
      </x:c>
      <x:c r="L160" s="22" t="str">
        <x:v>EXACT</x:v>
      </x:c>
      <x:c r="M160" s="21" t="str">
        <x:v>SUCCEEDED_REUSED_BASELINE</x:v>
      </x:c>
      <x:c r="N160" s="21" t="str">
        <x:v>FT-Q-V01-109</x:v>
      </x:c>
      <x:c r="O160" s="22" t="str">
        <x:v>1842</x:v>
      </x:c>
      <x:c r="P160" s="22" t="str">
        <x:v>2022</x:v>
      </x:c>
      <x:c r="Q160" s="22" t="str">
        <x:v>1842</x:v>
      </x:c>
      <x:c r="R160" s="22" t="str">
        <x:v>181</x:v>
      </x:c>
      <x:c r="S160" s="22" t="str">
        <x:v>2020</x:v>
      </x:c>
      <x:c r="T160" s="43" t="str">
        <x:v>5.484382637632734e-05</x:v>
      </x:c>
      <x:c r="U160" s="43" t="str">
        <x:v>3.134844381236235e-05</x:v>
      </x:c>
      <x:c r="V160" s="43" t="str">
        <x:v>3.0892590224596006e-05</x:v>
      </x:c>
      <x:c r="W160" s="43" t="str">
        <x:v>3.0892590224596006e-05</x:v>
      </x:c>
      <x:c r="X160" s="43" t="str">
        <x:v>3.134844381236235e-05</x:v>
      </x:c>
      <x:c r="Y160" s="43" t="str">
        <x:v>1.4865800427088516e-05</x:v>
      </x:c>
      <x:c r="Z160" s="43" t="str">
        <x:v>4.559940654402794e-06</x:v>
      </x:c>
      <x:c r="AA160" s="43" t="str">
        <x:v>7.51778329544095e-06</x:v>
      </x:c>
      <x:c r="AB160" s="43" t="str">
        <x:v>1.5383020354420296e-05</x:v>
      </x:c>
      <x:c r="AC160" s="43" t="str">
        <x:v>1.6475908509505643e-05</x:v>
      </x:c>
      <x:c r="AD160" s="43" t="str">
        <x:v>1.592946443196297e-05</x:v>
      </x:c>
      <x:c r="AE160" s="43" t="str">
        <x:v>3.206412924328106e-05</x:v>
      </x:c>
      <x:c r="AF160" s="43" t="str">
        <x:v>3.134844381236235e-05</x:v>
      </x:c>
      <x:c r="AG160" s="23" t="str">
        <x:v>Candidate surface form is directly representable in the public Ngram interface. Complete 1842–2022 unsmoothed series reused from the audited quantitative-v0.1 baseline.</x:v>
      </x:c>
    </x:row>
    <x:row r="161" ht="19" customHeight="1">
      <x:c r="A161" s="20" t="str">
        <x:v>FT-SEED-R1B-P-2022-10</x:v>
      </x:c>
      <x:c r="B161" s="22" t="str">
        <x:v>2022</x:v>
      </x:c>
      <x:c r="C161" s="22" t="str">
        <x:v>10</x:v>
      </x:c>
      <x:c r="D161" s="21" t="str">
        <x:v>frustrated</x:v>
      </x:c>
      <x:c r="E161" s="21" t="str">
        <x:v>depressed affect</x:v>
      </x:c>
      <x:c r="F161" s="22" t="str">
        <x:v>distress_depression</x:v>
      </x:c>
      <x:c r="G161" s="22" t="str">
        <x:v>C</x:v>
      </x:c>
      <x:c r="H161" s="22" t="str">
        <x:v>V5</x:v>
      </x:c>
      <x:c r="I161" s="22" t="str">
        <x:v>E5</x:v>
      </x:c>
      <x:c r="J161" s="21" t="str">
        <x:v>RECONSTRUCTED_FROM_REPORT; Fear of Temperature_ Stratified Lexical Expansion, Voice Mapping, and Semantic-Relational Pre-Valida.pdf; p.13; project candidate FT-SEED-R1B-P-2022-10; original visible ID not available</x:v>
      </x:c>
      <x:c r="K161" s="21" t="str">
        <x:v>frustrated</x:v>
      </x:c>
      <x:c r="L161" s="22" t="str">
        <x:v>EXACT</x:v>
      </x:c>
      <x:c r="M161" s="21" t="str">
        <x:v>SUCCEEDED_REUSED_BASELINE</x:v>
      </x:c>
      <x:c r="N161" s="21" t="str">
        <x:v>FT-Q-V01-110</x:v>
      </x:c>
      <x:c r="O161" s="22" t="str">
        <x:v>1842</x:v>
      </x:c>
      <x:c r="P161" s="22" t="str">
        <x:v>2022</x:v>
      </x:c>
      <x:c r="Q161" s="22" t="str">
        <x:v>1842</x:v>
      </x:c>
      <x:c r="R161" s="22" t="str">
        <x:v>181</x:v>
      </x:c>
      <x:c r="S161" s="22" t="str">
        <x:v>2015</x:v>
      </x:c>
      <x:c r="T161" s="43" t="str">
        <x:v>8.185089514611832e-06</x:v>
      </x:c>
      <x:c r="U161" s="43" t="str">
        <x:v>7.597455986996238e-06</x:v>
      </x:c>
      <x:c r="V161" s="43" t="str">
        <x:v>7.82013771072343e-06</x:v>
      </x:c>
      <x:c r="W161" s="43" t="str">
        <x:v>7.82013771072343e-06</x:v>
      </x:c>
      <x:c r="X161" s="43" t="str">
        <x:v>8.042819434450621e-06</x:v>
      </x:c>
      <x:c r="Y161" s="43" t="str">
        <x:v>2.4721586702192155e-06</x:v>
      </x:c>
      <x:c r="Z161" s="43" t="str">
        <x:v>9.431432204110024e-07</x:v>
      </x:c>
      <x:c r="AA161" s="43" t="str">
        <x:v>3.289961124863794e-06</x:v>
      </x:c>
      <x:c r="AB161" s="43" t="str">
        <x:v>5.059109890126479e-06</x:v>
      </x:c>
      <x:c r="AC161" s="43" t="str">
        <x:v>5.217783510147456e-06</x:v>
      </x:c>
      <x:c r="AD161" s="43" t="str">
        <x:v>5.138446700136967e-06</x:v>
      </x:c>
      <x:c r="AE161" s="43" t="str">
        <x:v>8.185089514611832e-06</x:v>
      </x:c>
      <x:c r="AF161" s="43" t="str">
        <x:v>7.597455986996238e-06</x:v>
      </x:c>
      <x:c r="AG161" s="23" t="str">
        <x:v>Candidate surface form is directly representable in the public Ngram interface. Complete 1842–2022 unsmoothed series reused from the audited quantitative-v0.1 baseline.</x:v>
      </x:c>
    </x:row>
    <x:row r="162" ht="19" customHeight="1">
      <x:c r="A162" s="20" t="str">
        <x:v>FT-SEED-R1B-P-2022-11</x:v>
      </x:c>
      <x:c r="B162" s="22" t="str">
        <x:v>2022</x:v>
      </x:c>
      <x:c r="C162" s="22" t="str">
        <x:v>11</x:v>
      </x:c>
      <x:c r="D162" s="21" t="str">
        <x:v>hopeful</x:v>
      </x:c>
      <x:c r="E162" s="21" t="str">
        <x:v>personal concern</x:v>
      </x:c>
      <x:c r="F162" s="22" t="str">
        <x:v>concern_alarm</x:v>
      </x:c>
      <x:c r="G162" s="22" t="str">
        <x:v>C</x:v>
      </x:c>
      <x:c r="H162" s="22" t="str">
        <x:v>V5</x:v>
      </x:c>
      <x:c r="I162" s="22" t="str">
        <x:v>E5</x:v>
      </x:c>
      <x:c r="J162" s="21" t="str">
        <x:v>RECONSTRUCTED_FROM_REPORT; Fear of Temperature_ Stratified Lexical Expansion, Voice Mapping, and Semantic-Relational Pre-Valida.pdf; p.12; project candidate FT-SEED-R1B-P-2022-11; original visible ID not available</x:v>
      </x:c>
      <x:c r="K162" s="21" t="str">
        <x:v>hopeful</x:v>
      </x:c>
      <x:c r="L162" s="22" t="str">
        <x:v>EXACT</x:v>
      </x:c>
      <x:c r="M162" s="21" t="str">
        <x:v>SUCCEEDED_REUSED_BASELINE</x:v>
      </x:c>
      <x:c r="N162" s="21" t="str">
        <x:v>FT-Q-V01-111</x:v>
      </x:c>
      <x:c r="O162" s="22" t="str">
        <x:v>1842</x:v>
      </x:c>
      <x:c r="P162" s="22" t="str">
        <x:v>2022</x:v>
      </x:c>
      <x:c r="Q162" s="22" t="str">
        <x:v>1842</x:v>
      </x:c>
      <x:c r="R162" s="22" t="str">
        <x:v>181</x:v>
      </x:c>
      <x:c r="S162" s="22" t="str">
        <x:v>1862</x:v>
      </x:c>
      <x:c r="T162" s="43" t="str">
        <x:v>5.405065621744143e-06</x:v>
      </x:c>
      <x:c r="U162" s="43" t="str">
        <x:v>4.994718922901598e-06</x:v>
      </x:c>
      <x:c r="V162" s="43" t="str">
        <x:v>4.901949312241527e-06</x:v>
      </x:c>
      <x:c r="W162" s="43" t="str">
        <x:v>4.901949312241527e-06</x:v>
      </x:c>
      <x:c r="X162" s="43" t="str">
        <x:v>4.994718922901598e-06</x:v>
      </x:c>
      <x:c r="Y162" s="43" t="str">
        <x:v>2.357188563451018e-06</x:v>
      </x:c>
      <x:c r="Z162" s="43" t="str">
        <x:v>3.1940654032780458e-06</x:v>
      </x:c>
      <x:c r="AA162" s="43" t="str">
        <x:v>2.021741480007222e-06</x:v>
      </x:c>
      <x:c r="AB162" s="43" t="str">
        <x:v>2.6398039558728215e-06</x:v>
      </x:c>
      <x:c r="AC162" s="43" t="str">
        <x:v>2.804317349003327e-06</x:v>
      </x:c>
      <x:c r="AD162" s="43" t="str">
        <x:v>2.722060652438074e-06</x:v>
      </x:c>
      <x:c r="AE162" s="43" t="str">
        <x:v>4.3814029169197966e-06</x:v>
      </x:c>
      <x:c r="AF162" s="43" t="str">
        <x:v>4.994718922901598e-06</x:v>
      </x:c>
      <x:c r="AG162" s="23" t="str">
        <x:v>Candidate surface form is directly representable in the public Ngram interface. Complete 1842–2022 unsmoothed series reused from the audited quantitative-v0.1 baseline.</x:v>
      </x:c>
    </x:row>
    <x:row r="163" ht="19" customHeight="1">
      <x:c r="A163" s="20" t="str">
        <x:v>FT-SEED-R1B-P-2022-12</x:v>
      </x:c>
      <x:c r="B163" s="22" t="str">
        <x:v>2022</x:v>
      </x:c>
      <x:c r="C163" s="22" t="str">
        <x:v>12</x:v>
      </x:c>
      <x:c r="D163" s="21" t="str">
        <x:v>disgusted</x:v>
      </x:c>
      <x:c r="E163" s="21" t="str">
        <x:v>depressed affect</x:v>
      </x:c>
      <x:c r="F163" s="22" t="str">
        <x:v>distress_depression</x:v>
      </x:c>
      <x:c r="G163" s="22" t="str">
        <x:v>C</x:v>
      </x:c>
      <x:c r="H163" s="22" t="str">
        <x:v>V5</x:v>
      </x:c>
      <x:c r="I163" s="22" t="str">
        <x:v>E5</x:v>
      </x:c>
      <x:c r="J163" s="21" t="str">
        <x:v>RECONSTRUCTED_FROM_REPORT; Fear of Temperature_ Stratified Lexical Expansion, Voice Mapping, and Semantic-Relational Pre-Valida.pdf; p.12; project candidate FT-SEED-R1B-P-2022-12; original visible ID not available</x:v>
      </x:c>
      <x:c r="K163" s="21" t="str">
        <x:v>disgusted</x:v>
      </x:c>
      <x:c r="L163" s="22" t="str">
        <x:v>EXACT</x:v>
      </x:c>
      <x:c r="M163" s="21" t="str">
        <x:v>SUCCEEDED_REUSED_BASELINE</x:v>
      </x:c>
      <x:c r="N163" s="21" t="str">
        <x:v>FT-Q-V01-112</x:v>
      </x:c>
      <x:c r="O163" s="22" t="str">
        <x:v>1842</x:v>
      </x:c>
      <x:c r="P163" s="22" t="str">
        <x:v>2022</x:v>
      </x:c>
      <x:c r="Q163" s="22" t="str">
        <x:v>1842</x:v>
      </x:c>
      <x:c r="R163" s="22" t="str">
        <x:v>181</x:v>
      </x:c>
      <x:c r="S163" s="22" t="str">
        <x:v>2020</x:v>
      </x:c>
      <x:c r="T163" s="43" t="str">
        <x:v>3.836883327501539e-06</x:v>
      </x:c>
      <x:c r="U163" s="43" t="str">
        <x:v>2.543607640959067e-06</x:v>
      </x:c>
      <x:c r="V163" s="43" t="str">
        <x:v>2.4089870889199005e-06</x:v>
      </x:c>
      <x:c r="W163" s="43" t="str">
        <x:v>2.4089870889199005e-06</x:v>
      </x:c>
      <x:c r="X163" s="43" t="str">
        <x:v>2.543607640959067e-06</x:v>
      </x:c>
      <x:c r="Y163" s="43" t="str">
        <x:v>2.7921279865950055e-06</x:v>
      </x:c>
      <x:c r="Z163" s="43" t="str">
        <x:v>8.480208872896355e-07</x:v>
      </x:c>
      <x:c r="AA163" s="43" t="str">
        <x:v>5.909761447986384e-07</x:v>
      </x:c>
      <x:c r="AB163" s="43" t="str">
        <x:v>1.171719041792585e-06</x:v>
      </x:c>
      <x:c r="AC163" s="43" t="str">
        <x:v>1.3191911287790958e-06</x:v>
      </x:c>
      <x:c r="AD163" s="43" t="str">
        <x:v>1.2454550852858404e-06</x:v>
      </x:c>
      <x:c r="AE163" s="43" t="str">
        <x:v>2.510783113862658e-06</x:v>
      </x:c>
      <x:c r="AF163" s="43" t="str">
        <x:v>2.543607640959067e-06</x:v>
      </x:c>
      <x:c r="AG163" s="23" t="str">
        <x:v>Candidate surface form is directly representable in the public Ngram interface. Complete 1842–2022 unsmoothed series reused from the audited quantitative-v0.1 baseline.</x:v>
      </x:c>
    </x:row>
    <x:row r="164" ht="19" customHeight="1">
      <x:c r="A164" s="20" t="str">
        <x:v>FT-SEED-R1B-P-2022-13</x:v>
      </x:c>
      <x:c r="B164" s="22" t="str">
        <x:v>2022</x:v>
      </x:c>
      <x:c r="C164" s="22" t="str">
        <x:v>13</x:v>
      </x:c>
      <x:c r="D164" s="21" t="str">
        <x:v>outraged</x:v>
      </x:c>
      <x:c r="E164" s="21" t="str">
        <x:v>depressed affect</x:v>
      </x:c>
      <x:c r="F164" s="22" t="str">
        <x:v>distress_depression</x:v>
      </x:c>
      <x:c r="G164" s="22" t="str">
        <x:v>C</x:v>
      </x:c>
      <x:c r="H164" s="22" t="str">
        <x:v>V5</x:v>
      </x:c>
      <x:c r="I164" s="22" t="str">
        <x:v>E5</x:v>
      </x:c>
      <x:c r="J164" s="21" t="str">
        <x:v>RECONSTRUCTED_FROM_REPORT; Fear of Temperature_ Stratified Lexical Expansion, Voice Mapping, and Semantic-Relational Pre-Valida.pdf; p.12; project candidate FT-SEED-R1B-P-2022-13; original visible ID not available</x:v>
      </x:c>
      <x:c r="K164" s="21" t="str">
        <x:v>outraged</x:v>
      </x:c>
      <x:c r="L164" s="22" t="str">
        <x:v>EXACT</x:v>
      </x:c>
      <x:c r="M164" s="21" t="str">
        <x:v>SUCCEEDED_REUSED_BASELINE</x:v>
      </x:c>
      <x:c r="N164" s="21" t="str">
        <x:v>FT-Q-V01-113</x:v>
      </x:c>
      <x:c r="O164" s="22" t="str">
        <x:v>1842</x:v>
      </x:c>
      <x:c r="P164" s="22" t="str">
        <x:v>2022</x:v>
      </x:c>
      <x:c r="Q164" s="22" t="str">
        <x:v>1842</x:v>
      </x:c>
      <x:c r="R164" s="22" t="str">
        <x:v>181</x:v>
      </x:c>
      <x:c r="S164" s="22" t="str">
        <x:v>2014</x:v>
      </x:c>
      <x:c r="T164" s="43" t="str">
        <x:v>2.010090121018493e-06</x:v>
      </x:c>
      <x:c r="U164" s="43" t="str">
        <x:v>1.70548937417081e-06</x:v>
      </x:c>
      <x:c r="V164" s="43" t="str">
        <x:v>1.7016414597392782e-06</x:v>
      </x:c>
      <x:c r="W164" s="43" t="str">
        <x:v>1.7016414597392782e-06</x:v>
      </x:c>
      <x:c r="X164" s="43" t="str">
        <x:v>1.70548937417081e-06</x:v>
      </x:c>
      <x:c r="Y164" s="43" t="str">
        <x:v>1.2543284819699352e-06</x:v>
      </x:c>
      <x:c r="Z164" s="43" t="str">
        <x:v>6.021347390694487e-07</x:v>
      </x:c>
      <x:c r="AA164" s="43" t="str">
        <x:v>8.586316730951893e-07</x:v>
      </x:c>
      <x:c r="AB164" s="43" t="str">
        <x:v>1.2750747222511905e-06</x:v>
      </x:c>
      <x:c r="AC164" s="43" t="str">
        <x:v>1.3733167913976274e-06</x:v>
      </x:c>
      <x:c r="AD164" s="43" t="str">
        <x:v>1.324195756824409e-06</x:v>
      </x:c>
      <x:c r="AE164" s="43" t="str">
        <x:v>1.9493254383995406e-06</x:v>
      </x:c>
      <x:c r="AF164" s="43" t="str">
        <x:v>1.70548937417081e-06</x:v>
      </x:c>
      <x:c r="AG164" s="23" t="str">
        <x:v>Candidate surface form is directly representable in the public Ngram interface. Complete 1842–2022 unsmoothed series reused from the audited quantitative-v0.1 baseline.</x:v>
      </x:c>
    </x:row>
    <x:row r="165" ht="19" customHeight="1">
      <x:c r="A165" s="20" t="str">
        <x:v>FT-SEED-R1B-P-2022-14</x:v>
      </x:c>
      <x:c r="B165" s="22" t="str">
        <x:v>2022</x:v>
      </x:c>
      <x:c r="C165" s="22" t="str">
        <x:v>14</x:v>
      </x:c>
      <x:c r="D165" s="21" t="str">
        <x:v>depressed</x:v>
      </x:c>
      <x:c r="E165" s="21" t="str">
        <x:v>depressed affect</x:v>
      </x:c>
      <x:c r="F165" s="22" t="str">
        <x:v>distress_depression</x:v>
      </x:c>
      <x:c r="G165" s="22" t="str">
        <x:v>C</x:v>
      </x:c>
      <x:c r="H165" s="22" t="str">
        <x:v>V5</x:v>
      </x:c>
      <x:c r="I165" s="22" t="str">
        <x:v>E5</x:v>
      </x:c>
      <x:c r="J165" s="21" t="str">
        <x:v>RECONSTRUCTED_FROM_REPORT; Fear of Temperature_ Stratified Lexical Expansion, Voice Mapping, and Semantic-Relational Pre-Valida.pdf; p.12; project candidate FT-SEED-R1B-P-2022-14; original visible ID not available</x:v>
      </x:c>
      <x:c r="K165" s="21" t="str">
        <x:v>depressed</x:v>
      </x:c>
      <x:c r="L165" s="22" t="str">
        <x:v>EXACT</x:v>
      </x:c>
      <x:c r="M165" s="21" t="str">
        <x:v>SUCCEEDED_REUSED_BASELINE</x:v>
      </x:c>
      <x:c r="N165" s="21" t="str">
        <x:v>FT-Q-V01-114</x:v>
      </x:c>
      <x:c r="O165" s="22" t="str">
        <x:v>1842</x:v>
      </x:c>
      <x:c r="P165" s="22" t="str">
        <x:v>2022</x:v>
      </x:c>
      <x:c r="Q165" s="22" t="str">
        <x:v>1842</x:v>
      </x:c>
      <x:c r="R165" s="22" t="str">
        <x:v>181</x:v>
      </x:c>
      <x:c r="S165" s="22" t="str">
        <x:v>1843</x:v>
      </x:c>
      <x:c r="T165" s="43" t="str">
        <x:v>1.1124992417066437e-05</x:v>
      </x:c>
      <x:c r="U165" s="43" t="str">
        <x:v>6.592711166319987e-06</x:v>
      </x:c>
      <x:c r="V165" s="43" t="str">
        <x:v>6.748224906871769e-06</x:v>
      </x:c>
      <x:c r="W165" s="43" t="str">
        <x:v>6.748224906871769e-06</x:v>
      </x:c>
      <x:c r="X165" s="43" t="str">
        <x:v>6.903738647423552e-06</x:v>
      </x:c>
      <x:c r="Y165" s="43" t="str">
        <x:v>9.307701199112728e-06</x:v>
      </x:c>
      <x:c r="Z165" s="43" t="str">
        <x:v>6.043337837269291e-06</x:v>
      </x:c>
      <x:c r="AA165" s="43" t="str">
        <x:v>7.711703084112287e-06</x:v>
      </x:c>
      <x:c r="AB165" s="43" t="str">
        <x:v>6.793051444020648e-06</x:v>
      </x:c>
      <x:c r="AC165" s="43" t="str">
        <x:v>7.274933071954592e-06</x:v>
      </x:c>
      <x:c r="AD165" s="43" t="str">
        <x:v>7.03399225798762e-06</x:v>
      </x:c>
      <x:c r="AE165" s="43" t="str">
        <x:v>7.909356614987928e-06</x:v>
      </x:c>
      <x:c r="AF165" s="43" t="str">
        <x:v>6.592711166319987e-06</x:v>
      </x:c>
      <x:c r="AG165" s="23" t="str">
        <x:v>Candidate surface form is directly representable in the public Ngram interface. Complete 1842–2022 unsmoothed series reused from the audited quantitative-v0.1 baseline.</x:v>
      </x:c>
    </x:row>
    <x:row r="166" ht="19" customHeight="1">
      <x:c r="A166" s="20" t="str">
        <x:v>FT-SEED-R1B-P-2022-15</x:v>
      </x:c>
      <x:c r="B166" s="22" t="str">
        <x:v>2022</x:v>
      </x:c>
      <x:c r="C166" s="22" t="str">
        <x:v>15</x:v>
      </x:c>
      <x:c r="D166" s="21" t="str">
        <x:v>symptoms of anxiety</x:v>
      </x:c>
      <x:c r="E166" s="21" t="str">
        <x:v>anxiety symptom measure</x:v>
      </x:c>
      <x:c r="F166" s="22" t="str">
        <x:v>anxiety</x:v>
      </x:c>
      <x:c r="G166" s="22" t="str">
        <x:v>C</x:v>
      </x:c>
      <x:c r="H166" s="22" t="str">
        <x:v>V5</x:v>
      </x:c>
      <x:c r="I166" s="22" t="str">
        <x:v>E5</x:v>
      </x:c>
      <x:c r="J166" s="21" t="str">
        <x:v>RECONSTRUCTED_FROM_REPORT; Fear of Temperature_ Stratified Lexical Expansion, Voice Mapping, and Semantic-Relational Pre-Valida.pdf; p.12; project candidate FT-SEED-R1B-P-2022-15; original visible ID not available</x:v>
      </x:c>
      <x:c r="K166" s="21" t="str">
        <x:v>symptoms of anxiety</x:v>
      </x:c>
      <x:c r="L166" s="22" t="str">
        <x:v>EXACT</x:v>
      </x:c>
      <x:c r="M166" s="21" t="str">
        <x:v>SUCCEEDED_REUSED_BASELINE</x:v>
      </x:c>
      <x:c r="N166" s="21" t="str">
        <x:v>FT-Q-V01-115</x:v>
      </x:c>
      <x:c r="O166" s="22" t="str">
        <x:v>1842</x:v>
      </x:c>
      <x:c r="P166" s="22" t="str">
        <x:v>2022</x:v>
      </x:c>
      <x:c r="Q166" s="22" t="str">
        <x:v>1842</x:v>
      </x:c>
      <x:c r="R166" s="22" t="str">
        <x:v>179</x:v>
      </x:c>
      <x:c r="S166" s="22" t="str">
        <x:v>2022</x:v>
      </x:c>
      <x:c r="T166" s="43" t="str">
        <x:v>1.9264715700462176e-07</x:v>
      </x:c>
      <x:c r="U166" s="43" t="str">
        <x:v>1.9264715700462176e-07</x:v>
      </x:c>
      <x:c r="V166" s="43" t="str">
        <x:v>1.8940394040656283e-07</x:v>
      </x:c>
      <x:c r="W166" s="43" t="str">
        <x:v>1.8940394040656283e-07</x:v>
      </x:c>
      <x:c r="X166" s="43" t="str">
        <x:v>1.9264715700462176e-07</x:v>
      </x:c>
      <x:c r="Y166" s="43" t="str">
        <x:v>4.118266616615074e-09</x:v>
      </x:c>
      <x:c r="Z166" s="43" t="str">
        <x:v>4.033755884869095e-09</x:v>
      </x:c>
      <x:c r="AA166" s="43" t="str">
        <x:v>7.033237547915405e-08</x:v>
      </x:c>
      <x:c r="AB166" s="43" t="str">
        <x:v>1.0176281067808546e-07</x:v>
      </x:c>
      <x:c r="AC166" s="43" t="str">
        <x:v>1.071436565580619e-07</x:v>
      </x:c>
      <x:c r="AD166" s="43" t="str">
        <x:v>1.0445323361807368e-07</x:v>
      </x:c>
      <x:c r="AE166" s="43" t="str">
        <x:v>1.362641557159372e-07</x:v>
      </x:c>
      <x:c r="AF166" s="43" t="str">
        <x:v>1.9264715700462176e-07</x:v>
      </x:c>
      <x:c r="AG166" s="23" t="str">
        <x:v>Candidate surface form is directly representable in the public Ngram interface. Complete 1842–2022 unsmoothed series reused from the audited quantitative-v0.1 baseline.</x:v>
      </x:c>
    </x:row>
    <x:row r="167" ht="19" customHeight="1">
      <x:c r="A167" s="20" t="str">
        <x:v>FT-SEED-R1B-P-2022-16</x:v>
      </x:c>
      <x:c r="B167" s="22" t="str">
        <x:v>2022</x:v>
      </x:c>
      <x:c r="C167" s="22" t="str">
        <x:v>16</x:v>
      </x:c>
      <x:c r="D167" s="21" t="str">
        <x:v>climate anxiety</x:v>
      </x:c>
      <x:c r="E167" s="21" t="str">
        <x:v>climate anxiety research construct</x:v>
      </x:c>
      <x:c r="F167" s="22" t="str">
        <x:v>anxiety</x:v>
      </x:c>
      <x:c r="G167" s="22" t="str">
        <x:v>C</x:v>
      </x:c>
      <x:c r="H167" s="22" t="str">
        <x:v>V1</x:v>
      </x:c>
      <x:c r="I167" s="22" t="str">
        <x:v>E4</x:v>
      </x:c>
      <x:c r="J167" s="21" t="str">
        <x:v>RECONSTRUCTED_FROM_REPORT; Fear of Temperature_ Stratified Lexical Expansion, Voice Mapping, and Semantic-Relational Pre-Valida.pdf; p.12; project candidate FT-SEED-R1B-P-2022-16; original visible ID not available</x:v>
      </x:c>
      <x:c r="K167" s="21" t="str">
        <x:v>climate anxiety</x:v>
      </x:c>
      <x:c r="L167" s="22" t="str">
        <x:v>EXACT</x:v>
      </x:c>
      <x:c r="M167" s="21" t="str">
        <x:v>SUCCEEDED_REUSED_BASELINE</x:v>
      </x:c>
      <x:c r="N167" s="21" t="str">
        <x:v>FT-Q-V01-116</x:v>
      </x:c>
      <x:c r="O167" s="22" t="str">
        <x:v>1842</x:v>
      </x:c>
      <x:c r="P167" s="22" t="str">
        <x:v>2022</x:v>
      </x:c>
      <x:c r="Q167" s="22" t="str">
        <x:v>1972</x:v>
      </x:c>
      <x:c r="R167" s="22" t="str">
        <x:v>17</x:v>
      </x:c>
      <x:c r="S167" s="22" t="str">
        <x:v>2022</x:v>
      </x:c>
      <x:c r="T167" s="43" t="str">
        <x:v>3.579004737019886e-08</x:v>
      </x:c>
      <x:c r="U167" s="43" t="str">
        <x:v>3.579004737019886e-08</x:v>
      </x:c>
      <x:c r="V167" s="43" t="str">
        <x:v>2.4057332459470615e-08</x:v>
      </x:c>
      <x:c r="W167" s="43" t="str">
        <x:v>2.4057332459470615e-08</x:v>
      </x:c>
      <x:c r="X167" s="43" t="str">
        <x:v>3.579004737019886e-08</x:v>
      </x:c>
      <x:c r="Y167" s="43" t="str">
        <x:v>0.0</x:v>
      </x:c>
      <x:c r="Z167" s="43" t="str">
        <x:v>0.0</x:v>
      </x:c>
      <x:c r="AA167" s="43" t="str">
        <x:v>0.0</x:v>
      </x:c>
      <x:c r="AB167" s="43" t="str">
        <x:v>0.0</x:v>
      </x:c>
      <x:c r="AC167" s="43" t="str">
        <x:v>4.497542963055601e-11</x:v>
      </x:c>
      <x:c r="AD167" s="43" t="str">
        <x:v>2.2487714815278004e-11</x:v>
      </x:c>
      <x:c r="AE167" s="43" t="str">
        <x:v>1.8680921740066303e-10</x:v>
      </x:c>
      <x:c r="AF167" s="43" t="str">
        <x:v>3.579004737019886e-08</x:v>
      </x:c>
      <x:c r="AG167" s="23" t="str">
        <x:v>Candidate surface form is directly representable in the public Ngram interface. Complete 1842–2022 unsmoothed series reused from the audited quantitative-v0.1 baseline.</x:v>
      </x:c>
    </x:row>
    <x:row r="168" ht="19" customHeight="1">
      <x:c r="A168" s="20" t="str">
        <x:v>FT-SEED-R1B-P-2022-17</x:v>
      </x:c>
      <x:c r="B168" s="22" t="str">
        <x:v>2022</x:v>
      </x:c>
      <x:c r="C168" s="22" t="str">
        <x:v>17</x:v>
      </x:c>
      <x:c r="D168" s="21" t="str">
        <x:v>eco-anxiety</x:v>
      </x:c>
      <x:c r="E168" s="21" t="str">
        <x:v>eco-anxiety research construct</x:v>
      </x:c>
      <x:c r="F168" s="22" t="str">
        <x:v>anxiety</x:v>
      </x:c>
      <x:c r="G168" s="22" t="str">
        <x:v>C</x:v>
      </x:c>
      <x:c r="H168" s="22" t="str">
        <x:v>V1</x:v>
      </x:c>
      <x:c r="I168" s="22" t="str">
        <x:v>E5</x:v>
      </x:c>
      <x:c r="J168" s="21" t="str">
        <x:v>RECONSTRUCTED_FROM_REPORT; Fear of Temperature_ Stratified Lexical Expansion, Voice Mapping, and Semantic-Relational Pre-Valida.pdf; p.12; project candidate FT-SEED-R1B-P-2022-17; original visible ID not available</x:v>
      </x:c>
      <x:c r="K168" s="21" t="str">
        <x:v>eco-anxiety</x:v>
      </x:c>
      <x:c r="L168" s="22" t="str">
        <x:v>EXACT</x:v>
      </x:c>
      <x:c r="M168" s="21" t="str">
        <x:v>SUCCEEDED_REUSED_BASELINE</x:v>
      </x:c>
      <x:c r="N168" s="21" t="str">
        <x:v>FT-Q-V01-117</x:v>
      </x:c>
      <x:c r="O168" s="22" t="str">
        <x:v>1842</x:v>
      </x:c>
      <x:c r="P168" s="22" t="str">
        <x:v>2022</x:v>
      </x:c>
      <x:c r="Q168" s="22" t="str">
        <x:v>1901</x:v>
      </x:c>
      <x:c r="R168" s="22" t="str">
        <x:v>23</x:v>
      </x:c>
      <x:c r="S168" s="22" t="str">
        <x:v>2022</x:v>
      </x:c>
      <x:c r="T168" s="43" t="str">
        <x:v>5.496096178170262e-08</x:v>
      </x:c>
      <x:c r="U168" s="43" t="str">
        <x:v>5.496096178170262e-08</x:v>
      </x:c>
      <x:c r="V168" s="43" t="str">
        <x:v>4.02901724205762e-08</x:v>
      </x:c>
      <x:c r="W168" s="43" t="str">
        <x:v>4.02901724205762e-08</x:v>
      </x:c>
      <x:c r="X168" s="43" t="str">
        <x:v>5.496096178170262e-08</x:v>
      </x:c>
      <x:c r="Y168" s="43" t="str">
        <x:v>0.0</x:v>
      </x:c>
      <x:c r="Z168" s="43" t="str">
        <x:v>0.0</x:v>
      </x:c>
      <x:c r="AA168" s="43" t="str">
        <x:v>0.0</x:v>
      </x:c>
      <x:c r="AB168" s="43" t="str">
        <x:v>4.954372329057932e-11</x:v>
      </x:c>
      <x:c r="AC168" s="43" t="str">
        <x:v>7.774596660903299e-10</x:v>
      </x:c>
      <x:c r="AD168" s="43" t="str">
        <x:v>4.135016946904546e-10</x:v>
      </x:c>
      <x:c r="AE168" s="43" t="str">
        <x:v>8.997633402230143e-10</x:v>
      </x:c>
      <x:c r="AF168" s="43" t="str">
        <x:v>5.496096178170262e-08</x:v>
      </x:c>
      <x:c r="AG168" s="23" t="str">
        <x:v>Candidate surface form is directly representable in the public Ngram interface. Complete 1842–2022 unsmoothed series reused from the audited quantitative-v0.1 baseline.</x:v>
      </x:c>
    </x:row>
    <x:row r="169" ht="19" customHeight="1">
      <x:c r="A169" s="20" t="str">
        <x:v>FT-SEED-R1B-P-2022-18</x:v>
      </x:c>
      <x:c r="B169" s="22" t="str">
        <x:v>2022</x:v>
      </x:c>
      <x:c r="C169" s="22" t="str">
        <x:v>18</x:v>
      </x:c>
      <x:c r="D169" s="21" t="str">
        <x:v>psychological distress</x:v>
      </x:c>
      <x:c r="E169" s="21" t="str">
        <x:v>psychological distress</x:v>
      </x:c>
      <x:c r="F169" s="22" t="str">
        <x:v>distress_depression</x:v>
      </x:c>
      <x:c r="G169" s="22" t="str">
        <x:v>C</x:v>
      </x:c>
      <x:c r="H169" s="22" t="str">
        <x:v>V1</x:v>
      </x:c>
      <x:c r="I169" s="22" t="str">
        <x:v>E5</x:v>
      </x:c>
      <x:c r="J169" s="21" t="str">
        <x:v>RECONSTRUCTED_FROM_REPORT; Fear of Temperature_ Stratified Lexical Expansion, Voice Mapping, and Semantic-Relational Pre-Valida.pdf; p.12; project candidate FT-SEED-R1B-P-2022-18; original visible ID not available</x:v>
      </x:c>
      <x:c r="K169" s="21" t="str">
        <x:v>psychological distress</x:v>
      </x:c>
      <x:c r="L169" s="22" t="str">
        <x:v>EXACT</x:v>
      </x:c>
      <x:c r="M169" s="21" t="str">
        <x:v>SUCCEEDED_REUSED_BASELINE</x:v>
      </x:c>
      <x:c r="N169" s="21" t="str">
        <x:v>FT-Q-V01-118</x:v>
      </x:c>
      <x:c r="O169" s="22" t="str">
        <x:v>1842</x:v>
      </x:c>
      <x:c r="P169" s="22" t="str">
        <x:v>2022</x:v>
      </x:c>
      <x:c r="Q169" s="22" t="str">
        <x:v>1886</x:v>
      </x:c>
      <x:c r="R169" s="22" t="str">
        <x:v>115</x:v>
      </x:c>
      <x:c r="S169" s="22" t="str">
        <x:v>2022</x:v>
      </x:c>
      <x:c r="T169" s="43" t="str">
        <x:v>8.442735095481879e-07</x:v>
      </x:c>
      <x:c r="U169" s="43" t="str">
        <x:v>8.442735095481879e-07</x:v>
      </x:c>
      <x:c r="V169" s="43" t="str">
        <x:v>7.65441606265238e-07</x:v>
      </x:c>
      <x:c r="W169" s="43" t="str">
        <x:v>7.65441606265238e-07</x:v>
      </x:c>
      <x:c r="X169" s="43" t="str">
        <x:v>8.442735095481879e-07</x:v>
      </x:c>
      <x:c r="Y169" s="43" t="str">
        <x:v>0.0</x:v>
      </x:c>
      <x:c r="Z169" s="43" t="str">
        <x:v>6.682316922024256e-10</x:v>
      </x:c>
      <x:c r="AA169" s="43" t="str">
        <x:v>1.9154811647936754e-07</x:v>
      </x:c>
      <x:c r="AB169" s="43" t="str">
        <x:v>4.4261770315578985e-07</x:v>
      </x:c>
      <x:c r="AC169" s="43" t="str">
        <x:v>3.763993797756271e-07</x:v>
      </x:c>
      <x:c r="AD169" s="43" t="str">
        <x:v>4.095085414657085e-07</x:v>
      </x:c>
      <x:c r="AE169" s="43" t="str">
        <x:v>4.692647605497591e-07</x:v>
      </x:c>
      <x:c r="AF169" s="43" t="str">
        <x:v>8.442735095481879e-07</x:v>
      </x:c>
      <x:c r="AG169" s="23" t="str">
        <x:v>Candidate surface form is directly representable in the public Ngram interface. Complete 1842–2022 unsmoothed series reused from the audited quantitative-v0.1 baseline.</x:v>
      </x:c>
    </x:row>
    <x:row r="170" ht="19" customHeight="1">
      <x:c r="A170" s="20" t="str">
        <x:v>FT-SEED-R1B-P-2022-19</x:v>
      </x:c>
      <x:c r="B170" s="22" t="str">
        <x:v>2022</x:v>
      </x:c>
      <x:c r="C170" s="22" t="str">
        <x:v>19</x:v>
      </x:c>
      <x:c r="D170" s="21" t="str">
        <x:v>distress</x:v>
      </x:c>
      <x:c r="E170" s="21" t="str">
        <x:v>psychological distress</x:v>
      </x:c>
      <x:c r="F170" s="22" t="str">
        <x:v>distress_depression</x:v>
      </x:c>
      <x:c r="G170" s="22" t="str">
        <x:v>C</x:v>
      </x:c>
      <x:c r="H170" s="22" t="str">
        <x:v>V1</x:v>
      </x:c>
      <x:c r="I170" s="22" t="str">
        <x:v>E5</x:v>
      </x:c>
      <x:c r="J170" s="21" t="str">
        <x:v>RECONSTRUCTED_FROM_REPORT; Fear of Temperature_ Stratified Lexical Expansion, Voice Mapping, and Semantic-Relational Pre-Valida.pdf; p.13; project candidate FT-SEED-R1B-P-2022-19; original visible ID not available</x:v>
      </x:c>
      <x:c r="K170" s="21" t="str">
        <x:v>distress</x:v>
      </x:c>
      <x:c r="L170" s="22" t="str">
        <x:v>EXACT</x:v>
      </x:c>
      <x:c r="M170" s="21" t="str">
        <x:v>SUCCEEDED_REUSED_BASELINE</x:v>
      </x:c>
      <x:c r="N170" s="21" t="str">
        <x:v>FT-Q-V01-119</x:v>
      </x:c>
      <x:c r="O170" s="22" t="str">
        <x:v>1842</x:v>
      </x:c>
      <x:c r="P170" s="22" t="str">
        <x:v>2022</x:v>
      </x:c>
      <x:c r="Q170" s="22" t="str">
        <x:v>1842</x:v>
      </x:c>
      <x:c r="R170" s="22" t="str">
        <x:v>181</x:v>
      </x:c>
      <x:c r="S170" s="22" t="str">
        <x:v>1842</x:v>
      </x:c>
      <x:c r="T170" s="43" t="str">
        <x:v>4.5284177929261205e-05</x:v>
      </x:c>
      <x:c r="U170" s="43" t="str">
        <x:v>1.530569114294167e-05</x:v>
      </x:c>
      <x:c r="V170" s="43" t="str">
        <x:v>1.4732708390141624e-05</x:v>
      </x:c>
      <x:c r="W170" s="43" t="str">
        <x:v>1.4732708390141624e-05</x:v>
      </x:c>
      <x:c r="X170" s="43" t="str">
        <x:v>1.530569114294167e-05</x:v>
      </x:c>
      <x:c r="Y170" s="43" t="str">
        <x:v>4.5284177929261205e-05</x:v>
      </x:c>
      <x:c r="Z170" s="43" t="str">
        <x:v>7.3396613800014165e-06</x:v>
      </x:c>
      <x:c r="AA170" s="43" t="str">
        <x:v>8.156161257488748e-06</x:v>
      </x:c>
      <x:c r="AB170" s="43" t="str">
        <x:v>1.0678569893229906e-05</x:v>
      </x:c>
      <x:c r="AC170" s="43" t="str">
        <x:v>1.0978957782015186e-05</x:v>
      </x:c>
      <x:c r="AD170" s="43" t="str">
        <x:v>1.0828763837622546e-05</x:v>
      </x:c>
      <x:c r="AE170" s="43" t="str">
        <x:v>1.3673280868431448e-05</x:v>
      </x:c>
      <x:c r="AF170" s="43" t="str">
        <x:v>1.530569114294167e-05</x:v>
      </x:c>
      <x:c r="AG170" s="23" t="str">
        <x:v>Candidate surface form is directly representable in the public Ngram interface. Complete 1842–2022 unsmoothed series reused from the audited quantitative-v0.1 baseline.</x:v>
      </x:c>
    </x:row>
    <x:row r="171" ht="19" customHeight="1">
      <x:c r="A171" s="20" t="str">
        <x:v>FT-SEED-R1B-P-2022-20</x:v>
      </x:c>
      <x:c r="B171" s="22" t="str">
        <x:v>2022</x:v>
      </x:c>
      <x:c r="C171" s="22" t="str">
        <x:v>20</x:v>
      </x:c>
      <x:c r="D171" s="21" t="str">
        <x:v>powerlessness</x:v>
      </x:c>
      <x:c r="E171" s="21" t="str">
        <x:v>depressed affect</x:v>
      </x:c>
      <x:c r="F171" s="22" t="str">
        <x:v>distress_depression</x:v>
      </x:c>
      <x:c r="G171" s="22" t="str">
        <x:v>C</x:v>
      </x:c>
      <x:c r="H171" s="22" t="str">
        <x:v>V1</x:v>
      </x:c>
      <x:c r="I171" s="22" t="str">
        <x:v>E5</x:v>
      </x:c>
      <x:c r="J171" s="21" t="str">
        <x:v>RECONSTRUCTED_FROM_REPORT; Fear of Temperature_ Stratified Lexical Expansion, Voice Mapping, and Semantic-Relational Pre-Valida.pdf; p.13; project candidate FT-SEED-R1B-P-2022-20; original visible ID not available</x:v>
      </x:c>
      <x:c r="K171" s="21" t="str">
        <x:v>powerlessness</x:v>
      </x:c>
      <x:c r="L171" s="22" t="str">
        <x:v>EXACT</x:v>
      </x:c>
      <x:c r="M171" s="21" t="str">
        <x:v>SUCCEEDED_REUSED_BASELINE</x:v>
      </x:c>
      <x:c r="N171" s="21" t="str">
        <x:v>FT-Q-V01-120</x:v>
      </x:c>
      <x:c r="O171" s="22" t="str">
        <x:v>1842</x:v>
      </x:c>
      <x:c r="P171" s="22" t="str">
        <x:v>2022</x:v>
      </x:c>
      <x:c r="Q171" s="22" t="str">
        <x:v>1842</x:v>
      </x:c>
      <x:c r="R171" s="22" t="str">
        <x:v>181</x:v>
      </x:c>
      <x:c r="S171" s="22" t="str">
        <x:v>2016</x:v>
      </x:c>
      <x:c r="T171" s="43" t="str">
        <x:v>9.903161126700866e-07</x:v>
      </x:c>
      <x:c r="U171" s="43" t="str">
        <x:v>8.604735197703661e-07</x:v>
      </x:c>
      <x:c r="V171" s="43" t="str">
        <x:v>9.170843425776454e-07</x:v>
      </x:c>
      <x:c r="W171" s="43" t="str">
        <x:v>9.170843425776454e-07</x:v>
      </x:c>
      <x:c r="X171" s="43" t="str">
        <x:v>9.736951653849246e-07</x:v>
      </x:c>
      <x:c r="Y171" s="43" t="str">
        <x:v>4.8056230994575344e-08</x:v>
      </x:c>
      <x:c r="Z171" s="43" t="str">
        <x:v>4.725432958818665e-08</x:v>
      </x:c>
      <x:c r="AA171" s="43" t="str">
        <x:v>5.816229462496381e-07</x:v>
      </x:c>
      <x:c r="AB171" s="43" t="str">
        <x:v>7.747634387378355e-07</x:v>
      </x:c>
      <x:c r="AC171" s="43" t="str">
        <x:v>7.41349112098888e-07</x:v>
      </x:c>
      <x:c r="AD171" s="43" t="str">
        <x:v>7.580562754183617e-07</x:v>
      </x:c>
      <x:c r="AE171" s="43" t="str">
        <x:v>8.678666019168446e-07</x:v>
      </x:c>
      <x:c r="AF171" s="43" t="str">
        <x:v>8.604735197703661e-07</x:v>
      </x:c>
      <x:c r="AG171" s="23" t="str">
        <x:v>Candidate surface form is directly representable in the public Ngram interface. Complete 1842–2022 unsmoothed series reused from the audited quantitative-v0.1 baseline.</x:v>
      </x:c>
    </x:row>
    <x:row r="172" ht="19" customHeight="1">
      <x:c r="A172" s="20" t="str">
        <x:v>FT-SEED-R1B-P-2022-21</x:v>
      </x:c>
      <x:c r="B172" s="22" t="str">
        <x:v>2022</x:v>
      </x:c>
      <x:c r="C172" s="22" t="str">
        <x:v>21</x:v>
      </x:c>
      <x:c r="D172" s="21" t="str">
        <x:v>guilt</x:v>
      </x:c>
      <x:c r="E172" s="21" t="str">
        <x:v>depressed affect</x:v>
      </x:c>
      <x:c r="F172" s="22" t="str">
        <x:v>distress_depression</x:v>
      </x:c>
      <x:c r="G172" s="22" t="str">
        <x:v>C</x:v>
      </x:c>
      <x:c r="H172" s="22" t="str">
        <x:v>V1</x:v>
      </x:c>
      <x:c r="I172" s="22" t="str">
        <x:v>E5</x:v>
      </x:c>
      <x:c r="J172" s="21" t="str">
        <x:v>RECONSTRUCTED_FROM_REPORT; Fear of Temperature_ Stratified Lexical Expansion, Voice Mapping, and Semantic-Relational Pre-Valida.pdf; p.12; project candidate FT-SEED-R1B-P-2022-21; original visible ID not available</x:v>
      </x:c>
      <x:c r="K172" s="21" t="str">
        <x:v>guilt</x:v>
      </x:c>
      <x:c r="L172" s="22" t="str">
        <x:v>EXACT</x:v>
      </x:c>
      <x:c r="M172" s="21" t="str">
        <x:v>SUCCEEDED_REUSED_BASELINE</x:v>
      </x:c>
      <x:c r="N172" s="21" t="str">
        <x:v>FT-Q-V01-143</x:v>
      </x:c>
      <x:c r="O172" s="22" t="str">
        <x:v>1842</x:v>
      </x:c>
      <x:c r="P172" s="22" t="str">
        <x:v>2022</x:v>
      </x:c>
      <x:c r="Q172" s="22" t="str">
        <x:v>1842</x:v>
      </x:c>
      <x:c r="R172" s="22" t="str">
        <x:v>181</x:v>
      </x:c>
      <x:c r="S172" s="22" t="str">
        <x:v>1844</x:v>
      </x:c>
      <x:c r="T172" s="43" t="str">
        <x:v>2.0787264730870447e-05</x:v>
      </x:c>
      <x:c r="U172" s="43" t="str">
        <x:v>1.681260062724732e-05</x:v>
      </x:c>
      <x:c r="V172" s="43" t="str">
        <x:v>1.7060073389529862e-05</x:v>
      </x:c>
      <x:c r="W172" s="43" t="str">
        <x:v>1.7060073389529862e-05</x:v>
      </x:c>
      <x:c r="X172" s="43" t="str">
        <x:v>1.7307546151812403e-05</x:v>
      </x:c>
      <x:c r="Y172" s="43" t="str">
        <x:v>1.8657984277581363e-05</x:v>
      </x:c>
      <x:c r="Z172" s="43" t="str">
        <x:v>3.496206829295412e-06</x:v>
      </x:c>
      <x:c r="AA172" s="43" t="str">
        <x:v>8.151257723909566e-06</x:v>
      </x:c>
      <x:c r="AB172" s="43" t="str">
        <x:v>1.0638998595879912e-05</x:v>
      </x:c>
      <x:c r="AC172" s="43" t="str">
        <x:v>1.129985992306265e-05</x:v>
      </x:c>
      <x:c r="AD172" s="43" t="str">
        <x:v>1.096942925947128e-05</x:v>
      </x:c>
      <x:c r="AE172" s="43" t="str">
        <x:v>1.744112144308474e-05</x:v>
      </x:c>
      <x:c r="AF172" s="43" t="str">
        <x:v>1.681260062724732e-05</x:v>
      </x:c>
      <x:c r="AG172" s="23" t="str">
        <x:v>Candidate surface form is directly representable in the public Ngram interface. Complete 1842–2022 unsmoothed series reused from the audited quantitative-v0.1 baseline.</x:v>
      </x:c>
    </x:row>
    <x:row r="173" ht="19" customHeight="1">
      <x:c r="A173" s="20" t="str">
        <x:v>FT-SEED-R1B-P-2022-22</x:v>
      </x:c>
      <x:c r="B173" s="22" t="str">
        <x:v>2022</x:v>
      </x:c>
      <x:c r="C173" s="22" t="str">
        <x:v>22</x:v>
      </x:c>
      <x:c r="D173" s="21" t="str">
        <x:v>heatwaves</x:v>
      </x:c>
      <x:c r="E173" s="21" t="str">
        <x:v>heatwave / weather event</x:v>
      </x:c>
      <x:c r="F173" s="22" t="str">
        <x:v>heat</x:v>
      </x:c>
      <x:c r="G173" s="22" t="str">
        <x:v>A</x:v>
      </x:c>
      <x:c r="H173" s="22" t="str">
        <x:v>V1</x:v>
      </x:c>
      <x:c r="I173" s="22" t="str">
        <x:v>E5</x:v>
      </x:c>
      <x:c r="J173" s="21" t="str">
        <x:v>RECONSTRUCTED_FROM_REPORT; Fear of Temperature_ Stratified Lexical Expansion, Voice Mapping, and Semantic-Relational Pre-Valida.pdf; p.12; project candidate FT-SEED-R1B-P-2022-22; original visible ID not available</x:v>
      </x:c>
      <x:c r="K173" s="21" t="str">
        <x:v>heatwaves</x:v>
      </x:c>
      <x:c r="L173" s="22" t="str">
        <x:v>EXACT</x:v>
      </x:c>
      <x:c r="M173" s="21" t="str">
        <x:v>SUCCEEDED_NEW</x:v>
      </x:c>
      <x:c r="N173" s="21" t="str">
        <x:v>FT-Q-P180-5EF8668DB1EC</x:v>
      </x:c>
      <x:c r="O173" s="22" t="str">
        <x:v>1842</x:v>
      </x:c>
      <x:c r="P173" s="22" t="str">
        <x:v>2022</x:v>
      </x:c>
      <x:c r="Q173" s="22" t="str">
        <x:v>1843</x:v>
      </x:c>
      <x:c r="R173" s="22" t="str">
        <x:v>112</x:v>
      </x:c>
      <x:c r="S173" s="22" t="str">
        <x:v>2022</x:v>
      </x:c>
      <x:c r="T173" s="43" t="str">
        <x:v>2.3539609864120514e-07</x:v>
      </x:c>
      <x:c r="U173" s="43" t="str">
        <x:v>2.3539609864120514e-07</x:v>
      </x:c>
      <x:c r="V173" s="43" t="str">
        <x:v>1.9697515064864834e-07</x:v>
      </x:c>
      <x:c r="W173" s="43" t="str">
        <x:v>1.9697515064864834e-07</x:v>
      </x:c>
      <x:c r="X173" s="43" t="str">
        <x:v>2.3539609864120514e-07</x:v>
      </x:c>
      <x:c r="Y173" s="43" t="str">
        <x:v>0.0</x:v>
      </x:c>
      <x:c r="Z173" s="43" t="str">
        <x:v>1.6365135913076756e-09</x:v>
      </x:c>
      <x:c r="AA173" s="43" t="str">
        <x:v>6.129516005870528e-09</x:v>
      </x:c>
      <x:c r="AB173" s="43" t="str">
        <x:v>2.3275241775588817e-08</x:v>
      </x:c>
      <x:c r="AC173" s="43" t="str">
        <x:v>3.319536007184709e-08</x:v>
      </x:c>
      <x:c r="AD173" s="43" t="str">
        <x:v>2.8235300923717954e-08</x:v>
      </x:c>
      <x:c r="AE173" s="43" t="str">
        <x:v>4.943210869801096e-08</x:v>
      </x:c>
      <x:c r="AF173" s="43" t="str">
        <x:v>2.3539609864120514e-07</x:v>
      </x:c>
      <x:c r="AG173" s="23" t="str">
        <x:v>Candidate surface form is directly representable in the public Ngram interface. New unsmoothed 1842–2022 series retrieved for the candidate audit.</x:v>
      </x:c>
    </x:row>
    <x:row r="174" ht="19" customHeight="1">
      <x:c r="A174" s="20" t="str">
        <x:v>FT-SEED-R1B-P-2022-23</x:v>
      </x:c>
      <x:c r="B174" s="22" t="str">
        <x:v>2022</x:v>
      </x:c>
      <x:c r="C174" s="22" t="str">
        <x:v>23</x:v>
      </x:c>
      <x:c r="D174" s="21" t="str">
        <x:v>heat-related mortality</x:v>
      </x:c>
      <x:c r="E174" s="21" t="str">
        <x:v>extreme-heat hazard</x:v>
      </x:c>
      <x:c r="F174" s="22" t="str">
        <x:v>heat</x:v>
      </x:c>
      <x:c r="G174" s="22" t="str">
        <x:v>D</x:v>
      </x:c>
      <x:c r="H174" s="22" t="str">
        <x:v>V1</x:v>
      </x:c>
      <x:c r="I174" s="22" t="str">
        <x:v>E5</x:v>
      </x:c>
      <x:c r="J174" s="21" t="str">
        <x:v>RECONSTRUCTED_FROM_REPORT; Fear of Temperature_ Stratified Lexical Expansion, Voice Mapping, and Semantic-Relational Pre-Valida.pdf; p.12; project candidate FT-SEED-R1B-P-2022-23; original visible ID not available</x:v>
      </x:c>
      <x:c r="K174" s="21" t="str">
        <x:v>heat-related mortality</x:v>
      </x:c>
      <x:c r="L174" s="22" t="str">
        <x:v>EXACT</x:v>
      </x:c>
      <x:c r="M174" s="21" t="str">
        <x:v>SUCCEEDED_NEW</x:v>
      </x:c>
      <x:c r="N174" s="21" t="str">
        <x:v>FT-Q-P180-4E8D44A8A178</x:v>
      </x:c>
      <x:c r="O174" s="22" t="str">
        <x:v>1842</x:v>
      </x:c>
      <x:c r="P174" s="22" t="str">
        <x:v>2022</x:v>
      </x:c>
      <x:c r="Q174" s="22" t="str">
        <x:v>1901</x:v>
      </x:c>
      <x:c r="R174" s="22" t="str">
        <x:v>52</x:v>
      </x:c>
      <x:c r="S174" s="22" t="str">
        <x:v>2022</x:v>
      </x:c>
      <x:c r="T174" s="43" t="str">
        <x:v>3.4297885746770174e-08</x:v>
      </x:c>
      <x:c r="U174" s="43" t="str">
        <x:v>3.4297885746770174e-08</x:v>
      </x:c>
      <x:c r="V174" s="43" t="str">
        <x:v>2.5230117672164765e-08</x:v>
      </x:c>
      <x:c r="W174" s="43" t="str">
        <x:v>2.5230117672164765e-08</x:v>
      </x:c>
      <x:c r="X174" s="43" t="str">
        <x:v>3.4297885746770174e-08</x:v>
      </x:c>
      <x:c r="Y174" s="43" t="str">
        <x:v>0.0</x:v>
      </x:c>
      <x:c r="Z174" s="43" t="str">
        <x:v>0.0</x:v>
      </x:c>
      <x:c r="AA174" s="43" t="str">
        <x:v>2.987833244705307e-10</x:v>
      </x:c>
      <x:c r="AB174" s="43" t="str">
        <x:v>8.528736036850226e-09</x:v>
      </x:c>
      <x:c r="AC174" s="43" t="str">
        <x:v>5.759477353373121e-09</x:v>
      </x:c>
      <x:c r="AD174" s="43" t="str">
        <x:v>7.144106695111674e-09</x:v>
      </x:c>
      <x:c r="AE174" s="43" t="str">
        <x:v>1.0538593789299888e-08</x:v>
      </x:c>
      <x:c r="AF174" s="43" t="str">
        <x:v>3.4297885746770174e-08</x:v>
      </x:c>
      <x:c r="AG174" s="23" t="str">
        <x:v>Candidate surface form is directly representable in the public Ngram interface. New unsmoothed 1842–2022 series retrieved for the candidate audit.</x:v>
      </x:c>
    </x:row>
    <x:row r="175" ht="19" customHeight="1">
      <x:c r="A175" s="20" t="str">
        <x:v>FT-SEED-R1B-P-2022-24</x:v>
      </x:c>
      <x:c r="B175" s="22" t="str">
        <x:v>2022</x:v>
      </x:c>
      <x:c r="C175" s="22" t="str">
        <x:v>24</x:v>
      </x:c>
      <x:c r="D175" s="21" t="str">
        <x:v>mental health challenges</x:v>
      </x:c>
      <x:c r="E175" s="21" t="str">
        <x:v>generic damage</x:v>
      </x:c>
      <x:c r="F175" s="22" t="str">
        <x:v>harm_loss_consequences</x:v>
      </x:c>
      <x:c r="G175" s="22" t="str">
        <x:v>D</x:v>
      </x:c>
      <x:c r="H175" s="22" t="str">
        <x:v>V1</x:v>
      </x:c>
      <x:c r="I175" s="22" t="str">
        <x:v>E5</x:v>
      </x:c>
      <x:c r="J175" s="21" t="str">
        <x:v>RECONSTRUCTED_FROM_REPORT; Fear of Temperature_ Stratified Lexical Expansion, Voice Mapping, and Semantic-Relational Pre-Valida.pdf; p.12; project candidate FT-SEED-R1B-P-2022-24; original visible ID not available</x:v>
      </x:c>
      <x:c r="K175" s="21" t="str">
        <x:v>mental health challenges</x:v>
      </x:c>
      <x:c r="L175" s="22" t="str">
        <x:v>EXACT</x:v>
      </x:c>
      <x:c r="M175" s="21" t="str">
        <x:v>SUCCEEDED_NEW</x:v>
      </x:c>
      <x:c r="N175" s="21" t="str">
        <x:v>FT-Q-P180-5B5B2297FCBF</x:v>
      </x:c>
      <x:c r="O175" s="22" t="str">
        <x:v>1842</x:v>
      </x:c>
      <x:c r="P175" s="22" t="str">
        <x:v>2022</x:v>
      </x:c>
      <x:c r="Q175" s="22" t="str">
        <x:v>1900</x:v>
      </x:c>
      <x:c r="R175" s="22" t="str">
        <x:v>66</x:v>
      </x:c>
      <x:c r="S175" s="22" t="str">
        <x:v>2022</x:v>
      </x:c>
      <x:c r="T175" s="43" t="str">
        <x:v>1.5939624659067064e-07</x:v>
      </x:c>
      <x:c r="U175" s="43" t="str">
        <x:v>1.5939624659067064e-07</x:v>
      </x:c>
      <x:c r="V175" s="43" t="str">
        <x:v>1.470317696761203e-07</x:v>
      </x:c>
      <x:c r="W175" s="43" t="str">
        <x:v>1.470317696761203e-07</x:v>
      </x:c>
      <x:c r="X175" s="43" t="str">
        <x:v>1.5939624659067064e-07</x:v>
      </x:c>
      <x:c r="Y175" s="43" t="str">
        <x:v>0.0</x:v>
      </x:c>
      <x:c r="Z175" s="43" t="str">
        <x:v>0.0</x:v>
      </x:c>
      <x:c r="AA175" s="43" t="str">
        <x:v>2.0002289824461172e-09</x:v>
      </x:c>
      <x:c r="AB175" s="43" t="str">
        <x:v>6.787490056114898e-09</x:v>
      </x:c>
      <x:c r="AC175" s="43" t="str">
        <x:v>7.531640255908911e-09</x:v>
      </x:c>
      <x:c r="AD175" s="43" t="str">
        <x:v>7.1595651560119045e-09</x:v>
      </x:c>
      <x:c r="AE175" s="43" t="str">
        <x:v>3.3191270426558006e-08</x:v>
      </x:c>
      <x:c r="AF175" s="43" t="str">
        <x:v>1.5939624659067064e-07</x:v>
      </x:c>
      <x:c r="AG175" s="23" t="str">
        <x:v>Candidate surface form is directly representable in the public Ngram interface. New unsmoothed 1842–2022 series retrieved for the candidate audit.</x:v>
      </x:c>
    </x:row>
    <x:row r="176" ht="19" customHeight="1">
      <x:c r="A176" s="20" t="str">
        <x:v>FT-SEED-R1B-P-2022-25</x:v>
      </x:c>
      <x:c r="B176" s="22" t="str">
        <x:v>2022</x:v>
      </x:c>
      <x:c r="C176" s="22" t="str">
        <x:v>25</x:v>
      </x:c>
      <x:c r="D176" s="21" t="str">
        <x:v>anxiety and stress</x:v>
      </x:c>
      <x:c r="E176" s="21" t="str">
        <x:v>anxiety symptom measure</x:v>
      </x:c>
      <x:c r="F176" s="22" t="str">
        <x:v>anxiety</x:v>
      </x:c>
      <x:c r="G176" s="22" t="str">
        <x:v>C</x:v>
      </x:c>
      <x:c r="H176" s="22" t="str">
        <x:v>V1</x:v>
      </x:c>
      <x:c r="I176" s="22" t="str">
        <x:v>E5</x:v>
      </x:c>
      <x:c r="J176" s="21" t="str">
        <x:v>RECONSTRUCTED_FROM_REPORT; Fear of Temperature_ Stratified Lexical Expansion, Voice Mapping, and Semantic-Relational Pre-Valida.pdf; p.12; project candidate FT-SEED-R1B-P-2022-25; original visible ID not available</x:v>
      </x:c>
      <x:c r="K176" s="21" t="str">
        <x:v>anxiety and stress</x:v>
      </x:c>
      <x:c r="L176" s="22" t="str">
        <x:v>EXACT</x:v>
      </x:c>
      <x:c r="M176" s="21" t="str">
        <x:v>SUCCEEDED_NEW</x:v>
      </x:c>
      <x:c r="N176" s="21" t="str">
        <x:v>FT-Q-P180-DC3B8883BB1C</x:v>
      </x:c>
      <x:c r="O176" s="22" t="str">
        <x:v>1842</x:v>
      </x:c>
      <x:c r="P176" s="22" t="str">
        <x:v>2022</x:v>
      </x:c>
      <x:c r="Q176" s="22" t="str">
        <x:v>1844</x:v>
      </x:c>
      <x:c r="R176" s="22" t="str">
        <x:v>138</x:v>
      </x:c>
      <x:c r="S176" s="22" t="str">
        <x:v>2022</x:v>
      </x:c>
      <x:c r="T176" s="43" t="str">
        <x:v>2.2447910766332235e-07</x:v>
      </x:c>
      <x:c r="U176" s="43" t="str">
        <x:v>2.2447910766332235e-07</x:v>
      </x:c>
      <x:c r="V176" s="43" t="str">
        <x:v>2.2406331945390434e-07</x:v>
      </x:c>
      <x:c r="W176" s="43" t="str">
        <x:v>2.2406331945390434e-07</x:v>
      </x:c>
      <x:c r="X176" s="43" t="str">
        <x:v>2.2447910766332235e-07</x:v>
      </x:c>
      <x:c r="Y176" s="43" t="str">
        <x:v>0.0</x:v>
      </x:c>
      <x:c r="Z176" s="43" t="str">
        <x:v>2.4447004420835583e-09</x:v>
      </x:c>
      <x:c r="AA176" s="43" t="str">
        <x:v>4.232917150126525e-08</x:v>
      </x:c>
      <x:c r="AB176" s="43" t="str">
        <x:v>7.530645684816761e-08</x:v>
      </x:c>
      <x:c r="AC176" s="43" t="str">
        <x:v>7.580231807524651e-08</x:v>
      </x:c>
      <x:c r="AD176" s="43" t="str">
        <x:v>7.555438746170706e-08</x:v>
      </x:c>
      <x:c r="AE176" s="43" t="str">
        <x:v>1.292659954632569e-07</x:v>
      </x:c>
      <x:c r="AF176" s="43" t="str">
        <x:v>2.2447910766332235e-07</x:v>
      </x:c>
      <x:c r="AG176" s="23" t="str">
        <x:v>Candidate surface form is directly representable in the public Ngram interface. New unsmoothed 1842–2022 series retrieved for the candidate audit.</x:v>
      </x:c>
    </x:row>
    <x:row r="177" ht="19" customHeight="1">
      <x:c r="A177" s="20" t="str">
        <x:v>FT-SEED-R1B-P-2022-26</x:v>
      </x:c>
      <x:c r="B177" s="22" t="str">
        <x:v>2022</x:v>
      </x:c>
      <x:c r="C177" s="22" t="str">
        <x:v>26</x:v>
      </x:c>
      <x:c r="D177" s="21" t="str">
        <x:v>ill health</x:v>
      </x:c>
      <x:c r="E177" s="21" t="str">
        <x:v>generic damage</x:v>
      </x:c>
      <x:c r="F177" s="22" t="str">
        <x:v>harm_loss_consequences</x:v>
      </x:c>
      <x:c r="G177" s="22" t="str">
        <x:v>D</x:v>
      </x:c>
      <x:c r="H177" s="22" t="str">
        <x:v>V1</x:v>
      </x:c>
      <x:c r="I177" s="22" t="str">
        <x:v>E5</x:v>
      </x:c>
      <x:c r="J177" s="21" t="str">
        <x:v>RECONSTRUCTED_FROM_REPORT; Fear of Temperature_ Stratified Lexical Expansion, Voice Mapping, and Semantic-Relational Pre-Valida.pdf; p.12; project candidate FT-SEED-R1B-P-2022-26; original visible ID not available</x:v>
      </x:c>
      <x:c r="K177" s="21" t="str">
        <x:v>ill health</x:v>
      </x:c>
      <x:c r="L177" s="22" t="str">
        <x:v>EXACT</x:v>
      </x:c>
      <x:c r="M177" s="21" t="str">
        <x:v>SUCCEEDED_NEW</x:v>
      </x:c>
      <x:c r="N177" s="21" t="str">
        <x:v>FT-Q-P180-B924C0D033A0</x:v>
      </x:c>
      <x:c r="O177" s="22" t="str">
        <x:v>1842</x:v>
      </x:c>
      <x:c r="P177" s="22" t="str">
        <x:v>2022</x:v>
      </x:c>
      <x:c r="Q177" s="22" t="str">
        <x:v>1842</x:v>
      </x:c>
      <x:c r="R177" s="22" t="str">
        <x:v>181</x:v>
      </x:c>
      <x:c r="S177" s="22" t="str">
        <x:v>1850</x:v>
      </x:c>
      <x:c r="T177" s="43" t="str">
        <x:v>2.420165740923963e-06</x:v>
      </x:c>
      <x:c r="U177" s="43" t="str">
        <x:v>8.053424292442379e-07</x:v>
      </x:c>
      <x:c r="V177" s="43" t="str">
        <x:v>8.071232997682032e-07</x:v>
      </x:c>
      <x:c r="W177" s="43" t="str">
        <x:v>8.071232997682032e-07</x:v>
      </x:c>
      <x:c r="X177" s="43" t="str">
        <x:v>8.089041702921684e-07</x:v>
      </x:c>
      <x:c r="Y177" s="43" t="str">
        <x:v>2.1968301825436853e-06</x:v>
      </x:c>
      <x:c r="Z177" s="43" t="str">
        <x:v>1.4956139914729105e-06</x:v>
      </x:c>
      <x:c r="AA177" s="43" t="str">
        <x:v>6.012468629322532e-07</x:v>
      </x:c>
      <x:c r="AB177" s="43" t="str">
        <x:v>8.571711666016668e-07</x:v>
      </x:c>
      <x:c r="AC177" s="43" t="str">
        <x:v>8.991487940868126e-07</x:v>
      </x:c>
      <x:c r="AD177" s="43" t="str">
        <x:v>8.781599803442397e-07</x:v>
      </x:c>
      <x:c r="AE177" s="43" t="str">
        <x:v>8.328422375601663e-07</x:v>
      </x:c>
      <x:c r="AF177" s="43" t="str">
        <x:v>8.053424292442379e-07</x:v>
      </x:c>
      <x:c r="AG177" s="23" t="str">
        <x:v>Candidate surface form is directly representable in the public Ngram interface. New unsmoothed 1842–2022 series retrieved for the candidate audit.</x:v>
      </x:c>
    </x:row>
    <x:row r="178" ht="19" customHeight="1">
      <x:c r="A178" s="20" t="str">
        <x:v>FT-SEED-R1B-P-2022-27</x:v>
      </x:c>
      <x:c r="B178" s="22" t="str">
        <x:v>2022</x:v>
      </x:c>
      <x:c r="C178" s="22" t="str">
        <x:v>27</x:v>
      </x:c>
      <x:c r="D178" s="21" t="str">
        <x:v>premature deaths</x:v>
      </x:c>
      <x:c r="E178" s="21" t="str">
        <x:v>mortality</x:v>
      </x:c>
      <x:c r="F178" s="22" t="str">
        <x:v>harm_loss_consequences</x:v>
      </x:c>
      <x:c r="G178" s="22" t="str">
        <x:v>D</x:v>
      </x:c>
      <x:c r="H178" s="22" t="str">
        <x:v>V1</x:v>
      </x:c>
      <x:c r="I178" s="22" t="str">
        <x:v>E5</x:v>
      </x:c>
      <x:c r="J178" s="21" t="str">
        <x:v>RECONSTRUCTED_FROM_REPORT; Fear of Temperature_ Stratified Lexical Expansion, Voice Mapping, and Semantic-Relational Pre-Valida.pdf; p.12; project candidate FT-SEED-R1B-P-2022-27; original visible ID not available</x:v>
      </x:c>
      <x:c r="K178" s="21" t="str">
        <x:v>premature deaths</x:v>
      </x:c>
      <x:c r="L178" s="22" t="str">
        <x:v>EXACT</x:v>
      </x:c>
      <x:c r="M178" s="21" t="str">
        <x:v>SUCCEEDED_NEW</x:v>
      </x:c>
      <x:c r="N178" s="21" t="str">
        <x:v>FT-Q-P180-9B46C9F1133A</x:v>
      </x:c>
      <x:c r="O178" s="22" t="str">
        <x:v>1842</x:v>
      </x:c>
      <x:c r="P178" s="22" t="str">
        <x:v>2022</x:v>
      </x:c>
      <x:c r="Q178" s="22" t="str">
        <x:v>1842</x:v>
      </x:c>
      <x:c r="R178" s="22" t="str">
        <x:v>181</x:v>
      </x:c>
      <x:c r="S178" s="22" t="str">
        <x:v>2021</x:v>
      </x:c>
      <x:c r="T178" s="43" t="str">
        <x:v>1.5945866710387335e-07</x:v>
      </x:c>
      <x:c r="U178" s="43" t="str">
        <x:v>1.3586060954029477e-07</x:v>
      </x:c>
      <x:c r="V178" s="43" t="str">
        <x:v>1.4765963832208406e-07</x:v>
      </x:c>
      <x:c r="W178" s="43" t="str">
        <x:v>1.4765963832208406e-07</x:v>
      </x:c>
      <x:c r="X178" s="43" t="str">
        <x:v>1.5945866710387335e-07</x:v>
      </x:c>
      <x:c r="Y178" s="43" t="str">
        <x:v>5.2244054415950814e-08</x:v>
      </x:c>
      <x:c r="Z178" s="43" t="str">
        <x:v>1.5480701762160543e-08</x:v>
      </x:c>
      <x:c r="AA178" s="43" t="str">
        <x:v>4.2939155106558324e-08</x:v>
      </x:c>
      <x:c r="AB178" s="43" t="str">
        <x:v>8.478774978643022e-08</x:v>
      </x:c>
      <x:c r="AC178" s="43" t="str">
        <x:v>8.275478846631046e-08</x:v>
      </x:c>
      <x:c r="AD178" s="43" t="str">
        <x:v>8.377126912637034e-08</x:v>
      </x:c>
      <x:c r="AE178" s="43" t="str">
        <x:v>1.1820353693070551e-07</x:v>
      </x:c>
      <x:c r="AF178" s="43" t="str">
        <x:v>1.3586060954029477e-07</x:v>
      </x:c>
      <x:c r="AG178" s="23" t="str">
        <x:v>Candidate surface form is directly representable in the public Ngram interface. New unsmoothed 1842–2022 series retrieved for the candidate audit.</x:v>
      </x:c>
    </x:row>
    <x:row r="179" ht="19" customHeight="1">
      <x:c r="A179" s="20" t="str">
        <x:v>FT-SEED-R1B-P-2022-28</x:v>
      </x:c>
      <x:c r="B179" s="22" t="str">
        <x:v>2022</x:v>
      </x:c>
      <x:c r="C179" s="22" t="str">
        <x:v>28</x:v>
      </x:c>
      <x:c r="D179" s="21" t="str">
        <x:v>very serious threat</x:v>
      </x:c>
      <x:c r="E179" s="21" t="str">
        <x:v>institutional climate threat</x:v>
      </x:c>
      <x:c r="F179" s="22" t="str">
        <x:v>danger_threat</x:v>
      </x:c>
      <x:c r="G179" s="22" t="str">
        <x:v>D</x:v>
      </x:c>
      <x:c r="H179" s="22" t="str">
        <x:v>V5</x:v>
      </x:c>
      <x:c r="I179" s="22" t="str">
        <x:v>E5</x:v>
      </x:c>
      <x:c r="J179" s="21" t="str">
        <x:v>RECONSTRUCTED_FROM_REPORT; Fear of Temperature_ Stratified Lexical Expansion, Voice Mapping, and Semantic-Relational Pre-Valida.pdf; p.12; project candidate FT-SEED-R1B-P-2022-28; original visible ID not available</x:v>
      </x:c>
      <x:c r="K179" s="21" t="str">
        <x:v>very serious threat</x:v>
      </x:c>
      <x:c r="L179" s="22" t="str">
        <x:v>EXACT</x:v>
      </x:c>
      <x:c r="M179" s="21" t="str">
        <x:v>SUCCEEDED_NEW</x:v>
      </x:c>
      <x:c r="N179" s="21" t="str">
        <x:v>FT-Q-P180-4BC5F94348C2</x:v>
      </x:c>
      <x:c r="O179" s="22" t="str">
        <x:v>1842</x:v>
      </x:c>
      <x:c r="P179" s="22" t="str">
        <x:v>2022</x:v>
      </x:c>
      <x:c r="Q179" s="22" t="str">
        <x:v>1844</x:v>
      </x:c>
      <x:c r="R179" s="22" t="str">
        <x:v>142</x:v>
      </x:c>
      <x:c r="S179" s="22" t="str">
        <x:v>1980</x:v>
      </x:c>
      <x:c r="T179" s="43" t="str">
        <x:v>2.482974169326635e-08</x:v>
      </x:c>
      <x:c r="U179" s="43" t="str">
        <x:v>1.0925974208708666e-08</x:v>
      </x:c>
      <x:c r="V179" s="43" t="str">
        <x:v>1.068363673917272e-08</x:v>
      </x:c>
      <x:c r="W179" s="43" t="str">
        <x:v>1.068363673917272e-08</x:v>
      </x:c>
      <x:c r="X179" s="43" t="str">
        <x:v>1.0925974208708666e-08</x:v>
      </x:c>
      <x:c r="Y179" s="43" t="str">
        <x:v>0.0</x:v>
      </x:c>
      <x:c r="Z179" s="43" t="str">
        <x:v>8.800921769136494e-09</x:v>
      </x:c>
      <x:c r="AA179" s="43" t="str">
        <x:v>1.5893711985404124e-08</x:v>
      </x:c>
      <x:c r="AB179" s="43" t="str">
        <x:v>1.5408097263358567e-08</x:v>
      </x:c>
      <x:c r="AC179" s="43" t="str">
        <x:v>1.5111872392337133e-08</x:v>
      </x:c>
      <x:c r="AD179" s="43" t="str">
        <x:v>1.525998482784785e-08</x:v>
      </x:c>
      <x:c r="AE179" s="43" t="str">
        <x:v>1.169692359984098e-08</x:v>
      </x:c>
      <x:c r="AF179" s="43" t="str">
        <x:v>1.0925974208708666e-08</x:v>
      </x:c>
      <x:c r="AG179" s="23" t="str">
        <x:v>Candidate surface form is directly representable in the public Ngram interface. New unsmoothed 1842–2022 series retrieved for the candidate audit.</x:v>
      </x:c>
    </x:row>
    <x:row r="180" ht="19" customHeight="1">
      <x:c r="A180" s="20" t="str">
        <x:v>FT-SEED-R1B-P-2022-29</x:v>
      </x:c>
      <x:c r="B180" s="22" t="str">
        <x:v>2022</x:v>
      </x:c>
      <x:c r="C180" s="22" t="str">
        <x:v>29</x:v>
      </x:c>
      <x:c r="D180" s="21" t="str">
        <x:v>harm future generations</x:v>
      </x:c>
      <x:c r="E180" s="21" t="str">
        <x:v>future-generation harm</x:v>
      </x:c>
      <x:c r="F180" s="22" t="str">
        <x:v>harm_loss_consequences</x:v>
      </x:c>
      <x:c r="G180" s="22" t="str">
        <x:v>D</x:v>
      </x:c>
      <x:c r="H180" s="22" t="str">
        <x:v>V5</x:v>
      </x:c>
      <x:c r="I180" s="22" t="str">
        <x:v>E5</x:v>
      </x:c>
      <x:c r="J180" s="21" t="str">
        <x:v>RECONSTRUCTED_FROM_REPORT; Fear of Temperature_ Stratified Lexical Expansion, Voice Mapping, and Semantic-Relational Pre-Valida.pdf; p.13; project candidate FT-SEED-R1B-P-2022-29; original visible ID not available</x:v>
      </x:c>
      <x:c r="K180" s="21" t="str">
        <x:v>harm future generations</x:v>
      </x:c>
      <x:c r="L180" s="22" t="str">
        <x:v>EXACT</x:v>
      </x:c>
      <x:c r="M180" s="21" t="str">
        <x:v>SUCCEEDED_NEW</x:v>
      </x:c>
      <x:c r="N180" s="21" t="str">
        <x:v>FT-Q-P180-6258B483BD16</x:v>
      </x:c>
      <x:c r="O180" s="22" t="str">
        <x:v>1842</x:v>
      </x:c>
      <x:c r="P180" s="22" t="str">
        <x:v>2022</x:v>
      </x:c>
      <x:c r="Q180" s="22" t="str">
        <x:v>1883</x:v>
      </x:c>
      <x:c r="R180" s="22" t="str">
        <x:v>68</x:v>
      </x:c>
      <x:c r="S180" s="22" t="str">
        <x:v>2017</x:v>
      </x:c>
      <x:c r="T180" s="43" t="str">
        <x:v>1.9909478510271583e-09</x:v>
      </x:c>
      <x:c r="U180" s="43" t="str">
        <x:v>8.040760279826031e-10</x:v>
      </x:c>
      <x:c r="V180" s="43" t="str">
        <x:v>1.318835041175248e-09</x:v>
      </x:c>
      <x:c r="W180" s="43" t="str">
        <x:v>1.318835041175248e-09</x:v>
      </x:c>
      <x:c r="X180" s="43" t="str">
        <x:v>1.833594054367893e-09</x:v>
      </x:c>
      <x:c r="Y180" s="43" t="str">
        <x:v>0.0</x:v>
      </x:c>
      <x:c r="Z180" s="43" t="str">
        <x:v>0.0</x:v>
      </x:c>
      <x:c r="AA180" s="43" t="str">
        <x:v>4.865421954214355e-10</x:v>
      </x:c>
      <x:c r="AB180" s="43" t="str">
        <x:v>6.936121121903227e-10</x:v>
      </x:c>
      <x:c r="AC180" s="43" t="str">
        <x:v>1.3605543358607974e-09</x:v>
      </x:c>
      <x:c r="AD180" s="43" t="str">
        <x:v>1.02708322402556e-09</x:v>
      </x:c>
      <x:c r="AE180" s="43" t="str">
        <x:v>1.2996581588708978e-09</x:v>
      </x:c>
      <x:c r="AF180" s="43" t="str">
        <x:v>8.040760279826031e-10</x:v>
      </x:c>
      <x:c r="AG180" s="23" t="str">
        <x:v>Candidate surface form is directly representable in the public Ngram interface. New unsmoothed 1842–2022 series retrieved for the candidate audit.</x:v>
      </x:c>
    </x:row>
    <x:row r="181" ht="19" customHeight="1">
      <x:c r="A181" s="24" t="str">
        <x:v>FT-SEED-R1B-P-2022-30</x:v>
      </x:c>
      <x:c r="B181" s="26" t="str">
        <x:v>2022</x:v>
      </x:c>
      <x:c r="C181" s="26" t="str">
        <x:v>30</x:v>
      </x:c>
      <x:c r="D181" s="25" t="str">
        <x:v>climate crisis</x:v>
      </x:c>
      <x:c r="E181" s="25" t="str">
        <x:v>climate crisis issue label</x:v>
      </x:c>
      <x:c r="F181" s="26" t="str">
        <x:v>crisis_emergency</x:v>
      </x:c>
      <x:c r="G181" s="26" t="str">
        <x:v>D</x:v>
      </x:c>
      <x:c r="H181" s="26" t="str">
        <x:v>V4</x:v>
      </x:c>
      <x:c r="I181" s="26" t="str">
        <x:v>E5</x:v>
      </x:c>
      <x:c r="J181" s="25" t="str">
        <x:v>RECONSTRUCTED_FROM_REPORT; Fear of Temperature_ Stratified Lexical Expansion, Voice Mapping, and Semantic-Relational Pre-Valida.pdf; p.13; project candidate FT-SEED-R1B-P-2022-30; original visible ID not available</x:v>
      </x:c>
      <x:c r="K181" s="25" t="str">
        <x:v>climate crisis</x:v>
      </x:c>
      <x:c r="L181" s="26" t="str">
        <x:v>EXACT</x:v>
      </x:c>
      <x:c r="M181" s="25" t="str">
        <x:v>SUCCEEDED_REUSED_BASELINE</x:v>
      </x:c>
      <x:c r="N181" s="25" t="str">
        <x:v>FT-Q-P180-2CA3EB4228AC</x:v>
      </x:c>
      <x:c r="O181" s="26" t="str">
        <x:v>1842</x:v>
      </x:c>
      <x:c r="P181" s="26" t="str">
        <x:v>2022</x:v>
      </x:c>
      <x:c r="Q181" s="26" t="str">
        <x:v>1867</x:v>
      </x:c>
      <x:c r="R181" s="26" t="str">
        <x:v>69</x:v>
      </x:c>
      <x:c r="S181" s="26" t="str">
        <x:v>2022</x:v>
      </x:c>
      <x:c r="T181" s="44" t="str">
        <x:v>9.38814122442011e-07</x:v>
      </x:c>
      <x:c r="U181" s="44" t="str">
        <x:v>9.38814122442011e-07</x:v>
      </x:c>
      <x:c r="V181" s="44" t="str">
        <x:v>8.728122682377659e-07</x:v>
      </x:c>
      <x:c r="W181" s="44" t="str">
        <x:v>8.728122682377659e-07</x:v>
      </x:c>
      <x:c r="X181" s="44" t="str">
        <x:v>9.38814122442011e-07</x:v>
      </x:c>
      <x:c r="Y181" s="44" t="str">
        <x:v>0.0</x:v>
      </x:c>
      <x:c r="Z181" s="44" t="str">
        <x:v>0.0</x:v>
      </x:c>
      <x:c r="AA181" s="44" t="str">
        <x:v>1.9742139450995566e-09</x:v>
      </x:c>
      <x:c r="AB181" s="44" t="str">
        <x:v>1.7213927533399342e-08</x:v>
      </x:c>
      <x:c r="AC181" s="44" t="str">
        <x:v>4.511035556209464e-08</x:v>
      </x:c>
      <x:c r="AD181" s="44" t="str">
        <x:v>3.116214154774699e-08</x:v>
      </x:c>
      <x:c r="AE181" s="44" t="str">
        <x:v>8.700639558822942e-08</x:v>
      </x:c>
      <x:c r="AF181" s="44" t="str">
        <x:v>9.38814122442011e-07</x:v>
      </x:c>
      <x:c r="AG181" s="27" t="str">
        <x:v>Candidate surface form is directly representable in the public Ngram interface. Complete 1842–2022 unsmoothed series reused from the audited quantitative-v0.1 baseline.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5" hidden="0" customWidth="1"/>
    <x:col min="3" max="3" width="15" hidden="0" customWidth="1"/>
    <x:col min="4" max="4" width="25" hidden="0" customWidth="1"/>
    <x:col min="5" max="5" width="15" hidden="0" customWidth="1"/>
    <x:col min="6" max="6" width="25" hidden="0" customWidth="1"/>
    <x:col min="7" max="7" width="15" hidden="0" customWidth="1"/>
    <x:col min="8" max="8" width="28" hidden="0" customWidth="1"/>
    <x:col min="9" max="9" width="2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42" hidden="0" customWidth="1"/>
  </x:cols>
  <x:sheetData>
    <x:row r="1" ht="38" customHeight="1">
      <x:c r="A1" s="12" t="str">
        <x:v>candidate_id</x:v>
      </x:c>
      <x:c r="B1" s="12" t="str">
        <x:v>anchor</x:v>
      </x:c>
      <x:c r="C1" s="12" t="str">
        <x:v>priority_rank</x:v>
      </x:c>
      <x:c r="D1" s="12" t="str">
        <x:v>surface_form</x:v>
      </x:c>
      <x:c r="E1" s="12" t="str">
        <x:v>lexical_family</x:v>
      </x:c>
      <x:c r="F1" s="12" t="str">
        <x:v>ngram_measurement_form</x:v>
      </x:c>
      <x:c r="G1" s="12" t="str">
        <x:v>ngram_mapping_type</x:v>
      </x:c>
      <x:c r="H1" s="12" t="str">
        <x:v>ngram_status</x:v>
      </x:c>
      <x:c r="I1" s="12" t="str">
        <x:v>ngram_query_id</x:v>
      </x:c>
      <x:c r="J1" s="12" t="str">
        <x:v>ngram_year_start</x:v>
      </x:c>
      <x:c r="K1" s="12" t="str">
        <x:v>ngram_year_end</x:v>
      </x:c>
      <x:c r="L1" s="12" t="str">
        <x:v>ngram_first_nonzero_year</x:v>
      </x:c>
      <x:c r="M1" s="12" t="str">
        <x:v>ngram_nonzero_year_count</x:v>
      </x:c>
      <x:c r="N1" s="12" t="str">
        <x:v>ngram_peak_year</x:v>
      </x:c>
      <x:c r="O1" s="12" t="str">
        <x:v>ngram_peak_frequency</x:v>
      </x:c>
      <x:c r="P1" s="12" t="str">
        <x:v>ngram_anchor_value</x:v>
      </x:c>
      <x:c r="Q1" s="12" t="str">
        <x:v>ngram_context_window_mean</x:v>
      </x:c>
      <x:c r="R1" s="12" t="str">
        <x:v>ngram_context_window_median</x:v>
      </x:c>
      <x:c r="S1" s="12" t="str">
        <x:v>ngram_context_window_max</x:v>
      </x:c>
      <x:c r="T1" s="12" t="str">
        <x:v>ngram_1842_value</x:v>
      </x:c>
      <x:c r="U1" s="12" t="str">
        <x:v>ngram_1938_value</x:v>
      </x:c>
      <x:c r="V1" s="12" t="str">
        <x:v>ngram_1988_value</x:v>
      </x:c>
      <x:c r="W1" s="12" t="str">
        <x:v>ngram_2006_value</x:v>
      </x:c>
      <x:c r="X1" s="12" t="str">
        <x:v>ngram_2007_value</x:v>
      </x:c>
      <x:c r="Y1" s="12" t="str">
        <x:v>ngram_2006_07_mean</x:v>
      </x:c>
      <x:c r="Z1" s="12" t="str">
        <x:v>ngram_2015_value</x:v>
      </x:c>
      <x:c r="AA1" s="12" t="str">
        <x:v>ngram_2022_value</x:v>
      </x:c>
      <x:c r="AB1" s="12" t="str">
        <x:v>ngram_notes</x:v>
      </x:c>
    </x:row>
    <x:row r="2" ht="19" customHeight="1">
      <x:c r="A2" s="16" t="str">
        <x:v>FT-SEED-R1B-P-1842-01</x:v>
      </x:c>
      <x:c r="B2" s="18" t="str">
        <x:v>1842</x:v>
      </x:c>
      <x:c r="C2" s="18" t="str">
        <x:v>1</x:v>
      </x:c>
      <x:c r="D2" s="17" t="str">
        <x:v>temperature</x:v>
      </x:c>
      <x:c r="E2" s="18" t="str">
        <x:v>temperature_threshold</x:v>
      </x:c>
      <x:c r="F2" s="17" t="str">
        <x:v>temperature</x:v>
      </x:c>
      <x:c r="G2" s="18" t="str">
        <x:v>EXACT</x:v>
      </x:c>
      <x:c r="H2" s="17" t="str">
        <x:v>SUCCEEDED_REUSED_BASELINE</x:v>
      </x:c>
      <x:c r="I2" s="17" t="str">
        <x:v>FT-Q-V01-001</x:v>
      </x:c>
      <x:c r="J2" s="18" t="str">
        <x:v>1842</x:v>
      </x:c>
      <x:c r="K2" s="18" t="str">
        <x:v>2022</x:v>
      </x:c>
      <x:c r="L2" s="18" t="str">
        <x:v>1842</x:v>
      </x:c>
      <x:c r="M2" s="18" t="str">
        <x:v>181</x:v>
      </x:c>
      <x:c r="N2" s="18" t="str">
        <x:v>1962</x:v>
      </x:c>
      <x:c r="O2" s="42" t="str">
        <x:v>0.00018277823122134218</x:v>
      </x:c>
      <x:c r="P2" s="42" t="str">
        <x:v>3.8178546390099655e-05</x:v>
      </x:c>
      <x:c r="Q2" s="42" t="str">
        <x:v>3.5562592416230054e-05</x:v>
      </x:c>
      <x:c r="R2" s="42" t="str">
        <x:v>3.5297205181583635e-05</x:v>
      </x:c>
      <x:c r="S2" s="42" t="str">
        <x:v>3.969042568030545e-05</x:v>
      </x:c>
      <x:c r="T2" s="42" t="str">
        <x:v>3.8178546390099655e-05</x:v>
      </x:c>
      <x:c r="U2" s="42" t="str">
        <x:v>0.0001075987250857835</x:v>
      </x:c>
      <x:c r="V2" s="42" t="str">
        <x:v>0.00013810821317843808</x:v>
      </x:c>
      <x:c r="W2" s="42" t="str">
        <x:v>9.349962672342699e-05</x:v>
      </x:c>
      <x:c r="X2" s="42" t="str">
        <x:v>9.569523659125334e-05</x:v>
      </x:c>
      <x:c r="Y2" s="42" t="str">
        <x:v>9.459743165734016e-05</x:v>
      </x:c>
      <x:c r="Z2" s="42" t="str">
        <x:v>7.593630839236587e-05</x:v>
      </x:c>
      <x:c r="AA2" s="42" t="str">
        <x:v>9.003187850510977e-05</x:v>
      </x:c>
      <x:c r="AB2" s="19" t="str">
        <x:v>Candidate surface form is directly representable in the public Ngram interface. Complete 1842–2022 unsmoothed series reused from the audited quantitative-v0.1 baseline.</x:v>
      </x:c>
    </x:row>
    <x:row r="3" ht="19" customHeight="1">
      <x:c r="A3" s="20" t="str">
        <x:v>FT-SEED-R1B-P-1842-02</x:v>
      </x:c>
      <x:c r="B3" s="22" t="str">
        <x:v>1842</x:v>
      </x:c>
      <x:c r="C3" s="22" t="str">
        <x:v>2</x:v>
      </x:c>
      <x:c r="D3" s="21" t="str">
        <x:v>mean temperature</x:v>
      </x:c>
      <x:c r="E3" s="22" t="str">
        <x:v>temperature_threshold</x:v>
      </x:c>
      <x:c r="F3" s="21" t="str">
        <x:v>mean temperature</x:v>
      </x:c>
      <x:c r="G3" s="22" t="str">
        <x:v>EXACT</x:v>
      </x:c>
      <x:c r="H3" s="21" t="str">
        <x:v>SUCCEEDED_REUSED_BASELINE</x:v>
      </x:c>
      <x:c r="I3" s="21" t="str">
        <x:v>FT-Q-V01-002</x:v>
      </x:c>
      <x:c r="J3" s="22" t="str">
        <x:v>1842</x:v>
      </x:c>
      <x:c r="K3" s="22" t="str">
        <x:v>2022</x:v>
      </x:c>
      <x:c r="L3" s="22" t="str">
        <x:v>1842</x:v>
      </x:c>
      <x:c r="M3" s="22" t="str">
        <x:v>181</x:v>
      </x:c>
      <x:c r="N3" s="22" t="str">
        <x:v>1858</x:v>
      </x:c>
      <x:c r="O3" s="43" t="str">
        <x:v>3.219442511692705e-06</x:v>
      </x:c>
      <x:c r="P3" s="43" t="str">
        <x:v>2.3651722909079353e-06</x:v>
      </x:c>
      <x:c r="Q3" s="43" t="str">
        <x:v>2.3625686028094783e-06</x:v>
      </x:c>
      <x:c r="R3" s="43" t="str">
        <x:v>2.478758438062556e-06</x:v>
      </x:c>
      <x:c r="S3" s="43" t="str">
        <x:v>2.7793096510908555e-06</x:v>
      </x:c>
      <x:c r="T3" s="43" t="str">
        <x:v>2.3651722909079353e-06</x:v>
      </x:c>
      <x:c r="U3" s="43" t="str">
        <x:v>1.0646044789619502e-06</x:v>
      </x:c>
      <x:c r="V3" s="43" t="str">
        <x:v>5.396020415979197e-07</x:v>
      </x:c>
      <x:c r="W3" s="43" t="str">
        <x:v>4.0590074483481953e-07</x:v>
      </x:c>
      <x:c r="X3" s="43" t="str">
        <x:v>4.2002552441688934e-07</x:v>
      </x:c>
      <x:c r="Y3" s="43" t="str">
        <x:v>4.1296313462585443e-07</x:v>
      </x:c>
      <x:c r="Z3" s="43" t="str">
        <x:v>3.0473253164603475e-07</x:v>
      </x:c>
      <x:c r="AA3" s="43" t="str">
        <x:v>3.990877988080399e-07</x:v>
      </x:c>
      <x:c r="AB3" s="23" t="str">
        <x:v>Candidate surface form is directly representable in the public Ngram interface. Complete 1842–2022 unsmoothed series reused from the audited quantitative-v0.1 baseline.</x:v>
      </x:c>
    </x:row>
    <x:row r="4" ht="19" customHeight="1">
      <x:c r="A4" s="20" t="str">
        <x:v>FT-SEED-R1B-P-1842-03</x:v>
      </x:c>
      <x:c r="B4" s="22" t="str">
        <x:v>1842</x:v>
      </x:c>
      <x:c r="C4" s="22" t="str">
        <x:v>3</x:v>
      </x:c>
      <x:c r="D4" s="21" t="str">
        <x:v>temperature of the air in shade</x:v>
      </x:c>
      <x:c r="E4" s="22" t="str">
        <x:v>temperature_threshold</x:v>
      </x:c>
      <x:c r="F4" s="21" t="str">
        <x:v>temperature of the air in shade</x:v>
      </x:c>
      <x:c r="G4" s="22" t="str">
        <x:v>EXACT</x:v>
      </x:c>
      <x:c r="H4" s="21" t="str">
        <x:v>SUCCEEDED_REUSED_BASELINE</x:v>
      </x:c>
      <x:c r="I4" s="21" t="str">
        <x:v>FT-Q-V01-003</x:v>
      </x:c>
      <x:c r="J4" s="22" t="str">
        <x:v>1842</x:v>
      </x:c>
      <x:c r="K4" s="22" t="str">
        <x:v>2022</x:v>
      </x:c>
      <x:c r="L4" s="22" t="str">
        <x:v>1846</x:v>
      </x:c>
      <x:c r="M4" s="22" t="str">
        <x:v>79</x:v>
      </x:c>
      <x:c r="N4" s="22" t="str">
        <x:v>1858</x:v>
      </x:c>
      <x:c r="O4" s="43" t="str">
        <x:v>1.4379699209143837e-08</x:v>
      </x:c>
      <x:c r="P4" s="43" t="str">
        <x:v>0.0</x:v>
      </x:c>
      <x:c r="Q4" s="43" t="str">
        <x:v>0.0</x:v>
      </x:c>
      <x:c r="R4" s="43" t="str">
        <x:v>0.0</x:v>
      </x:c>
      <x:c r="S4" s="43" t="str">
        <x:v>0.0</x:v>
      </x:c>
      <x:c r="T4" s="43" t="str">
        <x:v>0.0</x:v>
      </x:c>
      <x:c r="U4" s="43" t="str">
        <x:v>0.0</x:v>
      </x:c>
      <x:c r="V4" s="43" t="str">
        <x:v>0.0</x:v>
      </x:c>
      <x:c r="W4" s="43" t="str">
        <x:v>0.0</x:v>
      </x:c>
      <x:c r="X4" s="43" t="str">
        <x:v>0.0</x:v>
      </x:c>
      <x:c r="Y4" s="43" t="str">
        <x:v>0.0</x:v>
      </x:c>
      <x:c r="Z4" s="43" t="str">
        <x:v>6.163167892703214e-11</x:v>
      </x:c>
      <x:c r="AA4" s="43" t="str">
        <x:v>5.8122076596056615e-11</x:v>
      </x:c>
      <x:c r="AB4" s="23" t="str">
        <x:v>Candidate surface form is directly representable in the public Ngram interface. Complete 1842–2022 unsmoothed series reused from the audited quantitative-v0.1 baseline.</x:v>
      </x:c>
    </x:row>
    <x:row r="5" ht="19" customHeight="1">
      <x:c r="A5" s="20" t="str">
        <x:v>FT-SEED-R1B-P-1842-04</x:v>
      </x:c>
      <x:c r="B5" s="22" t="str">
        <x:v>1842</x:v>
      </x:c>
      <x:c r="C5" s="22" t="str">
        <x:v>4</x:v>
      </x:c>
      <x:c r="D5" s="21" t="str">
        <x:v>maximum temperature</x:v>
      </x:c>
      <x:c r="E5" s="22" t="str">
        <x:v>temperature_threshold</x:v>
      </x:c>
      <x:c r="F5" s="21" t="str">
        <x:v>maximum temperature</x:v>
      </x:c>
      <x:c r="G5" s="22" t="str">
        <x:v>EXACT</x:v>
      </x:c>
      <x:c r="H5" s="21" t="str">
        <x:v>SUCCEEDED_REUSED_BASELINE</x:v>
      </x:c>
      <x:c r="I5" s="21" t="str">
        <x:v>FT-Q-V01-004</x:v>
      </x:c>
      <x:c r="J5" s="22" t="str">
        <x:v>1842</x:v>
      </x:c>
      <x:c r="K5" s="22" t="str">
        <x:v>2022</x:v>
      </x:c>
      <x:c r="L5" s="22" t="str">
        <x:v>1842</x:v>
      </x:c>
      <x:c r="M5" s="22" t="str">
        <x:v>181</x:v>
      </x:c>
      <x:c r="N5" s="22" t="str">
        <x:v>1958</x:v>
      </x:c>
      <x:c r="O5" s="43" t="str">
        <x:v>1.0416047427352915e-06</x:v>
      </x:c>
      <x:c r="P5" s="43" t="str">
        <x:v>3.8828298315474186e-07</x:v>
      </x:c>
      <x:c r="Q5" s="43" t="str">
        <x:v>1.566754800064185e-07</x:v>
      </x:c>
      <x:c r="R5" s="43" t="str">
        <x:v>9.252725954866925e-08</x:v>
      </x:c>
      <x:c r="S5" s="43" t="str">
        <x:v>3.8828298315474186e-07</x:v>
      </x:c>
      <x:c r="T5" s="43" t="str">
        <x:v>3.8828298315474186e-07</x:v>
      </x:c>
      <x:c r="U5" s="43" t="str">
        <x:v>7.694687983172965e-07</x:v>
      </x:c>
      <x:c r="V5" s="43" t="str">
        <x:v>6.011975100389533e-07</x:v>
      </x:c>
      <x:c r="W5" s="43" t="str">
        <x:v>5.097794715247517e-07</x:v>
      </x:c>
      <x:c r="X5" s="43" t="str">
        <x:v>4.458864027237497e-07</x:v>
      </x:c>
      <x:c r="Y5" s="43" t="str">
        <x:v>4.778329371242507e-07</x:v>
      </x:c>
      <x:c r="Z5" s="43" t="str">
        <x:v>3.2369369246110224e-07</x:v>
      </x:c>
      <x:c r="AA5" s="43" t="str">
        <x:v>4.5735168766047885e-07</x:v>
      </x:c>
      <x:c r="AB5" s="23" t="str">
        <x:v>Candidate surface form is directly representable in the public Ngram interface. Complete 1842–2022 unsmoothed series reused from the audited quantitative-v0.1 baseline.</x:v>
      </x:c>
    </x:row>
    <x:row r="6" ht="19" customHeight="1">
      <x:c r="A6" s="20" t="str">
        <x:v>FT-SEED-R1B-P-1842-05</x:v>
      </x:c>
      <x:c r="B6" s="22" t="str">
        <x:v>1842</x:v>
      </x:c>
      <x:c r="C6" s="22" t="str">
        <x:v>5</x:v>
      </x:c>
      <x:c r="D6" s="21" t="str">
        <x:v>minimum temperature</x:v>
      </x:c>
      <x:c r="E6" s="22" t="str">
        <x:v>temperature_threshold</x:v>
      </x:c>
      <x:c r="F6" s="21" t="str">
        <x:v>minimum temperature</x:v>
      </x:c>
      <x:c r="G6" s="22" t="str">
        <x:v>EXACT</x:v>
      </x:c>
      <x:c r="H6" s="21" t="str">
        <x:v>SUCCEEDED_REUSED_BASELINE</x:v>
      </x:c>
      <x:c r="I6" s="21" t="str">
        <x:v>FT-Q-V01-005</x:v>
      </x:c>
      <x:c r="J6" s="22" t="str">
        <x:v>1842</x:v>
      </x:c>
      <x:c r="K6" s="22" t="str">
        <x:v>2022</x:v>
      </x:c>
      <x:c r="L6" s="22" t="str">
        <x:v>1842</x:v>
      </x:c>
      <x:c r="M6" s="22" t="str">
        <x:v>181</x:v>
      </x:c>
      <x:c r="N6" s="22" t="str">
        <x:v>1985</x:v>
      </x:c>
      <x:c r="O6" s="43" t="str">
        <x:v>5.244083450678394e-07</x:v>
      </x:c>
      <x:c r="P6" s="43" t="str">
        <x:v>2.3348578032100775e-07</x:v>
      </x:c>
      <x:c r="Q6" s="43" t="str">
        <x:v>1.0500049639483588e-07</x:v>
      </x:c>
      <x:c r="R6" s="43" t="str">
        <x:v>7.300534160536998e-08</x:v>
      </x:c>
      <x:c r="S6" s="43" t="str">
        <x:v>2.3348578032100775e-07</x:v>
      </x:c>
      <x:c r="T6" s="43" t="str">
        <x:v>2.3348578032100775e-07</x:v>
      </x:c>
      <x:c r="U6" s="43" t="str">
        <x:v>4.1419229157568793e-07</x:v>
      </x:c>
      <x:c r="V6" s="43" t="str">
        <x:v>3.6552572839354536e-07</x:v>
      </x:c>
      <x:c r="W6" s="43" t="str">
        <x:v>2.5408856043490635e-07</x:v>
      </x:c>
      <x:c r="X6" s="43" t="str">
        <x:v>2.430921979997003e-07</x:v>
      </x:c>
      <x:c r="Y6" s="43" t="str">
        <x:v>2.485903792173033e-07</x:v>
      </x:c>
      <x:c r="Z6" s="43" t="str">
        <x:v>1.5458462648484939e-07</x:v>
      </x:c>
      <x:c r="AA6" s="43" t="str">
        <x:v>2.2186291173675876e-07</x:v>
      </x:c>
      <x:c r="AB6" s="23" t="str">
        <x:v>Candidate surface form is directly representable in the public Ngram interface. Complete 1842–2022 unsmoothed series reused from the audited quantitative-v0.1 baseline.</x:v>
      </x:c>
    </x:row>
    <x:row r="7" ht="19" customHeight="1">
      <x:c r="A7" s="20" t="str">
        <x:v>FT-SEED-R1B-P-1842-06</x:v>
      </x:c>
      <x:c r="B7" s="22" t="str">
        <x:v>1842</x:v>
      </x:c>
      <x:c r="C7" s="22" t="str">
        <x:v>6</x:v>
      </x:c>
      <x:c r="D7" s="21" t="str">
        <x:v>mean temperature of sea at surface</x:v>
      </x:c>
      <x:c r="E7" s="22" t="str">
        <x:v>temperature_threshold</x:v>
      </x:c>
      <x:c r="F7" s="21" t="str">
        <x:v>mean temperature of sea at surface</x:v>
      </x:c>
      <x:c r="G7" s="22" t="str">
        <x:v>EXACT</x:v>
      </x:c>
      <x:c r="H7" s="21" t="str">
        <x:v>ZERO_RESPONSE_REUSED_BASELINE</x:v>
      </x:c>
      <x:c r="I7" s="21" t="str">
        <x:v>FT-Q-V01-006</x:v>
      </x:c>
      <x:c r="J7" s="22" t="str">
        <x:v>1842</x:v>
      </x:c>
      <x:c r="K7" s="22" t="str">
        <x:v>2022</x:v>
      </x:c>
      <x:c r="L7" s="22" t="str"/>
      <x:c r="M7" s="22" t="str">
        <x:v>0</x:v>
      </x:c>
      <x:c r="N7" s="22" t="str"/>
      <x:c r="O7" s="43" t="str"/>
      <x:c r="P7" s="43" t="str"/>
      <x:c r="Q7" s="43" t="str"/>
      <x:c r="R7" s="43" t="str"/>
      <x:c r="S7" s="43" t="str"/>
      <x:c r="T7" s="43" t="str"/>
      <x:c r="U7" s="43" t="str"/>
      <x:c r="V7" s="43" t="str"/>
      <x:c r="W7" s="43" t="str"/>
      <x:c r="X7" s="43" t="str"/>
      <x:c r="Y7" s="43" t="str"/>
      <x:c r="Z7" s="43" t="str"/>
      <x:c r="AA7" s="43" t="str"/>
      <x:c r="AB7" s="23" t="str">
        <x:v>Candidate surface form is directly representable in the public Ngram interface. The audited executable rule returned an empty Ngram payload; retained as source/query zero-response evidence, not historical absence.</x:v>
      </x:c>
    </x:row>
    <x:row r="8" ht="19" customHeight="1">
      <x:c r="A8" s="20" t="str">
        <x:v>FT-SEED-R1B-P-1842-07</x:v>
      </x:c>
      <x:c r="B8" s="22" t="str">
        <x:v>1842</x:v>
      </x:c>
      <x:c r="C8" s="22" t="str">
        <x:v>7</x:v>
      </x:c>
      <x:c r="D8" s="21" t="str">
        <x:v>dew point</x:v>
      </x:c>
      <x:c r="E8" s="22" t="str">
        <x:v>temperature_threshold</x:v>
      </x:c>
      <x:c r="F8" s="21" t="str">
        <x:v>dew point</x:v>
      </x:c>
      <x:c r="G8" s="22" t="str">
        <x:v>EXACT</x:v>
      </x:c>
      <x:c r="H8" s="21" t="str">
        <x:v>SUCCEEDED_REUSED_BASELINE</x:v>
      </x:c>
      <x:c r="I8" s="21" t="str">
        <x:v>FT-Q-V01-007</x:v>
      </x:c>
      <x:c r="J8" s="22" t="str">
        <x:v>1842</x:v>
      </x:c>
      <x:c r="K8" s="22" t="str">
        <x:v>2022</x:v>
      </x:c>
      <x:c r="L8" s="22" t="str">
        <x:v>1842</x:v>
      </x:c>
      <x:c r="M8" s="22" t="str">
        <x:v>181</x:v>
      </x:c>
      <x:c r="N8" s="22" t="str">
        <x:v>1844</x:v>
      </x:c>
      <x:c r="O8" s="43" t="str">
        <x:v>1.2860426563676697e-06</x:v>
      </x:c>
      <x:c r="P8" s="43" t="str">
        <x:v>5.02445909766891e-07</x:v>
      </x:c>
      <x:c r="Q8" s="43" t="str">
        <x:v>6.271446773009615e-07</x:v>
      </x:c>
      <x:c r="R8" s="43" t="str">
        <x:v>4.5150026517504216e-07</x:v>
      </x:c>
      <x:c r="S8" s="43" t="str">
        <x:v>1.2860426563676697e-06</x:v>
      </x:c>
      <x:c r="T8" s="43" t="str">
        <x:v>5.02445909766891e-07</x:v>
      </x:c>
      <x:c r="U8" s="43" t="str">
        <x:v>5.571938874737725e-07</x:v>
      </x:c>
      <x:c r="V8" s="43" t="str">
        <x:v>3.645386200609724e-07</x:v>
      </x:c>
      <x:c r="W8" s="43" t="str">
        <x:v>2.918584796063328e-07</x:v>
      </x:c>
      <x:c r="X8" s="43" t="str">
        <x:v>2.695827225132619e-07</x:v>
      </x:c>
      <x:c r="Y8" s="43" t="str">
        <x:v>2.8072060105979735e-07</x:v>
      </x:c>
      <x:c r="Z8" s="43" t="str">
        <x:v>2.239375508326924e-07</x:v>
      </x:c>
      <x:c r="AA8" s="43" t="str">
        <x:v>2.2973760255284859e-07</x:v>
      </x:c>
      <x:c r="AB8" s="23" t="str">
        <x:v>Candidate surface form is directly representable in the public Ngram interface. Complete 1842–2022 unsmoothed series reused from the audited quantitative-v0.1 baseline.</x:v>
      </x:c>
    </x:row>
    <x:row r="9" ht="19" customHeight="1">
      <x:c r="A9" s="20" t="str">
        <x:v>FT-SEED-R1B-P-1842-08</x:v>
      </x:c>
      <x:c r="B9" s="22" t="str">
        <x:v>1842</x:v>
      </x:c>
      <x:c r="C9" s="22" t="str">
        <x:v>8</x:v>
      </x:c>
      <x:c r="D9" s="21" t="str">
        <x:v>standard thermometer</x:v>
      </x:c>
      <x:c r="E9" s="22" t="str">
        <x:v>temperature_threshold</x:v>
      </x:c>
      <x:c r="F9" s="21" t="str">
        <x:v>standard thermometer</x:v>
      </x:c>
      <x:c r="G9" s="22" t="str">
        <x:v>EXACT</x:v>
      </x:c>
      <x:c r="H9" s="21" t="str">
        <x:v>SUCCEEDED_REUSED_BASELINE</x:v>
      </x:c>
      <x:c r="I9" s="21" t="str">
        <x:v>FT-Q-V01-008</x:v>
      </x:c>
      <x:c r="J9" s="22" t="str">
        <x:v>1842</x:v>
      </x:c>
      <x:c r="K9" s="22" t="str">
        <x:v>2022</x:v>
      </x:c>
      <x:c r="L9" s="22" t="str">
        <x:v>1842</x:v>
      </x:c>
      <x:c r="M9" s="22" t="str">
        <x:v>181</x:v>
      </x:c>
      <x:c r="N9" s="22" t="str">
        <x:v>1875</x:v>
      </x:c>
      <x:c r="O9" s="43" t="str">
        <x:v>2.0496997077401602e-07</x:v>
      </x:c>
      <x:c r="P9" s="43" t="str">
        <x:v>8.384848482201335e-09</x:v>
      </x:c>
      <x:c r="Q9" s="43" t="str">
        <x:v>2.3637724833047713e-08</x:v>
      </x:c>
      <x:c r="R9" s="43" t="str">
        <x:v>2.430154905086468e-08</x:v>
      </x:c>
      <x:c r="S9" s="43" t="str">
        <x:v>3.756295274826016e-08</x:v>
      </x:c>
      <x:c r="T9" s="43" t="str">
        <x:v>8.384848482201335e-09</x:v>
      </x:c>
      <x:c r="U9" s="43" t="str">
        <x:v>3.5416282684330724e-08</x:v>
      </x:c>
      <x:c r="V9" s="43" t="str">
        <x:v>5.922642067751616e-09</x:v>
      </x:c>
      <x:c r="W9" s="43" t="str">
        <x:v>2.9758119579614828e-09</x:v>
      </x:c>
      <x:c r="X9" s="43" t="str">
        <x:v>4.857346223158254e-09</x:v>
      </x:c>
      <x:c r="Y9" s="43" t="str">
        <x:v>3.9165790905598685e-09</x:v>
      </x:c>
      <x:c r="Z9" s="43" t="str">
        <x:v>2.335115319856973e-09</x:v>
      </x:c>
      <x:c r="AA9" s="43" t="str">
        <x:v>2.6101517891508053e-09</x:v>
      </x:c>
      <x:c r="AB9" s="23" t="str">
        <x:v>Candidate surface form is directly representable in the public Ngram interface. Complete 1842–2022 unsmoothed series reused from the audited quantitative-v0.1 baseline.</x:v>
      </x:c>
    </x:row>
    <x:row r="10" ht="19" customHeight="1">
      <x:c r="A10" s="20" t="str">
        <x:v>FT-SEED-R1B-P-1842-09</x:v>
      </x:c>
      <x:c r="B10" s="22" t="str">
        <x:v>1842</x:v>
      </x:c>
      <x:c r="C10" s="22" t="str">
        <x:v>9</x:v>
      </x:c>
      <x:c r="D10" s="21" t="str">
        <x:v>attached thermometer</x:v>
      </x:c>
      <x:c r="E10" s="22" t="str">
        <x:v>temperature_threshold</x:v>
      </x:c>
      <x:c r="F10" s="21" t="str">
        <x:v>attached thermometer</x:v>
      </x:c>
      <x:c r="G10" s="22" t="str">
        <x:v>EXACT</x:v>
      </x:c>
      <x:c r="H10" s="21" t="str">
        <x:v>SUCCEEDED_REUSED_BASELINE</x:v>
      </x:c>
      <x:c r="I10" s="21" t="str">
        <x:v>FT-Q-V01-009</x:v>
      </x:c>
      <x:c r="J10" s="22" t="str">
        <x:v>1842</x:v>
      </x:c>
      <x:c r="K10" s="22" t="str">
        <x:v>2022</x:v>
      </x:c>
      <x:c r="L10" s="22" t="str">
        <x:v>1842</x:v>
      </x:c>
      <x:c r="M10" s="22" t="str">
        <x:v>181</x:v>
      </x:c>
      <x:c r="N10" s="22" t="str">
        <x:v>1844</x:v>
      </x:c>
      <x:c r="O10" s="43" t="str">
        <x:v>2.3284261124745242e-07</x:v>
      </x:c>
      <x:c r="P10" s="43" t="str">
        <x:v>6.901375293466572e-08</x:v>
      </x:c>
      <x:c r="Q10" s="43" t="str">
        <x:v>1.3605652200709972e-07</x:v>
      </x:c>
      <x:c r="R10" s="43" t="str">
        <x:v>1.2118486192314037e-07</x:v>
      </x:c>
      <x:c r="S10" s="43" t="str">
        <x:v>2.3284261124745242e-07</x:v>
      </x:c>
      <x:c r="T10" s="43" t="str">
        <x:v>6.901375293466572e-08</x:v>
      </x:c>
      <x:c r="U10" s="43" t="str">
        <x:v>6.23682937239689e-09</x:v>
      </x:c>
      <x:c r="V10" s="43" t="str">
        <x:v>1.085817696172553e-09</x:v>
      </x:c>
      <x:c r="W10" s="43" t="str">
        <x:v>1.2818882309806323e-09</x:v>
      </x:c>
      <x:c r="X10" s="43" t="str">
        <x:v>1.619115414658312e-09</x:v>
      </x:c>
      <x:c r="Y10" s="43" t="str">
        <x:v>1.4505018228194722e-09</x:v>
      </x:c>
      <x:c r="Z10" s="43" t="str">
        <x:v>6.538322626370441e-10</x:v>
      </x:c>
      <x:c r="AA10" s="43" t="str">
        <x:v>3.406469412103874e-09</x:v>
      </x:c>
      <x:c r="AB10" s="23" t="str">
        <x:v>Candidate surface form is directly representable in the public Ngram interface. Complete 1842–2022 unsmoothed series reused from the audited quantitative-v0.1 baseline.</x:v>
      </x:c>
    </x:row>
    <x:row r="11" ht="19" customHeight="1">
      <x:c r="A11" s="20" t="str">
        <x:v>FT-SEED-R1B-P-1842-10</x:v>
      </x:c>
      <x:c r="B11" s="22" t="str">
        <x:v>1842</x:v>
      </x:c>
      <x:c r="C11" s="22" t="str">
        <x:v>10</x:v>
      </x:c>
      <x:c r="D11" s="21" t="str">
        <x:v>dry bulb thermometer</x:v>
      </x:c>
      <x:c r="E11" s="22" t="str">
        <x:v>temperature_threshold</x:v>
      </x:c>
      <x:c r="F11" s="21" t="str">
        <x:v>dry bulb thermometer</x:v>
      </x:c>
      <x:c r="G11" s="22" t="str">
        <x:v>EXACT</x:v>
      </x:c>
      <x:c r="H11" s="21" t="str">
        <x:v>SUCCEEDED_REUSED_BASELINE</x:v>
      </x:c>
      <x:c r="I11" s="21" t="str">
        <x:v>FT-Q-V01-010</x:v>
      </x:c>
      <x:c r="J11" s="22" t="str">
        <x:v>1842</x:v>
      </x:c>
      <x:c r="K11" s="22" t="str">
        <x:v>2022</x:v>
      </x:c>
      <x:c r="L11" s="22" t="str">
        <x:v>1842</x:v>
      </x:c>
      <x:c r="M11" s="22" t="str">
        <x:v>181</x:v>
      </x:c>
      <x:c r="N11" s="22" t="str">
        <x:v>1869</x:v>
      </x:c>
      <x:c r="O11" s="43" t="str">
        <x:v>2.647877378469943e-07</x:v>
      </x:c>
      <x:c r="P11" s="43" t="str">
        <x:v>8.854272692815357e-08</x:v>
      </x:c>
      <x:c r="Q11" s="43" t="str">
        <x:v>4.692082165858036e-08</x:v>
      </x:c>
      <x:c r="R11" s="43" t="str">
        <x:v>4.5330674547372496e-08</x:v>
      </x:c>
      <x:c r="S11" s="43" t="str">
        <x:v>8.854272692815357e-08</x:v>
      </x:c>
      <x:c r="T11" s="43" t="str">
        <x:v>8.854272692815357e-08</x:v>
      </x:c>
      <x:c r="U11" s="43" t="str">
        <x:v>2.3591360809316342e-08</x:v>
      </x:c>
      <x:c r="V11" s="43" t="str">
        <x:v>5.081662771133644e-09</x:v>
      </x:c>
      <x:c r="W11" s="43" t="str">
        <x:v>4.013041593475819e-09</x:v>
      </x:c>
      <x:c r="X11" s="43" t="str">
        <x:v>4.081663229626997e-09</x:v>
      </x:c>
      <x:c r="Y11" s="43" t="str">
        <x:v>4.047352411551408e-09</x:v>
      </x:c>
      <x:c r="Z11" s="43" t="str">
        <x:v>3.149171701188891e-09</x:v>
      </x:c>
      <x:c r="AA11" s="43" t="str">
        <x:v>8.466447189159343e-09</x:v>
      </x:c>
      <x:c r="AB11" s="23" t="str">
        <x:v>Candidate surface form is directly representable in the public Ngram interface. Complete 1842–2022 unsmoothed series reused from the audited quantitative-v0.1 baseline.</x:v>
      </x:c>
    </x:row>
    <x:row r="12" ht="19" customHeight="1">
      <x:c r="A12" s="20" t="str">
        <x:v>FT-SEED-R1B-P-1842-11</x:v>
      </x:c>
      <x:c r="B12" s="22" t="str">
        <x:v>1842</x:v>
      </x:c>
      <x:c r="C12" s="22" t="str">
        <x:v>11</x:v>
      </x:c>
      <x:c r="D12" s="21" t="str">
        <x:v>wet bulb thermometer</x:v>
      </x:c>
      <x:c r="E12" s="22" t="str">
        <x:v>temperature_threshold</x:v>
      </x:c>
      <x:c r="F12" s="21" t="str">
        <x:v>wet bulb thermometer</x:v>
      </x:c>
      <x:c r="G12" s="22" t="str">
        <x:v>EXACT</x:v>
      </x:c>
      <x:c r="H12" s="21" t="str">
        <x:v>SUCCEEDED_REUSED_BASELINE</x:v>
      </x:c>
      <x:c r="I12" s="21" t="str">
        <x:v>FT-Q-V01-011</x:v>
      </x:c>
      <x:c r="J12" s="22" t="str">
        <x:v>1842</x:v>
      </x:c>
      <x:c r="K12" s="22" t="str">
        <x:v>2022</x:v>
      </x:c>
      <x:c r="L12" s="22" t="str">
        <x:v>1842</x:v>
      </x:c>
      <x:c r="M12" s="22" t="str">
        <x:v>181</x:v>
      </x:c>
      <x:c r="N12" s="22" t="str">
        <x:v>1869</x:v>
      </x:c>
      <x:c r="O12" s="43" t="str">
        <x:v>1.703290762877785e-07</x:v>
      </x:c>
      <x:c r="P12" s="43" t="str">
        <x:v>7.550155167734829e-09</x:v>
      </x:c>
      <x:c r="Q12" s="43" t="str">
        <x:v>5.215477506814725e-08</x:v>
      </x:c>
      <x:c r="R12" s="43" t="str">
        <x:v>2.7552694514820786e-08</x:v>
      </x:c>
      <x:c r="S12" s="43" t="str">
        <x:v>1.459635560752126e-07</x:v>
      </x:c>
      <x:c r="T12" s="43" t="str">
        <x:v>7.550155167734829e-09</x:v>
      </x:c>
      <x:c r="U12" s="43" t="str">
        <x:v>2.5791590863022407e-08</x:v>
      </x:c>
      <x:c r="V12" s="43" t="str">
        <x:v>5.406024211618288e-09</x:v>
      </x:c>
      <x:c r="W12" s="43" t="str">
        <x:v>5.350721948849113e-09</x:v>
      </x:c>
      <x:c r="X12" s="43" t="str">
        <x:v>4.421801869103348e-09</x:v>
      </x:c>
      <x:c r="Y12" s="43" t="str">
        <x:v>4.8862619089762305e-09</x:v>
      </x:c>
      <x:c r="Z12" s="43" t="str">
        <x:v>2.749276847846538e-09</x:v>
      </x:c>
      <x:c r="AA12" s="43" t="str">
        <x:v>7.142087012079745e-09</x:v>
      </x:c>
      <x:c r="AB12" s="23" t="str">
        <x:v>Candidate surface form is directly representable in the public Ngram interface. Complete 1842–2022 unsmoothed series reused from the audited quantitative-v0.1 baseline.</x:v>
      </x:c>
    </x:row>
    <x:row r="13" ht="19" customHeight="1">
      <x:c r="A13" s="20" t="str">
        <x:v>FT-SEED-R1B-P-1842-12</x:v>
      </x:c>
      <x:c r="B13" s="22" t="str">
        <x:v>1842</x:v>
      </x:c>
      <x:c r="C13" s="22" t="str">
        <x:v>12</x:v>
      </x:c>
      <x:c r="D13" s="21" t="str">
        <x:v>meteorological observations</x:v>
      </x:c>
      <x:c r="E13" s="22" t="str">
        <x:v>climate</x:v>
      </x:c>
      <x:c r="F13" s="21" t="str">
        <x:v>meteorological observations</x:v>
      </x:c>
      <x:c r="G13" s="22" t="str">
        <x:v>EXACT</x:v>
      </x:c>
      <x:c r="H13" s="21" t="str">
        <x:v>SUCCEEDED_REUSED_BASELINE</x:v>
      </x:c>
      <x:c r="I13" s="21" t="str">
        <x:v>FT-Q-V01-012</x:v>
      </x:c>
      <x:c r="J13" s="22" t="str">
        <x:v>1842</x:v>
      </x:c>
      <x:c r="K13" s="22" t="str">
        <x:v>2022</x:v>
      </x:c>
      <x:c r="L13" s="22" t="str">
        <x:v>1842</x:v>
      </x:c>
      <x:c r="M13" s="22" t="str">
        <x:v>181</x:v>
      </x:c>
      <x:c r="N13" s="22" t="str">
        <x:v>1875</x:v>
      </x:c>
      <x:c r="O13" s="43" t="str">
        <x:v>1.7900506604495714e-06</x:v>
      </x:c>
      <x:c r="P13" s="43" t="str">
        <x:v>9.468428674996865e-07</x:v>
      </x:c>
      <x:c r="Q13" s="43" t="str">
        <x:v>8.245251478522508e-07</x:v>
      </x:c>
      <x:c r="R13" s="43" t="str">
        <x:v>8.517944637687069e-07</x:v>
      </x:c>
      <x:c r="S13" s="43" t="str">
        <x:v>9.586065328193172e-07</x:v>
      </x:c>
      <x:c r="T13" s="43" t="str">
        <x:v>9.468428674996865e-07</x:v>
      </x:c>
      <x:c r="U13" s="43" t="str">
        <x:v>1.8487744402051476e-07</x:v>
      </x:c>
      <x:c r="V13" s="43" t="str">
        <x:v>1.3380235424839682e-07</x:v>
      </x:c>
      <x:c r="W13" s="43" t="str">
        <x:v>5.699824457902625e-08</x:v>
      </x:c>
      <x:c r="X13" s="43" t="str">
        <x:v>5.293608024148355e-08</x:v>
      </x:c>
      <x:c r="Y13" s="43" t="str">
        <x:v>5.49671624102549e-08</x:v>
      </x:c>
      <x:c r="Z13" s="43" t="str">
        <x:v>3.44663013546187e-08</x:v>
      </x:c>
      <x:c r="AA13" s="43" t="str">
        <x:v>6.520955656008631e-08</x:v>
      </x:c>
      <x:c r="AB13" s="23" t="str">
        <x:v>Candidate surface form is directly representable in the public Ngram interface. Complete 1842–2022 unsmoothed series reused from the audited quantitative-v0.1 baseline.</x:v>
      </x:c>
    </x:row>
    <x:row r="14" ht="19" customHeight="1">
      <x:c r="A14" s="20" t="str">
        <x:v>FT-SEED-R1B-P-1842-13</x:v>
      </x:c>
      <x:c r="B14" s="22" t="str">
        <x:v>1842</x:v>
      </x:c>
      <x:c r="C14" s="22" t="str">
        <x:v>13</x:v>
      </x:c>
      <x:c r="D14" s="21" t="str">
        <x:v>meteorological journal</x:v>
      </x:c>
      <x:c r="E14" s="22" t="str">
        <x:v>climate</x:v>
      </x:c>
      <x:c r="F14" s="21" t="str">
        <x:v>meteorological journal</x:v>
      </x:c>
      <x:c r="G14" s="22" t="str">
        <x:v>EXACT</x:v>
      </x:c>
      <x:c r="H14" s="21" t="str">
        <x:v>SUCCEEDED_REUSED_BASELINE</x:v>
      </x:c>
      <x:c r="I14" s="21" t="str">
        <x:v>FT-Q-V01-013</x:v>
      </x:c>
      <x:c r="J14" s="22" t="str">
        <x:v>1842</x:v>
      </x:c>
      <x:c r="K14" s="22" t="str">
        <x:v>2022</x:v>
      </x:c>
      <x:c r="L14" s="22" t="str">
        <x:v>1842</x:v>
      </x:c>
      <x:c r="M14" s="22" t="str">
        <x:v>181</x:v>
      </x:c>
      <x:c r="N14" s="22" t="str">
        <x:v>1842</x:v>
      </x:c>
      <x:c r="O14" s="43" t="str">
        <x:v>5.256654992402687e-07</x:v>
      </x:c>
      <x:c r="P14" s="43" t="str">
        <x:v>5.256654992402687e-07</x:v>
      </x:c>
      <x:c r="Q14" s="43" t="str">
        <x:v>2.929219990871479e-07</x:v>
      </x:c>
      <x:c r="R14" s="43" t="str">
        <x:v>2.548970942373163e-07</x:v>
      </x:c>
      <x:c r="S14" s="43" t="str">
        <x:v>5.256654992402687e-07</x:v>
      </x:c>
      <x:c r="T14" s="43" t="str">
        <x:v>5.256654992402687e-07</x:v>
      </x:c>
      <x:c r="U14" s="43" t="str">
        <x:v>4.900366015747615e-09</x:v>
      </x:c>
      <x:c r="V14" s="43" t="str">
        <x:v>2.023569350279031e-09</x:v>
      </x:c>
      <x:c r="W14" s="43" t="str">
        <x:v>2.4722130106957785e-09</x:v>
      </x:c>
      <x:c r="X14" s="43" t="str">
        <x:v>3.598034273299966e-09</x:v>
      </x:c>
      <x:c r="Y14" s="43" t="str">
        <x:v>3.0351236419978722e-09</x:v>
      </x:c>
      <x:c r="Z14" s="43" t="str">
        <x:v>3.7828867746614314e-09</x:v>
      </x:c>
      <x:c r="AA14" s="43" t="str">
        <x:v>2.964070766608984e-09</x:v>
      </x:c>
      <x:c r="AB14" s="23" t="str">
        <x:v>Candidate surface form is directly representable in the public Ngram interface. Complete 1842–2022 unsmoothed series reused from the audited quantitative-v0.1 baseline.</x:v>
      </x:c>
    </x:row>
    <x:row r="15" ht="19" customHeight="1">
      <x:c r="A15" s="20" t="str">
        <x:v>FT-SEED-R1B-P-1842-14</x:v>
      </x:c>
      <x:c r="B15" s="22" t="str">
        <x:v>1842</x:v>
      </x:c>
      <x:c r="C15" s="22" t="str">
        <x:v>14</x:v>
      </x:c>
      <x:c r="D15" s="21" t="str">
        <x:v>weather</x:v>
      </x:c>
      <x:c r="E15" s="22" t="str">
        <x:v>climate</x:v>
      </x:c>
      <x:c r="F15" s="21" t="str">
        <x:v>weather</x:v>
      </x:c>
      <x:c r="G15" s="22" t="str">
        <x:v>EXACT</x:v>
      </x:c>
      <x:c r="H15" s="21" t="str">
        <x:v>SUCCEEDED_REUSED_BASELINE</x:v>
      </x:c>
      <x:c r="I15" s="21" t="str">
        <x:v>FT-Q-V01-014</x:v>
      </x:c>
      <x:c r="J15" s="22" t="str">
        <x:v>1842</x:v>
      </x:c>
      <x:c r="K15" s="22" t="str">
        <x:v>2022</x:v>
      </x:c>
      <x:c r="L15" s="22" t="str">
        <x:v>1842</x:v>
      </x:c>
      <x:c r="M15" s="22" t="str">
        <x:v>181</x:v>
      </x:c>
      <x:c r="N15" s="22" t="str">
        <x:v>1928</x:v>
      </x:c>
      <x:c r="O15" s="43" t="str">
        <x:v>6.017915046766659e-05</x:v>
      </x:c>
      <x:c r="P15" s="43" t="str">
        <x:v>4.3293189150972466e-05</x:v>
      </x:c>
      <x:c r="Q15" s="43" t="str">
        <x:v>4.177567043939234e-05</x:v>
      </x:c>
      <x:c r="R15" s="43" t="str">
        <x:v>4.1445891866942475e-05</x:v>
      </x:c>
      <x:c r="S15" s="43" t="str">
        <x:v>4.3293189150972466e-05</x:v>
      </x:c>
      <x:c r="T15" s="43" t="str">
        <x:v>4.3293189150972466e-05</x:v>
      </x:c>
      <x:c r="U15" s="43" t="str">
        <x:v>5.426566421712353e-05</x:v>
      </x:c>
      <x:c r="V15" s="43" t="str">
        <x:v>2.997015501321476e-05</x:v>
      </x:c>
      <x:c r="W15" s="43" t="str">
        <x:v>2.8475663455110323e-05</x:v>
      </x:c>
      <x:c r="X15" s="43" t="str">
        <x:v>2.852544831488668e-05</x:v>
      </x:c>
      <x:c r="Y15" s="43" t="str">
        <x:v>2.8500555884998502e-05</x:v>
      </x:c>
      <x:c r="Z15" s="43" t="str">
        <x:v>3.181802008718482e-05</x:v>
      </x:c>
      <x:c r="AA15" s="43" t="str">
        <x:v>3.1858087396925694e-05</x:v>
      </x:c>
      <x:c r="AB15" s="23" t="str">
        <x:v>Candidate surface form is directly representable in the public Ngram interface. Complete 1842–2022 unsmoothed series reused from the audited quantitative-v0.1 baseline.</x:v>
      </x:c>
    </x:row>
    <x:row r="16" ht="19" customHeight="1">
      <x:c r="A16" s="20" t="str">
        <x:v>FT-SEED-R1B-P-1842-15</x:v>
      </x:c>
      <x:c r="B16" s="22" t="str">
        <x:v>1842</x:v>
      </x:c>
      <x:c r="C16" s="22" t="str">
        <x:v>15</x:v>
      </x:c>
      <x:c r="D16" s="21" t="str">
        <x:v>climate</x:v>
      </x:c>
      <x:c r="E16" s="22" t="str">
        <x:v>climate</x:v>
      </x:c>
      <x:c r="F16" s="21" t="str">
        <x:v>climate</x:v>
      </x:c>
      <x:c r="G16" s="22" t="str">
        <x:v>EXACT</x:v>
      </x:c>
      <x:c r="H16" s="21" t="str">
        <x:v>SUCCEEDED_REUSED_BASELINE</x:v>
      </x:c>
      <x:c r="I16" s="21" t="str">
        <x:v>FT-Q-V01-015</x:v>
      </x:c>
      <x:c r="J16" s="22" t="str">
        <x:v>1842</x:v>
      </x:c>
      <x:c r="K16" s="22" t="str">
        <x:v>2022</x:v>
      </x:c>
      <x:c r="L16" s="22" t="str">
        <x:v>1842</x:v>
      </x:c>
      <x:c r="M16" s="22" t="str">
        <x:v>181</x:v>
      </x:c>
      <x:c r="N16" s="22" t="str">
        <x:v>2022</x:v>
      </x:c>
      <x:c r="O16" s="43" t="str">
        <x:v>6.484931783038578e-05</x:v>
      </x:c>
      <x:c r="P16" s="43" t="str">
        <x:v>3.055828983633546e-05</x:v>
      </x:c>
      <x:c r="Q16" s="43" t="str">
        <x:v>2.7172661063445958e-05</x:v>
      </x:c>
      <x:c r="R16" s="43" t="str">
        <x:v>2.628997900444574e-05</x:v>
      </x:c>
      <x:c r="S16" s="43" t="str">
        <x:v>3.055828983633546e-05</x:v>
      </x:c>
      <x:c r="T16" s="43" t="str">
        <x:v>3.055828983633546e-05</x:v>
      </x:c>
      <x:c r="U16" s="43" t="str">
        <x:v>1.1961277641442392e-05</x:v>
      </x:c>
      <x:c r="V16" s="43" t="str">
        <x:v>2.184559476219039e-05</x:v>
      </x:c>
      <x:c r="W16" s="43" t="str">
        <x:v>3.0835951945605566e-05</x:v>
      </x:c>
      <x:c r="X16" s="43" t="str">
        <x:v>3.638060761700784e-05</x:v>
      </x:c>
      <x:c r="Y16" s="43" t="str">
        <x:v>3.3608279781306705e-05</x:v>
      </x:c>
      <x:c r="Z16" s="43" t="str">
        <x:v>4.357352890455024e-05</x:v>
      </x:c>
      <x:c r="AA16" s="43" t="str">
        <x:v>6.484931783038578e-05</x:v>
      </x:c>
      <x:c r="AB16" s="23" t="str">
        <x:v>Candidate surface form is directly representable in the public Ngram interface. Complete 1842–2022 unsmoothed series reused from the audited quantitative-v0.1 baseline.</x:v>
      </x:c>
    </x:row>
    <x:row r="17" ht="19" customHeight="1">
      <x:c r="A17" s="20" t="str">
        <x:v>FT-SEED-R1B-P-1842-16</x:v>
      </x:c>
      <x:c r="B17" s="22" t="str">
        <x:v>1842</x:v>
      </x:c>
      <x:c r="C17" s="22" t="str">
        <x:v>16</x:v>
      </x:c>
      <x:c r="D17" s="21" t="str">
        <x:v>sun's heat</x:v>
      </x:c>
      <x:c r="E17" s="22" t="str">
        <x:v>heat</x:v>
      </x:c>
      <x:c r="F17" s="21" t="str">
        <x:v>sun's heat</x:v>
      </x:c>
      <x:c r="G17" s="22" t="str">
        <x:v>EXACT</x:v>
      </x:c>
      <x:c r="H17" s="21" t="str">
        <x:v>ZERO_RESPONSE_REUSED_BASELINE</x:v>
      </x:c>
      <x:c r="I17" s="21" t="str">
        <x:v>FT-Q-V01-016</x:v>
      </x:c>
      <x:c r="J17" s="22" t="str">
        <x:v>1842</x:v>
      </x:c>
      <x:c r="K17" s="22" t="str">
        <x:v>2022</x:v>
      </x:c>
      <x:c r="L17" s="22" t="str"/>
      <x:c r="M17" s="22" t="str">
        <x:v>0</x:v>
      </x:c>
      <x:c r="N17" s="22" t="str"/>
      <x:c r="O17" s="43" t="str"/>
      <x:c r="P17" s="43" t="str"/>
      <x:c r="Q17" s="43" t="str"/>
      <x:c r="R17" s="43" t="str"/>
      <x:c r="S17" s="43" t="str"/>
      <x:c r="T17" s="43" t="str"/>
      <x:c r="U17" s="43" t="str"/>
      <x:c r="V17" s="43" t="str"/>
      <x:c r="W17" s="43" t="str"/>
      <x:c r="X17" s="43" t="str"/>
      <x:c r="Y17" s="43" t="str"/>
      <x:c r="Z17" s="43" t="str"/>
      <x:c r="AA17" s="43" t="str"/>
      <x:c r="AB17" s="23" t="str">
        <x:v>Candidate surface form is directly representable in the public Ngram interface. The audited executable rule returned an empty Ngram payload; retained as source/query zero-response evidence, not historical absence.</x:v>
      </x:c>
    </x:row>
    <x:row r="18" ht="19" customHeight="1">
      <x:c r="A18" s="20" t="str">
        <x:v>FT-SEED-R1B-P-1842-17</x:v>
      </x:c>
      <x:c r="B18" s="22" t="str">
        <x:v>1842</x:v>
      </x:c>
      <x:c r="C18" s="22" t="str">
        <x:v>17</x:v>
      </x:c>
      <x:c r="D18" s="21" t="str">
        <x:v>radiation of the heat</x:v>
      </x:c>
      <x:c r="E18" s="22" t="str">
        <x:v>heat</x:v>
      </x:c>
      <x:c r="F18" s="21" t="str">
        <x:v>radiation of the heat</x:v>
      </x:c>
      <x:c r="G18" s="22" t="str">
        <x:v>EXACT</x:v>
      </x:c>
      <x:c r="H18" s="21" t="str">
        <x:v>SUCCEEDED_REUSED_BASELINE</x:v>
      </x:c>
      <x:c r="I18" s="21" t="str">
        <x:v>FT-Q-V01-017</x:v>
      </x:c>
      <x:c r="J18" s="22" t="str">
        <x:v>1842</x:v>
      </x:c>
      <x:c r="K18" s="22" t="str">
        <x:v>2022</x:v>
      </x:c>
      <x:c r="L18" s="22" t="str">
        <x:v>1842</x:v>
      </x:c>
      <x:c r="M18" s="22" t="str">
        <x:v>180</x:v>
      </x:c>
      <x:c r="N18" s="22" t="str">
        <x:v>1850</x:v>
      </x:c>
      <x:c r="O18" s="43" t="str">
        <x:v>2.7596689378128758e-08</x:v>
      </x:c>
      <x:c r="P18" s="43" t="str">
        <x:v>5.867545560533927e-09</x:v>
      </x:c>
      <x:c r="Q18" s="43" t="str">
        <x:v>6.7355773181176914e-09</x:v>
      </x:c>
      <x:c r="R18" s="43" t="str">
        <x:v>5.5216926586609816e-09</x:v>
      </x:c>
      <x:c r="S18" s="43" t="str">
        <x:v>1.151023809597973e-08</x:v>
      </x:c>
      <x:c r="T18" s="43" t="str">
        <x:v>5.867545560533927e-09</x:v>
      </x:c>
      <x:c r="U18" s="43" t="str">
        <x:v>2.7089259446722025e-09</x:v>
      </x:c>
      <x:c r="V18" s="43" t="str">
        <x:v>1.792699877434245e-10</x:v>
      </x:c>
      <x:c r="W18" s="43" t="str">
        <x:v>4.3183473463770383e-10</x:v>
      </x:c>
      <x:c r="X18" s="43" t="str">
        <x:v>7.925886058579579e-10</x:v>
      </x:c>
      <x:c r="Y18" s="43" t="str">
        <x:v>6.122116702478309e-10</x:v>
      </x:c>
      <x:c r="Z18" s="43" t="str">
        <x:v>4.301466960399125e-10</x:v>
      </x:c>
      <x:c r="AA18" s="43" t="str">
        <x:v>5.081168263920688e-10</x:v>
      </x:c>
      <x:c r="AB18" s="23" t="str">
        <x:v>Candidate surface form is directly representable in the public Ngram interface. Complete 1842–2022 unsmoothed series reused from the audited quantitative-v0.1 baseline.</x:v>
      </x:c>
    </x:row>
    <x:row r="19" ht="19" customHeight="1">
      <x:c r="A19" s="20" t="str">
        <x:v>FT-SEED-R1B-P-1842-18</x:v>
      </x:c>
      <x:c r="B19" s="22" t="str">
        <x:v>1842</x:v>
      </x:c>
      <x:c r="C19" s="22" t="str">
        <x:v>18</x:v>
      </x:c>
      <x:c r="D19" s="21" t="str">
        <x:v>changes of temperature</x:v>
      </x:c>
      <x:c r="E19" s="22" t="str">
        <x:v>temperature_threshold</x:v>
      </x:c>
      <x:c r="F19" s="21" t="str">
        <x:v>changes of temperature</x:v>
      </x:c>
      <x:c r="G19" s="22" t="str">
        <x:v>EXACT</x:v>
      </x:c>
      <x:c r="H19" s="21" t="str">
        <x:v>SUCCEEDED_REUSED_BASELINE</x:v>
      </x:c>
      <x:c r="I19" s="21" t="str">
        <x:v>FT-Q-V01-018</x:v>
      </x:c>
      <x:c r="J19" s="22" t="str">
        <x:v>1842</x:v>
      </x:c>
      <x:c r="K19" s="22" t="str">
        <x:v>2022</x:v>
      </x:c>
      <x:c r="L19" s="22" t="str">
        <x:v>1842</x:v>
      </x:c>
      <x:c r="M19" s="22" t="str">
        <x:v>181</x:v>
      </x:c>
      <x:c r="N19" s="22" t="str">
        <x:v>1884</x:v>
      </x:c>
      <x:c r="O19" s="43" t="str">
        <x:v>9.022425947469159e-07</x:v>
      </x:c>
      <x:c r="P19" s="43" t="str">
        <x:v>6.602953730450167e-07</x:v>
      </x:c>
      <x:c r="Q19" s="43" t="str">
        <x:v>4.767976034547594e-07</x:v>
      </x:c>
      <x:c r="R19" s="43" t="str">
        <x:v>4.4175014768388365e-07</x:v>
      </x:c>
      <x:c r="S19" s="43" t="str">
        <x:v>6.602953730450167e-07</x:v>
      </x:c>
      <x:c r="T19" s="43" t="str">
        <x:v>6.602953730450167e-07</x:v>
      </x:c>
      <x:c r="U19" s="43" t="str">
        <x:v>2.283350331311329e-07</x:v>
      </x:c>
      <x:c r="V19" s="43" t="str">
        <x:v>3.962615856278884e-08</x:v>
      </x:c>
      <x:c r="W19" s="43" t="str">
        <x:v>2.7546310669979146e-08</x:v>
      </x:c>
      <x:c r="X19" s="43" t="str">
        <x:v>4.290605436219064e-08</x:v>
      </x:c>
      <x:c r="Y19" s="43" t="str">
        <x:v>3.522618251608489e-08</x:v>
      </x:c>
      <x:c r="Z19" s="43" t="str">
        <x:v>2.9892137941994745e-08</x:v>
      </x:c>
      <x:c r="AA19" s="43" t="str">
        <x:v>6.394769389017618e-08</x:v>
      </x:c>
      <x:c r="AB19" s="23" t="str">
        <x:v>Candidate surface form is directly representable in the public Ngram interface. Complete 1842–2022 unsmoothed series reused from the audited quantitative-v0.1 baseline.</x:v>
      </x:c>
    </x:row>
    <x:row r="20" ht="19" customHeight="1">
      <x:c r="A20" s="20" t="str">
        <x:v>FT-SEED-R1B-P-1842-19</x:v>
      </x:c>
      <x:c r="B20" s="22" t="str">
        <x:v>1842</x:v>
      </x:c>
      <x:c r="C20" s="22" t="str">
        <x:v>19</x:v>
      </x:c>
      <x:c r="D20" s="21" t="str">
        <x:v>excessive heat</x:v>
      </x:c>
      <x:c r="E20" s="22" t="str">
        <x:v>heat</x:v>
      </x:c>
      <x:c r="F20" s="21" t="str">
        <x:v>excessive heat</x:v>
      </x:c>
      <x:c r="G20" s="22" t="str">
        <x:v>EXACT</x:v>
      </x:c>
      <x:c r="H20" s="21" t="str">
        <x:v>SUCCEEDED_REUSED_BASELINE</x:v>
      </x:c>
      <x:c r="I20" s="21" t="str">
        <x:v>FT-Q-V01-019</x:v>
      </x:c>
      <x:c r="J20" s="22" t="str">
        <x:v>1842</x:v>
      </x:c>
      <x:c r="K20" s="22" t="str">
        <x:v>2022</x:v>
      </x:c>
      <x:c r="L20" s="22" t="str">
        <x:v>1842</x:v>
      </x:c>
      <x:c r="M20" s="22" t="str">
        <x:v>181</x:v>
      </x:c>
      <x:c r="N20" s="22" t="str">
        <x:v>1842</x:v>
      </x:c>
      <x:c r="O20" s="43" t="str">
        <x:v>4.7277645354171227e-07</x:v>
      </x:c>
      <x:c r="P20" s="43" t="str">
        <x:v>4.7277645354171227e-07</x:v>
      </x:c>
      <x:c r="Q20" s="43" t="str">
        <x:v>4.305090330891659e-07</x:v>
      </x:c>
      <x:c r="R20" s="43" t="str">
        <x:v>4.404261579882274e-07</x:v>
      </x:c>
      <x:c r="S20" s="43" t="str">
        <x:v>4.7277645354171227e-07</x:v>
      </x:c>
      <x:c r="T20" s="43" t="str">
        <x:v>4.7277645354171227e-07</x:v>
      </x:c>
      <x:c r="U20" s="43" t="str">
        <x:v>4.2042911316264586e-07</x:v>
      </x:c>
      <x:c r="V20" s="43" t="str">
        <x:v>1.9194294957614044e-07</x:v>
      </x:c>
      <x:c r="W20" s="43" t="str">
        <x:v>1.719103683017753e-07</x:v>
      </x:c>
      <x:c r="X20" s="43" t="str">
        <x:v>1.945187375618218e-07</x:v>
      </x:c>
      <x:c r="Y20" s="43" t="str">
        <x:v>1.8321455293179856e-07</x:v>
      </x:c>
      <x:c r="Z20" s="43" t="str">
        <x:v>1.5280994641875267e-07</x:v>
      </x:c>
      <x:c r="AA20" s="43" t="str">
        <x:v>1.6687275639082344e-07</x:v>
      </x:c>
      <x:c r="AB20" s="23" t="str">
        <x:v>Candidate surface form is directly representable in the public Ngram interface. Complete 1842–2022 unsmoothed series reused from the audited quantitative-v0.1 baseline.</x:v>
      </x:c>
    </x:row>
    <x:row r="21" ht="19" customHeight="1">
      <x:c r="A21" s="20" t="str">
        <x:v>FT-SEED-R1B-P-1842-20</x:v>
      </x:c>
      <x:c r="B21" s="22" t="str">
        <x:v>1842</x:v>
      </x:c>
      <x:c r="C21" s="22" t="str">
        <x:v>20</x:v>
      </x:c>
      <x:c r="D21" s="21" t="str">
        <x:v>heat of the men</x:v>
      </x:c>
      <x:c r="E21" s="22" t="str">
        <x:v>heat</x:v>
      </x:c>
      <x:c r="F21" s="21" t="str">
        <x:v>heat of the men</x:v>
      </x:c>
      <x:c r="G21" s="22" t="str">
        <x:v>EXACT</x:v>
      </x:c>
      <x:c r="H21" s="21" t="str">
        <x:v>SUCCEEDED_REUSED_BASELINE</x:v>
      </x:c>
      <x:c r="I21" s="21" t="str">
        <x:v>FT-Q-V01-020</x:v>
      </x:c>
      <x:c r="J21" s="22" t="str">
        <x:v>1842</x:v>
      </x:c>
      <x:c r="K21" s="22" t="str">
        <x:v>2022</x:v>
      </x:c>
      <x:c r="L21" s="22" t="str">
        <x:v>1842</x:v>
      </x:c>
      <x:c r="M21" s="22" t="str">
        <x:v>88</x:v>
      </x:c>
      <x:c r="N21" s="22" t="str">
        <x:v>1864</x:v>
      </x:c>
      <x:c r="O21" s="43" t="str">
        <x:v>7.825550873974407e-09</x:v>
      </x:c>
      <x:c r="P21" s="43" t="str">
        <x:v>7.334431950667408e-10</x:v>
      </x:c>
      <x:c r="Q21" s="43" t="str">
        <x:v>2.6111680595519715e-09</x:v>
      </x:c>
      <x:c r="R21" s="43" t="str">
        <x:v>2.6612715919860364e-09</x:v>
      </x:c>
      <x:c r="S21" s="43" t="str">
        <x:v>4.3886858591690725e-09</x:v>
      </x:c>
      <x:c r="T21" s="43" t="str">
        <x:v>7.334431950667408e-10</x:v>
      </x:c>
      <x:c r="U21" s="43" t="str">
        <x:v>0.0</x:v>
      </x:c>
      <x:c r="V21" s="43" t="str">
        <x:v>5.975666489410614e-11</x:v>
      </x:c>
      <x:c r="W21" s="43" t="str">
        <x:v>5.397934182971298e-11</x:v>
      </x:c>
      <x:c r="X21" s="43" t="str">
        <x:v>1.585177267227067e-10</x:v>
      </x:c>
      <x:c r="Y21" s="43" t="str">
        <x:v>1.0624853427620984e-10</x:v>
      </x:c>
      <x:c r="Z21" s="43" t="str">
        <x:v>1.613050110149672e-10</x:v>
      </x:c>
      <x:c r="AA21" s="43" t="str">
        <x:v>1.524350368153904e-10</x:v>
      </x:c>
      <x:c r="AB21" s="23" t="str">
        <x:v>Candidate surface form is directly representable in the public Ngram interface. Complete 1842–2022 unsmoothed series reused from the audited quantitative-v0.1 baseline.</x:v>
      </x:c>
    </x:row>
    <x:row r="22" ht="19" customHeight="1">
      <x:c r="A22" s="20" t="str">
        <x:v>FT-SEED-R1B-P-1842-21</x:v>
      </x:c>
      <x:c r="B22" s="22" t="str">
        <x:v>1842</x:v>
      </x:c>
      <x:c r="C22" s="22" t="str">
        <x:v>21</x:v>
      </x:c>
      <x:c r="D22" s="21" t="str">
        <x:v>heat of the irons</x:v>
      </x:c>
      <x:c r="E22" s="22" t="str">
        <x:v>heat</x:v>
      </x:c>
      <x:c r="F22" s="21" t="str">
        <x:v>heat of the irons</x:v>
      </x:c>
      <x:c r="G22" s="22" t="str">
        <x:v>EXACT</x:v>
      </x:c>
      <x:c r="H22" s="21" t="str">
        <x:v>SUCCEEDED_REUSED_BASELINE</x:v>
      </x:c>
      <x:c r="I22" s="21" t="str">
        <x:v>FT-Q-V01-138</x:v>
      </x:c>
      <x:c r="J22" s="22" t="str">
        <x:v>1842</x:v>
      </x:c>
      <x:c r="K22" s="22" t="str">
        <x:v>2022</x:v>
      </x:c>
      <x:c r="L22" s="22" t="str">
        <x:v>1842</x:v>
      </x:c>
      <x:c r="M22" s="22" t="str">
        <x:v>108</x:v>
      </x:c>
      <x:c r="N22" s="22" t="str">
        <x:v>1843</x:v>
      </x:c>
      <x:c r="O22" s="43" t="str">
        <x:v>6.583029232842819e-09</x:v>
      </x:c>
      <x:c r="P22" s="43" t="str">
        <x:v>1.4668863901334817e-09</x:v>
      </x:c>
      <x:c r="Q22" s="43" t="str">
        <x:v>4.098238637340046e-09</x:v>
      </x:c>
      <x:c r="R22" s="43" t="str">
        <x:v>4.171519463191942e-09</x:v>
      </x:c>
      <x:c r="S22" s="43" t="str">
        <x:v>6.583029232842819e-09</x:v>
      </x:c>
      <x:c r="T22" s="43" t="str">
        <x:v>1.4668863901334817e-09</x:v>
      </x:c>
      <x:c r="U22" s="43" t="str">
        <x:v>1.3544629307027378e-10</x:v>
      </x:c>
      <x:c r="V22" s="43" t="str">
        <x:v>5.975666489410614e-11</x:v>
      </x:c>
      <x:c r="W22" s="43" t="str">
        <x:v>0.0</x:v>
      </x:c>
      <x:c r="X22" s="43" t="str">
        <x:v>0.0</x:v>
      </x:c>
      <x:c r="Y22" s="43" t="str">
        <x:v>0.0</x:v>
      </x:c>
      <x:c r="Z22" s="43" t="str">
        <x:v>1.0753667400997813e-10</x:v>
      </x:c>
      <x:c r="AA22" s="43" t="str">
        <x:v>1.016233625028562e-10</x:v>
      </x:c>
      <x:c r="AB22" s="23" t="str">
        <x:v>Candidate surface form is directly representable in the public Ngram interface. Complete 1842–2022 unsmoothed series reused from the audited quantitative-v0.1 baseline.</x:v>
      </x:c>
    </x:row>
    <x:row r="23" ht="19" customHeight="1">
      <x:c r="A23" s="20" t="str">
        <x:v>FT-SEED-R1B-P-1842-22</x:v>
      </x:c>
      <x:c r="B23" s="22" t="str">
        <x:v>1842</x:v>
      </x:c>
      <x:c r="C23" s="22" t="str">
        <x:v>22</x:v>
      </x:c>
      <x:c r="D23" s="21" t="str">
        <x:v>most suffocating</x:v>
      </x:c>
      <x:c r="E23" s="22" t="str">
        <x:v>harm_loss_consequences</x:v>
      </x:c>
      <x:c r="F23" s="21" t="str">
        <x:v>most suffocating</x:v>
      </x:c>
      <x:c r="G23" s="22" t="str">
        <x:v>EXACT</x:v>
      </x:c>
      <x:c r="H23" s="21" t="str">
        <x:v>SUCCEEDED_NEW</x:v>
      </x:c>
      <x:c r="I23" s="21" t="str">
        <x:v>FT-Q-P180-FC9FF7E38391</x:v>
      </x:c>
      <x:c r="J23" s="22" t="str">
        <x:v>1842</x:v>
      </x:c>
      <x:c r="K23" s="22" t="str">
        <x:v>2022</x:v>
      </x:c>
      <x:c r="L23" s="22" t="str">
        <x:v>1842</x:v>
      </x:c>
      <x:c r="M23" s="22" t="str">
        <x:v>179</x:v>
      </x:c>
      <x:c r="N23" s="22" t="str">
        <x:v>1842</x:v>
      </x:c>
      <x:c r="O23" s="43" t="str">
        <x:v>1.6769696742358065e-08</x:v>
      </x:c>
      <x:c r="P23" s="43" t="str">
        <x:v>1.6769696742358065e-08</x:v>
      </x:c>
      <x:c r="Q23" s="43" t="str">
        <x:v>1.1918405373734231e-08</x:v>
      </x:c>
      <x:c r="R23" s="43" t="str">
        <x:v>1.1194827731486612e-08</x:v>
      </x:c>
      <x:c r="S23" s="43" t="str">
        <x:v>1.6769696742358065e-08</x:v>
      </x:c>
      <x:c r="T23" s="43" t="str">
        <x:v>1.6769696742358065e-08</x:v>
      </x:c>
      <x:c r="U23" s="43" t="str">
        <x:v>3.341158461012128e-10</x:v>
      </x:c>
      <x:c r="V23" s="43" t="str">
        <x:v>6.909748884176281e-10</x:v>
      </x:c>
      <x:c r="W23" s="43" t="str">
        <x:v>9.156344571437103e-10</x:v>
      </x:c>
      <x:c r="X23" s="43" t="str">
        <x:v>8.095577541666898e-10</x:v>
      </x:c>
      <x:c r="Y23" s="43" t="str">
        <x:v>8.625961056552001e-10</x:v>
      </x:c>
      <x:c r="Z23" s="43" t="str">
        <x:v>1.6812830017087776e-09</x:v>
      </x:c>
      <x:c r="AA23" s="43" t="str">
        <x:v>1.946554029075287e-09</x:v>
      </x:c>
      <x:c r="AB23" s="23" t="str">
        <x:v>Candidate surface form is directly representable in the public Ngram interface. New unsmoothed 1842–2022 series retrieved for the candidate audit.</x:v>
      </x:c>
    </x:row>
    <x:row r="24" ht="19" customHeight="1">
      <x:c r="A24" s="20" t="str">
        <x:v>FT-SEED-R1B-P-1842-23</x:v>
      </x:c>
      <x:c r="B24" s="22" t="str">
        <x:v>1842</x:v>
      </x:c>
      <x:c r="C24" s="22" t="str">
        <x:v>23</x:v>
      </x:c>
      <x:c r="D24" s="21" t="str">
        <x:v>faint away</x:v>
      </x:c>
      <x:c r="E24" s="22" t="str">
        <x:v>harm_loss_consequences</x:v>
      </x:c>
      <x:c r="F24" s="21" t="str">
        <x:v>faint away</x:v>
      </x:c>
      <x:c r="G24" s="22" t="str">
        <x:v>EXACT</x:v>
      </x:c>
      <x:c r="H24" s="21" t="str">
        <x:v>SUCCEEDED_NEW</x:v>
      </x:c>
      <x:c r="I24" s="21" t="str">
        <x:v>FT-Q-P180-C155052E7DB4</x:v>
      </x:c>
      <x:c r="J24" s="22" t="str">
        <x:v>1842</x:v>
      </x:c>
      <x:c r="K24" s="22" t="str">
        <x:v>2022</x:v>
      </x:c>
      <x:c r="L24" s="22" t="str">
        <x:v>1842</x:v>
      </x:c>
      <x:c r="M24" s="22" t="str">
        <x:v>181</x:v>
      </x:c>
      <x:c r="N24" s="22" t="str">
        <x:v>1854</x:v>
      </x:c>
      <x:c r="O24" s="43" t="str">
        <x:v>1.1952927536640345e-07</x:v>
      </x:c>
      <x:c r="P24" s="43" t="str">
        <x:v>7.030372728422662e-08</x:v>
      </x:c>
      <x:c r="Q24" s="43" t="str">
        <x:v>7.127352741331805e-08</x:v>
      </x:c>
      <x:c r="R24" s="43" t="str">
        <x:v>7.08353000700157e-08</x:v>
      </x:c>
      <x:c r="S24" s="43" t="str">
        <x:v>8.482530233777652e-08</x:v>
      </x:c>
      <x:c r="T24" s="43" t="str">
        <x:v>7.030372728422662e-08</x:v>
      </x:c>
      <x:c r="U24" s="43" t="str">
        <x:v>8.798383951957867e-09</x:v>
      </x:c>
      <x:c r="V24" s="43" t="str">
        <x:v>6.317484639584148e-09</x:v>
      </x:c>
      <x:c r="W24" s="43" t="str">
        <x:v>7.55398378224359e-09</x:v>
      </x:c>
      <x:c r="X24" s="43" t="str">
        <x:v>8.63528241273892e-09</x:v>
      </x:c>
      <x:c r="Y24" s="43" t="str">
        <x:v>8.094633097491255e-09</x:v>
      </x:c>
      <x:c r="Z24" s="43" t="str">
        <x:v>1.204919449979136e-08</x:v>
      </x:c>
      <x:c r="AA24" s="43" t="str">
        <x:v>2.092545509091437e-08</x:v>
      </x:c>
      <x:c r="AB24" s="23" t="str">
        <x:v>Candidate surface form is directly representable in the public Ngram interface. New unsmoothed 1842–2022 series retrieved for the candidate audit.</x:v>
      </x:c>
    </x:row>
    <x:row r="25" ht="19" customHeight="1">
      <x:c r="A25" s="20" t="str">
        <x:v>FT-SEED-R1B-P-1842-24</x:v>
      </x:c>
      <x:c r="B25" s="22" t="str">
        <x:v>1842</x:v>
      </x:c>
      <x:c r="C25" s="22" t="str">
        <x:v>24</x:v>
      </x:c>
      <x:c r="D25" s="21" t="str">
        <x:v>perspiration</x:v>
      </x:c>
      <x:c r="E25" s="22" t="str">
        <x:v>harm_loss_consequences</x:v>
      </x:c>
      <x:c r="F25" s="21" t="str">
        <x:v>perspiration</x:v>
      </x:c>
      <x:c r="G25" s="22" t="str">
        <x:v>EXACT</x:v>
      </x:c>
      <x:c r="H25" s="21" t="str">
        <x:v>SUCCEEDED_NEW</x:v>
      </x:c>
      <x:c r="I25" s="21" t="str">
        <x:v>FT-Q-P180-EC2B3513EBA6</x:v>
      </x:c>
      <x:c r="J25" s="22" t="str">
        <x:v>1842</x:v>
      </x:c>
      <x:c r="K25" s="22" t="str">
        <x:v>2022</x:v>
      </x:c>
      <x:c r="L25" s="22" t="str">
        <x:v>1842</x:v>
      </x:c>
      <x:c r="M25" s="22" t="str">
        <x:v>181</x:v>
      </x:c>
      <x:c r="N25" s="22" t="str">
        <x:v>1850</x:v>
      </x:c>
      <x:c r="O25" s="43" t="str">
        <x:v>3.977690766987507e-06</x:v>
      </x:c>
      <x:c r="P25" s="43" t="str">
        <x:v>3.651665382520264e-06</x:v>
      </x:c>
      <x:c r="Q25" s="43" t="str">
        <x:v>3.703881898964312e-06</x:v>
      </x:c>
      <x:c r="R25" s="43" t="str">
        <x:v>3.6991450818035787e-06</x:v>
      </x:c>
      <x:c r="S25" s="43" t="str">
        <x:v>3.766906244706547e-06</x:v>
      </x:c>
      <x:c r="T25" s="43" t="str">
        <x:v>3.651665382520264e-06</x:v>
      </x:c>
      <x:c r="U25" s="43" t="str">
        <x:v>1.4390068940883793e-06</x:v>
      </x:c>
      <x:c r="V25" s="43" t="str">
        <x:v>5.707714505476247e-07</x:v>
      </x:c>
      <x:c r="W25" s="43" t="str">
        <x:v>8.519079073288083e-07</x:v>
      </x:c>
      <x:c r="X25" s="43" t="str">
        <x:v>9.215165865938957e-07</x:v>
      </x:c>
      <x:c r="Y25" s="43" t="str">
        <x:v>8.86712246961352e-07</x:v>
      </x:c>
      <x:c r="Z25" s="43" t="str">
        <x:v>1.4593866786150045e-06</x:v>
      </x:c>
      <x:c r="AA25" s="43" t="str">
        <x:v>1.4236373244713718e-06</x:v>
      </x:c>
      <x:c r="AB25" s="23" t="str">
        <x:v>Candidate surface form is directly representable in the public Ngram interface. New unsmoothed 1842–2022 series retrieved for the candidate audit.</x:v>
      </x:c>
    </x:row>
    <x:row r="26" ht="19" customHeight="1">
      <x:c r="A26" s="20" t="str">
        <x:v>FT-SEED-R1B-P-1842-25</x:v>
      </x:c>
      <x:c r="B26" s="22" t="str">
        <x:v>1842</x:v>
      </x:c>
      <x:c r="C26" s="22" t="str">
        <x:v>25</x:v>
      </x:c>
      <x:c r="D26" s="21" t="str">
        <x:v>depressing effect</x:v>
      </x:c>
      <x:c r="E26" s="22" t="str">
        <x:v>distress_depression</x:v>
      </x:c>
      <x:c r="F26" s="21" t="str">
        <x:v>depressing effect</x:v>
      </x:c>
      <x:c r="G26" s="22" t="str">
        <x:v>EXACT</x:v>
      </x:c>
      <x:c r="H26" s="21" t="str">
        <x:v>SUCCEEDED_NEW</x:v>
      </x:c>
      <x:c r="I26" s="21" t="str">
        <x:v>FT-Q-P180-F133E24539FD</x:v>
      </x:c>
      <x:c r="J26" s="22" t="str">
        <x:v>1842</x:v>
      </x:c>
      <x:c r="K26" s="22" t="str">
        <x:v>2022</x:v>
      </x:c>
      <x:c r="L26" s="22" t="str">
        <x:v>1842</x:v>
      </x:c>
      <x:c r="M26" s="22" t="str">
        <x:v>181</x:v>
      </x:c>
      <x:c r="N26" s="22" t="str">
        <x:v>1932</x:v>
      </x:c>
      <x:c r="O26" s="43" t="str">
        <x:v>4.1821657831286885e-07</x:v>
      </x:c>
      <x:c r="P26" s="43" t="str">
        <x:v>7.417365566197986e-08</x:v>
      </x:c>
      <x:c r="Q26" s="43" t="str">
        <x:v>7.959695991210936e-08</x:v>
      </x:c>
      <x:c r="R26" s="43" t="str">
        <x:v>7.902978849116948e-08</x:v>
      </x:c>
      <x:c r="S26" s="43" t="str">
        <x:v>8.615460700411859e-08</x:v>
      </x:c>
      <x:c r="T26" s="43" t="str">
        <x:v>7.417365566197986e-08</x:v>
      </x:c>
      <x:c r="U26" s="43" t="str">
        <x:v>3.3701152923892863e-07</x:v>
      </x:c>
      <x:c r="V26" s="43" t="str">
        <x:v>9.086320157045136e-08</x:v>
      </x:c>
      <x:c r="W26" s="43" t="str">
        <x:v>4.0333698568539855e-08</x:v>
      </x:c>
      <x:c r="X26" s="43" t="str">
        <x:v>4.0208033492972195e-08</x:v>
      </x:c>
      <x:c r="Y26" s="43" t="str">
        <x:v>4.0270866030756025e-08</x:v>
      </x:c>
      <x:c r="Z26" s="43" t="str">
        <x:v>3.834259428708853e-08</x:v>
      </x:c>
      <x:c r="AA26" s="43" t="str">
        <x:v>4.3930182047624555e-08</x:v>
      </x:c>
      <x:c r="AB26" s="23" t="str">
        <x:v>Candidate surface form is directly representable in the public Ngram interface. New unsmoothed 1842–2022 series retrieved for the candidate audit.</x:v>
      </x:c>
    </x:row>
    <x:row r="27" ht="19" customHeight="1">
      <x:c r="A27" s="20" t="str">
        <x:v>FT-SEED-R1B-P-1842-26</x:v>
      </x:c>
      <x:c r="B27" s="22" t="str">
        <x:v>1842</x:v>
      </x:c>
      <x:c r="C27" s="22" t="str">
        <x:v>26</x:v>
      </x:c>
      <x:c r="D27" s="21" t="str">
        <x:v>complain of the heat</x:v>
      </x:c>
      <x:c r="E27" s="22" t="str">
        <x:v>heat</x:v>
      </x:c>
      <x:c r="F27" s="21" t="str">
        <x:v>complain of the heat</x:v>
      </x:c>
      <x:c r="G27" s="22" t="str">
        <x:v>EXACT</x:v>
      </x:c>
      <x:c r="H27" s="21" t="str">
        <x:v>SUCCEEDED_NEW</x:v>
      </x:c>
      <x:c r="I27" s="21" t="str">
        <x:v>FT-Q-P180-CA3666E569CE</x:v>
      </x:c>
      <x:c r="J27" s="22" t="str">
        <x:v>1842</x:v>
      </x:c>
      <x:c r="K27" s="22" t="str">
        <x:v>2022</x:v>
      </x:c>
      <x:c r="L27" s="22" t="str">
        <x:v>1842</x:v>
      </x:c>
      <x:c r="M27" s="22" t="str">
        <x:v>180</x:v>
      </x:c>
      <x:c r="N27" s="22" t="str">
        <x:v>1843</x:v>
      </x:c>
      <x:c r="O27" s="43" t="str">
        <x:v>1.5360400951180964e-08</x:v>
      </x:c>
      <x:c r="P27" s="43" t="str">
        <x:v>1.4668863457245607e-08</x:v>
      </x:c>
      <x:c r="Q27" s="43" t="str">
        <x:v>1.0437534836427176e-08</x:v>
      </x:c>
      <x:c r="R27" s="43" t="str">
        <x:v>1.0892821533659003e-08</x:v>
      </x:c>
      <x:c r="S27" s="43" t="str">
        <x:v>1.5360400951180964e-08</x:v>
      </x:c>
      <x:c r="T27" s="43" t="str">
        <x:v>1.4668863457245607e-08</x:v>
      </x:c>
      <x:c r="U27" s="43" t="str">
        <x:v>1.489909196017436e-09</x:v>
      </x:c>
      <x:c r="V27" s="43" t="str">
        <x:v>8.963499942282738e-10</x:v>
      </x:c>
      <x:c r="W27" s="43" t="str">
        <x:v>1.4574422779745078e-09</x:v>
      </x:c>
      <x:c r="X27" s="43" t="str">
        <x:v>1.2681418137816536e-09</x:v>
      </x:c>
      <x:c r="Y27" s="43" t="str">
        <x:v>1.3627920458780807e-09</x:v>
      </x:c>
      <x:c r="Z27" s="43" t="str">
        <x:v>9.140617152070263e-10</x:v>
      </x:c>
      <x:c r="AA27" s="43" t="str">
        <x:v>1.7275971764263431e-09</x:v>
      </x:c>
      <x:c r="AB27" s="23" t="str">
        <x:v>Candidate surface form is directly representable in the public Ngram interface. New unsmoothed 1842–2022 series retrieved for the candidate audit.</x:v>
      </x:c>
    </x:row>
    <x:row r="28" ht="19" customHeight="1">
      <x:c r="A28" s="20" t="str">
        <x:v>FT-SEED-R1B-P-1842-27</x:v>
      </x:c>
      <x:c r="B28" s="22" t="str">
        <x:v>1842</x:v>
      </x:c>
      <x:c r="C28" s="22" t="str">
        <x:v>27</x:v>
      </x:c>
      <x:c r="D28" s="21" t="str">
        <x:v>premature heat of the weather</x:v>
      </x:c>
      <x:c r="E28" s="22" t="str">
        <x:v>heat</x:v>
      </x:c>
      <x:c r="F28" s="21" t="str">
        <x:v>premature heat of the weather</x:v>
      </x:c>
      <x:c r="G28" s="22" t="str">
        <x:v>EXACT</x:v>
      </x:c>
      <x:c r="H28" s="21" t="str">
        <x:v>ZERO_RESPONSE_NEW</x:v>
      </x:c>
      <x:c r="I28" s="21" t="str">
        <x:v>FT-Q-P180-616B2876E3C5</x:v>
      </x:c>
      <x:c r="J28" s="22" t="str">
        <x:v>1842</x:v>
      </x:c>
      <x:c r="K28" s="22" t="str">
        <x:v>2022</x:v>
      </x:c>
      <x:c r="L28" s="22" t="str"/>
      <x:c r="M28" s="22" t="str">
        <x:v>0</x:v>
      </x:c>
      <x:c r="N28" s="22" t="str"/>
      <x:c r="O28" s="43" t="str"/>
      <x:c r="P28" s="43" t="str"/>
      <x:c r="Q28" s="43" t="str"/>
      <x:c r="R28" s="43" t="str"/>
      <x:c r="S28" s="43" t="str"/>
      <x:c r="T28" s="43" t="str"/>
      <x:c r="U28" s="43" t="str"/>
      <x:c r="V28" s="43" t="str"/>
      <x:c r="W28" s="43" t="str"/>
      <x:c r="X28" s="43" t="str"/>
      <x:c r="Y28" s="43" t="str"/>
      <x:c r="Z28" s="43" t="str"/>
      <x:c r="AA28" s="43" t="str"/>
      <x:c r="AB28" s="23" t="str">
        <x:v>Candidate surface form is directly representable in the public Ngram interface. The public Ngram endpoint returned an empty list; retained without fabricating annual zero frequencies.</x:v>
      </x:c>
    </x:row>
    <x:row r="29" ht="19" customHeight="1">
      <x:c r="A29" s="20" t="str">
        <x:v>FT-SEED-R1B-P-1842-28</x:v>
      </x:c>
      <x:c r="B29" s="22" t="str">
        <x:v>1842</x:v>
      </x:c>
      <x:c r="C29" s="22" t="str">
        <x:v>28</x:v>
      </x:c>
      <x:c r="D29" s="21" t="str">
        <x:v>suffered more from cold than from heat</x:v>
      </x:c>
      <x:c r="E29" s="22" t="str">
        <x:v>heat</x:v>
      </x:c>
      <x:c r="F29" s="21" t="str">
        <x:v>suffered more from cold than from heat</x:v>
      </x:c>
      <x:c r="G29" s="22" t="str">
        <x:v>EXACT</x:v>
      </x:c>
      <x:c r="H29" s="21" t="str">
        <x:v>ZERO_RESPONSE_NEW</x:v>
      </x:c>
      <x:c r="I29" s="21" t="str">
        <x:v>FT-Q-P180-FF18DD3754C6</x:v>
      </x:c>
      <x:c r="J29" s="22" t="str">
        <x:v>1842</x:v>
      </x:c>
      <x:c r="K29" s="22" t="str">
        <x:v>2022</x:v>
      </x:c>
      <x:c r="L29" s="22" t="str"/>
      <x:c r="M29" s="22" t="str">
        <x:v>0</x:v>
      </x:c>
      <x:c r="N29" s="22" t="str"/>
      <x:c r="O29" s="43" t="str"/>
      <x:c r="P29" s="43" t="str"/>
      <x:c r="Q29" s="43" t="str"/>
      <x:c r="R29" s="43" t="str"/>
      <x:c r="S29" s="43" t="str"/>
      <x:c r="T29" s="43" t="str"/>
      <x:c r="U29" s="43" t="str"/>
      <x:c r="V29" s="43" t="str"/>
      <x:c r="W29" s="43" t="str"/>
      <x:c r="X29" s="43" t="str"/>
      <x:c r="Y29" s="43" t="str"/>
      <x:c r="Z29" s="43" t="str"/>
      <x:c r="AA29" s="43" t="str"/>
      <x:c r="AB29" s="23" t="str">
        <x:v>Candidate surface form is directly representable in the public Ngram interface. The public Ngram endpoint returned an empty list; retained without fabricating annual zero frequencies.</x:v>
      </x:c>
    </x:row>
    <x:row r="30" ht="19" customHeight="1">
      <x:c r="A30" s="20" t="str">
        <x:v>FT-SEED-R1B-P-1842-29</x:v>
      </x:c>
      <x:c r="B30" s="22" t="str">
        <x:v>1842</x:v>
      </x:c>
      <x:c r="C30" s="22" t="str">
        <x:v>29</x:v>
      </x:c>
      <x:c r="D30" s="21" t="str">
        <x:v>sickness and mortality</x:v>
      </x:c>
      <x:c r="E30" s="22" t="str">
        <x:v>harm_loss_consequences</x:v>
      </x:c>
      <x:c r="F30" s="21" t="str">
        <x:v>sickness and mortality</x:v>
      </x:c>
      <x:c r="G30" s="22" t="str">
        <x:v>EXACT</x:v>
      </x:c>
      <x:c r="H30" s="21" t="str">
        <x:v>SUCCEEDED_NEW</x:v>
      </x:c>
      <x:c r="I30" s="21" t="str">
        <x:v>FT-Q-P180-7E32BFDE7A55</x:v>
      </x:c>
      <x:c r="J30" s="22" t="str">
        <x:v>1842</x:v>
      </x:c>
      <x:c r="K30" s="22" t="str">
        <x:v>2022</x:v>
      </x:c>
      <x:c r="L30" s="22" t="str">
        <x:v>1842</x:v>
      </x:c>
      <x:c r="M30" s="22" t="str">
        <x:v>181</x:v>
      </x:c>
      <x:c r="N30" s="22" t="str">
        <x:v>1875</x:v>
      </x:c>
      <x:c r="O30" s="43" t="str">
        <x:v>5.163315972556148e-07</x:v>
      </x:c>
      <x:c r="P30" s="43" t="str">
        <x:v>2.7180557848893727e-07</x:v>
      </x:c>
      <x:c r="Q30" s="43" t="str">
        <x:v>2.6085028570488333e-07</x:v>
      </x:c>
      <x:c r="R30" s="43" t="str">
        <x:v>2.6979914180547127e-07</x:v>
      </x:c>
      <x:c r="S30" s="43" t="str">
        <x:v>2.887942960327905e-07</x:v>
      </x:c>
      <x:c r="T30" s="43" t="str">
        <x:v>2.7180557848893727e-07</x:v>
      </x:c>
      <x:c r="U30" s="43" t="str">
        <x:v>4.400460984488319e-08</x:v>
      </x:c>
      <x:c r="V30" s="43" t="str">
        <x:v>7.135952065362439e-09</x:v>
      </x:c>
      <x:c r="W30" s="43" t="str">
        <x:v>6.985664845193806e-09</x:v>
      </x:c>
      <x:c r="X30" s="43" t="str">
        <x:v>7.67741414886558e-09</x:v>
      </x:c>
      <x:c r="Y30" s="43" t="str">
        <x:v>7.331539497029693e-09</x:v>
      </x:c>
      <x:c r="Z30" s="43" t="str">
        <x:v>7.348067390666735e-09</x:v>
      </x:c>
      <x:c r="AA30" s="43" t="str">
        <x:v>1.8919435802733364e-08</x:v>
      </x:c>
      <x:c r="AB30" s="23" t="str">
        <x:v>Candidate surface form is directly representable in the public Ngram interface. New unsmoothed 1842–2022 series retrieved for the candidate audit.</x:v>
      </x:c>
    </x:row>
    <x:row r="31" ht="19" customHeight="1">
      <x:c r="A31" s="20" t="str">
        <x:v>FT-SEED-R1B-P-1842-30</x:v>
      </x:c>
      <x:c r="B31" s="22" t="str">
        <x:v>1842</x:v>
      </x:c>
      <x:c r="C31" s="22" t="str">
        <x:v>30</x:v>
      </x:c>
      <x:c r="D31" s="21" t="str">
        <x:v>alarm to the public</x:v>
      </x:c>
      <x:c r="E31" s="22" t="str">
        <x:v>concern_alarm</x:v>
      </x:c>
      <x:c r="F31" s="21" t="str">
        <x:v>alarm to the public</x:v>
      </x:c>
      <x:c r="G31" s="22" t="str">
        <x:v>EXACT</x:v>
      </x:c>
      <x:c r="H31" s="21" t="str">
        <x:v>SUCCEEDED_NEW</x:v>
      </x:c>
      <x:c r="I31" s="21" t="str">
        <x:v>FT-Q-P180-668E6FC2A222</x:v>
      </x:c>
      <x:c r="J31" s="22" t="str">
        <x:v>1842</x:v>
      </x:c>
      <x:c r="K31" s="22" t="str">
        <x:v>2022</x:v>
      </x:c>
      <x:c r="L31" s="22" t="str">
        <x:v>1842</x:v>
      </x:c>
      <x:c r="M31" s="22" t="str">
        <x:v>179</x:v>
      </x:c>
      <x:c r="N31" s="22" t="str">
        <x:v>1850</x:v>
      </x:c>
      <x:c r="O31" s="43" t="str">
        <x:v>1.0281119067201416e-08</x:v>
      </x:c>
      <x:c r="P31" s="43" t="str">
        <x:v>2.9337727802669633e-09</x:v>
      </x:c>
      <x:c r="Q31" s="43" t="str">
        <x:v>2.216764855011988e-09</x:v>
      </x:c>
      <x:c r="R31" s="43" t="str">
        <x:v>2.3911314039892773e-09</x:v>
      </x:c>
      <x:c r="S31" s="43" t="str">
        <x:v>2.9337727802669633e-09</x:v>
      </x:c>
      <x:c r="T31" s="43" t="str">
        <x:v>2.9337727802669633e-09</x:v>
      </x:c>
      <x:c r="U31" s="43" t="str">
        <x:v>1.8962480474726817e-09</x:v>
      </x:c>
      <x:c r="V31" s="43" t="str">
        <x:v>2.6292932275850944e-09</x:v>
      </x:c>
      <x:c r="W31" s="43" t="str">
        <x:v>1.4034629014503253e-09</x:v>
      </x:c>
      <x:c r="X31" s="43" t="str">
        <x:v>1.373820279759741e-09</x:v>
      </x:c>
      <x:c r="Y31" s="43" t="str">
        <x:v>1.3886415906050331e-09</x:v>
      </x:c>
      <x:c r="Z31" s="43" t="str">
        <x:v>4.839150191671138e-10</x:v>
      </x:c>
      <x:c r="AA31" s="43" t="str">
        <x:v>1.7275971764263431e-09</x:v>
      </x:c>
      <x:c r="AB31" s="23" t="str">
        <x:v>Candidate surface form is directly representable in the public Ngram interface. New unsmoothed 1842–2022 series retrieved for the candidate audit.</x:v>
      </x:c>
    </x:row>
    <x:row r="32" ht="19" customHeight="1">
      <x:c r="A32" s="20" t="str">
        <x:v>FT-SEED-R1B-P-1938-01</x:v>
      </x:c>
      <x:c r="B32" s="22" t="str">
        <x:v>1938</x:v>
      </x:c>
      <x:c r="C32" s="22" t="str">
        <x:v>1</x:v>
      </x:c>
      <x:c r="D32" s="21" t="str">
        <x:v>artificial production of carbon dioxide</x:v>
      </x:c>
      <x:c r="E32" s="22" t="str">
        <x:v>carbon_greenhouse</x:v>
      </x:c>
      <x:c r="F32" s="21" t="str">
        <x:v>artificial production of carbon dioxide</x:v>
      </x:c>
      <x:c r="G32" s="22" t="str">
        <x:v>EXACT</x:v>
      </x:c>
      <x:c r="H32" s="21" t="str">
        <x:v>SUCCEEDED_REUSED_BASELINE</x:v>
      </x:c>
      <x:c r="I32" s="21" t="str">
        <x:v>FT-Q-V01-021</x:v>
      </x:c>
      <x:c r="J32" s="22" t="str">
        <x:v>1842</x:v>
      </x:c>
      <x:c r="K32" s="22" t="str">
        <x:v>2022</x:v>
      </x:c>
      <x:c r="L32" s="22" t="str">
        <x:v>1902</x:v>
      </x:c>
      <x:c r="M32" s="22" t="str">
        <x:v>79</x:v>
      </x:c>
      <x:c r="N32" s="22" t="str">
        <x:v>1938</x:v>
      </x:c>
      <x:c r="O32" s="43" t="str">
        <x:v>4.288904842386643e-09</x:v>
      </x:c>
      <x:c r="P32" s="43" t="str">
        <x:v>4.288904842386643e-09</x:v>
      </x:c>
      <x:c r="Q32" s="43" t="str">
        <x:v>1.0332850186589582e-09</x:v>
      </x:c>
      <x:c r="R32" s="43" t="str">
        <x:v>2.8462429635389697e-10</x:v>
      </x:c>
      <x:c r="S32" s="43" t="str">
        <x:v>4.288904842386643e-09</x:v>
      </x:c>
      <x:c r="T32" s="43" t="str">
        <x:v>0.0</x:v>
      </x:c>
      <x:c r="U32" s="43" t="str">
        <x:v>4.288904842386643e-09</x:v>
      </x:c>
      <x:c r="V32" s="43" t="str">
        <x:v>3.2583505338301677e-10</x:v>
      </x:c>
      <x:c r="W32" s="43" t="str">
        <x:v>5.240586020693883e-10</x:v>
      </x:c>
      <x:c r="X32" s="43" t="str">
        <x:v>9.678072787622227e-10</x:v>
      </x:c>
      <x:c r="Y32" s="43" t="str">
        <x:v>7.459329404158055e-10</x:v>
      </x:c>
      <x:c r="Z32" s="43" t="str">
        <x:v>1.1517647946490683e-09</x:v>
      </x:c>
      <x:c r="AA32" s="43" t="str">
        <x:v>1.7940347540879031e-09</x:v>
      </x:c>
      <x:c r="AB32" s="23" t="str">
        <x:v>Candidate surface form is directly representable in the public Ngram interface. Complete 1842–2022 unsmoothed series reused from the audited quantitative-v0.1 baseline.</x:v>
      </x:c>
    </x:row>
    <x:row r="33" ht="19" customHeight="1">
      <x:c r="A33" s="20" t="str">
        <x:v>FT-SEED-R1B-P-1938-02</x:v>
      </x:c>
      <x:c r="B33" s="22" t="str">
        <x:v>1938</x:v>
      </x:c>
      <x:c r="C33" s="22" t="str">
        <x:v>2</x:v>
      </x:c>
      <x:c r="D33" s="21" t="str">
        <x:v>carbon dioxide</x:v>
      </x:c>
      <x:c r="E33" s="22" t="str">
        <x:v>carbon_greenhouse</x:v>
      </x:c>
      <x:c r="F33" s="21" t="str">
        <x:v>carbon dioxide</x:v>
      </x:c>
      <x:c r="G33" s="22" t="str">
        <x:v>EXACT</x:v>
      </x:c>
      <x:c r="H33" s="21" t="str">
        <x:v>SUCCEEDED_REUSED_BASELINE</x:v>
      </x:c>
      <x:c r="I33" s="21" t="str">
        <x:v>FT-Q-V01-022</x:v>
      </x:c>
      <x:c r="J33" s="22" t="str">
        <x:v>1842</x:v>
      </x:c>
      <x:c r="K33" s="22" t="str">
        <x:v>2022</x:v>
      </x:c>
      <x:c r="L33" s="22" t="str">
        <x:v>1842</x:v>
      </x:c>
      <x:c r="M33" s="22" t="str">
        <x:v>177</x:v>
      </x:c>
      <x:c r="N33" s="22" t="str">
        <x:v>1965</x:v>
      </x:c>
      <x:c r="O33" s="43" t="str">
        <x:v>1.041381219862858e-05</x:v>
      </x:c>
      <x:c r="P33" s="43" t="str">
        <x:v>9.657730330014935e-06</x:v>
      </x:c>
      <x:c r="Q33" s="43" t="str">
        <x:v>8.807275233857492e-06</x:v>
      </x:c>
      <x:c r="R33" s="43" t="str">
        <x:v>8.965923886772309e-06</x:v>
      </x:c>
      <x:c r="S33" s="43" t="str">
        <x:v>9.657730330014935e-06</x:v>
      </x:c>
      <x:c r="T33" s="43" t="str">
        <x:v>7.094871634638622e-09</x:v>
      </x:c>
      <x:c r="U33" s="43" t="str">
        <x:v>9.657730330014935e-06</x:v>
      </x:c>
      <x:c r="V33" s="43" t="str">
        <x:v>7.055988905570881e-06</x:v>
      </x:c>
      <x:c r="W33" s="43" t="str">
        <x:v>6.240827137342364e-06</x:v>
      </x:c>
      <x:c r="X33" s="43" t="str">
        <x:v>7.639031842188865e-06</x:v>
      </x:c>
      <x:c r="Y33" s="43" t="str">
        <x:v>6.939929489765614e-06</x:v>
      </x:c>
      <x:c r="Z33" s="43" t="str">
        <x:v>7.018469256155763e-06</x:v>
      </x:c>
      <x:c r="AA33" s="43" t="str">
        <x:v>7.5778903684264876e-06</x:v>
      </x:c>
      <x:c r="AB33" s="23" t="str">
        <x:v>Candidate surface form is directly representable in the public Ngram interface. Complete 1842–2022 unsmoothed series reused from the audited quantitative-v0.1 baseline.</x:v>
      </x:c>
    </x:row>
    <x:row r="34" ht="19" customHeight="1">
      <x:c r="A34" s="20" t="str">
        <x:v>FT-SEED-R1B-P-1938-03</x:v>
      </x:c>
      <x:c r="B34" s="22" t="str">
        <x:v>1938</x:v>
      </x:c>
      <x:c r="C34" s="22" t="str">
        <x:v>3</x:v>
      </x:c>
      <x:c r="D34" s="21" t="str">
        <x:v>fuel combustion</x:v>
      </x:c>
      <x:c r="E34" s="22" t="str">
        <x:v>carbon_greenhouse</x:v>
      </x:c>
      <x:c r="F34" s="21" t="str">
        <x:v>fuel combustion</x:v>
      </x:c>
      <x:c r="G34" s="22" t="str">
        <x:v>EXACT</x:v>
      </x:c>
      <x:c r="H34" s="21" t="str">
        <x:v>SUCCEEDED_REUSED_BASELINE</x:v>
      </x:c>
      <x:c r="I34" s="21" t="str">
        <x:v>FT-Q-V01-023</x:v>
      </x:c>
      <x:c r="J34" s="22" t="str">
        <x:v>1842</x:v>
      </x:c>
      <x:c r="K34" s="22" t="str">
        <x:v>2022</x:v>
      </x:c>
      <x:c r="L34" s="22" t="str">
        <x:v>1852</x:v>
      </x:c>
      <x:c r="M34" s="22" t="str">
        <x:v>163</x:v>
      </x:c>
      <x:c r="N34" s="22" t="str">
        <x:v>1978</x:v>
      </x:c>
      <x:c r="O34" s="43" t="str">
        <x:v>4.6729913591447847e-07</x:v>
      </x:c>
      <x:c r="P34" s="43" t="str">
        <x:v>3.608451315528782e-08</x:v>
      </x:c>
      <x:c r="Q34" s="43" t="str">
        <x:v>3.974408916973538e-08</x:v>
      </x:c>
      <x:c r="R34" s="43" t="str">
        <x:v>4.17900504756652e-08</x:v>
      </x:c>
      <x:c r="S34" s="43" t="str">
        <x:v>4.519546270564945e-08</x:v>
      </x:c>
      <x:c r="T34" s="43" t="str">
        <x:v>0.0</x:v>
      </x:c>
      <x:c r="U34" s="43" t="str">
        <x:v>3.608451315528782e-08</x:v>
      </x:c>
      <x:c r="V34" s="43" t="str">
        <x:v>2.62274336634144e-07</x:v>
      </x:c>
      <x:c r="W34" s="43" t="str">
        <x:v>1.3963425543606078e-07</x:v>
      </x:c>
      <x:c r="X34" s="43" t="str">
        <x:v>1.8147586466898957e-07</x:v>
      </x:c>
      <x:c r="Y34" s="43" t="str">
        <x:v>1.6055506005252518e-07</x:v>
      </x:c>
      <x:c r="Z34" s="43" t="str">
        <x:v>1.9647659771360182e-07</x:v>
      </x:c>
      <x:c r="AA34" s="43" t="str">
        <x:v>2.188545896730787e-07</x:v>
      </x:c>
      <x:c r="AB34" s="23" t="str">
        <x:v>Candidate surface form is directly representable in the public Ngram interface. Complete 1842–2022 unsmoothed series reused from the audited quantitative-v0.1 baseline.</x:v>
      </x:c>
    </x:row>
    <x:row r="35" ht="19" customHeight="1">
      <x:c r="A35" s="20" t="str">
        <x:v>FT-SEED-R1B-P-1938-04</x:v>
      </x:c>
      <x:c r="B35" s="22" t="str">
        <x:v>1938</x:v>
      </x:c>
      <x:c r="C35" s="22" t="str">
        <x:v>4</x:v>
      </x:c>
      <x:c r="D35" s="21" t="str">
        <x:v>air</x:v>
      </x:c>
      <x:c r="E35" s="22" t="str">
        <x:v>climate</x:v>
      </x:c>
      <x:c r="F35" s="21" t="str">
        <x:v>air</x:v>
      </x:c>
      <x:c r="G35" s="22" t="str">
        <x:v>EXACT</x:v>
      </x:c>
      <x:c r="H35" s="21" t="str">
        <x:v>SUCCEEDED_REUSED_BASELINE</x:v>
      </x:c>
      <x:c r="I35" s="21" t="str">
        <x:v>FT-Q-V01-024</x:v>
      </x:c>
      <x:c r="J35" s="22" t="str">
        <x:v>1842</x:v>
      </x:c>
      <x:c r="K35" s="22" t="str">
        <x:v>2022</x:v>
      </x:c>
      <x:c r="L35" s="22" t="str">
        <x:v>1842</x:v>
      </x:c>
      <x:c r="M35" s="22" t="str">
        <x:v>181</x:v>
      </x:c>
      <x:c r="N35" s="22" t="str">
        <x:v>1944</x:v>
      </x:c>
      <x:c r="O35" s="43" t="str">
        <x:v>0.0003521059437459062</x:v>
      </x:c>
      <x:c r="P35" s="43" t="str">
        <x:v>0.0002449050748590531</x:v>
      </x:c>
      <x:c r="Q35" s="43" t="str">
        <x:v>0.00023519730591028688</x:v>
      </x:c>
      <x:c r="R35" s="43" t="str">
        <x:v>0.00024117282765812043</x:v>
      </x:c>
      <x:c r="S35" s="43" t="str">
        <x:v>0.00025274040395867337</x:v>
      </x:c>
      <x:c r="T35" s="43" t="str">
        <x:v>0.00015969511764524214</x:v>
      </x:c>
      <x:c r="U35" s="43" t="str">
        <x:v>0.0002449050748590531</x:v>
      </x:c>
      <x:c r="V35" s="43" t="str">
        <x:v>0.00019588275840055902</x:v>
      </x:c>
      <x:c r="W35" s="43" t="str">
        <x:v>0.00015542482653079642</x:v>
      </x:c>
      <x:c r="X35" s="43" t="str">
        <x:v>0.0001617948143970288</x:v>
      </x:c>
      <x:c r="Y35" s="43" t="str">
        <x:v>0.00015860982046391262</x:v>
      </x:c>
      <x:c r="Z35" s="43" t="str">
        <x:v>0.0001673772195566331</x:v>
      </x:c>
      <x:c r="AA35" s="43" t="str">
        <x:v>0.00016292625959826723</x:v>
      </x:c>
      <x:c r="AB35" s="23" t="str">
        <x:v>Candidate surface form is directly representable in the public Ngram interface. Complete 1842–2022 unsmoothed series reused from the audited quantitative-v0.1 baseline.</x:v>
      </x:c>
    </x:row>
    <x:row r="36" ht="19" customHeight="1">
      <x:c r="A36" s="20" t="str">
        <x:v>FT-SEED-R1B-P-1938-05</x:v>
      </x:c>
      <x:c r="B36" s="22" t="str">
        <x:v>1938</x:v>
      </x:c>
      <x:c r="C36" s="22" t="str">
        <x:v>5</x:v>
      </x:c>
      <x:c r="D36" s="21" t="str">
        <x:v>atmosphere</x:v>
      </x:c>
      <x:c r="E36" s="22" t="str">
        <x:v>climate</x:v>
      </x:c>
      <x:c r="F36" s="21" t="str">
        <x:v>atmosphere</x:v>
      </x:c>
      <x:c r="G36" s="22" t="str">
        <x:v>EXACT</x:v>
      </x:c>
      <x:c r="H36" s="21" t="str">
        <x:v>SUCCEEDED_REUSED_BASELINE</x:v>
      </x:c>
      <x:c r="I36" s="21" t="str">
        <x:v>FT-Q-V01-025</x:v>
      </x:c>
      <x:c r="J36" s="22" t="str">
        <x:v>1842</x:v>
      </x:c>
      <x:c r="K36" s="22" t="str">
        <x:v>2022</x:v>
      </x:c>
      <x:c r="L36" s="22" t="str">
        <x:v>1842</x:v>
      </x:c>
      <x:c r="M36" s="22" t="str">
        <x:v>181</x:v>
      </x:c>
      <x:c r="N36" s="22" t="str">
        <x:v>1965</x:v>
      </x:c>
      <x:c r="O36" s="43" t="str">
        <x:v>3.836178537423851e-05</x:v>
      </x:c>
      <x:c r="P36" s="43" t="str">
        <x:v>1.888270770677991e-05</x:v>
      </x:c>
      <x:c r="Q36" s="43" t="str">
        <x:v>1.742774464617014e-05</x:v>
      </x:c>
      <x:c r="R36" s="43" t="str">
        <x:v>1.7344184584544564e-05</x:v>
      </x:c>
      <x:c r="S36" s="43" t="str">
        <x:v>1.888270770677991e-05</x:v>
      </x:c>
      <x:c r="T36" s="43" t="str">
        <x:v>2.831485350895946e-05</x:v>
      </x:c>
      <x:c r="U36" s="43" t="str">
        <x:v>1.888270770677991e-05</x:v>
      </x:c>
      <x:c r="V36" s="43" t="str">
        <x:v>2.3679818696109578e-05</x:v>
      </x:c>
      <x:c r="W36" s="43" t="str">
        <x:v>2.1267784958922675e-05</x:v>
      </x:c>
      <x:c r="X36" s="43" t="str">
        <x:v>2.1730444364424784e-05</x:v>
      </x:c>
      <x:c r="Y36" s="43" t="str">
        <x:v>2.149911466167373e-05</x:v>
      </x:c>
      <x:c r="Z36" s="43" t="str">
        <x:v>2.1225219477810642e-05</x:v>
      </x:c>
      <x:c r="AA36" s="43" t="str">
        <x:v>2.2702114429534737e-05</x:v>
      </x:c>
      <x:c r="AB36" s="23" t="str">
        <x:v>Candidate surface form is directly representable in the public Ngram interface. Complete 1842–2022 unsmoothed series reused from the audited quantitative-v0.1 baseline.</x:v>
      </x:c>
    </x:row>
    <x:row r="37" ht="19" customHeight="1">
      <x:c r="A37" s="20" t="str">
        <x:v>FT-SEED-R1B-P-1938-06</x:v>
      </x:c>
      <x:c r="B37" s="22" t="str">
        <x:v>1938</x:v>
      </x:c>
      <x:c r="C37" s="22" t="str">
        <x:v>6</x:v>
      </x:c>
      <x:c r="D37" s="21" t="str">
        <x:v>radiation absorption coefficients</x:v>
      </x:c>
      <x:c r="E37" s="22" t="str">
        <x:v>climate</x:v>
      </x:c>
      <x:c r="F37" s="21" t="str">
        <x:v>radiation absorption coefficients</x:v>
      </x:c>
      <x:c r="G37" s="22" t="str">
        <x:v>EXACT</x:v>
      </x:c>
      <x:c r="H37" s="21" t="str">
        <x:v>SUCCEEDED_REUSED_BASELINE</x:v>
      </x:c>
      <x:c r="I37" s="21" t="str">
        <x:v>FT-Q-V01-026</x:v>
      </x:c>
      <x:c r="J37" s="22" t="str">
        <x:v>1842</x:v>
      </x:c>
      <x:c r="K37" s="22" t="str">
        <x:v>2022</x:v>
      </x:c>
      <x:c r="L37" s="22" t="str">
        <x:v>1929</x:v>
      </x:c>
      <x:c r="M37" s="22" t="str">
        <x:v>76</x:v>
      </x:c>
      <x:c r="N37" s="22" t="str">
        <x:v>1982</x:v>
      </x:c>
      <x:c r="O37" s="43" t="str">
        <x:v>6.3270380878943655e-09</x:v>
      </x:c>
      <x:c r="P37" s="43" t="str">
        <x:v>1.2223502210417792e-09</x:v>
      </x:c>
      <x:c r="Q37" s="43" t="str">
        <x:v>3.3633488494277943e-10</x:v>
      </x:c>
      <x:c r="R37" s="43" t="str">
        <x:v>1.2238243751738764e-10</x:v>
      </x:c>
      <x:c r="S37" s="43" t="str">
        <x:v>1.2223502210417792e-09</x:v>
      </x:c>
      <x:c r="T37" s="43" t="str">
        <x:v>0.0</x:v>
      </x:c>
      <x:c r="U37" s="43" t="str">
        <x:v>1.2223502210417792e-09</x:v>
      </x:c>
      <x:c r="V37" s="43" t="str">
        <x:v>3.7842168287838263e-10</x:v>
      </x:c>
      <x:c r="W37" s="43" t="str">
        <x:v>9.908744658115864e-11</x:v>
      </x:c>
      <x:c r="X37" s="43" t="str">
        <x:v>3.8872981222848324e-10</x:v>
      </x:c>
      <x:c r="Y37" s="43" t="str">
        <x:v>2.4390862940482094e-10</x:v>
      </x:c>
      <x:c r="Z37" s="43" t="str">
        <x:v>9.997370292724739e-11</x:v>
      </x:c>
      <x:c r="AA37" s="43" t="str">
        <x:v>4.729858865681891e-11</x:v>
      </x:c>
      <x:c r="AB37" s="23" t="str">
        <x:v>Candidate surface form is directly representable in the public Ngram interface. Complete 1842–2022 unsmoothed series reused from the audited quantitative-v0.1 baseline.</x:v>
      </x:c>
    </x:row>
    <x:row r="38" ht="19" customHeight="1">
      <x:c r="A38" s="20" t="str">
        <x:v>FT-SEED-R1B-P-1938-07</x:v>
      </x:c>
      <x:c r="B38" s="22" t="str">
        <x:v>1938</x:v>
      </x:c>
      <x:c r="C38" s="22" t="str">
        <x:v>7</x:v>
      </x:c>
      <x:c r="D38" s="21" t="str">
        <x:v>water vapour</x:v>
      </x:c>
      <x:c r="E38" s="22" t="str">
        <x:v>climate</x:v>
      </x:c>
      <x:c r="F38" s="21" t="str">
        <x:v>water vapour</x:v>
      </x:c>
      <x:c r="G38" s="22" t="str">
        <x:v>EXACT</x:v>
      </x:c>
      <x:c r="H38" s="21" t="str">
        <x:v>SUCCEEDED_REUSED_BASELINE</x:v>
      </x:c>
      <x:c r="I38" s="21" t="str">
        <x:v>FT-Q-V01-027</x:v>
      </x:c>
      <x:c r="J38" s="22" t="str">
        <x:v>1842</x:v>
      </x:c>
      <x:c r="K38" s="22" t="str">
        <x:v>2022</x:v>
      </x:c>
      <x:c r="L38" s="22" t="str">
        <x:v>1842</x:v>
      </x:c>
      <x:c r="M38" s="22" t="str">
        <x:v>181</x:v>
      </x:c>
      <x:c r="N38" s="22" t="str">
        <x:v>1960</x:v>
      </x:c>
      <x:c r="O38" s="43" t="str">
        <x:v>1.1089097011682258e-06</x:v>
      </x:c>
      <x:c r="P38" s="43" t="str">
        <x:v>6.766959614878942e-07</x:v>
      </x:c>
      <x:c r="Q38" s="43" t="str">
        <x:v>6.369132615313689e-07</x:v>
      </x:c>
      <x:c r="R38" s="43" t="str">
        <x:v>6.331438489881602e-07</x:v>
      </x:c>
      <x:c r="S38" s="43" t="str">
        <x:v>6.85133948130634e-07</x:v>
      </x:c>
      <x:c r="T38" s="43" t="str">
        <x:v>4.514918217068953e-09</x:v>
      </x:c>
      <x:c r="U38" s="43" t="str">
        <x:v>6.766959614878942e-07</x:v>
      </x:c>
      <x:c r="V38" s="43" t="str">
        <x:v>6.493189931566778e-07</x:v>
      </x:c>
      <x:c r="W38" s="43" t="str">
        <x:v>5.637561245712408e-07</x:v>
      </x:c>
      <x:c r="X38" s="43" t="str">
        <x:v>5.652062349884024e-07</x:v>
      </x:c>
      <x:c r="Y38" s="43" t="str">
        <x:v>5.644811797798216e-07</x:v>
      </x:c>
      <x:c r="Z38" s="43" t="str">
        <x:v>5.057859777633789e-07</x:v>
      </x:c>
      <x:c r="AA38" s="43" t="str">
        <x:v>5.510517200879583e-07</x:v>
      </x:c>
      <x:c r="AB38" s="23" t="str">
        <x:v>Candidate surface form is directly representable in the public Ngram interface. Complete 1842–2022 unsmoothed series reused from the audited quantitative-v0.1 baseline.</x:v>
      </x:c>
    </x:row>
    <x:row r="39" ht="19" customHeight="1">
      <x:c r="A39" s="20" t="str">
        <x:v>FT-SEED-R1B-P-1938-08</x:v>
      </x:c>
      <x:c r="B39" s="22" t="str">
        <x:v>1938</x:v>
      </x:c>
      <x:c r="C39" s="22" t="str">
        <x:v>8</x:v>
      </x:c>
      <x:c r="D39" s="21" t="str">
        <x:v>sky radiation</x:v>
      </x:c>
      <x:c r="E39" s="22" t="str">
        <x:v>climate</x:v>
      </x:c>
      <x:c r="F39" s="21" t="str">
        <x:v>sky radiation</x:v>
      </x:c>
      <x:c r="G39" s="22" t="str">
        <x:v>EXACT</x:v>
      </x:c>
      <x:c r="H39" s="21" t="str">
        <x:v>SUCCEEDED_REUSED_BASELINE</x:v>
      </x:c>
      <x:c r="I39" s="21" t="str">
        <x:v>FT-Q-V01-028</x:v>
      </x:c>
      <x:c r="J39" s="22" t="str">
        <x:v>1842</x:v>
      </x:c>
      <x:c r="K39" s="22" t="str">
        <x:v>2022</x:v>
      </x:c>
      <x:c r="L39" s="22" t="str">
        <x:v>1843</x:v>
      </x:c>
      <x:c r="M39" s="22" t="str">
        <x:v>162</x:v>
      </x:c>
      <x:c r="N39" s="22" t="str">
        <x:v>1964</x:v>
      </x:c>
      <x:c r="O39" s="43" t="str">
        <x:v>1.2076405697669657e-07</x:v>
      </x:c>
      <x:c r="P39" s="43" t="str">
        <x:v>7.016433356543672e-08</x:v>
      </x:c>
      <x:c r="Q39" s="43" t="str">
        <x:v>4.266326549262622e-08</x:v>
      </x:c>
      <x:c r="R39" s="43" t="str">
        <x:v>4.4212759148232195e-08</x:v>
      </x:c>
      <x:c r="S39" s="43" t="str">
        <x:v>7.016433356543672e-08</x:v>
      </x:c>
      <x:c r="T39" s="43" t="str">
        <x:v>0.0</x:v>
      </x:c>
      <x:c r="U39" s="43" t="str">
        <x:v>7.016433356543672e-08</x:v>
      </x:c>
      <x:c r="V39" s="43" t="str">
        <x:v>3.5190363623094356e-08</x:v>
      </x:c>
      <x:c r="W39" s="43" t="str">
        <x:v>1.0117760393391073e-08</x:v>
      </x:c>
      <x:c r="X39" s="43" t="str">
        <x:v>1.0974004739650045e-08</x:v>
      </x:c>
      <x:c r="Y39" s="43" t="str">
        <x:v>1.0545882566520559e-08</x:v>
      </x:c>
      <x:c r="Z39" s="43" t="str">
        <x:v>7.612475511065142e-09</x:v>
      </x:c>
      <x:c r="AA39" s="43" t="str">
        <x:v>8.007414870059293e-09</x:v>
      </x:c>
      <x:c r="AB39" s="23" t="str">
        <x:v>Candidate surface form is directly representable in the public Ngram interface. Complete 1842–2022 unsmoothed series reused from the audited quantitative-v0.1 baseline.</x:v>
      </x:c>
    </x:row>
    <x:row r="40" ht="19" customHeight="1">
      <x:c r="A40" s="20" t="str">
        <x:v>FT-SEED-R1B-P-1938-09</x:v>
      </x:c>
      <x:c r="B40" s="22" t="str">
        <x:v>1938</x:v>
      </x:c>
      <x:c r="C40" s="22" t="str">
        <x:v>9</x:v>
      </x:c>
      <x:c r="D40" s="21" t="str">
        <x:v>increase in mean temperature</x:v>
      </x:c>
      <x:c r="E40" s="22" t="str">
        <x:v>temperature_threshold</x:v>
      </x:c>
      <x:c r="F40" s="21" t="str">
        <x:v>increase in mean temperature</x:v>
      </x:c>
      <x:c r="G40" s="22" t="str">
        <x:v>EXACT</x:v>
      </x:c>
      <x:c r="H40" s="21" t="str">
        <x:v>SUCCEEDED_REUSED_BASELINE</x:v>
      </x:c>
      <x:c r="I40" s="21" t="str">
        <x:v>FT-Q-V01-029</x:v>
      </x:c>
      <x:c r="J40" s="22" t="str">
        <x:v>1842</x:v>
      </x:c>
      <x:c r="K40" s="22" t="str">
        <x:v>2022</x:v>
      </x:c>
      <x:c r="L40" s="22" t="str">
        <x:v>1868</x:v>
      </x:c>
      <x:c r="M40" s="22" t="str">
        <x:v>120</x:v>
      </x:c>
      <x:c r="N40" s="22" t="str">
        <x:v>1868</x:v>
      </x:c>
      <x:c r="O40" s="43" t="str">
        <x:v>4.0505838683202455e-09</x:v>
      </x:c>
      <x:c r="P40" s="43" t="str">
        <x:v>2.30258700995023e-09</x:v>
      </x:c>
      <x:c r="Q40" s="43" t="str">
        <x:v>1.2013295913604338e-09</x:v>
      </x:c>
      <x:c r="R40" s="43" t="str">
        <x:v>6.679668484999013e-10</x:v>
      </x:c>
      <x:c r="S40" s="43" t="str">
        <x:v>2.30258700995023e-09</x:v>
      </x:c>
      <x:c r="T40" s="43" t="str">
        <x:v>0.0</x:v>
      </x:c>
      <x:c r="U40" s="43" t="str">
        <x:v>2.30258700995023e-09</x:v>
      </x:c>
      <x:c r="V40" s="43" t="str">
        <x:v>1.2548899697151228e-09</x:v>
      </x:c>
      <x:c r="W40" s="43" t="str">
        <x:v>1.5114215434763878e-09</x:v>
      </x:c>
      <x:c r="X40" s="43" t="str">
        <x:v>2.430605078318493e-09</x:v>
      </x:c>
      <x:c r="Y40" s="43" t="str">
        <x:v>1.9710133108974404e-09</x:v>
      </x:c>
      <x:c r="Z40" s="43" t="str">
        <x:v>1.7743551072868513e-09</x:v>
      </x:c>
      <x:c r="AA40" s="43" t="str">
        <x:v>3.455194436119413e-09</x:v>
      </x:c>
      <x:c r="AB40" s="23" t="str">
        <x:v>Candidate surface form is directly representable in the public Ngram interface. Complete 1842–2022 unsmoothed series reused from the audited quantitative-v0.1 baseline.</x:v>
      </x:c>
    </x:row>
    <x:row r="41" ht="19" customHeight="1">
      <x:c r="A41" s="20" t="str">
        <x:v>FT-SEED-R1B-P-1938-10</x:v>
      </x:c>
      <x:c r="B41" s="22" t="str">
        <x:v>1938</x:v>
      </x:c>
      <x:c r="C41" s="22" t="str">
        <x:v>10</x:v>
      </x:c>
      <x:c r="D41" s="21" t="str">
        <x:v>mean temperature</x:v>
      </x:c>
      <x:c r="E41" s="22" t="str">
        <x:v>temperature_threshold</x:v>
      </x:c>
      <x:c r="F41" s="21" t="str">
        <x:v>mean temperature</x:v>
      </x:c>
      <x:c r="G41" s="22" t="str">
        <x:v>EXACT</x:v>
      </x:c>
      <x:c r="H41" s="21" t="str">
        <x:v>SUCCEEDED_REUSED_BASELINE</x:v>
      </x:c>
      <x:c r="I41" s="21" t="str">
        <x:v>FT-Q-V01-030</x:v>
      </x:c>
      <x:c r="J41" s="22" t="str">
        <x:v>1842</x:v>
      </x:c>
      <x:c r="K41" s="22" t="str">
        <x:v>2022</x:v>
      </x:c>
      <x:c r="L41" s="22" t="str">
        <x:v>1842</x:v>
      </x:c>
      <x:c r="M41" s="22" t="str">
        <x:v>181</x:v>
      </x:c>
      <x:c r="N41" s="22" t="str">
        <x:v>1858</x:v>
      </x:c>
      <x:c r="O41" s="43" t="str">
        <x:v>3.219442511692705e-06</x:v>
      </x:c>
      <x:c r="P41" s="43" t="str">
        <x:v>1.0646044789619502e-06</x:v>
      </x:c>
      <x:c r="Q41" s="43" t="str">
        <x:v>8.800343775428044e-07</x:v>
      </x:c>
      <x:c r="R41" s="43" t="str">
        <x:v>8.062782838325067e-07</x:v>
      </x:c>
      <x:c r="S41" s="43" t="str">
        <x:v>1.0646044789619502e-06</x:v>
      </x:c>
      <x:c r="T41" s="43" t="str">
        <x:v>2.3651722909079353e-06</x:v>
      </x:c>
      <x:c r="U41" s="43" t="str">
        <x:v>1.0646044789619502e-06</x:v>
      </x:c>
      <x:c r="V41" s="43" t="str">
        <x:v>5.396020415979197e-07</x:v>
      </x:c>
      <x:c r="W41" s="43" t="str">
        <x:v>4.0590074483481953e-07</x:v>
      </x:c>
      <x:c r="X41" s="43" t="str">
        <x:v>4.2002552441688934e-07</x:v>
      </x:c>
      <x:c r="Y41" s="43" t="str">
        <x:v>4.1296313462585443e-07</x:v>
      </x:c>
      <x:c r="Z41" s="43" t="str">
        <x:v>3.0473253164603475e-07</x:v>
      </x:c>
      <x:c r="AA41" s="43" t="str">
        <x:v>3.990877988080399e-07</x:v>
      </x:c>
      <x:c r="AB41" s="23" t="str">
        <x:v>Candidate surface form is directly representable in the public Ngram interface. Complete 1842–2022 unsmoothed series reused from the audited quantitative-v0.1 baseline.</x:v>
      </x:c>
    </x:row>
    <x:row r="42" ht="19" customHeight="1">
      <x:c r="A42" s="20" t="str">
        <x:v>FT-SEED-R1B-P-1938-11</x:v>
      </x:c>
      <x:c r="B42" s="22" t="str">
        <x:v>1938</x:v>
      </x:c>
      <x:c r="C42" s="22" t="str">
        <x:v>11</x:v>
      </x:c>
      <x:c r="D42" s="21" t="str">
        <x:v>temperature observations</x:v>
      </x:c>
      <x:c r="E42" s="22" t="str">
        <x:v>temperature_threshold</x:v>
      </x:c>
      <x:c r="F42" s="21" t="str">
        <x:v>temperature observations</x:v>
      </x:c>
      <x:c r="G42" s="22" t="str">
        <x:v>EXACT</x:v>
      </x:c>
      <x:c r="H42" s="21" t="str">
        <x:v>SUCCEEDED_REUSED_BASELINE</x:v>
      </x:c>
      <x:c r="I42" s="21" t="str">
        <x:v>FT-Q-V01-031</x:v>
      </x:c>
      <x:c r="J42" s="22" t="str">
        <x:v>1842</x:v>
      </x:c>
      <x:c r="K42" s="22" t="str">
        <x:v>2022</x:v>
      </x:c>
      <x:c r="L42" s="22" t="str">
        <x:v>1843</x:v>
      </x:c>
      <x:c r="M42" s="22" t="str">
        <x:v>178</x:v>
      </x:c>
      <x:c r="N42" s="22" t="str">
        <x:v>1908</x:v>
      </x:c>
      <x:c r="O42" s="43" t="str">
        <x:v>1.8129981749215318e-07</x:v>
      </x:c>
      <x:c r="P42" s="43" t="str">
        <x:v>3.630725631253995e-08</x:v>
      </x:c>
      <x:c r="Q42" s="43" t="str">
        <x:v>3.627383349247282e-08</x:v>
      </x:c>
      <x:c r="R42" s="43" t="str">
        <x:v>3.630725631253995e-08</x:v>
      </x:c>
      <x:c r="S42" s="43" t="str">
        <x:v>4.2570130309727006e-08</x:v>
      </x:c>
      <x:c r="T42" s="43" t="str">
        <x:v>0.0</x:v>
      </x:c>
      <x:c r="U42" s="43" t="str">
        <x:v>3.630725631253995e-08</x:v>
      </x:c>
      <x:c r="V42" s="43" t="str">
        <x:v>4.3333997223893306e-08</x:v>
      </x:c>
      <x:c r="W42" s="43" t="str">
        <x:v>1.3276699156739014e-08</x:v>
      </x:c>
      <x:c r="X42" s="43" t="str">
        <x:v>1.1963464718878214e-08</x:v>
      </x:c>
      <x:c r="Y42" s="43" t="str">
        <x:v>1.2620081937808614e-08</x:v>
      </x:c>
      <x:c r="Z42" s="43" t="str">
        <x:v>8.032796372514639e-09</x:v>
      </x:c>
      <x:c r="AA42" s="43" t="str">
        <x:v>1.0794526161816975e-08</x:v>
      </x:c>
      <x:c r="AB42" s="23" t="str">
        <x:v>Candidate surface form is directly representable in the public Ngram interface. Complete 1842–2022 unsmoothed series reused from the audited quantitative-v0.1 baseline.</x:v>
      </x:c>
    </x:row>
    <x:row r="43" ht="19" customHeight="1">
      <x:c r="A43" s="20" t="str">
        <x:v>FT-SEED-R1B-P-1938-12</x:v>
      </x:c>
      <x:c r="B43" s="22" t="str">
        <x:v>1938</x:v>
      </x:c>
      <x:c r="C43" s="22" t="str">
        <x:v>12</x:v>
      </x:c>
      <x:c r="D43" s="21" t="str">
        <x:v>meteorological stations</x:v>
      </x:c>
      <x:c r="E43" s="22" t="str">
        <x:v>climate</x:v>
      </x:c>
      <x:c r="F43" s="21" t="str">
        <x:v>meteorological stations</x:v>
      </x:c>
      <x:c r="G43" s="22" t="str">
        <x:v>EXACT</x:v>
      </x:c>
      <x:c r="H43" s="21" t="str">
        <x:v>SUCCEEDED_REUSED_BASELINE</x:v>
      </x:c>
      <x:c r="I43" s="21" t="str">
        <x:v>FT-Q-V01-032</x:v>
      </x:c>
      <x:c r="J43" s="22" t="str">
        <x:v>1842</x:v>
      </x:c>
      <x:c r="K43" s="22" t="str">
        <x:v>2022</x:v>
      </x:c>
      <x:c r="L43" s="22" t="str">
        <x:v>1842</x:v>
      </x:c>
      <x:c r="M43" s="22" t="str">
        <x:v>180</x:v>
      </x:c>
      <x:c r="N43" s="22" t="str">
        <x:v>1965</x:v>
      </x:c>
      <x:c r="O43" s="43" t="str">
        <x:v>1.655199003414154e-07</x:v>
      </x:c>
      <x:c r="P43" s="43" t="str">
        <x:v>9.076814153075041e-08</x:v>
      </x:c>
      <x:c r="Q43" s="43" t="str">
        <x:v>8.024797307215614e-08</x:v>
      </x:c>
      <x:c r="R43" s="43" t="str">
        <x:v>7.701278903482489e-08</x:v>
      </x:c>
      <x:c r="S43" s="43" t="str">
        <x:v>9.829019625984259e-08</x:v>
      </x:c>
      <x:c r="T43" s="43" t="str">
        <x:v>6.449883405146295e-10</x:v>
      </x:c>
      <x:c r="U43" s="43" t="str">
        <x:v>9.076814153075041e-08</x:v>
      </x:c>
      <x:c r="V43" s="43" t="str">
        <x:v>9.47622730285147e-08</x:v>
      </x:c>
      <x:c r="W43" s="43" t="str">
        <x:v>6.752804135312651e-08</x:v>
      </x:c>
      <x:c r="X43" s="43" t="str">
        <x:v>5.707381896605246e-08</x:v>
      </x:c>
      <x:c r="Y43" s="43" t="str">
        <x:v>6.230093015958948e-08</x:v>
      </x:c>
      <x:c r="Z43" s="43" t="str">
        <x:v>4.119143208469733e-08</x:v>
      </x:c>
      <x:c r="AA43" s="43" t="str">
        <x:v>5.7069422049194074e-08</x:v>
      </x:c>
      <x:c r="AB43" s="23" t="str">
        <x:v>Candidate surface form is directly representable in the public Ngram interface. Complete 1842–2022 unsmoothed series reused from the audited quantitative-v0.1 baseline.</x:v>
      </x:c>
    </x:row>
    <x:row r="44" ht="19" customHeight="1">
      <x:c r="A44" s="20" t="str">
        <x:v>FT-SEED-R1B-P-1938-13</x:v>
      </x:c>
      <x:c r="B44" s="22" t="str">
        <x:v>1938</x:v>
      </x:c>
      <x:c r="C44" s="22" t="str">
        <x:v>13</x:v>
      </x:c>
      <x:c r="D44" s="21" t="str">
        <x:v>world temperatures</x:v>
      </x:c>
      <x:c r="E44" s="22" t="str">
        <x:v>temperature_threshold</x:v>
      </x:c>
      <x:c r="F44" s="21" t="str">
        <x:v>world temperatures</x:v>
      </x:c>
      <x:c r="G44" s="22" t="str">
        <x:v>EXACT</x:v>
      </x:c>
      <x:c r="H44" s="21" t="str">
        <x:v>SUCCEEDED_REUSED_BASELINE</x:v>
      </x:c>
      <x:c r="I44" s="21" t="str">
        <x:v>FT-Q-V01-033</x:v>
      </x:c>
      <x:c r="J44" s="22" t="str">
        <x:v>1842</x:v>
      </x:c>
      <x:c r="K44" s="22" t="str">
        <x:v>2022</x:v>
      </x:c>
      <x:c r="L44" s="22" t="str">
        <x:v>1889</x:v>
      </x:c>
      <x:c r="M44" s="22" t="str">
        <x:v>112</x:v>
      </x:c>
      <x:c r="N44" s="22" t="str">
        <x:v>2007</x:v>
      </x:c>
      <x:c r="O44" s="43" t="str">
        <x:v>7.465921342958426e-09</x:v>
      </x:c>
      <x:c r="P44" s="43" t="str">
        <x:v>2.5615549820168226e-09</x:v>
      </x:c>
      <x:c r="Q44" s="43" t="str">
        <x:v>1.5256018087717038e-09</x:v>
      </x:c>
      <x:c r="R44" s="43" t="str">
        <x:v>1.6454657914000137e-09</x:v>
      </x:c>
      <x:c r="S44" s="43" t="str">
        <x:v>2.5615549820168226e-09</x:v>
      </x:c>
      <x:c r="T44" s="43" t="str">
        <x:v>0.0</x:v>
      </x:c>
      <x:c r="U44" s="43" t="str">
        <x:v>2.5615549820168226e-09</x:v>
      </x:c>
      <x:c r="V44" s="43" t="str">
        <x:v>4.590047536501274e-09</x:v>
      </x:c>
      <x:c r="W44" s="43" t="str">
        <x:v>4.761299195188418e-09</x:v>
      </x:c>
      <x:c r="X44" s="43" t="str">
        <x:v>7.465921342958426e-09</x:v>
      </x:c>
      <x:c r="Y44" s="43" t="str">
        <x:v>6.113610269073422e-09</x:v>
      </x:c>
      <x:c r="Z44" s="43" t="str">
        <x:v>5.650978740501245e-09</x:v>
      </x:c>
      <x:c r="AA44" s="43" t="str">
        <x:v>4.114307144975626e-09</x:v>
      </x:c>
      <x:c r="AB44" s="23" t="str">
        <x:v>Candidate surface form is directly representable in the public Ngram interface. Complete 1842–2022 unsmoothed series reused from the audited quantitative-v0.1 baseline.</x:v>
      </x:c>
    </x:row>
    <x:row r="45" ht="19" customHeight="1">
      <x:c r="A45" s="20" t="str">
        <x:v>FT-SEED-R1B-P-1938-14</x:v>
      </x:c>
      <x:c r="B45" s="22" t="str">
        <x:v>1938</x:v>
      </x:c>
      <x:c r="C45" s="22" t="str">
        <x:v>14</x:v>
      </x:c>
      <x:c r="D45" s="21" t="str">
        <x:v>actually increased</x:v>
      </x:c>
      <x:c r="E45" s="22" t="str">
        <x:v>warming</x:v>
      </x:c>
      <x:c r="F45" s="21" t="str">
        <x:v>actually increased</x:v>
      </x:c>
      <x:c r="G45" s="22" t="str">
        <x:v>EXACT</x:v>
      </x:c>
      <x:c r="H45" s="21" t="str">
        <x:v>SUCCEEDED_REUSED_BASELINE</x:v>
      </x:c>
      <x:c r="I45" s="21" t="str">
        <x:v>FT-Q-V01-034</x:v>
      </x:c>
      <x:c r="J45" s="22" t="str">
        <x:v>1842</x:v>
      </x:c>
      <x:c r="K45" s="22" t="str">
        <x:v>2022</x:v>
      </x:c>
      <x:c r="L45" s="22" t="str">
        <x:v>1842</x:v>
      </x:c>
      <x:c r="M45" s="22" t="str">
        <x:v>181</x:v>
      </x:c>
      <x:c r="N45" s="22" t="str">
        <x:v>1933</x:v>
      </x:c>
      <x:c r="O45" s="43" t="str">
        <x:v>2.775292560763809e-07</x:v>
      </x:c>
      <x:c r="P45" s="43" t="str">
        <x:v>1.8042256490213848e-07</x:v>
      </x:c>
      <x:c r="Q45" s="43" t="str">
        <x:v>1.734230705124906e-07</x:v>
      </x:c>
      <x:c r="R45" s="43" t="str">
        <x:v>1.7574109278939432e-07</x:v>
      </x:c>
      <x:c r="S45" s="43" t="str">
        <x:v>1.8042256490213848e-07</x:v>
      </x:c>
      <x:c r="T45" s="43" t="str">
        <x:v>5.611398634641773e-08</x:v>
      </x:c>
      <x:c r="U45" s="43" t="str">
        <x:v>1.8042256490213848e-07</x:v>
      </x:c>
      <x:c r="V45" s="43" t="str">
        <x:v>2.2145744817819724e-07</x:v>
      </x:c>
      <x:c r="W45" s="43" t="str">
        <x:v>2.0034082142544873e-07</x:v>
      </x:c>
      <x:c r="X45" s="43" t="str">
        <x:v>2.0068036387516086e-07</x:v>
      </x:c>
      <x:c r="Y45" s="43" t="str">
        <x:v>2.005105926503048e-07</x:v>
      </x:c>
      <x:c r="Z45" s="43" t="str">
        <x:v>1.6798818923066672e-07</x:v>
      </x:c>
      <x:c r="AA45" s="43" t="str">
        <x:v>1.0051296917001906e-07</x:v>
      </x:c>
      <x:c r="AB45" s="23" t="str">
        <x:v>Candidate surface form is directly representable in the public Ngram interface. Complete 1842–2022 unsmoothed series reused from the audited quantitative-v0.1 baseline.</x:v>
      </x:c>
    </x:row>
    <x:row r="46" ht="19" customHeight="1">
      <x:c r="A46" s="20" t="str">
        <x:v>FT-SEED-R1B-P-1938-15</x:v>
      </x:c>
      <x:c r="B46" s="22" t="str">
        <x:v>1938</x:v>
      </x:c>
      <x:c r="C46" s="22" t="str">
        <x:v>15</x:v>
      </x:c>
      <x:c r="D46" s="21" t="str">
        <x:v>average rate</x:v>
      </x:c>
      <x:c r="E46" s="22" t="str">
        <x:v>temperature_threshold</x:v>
      </x:c>
      <x:c r="F46" s="21" t="str">
        <x:v>average rate</x:v>
      </x:c>
      <x:c r="G46" s="22" t="str">
        <x:v>EXACT</x:v>
      </x:c>
      <x:c r="H46" s="21" t="str">
        <x:v>SUCCEEDED_REUSED_BASELINE</x:v>
      </x:c>
      <x:c r="I46" s="21" t="str">
        <x:v>FT-Q-V01-035</x:v>
      </x:c>
      <x:c r="J46" s="22" t="str">
        <x:v>1842</x:v>
      </x:c>
      <x:c r="K46" s="22" t="str">
        <x:v>2022</x:v>
      </x:c>
      <x:c r="L46" s="22" t="str">
        <x:v>1842</x:v>
      </x:c>
      <x:c r="M46" s="22" t="str">
        <x:v>181</x:v>
      </x:c>
      <x:c r="N46" s="22" t="str">
        <x:v>1885</x:v>
      </x:c>
      <x:c r="O46" s="43" t="str">
        <x:v>4.938462941139754e-06</x:v>
      </x:c>
      <x:c r="P46" s="43" t="str">
        <x:v>2.6782727571006415e-06</x:v>
      </x:c>
      <x:c r="Q46" s="43" t="str">
        <x:v>2.751333045558635e-06</x:v>
      </x:c>
      <x:c r="R46" s="43" t="str">
        <x:v>2.750634414599995e-06</x:v>
      </x:c>
      <x:c r="S46" s="43" t="str">
        <x:v>2.89131432568146e-06</x:v>
      </x:c>
      <x:c r="T46" s="43" t="str">
        <x:v>1.0248864657502743e-06</x:v>
      </x:c>
      <x:c r="U46" s="43" t="str">
        <x:v>2.6782727571006415e-06</x:v>
      </x:c>
      <x:c r="V46" s="43" t="str">
        <x:v>1.4772549871075458e-06</x:v>
      </x:c>
      <x:c r="W46" s="43" t="str">
        <x:v>1.0879568854080257e-06</x:v>
      </x:c>
      <x:c r="X46" s="43" t="str">
        <x:v>1.1094989244009312e-06</x:v>
      </x:c>
      <x:c r="Y46" s="43" t="str">
        <x:v>1.0987279049044785e-06</x:v>
      </x:c>
      <x:c r="Z46" s="43" t="str">
        <x:v>7.784807402877458e-07</x:v>
      </x:c>
      <x:c r="AA46" s="43" t="str">
        <x:v>5.522904276411555e-07</x:v>
      </x:c>
      <x:c r="AB46" s="23" t="str">
        <x:v>Candidate surface form is directly representable in the public Ngram interface. Complete 1842–2022 unsmoothed series reused from the audited quantitative-v0.1 baseline.</x:v>
      </x:c>
    </x:row>
    <x:row r="47" ht="19" customHeight="1">
      <x:c r="A47" s="20" t="str">
        <x:v>FT-SEED-R1B-P-1938-16</x:v>
      </x:c>
      <x:c r="B47" s="22" t="str">
        <x:v>1938</x:v>
      </x:c>
      <x:c r="C47" s="22" t="str">
        <x:v>16</x:v>
      </x:c>
      <x:c r="D47" s="21" t="str">
        <x:v>small increases in mean temperature</x:v>
      </x:c>
      <x:c r="E47" s="22" t="str">
        <x:v>temperature_threshold</x:v>
      </x:c>
      <x:c r="F47" s="21" t="str">
        <x:v>small increases in mean temperature</x:v>
      </x:c>
      <x:c r="G47" s="22" t="str">
        <x:v>EXACT</x:v>
      </x:c>
      <x:c r="H47" s="21" t="str">
        <x:v>ZERO_RESPONSE_REUSED_BASELINE</x:v>
      </x:c>
      <x:c r="I47" s="21" t="str">
        <x:v>FT-Q-V01-036</x:v>
      </x:c>
      <x:c r="J47" s="22" t="str">
        <x:v>1842</x:v>
      </x:c>
      <x:c r="K47" s="22" t="str">
        <x:v>2022</x:v>
      </x:c>
      <x:c r="L47" s="22" t="str"/>
      <x:c r="M47" s="22" t="str">
        <x:v>0</x:v>
      </x:c>
      <x:c r="N47" s="22" t="str"/>
      <x:c r="O47" s="43" t="str"/>
      <x:c r="P47" s="43" t="str"/>
      <x:c r="Q47" s="43" t="str"/>
      <x:c r="R47" s="43" t="str"/>
      <x:c r="S47" s="43" t="str"/>
      <x:c r="T47" s="43" t="str"/>
      <x:c r="U47" s="43" t="str"/>
      <x:c r="V47" s="43" t="str"/>
      <x:c r="W47" s="43" t="str"/>
      <x:c r="X47" s="43" t="str"/>
      <x:c r="Y47" s="43" t="str"/>
      <x:c r="Z47" s="43" t="str"/>
      <x:c r="AA47" s="43" t="str"/>
      <x:c r="AB47" s="23" t="str">
        <x:v>Candidate surface form is directly representable in the public Ngram interface. The audited executable rule returned an empty Ngram payload; retained as source/query zero-response evidence, not historical absence.</x:v>
      </x:c>
    </x:row>
    <x:row r="48" ht="19" customHeight="1">
      <x:c r="A48" s="20" t="str">
        <x:v>FT-SEED-R1B-P-1938-17</x:v>
      </x:c>
      <x:c r="B48" s="22" t="str">
        <x:v>1938</x:v>
      </x:c>
      <x:c r="C48" s="22" t="str">
        <x:v>17</x:v>
      </x:c>
      <x:c r="D48" s="21" t="str">
        <x:v>deadly glaciers</x:v>
      </x:c>
      <x:c r="E48" s="22" t="str">
        <x:v>danger_threat</x:v>
      </x:c>
      <x:c r="F48" s="21" t="str">
        <x:v>deadly glaciers</x:v>
      </x:c>
      <x:c r="G48" s="22" t="str">
        <x:v>EXACT</x:v>
      </x:c>
      <x:c r="H48" s="21" t="str">
        <x:v>SUCCEEDED_REUSED_BASELINE</x:v>
      </x:c>
      <x:c r="I48" s="21" t="str">
        <x:v>FT-Q-V01-037</x:v>
      </x:c>
      <x:c r="J48" s="22" t="str">
        <x:v>1842</x:v>
      </x:c>
      <x:c r="K48" s="22" t="str">
        <x:v>2022</x:v>
      </x:c>
      <x:c r="L48" s="22" t="str">
        <x:v>1845</x:v>
      </x:c>
      <x:c r="M48" s="22" t="str">
        <x:v>92</x:v>
      </x:c>
      <x:c r="N48" s="22" t="str">
        <x:v>1845</x:v>
      </x:c>
      <x:c r="O48" s="43" t="str">
        <x:v>1.5025181099304064e-09</x:v>
      </x:c>
      <x:c r="P48" s="43" t="str">
        <x:v>1.1137195332633354e-10</x:v>
      </x:c>
      <x:c r="Q48" s="43" t="str">
        <x:v>4.2303724412384726e-11</x:v>
      </x:c>
      <x:c r="R48" s="43" t="str">
        <x:v>0.0</x:v>
      </x:c>
      <x:c r="S48" s="43" t="str">
        <x:v>1.1137195332633354e-10</x:v>
      </x:c>
      <x:c r="T48" s="43" t="str">
        <x:v>0.0</x:v>
      </x:c>
      <x:c r="U48" s="43" t="str">
        <x:v>1.1137195332633354e-10</x:v>
      </x:c>
      <x:c r="V48" s="43" t="str">
        <x:v>4.9355349668323e-11</x:v>
      </x:c>
      <x:c r="W48" s="43" t="str">
        <x:v>9.156344432659225e-11</x:v>
      </x:c>
      <x:c r="X48" s="43" t="str">
        <x:v>4.497542963055601e-11</x:v>
      </x:c>
      <x:c r="Y48" s="43" t="str">
        <x:v>6.826943697857413e-11</x:v>
      </x:c>
      <x:c r="Z48" s="43" t="str">
        <x:v>3.269161330532455e-10</x:v>
      </x:c>
      <x:c r="AA48" s="43" t="str">
        <x:v>2.2119930886965733e-10</x:v>
      </x:c>
      <x:c r="AB48" s="23" t="str">
        <x:v>Candidate surface form is directly representable in the public Ngram interface. Complete 1842–2022 unsmoothed series reused from the audited quantitative-v0.1 baseline.</x:v>
      </x:c>
    </x:row>
    <x:row r="49" ht="19" customHeight="1">
      <x:c r="A49" s="20" t="str">
        <x:v>FT-SEED-R1B-P-1938-18</x:v>
      </x:c>
      <x:c r="B49" s="22" t="str">
        <x:v>1938</x:v>
      </x:c>
      <x:c r="C49" s="22" t="str">
        <x:v>18</x:v>
      </x:c>
      <x:c r="D49" s="21" t="str">
        <x:v>rather a coincidence</x:v>
      </x:c>
      <x:c r="E49" s="22" t="str">
        <x:v>concern_alarm</x:v>
      </x:c>
      <x:c r="F49" s="21" t="str">
        <x:v>rather a coincidence</x:v>
      </x:c>
      <x:c r="G49" s="22" t="str">
        <x:v>EXACT</x:v>
      </x:c>
      <x:c r="H49" s="21" t="str">
        <x:v>SUCCEEDED_REUSED_BASELINE</x:v>
      </x:c>
      <x:c r="I49" s="21" t="str">
        <x:v>FT-Q-V01-038</x:v>
      </x:c>
      <x:c r="J49" s="22" t="str">
        <x:v>1842</x:v>
      </x:c>
      <x:c r="K49" s="22" t="str">
        <x:v>2022</x:v>
      </x:c>
      <x:c r="L49" s="22" t="str">
        <x:v>1842</x:v>
      </x:c>
      <x:c r="M49" s="22" t="str">
        <x:v>175</x:v>
      </x:c>
      <x:c r="N49" s="22" t="str">
        <x:v>1934</x:v>
      </x:c>
      <x:c r="O49" s="43" t="str">
        <x:v>1.1418470613477893e-08</x:v>
      </x:c>
      <x:c r="P49" s="43" t="str">
        <x:v>4.644931106412287e-09</x:v>
      </x:c>
      <x:c r="Q49" s="43" t="str">
        <x:v>4.688150873066732e-09</x:v>
      </x:c>
      <x:c r="R49" s="43" t="str">
        <x:v>4.644931106412287e-09</x:v>
      </x:c>
      <x:c r="S49" s="43" t="str">
        <x:v>6.0279620461844985e-09</x:v>
      </x:c>
      <x:c r="T49" s="43" t="str">
        <x:v>1.372755464856823e-09</x:v>
      </x:c>
      <x:c r="U49" s="43" t="str">
        <x:v>4.644931106412287e-09</x:v>
      </x:c>
      <x:c r="V49" s="43" t="str">
        <x:v>7.027831511186022e-10</x:v>
      </x:c>
      <x:c r="W49" s="43" t="str">
        <x:v>9.413307355821132e-10</x:v>
      </x:c>
      <x:c r="X49" s="43" t="str">
        <x:v>8.746421087391099e-10</x:v>
      </x:c>
      <x:c r="Y49" s="43" t="str">
        <x:v>9.079864221606115e-10</x:v>
      </x:c>
      <x:c r="Z49" s="43" t="str">
        <x:v>2.049460878783549e-09</x:v>
      </x:c>
      <x:c r="AA49" s="43" t="str">
        <x:v>3.2163039176413832e-09</x:v>
      </x:c>
      <x:c r="AB49" s="23" t="str">
        <x:v>Candidate surface form is directly representable in the public Ngram interface. Complete 1842–2022 unsmoothed series reused from the audited quantitative-v0.1 baseline.</x:v>
      </x:c>
    </x:row>
    <x:row r="50" ht="19" customHeight="1">
      <x:c r="A50" s="20" t="str">
        <x:v>FT-SEED-R1B-P-1938-19</x:v>
      </x:c>
      <x:c r="B50" s="22" t="str">
        <x:v>1938</x:v>
      </x:c>
      <x:c r="C50" s="22" t="str">
        <x:v>19</x:v>
      </x:c>
      <x:c r="D50" s="21" t="str">
        <x:v>Hottest Day for Ten Years</x:v>
      </x:c>
      <x:c r="E50" s="22" t="str">
        <x:v>heat</x:v>
      </x:c>
      <x:c r="F50" s="21" t="str">
        <x:v>Hottest Day for Ten Years</x:v>
      </x:c>
      <x:c r="G50" s="22" t="str">
        <x:v>EXACT</x:v>
      </x:c>
      <x:c r="H50" s="21" t="str">
        <x:v>ZERO_RESPONSE_REUSED_BASELINE</x:v>
      </x:c>
      <x:c r="I50" s="21" t="str">
        <x:v>FT-Q-V01-039</x:v>
      </x:c>
      <x:c r="J50" s="22" t="str">
        <x:v>1842</x:v>
      </x:c>
      <x:c r="K50" s="22" t="str">
        <x:v>2022</x:v>
      </x:c>
      <x:c r="L50" s="22" t="str"/>
      <x:c r="M50" s="22" t="str">
        <x:v>0</x:v>
      </x:c>
      <x:c r="N50" s="22" t="str"/>
      <x:c r="O50" s="43" t="str"/>
      <x:c r="P50" s="43" t="str"/>
      <x:c r="Q50" s="43" t="str"/>
      <x:c r="R50" s="43" t="str"/>
      <x:c r="S50" s="43" t="str"/>
      <x:c r="T50" s="43" t="str"/>
      <x:c r="U50" s="43" t="str"/>
      <x:c r="V50" s="43" t="str"/>
      <x:c r="W50" s="43" t="str"/>
      <x:c r="X50" s="43" t="str"/>
      <x:c r="Y50" s="43" t="str"/>
      <x:c r="Z50" s="43" t="str"/>
      <x:c r="AA50" s="43" t="str"/>
      <x:c r="AB50" s="23" t="str">
        <x:v>Candidate surface form is directly representable in the public Ngram interface. The audited executable rule returned an empty Ngram payload; retained as source/query zero-response evidence, not historical absence.</x:v>
      </x:c>
    </x:row>
    <x:row r="51" ht="19" customHeight="1">
      <x:c r="A51" s="20" t="str">
        <x:v>FT-SEED-R1B-P-1938-20</x:v>
      </x:c>
      <x:c r="B51" s="22" t="str">
        <x:v>1938</x:v>
      </x:c>
      <x:c r="C51" s="22" t="str">
        <x:v>20</x:v>
      </x:c>
      <x:c r="D51" s="21" t="str">
        <x:v>Heat Wave Over Queensland</x:v>
      </x:c>
      <x:c r="E51" s="22" t="str">
        <x:v>heat</x:v>
      </x:c>
      <x:c r="F51" s="21" t="str">
        <x:v>Heat Wave Over Queensland</x:v>
      </x:c>
      <x:c r="G51" s="22" t="str">
        <x:v>EXACT</x:v>
      </x:c>
      <x:c r="H51" s="21" t="str">
        <x:v>ZERO_RESPONSE_REUSED_BASELINE</x:v>
      </x:c>
      <x:c r="I51" s="21" t="str">
        <x:v>FT-Q-V01-040</x:v>
      </x:c>
      <x:c r="J51" s="22" t="str">
        <x:v>1842</x:v>
      </x:c>
      <x:c r="K51" s="22" t="str">
        <x:v>2022</x:v>
      </x:c>
      <x:c r="L51" s="22" t="str"/>
      <x:c r="M51" s="22" t="str">
        <x:v>0</x:v>
      </x:c>
      <x:c r="N51" s="22" t="str"/>
      <x:c r="O51" s="43" t="str"/>
      <x:c r="P51" s="43" t="str"/>
      <x:c r="Q51" s="43" t="str"/>
      <x:c r="R51" s="43" t="str"/>
      <x:c r="S51" s="43" t="str"/>
      <x:c r="T51" s="43" t="str"/>
      <x:c r="U51" s="43" t="str"/>
      <x:c r="V51" s="43" t="str"/>
      <x:c r="W51" s="43" t="str"/>
      <x:c r="X51" s="43" t="str"/>
      <x:c r="Y51" s="43" t="str"/>
      <x:c r="Z51" s="43" t="str"/>
      <x:c r="AA51" s="43" t="str"/>
      <x:c r="AB51" s="23" t="str">
        <x:v>Candidate surface form is directly representable in the public Ngram interface. The audited executable rule returned an empty Ngram payload; retained as source/query zero-response evidence, not historical absence.</x:v>
      </x:c>
    </x:row>
    <x:row r="52" ht="19" customHeight="1">
      <x:c r="A52" s="20" t="str">
        <x:v>FT-SEED-R1B-P-1938-21</x:v>
      </x:c>
      <x:c r="B52" s="22" t="str">
        <x:v>1938</x:v>
      </x:c>
      <x:c r="C52" s="22" t="str">
        <x:v>21</x:v>
      </x:c>
      <x:c r="D52" s="21" t="str">
        <x:v>heat wave</x:v>
      </x:c>
      <x:c r="E52" s="22" t="str">
        <x:v>heat</x:v>
      </x:c>
      <x:c r="F52" s="21" t="str">
        <x:v>heat wave</x:v>
      </x:c>
      <x:c r="G52" s="22" t="str">
        <x:v>EXACT</x:v>
      </x:c>
      <x:c r="H52" s="21" t="str">
        <x:v>SUCCEEDED_REUSED_BASELINE</x:v>
      </x:c>
      <x:c r="I52" s="21" t="str">
        <x:v>FT-Q-V01-139</x:v>
      </x:c>
      <x:c r="J52" s="22" t="str">
        <x:v>1842</x:v>
      </x:c>
      <x:c r="K52" s="22" t="str">
        <x:v>2022</x:v>
      </x:c>
      <x:c r="L52" s="22" t="str">
        <x:v>1842</x:v>
      </x:c>
      <x:c r="M52" s="22" t="str">
        <x:v>169</x:v>
      </x:c>
      <x:c r="N52" s="22" t="str">
        <x:v>2020</x:v>
      </x:c>
      <x:c r="O52" s="43" t="str">
        <x:v>3.703185072062576e-07</x:v>
      </x:c>
      <x:c r="P52" s="43" t="str">
        <x:v>1.9211662527496287e-07</x:v>
      </x:c>
      <x:c r="Q52" s="43" t="str">
        <x:v>2.1497802813463806e-07</x:v>
      </x:c>
      <x:c r="R52" s="43" t="str">
        <x:v>2.1731119406731558e-07</x:v>
      </x:c>
      <x:c r="S52" s="43" t="str">
        <x:v>2.596803092558275e-07</x:v>
      </x:c>
      <x:c r="T52" s="43" t="str">
        <x:v>4.514918217068953e-09</x:v>
      </x:c>
      <x:c r="U52" s="43" t="str">
        <x:v>1.9211662527496287e-07</x:v>
      </x:c>
      <x:c r="V52" s="43" t="str">
        <x:v>1.7180597014498922e-07</x:v>
      </x:c>
      <x:c r="W52" s="43" t="str">
        <x:v>2.572474944173564e-07</x:v>
      </x:c>
      <x:c r="X52" s="43" t="str">
        <x:v>2.559551631371726e-07</x:v>
      </x:c>
      <x:c r="Y52" s="43" t="str">
        <x:v>2.566013287772645e-07</x:v>
      </x:c>
      <x:c r="Z52" s="43" t="str">
        <x:v>3.5283591536677816e-07</x:v>
      </x:c>
      <x:c r="AA52" s="43" t="str">
        <x:v>3.0065411360524763e-07</x:v>
      </x:c>
      <x:c r="AB52" s="23" t="str">
        <x:v>Candidate surface form is directly representable in the public Ngram interface. Complete 1842–2022 unsmoothed series reused from the audited quantitative-v0.1 baseline.</x:v>
      </x:c>
    </x:row>
    <x:row r="53" ht="19" customHeight="1">
      <x:c r="A53" s="20" t="str">
        <x:v>FT-SEED-R1B-P-1938-22</x:v>
      </x:c>
      <x:c r="B53" s="22" t="str">
        <x:v>1938</x:v>
      </x:c>
      <x:c r="C53" s="22" t="str">
        <x:v>22</x:v>
      </x:c>
      <x:c r="D53" s="21" t="str">
        <x:v>40-degree temperatures</x:v>
      </x:c>
      <x:c r="E53" s="22" t="str">
        <x:v>temperature_threshold</x:v>
      </x:c>
      <x:c r="F53" s="21" t="str">
        <x:v>40 degree temperatures</x:v>
      </x:c>
      <x:c r="G53" s="22" t="str">
        <x:v>NORMALIZED_VARIANT</x:v>
      </x:c>
      <x:c r="H53" s="21" t="str">
        <x:v>SUCCEEDED_NEW</x:v>
      </x:c>
      <x:c r="I53" s="21" t="str">
        <x:v>FT-Q-P180-C1E5FFD153A9</x:v>
      </x:c>
      <x:c r="J53" s="22" t="str">
        <x:v>1842</x:v>
      </x:c>
      <x:c r="K53" s="22" t="str">
        <x:v>2022</x:v>
      </x:c>
      <x:c r="L53" s="22" t="str">
        <x:v>1901</x:v>
      </x:c>
      <x:c r="M53" s="22" t="str">
        <x:v>78</x:v>
      </x:c>
      <x:c r="N53" s="22" t="str">
        <x:v>1964</x:v>
      </x:c>
      <x:c r="O53" s="43" t="str">
        <x:v>6.322877221798251e-10</x:v>
      </x:c>
      <x:c r="P53" s="43" t="str">
        <x:v>0.0</x:v>
      </x:c>
      <x:c r="Q53" s="43" t="str">
        <x:v>1.5925319396536963e-10</x:v>
      </x:c>
      <x:c r="R53" s="43" t="str">
        <x:v>1.2238243751738764e-10</x:v>
      </x:c>
      <x:c r="S53" s="43" t="str">
        <x:v>4.383972351806875e-10</x:v>
      </x:c>
      <x:c r="T53" s="43" t="str">
        <x:v>0.0</x:v>
      </x:c>
      <x:c r="U53" s="43" t="str">
        <x:v>0.0</x:v>
      </x:c>
      <x:c r="V53" s="43" t="str">
        <x:v>1.0812048478747727e-10</x:v>
      </x:c>
      <x:c r="W53" s="43" t="str">
        <x:v>1.4863116293284406e-10</x:v>
      </x:c>
      <x:c r="X53" s="43" t="str">
        <x:v>1.9436491305313552e-10</x:v>
      </x:c>
      <x:c r="Y53" s="43" t="str">
        <x:v>1.714980379929898e-10</x:v>
      </x:c>
      <x:c r="Z53" s="43" t="str">
        <x:v>1.4996055786031803e-10</x:v>
      </x:c>
      <x:c r="AA53" s="43" t="str">
        <x:v>4.729858865681891e-11</x:v>
      </x:c>
      <x:c r="AB53" s="23" t="str">
        <x:v>Hyphenation is normalized; lexical content and temperature sense are unchanged. New unsmoothed 1842–2022 series retrieved for the candidate audit.</x:v>
      </x:c>
    </x:row>
    <x:row r="54" ht="19" customHeight="1">
      <x:c r="A54" s="20" t="str">
        <x:v>FT-SEED-R1B-P-1938-23</x:v>
      </x:c>
      <x:c r="B54" s="22" t="str">
        <x:v>1938</x:v>
      </x:c>
      <x:c r="C54" s="22" t="str">
        <x:v>23</x:v>
      </x:c>
      <x:c r="D54" s="21" t="str">
        <x:v>scorching westerly wind</x:v>
      </x:c>
      <x:c r="E54" s="22" t="str">
        <x:v>heat</x:v>
      </x:c>
      <x:c r="F54" s="21" t="str">
        <x:v>scorching westerly wind</x:v>
      </x:c>
      <x:c r="G54" s="22" t="str">
        <x:v>EXACT</x:v>
      </x:c>
      <x:c r="H54" s="21" t="str">
        <x:v>ZERO_RESPONSE_NEW</x:v>
      </x:c>
      <x:c r="I54" s="21" t="str">
        <x:v>FT-Q-P180-3A71EDABFA32</x:v>
      </x:c>
      <x:c r="J54" s="22" t="str">
        <x:v>1842</x:v>
      </x:c>
      <x:c r="K54" s="22" t="str">
        <x:v>2022</x:v>
      </x:c>
      <x:c r="L54" s="22" t="str"/>
      <x:c r="M54" s="22" t="str">
        <x:v>0</x:v>
      </x:c>
      <x:c r="N54" s="22" t="str"/>
      <x:c r="O54" s="43" t="str"/>
      <x:c r="P54" s="43" t="str"/>
      <x:c r="Q54" s="43" t="str"/>
      <x:c r="R54" s="43" t="str"/>
      <x:c r="S54" s="43" t="str"/>
      <x:c r="T54" s="43" t="str"/>
      <x:c r="U54" s="43" t="str"/>
      <x:c r="V54" s="43" t="str"/>
      <x:c r="W54" s="43" t="str"/>
      <x:c r="X54" s="43" t="str"/>
      <x:c r="Y54" s="43" t="str"/>
      <x:c r="Z54" s="43" t="str"/>
      <x:c r="AA54" s="43" t="str"/>
      <x:c r="AB54" s="23" t="str">
        <x:v>Candidate surface form is directly representable in the public Ngram interface. The public Ngram endpoint returned an empty list; retained without fabricating annual zero frequencies.</x:v>
      </x:c>
    </x:row>
    <x:row r="55" ht="19" customHeight="1">
      <x:c r="A55" s="20" t="str">
        <x:v>FT-SEED-R1B-P-1938-24</x:v>
      </x:c>
      <x:c r="B55" s="22" t="str">
        <x:v>1938</x:v>
      </x:c>
      <x:c r="C55" s="22" t="str">
        <x:v>24</x:v>
      </x:c>
      <x:c r="D55" s="21" t="str">
        <x:v>pitiless sun</x:v>
      </x:c>
      <x:c r="E55" s="22" t="str">
        <x:v>heat</x:v>
      </x:c>
      <x:c r="F55" s="21" t="str">
        <x:v>pitiless sun</x:v>
      </x:c>
      <x:c r="G55" s="22" t="str">
        <x:v>EXACT</x:v>
      </x:c>
      <x:c r="H55" s="21" t="str">
        <x:v>SUCCEEDED_NEW</x:v>
      </x:c>
      <x:c r="I55" s="21" t="str">
        <x:v>FT-Q-P180-ED8DED1CEFEA</x:v>
      </x:c>
      <x:c r="J55" s="22" t="str">
        <x:v>1842</x:v>
      </x:c>
      <x:c r="K55" s="22" t="str">
        <x:v>2022</x:v>
      </x:c>
      <x:c r="L55" s="22" t="str">
        <x:v>1842</x:v>
      </x:c>
      <x:c r="M55" s="22" t="str">
        <x:v>177</x:v>
      </x:c>
      <x:c r="N55" s="22" t="str">
        <x:v>1893</x:v>
      </x:c>
      <x:c r="O55" s="43" t="str">
        <x:v>1.3519818153895358e-08</x:v>
      </x:c>
      <x:c r="P55" s="43" t="str">
        <x:v>7.90740894984765e-09</x:v>
      </x:c>
      <x:c r="Q55" s="43" t="str">
        <x:v>6.7370142242673126e-09</x:v>
      </x:c>
      <x:c r="R55" s="43" t="str">
        <x:v>6.240647498767515e-09</x:v>
      </x:c>
      <x:c r="S55" s="43" t="str">
        <x:v>8.913053406445215e-09</x:v>
      </x:c>
      <x:c r="T55" s="43" t="str">
        <x:v>1.9349650770550397e-09</x:v>
      </x:c>
      <x:c r="U55" s="43" t="str">
        <x:v>7.90740894984765e-09</x:v>
      </x:c>
      <x:c r="V55" s="43" t="str">
        <x:v>2.418412137217274e-09</x:v>
      </x:c>
      <x:c r="W55" s="43" t="str">
        <x:v>3.4336291587777623e-09</x:v>
      </x:c>
      <x:c r="X55" s="43" t="str">
        <x:v>3.957837758916671e-09</x:v>
      </x:c>
      <x:c r="Y55" s="43" t="str">
        <x:v>3.695733458847217e-09</x:v>
      </x:c>
      <x:c r="Z55" s="43" t="str">
        <x:v>5.977895175396375e-09</x:v>
      </x:c>
      <x:c r="AA55" s="43" t="str">
        <x:v>8.007414870059293e-09</x:v>
      </x:c>
      <x:c r="AB55" s="23" t="str">
        <x:v>Candidate surface form is directly representable in the public Ngram interface. New unsmoothed 1842–2022 series retrieved for the candidate audit.</x:v>
      </x:c>
    </x:row>
    <x:row r="56" ht="19" customHeight="1">
      <x:c r="A56" s="20" t="str">
        <x:v>FT-SEED-R1B-P-1938-25</x:v>
      </x:c>
      <x:c r="B56" s="22" t="str">
        <x:v>1938</x:v>
      </x:c>
      <x:c r="C56" s="22" t="str">
        <x:v>25</x:v>
      </x:c>
      <x:c r="D56" s="21" t="str">
        <x:v>hottest spell for years</x:v>
      </x:c>
      <x:c r="E56" s="22" t="str">
        <x:v>heat</x:v>
      </x:c>
      <x:c r="F56" s="21" t="str">
        <x:v>hottest spell for years</x:v>
      </x:c>
      <x:c r="G56" s="22" t="str">
        <x:v>EXACT</x:v>
      </x:c>
      <x:c r="H56" s="21" t="str">
        <x:v>ZERO_RESPONSE_NEW</x:v>
      </x:c>
      <x:c r="I56" s="21" t="str">
        <x:v>FT-Q-P180-B6C72C58A1ED</x:v>
      </x:c>
      <x:c r="J56" s="22" t="str">
        <x:v>1842</x:v>
      </x:c>
      <x:c r="K56" s="22" t="str">
        <x:v>2022</x:v>
      </x:c>
      <x:c r="L56" s="22" t="str"/>
      <x:c r="M56" s="22" t="str">
        <x:v>0</x:v>
      </x:c>
      <x:c r="N56" s="22" t="str"/>
      <x:c r="O56" s="43" t="str"/>
      <x:c r="P56" s="43" t="str"/>
      <x:c r="Q56" s="43" t="str"/>
      <x:c r="R56" s="43" t="str"/>
      <x:c r="S56" s="43" t="str"/>
      <x:c r="T56" s="43" t="str"/>
      <x:c r="U56" s="43" t="str"/>
      <x:c r="V56" s="43" t="str"/>
      <x:c r="W56" s="43" t="str"/>
      <x:c r="X56" s="43" t="str"/>
      <x:c r="Y56" s="43" t="str"/>
      <x:c r="Z56" s="43" t="str"/>
      <x:c r="AA56" s="43" t="str"/>
      <x:c r="AB56" s="23" t="str">
        <x:v>Candidate surface form is directly representable in the public Ngram interface. The public Ngram endpoint returned an empty list; retained without fabricating annual zero frequencies.</x:v>
      </x:c>
    </x:row>
    <x:row r="57" ht="19" customHeight="1">
      <x:c r="A57" s="20" t="str">
        <x:v>FT-SEED-R1B-P-1938-26</x:v>
      </x:c>
      <x:c r="B57" s="22" t="str">
        <x:v>1938</x:v>
      </x:c>
      <x:c r="C57" s="22" t="str">
        <x:v>26</x:v>
      </x:c>
      <x:c r="D57" s="21" t="str">
        <x:v>weather is just bearable</x:v>
      </x:c>
      <x:c r="E57" s="22" t="str">
        <x:v>concern_alarm</x:v>
      </x:c>
      <x:c r="F57" s="21" t="str">
        <x:v>weather is just bearable</x:v>
      </x:c>
      <x:c r="G57" s="22" t="str">
        <x:v>EXACT</x:v>
      </x:c>
      <x:c r="H57" s="21" t="str">
        <x:v>ZERO_RESPONSE_NEW</x:v>
      </x:c>
      <x:c r="I57" s="21" t="str">
        <x:v>FT-Q-P180-121ABBF6993D</x:v>
      </x:c>
      <x:c r="J57" s="22" t="str">
        <x:v>1842</x:v>
      </x:c>
      <x:c r="K57" s="22" t="str">
        <x:v>2022</x:v>
      </x:c>
      <x:c r="L57" s="22" t="str"/>
      <x:c r="M57" s="22" t="str">
        <x:v>0</x:v>
      </x:c>
      <x:c r="N57" s="22" t="str"/>
      <x:c r="O57" s="43" t="str"/>
      <x:c r="P57" s="43" t="str"/>
      <x:c r="Q57" s="43" t="str"/>
      <x:c r="R57" s="43" t="str"/>
      <x:c r="S57" s="43" t="str"/>
      <x:c r="T57" s="43" t="str"/>
      <x:c r="U57" s="43" t="str"/>
      <x:c r="V57" s="43" t="str"/>
      <x:c r="W57" s="43" t="str"/>
      <x:c r="X57" s="43" t="str"/>
      <x:c r="Y57" s="43" t="str"/>
      <x:c r="Z57" s="43" t="str"/>
      <x:c r="AA57" s="43" t="str"/>
      <x:c r="AB57" s="23" t="str">
        <x:v>Candidate surface form is directly representable in the public Ngram interface. The public Ngram endpoint returned an empty list; retained without fabricating annual zero frequencies.</x:v>
      </x:c>
    </x:row>
    <x:row r="58" ht="19" customHeight="1">
      <x:c r="A58" s="20" t="str">
        <x:v>FT-SEED-R1B-P-1938-27</x:v>
      </x:c>
      <x:c r="B58" s="22" t="str">
        <x:v>1938</x:v>
      </x:c>
      <x:c r="C58" s="22" t="str">
        <x:v>27</x:v>
      </x:c>
      <x:c r="D58" s="21" t="str">
        <x:v>heat records</x:v>
      </x:c>
      <x:c r="E58" s="22" t="str">
        <x:v>heat</x:v>
      </x:c>
      <x:c r="F58" s="21" t="str">
        <x:v>heat records</x:v>
      </x:c>
      <x:c r="G58" s="22" t="str">
        <x:v>EXACT</x:v>
      </x:c>
      <x:c r="H58" s="21" t="str">
        <x:v>SUCCEEDED_NEW</x:v>
      </x:c>
      <x:c r="I58" s="21" t="str">
        <x:v>FT-Q-P180-B655080E3998</x:v>
      </x:c>
      <x:c r="J58" s="22" t="str">
        <x:v>1842</x:v>
      </x:c>
      <x:c r="K58" s="22" t="str">
        <x:v>2022</x:v>
      </x:c>
      <x:c r="L58" s="22" t="str">
        <x:v>1843</x:v>
      </x:c>
      <x:c r="M58" s="22" t="str">
        <x:v>137</x:v>
      </x:c>
      <x:c r="N58" s="22" t="str">
        <x:v>1936</x:v>
      </x:c>
      <x:c r="O58" s="43" t="str">
        <x:v>1.0014666540492101e-08</x:v>
      </x:c>
      <x:c r="P58" s="43" t="str">
        <x:v>5.6799695502540715e-09</x:v>
      </x:c>
      <x:c r="Q58" s="43" t="str">
        <x:v>5.975816386172283e-09</x:v>
      </x:c>
      <x:c r="R58" s="43" t="str">
        <x:v>5.6799695502540715e-09</x:v>
      </x:c>
      <x:c r="S58" s="43" t="str">
        <x:v>1.0014666540492101e-08</x:v>
      </x:c>
      <x:c r="T58" s="43" t="str">
        <x:v>0.0</x:v>
      </x:c>
      <x:c r="U58" s="43" t="str">
        <x:v>5.6799695502540715e-09</x:v>
      </x:c>
      <x:c r="V58" s="43" t="str">
        <x:v>1.8755033186212966e-09</x:v>
      </x:c>
      <x:c r="W58" s="43" t="str">
        <x:v>1.3276699219189059e-09</x:v>
      </x:c>
      <x:c r="X58" s="43" t="str">
        <x:v>9.894594484027852e-10</x:v>
      </x:c>
      <x:c r="Y58" s="43" t="str">
        <x:v>1.1585646851608455e-09</x:v>
      </x:c>
      <x:c r="Z58" s="43" t="str">
        <x:v>2.1950082793043e-09</x:v>
      </x:c>
      <x:c r="AA58" s="43" t="str">
        <x:v>3.5391889141589417e-09</x:v>
      </x:c>
      <x:c r="AB58" s="23" t="str">
        <x:v>Candidate surface form is directly representable in the public Ngram interface. New unsmoothed 1842–2022 series retrieved for the candidate audit.</x:v>
      </x:c>
    </x:row>
    <x:row r="59" ht="19" customHeight="1">
      <x:c r="A59" s="20" t="str">
        <x:v>FT-SEED-R1B-P-1938-28</x:v>
      </x:c>
      <x:c r="B59" s="22" t="str">
        <x:v>1938</x:v>
      </x:c>
      <x:c r="C59" s="22" t="str">
        <x:v>28</x:v>
      </x:c>
      <x:c r="D59" s="21" t="str">
        <x:v>drought</x:v>
      </x:c>
      <x:c r="E59" s="22" t="str">
        <x:v>harm_loss_consequences</x:v>
      </x:c>
      <x:c r="F59" s="21" t="str">
        <x:v>drought</x:v>
      </x:c>
      <x:c r="G59" s="22" t="str">
        <x:v>EXACT</x:v>
      </x:c>
      <x:c r="H59" s="21" t="str">
        <x:v>SUCCEEDED_REUSED_BASELINE</x:v>
      </x:c>
      <x:c r="I59" s="21" t="str">
        <x:v>FT-Q-P180-E42CD0DB6D56</x:v>
      </x:c>
      <x:c r="J59" s="22" t="str">
        <x:v>1842</x:v>
      </x:c>
      <x:c r="K59" s="22" t="str">
        <x:v>2022</x:v>
      </x:c>
      <x:c r="L59" s="22" t="str">
        <x:v>1842</x:v>
      </x:c>
      <x:c r="M59" s="22" t="str">
        <x:v>181</x:v>
      </x:c>
      <x:c r="N59" s="22" t="str">
        <x:v>1934</x:v>
      </x:c>
      <x:c r="O59" s="43" t="str">
        <x:v>1.4142492887003755e-05</x:v>
      </x:c>
      <x:c r="P59" s="43" t="str">
        <x:v>9.374461029665326e-06</x:v>
      </x:c>
      <x:c r="Q59" s="43" t="str">
        <x:v>9.55775340969467e-06</x:v>
      </x:c>
      <x:c r="R59" s="43" t="str">
        <x:v>9.374461029665326e-06</x:v>
      </x:c>
      <x:c r="S59" s="43" t="str">
        <x:v>1.150456472487349e-05</x:v>
      </x:c>
      <x:c r="T59" s="43" t="str">
        <x:v>3.1151387602790237e-06</x:v>
      </x:c>
      <x:c r="U59" s="43" t="str">
        <x:v>9.374461029665326e-06</x:v>
      </x:c>
      <x:c r="V59" s="43" t="str">
        <x:v>1.090940310177757e-05</x:v>
      </x:c>
      <x:c r="W59" s="43" t="str">
        <x:v>6.629869545804468e-06</x:v>
      </x:c>
      <x:c r="X59" s="43" t="str">
        <x:v>6.241732602774164e-06</x:v>
      </x:c>
      <x:c r="Y59" s="43" t="str">
        <x:v>6.435801074289316e-06</x:v>
      </x:c>
      <x:c r="Z59" s="43" t="str">
        <x:v>5.7625219831436425e-06</x:v>
      </x:c>
      <x:c r="AA59" s="43" t="str">
        <x:v>8.803938708723535e-06</x:v>
      </x:c>
      <x:c r="AB59" s="23" t="str">
        <x:v>Candidate surface form is directly representable in the public Ngram interface. Complete 1842–2022 unsmoothed series reused from the audited quantitative-v0.1 baseline.</x:v>
      </x:c>
    </x:row>
    <x:row r="60" ht="19" customHeight="1">
      <x:c r="A60" s="20" t="str">
        <x:v>FT-SEED-R1B-P-1938-29</x:v>
      </x:c>
      <x:c r="B60" s="22" t="str">
        <x:v>1938</x:v>
      </x:c>
      <x:c r="C60" s="22" t="str">
        <x:v>29</x:v>
      </x:c>
      <x:c r="D60" s="21" t="str">
        <x:v>grass fires</x:v>
      </x:c>
      <x:c r="E60" s="22" t="str">
        <x:v>harm_loss_consequences</x:v>
      </x:c>
      <x:c r="F60" s="21" t="str">
        <x:v>grass fires</x:v>
      </x:c>
      <x:c r="G60" s="22" t="str">
        <x:v>EXACT</x:v>
      </x:c>
      <x:c r="H60" s="21" t="str">
        <x:v>SUCCEEDED_NEW</x:v>
      </x:c>
      <x:c r="I60" s="21" t="str">
        <x:v>FT-Q-P180-D32C48F05555</x:v>
      </x:c>
      <x:c r="J60" s="22" t="str">
        <x:v>1842</x:v>
      </x:c>
      <x:c r="K60" s="22" t="str">
        <x:v>2022</x:v>
      </x:c>
      <x:c r="L60" s="22" t="str">
        <x:v>1846</x:v>
      </x:c>
      <x:c r="M60" s="22" t="str">
        <x:v>162</x:v>
      </x:c>
      <x:c r="N60" s="22" t="str">
        <x:v>1946</x:v>
      </x:c>
      <x:c r="O60" s="43" t="str">
        <x:v>9.174678930468083e-08</x:v>
      </x:c>
      <x:c r="P60" s="43" t="str">
        <x:v>7.929683021323797e-08</x:v>
      </x:c>
      <x:c r="Q60" s="43" t="str">
        <x:v>7.162705532581804e-08</x:v>
      </x:c>
      <x:c r="R60" s="43" t="str">
        <x:v>6.965008447767929e-08</x:v>
      </x:c>
      <x:c r="S60" s="43" t="str">
        <x:v>8.011733343415983e-08</x:v>
      </x:c>
      <x:c r="T60" s="43" t="str">
        <x:v>0.0</x:v>
      </x:c>
      <x:c r="U60" s="43" t="str">
        <x:v>7.929683021323797e-08</x:v>
      </x:c>
      <x:c r="V60" s="43" t="str">
        <x:v>2.6454467616510158e-08</x:v>
      </x:c>
      <x:c r="W60" s="43" t="str">
        <x:v>1.9411450197237556e-08</x:v>
      </x:c>
      <x:c r="X60" s="43" t="str">
        <x:v>1.641603147861659e-08</x:v>
      </x:c>
      <x:c r="Y60" s="43" t="str">
        <x:v>1.7913740837927072e-08</x:v>
      </x:c>
      <x:c r="Z60" s="43" t="str">
        <x:v>1.634580614612302e-08</x:v>
      </x:c>
      <x:c r="AA60" s="43" t="str">
        <x:v>1.336043833899403e-08</x:v>
      </x:c>
      <x:c r="AB60" s="23" t="str">
        <x:v>Candidate surface form is directly representable in the public Ngram interface. New unsmoothed 1842–2022 series retrieved for the candidate audit.</x:v>
      </x:c>
    </x:row>
    <x:row r="61" ht="19" customHeight="1">
      <x:c r="A61" s="20" t="str">
        <x:v>FT-SEED-R1B-P-1938-30</x:v>
      </x:c>
      <x:c r="B61" s="22" t="str">
        <x:v>1938</x:v>
      </x:c>
      <x:c r="C61" s="22" t="str">
        <x:v>30</x:v>
      </x:c>
      <x:c r="D61" s="21" t="str">
        <x:v>unbearable heat</x:v>
      </x:c>
      <x:c r="E61" s="22" t="str">
        <x:v>heat</x:v>
      </x:c>
      <x:c r="F61" s="21" t="str">
        <x:v>unbearable heat</x:v>
      </x:c>
      <x:c r="G61" s="22" t="str">
        <x:v>EXACT</x:v>
      </x:c>
      <x:c r="H61" s="21" t="str">
        <x:v>SUCCEEDED_NEW</x:v>
      </x:c>
      <x:c r="I61" s="21" t="str">
        <x:v>FT-Q-P180-B3F473A5DEDD</x:v>
      </x:c>
      <x:c r="J61" s="22" t="str">
        <x:v>1842</x:v>
      </x:c>
      <x:c r="K61" s="22" t="str">
        <x:v>2022</x:v>
      </x:c>
      <x:c r="L61" s="22" t="str">
        <x:v>1842</x:v>
      </x:c>
      <x:c r="M61" s="22" t="str">
        <x:v>176</x:v>
      </x:c>
      <x:c r="N61" s="22" t="str">
        <x:v>2021</x:v>
      </x:c>
      <x:c r="O61" s="43" t="str">
        <x:v>3.392838843208068e-08</x:v>
      </x:c>
      <x:c r="P61" s="43" t="str">
        <x:v>7.907408366980562e-09</x:v>
      </x:c>
      <x:c r="Q61" s="43" t="str">
        <x:v>7.272420282644631e-09</x:v>
      </x:c>
      <x:c r="R61" s="43" t="str">
        <x:v>7.72650121660945e-09</x:v>
      </x:c>
      <x:c r="S61" s="43" t="str">
        <x:v>9.806732093053938e-09</x:v>
      </x:c>
      <x:c r="T61" s="43" t="str">
        <x:v>1.289976681029259e-09</x:v>
      </x:c>
      <x:c r="U61" s="43" t="str">
        <x:v>7.907408366980562e-09</x:v>
      </x:c>
      <x:c r="V61" s="43" t="str">
        <x:v>9.1800950695331e-09</x:v>
      </x:c>
      <x:c r="W61" s="43" t="str">
        <x:v>1.7809089807030443e-08</x:v>
      </x:c>
      <x:c r="X61" s="43" t="str">
        <x:v>1.9834165254639657e-08</x:v>
      </x:c>
      <x:c r="Y61" s="43" t="str">
        <x:v>1.882162753083505e-08</x:v>
      </x:c>
      <x:c r="Z61" s="43" t="str">
        <x:v>2.937575081796151e-08</x:v>
      </x:c>
      <x:c r="AA61" s="43" t="str">
        <x:v>3.092366304691119e-08</x:v>
      </x:c>
      <x:c r="AB61" s="23" t="str">
        <x:v>Candidate surface form is directly representable in the public Ngram interface. New unsmoothed 1842–2022 series retrieved for the candidate audit.</x:v>
      </x:c>
    </x:row>
    <x:row r="62" ht="19" customHeight="1">
      <x:c r="A62" s="20" t="str">
        <x:v>FT-SEED-R1B-P-1988-01</x:v>
      </x:c>
      <x:c r="B62" s="22" t="str">
        <x:v>1988</x:v>
      </x:c>
      <x:c r="C62" s="22" t="str">
        <x:v>1</x:v>
      </x:c>
      <x:c r="D62" s="21" t="str">
        <x:v>greenhouse effect</x:v>
      </x:c>
      <x:c r="E62" s="22" t="str">
        <x:v>carbon_greenhouse</x:v>
      </x:c>
      <x:c r="F62" s="21" t="str">
        <x:v>greenhouse effect</x:v>
      </x:c>
      <x:c r="G62" s="22" t="str">
        <x:v>EXACT</x:v>
      </x:c>
      <x:c r="H62" s="21" t="str">
        <x:v>SUCCEEDED_REUSED_BASELINE</x:v>
      </x:c>
      <x:c r="I62" s="21" t="str">
        <x:v>FT-Q-V01-041</x:v>
      </x:c>
      <x:c r="J62" s="22" t="str">
        <x:v>1842</x:v>
      </x:c>
      <x:c r="K62" s="22" t="str">
        <x:v>2022</x:v>
      </x:c>
      <x:c r="L62" s="22" t="str">
        <x:v>1843</x:v>
      </x:c>
      <x:c r="M62" s="22" t="str">
        <x:v>133</x:v>
      </x:c>
      <x:c r="N62" s="22" t="str">
        <x:v>1990</x:v>
      </x:c>
      <x:c r="O62" s="43" t="str">
        <x:v>1.9607200425764137e-06</x:v>
      </x:c>
      <x:c r="P62" s="43" t="str">
        <x:v>1.0860151045330446e-06</x:v>
      </x:c>
      <x:c r="Q62" s="43" t="str">
        <x:v>1.1813752772843467e-06</x:v>
      </x:c>
      <x:c r="R62" s="43" t="str">
        <x:v>1.0860151045330446e-06</x:v>
      </x:c>
      <x:c r="S62" s="43" t="str">
        <x:v>1.9607200425764137e-06</x:v>
      </x:c>
      <x:c r="T62" s="43" t="str">
        <x:v>0.0</x:v>
      </x:c>
      <x:c r="U62" s="43" t="str">
        <x:v>9.689360203068986e-09</x:v>
      </x:c>
      <x:c r="V62" s="43" t="str">
        <x:v>1.0860151045330446e-06</x:v>
      </x:c>
      <x:c r="W62" s="43" t="str">
        <x:v>4.812116740637862e-07</x:v>
      </x:c>
      <x:c r="X62" s="43" t="str">
        <x:v>5.082223493886595e-07</x:v>
      </x:c>
      <x:c r="Y62" s="43" t="str">
        <x:v>4.947170117262228e-07</x:v>
      </x:c>
      <x:c r="Z62" s="43" t="str">
        <x:v>4.1616425027965476e-07</x:v>
      </x:c>
      <x:c r="AA62" s="43" t="str">
        <x:v>4.5310465940362477e-07</x:v>
      </x:c>
      <x:c r="AB62" s="23" t="str">
        <x:v>Candidate surface form is directly representable in the public Ngram interface. Complete 1842–2022 unsmoothed series reused from the audited quantitative-v0.1 baseline.</x:v>
      </x:c>
    </x:row>
    <x:row r="63" ht="19" customHeight="1">
      <x:c r="A63" s="20" t="str">
        <x:v>FT-SEED-R1B-P-1988-02</x:v>
      </x:c>
      <x:c r="B63" s="22" t="str">
        <x:v>1988</x:v>
      </x:c>
      <x:c r="C63" s="22" t="str">
        <x:v>2</x:v>
      </x:c>
      <x:c r="D63" s="21" t="str">
        <x:v>global warming</x:v>
      </x:c>
      <x:c r="E63" s="22" t="str">
        <x:v>warming</x:v>
      </x:c>
      <x:c r="F63" s="21" t="str">
        <x:v>global warming</x:v>
      </x:c>
      <x:c r="G63" s="22" t="str">
        <x:v>EXACT</x:v>
      </x:c>
      <x:c r="H63" s="21" t="str">
        <x:v>SUCCEEDED_REUSED_BASELINE</x:v>
      </x:c>
      <x:c r="I63" s="21" t="str">
        <x:v>FT-Q-V01-042</x:v>
      </x:c>
      <x:c r="J63" s="22" t="str">
        <x:v>1842</x:v>
      </x:c>
      <x:c r="K63" s="22" t="str">
        <x:v>2022</x:v>
      </x:c>
      <x:c r="L63" s="22" t="str">
        <x:v>1843</x:v>
      </x:c>
      <x:c r="M63" s="22" t="str">
        <x:v>138</x:v>
      </x:c>
      <x:c r="N63" s="22" t="str">
        <x:v>2009</x:v>
      </x:c>
      <x:c r="O63" s="43" t="str">
        <x:v>5.445639571555194e-06</x:v>
      </x:c>
      <x:c r="P63" s="43" t="str">
        <x:v>6.400895369296222e-07</x:v>
      </x:c>
      <x:c r="Q63" s="43" t="str">
        <x:v>1.1427371357071448e-06</x:v>
      </x:c>
      <x:c r="R63" s="43" t="str">
        <x:v>6.400895369296222e-07</x:v>
      </x:c>
      <x:c r="S63" s="43" t="str">
        <x:v>2.645472821902195e-06</x:v>
      </x:c>
      <x:c r="T63" s="43" t="str">
        <x:v>0.0</x:v>
      </x:c>
      <x:c r="U63" s="43" t="str">
        <x:v>2.0046951182406403e-09</x:v>
      </x:c>
      <x:c r="V63" s="43" t="str">
        <x:v>6.400895369296222e-07</x:v>
      </x:c>
      <x:c r="W63" s="43" t="str">
        <x:v>3.3939363127816202e-06</x:v>
      </x:c>
      <x:c r="X63" s="43" t="str">
        <x:v>4.9616444240396795e-06</x:v>
      </x:c>
      <x:c r="Y63" s="43" t="str">
        <x:v>4.17779036841065e-06</x:v>
      </x:c>
      <x:c r="Z63" s="43" t="str">
        <x:v>3.293586607857474e-06</x:v>
      </x:c>
      <x:c r="AA63" s="43" t="str">
        <x:v>3.963670369644401e-06</x:v>
      </x:c>
      <x:c r="AB63" s="23" t="str">
        <x:v>Candidate surface form is directly representable in the public Ngram interface. Complete 1842–2022 unsmoothed series reused from the audited quantitative-v0.1 baseline.</x:v>
      </x:c>
    </x:row>
    <x:row r="64" ht="19" customHeight="1">
      <x:c r="A64" s="20" t="str">
        <x:v>FT-SEED-R1B-P-1988-03</x:v>
      </x:c>
      <x:c r="B64" s="22" t="str">
        <x:v>1988</x:v>
      </x:c>
      <x:c r="C64" s="22" t="str">
        <x:v>3</x:v>
      </x:c>
      <x:c r="D64" s="21" t="str">
        <x:v>earth is warmer</x:v>
      </x:c>
      <x:c r="E64" s="22" t="str">
        <x:v>warming</x:v>
      </x:c>
      <x:c r="F64" s="21" t="str">
        <x:v>earth is warmer</x:v>
      </x:c>
      <x:c r="G64" s="22" t="str">
        <x:v>EXACT</x:v>
      </x:c>
      <x:c r="H64" s="21" t="str">
        <x:v>SUCCEEDED_REUSED_BASELINE</x:v>
      </x:c>
      <x:c r="I64" s="21" t="str">
        <x:v>FT-Q-V01-043</x:v>
      </x:c>
      <x:c r="J64" s="22" t="str">
        <x:v>1842</x:v>
      </x:c>
      <x:c r="K64" s="22" t="str">
        <x:v>2022</x:v>
      </x:c>
      <x:c r="L64" s="22" t="str">
        <x:v>1844</x:v>
      </x:c>
      <x:c r="M64" s="22" t="str">
        <x:v>168</x:v>
      </x:c>
      <x:c r="N64" s="22" t="str">
        <x:v>1857</x:v>
      </x:c>
      <x:c r="O64" s="43" t="str">
        <x:v>1.4437074646878045e-08</x:v>
      </x:c>
      <x:c r="P64" s="43" t="str">
        <x:v>1.2433855611782008e-09</x:v>
      </x:c>
      <x:c r="Q64" s="43" t="str">
        <x:v>6.124371773608139e-10</x:v>
      </x:c>
      <x:c r="R64" s="43" t="str">
        <x:v>4.984370555183304e-10</x:v>
      </x:c>
      <x:c r="S64" s="43" t="str">
        <x:v>1.2433855611782008e-09</x:v>
      </x:c>
      <x:c r="T64" s="43" t="str">
        <x:v>0.0</x:v>
      </x:c>
      <x:c r="U64" s="43" t="str">
        <x:v>2.444700553105861e-10</x:v>
      </x:c>
      <x:c r="V64" s="43" t="str">
        <x:v>1.2433855611782008e-09</x:v>
      </x:c>
      <x:c r="W64" s="43" t="str">
        <x:v>1.0404181960410597e-09</x:v>
      </x:c>
      <x:c r="X64" s="43" t="str">
        <x:v>2.235196472355483e-09</x:v>
      </x:c>
      <x:c r="Y64" s="43" t="str">
        <x:v>1.6378073341982713e-09</x:v>
      </x:c>
      <x:c r="Z64" s="43" t="str">
        <x:v>1.249671310876721e-09</x:v>
      </x:c>
      <x:c r="AA64" s="43" t="str">
        <x:v>1.7027492194010563e-09</x:v>
      </x:c>
      <x:c r="AB64" s="23" t="str">
        <x:v>Candidate surface form is directly representable in the public Ngram interface. Complete 1842–2022 unsmoothed series reused from the audited quantitative-v0.1 baseline.</x:v>
      </x:c>
    </x:row>
    <x:row r="65" ht="19" customHeight="1">
      <x:c r="A65" s="20" t="str">
        <x:v>FT-SEED-R1B-P-1988-04</x:v>
      </x:c>
      <x:c r="B65" s="22" t="str">
        <x:v>1988</x:v>
      </x:c>
      <x:c r="C65" s="22" t="str">
        <x:v>4</x:v>
      </x:c>
      <x:c r="D65" s="21" t="str">
        <x:v>instrumental measurements</x:v>
      </x:c>
      <x:c r="E65" s="22" t="str">
        <x:v>climate</x:v>
      </x:c>
      <x:c r="F65" s="21" t="str">
        <x:v>instrumental measurements</x:v>
      </x:c>
      <x:c r="G65" s="22" t="str">
        <x:v>EXACT</x:v>
      </x:c>
      <x:c r="H65" s="21" t="str">
        <x:v>SUCCEEDED_REUSED_BASELINE</x:v>
      </x:c>
      <x:c r="I65" s="21" t="str">
        <x:v>FT-Q-V01-044</x:v>
      </x:c>
      <x:c r="J65" s="22" t="str">
        <x:v>1842</x:v>
      </x:c>
      <x:c r="K65" s="22" t="str">
        <x:v>2022</x:v>
      </x:c>
      <x:c r="L65" s="22" t="str">
        <x:v>1844</x:v>
      </x:c>
      <x:c r="M65" s="22" t="str">
        <x:v>176</x:v>
      </x:c>
      <x:c r="N65" s="22" t="str">
        <x:v>1974</x:v>
      </x:c>
      <x:c r="O65" s="43" t="str">
        <x:v>1.8620491870624534e-08</x:v>
      </x:c>
      <x:c r="P65" s="43" t="str">
        <x:v>6.959104164455665e-09</x:v>
      </x:c>
      <x:c r="Q65" s="43" t="str">
        <x:v>9.169332604308522e-09</x:v>
      </x:c>
      <x:c r="R65" s="43" t="str">
        <x:v>8.630308870327674e-09</x:v>
      </x:c>
      <x:c r="S65" s="43" t="str">
        <x:v>1.2465769499980794e-08</x:v>
      </x:c>
      <x:c r="T65" s="43" t="str">
        <x:v>0.0</x:v>
      </x:c>
      <x:c r="U65" s="43" t="str">
        <x:v>4.343506249115947e-09</x:v>
      </x:c>
      <x:c r="V65" s="43" t="str">
        <x:v>6.959104164455665e-09</x:v>
      </x:c>
      <x:c r="W65" s="43" t="str">
        <x:v>9.659943039919128e-09</x:v>
      </x:c>
      <x:c r="X65" s="43" t="str">
        <x:v>1.1558685786283718e-08</x:v>
      </x:c>
      <x:c r="Y65" s="43" t="str">
        <x:v>1.0609314413101423e-08</x:v>
      </x:c>
      <x:c r="Z65" s="43" t="str">
        <x:v>7.752582603659519e-09</x:v>
      </x:c>
      <x:c r="AA65" s="43" t="str">
        <x:v>8.892212299826951e-09</x:v>
      </x:c>
      <x:c r="AB65" s="23" t="str">
        <x:v>Candidate surface form is directly representable in the public Ngram interface. Complete 1842–2022 unsmoothed series reused from the audited quantitative-v0.1 baseline.</x:v>
      </x:c>
    </x:row>
    <x:row r="66" ht="19" customHeight="1">
      <x:c r="A66" s="20" t="str">
        <x:v>FT-SEED-R1B-P-1988-05</x:v>
      </x:c>
      <x:c r="B66" s="22" t="str">
        <x:v>1988</x:v>
      </x:c>
      <x:c r="C66" s="22" t="str">
        <x:v>5</x:v>
      </x:c>
      <x:c r="D66" s="21" t="str">
        <x:v>cause-and-effect relationship</x:v>
      </x:c>
      <x:c r="E66" s="22" t="str">
        <x:v>harm_loss_consequences</x:v>
      </x:c>
      <x:c r="F66" s="21" t="str">
        <x:v>cause-and-effect relationship</x:v>
      </x:c>
      <x:c r="G66" s="22" t="str">
        <x:v>EXACT</x:v>
      </x:c>
      <x:c r="H66" s="21" t="str">
        <x:v>SUCCEEDED_REUSED_BASELINE</x:v>
      </x:c>
      <x:c r="I66" s="21" t="str">
        <x:v>FT-Q-V01-045</x:v>
      </x:c>
      <x:c r="J66" s="22" t="str">
        <x:v>1842</x:v>
      </x:c>
      <x:c r="K66" s="22" t="str">
        <x:v>2022</x:v>
      </x:c>
      <x:c r="L66" s="22" t="str">
        <x:v>1870</x:v>
      </x:c>
      <x:c r="M66" s="22" t="str">
        <x:v>127</x:v>
      </x:c>
      <x:c r="N66" s="22" t="str">
        <x:v>2011</x:v>
      </x:c>
      <x:c r="O66" s="43" t="str">
        <x:v>1.3955706246182586e-07</x:v>
      </x:c>
      <x:c r="P66" s="43" t="str">
        <x:v>1.0407409367640952e-07</x:v>
      </x:c>
      <x:c r="Q66" s="43" t="str">
        <x:v>1.0096391321601228e-07</x:v>
      </x:c>
      <x:c r="R66" s="43" t="str">
        <x:v>1.0057708016431022e-07</x:v>
      </x:c>
      <x:c r="S66" s="43" t="str">
        <x:v>1.0407409367640952e-07</x:v>
      </x:c>
      <x:c r="T66" s="43" t="str">
        <x:v>0.0</x:v>
      </x:c>
      <x:c r="U66" s="43" t="str">
        <x:v>1.1530812887849962e-08</x:v>
      </x:c>
      <x:c r="V66" s="43" t="str">
        <x:v>1.0407409367640952e-07</x:v>
      </x:c>
      <x:c r="W66" s="43" t="str">
        <x:v>1.102150947035474e-07</x:v>
      </x:c>
      <x:c r="X66" s="43" t="str">
        <x:v>1.140745307104396e-07</x:v>
      </x:c>
      <x:c r="Y66" s="43" t="str">
        <x:v>1.121448127069935e-07</x:v>
      </x:c>
      <x:c r="Z66" s="43" t="str">
        <x:v>1.3750027827441613e-07</x:v>
      </x:c>
      <x:c r="AA66" s="43" t="str">
        <x:v>1.0467785772905192e-07</x:v>
      </x:c>
      <x:c r="AB66" s="23" t="str">
        <x:v>Candidate surface form is directly representable in the public Ngram interface. Complete 1842–2022 unsmoothed series reused from the audited quantitative-v0.1 baseline.</x:v>
      </x:c>
    </x:row>
    <x:row r="67" ht="19" customHeight="1">
      <x:c r="A67" s="20" t="str">
        <x:v>FT-SEED-R1B-P-1988-06</x:v>
      </x:c>
      <x:c r="B67" s="22" t="str">
        <x:v>1988</x:v>
      </x:c>
      <x:c r="C67" s="22" t="str">
        <x:v>6</x:v>
      </x:c>
      <x:c r="D67" s="21" t="str">
        <x:v>global temperature</x:v>
      </x:c>
      <x:c r="E67" s="22" t="str">
        <x:v>temperature_threshold</x:v>
      </x:c>
      <x:c r="F67" s="21" t="str">
        <x:v>global temperature</x:v>
      </x:c>
      <x:c r="G67" s="22" t="str">
        <x:v>EXACT</x:v>
      </x:c>
      <x:c r="H67" s="21" t="str">
        <x:v>SUCCEEDED_REUSED_BASELINE</x:v>
      </x:c>
      <x:c r="I67" s="21" t="str">
        <x:v>FT-Q-V01-046</x:v>
      </x:c>
      <x:c r="J67" s="22" t="str">
        <x:v>1842</x:v>
      </x:c>
      <x:c r="K67" s="22" t="str">
        <x:v>2022</x:v>
      </x:c>
      <x:c r="L67" s="22" t="str">
        <x:v>1843</x:v>
      </x:c>
      <x:c r="M67" s="22" t="str">
        <x:v>101</x:v>
      </x:c>
      <x:c r="N67" s="22" t="str">
        <x:v>2022</x:v>
      </x:c>
      <x:c r="O67" s="43" t="str">
        <x:v>3.1405876510515185e-07</x:v>
      </x:c>
      <x:c r="P67" s="43" t="str">
        <x:v>1.1016113932171834e-07</x:v>
      </x:c>
      <x:c r="Q67" s="43" t="str">
        <x:v>1.0545273128742539e-07</x:v>
      </x:c>
      <x:c r="R67" s="43" t="str">
        <x:v>1.1016113932171834e-07</x:v>
      </x:c>
      <x:c r="S67" s="43" t="str">
        <x:v>1.5891582040572505e-07</x:v>
      </x:c>
      <x:c r="T67" s="43" t="str">
        <x:v>0.0</x:v>
      </x:c>
      <x:c r="U67" s="43" t="str">
        <x:v>0.0</x:v>
      </x:c>
      <x:c r="V67" s="43" t="str">
        <x:v>1.1016113932171834e-07</x:v>
      </x:c>
      <x:c r="W67" s="43" t="str">
        <x:v>1.36521097881398e-07</x:v>
      </x:c>
      <x:c r="X67" s="43" t="str">
        <x:v>1.5233178399937097e-07</x:v>
      </x:c>
      <x:c r="Y67" s="43" t="str">
        <x:v>1.4442644094038448e-07</x:v>
      </x:c>
      <x:c r="Z67" s="43" t="str">
        <x:v>1.917596575834457e-07</x:v>
      </x:c>
      <x:c r="AA67" s="43" t="str">
        <x:v>3.1405876510515185e-07</x:v>
      </x:c>
      <x:c r="AB67" s="23" t="str">
        <x:v>Candidate surface form is directly representable in the public Ngram interface. Complete 1842–2022 unsmoothed series reused from the audited quantitative-v0.1 baseline.</x:v>
      </x:c>
    </x:row>
    <x:row r="68" ht="19" customHeight="1">
      <x:c r="A68" s="20" t="str">
        <x:v>FT-SEED-R1B-P-1988-07</x:v>
      </x:c>
      <x:c r="B68" s="22" t="str">
        <x:v>1988</x:v>
      </x:c>
      <x:c r="C68" s="22" t="str">
        <x:v>7</x:v>
      </x:c>
      <x:c r="D68" s="21" t="str">
        <x:v>regional heat waves</x:v>
      </x:c>
      <x:c r="E68" s="22" t="str">
        <x:v>heat</x:v>
      </x:c>
      <x:c r="F68" s="21" t="str">
        <x:v>regional heat waves</x:v>
      </x:c>
      <x:c r="G68" s="22" t="str">
        <x:v>EXACT</x:v>
      </x:c>
      <x:c r="H68" s="21" t="str">
        <x:v>SUCCEEDED_REUSED_BASELINE</x:v>
      </x:c>
      <x:c r="I68" s="21" t="str">
        <x:v>FT-Q-V01-047</x:v>
      </x:c>
      <x:c r="J68" s="22" t="str">
        <x:v>1842</x:v>
      </x:c>
      <x:c r="K68" s="22" t="str">
        <x:v>2022</x:v>
      </x:c>
      <x:c r="L68" s="22" t="str">
        <x:v>1954</x:v>
      </x:c>
      <x:c r="M68" s="22" t="str">
        <x:v>39</x:v>
      </x:c>
      <x:c r="N68" s="22" t="str">
        <x:v>1990</x:v>
      </x:c>
      <x:c r="O68" s="43" t="str">
        <x:v>2.8410911401266503e-09</x:v>
      </x:c>
      <x:c r="P68" s="43" t="str">
        <x:v>7.0278316499639e-10</x:v>
      </x:c>
      <x:c r="Q68" s="43" t="str">
        <x:v>1.1086871302967705e-09</x:v>
      </x:c>
      <x:c r="R68" s="43" t="str">
        <x:v>7.0278316499639e-10</x:v>
      </x:c>
      <x:c r="S68" s="43" t="str">
        <x:v>2.8410911401266503e-09</x:v>
      </x:c>
      <x:c r="T68" s="43" t="str">
        <x:v>0.0</x:v>
      </x:c>
      <x:c r="U68" s="43" t="str">
        <x:v>0.0</x:v>
      </x:c>
      <x:c r="V68" s="43" t="str">
        <x:v>7.0278316499639e-10</x:v>
      </x:c>
      <x:c r="W68" s="43" t="str">
        <x:v>4.954372329057932e-11</x:v>
      </x:c>
      <x:c r="X68" s="43" t="str">
        <x:v>9.718245652656776e-11</x:v>
      </x:c>
      <x:c r="Y68" s="43" t="str">
        <x:v>7.336308990857354e-11</x:v>
      </x:c>
      <x:c r="Z68" s="43" t="str">
        <x:v>3.499079706537067e-10</x:v>
      </x:c>
      <x:c r="AA68" s="43" t="str">
        <x:v>4.729858865681891e-11</x:v>
      </x:c>
      <x:c r="AB68" s="23" t="str">
        <x:v>Candidate surface form is directly representable in the public Ngram interface. Complete 1842–2022 unsmoothed series reused from the audited quantitative-v0.1 baseline.</x:v>
      </x:c>
    </x:row>
    <x:row r="69" ht="19" customHeight="1">
      <x:c r="A69" s="20" t="str">
        <x:v>FT-SEED-R1B-P-1988-08</x:v>
      </x:c>
      <x:c r="B69" s="22" t="str">
        <x:v>1988</x:v>
      </x:c>
      <x:c r="C69" s="22" t="str">
        <x:v>8</x:v>
      </x:c>
      <x:c r="D69" s="21" t="str">
        <x:v>heat wave</x:v>
      </x:c>
      <x:c r="E69" s="22" t="str">
        <x:v>heat</x:v>
      </x:c>
      <x:c r="F69" s="21" t="str">
        <x:v>heat wave</x:v>
      </x:c>
      <x:c r="G69" s="22" t="str">
        <x:v>EXACT</x:v>
      </x:c>
      <x:c r="H69" s="21" t="str">
        <x:v>SUCCEEDED_REUSED_BASELINE</x:v>
      </x:c>
      <x:c r="I69" s="21" t="str">
        <x:v>FT-Q-V01-048</x:v>
      </x:c>
      <x:c r="J69" s="22" t="str">
        <x:v>1842</x:v>
      </x:c>
      <x:c r="K69" s="22" t="str">
        <x:v>2022</x:v>
      </x:c>
      <x:c r="L69" s="22" t="str">
        <x:v>1842</x:v>
      </x:c>
      <x:c r="M69" s="22" t="str">
        <x:v>169</x:v>
      </x:c>
      <x:c r="N69" s="22" t="str">
        <x:v>2020</x:v>
      </x:c>
      <x:c r="O69" s="43" t="str">
        <x:v>3.703185072062576e-07</x:v>
      </x:c>
      <x:c r="P69" s="43" t="str">
        <x:v>1.7180597014498922e-07</x:v>
      </x:c>
      <x:c r="Q69" s="43" t="str">
        <x:v>1.5487749849552036e-07</x:v>
      </x:c>
      <x:c r="R69" s="43" t="str">
        <x:v>1.5381445793438697e-07</x:v>
      </x:c>
      <x:c r="S69" s="43" t="str">
        <x:v>1.7180597014498922e-07</x:v>
      </x:c>
      <x:c r="T69" s="43" t="str">
        <x:v>4.514918217068953e-09</x:v>
      </x:c>
      <x:c r="U69" s="43" t="str">
        <x:v>1.9211662527496287e-07</x:v>
      </x:c>
      <x:c r="V69" s="43" t="str">
        <x:v>1.7180597014498922e-07</x:v>
      </x:c>
      <x:c r="W69" s="43" t="str">
        <x:v>2.572474944173564e-07</x:v>
      </x:c>
      <x:c r="X69" s="43" t="str">
        <x:v>2.559551631371726e-07</x:v>
      </x:c>
      <x:c r="Y69" s="43" t="str">
        <x:v>2.566013287772645e-07</x:v>
      </x:c>
      <x:c r="Z69" s="43" t="str">
        <x:v>3.5283591536677816e-07</x:v>
      </x:c>
      <x:c r="AA69" s="43" t="str">
        <x:v>3.0065411360524763e-07</x:v>
      </x:c>
      <x:c r="AB69" s="23" t="str">
        <x:v>Candidate surface form is directly representable in the public Ngram interface. Complete 1842–2022 unsmoothed series reused from the audited quantitative-v0.1 baseline.</x:v>
      </x:c>
    </x:row>
    <x:row r="70" ht="19" customHeight="1">
      <x:c r="A70" s="20" t="str">
        <x:v>FT-SEED-R1B-P-1988-09</x:v>
      </x:c>
      <x:c r="B70" s="22" t="str">
        <x:v>1988</x:v>
      </x:c>
      <x:c r="C70" s="22" t="str">
        <x:v>9</x:v>
      </x:c>
      <x:c r="D70" s="21" t="str">
        <x:v>drought</x:v>
      </x:c>
      <x:c r="E70" s="22" t="str">
        <x:v>harm_loss_consequences</x:v>
      </x:c>
      <x:c r="F70" s="21" t="str">
        <x:v>drought</x:v>
      </x:c>
      <x:c r="G70" s="22" t="str">
        <x:v>EXACT</x:v>
      </x:c>
      <x:c r="H70" s="21" t="str">
        <x:v>SUCCEEDED_REUSED_BASELINE</x:v>
      </x:c>
      <x:c r="I70" s="21" t="str">
        <x:v>FT-Q-V01-049</x:v>
      </x:c>
      <x:c r="J70" s="22" t="str">
        <x:v>1842</x:v>
      </x:c>
      <x:c r="K70" s="22" t="str">
        <x:v>2022</x:v>
      </x:c>
      <x:c r="L70" s="22" t="str">
        <x:v>1842</x:v>
      </x:c>
      <x:c r="M70" s="22" t="str">
        <x:v>181</x:v>
      </x:c>
      <x:c r="N70" s="22" t="str">
        <x:v>1934</x:v>
      </x:c>
      <x:c r="O70" s="43" t="str">
        <x:v>1.4142492887003755e-05</x:v>
      </x:c>
      <x:c r="P70" s="43" t="str">
        <x:v>1.090940310177757e-05</x:v>
      </x:c>
      <x:c r="Q70" s="43" t="str">
        <x:v>9.547862759973214e-06</x:v>
      </x:c>
      <x:c r="R70" s="43" t="str">
        <x:v>9.224101717109079e-06</x:v>
      </x:c>
      <x:c r="S70" s="43" t="str">
        <x:v>1.090940310177757e-05</x:v>
      </x:c>
      <x:c r="T70" s="43" t="str">
        <x:v>3.1151387602790237e-06</x:v>
      </x:c>
      <x:c r="U70" s="43" t="str">
        <x:v>9.374461029665326e-06</x:v>
      </x:c>
      <x:c r="V70" s="43" t="str">
        <x:v>1.090940310177757e-05</x:v>
      </x:c>
      <x:c r="W70" s="43" t="str">
        <x:v>6.629869545804468e-06</x:v>
      </x:c>
      <x:c r="X70" s="43" t="str">
        <x:v>6.241732602774164e-06</x:v>
      </x:c>
      <x:c r="Y70" s="43" t="str">
        <x:v>6.435801074289316e-06</x:v>
      </x:c>
      <x:c r="Z70" s="43" t="str">
        <x:v>5.7625219831436425e-06</x:v>
      </x:c>
      <x:c r="AA70" s="43" t="str">
        <x:v>8.803938708723535e-06</x:v>
      </x:c>
      <x:c r="AB70" s="23" t="str">
        <x:v>Candidate surface form is directly representable in the public Ngram interface. Complete 1842–2022 unsmoothed series reused from the audited quantitative-v0.1 baseline.</x:v>
      </x:c>
    </x:row>
    <x:row r="71" ht="19" customHeight="1">
      <x:c r="A71" s="20" t="str">
        <x:v>FT-SEED-R1B-P-1988-10</x:v>
      </x:c>
      <x:c r="B71" s="22" t="str">
        <x:v>1988</x:v>
      </x:c>
      <x:c r="C71" s="22" t="str">
        <x:v>10</x:v>
      </x:c>
      <x:c r="D71" s="21" t="str">
        <x:v>heat wave/drought occurrences</x:v>
      </x:c>
      <x:c r="E71" s="22" t="str">
        <x:v>heat</x:v>
      </x:c>
      <x:c r="F71" s="21" t="str"/>
      <x:c r="G71" s="22" t="str">
        <x:v>TECHNICALLY_UNREPRESENTABLE</x:v>
      </x:c>
      <x:c r="H71" s="21" t="str">
        <x:v>TECHNICALLY_UNREPRESENTABLE</x:v>
      </x:c>
      <x:c r="I71" s="21" t="str">
        <x:v>FT-Q-V01-050</x:v>
      </x:c>
      <x:c r="J71" s="22" t="str"/>
      <x:c r="K71" s="22" t="str"/>
      <x:c r="L71" s="22" t="str"/>
      <x:c r="M71" s="22" t="str">
        <x:v>0</x:v>
      </x:c>
      <x:c r="N71" s="22" t="str"/>
      <x:c r="O71" s="43" t="str"/>
      <x:c r="P71" s="43" t="str"/>
      <x:c r="Q71" s="43" t="str"/>
      <x:c r="R71" s="43" t="str"/>
      <x:c r="S71" s="43" t="str"/>
      <x:c r="T71" s="43" t="str"/>
      <x:c r="U71" s="43" t="str"/>
      <x:c r="V71" s="43" t="str"/>
      <x:c r="W71" s="43" t="str"/>
      <x:c r="X71" s="43" t="str"/>
      <x:c r="Y71" s="43" t="str"/>
      <x:c r="Z71" s="43" t="str"/>
      <x:c r="AA71" s="43" t="str"/>
      <x:c r="AB71" s="23" t="str">
        <x:v>The slash coordinates two lexical objects; one linear Ngram would change the candidate's structure and sense.</x:v>
      </x:c>
    </x:row>
    <x:row r="72" ht="19" customHeight="1">
      <x:c r="A72" s="20" t="str">
        <x:v>FT-SEED-R1B-P-1988-11</x:v>
      </x:c>
      <x:c r="B72" s="22" t="str">
        <x:v>1988</x:v>
      </x:c>
      <x:c r="C72" s="22" t="str">
        <x:v>11</x:v>
      </x:c>
      <x:c r="D72" s="21" t="str">
        <x:v>extreme events</x:v>
      </x:c>
      <x:c r="E72" s="22" t="str">
        <x:v>harm_loss_consequences</x:v>
      </x:c>
      <x:c r="F72" s="21" t="str">
        <x:v>extreme events</x:v>
      </x:c>
      <x:c r="G72" s="22" t="str">
        <x:v>EXACT</x:v>
      </x:c>
      <x:c r="H72" s="21" t="str">
        <x:v>SUCCEEDED_REUSED_BASELINE</x:v>
      </x:c>
      <x:c r="I72" s="21" t="str">
        <x:v>FT-Q-V01-051</x:v>
      </x:c>
      <x:c r="J72" s="22" t="str">
        <x:v>1842</x:v>
      </x:c>
      <x:c r="K72" s="22" t="str">
        <x:v>2022</x:v>
      </x:c>
      <x:c r="L72" s="22" t="str">
        <x:v>1843</x:v>
      </x:c>
      <x:c r="M72" s="22" t="str">
        <x:v>154</x:v>
      </x:c>
      <x:c r="N72" s="22" t="str">
        <x:v>2022</x:v>
      </x:c>
      <x:c r="O72" s="43" t="str">
        <x:v>4.5903280798675894e-07</x:v>
      </x:c>
      <x:c r="P72" s="43" t="str">
        <x:v>5.5376702223775e-08</x:v>
      </x:c>
      <x:c r="Q72" s="43" t="str">
        <x:v>6.501919660450995e-08</x:v>
      </x:c>
      <x:c r="R72" s="43" t="str">
        <x:v>6.388363371634398e-08</x:v>
      </x:c>
      <x:c r="S72" s="43" t="str">
        <x:v>7.989011596709616e-08</x:v>
      </x:c>
      <x:c r="T72" s="43" t="str">
        <x:v>0.0</x:v>
      </x:c>
      <x:c r="U72" s="43" t="str">
        <x:v>3.341158599790006e-10</x:v>
      </x:c>
      <x:c r="V72" s="43" t="str">
        <x:v>5.5376702223775e-08</x:v>
      </x:c>
      <x:c r="W72" s="43" t="str">
        <x:v>2.56927021435871e-07</x:v>
      </x:c>
      <x:c r="X72" s="43" t="str">
        <x:v>2.2046955328036688e-07</x:v>
      </x:c>
      <x:c r="Y72" s="43" t="str">
        <x:v>2.3869828735811893e-07</x:v>
      </x:c>
      <x:c r="Z72" s="43" t="str">
        <x:v>3.0627371061520137e-07</x:v>
      </x:c>
      <x:c r="AA72" s="43" t="str">
        <x:v>4.5903280798675894e-07</x:v>
      </x:c>
      <x:c r="AB72" s="23" t="str">
        <x:v>Candidate surface form is directly representable in the public Ngram interface. Complete 1842–2022 unsmoothed series reused from the audited quantitative-v0.1 baseline.</x:v>
      </x:c>
    </x:row>
    <x:row r="73" ht="19" customHeight="1">
      <x:c r="A73" s="20" t="str">
        <x:v>FT-SEED-R1B-P-1988-12</x:v>
      </x:c>
      <x:c r="B73" s="22" t="str">
        <x:v>1988</x:v>
      </x:c>
      <x:c r="C73" s="22" t="str">
        <x:v>12</x:v>
      </x:c>
      <x:c r="D73" s="21" t="str">
        <x:v>global climate models</x:v>
      </x:c>
      <x:c r="E73" s="22" t="str">
        <x:v>climate</x:v>
      </x:c>
      <x:c r="F73" s="21" t="str">
        <x:v>global climate models</x:v>
      </x:c>
      <x:c r="G73" s="22" t="str">
        <x:v>EXACT</x:v>
      </x:c>
      <x:c r="H73" s="21" t="str">
        <x:v>SUCCEEDED_REUSED_BASELINE</x:v>
      </x:c>
      <x:c r="I73" s="21" t="str">
        <x:v>FT-Q-V01-052</x:v>
      </x:c>
      <x:c r="J73" s="22" t="str">
        <x:v>1842</x:v>
      </x:c>
      <x:c r="K73" s="22" t="str">
        <x:v>2022</x:v>
      </x:c>
      <x:c r="L73" s="22" t="str">
        <x:v>1869</x:v>
      </x:c>
      <x:c r="M73" s="22" t="str">
        <x:v>75</x:v>
      </x:c>
      <x:c r="N73" s="22" t="str">
        <x:v>1994</x:v>
      </x:c>
      <x:c r="O73" s="43" t="str">
        <x:v>5.645689804545384e-08</x:v>
      </x:c>
      <x:c r="P73" s="43" t="str">
        <x:v>1.3785362060203532e-08</x:v>
      </x:c>
      <x:c r="Q73" s="43" t="str">
        <x:v>2.040563838179299e-08</x:v>
      </x:c>
      <x:c r="R73" s="43" t="str">
        <x:v>1.3785362060203532e-08</x:v>
      </x:c>
      <x:c r="S73" s="43" t="str">
        <x:v>3.449184371451253e-08</x:v>
      </x:c>
      <x:c r="T73" s="43" t="str">
        <x:v>0.0</x:v>
      </x:c>
      <x:c r="U73" s="43" t="str">
        <x:v>0.0</x:v>
      </x:c>
      <x:c r="V73" s="43" t="str">
        <x:v>1.3785362060203532e-08</x:v>
      </x:c>
      <x:c r="W73" s="43" t="str">
        <x:v>3.141072137807788e-08</x:v>
      </x:c>
      <x:c r="X73" s="43" t="str">
        <x:v>3.527723113627701e-08</x:v>
      </x:c>
      <x:c r="Y73" s="43" t="str">
        <x:v>3.3343976257177443e-08</x:v>
      </x:c>
      <x:c r="Z73" s="43" t="str">
        <x:v>3.7340178230677035e-08</x:v>
      </x:c>
      <x:c r="AA73" s="43" t="str">
        <x:v>4.237953538099859e-08</x:v>
      </x:c>
      <x:c r="AB73" s="23" t="str">
        <x:v>Candidate surface form is directly representable in the public Ngram interface. Complete 1842–2022 unsmoothed series reused from the audited quantitative-v0.1 baseline.</x:v>
      </x:c>
    </x:row>
    <x:row r="74" ht="19" customHeight="1">
      <x:c r="A74" s="20" t="str">
        <x:v>FT-SEED-R1B-P-1988-13</x:v>
      </x:c>
      <x:c r="B74" s="22" t="str">
        <x:v>1988</x:v>
      </x:c>
      <x:c r="C74" s="22" t="str">
        <x:v>13</x:v>
      </x:c>
      <x:c r="D74" s="21" t="str">
        <x:v>global observations</x:v>
      </x:c>
      <x:c r="E74" s="22" t="str">
        <x:v>climate</x:v>
      </x:c>
      <x:c r="F74" s="21" t="str">
        <x:v>global observations</x:v>
      </x:c>
      <x:c r="G74" s="22" t="str">
        <x:v>EXACT</x:v>
      </x:c>
      <x:c r="H74" s="21" t="str">
        <x:v>SUCCEEDED_REUSED_BASELINE</x:v>
      </x:c>
      <x:c r="I74" s="21" t="str">
        <x:v>FT-Q-V01-053</x:v>
      </x:c>
      <x:c r="J74" s="22" t="str">
        <x:v>1842</x:v>
      </x:c>
      <x:c r="K74" s="22" t="str">
        <x:v>2022</x:v>
      </x:c>
      <x:c r="L74" s="22" t="str">
        <x:v>1869</x:v>
      </x:c>
      <x:c r="M74" s="22" t="str">
        <x:v>82</x:v>
      </x:c>
      <x:c r="N74" s="22" t="str">
        <x:v>1984</x:v>
      </x:c>
      <x:c r="O74" s="43" t="str">
        <x:v>2.193620524115758e-08</x:v>
      </x:c>
      <x:c r="P74" s="43" t="str">
        <x:v>1.599113318151435e-08</x:v>
      </x:c>
      <x:c r="Q74" s="43" t="str">
        <x:v>1.3183894989610145e-08</x:v>
      </x:c>
      <x:c r="R74" s="43" t="str">
        <x:v>1.1335818617119742e-08</x:v>
      </x:c>
      <x:c r="S74" s="43" t="str">
        <x:v>1.847352654182899e-08</x:v>
      </x:c>
      <x:c r="T74" s="43" t="str">
        <x:v>0.0</x:v>
      </x:c>
      <x:c r="U74" s="43" t="str">
        <x:v>0.0</x:v>
      </x:c>
      <x:c r="V74" s="43" t="str">
        <x:v>1.599113318151435e-08</x:v>
      </x:c>
      <x:c r="W74" s="43" t="str">
        <x:v>1.16285575613162e-08</x:v>
      </x:c>
      <x:c r="X74" s="43" t="str">
        <x:v>1.4212235461413814e-08</x:v>
      </x:c>
      <x:c r="Y74" s="43" t="str">
        <x:v>1.2920396511365007e-08</x:v>
      </x:c>
      <x:c r="Z74" s="43" t="str">
        <x:v>8.17290351715072e-09</x:v>
      </x:c>
      <x:c r="AA74" s="43" t="str">
        <x:v>1.1900522567387384e-08</x:v>
      </x:c>
      <x:c r="AB74" s="23" t="str">
        <x:v>Candidate surface form is directly representable in the public Ngram interface. Complete 1842–2022 unsmoothed series reused from the audited quantitative-v0.1 baseline.</x:v>
      </x:c>
    </x:row>
    <x:row r="75" ht="19" customHeight="1">
      <x:c r="A75" s="20" t="str">
        <x:v>FT-SEED-R1B-P-1988-14</x:v>
      </x:c>
      <x:c r="B75" s="22" t="str">
        <x:v>1988</x:v>
      </x:c>
      <x:c r="C75" s="22" t="str">
        <x:v>14</x:v>
      </x:c>
      <x:c r="D75" s="21" t="str">
        <x:v>warm air</x:v>
      </x:c>
      <x:c r="E75" s="22" t="str">
        <x:v>temperature_threshold</x:v>
      </x:c>
      <x:c r="F75" s="21" t="str">
        <x:v>warm air</x:v>
      </x:c>
      <x:c r="G75" s="22" t="str">
        <x:v>EXACT</x:v>
      </x:c>
      <x:c r="H75" s="21" t="str">
        <x:v>SUCCEEDED_REUSED_BASELINE</x:v>
      </x:c>
      <x:c r="I75" s="21" t="str">
        <x:v>FT-Q-V01-054</x:v>
      </x:c>
      <x:c r="J75" s="22" t="str">
        <x:v>1842</x:v>
      </x:c>
      <x:c r="K75" s="22" t="str">
        <x:v>2022</x:v>
      </x:c>
      <x:c r="L75" s="22" t="str">
        <x:v>1842</x:v>
      </x:c>
      <x:c r="M75" s="22" t="str">
        <x:v>181</x:v>
      </x:c>
      <x:c r="N75" s="22" t="str">
        <x:v>1916</x:v>
      </x:c>
      <x:c r="O75" s="43" t="str">
        <x:v>2.9105580415175747e-06</x:v>
      </x:c>
      <x:c r="P75" s="43" t="str">
        <x:v>4.812640085269382e-07</x:v>
      </x:c>
      <x:c r="Q75" s="43" t="str">
        <x:v>5.471666789776119e-07</x:v>
      </x:c>
      <x:c r="R75" s="43" t="str">
        <x:v>5.268988674256292e-07</x:v>
      </x:c>
      <x:c r="S75" s="43" t="str">
        <x:v>6.027221210562483e-07</x:v>
      </x:c>
      <x:c r="T75" s="43" t="str">
        <x:v>4.637466225476672e-07</x:v>
      </x:c>
      <x:c r="U75" s="43" t="str">
        <x:v>1.5602096370415097e-06</x:v>
      </x:c>
      <x:c r="V75" s="43" t="str">
        <x:v>4.812640085269382e-07</x:v>
      </x:c>
      <x:c r="W75" s="43" t="str">
        <x:v>5.327618970638048e-07</x:v>
      </x:c>
      <x:c r="X75" s="43" t="str">
        <x:v>5.737065812000397e-07</x:v>
      </x:c>
      <x:c r="Y75" s="43" t="str">
        <x:v>5.532342391319223e-07</x:v>
      </x:c>
      <x:c r="Z75" s="43" t="str">
        <x:v>6.757823330823254e-07</x:v>
      </x:c>
      <x:c r="AA75" s="43" t="str">
        <x:v>5.92194779214239e-07</x:v>
      </x:c>
      <x:c r="AB75" s="23" t="str">
        <x:v>Candidate surface form is directly representable in the public Ngram interface. Complete 1842–2022 unsmoothed series reused from the audited quantitative-v0.1 baseline.</x:v>
      </x:c>
    </x:row>
    <x:row r="76" ht="19" customHeight="1">
      <x:c r="A76" s="20" t="str">
        <x:v>FT-SEED-R1B-P-1988-15</x:v>
      </x:c>
      <x:c r="B76" s="22" t="str">
        <x:v>1988</x:v>
      </x:c>
      <x:c r="C76" s="22" t="str">
        <x:v>15</x:v>
      </x:c>
      <x:c r="D76" s="21" t="str">
        <x:v>changing atmosphere</x:v>
      </x:c>
      <x:c r="E76" s="22" t="str">
        <x:v>climate</x:v>
      </x:c>
      <x:c r="F76" s="21" t="str">
        <x:v>changing atmosphere</x:v>
      </x:c>
      <x:c r="G76" s="22" t="str">
        <x:v>EXACT</x:v>
      </x:c>
      <x:c r="H76" s="21" t="str">
        <x:v>SUCCEEDED_REUSED_BASELINE</x:v>
      </x:c>
      <x:c r="I76" s="21" t="str">
        <x:v>FT-Q-V01-055</x:v>
      </x:c>
      <x:c r="J76" s="22" t="str">
        <x:v>1842</x:v>
      </x:c>
      <x:c r="K76" s="22" t="str">
        <x:v>2022</x:v>
      </x:c>
      <x:c r="L76" s="22" t="str">
        <x:v>1842</x:v>
      </x:c>
      <x:c r="M76" s="22" t="str">
        <x:v>181</x:v>
      </x:c>
      <x:c r="N76" s="22" t="str">
        <x:v>1989</x:v>
      </x:c>
      <x:c r="O76" s="43" t="str">
        <x:v>6.209157343839422e-08</x:v>
      </x:c>
      <x:c r="P76" s="43" t="str">
        <x:v>3.622682637205443e-08</x:v>
      </x:c>
      <x:c r="Q76" s="43" t="str">
        <x:v>3.301469004707291e-08</x:v>
      </x:c>
      <x:c r="R76" s="43" t="str">
        <x:v>3.622682637205443e-08</x:v>
      </x:c>
      <x:c r="S76" s="43" t="str">
        <x:v>6.209157343839422e-08</x:v>
      </x:c>
      <x:c r="T76" s="43" t="str">
        <x:v>1.9349650770550397e-09</x:v>
      </x:c>
      <x:c r="U76" s="43" t="str">
        <x:v>2.4501829454237622e-09</x:v>
      </x:c>
      <x:c r="V76" s="43" t="str">
        <x:v>3.622682637205443e-08</x:v>
      </x:c>
      <x:c r="W76" s="43" t="str">
        <x:v>9.110562668862565e-09</x:v>
      </x:c>
      <x:c r="X76" s="43" t="str">
        <x:v>9.534791317600266e-09</x:v>
      </x:c>
      <x:c r="Y76" s="43" t="str">
        <x:v>9.322676993231416e-09</x:v>
      </x:c>
      <x:c r="Z76" s="43" t="str">
        <x:v>8.266307967991215e-09</x:v>
      </x:c>
      <x:c r="AA76" s="43" t="str">
        <x:v>1.0706047048891776e-08</x:v>
      </x:c>
      <x:c r="AB76" s="23" t="str">
        <x:v>Candidate surface form is directly representable in the public Ngram interface. Complete 1842–2022 unsmoothed series reused from the audited quantitative-v0.1 baseline.</x:v>
      </x:c>
    </x:row>
    <x:row r="77" ht="19" customHeight="1">
      <x:c r="A77" s="20" t="str">
        <x:v>FT-SEED-R1B-P-1988-16</x:v>
      </x:c>
      <x:c r="B77" s="22" t="str">
        <x:v>1988</x:v>
      </x:c>
      <x:c r="C77" s="22" t="str">
        <x:v>16</x:v>
      </x:c>
      <x:c r="D77" s="21" t="str">
        <x:v>global security</x:v>
      </x:c>
      <x:c r="E77" s="22" t="str">
        <x:v>danger_threat</x:v>
      </x:c>
      <x:c r="F77" s="21" t="str">
        <x:v>global security</x:v>
      </x:c>
      <x:c r="G77" s="22" t="str">
        <x:v>EXACT</x:v>
      </x:c>
      <x:c r="H77" s="21" t="str">
        <x:v>SUCCEEDED_REUSED_BASELINE</x:v>
      </x:c>
      <x:c r="I77" s="21" t="str">
        <x:v>FT-Q-V01-056</x:v>
      </x:c>
      <x:c r="J77" s="22" t="str">
        <x:v>1842</x:v>
      </x:c>
      <x:c r="K77" s="22" t="str">
        <x:v>2022</x:v>
      </x:c>
      <x:c r="L77" s="22" t="str">
        <x:v>1843</x:v>
      </x:c>
      <x:c r="M77" s="22" t="str">
        <x:v>109</x:v>
      </x:c>
      <x:c r="N77" s="22" t="str">
        <x:v>2009</x:v>
      </x:c>
      <x:c r="O77" s="43" t="str">
        <x:v>4.3955566073061725e-07</x:v>
      </x:c>
      <x:c r="P77" s="43" t="str">
        <x:v>1.6978240102716313e-07</x:v>
      </x:c>
      <x:c r="Q77" s="43" t="str">
        <x:v>1.554475363096941e-07</x:v>
      </x:c>
      <x:c r="R77" s="43" t="str">
        <x:v>1.6780119949100225e-07</x:v>
      </x:c>
      <x:c r="S77" s="43" t="str">
        <x:v>2.1705907704561156e-07</x:v>
      </x:c>
      <x:c r="T77" s="43" t="str">
        <x:v>0.0</x:v>
      </x:c>
      <x:c r="U77" s="43" t="str">
        <x:v>0.0</x:v>
      </x:c>
      <x:c r="V77" s="43" t="str">
        <x:v>1.6978240102716313e-07</x:v>
      </x:c>
      <x:c r="W77" s="43" t="str">
        <x:v>3.6108044582094934e-07</x:v>
      </x:c>
      <x:c r="X77" s="43" t="str">
        <x:v>3.6861860941428404e-07</x:v>
      </x:c>
      <x:c r="Y77" s="43" t="str">
        <x:v>3.648495276176167e-07</x:v>
      </x:c>
      <x:c r="Z77" s="43" t="str">
        <x:v>2.9104876697258475e-07</x:v>
      </x:c>
      <x:c r="AA77" s="43" t="str">
        <x:v>2.638022949807972e-07</x:v>
      </x:c>
      <x:c r="AB77" s="23" t="str">
        <x:v>Candidate surface form is directly representable in the public Ngram interface. Complete 1842–2022 unsmoothed series reused from the audited quantitative-v0.1 baseline.</x:v>
      </x:c>
    </x:row>
    <x:row r="78" ht="19" customHeight="1">
      <x:c r="A78" s="20" t="str">
        <x:v>FT-SEED-R1B-P-1988-17</x:v>
      </x:c>
      <x:c r="B78" s="22" t="str">
        <x:v>1988</x:v>
      </x:c>
      <x:c r="C78" s="22" t="str">
        <x:v>17</x:v>
      </x:c>
      <x:c r="D78" s="21" t="str">
        <x:v>climate warming</x:v>
      </x:c>
      <x:c r="E78" s="22" t="str">
        <x:v>warming</x:v>
      </x:c>
      <x:c r="F78" s="21" t="str">
        <x:v>climate warming</x:v>
      </x:c>
      <x:c r="G78" s="22" t="str">
        <x:v>EXACT</x:v>
      </x:c>
      <x:c r="H78" s="21" t="str">
        <x:v>SUCCEEDED_REUSED_BASELINE</x:v>
      </x:c>
      <x:c r="I78" s="21" t="str">
        <x:v>FT-Q-V01-057</x:v>
      </x:c>
      <x:c r="J78" s="22" t="str">
        <x:v>1842</x:v>
      </x:c>
      <x:c r="K78" s="22" t="str">
        <x:v>2022</x:v>
      </x:c>
      <x:c r="L78" s="22" t="str">
        <x:v>1865</x:v>
      </x:c>
      <x:c r="M78" s="22" t="str">
        <x:v>89</x:v>
      </x:c>
      <x:c r="N78" s="22" t="str">
        <x:v>2022</x:v>
      </x:c>
      <x:c r="O78" s="43" t="str">
        <x:v>1.5837870587231961e-07</x:v>
      </x:c>
      <x:c r="P78" s="43" t="str">
        <x:v>3.6325536800774216e-08</x:v>
      </x:c>
      <x:c r="Q78" s="43" t="str">
        <x:v>4.2775522635096766e-08</x:v>
      </x:c>
      <x:c r="R78" s="43" t="str">
        <x:v>3.6325536800774216e-08</x:v>
      </x:c>
      <x:c r="S78" s="43" t="str">
        <x:v>7.675092628112168e-08</x:v>
      </x:c>
      <x:c r="T78" s="43" t="str">
        <x:v>0.0</x:v>
      </x:c>
      <x:c r="U78" s="43" t="str">
        <x:v>0.0</x:v>
      </x:c>
      <x:c r="V78" s="43" t="str">
        <x:v>3.6325536800774216e-08</x:v>
      </x:c>
      <x:c r="W78" s="43" t="str">
        <x:v>9.815601531570906e-08</x:v>
      </x:c>
      <x:c r="X78" s="43" t="str">
        <x:v>9.899091737985977e-08</x:v>
      </x:c>
      <x:c r="Y78" s="43" t="str">
        <x:v>9.857346634778441e-08</x:v>
      </x:c>
      <x:c r="Z78" s="43" t="str">
        <x:v>8.350372171506137e-08</x:v>
      </x:c>
      <x:c r="AA78" s="43" t="str">
        <x:v>1.5837870587231961e-07</x:v>
      </x:c>
      <x:c r="AB78" s="23" t="str">
        <x:v>Candidate surface form is directly representable in the public Ngram interface. Complete 1842–2022 unsmoothed series reused from the audited quantitative-v0.1 baseline.</x:v>
      </x:c>
    </x:row>
    <x:row r="79" ht="19" customHeight="1">
      <x:c r="A79" s="20" t="str">
        <x:v>FT-SEED-R1B-P-1988-18</x:v>
      </x:c>
      <x:c r="B79" s="22" t="str">
        <x:v>1988</x:v>
      </x:c>
      <x:c r="C79" s="22" t="str">
        <x:v>18</x:v>
      </x:c>
      <x:c r="D79" s="21" t="str">
        <x:v>changed climatic extremes</x:v>
      </x:c>
      <x:c r="E79" s="22" t="str">
        <x:v>harm_loss_consequences</x:v>
      </x:c>
      <x:c r="F79" s="21" t="str">
        <x:v>changed climatic extremes</x:v>
      </x:c>
      <x:c r="G79" s="22" t="str">
        <x:v>EXACT</x:v>
      </x:c>
      <x:c r="H79" s="21" t="str">
        <x:v>ZERO_RESPONSE_REUSED_BASELINE</x:v>
      </x:c>
      <x:c r="I79" s="21" t="str">
        <x:v>FT-Q-V01-058</x:v>
      </x:c>
      <x:c r="J79" s="22" t="str">
        <x:v>1842</x:v>
      </x:c>
      <x:c r="K79" s="22" t="str">
        <x:v>2022</x:v>
      </x:c>
      <x:c r="L79" s="22" t="str"/>
      <x:c r="M79" s="22" t="str">
        <x:v>0</x:v>
      </x:c>
      <x:c r="N79" s="22" t="str"/>
      <x:c r="O79" s="43" t="str"/>
      <x:c r="P79" s="43" t="str"/>
      <x:c r="Q79" s="43" t="str"/>
      <x:c r="R79" s="43" t="str"/>
      <x:c r="S79" s="43" t="str"/>
      <x:c r="T79" s="43" t="str"/>
      <x:c r="U79" s="43" t="str"/>
      <x:c r="V79" s="43" t="str"/>
      <x:c r="W79" s="43" t="str"/>
      <x:c r="X79" s="43" t="str"/>
      <x:c r="Y79" s="43" t="str"/>
      <x:c r="Z79" s="43" t="str"/>
      <x:c r="AA79" s="43" t="str"/>
      <x:c r="AB79" s="23" t="str">
        <x:v>Candidate surface form is directly representable in the public Ngram interface. The audited executable rule returned an empty Ngram payload; retained as source/query zero-response evidence, not historical absence.</x:v>
      </x:c>
    </x:row>
    <x:row r="80" ht="19" customHeight="1">
      <x:c r="A80" s="20" t="str">
        <x:v>FT-SEED-R1B-P-1988-19</x:v>
      </x:c>
      <x:c r="B80" s="22" t="str">
        <x:v>1988</x:v>
      </x:c>
      <x:c r="C80" s="22" t="str">
        <x:v>19</x:v>
      </x:c>
      <x:c r="D80" s="21" t="str">
        <x:v>major threat</x:v>
      </x:c>
      <x:c r="E80" s="22" t="str">
        <x:v>danger_threat</x:v>
      </x:c>
      <x:c r="F80" s="21" t="str">
        <x:v>major threat</x:v>
      </x:c>
      <x:c r="G80" s="22" t="str">
        <x:v>EXACT</x:v>
      </x:c>
      <x:c r="H80" s="21" t="str">
        <x:v>SUCCEEDED_REUSED_BASELINE</x:v>
      </x:c>
      <x:c r="I80" s="21" t="str">
        <x:v>FT-Q-V01-059</x:v>
      </x:c>
      <x:c r="J80" s="22" t="str">
        <x:v>1842</x:v>
      </x:c>
      <x:c r="K80" s="22" t="str">
        <x:v>2022</x:v>
      </x:c>
      <x:c r="L80" s="22" t="str">
        <x:v>1844</x:v>
      </x:c>
      <x:c r="M80" s="22" t="str">
        <x:v>136</x:v>
      </x:c>
      <x:c r="N80" s="22" t="str">
        <x:v>2021</x:v>
      </x:c>
      <x:c r="O80" s="43" t="str">
        <x:v>2.630044870777226e-07</x:v>
      </x:c>
      <x:c r="P80" s="43" t="str">
        <x:v>2.2550459527481692e-07</x:v>
      </x:c>
      <x:c r="Q80" s="43" t="str">
        <x:v>2.1912260729783918e-07</x:v>
      </x:c>
      <x:c r="R80" s="43" t="str">
        <x:v>2.1533015956420876e-07</x:v>
      </x:c>
      <x:c r="S80" s="43" t="str">
        <x:v>2.2838745755704437e-07</x:v>
      </x:c>
      <x:c r="T80" s="43" t="str">
        <x:v>0.0</x:v>
      </x:c>
      <x:c r="U80" s="43" t="str">
        <x:v>1.403286584156227e-08</x:v>
      </x:c>
      <x:c r="V80" s="43" t="str">
        <x:v>2.2550459527481692e-07</x:v>
      </x:c>
      <x:c r="W80" s="43" t="str">
        <x:v>2.440623619870408e-07</x:v>
      </x:c>
      <x:c r="X80" s="43" t="str">
        <x:v>2.3544637250960676e-07</x:v>
      </x:c>
      <x:c r="Y80" s="43" t="str">
        <x:v>2.397543672483238e-07</x:v>
      </x:c>
      <x:c r="Z80" s="43" t="str">
        <x:v>2.1884700518448597e-07</x:v>
      </x:c>
      <x:c r="AA80" s="43" t="str">
        <x:v>2.351791106303125e-07</x:v>
      </x:c>
      <x:c r="AB80" s="23" t="str">
        <x:v>Candidate surface form is directly representable in the public Ngram interface. Complete 1842–2022 unsmoothed series reused from the audited quantitative-v0.1 baseline.</x:v>
      </x:c>
    </x:row>
    <x:row r="81" ht="19" customHeight="1">
      <x:c r="A81" s="20" t="str">
        <x:v>FT-SEED-R1B-P-1988-20</x:v>
      </x:c>
      <x:c r="B81" s="22" t="str">
        <x:v>1988</x:v>
      </x:c>
      <x:c r="C81" s="22" t="str">
        <x:v>20</x:v>
      </x:c>
      <x:c r="D81" s="21" t="str">
        <x:v>harmful consequences</x:v>
      </x:c>
      <x:c r="E81" s="22" t="str">
        <x:v>harm_loss_consequences</x:v>
      </x:c>
      <x:c r="F81" s="21" t="str">
        <x:v>harmful consequences</x:v>
      </x:c>
      <x:c r="G81" s="22" t="str">
        <x:v>EXACT</x:v>
      </x:c>
      <x:c r="H81" s="21" t="str">
        <x:v>SUCCEEDED_REUSED_BASELINE</x:v>
      </x:c>
      <x:c r="I81" s="21" t="str">
        <x:v>FT-Q-V01-060</x:v>
      </x:c>
      <x:c r="J81" s="22" t="str">
        <x:v>1842</x:v>
      </x:c>
      <x:c r="K81" s="22" t="str">
        <x:v>2022</x:v>
      </x:c>
      <x:c r="L81" s="22" t="str">
        <x:v>1844</x:v>
      </x:c>
      <x:c r="M81" s="22" t="str">
        <x:v>172</x:v>
      </x:c>
      <x:c r="N81" s="22" t="str">
        <x:v>2022</x:v>
      </x:c>
      <x:c r="O81" s="43" t="str">
        <x:v>1.4125787761720687e-07</x:v>
      </x:c>
      <x:c r="P81" s="43" t="str">
        <x:v>8.069599446991482e-08</x:v>
      </x:c>
      <x:c r="Q81" s="43" t="str">
        <x:v>8.098120236471606e-08</x:v>
      </x:c>
      <x:c r="R81" s="43" t="str">
        <x:v>8.069599446991482e-08</x:v>
      </x:c>
      <x:c r="S81" s="43" t="str">
        <x:v>8.242399273522549e-08</x:v>
      </x:c>
      <x:c r="T81" s="43" t="str">
        <x:v>0.0</x:v>
      </x:c>
      <x:c r="U81" s="43" t="str">
        <x:v>2.7063384422376657e-08</x:v>
      </x:c>
      <x:c r="V81" s="43" t="str">
        <x:v>8.069599446991482e-08</x:v>
      </x:c>
      <x:c r="W81" s="43" t="str">
        <x:v>1.0502327367489794e-07</x:v>
      </x:c>
      <x:c r="X81" s="43" t="str">
        <x:v>1.079860063382676e-07</x:v>
      </x:c>
      <x:c r="Y81" s="43" t="str">
        <x:v>1.0650464000658277e-07</x:v>
      </x:c>
      <x:c r="Z81" s="43" t="str">
        <x:v>1.1213223594097599e-07</x:v>
      </x:c>
      <x:c r="AA81" s="43" t="str">
        <x:v>1.4125787761720687e-07</x:v>
      </x:c>
      <x:c r="AB81" s="23" t="str">
        <x:v>Candidate surface form is directly representable in the public Ngram interface. Complete 1842–2022 unsmoothed series reused from the audited quantitative-v0.1 baseline.</x:v>
      </x:c>
    </x:row>
    <x:row r="82" ht="19" customHeight="1">
      <x:c r="A82" s="20" t="str">
        <x:v>FT-SEED-R1B-P-1988-21</x:v>
      </x:c>
      <x:c r="B82" s="22" t="str">
        <x:v>1988</x:v>
      </x:c>
      <x:c r="C82" s="22" t="str">
        <x:v>21</x:v>
      </x:c>
      <x:c r="D82" s="21" t="str">
        <x:v>grave threats</x:v>
      </x:c>
      <x:c r="E82" s="22" t="str">
        <x:v>danger_threat</x:v>
      </x:c>
      <x:c r="F82" s="21" t="str">
        <x:v>grave threats</x:v>
      </x:c>
      <x:c r="G82" s="22" t="str">
        <x:v>EXACT</x:v>
      </x:c>
      <x:c r="H82" s="21" t="str">
        <x:v>SUCCEEDED_REUSED_BASELINE</x:v>
      </x:c>
      <x:c r="I82" s="21" t="str">
        <x:v>FT-Q-V01-140</x:v>
      </x:c>
      <x:c r="J82" s="22" t="str">
        <x:v>1842</x:v>
      </x:c>
      <x:c r="K82" s="22" t="str">
        <x:v>2022</x:v>
      </x:c>
      <x:c r="L82" s="22" t="str">
        <x:v>1843</x:v>
      </x:c>
      <x:c r="M82" s="22" t="str">
        <x:v>141</x:v>
      </x:c>
      <x:c r="N82" s="22" t="str">
        <x:v>2008</x:v>
      </x:c>
      <x:c r="O82" s="43" t="str">
        <x:v>1.763470425242275e-08</x:v>
      </x:c>
      <x:c r="P82" s="43" t="str">
        <x:v>1.0710110541489737e-08</x:v>
      </x:c>
      <x:c r="Q82" s="43" t="str">
        <x:v>1.2090141468523718e-08</x:v>
      </x:c>
      <x:c r="R82" s="43" t="str">
        <x:v>1.1371557553235823e-08</x:v>
      </x:c>
      <x:c r="S82" s="43" t="str">
        <x:v>1.5059013674934008e-08</x:v>
      </x:c>
      <x:c r="T82" s="43" t="str">
        <x:v>0.0</x:v>
      </x:c>
      <x:c r="U82" s="43" t="str">
        <x:v>2.3388109227084897e-09</x:v>
      </x:c>
      <x:c r="V82" s="43" t="str">
        <x:v>1.0710110541489737e-08</x:v>
      </x:c>
      <x:c r="W82" s="43" t="str">
        <x:v>1.703080053025441e-08</x:v>
      </x:c>
      <x:c r="X82" s="43" t="str">
        <x:v>1.664090922698369e-08</x:v>
      </x:c>
      <x:c r="Y82" s="43" t="str">
        <x:v>1.683585487861905e-08</x:v>
      </x:c>
      <x:c r="Z82" s="43" t="str">
        <x:v>1.2516217902380777e-08</x:v>
      </x:c>
      <x:c r="AA82" s="43" t="str">
        <x:v>9.423090391313949e-09</x:v>
      </x:c>
      <x:c r="AB82" s="23" t="str">
        <x:v>Candidate surface form is directly representable in the public Ngram interface. Complete 1842–2022 unsmoothed series reused from the audited quantitative-v0.1 baseline.</x:v>
      </x:c>
    </x:row>
    <x:row r="83" ht="19" customHeight="1">
      <x:c r="A83" s="20" t="str">
        <x:v>FT-SEED-R1B-P-1988-22</x:v>
      </x:c>
      <x:c r="B83" s="22" t="str">
        <x:v>1988</x:v>
      </x:c>
      <x:c r="C83" s="22" t="str">
        <x:v>22</x:v>
      </x:c>
      <x:c r="D83" s="21" t="str">
        <x:v>severe economic and social dislocation</x:v>
      </x:c>
      <x:c r="E83" s="22" t="str">
        <x:v>harm_loss_consequences</x:v>
      </x:c>
      <x:c r="F83" s="21" t="str">
        <x:v>severe economic and social dislocation</x:v>
      </x:c>
      <x:c r="G83" s="22" t="str">
        <x:v>EXACT</x:v>
      </x:c>
      <x:c r="H83" s="21" t="str">
        <x:v>SUCCEEDED_NEW</x:v>
      </x:c>
      <x:c r="I83" s="21" t="str">
        <x:v>FT-Q-P180-08DEA4AF4C4A</x:v>
      </x:c>
      <x:c r="J83" s="22" t="str">
        <x:v>1842</x:v>
      </x:c>
      <x:c r="K83" s="22" t="str">
        <x:v>2022</x:v>
      </x:c>
      <x:c r="L83" s="22" t="str">
        <x:v>1939</x:v>
      </x:c>
      <x:c r="M83" s="22" t="str">
        <x:v>63</x:v>
      </x:c>
      <x:c r="N83" s="22" t="str">
        <x:v>1989</x:v>
      </x:c>
      <x:c r="O83" s="43" t="str">
        <x:v>1.7840144916903e-09</x:v>
      </x:c>
      <x:c r="P83" s="43" t="str">
        <x:v>1.2381732306110393e-09</x:v>
      </x:c>
      <x:c r="Q83" s="43" t="str">
        <x:v>1.0982789566682527e-09</x:v>
      </x:c>
      <x:c r="R83" s="43" t="str">
        <x:v>1.1424738932674927e-09</x:v>
      </x:c>
      <x:c r="S83" s="43" t="str">
        <x:v>1.7840144916903e-09</x:v>
      </x:c>
      <x:c r="T83" s="43" t="str">
        <x:v>0.0</x:v>
      </x:c>
      <x:c r="U83" s="43" t="str">
        <x:v>0.0</x:v>
      </x:c>
      <x:c r="V83" s="43" t="str">
        <x:v>1.2381732306110393e-09</x:v>
      </x:c>
      <x:c r="W83" s="43" t="str">
        <x:v>3.4937241988330925e-10</x:v>
      </x:c>
      <x:c r="X83" s="43" t="str">
        <x:v>1.1385967862986845e-10</x:v>
      </x:c>
      <x:c r="Y83" s="43" t="str">
        <x:v>2.3161604925658885e-10</x:v>
      </x:c>
      <x:c r="Z83" s="43" t="str">
        <x:v>2.3035295892981367e-10</x:v>
      </x:c>
      <x:c r="AA83" s="43" t="str">
        <x:v>1.630940660302116e-10</x:v>
      </x:c>
      <x:c r="AB83" s="23" t="str">
        <x:v>Candidate surface form is directly representable in the public Ngram interface. New unsmoothed 1842–2022 series retrieved for the candidate audit.</x:v>
      </x:c>
    </x:row>
    <x:row r="84" ht="19" customHeight="1">
      <x:c r="A84" s="20" t="str">
        <x:v>FT-SEED-R1B-P-1988-23</x:v>
      </x:c>
      <x:c r="B84" s="22" t="str">
        <x:v>1988</x:v>
      </x:c>
      <x:c r="C84" s="22" t="str">
        <x:v>23</x:v>
      </x:c>
      <x:c r="D84" s="21" t="str">
        <x:v>risk of conflicts</x:v>
      </x:c>
      <x:c r="E84" s="22" t="str">
        <x:v>risk</x:v>
      </x:c>
      <x:c r="F84" s="21" t="str">
        <x:v>risk of conflicts</x:v>
      </x:c>
      <x:c r="G84" s="22" t="str">
        <x:v>EXACT</x:v>
      </x:c>
      <x:c r="H84" s="21" t="str">
        <x:v>SUCCEEDED_NEW</x:v>
      </x:c>
      <x:c r="I84" s="21" t="str">
        <x:v>FT-Q-P180-74E64574B767</x:v>
      </x:c>
      <x:c r="J84" s="22" t="str">
        <x:v>1842</x:v>
      </x:c>
      <x:c r="K84" s="22" t="str">
        <x:v>2022</x:v>
      </x:c>
      <x:c r="L84" s="22" t="str">
        <x:v>1868</x:v>
      </x:c>
      <x:c r="M84" s="22" t="str">
        <x:v>116</x:v>
      </x:c>
      <x:c r="N84" s="22" t="str">
        <x:v>2011</x:v>
      </x:c>
      <x:c r="O84" s="43" t="str">
        <x:v>9.72769109708338e-09</x:v>
      </x:c>
      <x:c r="P84" s="43" t="str">
        <x:v>3.2436144881131668e-09</x:v>
      </x:c>
      <x:c r="Q84" s="43" t="str">
        <x:v>3.07107153041386e-09</x:v>
      </x:c>
      <x:c r="R84" s="43" t="str">
        <x:v>3.144433824431303e-09</x:v>
      </x:c>
      <x:c r="S84" s="43" t="str">
        <x:v>4.08543110452797e-09</x:v>
      </x:c>
      <x:c r="T84" s="43" t="str">
        <x:v>0.0</x:v>
      </x:c>
      <x:c r="U84" s="43" t="str">
        <x:v>0.0</x:v>
      </x:c>
      <x:c r="V84" s="43" t="str">
        <x:v>3.2436144881131668e-09</x:v>
      </x:c>
      <x:c r="W84" s="43" t="str">
        <x:v>5.400266012145494e-09</x:v>
      </x:c>
      <x:c r="X84" s="43" t="str">
        <x:v>6.268268445963621e-09</x:v>
      </x:c>
      <x:c r="Y84" s="43" t="str">
        <x:v>5.834267229054557e-09</x:v>
      </x:c>
      <x:c r="Z84" s="43" t="str">
        <x:v>6.3483300317968006e-09</x:v>
      </x:c>
      <x:c r="AA84" s="43" t="str">
        <x:v>7.3312812765014e-09</x:v>
      </x:c>
      <x:c r="AB84" s="23" t="str">
        <x:v>Candidate surface form is directly representable in the public Ngram interface. New unsmoothed 1842–2022 series retrieved for the candidate audit.</x:v>
      </x:c>
    </x:row>
    <x:row r="85" ht="19" customHeight="1">
      <x:c r="A85" s="20" t="str">
        <x:v>FT-SEED-R1B-P-1988-24</x:v>
      </x:c>
      <x:c r="B85" s="22" t="str">
        <x:v>1988</x:v>
      </x:c>
      <x:c r="C85" s="22" t="str">
        <x:v>24</x:v>
      </x:c>
      <x:c r="D85" s="21" t="str">
        <x:v>impending crisis</x:v>
      </x:c>
      <x:c r="E85" s="22" t="str">
        <x:v>crisis_emergency</x:v>
      </x:c>
      <x:c r="F85" s="21" t="str">
        <x:v>impending crisis</x:v>
      </x:c>
      <x:c r="G85" s="22" t="str">
        <x:v>EXACT</x:v>
      </x:c>
      <x:c r="H85" s="21" t="str">
        <x:v>SUCCEEDED_NEW</x:v>
      </x:c>
      <x:c r="I85" s="21" t="str">
        <x:v>FT-Q-P180-A56145CA2BE7</x:v>
      </x:c>
      <x:c r="J85" s="22" t="str">
        <x:v>1842</x:v>
      </x:c>
      <x:c r="K85" s="22" t="str">
        <x:v>2022</x:v>
      </x:c>
      <x:c r="L85" s="22" t="str">
        <x:v>1842</x:v>
      </x:c>
      <x:c r="M85" s="22" t="str">
        <x:v>181</x:v>
      </x:c>
      <x:c r="N85" s="22" t="str">
        <x:v>1860</x:v>
      </x:c>
      <x:c r="O85" s="43" t="str">
        <x:v>2.7402237695595133e-07</x:v>
      </x:c>
      <x:c r="P85" s="43" t="str">
        <x:v>5.004632412305976e-08</x:v>
      </x:c>
      <x:c r="Q85" s="43" t="str">
        <x:v>5.116446560385346e-08</x:v>
      </x:c>
      <x:c r="R85" s="43" t="str">
        <x:v>5.004632412305976e-08</x:v>
      </x:c>
      <x:c r="S85" s="43" t="str">
        <x:v>5.6056268443044344e-08</x:v>
      </x:c>
      <x:c r="T85" s="43" t="str">
        <x:v>1.2254778802844868e-08</x:v>
      </x:c>
      <x:c r="U85" s="43" t="str">
        <x:v>2.906807983205084e-08</x:v>
      </x:c>
      <x:c r="V85" s="43" t="str">
        <x:v>5.004632412305976e-08</x:v>
      </x:c>
      <x:c r="W85" s="43" t="str">
        <x:v>7.801205435462033e-08</x:v>
      </x:c>
      <x:c r="X85" s="43" t="str">
        <x:v>6.543925031021747e-08</x:v>
      </x:c>
      <x:c r="Y85" s="43" t="str">
        <x:v>7.17256523324189e-08</x:v>
      </x:c>
      <x:c r="Z85" s="43" t="str">
        <x:v>5.739713200905716e-08</x:v>
      </x:c>
      <x:c r="AA85" s="43" t="str">
        <x:v>5.18933595816673e-08</x:v>
      </x:c>
      <x:c r="AB85" s="23" t="str">
        <x:v>Candidate surface form is directly representable in the public Ngram interface. New unsmoothed 1842–2022 series retrieved for the candidate audit.</x:v>
      </x:c>
    </x:row>
    <x:row r="86" ht="19" customHeight="1">
      <x:c r="A86" s="20" t="str">
        <x:v>FT-SEED-R1B-P-1988-25</x:v>
      </x:c>
      <x:c r="B86" s="22" t="str">
        <x:v>1988</x:v>
      </x:c>
      <x:c r="C86" s="22" t="str">
        <x:v>25</x:v>
      </x:c>
      <x:c r="D86" s="21" t="str">
        <x:v>degradation of the atmosphere</x:v>
      </x:c>
      <x:c r="E86" s="22" t="str">
        <x:v>harm_loss_consequences</x:v>
      </x:c>
      <x:c r="F86" s="21" t="str">
        <x:v>degradation of the atmosphere</x:v>
      </x:c>
      <x:c r="G86" s="22" t="str">
        <x:v>EXACT</x:v>
      </x:c>
      <x:c r="H86" s="21" t="str">
        <x:v>SUCCEEDED_NEW</x:v>
      </x:c>
      <x:c r="I86" s="21" t="str">
        <x:v>FT-Q-P180-F2CD82125CB1</x:v>
      </x:c>
      <x:c r="J86" s="22" t="str">
        <x:v>1842</x:v>
      </x:c>
      <x:c r="K86" s="22" t="str">
        <x:v>2022</x:v>
      </x:c>
      <x:c r="L86" s="22" t="str">
        <x:v>1901</x:v>
      </x:c>
      <x:c r="M86" s="22" t="str">
        <x:v>73</x:v>
      </x:c>
      <x:c r="N86" s="22" t="str">
        <x:v>1974</x:v>
      </x:c>
      <x:c r="O86" s="43" t="str">
        <x:v>2.048499814222282e-09</x:v>
      </x:c>
      <x:c r="P86" s="43" t="str">
        <x:v>7.17079950973698e-10</x:v>
      </x:c>
      <x:c r="Q86" s="43" t="str">
        <x:v>9.548699442252228e-10</x:v>
      </x:c>
      <x:c r="R86" s="43" t="str">
        <x:v>7.17079950973698e-10</x:v>
      </x:c>
      <x:c r="S86" s="43" t="str">
        <x:v>2.0391028865418548e-09</x:v>
      </x:c>
      <x:c r="T86" s="43" t="str">
        <x:v>0.0</x:v>
      </x:c>
      <x:c r="U86" s="43" t="str">
        <x:v>0.0</x:v>
      </x:c>
      <x:c r="V86" s="43" t="str">
        <x:v>7.17079950973698e-10</x:v>
      </x:c>
      <x:c r="W86" s="43" t="str">
        <x:v>3.2387603710049007e-10</x:v>
      </x:c>
      <x:c r="X86" s="43" t="str">
        <x:v>1.056784798558752e-10</x:v>
      </x:c>
      <x:c r="Y86" s="43" t="str">
        <x:v>2.1477725847818263e-10</x:v>
      </x:c>
      <x:c r="Z86" s="43" t="str">
        <x:v>1.613050110149672e-10</x:v>
      </x:c>
      <x:c r="AA86" s="43" t="str">
        <x:v>5.081168263920688e-10</x:v>
      </x:c>
      <x:c r="AB86" s="23" t="str">
        <x:v>Candidate surface form is directly representable in the public Ngram interface. New unsmoothed 1842–2022 series retrieved for the candidate audit.</x:v>
      </x:c>
    </x:row>
    <x:row r="87" ht="19" customHeight="1">
      <x:c r="A87" s="20" t="str">
        <x:v>FT-SEED-R1B-P-1988-26</x:v>
      </x:c>
      <x:c r="B87" s="22" t="str">
        <x:v>1988</x:v>
      </x:c>
      <x:c r="C87" s="22" t="str">
        <x:v>26</x:v>
      </x:c>
      <x:c r="D87" s="21" t="str">
        <x:v>atmospheric pollution</x:v>
      </x:c>
      <x:c r="E87" s="22" t="str">
        <x:v>harm_loss_consequences</x:v>
      </x:c>
      <x:c r="F87" s="21" t="str">
        <x:v>atmospheric pollution</x:v>
      </x:c>
      <x:c r="G87" s="22" t="str">
        <x:v>EXACT</x:v>
      </x:c>
      <x:c r="H87" s="21" t="str">
        <x:v>SUCCEEDED_NEW</x:v>
      </x:c>
      <x:c r="I87" s="21" t="str">
        <x:v>FT-Q-P180-46FC0D954885</x:v>
      </x:c>
      <x:c r="J87" s="22" t="str">
        <x:v>1842</x:v>
      </x:c>
      <x:c r="K87" s="22" t="str">
        <x:v>2022</x:v>
      </x:c>
      <x:c r="L87" s="22" t="str">
        <x:v>1842</x:v>
      </x:c>
      <x:c r="M87" s="22" t="str">
        <x:v>179</x:v>
      </x:c>
      <x:c r="N87" s="22" t="str">
        <x:v>1971</x:v>
      </x:c>
      <x:c r="O87" s="43" t="str">
        <x:v>8.334724958536377e-07</x:v>
      </x:c>
      <x:c r="P87" s="43" t="str">
        <x:v>3.3304990159840897e-07</x:v>
      </x:c>
      <x:c r="Q87" s="43" t="str">
        <x:v>3.300189624841354e-07</x:v>
      </x:c>
      <x:c r="R87" s="43" t="str">
        <x:v>3.3304990159840897e-07</x:v>
      </x:c>
      <x:c r="S87" s="43" t="str">
        <x:v>3.587876010423263e-07</x:v>
      </x:c>
      <x:c r="T87" s="43" t="str">
        <x:v>1.289976681029259e-09</x:v>
      </x:c>
      <x:c r="U87" s="43" t="str">
        <x:v>1.8187039756145662e-07</x:v>
      </x:c>
      <x:c r="V87" s="43" t="str">
        <x:v>3.3304990159840897e-07</x:v>
      </x:c>
      <x:c r="W87" s="43" t="str">
        <x:v>1.3578858671856042e-07</x:v>
      </x:c>
      <x:c r="X87" s="43" t="str">
        <x:v>1.2368242896521053e-07</x:v>
      </x:c>
      <x:c r="Y87" s="43" t="str">
        <x:v>1.2973550784188548e-07</x:v>
      </x:c>
      <x:c r="Z87" s="43" t="str">
        <x:v>9.345131174454124e-08</x:v>
      </x:c>
      <x:c r="AA87" s="43" t="str">
        <x:v>1.1042269712491226e-07</x:v>
      </x:c>
      <x:c r="AB87" s="23" t="str">
        <x:v>Candidate surface form is directly representable in the public Ngram interface. New unsmoothed 1842–2022 series retrieved for the candidate audit.</x:v>
      </x:c>
    </x:row>
    <x:row r="88" ht="19" customHeight="1">
      <x:c r="A88" s="20" t="str">
        <x:v>FT-SEED-R1B-P-1988-27</x:v>
      </x:c>
      <x:c r="B88" s="22" t="str">
        <x:v>1988</x:v>
      </x:c>
      <x:c r="C88" s="22" t="str">
        <x:v>27</x:v>
      </x:c>
      <x:c r="D88" s="21" t="str">
        <x:v>greenhouse gases</x:v>
      </x:c>
      <x:c r="E88" s="22" t="str">
        <x:v>carbon_greenhouse</x:v>
      </x:c>
      <x:c r="F88" s="21" t="str">
        <x:v>greenhouse gases</x:v>
      </x:c>
      <x:c r="G88" s="22" t="str">
        <x:v>EXACT</x:v>
      </x:c>
      <x:c r="H88" s="21" t="str">
        <x:v>SUCCEEDED_NEW</x:v>
      </x:c>
      <x:c r="I88" s="21" t="str">
        <x:v>FT-Q-P180-4D1539260C64</x:v>
      </x:c>
      <x:c r="J88" s="22" t="str">
        <x:v>1842</x:v>
      </x:c>
      <x:c r="K88" s="22" t="str">
        <x:v>2022</x:v>
      </x:c>
      <x:c r="L88" s="22" t="str">
        <x:v>1843</x:v>
      </x:c>
      <x:c r="M88" s="22" t="str">
        <x:v>113</x:v>
      </x:c>
      <x:c r="N88" s="22" t="str">
        <x:v>2009</x:v>
      </x:c>
      <x:c r="O88" s="43" t="str">
        <x:v>2.002253256805364e-06</x:v>
      </x:c>
      <x:c r="P88" s="43" t="str">
        <x:v>3.0486798507922686e-07</x:v>
      </x:c>
      <x:c r="Q88" s="43" t="str">
        <x:v>4.962433368921327e-07</x:v>
      </x:c>
      <x:c r="R88" s="43" t="str">
        <x:v>3.0486798507922686e-07</x:v>
      </x:c>
      <x:c r="S88" s="43" t="str">
        <x:v>1.053403051357038e-06</x:v>
      </x:c>
      <x:c r="T88" s="43" t="str">
        <x:v>0.0</x:v>
      </x:c>
      <x:c r="U88" s="43" t="str">
        <x:v>2.2274390665266708e-10</x:v>
      </x:c>
      <x:c r="V88" s="43" t="str">
        <x:v>3.0486798507922686e-07</x:v>
      </x:c>
      <x:c r="W88" s="43" t="str">
        <x:v>1.274700506603138e-06</x:v>
      </x:c>
      <x:c r="X88" s="43" t="str">
        <x:v>1.6380501750568044e-06</x:v>
      </x:c>
      <x:c r="Y88" s="43" t="str">
        <x:v>1.4563753408299712e-06</x:v>
      </x:c>
      <x:c r="Z88" s="43" t="str">
        <x:v>1.2591408641259016e-06</x:v>
      </x:c>
      <x:c r="AA88" s="43" t="str">
        <x:v>1.4560665626828229e-06</x:v>
      </x:c>
      <x:c r="AB88" s="23" t="str">
        <x:v>Candidate surface form is directly representable in the public Ngram interface. New unsmoothed 1842–2022 series retrieved for the candidate audit.</x:v>
      </x:c>
    </x:row>
    <x:row r="89" ht="19" customHeight="1">
      <x:c r="A89" s="20" t="str">
        <x:v>FT-SEED-R1B-P-1988-28</x:v>
      </x:c>
      <x:c r="B89" s="22" t="str">
        <x:v>1988</x:v>
      </x:c>
      <x:c r="C89" s="22" t="str">
        <x:v>28</x:v>
      </x:c>
      <x:c r="D89" s="21" t="str">
        <x:v>Global Warming Has Begun</x:v>
      </x:c>
      <x:c r="E89" s="22" t="str">
        <x:v>warming</x:v>
      </x:c>
      <x:c r="F89" s="21" t="str">
        <x:v>Global Warming Has Begun</x:v>
      </x:c>
      <x:c r="G89" s="22" t="str">
        <x:v>EXACT</x:v>
      </x:c>
      <x:c r="H89" s="21" t="str">
        <x:v>SUCCEEDED_NEW</x:v>
      </x:c>
      <x:c r="I89" s="21" t="str">
        <x:v>FT-Q-P180-BC8CDB78B2CA</x:v>
      </x:c>
      <x:c r="J89" s="22" t="str">
        <x:v>1842</x:v>
      </x:c>
      <x:c r="K89" s="22" t="str">
        <x:v>2022</x:v>
      </x:c>
      <x:c r="L89" s="22" t="str">
        <x:v>1979</x:v>
      </x:c>
      <x:c r="M89" s="22" t="str">
        <x:v>40</x:v>
      </x:c>
      <x:c r="N89" s="22" t="str">
        <x:v>1989</x:v>
      </x:c>
      <x:c r="O89" s="43" t="str">
        <x:v>2.5948427573307953e-09</x:v>
      </x:c>
      <x:c r="P89" s="43" t="str">
        <x:v>2.27075322434267e-09</x:v>
      </x:c>
      <x:c r="Q89" s="43" t="str">
        <x:v>1.3878436400105442e-09</x:v>
      </x:c>
      <x:c r="R89" s="43" t="str">
        <x:v>1.7084374748232989e-09</x:v>
      </x:c>
      <x:c r="S89" s="43" t="str">
        <x:v>2.5948427573307953e-09</x:v>
      </x:c>
      <x:c r="T89" s="43" t="str">
        <x:v>0.0</x:v>
      </x:c>
      <x:c r="U89" s="43" t="str">
        <x:v>0.0</x:v>
      </x:c>
      <x:c r="V89" s="43" t="str">
        <x:v>2.27075322434267e-09</x:v>
      </x:c>
      <x:c r="W89" s="43" t="str">
        <x:v>8.636694692754077e-10</x:v>
      </x:c>
      <x:c r="X89" s="43" t="str">
        <x:v>8.982670718360453e-10</x:v>
      </x:c>
      <x:c r="Y89" s="43" t="str">
        <x:v>8.809682705557265e-10</x:v>
      </x:c>
      <x:c r="Z89" s="43" t="str">
        <x:v>1.0753667400997813e-09</x:v>
      </x:c>
      <x:c r="AA89" s="43" t="str">
        <x:v>2.591395681372788e-09</x:v>
      </x:c>
      <x:c r="AB89" s="23" t="str">
        <x:v>Candidate surface form is directly representable in the public Ngram interface. New unsmoothed 1842–2022 series retrieved for the candidate audit.</x:v>
      </x:c>
    </x:row>
    <x:row r="90" ht="19" customHeight="1">
      <x:c r="A90" s="20" t="str">
        <x:v>FT-SEED-R1B-P-1988-29</x:v>
      </x:c>
      <x:c r="B90" s="22" t="str">
        <x:v>1988</x:v>
      </x:c>
      <x:c r="C90" s="22" t="str">
        <x:v>29</x:v>
      </x:c>
      <x:c r="D90" s="21" t="str">
        <x:v>evidence is pretty strong</x:v>
      </x:c>
      <x:c r="E90" s="22" t="str">
        <x:v>concern_alarm</x:v>
      </x:c>
      <x:c r="F90" s="21" t="str">
        <x:v>evidence is pretty strong</x:v>
      </x:c>
      <x:c r="G90" s="22" t="str">
        <x:v>EXACT</x:v>
      </x:c>
      <x:c r="H90" s="21" t="str">
        <x:v>SUCCEEDED_NEW</x:v>
      </x:c>
      <x:c r="I90" s="21" t="str">
        <x:v>FT-Q-P180-700FAFA739C8</x:v>
      </x:c>
      <x:c r="J90" s="22" t="str">
        <x:v>1842</x:v>
      </x:c>
      <x:c r="K90" s="22" t="str">
        <x:v>2022</x:v>
      </x:c>
      <x:c r="L90" s="22" t="str">
        <x:v>1842</x:v>
      </x:c>
      <x:c r="M90" s="22" t="str">
        <x:v>153</x:v>
      </x:c>
      <x:c r="N90" s="22" t="str">
        <x:v>1864</x:v>
      </x:c>
      <x:c r="O90" s="43" t="str">
        <x:v>5.380066170346254e-09</x:v>
      </x:c>
      <x:c r="P90" s="43" t="str">
        <x:v>2.3902666512753967e-09</x:v>
      </x:c>
      <x:c r="Q90" s="43" t="str">
        <x:v>1.0665741734250389e-09</x:v>
      </x:c>
      <x:c r="R90" s="43" t="str">
        <x:v>1.1022177615060968e-09</x:v>
      </x:c>
      <x:c r="S90" s="43" t="str">
        <x:v>2.3902666512753967e-09</x:v>
      </x:c>
      <x:c r="T90" s="43" t="str">
        <x:v>7.334431950667408e-10</x:v>
      </x:c>
      <x:c r="U90" s="43" t="str">
        <x:v>0.0</x:v>
      </x:c>
      <x:c r="V90" s="43" t="str">
        <x:v>2.3902666512753967e-09</x:v>
      </x:c>
      <x:c r="W90" s="43" t="str">
        <x:v>6.477520742009801e-10</x:v>
      </x:c>
      <x:c r="X90" s="43" t="str">
        <x:v>1.0567847708031763e-09</x:v>
      </x:c>
      <x:c r="Y90" s="43" t="str">
        <x:v>8.522684225020782e-10</x:v>
      </x:c>
      <x:c r="Z90" s="43" t="str">
        <x:v>1.4517450575013413e-09</x:v>
      </x:c>
      <x:c r="AA90" s="43" t="str">
        <x:v>1.2194802945231231e-09</x:v>
      </x:c>
      <x:c r="AB90" s="23" t="str">
        <x:v>Candidate surface form is directly representable in the public Ngram interface. New unsmoothed 1842–2022 series retrieved for the candidate audit.</x:v>
      </x:c>
    </x:row>
    <x:row r="91" ht="19" customHeight="1">
      <x:c r="A91" s="20" t="str">
        <x:v>FT-SEED-R1B-P-1988-30</x:v>
      </x:c>
      <x:c r="B91" s="22" t="str">
        <x:v>1988</x:v>
      </x:c>
      <x:c r="C91" s="22" t="str">
        <x:v>30</x:v>
      </x:c>
      <x:c r="D91" s="21" t="str">
        <x:v>too much carbon dioxide is dangerous</x:v>
      </x:c>
      <x:c r="E91" s="22" t="str">
        <x:v>carbon_greenhouse</x:v>
      </x:c>
      <x:c r="F91" s="21" t="str">
        <x:v>too much carbon dioxide is dangerous</x:v>
      </x:c>
      <x:c r="G91" s="22" t="str">
        <x:v>EXACT</x:v>
      </x:c>
      <x:c r="H91" s="21" t="str">
        <x:v>ZERO_RESPONSE_NEW</x:v>
      </x:c>
      <x:c r="I91" s="21" t="str">
        <x:v>FT-Q-P180-59D638D2BD5B</x:v>
      </x:c>
      <x:c r="J91" s="22" t="str">
        <x:v>1842</x:v>
      </x:c>
      <x:c r="K91" s="22" t="str">
        <x:v>2022</x:v>
      </x:c>
      <x:c r="L91" s="22" t="str"/>
      <x:c r="M91" s="22" t="str">
        <x:v>0</x:v>
      </x:c>
      <x:c r="N91" s="22" t="str"/>
      <x:c r="O91" s="43" t="str"/>
      <x:c r="P91" s="43" t="str"/>
      <x:c r="Q91" s="43" t="str"/>
      <x:c r="R91" s="43" t="str"/>
      <x:c r="S91" s="43" t="str"/>
      <x:c r="T91" s="43" t="str"/>
      <x:c r="U91" s="43" t="str"/>
      <x:c r="V91" s="43" t="str"/>
      <x:c r="W91" s="43" t="str"/>
      <x:c r="X91" s="43" t="str"/>
      <x:c r="Y91" s="43" t="str"/>
      <x:c r="Z91" s="43" t="str"/>
      <x:c r="AA91" s="43" t="str"/>
      <x:c r="AB91" s="23" t="str">
        <x:v>Candidate surface form is directly representable in the public Ngram interface. The public Ngram endpoint returned an empty list; retained without fabricating annual zero frequencies.</x:v>
      </x:c>
    </x:row>
    <x:row r="92" ht="19" customHeight="1">
      <x:c r="A92" s="20" t="str">
        <x:v>FT-SEED-R1B-P-0607-01</x:v>
      </x:c>
      <x:c r="B92" s="22" t="str">
        <x:v>2006–2007</x:v>
      </x:c>
      <x:c r="C92" s="22" t="str">
        <x:v>1</x:v>
      </x:c>
      <x:c r="D92" s="21" t="str">
        <x:v>warming of the climate system</x:v>
      </x:c>
      <x:c r="E92" s="22" t="str">
        <x:v>warming</x:v>
      </x:c>
      <x:c r="F92" s="21" t="str">
        <x:v>warming of the climate system</x:v>
      </x:c>
      <x:c r="G92" s="22" t="str">
        <x:v>EXACT</x:v>
      </x:c>
      <x:c r="H92" s="21" t="str">
        <x:v>SUCCEEDED_REUSED_BASELINE</x:v>
      </x:c>
      <x:c r="I92" s="21" t="str">
        <x:v>FT-Q-V01-061</x:v>
      </x:c>
      <x:c r="J92" s="22" t="str">
        <x:v>1842</x:v>
      </x:c>
      <x:c r="K92" s="22" t="str">
        <x:v>2022</x:v>
      </x:c>
      <x:c r="L92" s="22" t="str">
        <x:v>1949</x:v>
      </x:c>
      <x:c r="M92" s="22" t="str">
        <x:v>40</x:v>
      </x:c>
      <x:c r="N92" s="22" t="str">
        <x:v>2008</x:v>
      </x:c>
      <x:c r="O92" s="43" t="str">
        <x:v>1.7286482467682163e-08</x:v>
      </x:c>
      <x:c r="P92" s="43" t="str">
        <x:v>4.110638524013055e-09</x:v>
      </x:c>
      <x:c r="Q92" s="43" t="str">
        <x:v>6.480305066863812e-09</x:v>
      </x:c>
      <x:c r="R92" s="43" t="str">
        <x:v>4.110638524013055e-09</x:v>
      </x:c>
      <x:c r="S92" s="43" t="str">
        <x:v>1.7286482467682163e-08</x:v>
      </x:c>
      <x:c r="T92" s="43" t="str">
        <x:v>0.0</x:v>
      </x:c>
      <x:c r="U92" s="43" t="str">
        <x:v>0.0</x:v>
      </x:c>
      <x:c r="V92" s="43" t="str">
        <x:v>1.303340213532067e-10</x:v>
      </x:c>
      <x:c r="W92" s="43" t="str">
        <x:v>1.0481172041387765e-09</x:v>
      </x:c>
      <x:c r="X92" s="43" t="str">
        <x:v>7.173159843887333e-09</x:v>
      </x:c>
      <x:c r="Y92" s="43" t="str">
        <x:v>4.110638524013055e-09</x:v>
      </x:c>
      <x:c r="Z92" s="43" t="str">
        <x:v>1.3360471395884588e-08</x:v>
      </x:c>
      <x:c r="AA92" s="43" t="str">
        <x:v>4.8928221474398015e-09</x:v>
      </x:c>
      <x:c r="AB92" s="23" t="str">
        <x:v>Candidate surface form is directly representable in the public Ngram interface. Complete 1842–2022 unsmoothed series reused from the audited quantitative-v0.1 baseline.</x:v>
      </x:c>
    </x:row>
    <x:row r="93" ht="19" customHeight="1">
      <x:c r="A93" s="20" t="str">
        <x:v>FT-SEED-R1B-P-0607-02</x:v>
      </x:c>
      <x:c r="B93" s="22" t="str">
        <x:v>2006–2007</x:v>
      </x:c>
      <x:c r="C93" s="22" t="str">
        <x:v>2</x:v>
      </x:c>
      <x:c r="D93" s="21" t="str">
        <x:v>unequivocal</x:v>
      </x:c>
      <x:c r="E93" s="22" t="str">
        <x:v>climate</x:v>
      </x:c>
      <x:c r="F93" s="21" t="str">
        <x:v>unequivocal</x:v>
      </x:c>
      <x:c r="G93" s="22" t="str">
        <x:v>EXACT</x:v>
      </x:c>
      <x:c r="H93" s="21" t="str">
        <x:v>SUCCEEDED_REUSED_BASELINE</x:v>
      </x:c>
      <x:c r="I93" s="21" t="str">
        <x:v>FT-Q-V01-062</x:v>
      </x:c>
      <x:c r="J93" s="22" t="str">
        <x:v>1842</x:v>
      </x:c>
      <x:c r="K93" s="22" t="str">
        <x:v>2022</x:v>
      </x:c>
      <x:c r="L93" s="22" t="str">
        <x:v>1842</x:v>
      </x:c>
      <x:c r="M93" s="22" t="str">
        <x:v>181</x:v>
      </x:c>
      <x:c r="N93" s="22" t="str">
        <x:v>1844</x:v>
      </x:c>
      <x:c r="O93" s="43" t="str">
        <x:v>2.493547962445497e-06</x:v>
      </x:c>
      <x:c r="P93" s="43" t="str">
        <x:v>1.1813608685184995e-06</x:v>
      </x:c>
      <x:c r="Q93" s="43" t="str">
        <x:v>1.1878409533205847e-06</x:v>
      </x:c>
      <x:c r="R93" s="43" t="str">
        <x:v>1.187627293230964e-06</x:v>
      </x:c>
      <x:c r="S93" s="43" t="str">
        <x:v>1.2128577232539683e-06</x:v>
      </x:c>
      <x:c r="T93" s="43" t="str">
        <x:v>2.4891912246971515e-06</x:v>
      </x:c>
      <x:c r="U93" s="43" t="str">
        <x:v>6.214660617231971e-07</x:v>
      </x:c>
      <x:c r="V93" s="43" t="str">
        <x:v>1.2658131665066463e-06</x:v>
      </x:c>
      <x:c r="W93" s="43" t="str">
        <x:v>1.1632515035664426e-06</x:v>
      </x:c>
      <x:c r="X93" s="43" t="str">
        <x:v>1.1994702334705565e-06</x:v>
      </x:c>
      <x:c r="Y93" s="43" t="str">
        <x:v>1.1813608685184995e-06</x:v>
      </x:c>
      <x:c r="Z93" s="43" t="str">
        <x:v>1.04477917728385e-06</x:v>
      </x:c>
      <x:c r="AA93" s="43" t="str">
        <x:v>9.735799887389263e-07</x:v>
      </x:c>
      <x:c r="AB93" s="23" t="str">
        <x:v>Candidate surface form is directly representable in the public Ngram interface. Complete 1842–2022 unsmoothed series reused from the audited quantitative-v0.1 baseline.</x:v>
      </x:c>
    </x:row>
    <x:row r="94" ht="19" customHeight="1">
      <x:c r="A94" s="20" t="str">
        <x:v>FT-SEED-R1B-P-0607-03</x:v>
      </x:c>
      <x:c r="B94" s="22" t="str">
        <x:v>2006–2007</x:v>
      </x:c>
      <x:c r="C94" s="22" t="str">
        <x:v>3</x:v>
      </x:c>
      <x:c r="D94" s="21" t="str">
        <x:v>global average air and ocean temperatures</x:v>
      </x:c>
      <x:c r="E94" s="22" t="str">
        <x:v>temperature_threshold</x:v>
      </x:c>
      <x:c r="F94" s="21" t="str">
        <x:v>global average air and ocean temperatures</x:v>
      </x:c>
      <x:c r="G94" s="22" t="str">
        <x:v>EXACT</x:v>
      </x:c>
      <x:c r="H94" s="21" t="str">
        <x:v>SUCCEEDED_REUSED_BASELINE</x:v>
      </x:c>
      <x:c r="I94" s="21" t="str">
        <x:v>FT-Q-V01-063</x:v>
      </x:c>
      <x:c r="J94" s="22" t="str">
        <x:v>1842</x:v>
      </x:c>
      <x:c r="K94" s="22" t="str">
        <x:v>2022</x:v>
      </x:c>
      <x:c r="L94" s="22" t="str">
        <x:v>1949</x:v>
      </x:c>
      <x:c r="M94" s="22" t="str">
        <x:v>28</x:v>
      </x:c>
      <x:c r="N94" s="22" t="str">
        <x:v>2010</x:v>
      </x:c>
      <x:c r="O94" s="43" t="str">
        <x:v>9.683230217660821e-09</x:v>
      </x:c>
      <x:c r="P94" s="43" t="str">
        <x:v>2.0195753541729644e-09</x:v>
      </x:c>
      <x:c r="Q94" s="43" t="str">
        <x:v>3.239182859438028e-09</x:v>
      </x:c>
      <x:c r="R94" s="43" t="str">
        <x:v>2.0195753541729644e-09</x:v>
      </x:c>
      <x:c r="S94" s="43" t="str">
        <x:v>8.854073030306608e-09</x:v>
      </x:c>
      <x:c r="T94" s="43" t="str">
        <x:v>0.0</x:v>
      </x:c>
      <x:c r="U94" s="43" t="str">
        <x:v>0.0</x:v>
      </x:c>
      <x:c r="V94" s="43" t="str">
        <x:v>0.0</x:v>
      </x:c>
      <x:c r="W94" s="43" t="str">
        <x:v>1.8775994647945993e-10</x:v>
      </x:c>
      <x:c r="X94" s="43" t="str">
        <x:v>3.851390761866469e-09</x:v>
      </x:c>
      <x:c r="Y94" s="43" t="str">
        <x:v>2.0195753541729644e-09</x:v>
      </x:c>
      <x:c r="Z94" s="43" t="str">
        <x:v>2.896688888753829e-09</x:v>
      </x:c>
      <x:c r="AA94" s="43" t="str">
        <x:v>9.299532255369058e-10</x:v>
      </x:c>
      <x:c r="AB94" s="23" t="str">
        <x:v>Candidate surface form is directly representable in the public Ngram interface. Complete 1842–2022 unsmoothed series reused from the audited quantitative-v0.1 baseline.</x:v>
      </x:c>
    </x:row>
    <x:row r="95" ht="19" customHeight="1">
      <x:c r="A95" s="20" t="str">
        <x:v>FT-SEED-R1B-P-0607-04</x:v>
      </x:c>
      <x:c r="B95" s="22" t="str">
        <x:v>2006–2007</x:v>
      </x:c>
      <x:c r="C95" s="22" t="str">
        <x:v>4</x:v>
      </x:c>
      <x:c r="D95" s="21" t="str">
        <x:v>global surface temperature</x:v>
      </x:c>
      <x:c r="E95" s="22" t="str">
        <x:v>temperature_threshold</x:v>
      </x:c>
      <x:c r="F95" s="21" t="str">
        <x:v>global surface temperature</x:v>
      </x:c>
      <x:c r="G95" s="22" t="str">
        <x:v>EXACT</x:v>
      </x:c>
      <x:c r="H95" s="21" t="str">
        <x:v>SUCCEEDED_REUSED_BASELINE</x:v>
      </x:c>
      <x:c r="I95" s="21" t="str">
        <x:v>FT-Q-V01-064</x:v>
      </x:c>
      <x:c r="J95" s="22" t="str">
        <x:v>1842</x:v>
      </x:c>
      <x:c r="K95" s="22" t="str">
        <x:v>2022</x:v>
      </x:c>
      <x:c r="L95" s="22" t="str">
        <x:v>1869</x:v>
      </x:c>
      <x:c r="M95" s="22" t="str">
        <x:v>72</x:v>
      </x:c>
      <x:c r="N95" s="22" t="str">
        <x:v>2022</x:v>
      </x:c>
      <x:c r="O95" s="43" t="str">
        <x:v>3.419688007766375e-08</x:v>
      </x:c>
      <x:c r="P95" s="43" t="str">
        <x:v>1.4327226731392084e-08</x:v>
      </x:c>
      <x:c r="Q95" s="43" t="str">
        <x:v>1.659791600341909e-08</x:v>
      </x:c>
      <x:c r="R95" s="43" t="str">
        <x:v>1.4327226731392084e-08</x:v>
      </x:c>
      <x:c r="S95" s="43" t="str">
        <x:v>2.3729921888593353e-08</x:v>
      </x:c>
      <x:c r="T95" s="43" t="str">
        <x:v>0.0</x:v>
      </x:c>
      <x:c r="U95" s="43" t="str">
        <x:v>0.0</x:v>
      </x:c>
      <x:c r="V95" s="43" t="str">
        <x:v>7.4062531524310415e-09</x:v>
      </x:c>
      <x:c r="W95" s="43" t="str">
        <x:v>1.4417223248575084e-08</x:v>
      </x:c>
      <x:c r="X95" s="43" t="str">
        <x:v>1.4237230214209085e-08</x:v>
      </x:c>
      <x:c r="Y95" s="43" t="str">
        <x:v>1.4327226731392084e-08</x:v>
      </x:c>
      <x:c r="Z95" s="43" t="str">
        <x:v>2.6543018408209385e-08</x:v>
      </x:c>
      <x:c r="AA95" s="43" t="str">
        <x:v>3.419688007766375e-08</x:v>
      </x:c>
      <x:c r="AB95" s="23" t="str">
        <x:v>Candidate surface form is directly representable in the public Ngram interface. Complete 1842–2022 unsmoothed series reused from the audited quantitative-v0.1 baseline.</x:v>
      </x:c>
    </x:row>
    <x:row r="96" ht="19" customHeight="1">
      <x:c r="A96" s="20" t="str">
        <x:v>FT-SEED-R1B-P-0607-05</x:v>
      </x:c>
      <x:c r="B96" s="22" t="str">
        <x:v>2006–2007</x:v>
      </x:c>
      <x:c r="C96" s="22" t="str">
        <x:v>5</x:v>
      </x:c>
      <x:c r="D96" s="21" t="str">
        <x:v>temperature increase</x:v>
      </x:c>
      <x:c r="E96" s="22" t="str">
        <x:v>warming</x:v>
      </x:c>
      <x:c r="F96" s="21" t="str">
        <x:v>temperature increase</x:v>
      </x:c>
      <x:c r="G96" s="22" t="str">
        <x:v>EXACT</x:v>
      </x:c>
      <x:c r="H96" s="21" t="str">
        <x:v>SUCCEEDED_REUSED_BASELINE</x:v>
      </x:c>
      <x:c r="I96" s="21" t="str">
        <x:v>FT-Q-V01-065</x:v>
      </x:c>
      <x:c r="J96" s="22" t="str">
        <x:v>1842</x:v>
      </x:c>
      <x:c r="K96" s="22" t="str">
        <x:v>2022</x:v>
      </x:c>
      <x:c r="L96" s="22" t="str">
        <x:v>1842</x:v>
      </x:c>
      <x:c r="M96" s="22" t="str">
        <x:v>180</x:v>
      </x:c>
      <x:c r="N96" s="22" t="str">
        <x:v>2012</x:v>
      </x:c>
      <x:c r="O96" s="43" t="str">
        <x:v>4.5873130977147625e-07</x:v>
      </x:c>
      <x:c r="P96" s="43" t="str">
        <x:v>3.1799401488397105e-07</x:v>
      </x:c>
      <x:c r="Q96" s="43" t="str">
        <x:v>3.186941229353646e-07</x:v>
      </x:c>
      <x:c r="R96" s="43" t="str">
        <x:v>3.18835105005133e-07</x:v>
      </x:c>
      <x:c r="S96" s="43" t="str">
        <x:v>3.209835044426512e-07</x:v>
      </x:c>
      <x:c r="T96" s="43" t="str">
        <x:v>2.579953362058518e-09</x:v>
      </x:c>
      <x:c r="U96" s="43" t="str">
        <x:v>7.439646565465807e-08</x:v>
      </x:c>
      <x:c r="V96" s="43" t="str">
        <x:v>2.921836819713697e-07</x:v>
      </x:c>
      <x:c r="W96" s="43" t="str">
        <x:v>3.161227772885411e-07</x:v>
      </x:c>
      <x:c r="X96" s="43" t="str">
        <x:v>3.19865252479401e-07</x:v>
      </x:c>
      <x:c r="Y96" s="43" t="str">
        <x:v>3.1799401488397105e-07</x:v>
      </x:c>
      <x:c r="Z96" s="43" t="str">
        <x:v>3.0165019931915893e-07</x:v>
      </x:c>
      <x:c r="AA96" s="43" t="str">
        <x:v>3.5537879566893693e-07</x:v>
      </x:c>
      <x:c r="AB96" s="23" t="str">
        <x:v>Candidate surface form is directly representable in the public Ngram interface. Complete 1842–2022 unsmoothed series reused from the audited quantitative-v0.1 baseline.</x:v>
      </x:c>
    </x:row>
    <x:row r="97" ht="19" customHeight="1">
      <x:c r="A97" s="20" t="str">
        <x:v>FT-SEED-R1B-P-0607-06</x:v>
      </x:c>
      <x:c r="B97" s="22" t="str">
        <x:v>2006–2007</x:v>
      </x:c>
      <x:c r="C97" s="22" t="str">
        <x:v>6</x:v>
      </x:c>
      <x:c r="D97" s="21" t="str">
        <x:v>rising global average sea level</x:v>
      </x:c>
      <x:c r="E97" s="22" t="str">
        <x:v>harm_loss_consequences</x:v>
      </x:c>
      <x:c r="F97" s="21" t="str">
        <x:v>rising global average sea level</x:v>
      </x:c>
      <x:c r="G97" s="22" t="str">
        <x:v>EXACT</x:v>
      </x:c>
      <x:c r="H97" s="21" t="str">
        <x:v>SUCCEEDED_REUSED_BASELINE</x:v>
      </x:c>
      <x:c r="I97" s="21" t="str">
        <x:v>FT-Q-V01-066</x:v>
      </x:c>
      <x:c r="J97" s="22" t="str">
        <x:v>1842</x:v>
      </x:c>
      <x:c r="K97" s="22" t="str">
        <x:v>2022</x:v>
      </x:c>
      <x:c r="L97" s="22" t="str">
        <x:v>1953</x:v>
      </x:c>
      <x:c r="M97" s="22" t="str">
        <x:v>25</x:v>
      </x:c>
      <x:c r="N97" s="22" t="str">
        <x:v>2008</x:v>
      </x:c>
      <x:c r="O97" s="43" t="str">
        <x:v>6.8787042728502e-09</x:v>
      </x:c>
      <x:c r="P97" s="43" t="str">
        <x:v>1.1101318753148348e-09</x:v>
      </x:c>
      <x:c r="Q97" s="43" t="str">
        <x:v>2.2895084612895023e-09</x:v>
      </x:c>
      <x:c r="R97" s="43" t="str">
        <x:v>1.1396647861539044e-09</x:v>
      </x:c>
      <x:c r="S97" s="43" t="str">
        <x:v>6.8787042728502e-09</x:v>
      </x:c>
      <x:c r="T97" s="43" t="str">
        <x:v>0.0</x:v>
      </x:c>
      <x:c r="U97" s="43" t="str">
        <x:v>0.0</x:v>
      </x:c>
      <x:c r="V97" s="43" t="str">
        <x:v>0.0</x:v>
      </x:c>
      <x:c r="W97" s="43" t="str">
        <x:v>0.0</x:v>
      </x:c>
      <x:c r="X97" s="43" t="str">
        <x:v>2.2202637506296696e-09</x:v>
      </x:c>
      <x:c r="Y97" s="43" t="str">
        <x:v>1.1101318753148348e-09</x:v>
      </x:c>
      <x:c r="Z97" s="43" t="str">
        <x:v>2.130764897856352e-09</x:v>
      </x:c>
      <x:c r="AA97" s="43" t="str">
        <x:v>6.523762641208464e-10</x:v>
      </x:c>
      <x:c r="AB97" s="23" t="str">
        <x:v>Candidate surface form is directly representable in the public Ngram interface. Complete 1842–2022 unsmoothed series reused from the audited quantitative-v0.1 baseline.</x:v>
      </x:c>
    </x:row>
    <x:row r="98" ht="19" customHeight="1">
      <x:c r="A98" s="20" t="str">
        <x:v>FT-SEED-R1B-P-0607-07</x:v>
      </x:c>
      <x:c r="B98" s="22" t="str">
        <x:v>2006–2007</x:v>
      </x:c>
      <x:c r="C98" s="22" t="str">
        <x:v>7</x:v>
      </x:c>
      <x:c r="D98" s="21" t="str">
        <x:v>widespread melting of snow and ice</x:v>
      </x:c>
      <x:c r="E98" s="22" t="str">
        <x:v>harm_loss_consequences</x:v>
      </x:c>
      <x:c r="F98" s="21" t="str">
        <x:v>widespread melting of snow and ice</x:v>
      </x:c>
      <x:c r="G98" s="22" t="str">
        <x:v>EXACT</x:v>
      </x:c>
      <x:c r="H98" s="21" t="str">
        <x:v>SUCCEEDED_REUSED_BASELINE</x:v>
      </x:c>
      <x:c r="I98" s="21" t="str">
        <x:v>FT-Q-V01-067</x:v>
      </x:c>
      <x:c r="J98" s="22" t="str">
        <x:v>1842</x:v>
      </x:c>
      <x:c r="K98" s="22" t="str">
        <x:v>2022</x:v>
      </x:c>
      <x:c r="L98" s="22" t="str">
        <x:v>1949</x:v>
      </x:c>
      <x:c r="M98" s="22" t="str">
        <x:v>30</x:v>
      </x:c>
      <x:c r="N98" s="22" t="str">
        <x:v>2008</x:v>
      </x:c>
      <x:c r="O98" s="43" t="str">
        <x:v>1.1227990981410585e-08</x:v>
      </x:c>
      <x:c r="P98" s="43" t="str">
        <x:v>2.6622005572241036e-09</x:v>
      </x:c>
      <x:c r="Q98" s="43" t="str">
        <x:v>4.169851873514485e-09</x:v>
      </x:c>
      <x:c r="R98" s="43" t="str">
        <x:v>2.6622005572241036e-09</x:v>
      </x:c>
      <x:c r="S98" s="43" t="str">
        <x:v>1.1227990981410585e-08</x:v>
      </x:c>
      <x:c r="T98" s="43" t="str">
        <x:v>0.0</x:v>
      </x:c>
      <x:c r="U98" s="43" t="str">
        <x:v>0.0</x:v>
      </x:c>
      <x:c r="V98" s="43" t="str">
        <x:v>0.0</x:v>
      </x:c>
      <x:c r="W98" s="43" t="str">
        <x:v>2.503466045578051e-10</x:v>
      </x:c>
      <x:c r="X98" s="43" t="str">
        <x:v>5.074054509890402e-09</x:v>
      </x:c>
      <x:c r="Y98" s="43" t="str">
        <x:v>2.6622005572241036e-09</x:v>
      </x:c>
      <x:c r="Z98" s="43" t="str">
        <x:v>3.451374075424951e-09</x:v>
      </x:c>
      <x:c r="AA98" s="43" t="str">
        <x:v>1.1043194136917123e-09</x:v>
      </x:c>
      <x:c r="AB98" s="23" t="str">
        <x:v>Candidate surface form is directly representable in the public Ngram interface. Complete 1842–2022 unsmoothed series reused from the audited quantitative-v0.1 baseline.</x:v>
      </x:c>
    </x:row>
    <x:row r="99" ht="19" customHeight="1">
      <x:c r="A99" s="20" t="str">
        <x:v>FT-SEED-R1B-P-0607-08</x:v>
      </x:c>
      <x:c r="B99" s="22" t="str">
        <x:v>2006–2007</x:v>
      </x:c>
      <x:c r="C99" s="22" t="str">
        <x:v>8</x:v>
      </x:c>
      <x:c r="D99" s="21" t="str">
        <x:v>anthropogenic CO₂</x:v>
      </x:c>
      <x:c r="E99" s="22" t="str">
        <x:v>carbon_greenhouse</x:v>
      </x:c>
      <x:c r="F99" s="21" t="str">
        <x:v>anthropogenic carbon dioxide</x:v>
      </x:c>
      <x:c r="G99" s="22" t="str">
        <x:v>VALIDATED_ALIAS</x:v>
      </x:c>
      <x:c r="H99" s="21" t="str">
        <x:v>SUCCEEDED_NEW</x:v>
      </x:c>
      <x:c r="I99" s="21" t="str">
        <x:v>FT-Q-V01-068</x:v>
      </x:c>
      <x:c r="J99" s="22" t="str">
        <x:v>1842</x:v>
      </x:c>
      <x:c r="K99" s="22" t="str">
        <x:v>2022</x:v>
      </x:c>
      <x:c r="L99" s="22" t="str">
        <x:v>1869</x:v>
      </x:c>
      <x:c r="M99" s="22" t="str">
        <x:v>58</x:v>
      </x:c>
      <x:c r="N99" s="22" t="str">
        <x:v>2018</x:v>
      </x:c>
      <x:c r="O99" s="43" t="str">
        <x:v>1.3785233732299673e-08</x:v>
      </x:c>
      <x:c r="P99" s="43" t="str">
        <x:v>8.282402000348021e-09</x:v>
      </x:c>
      <x:c r="Q99" s="43" t="str">
        <x:v>8.289992976806548e-09</x:v>
      </x:c>
      <x:c r="R99" s="43" t="str">
        <x:v>8.297583953265075e-09</x:v>
      </x:c>
      <x:c r="S99" s="43" t="str">
        <x:v>9.232333120223757e-09</x:v>
      </x:c>
      <x:c r="T99" s="43" t="str">
        <x:v>0.0</x:v>
      </x:c>
      <x:c r="U99" s="43" t="str">
        <x:v>0.0</x:v>
      </x:c>
      <x:c r="V99" s="43" t="str">
        <x:v>1.5136867315135305e-09</x:v>
      </x:c>
      <x:c r="W99" s="43" t="str">
        <x:v>7.332470880472286e-09</x:v>
      </x:c>
      <x:c r="X99" s="43" t="str">
        <x:v>9.232333120223757e-09</x:v>
      </x:c>
      <x:c r="Y99" s="43" t="str">
        <x:v>8.282402000348021e-09</x:v>
      </x:c>
      <x:c r="Z99" s="43" t="str">
        <x:v>9.44751499254437e-09</x:v>
      </x:c>
      <x:c r="AA99" s="43" t="str">
        <x:v>1.2155737000307809e-08</x:v>
      </x:c>
      <x:c r="AB99" s="23" t="str">
        <x:v>CO₂ is expanded to its standard full lexical form; referent and historical sense are unchanged. New unsmoothed 1842–2022 series retrieved for the candidate audit.</x:v>
      </x:c>
    </x:row>
    <x:row r="100" ht="19" customHeight="1">
      <x:c r="A100" s="20" t="str">
        <x:v>FT-SEED-R1B-P-0607-09</x:v>
      </x:c>
      <x:c r="B100" s="22" t="str">
        <x:v>2006–2007</x:v>
      </x:c>
      <x:c r="C100" s="22" t="str">
        <x:v>9</x:v>
      </x:c>
      <x:c r="D100" s="21" t="str">
        <x:v>anthropogenic GHG emissions</x:v>
      </x:c>
      <x:c r="E100" s="22" t="str">
        <x:v>carbon_greenhouse</x:v>
      </x:c>
      <x:c r="F100" s="21" t="str">
        <x:v>anthropogenic GHG emissions</x:v>
      </x:c>
      <x:c r="G100" s="22" t="str">
        <x:v>EXACT</x:v>
      </x:c>
      <x:c r="H100" s="21" t="str">
        <x:v>SUCCEEDED_REUSED_BASELINE</x:v>
      </x:c>
      <x:c r="I100" s="21" t="str">
        <x:v>FT-Q-V01-069</x:v>
      </x:c>
      <x:c r="J100" s="22" t="str">
        <x:v>1842</x:v>
      </x:c>
      <x:c r="K100" s="22" t="str">
        <x:v>2022</x:v>
      </x:c>
      <x:c r="L100" s="22" t="str">
        <x:v>1901</x:v>
      </x:c>
      <x:c r="M100" s="22" t="str">
        <x:v>36</x:v>
      </x:c>
      <x:c r="N100" s="22" t="str">
        <x:v>2022</x:v>
      </x:c>
      <x:c r="O100" s="43" t="str">
        <x:v>1.6223415388871842e-08</x:v>
      </x:c>
      <x:c r="P100" s="43" t="str">
        <x:v>2.250436378914422e-09</x:v>
      </x:c>
      <x:c r="Q100" s="43" t="str">
        <x:v>2.7409669048350516e-09</x:v>
      </x:c>
      <x:c r="R100" s="43" t="str">
        <x:v>2.5622542143555194e-09</x:v>
      </x:c>
      <x:c r="S100" s="43" t="str">
        <x:v>4.253960045330629e-09</x:v>
      </x:c>
      <x:c r="T100" s="43" t="str">
        <x:v>0.0</x:v>
      </x:c>
      <x:c r="U100" s="43" t="str">
        <x:v>0.0</x:v>
      </x:c>
      <x:c r="V100" s="43" t="str">
        <x:v>0.0</x:v>
      </x:c>
      <x:c r="W100" s="43" t="str">
        <x:v>1.5853991452985383e-09</x:v>
      </x:c>
      <x:c r="X100" s="43" t="str">
        <x:v>2.915473612530306e-09</x:v>
      </x:c>
      <x:c r="Y100" s="43" t="str">
        <x:v>2.250436378914422e-09</x:v>
      </x:c>
      <x:c r="Z100" s="43" t="str">
        <x:v>1.4396213138256897e-08</x:v>
      </x:c>
      <x:c r="AA100" s="43" t="str">
        <x:v>1.6223415388871842e-08</x:v>
      </x:c>
      <x:c r="AB100" s="23" t="str">
        <x:v>Candidate surface form is directly representable in the public Ngram interface. Complete 1842–2022 unsmoothed series reused from the audited quantitative-v0.1 baseline.</x:v>
      </x:c>
    </x:row>
    <x:row r="101" ht="19" customHeight="1">
      <x:c r="A101" s="20" t="str">
        <x:v>FT-SEED-R1B-P-0607-10</x:v>
      </x:c>
      <x:c r="B101" s="22" t="str">
        <x:v>2006–2007</x:v>
      </x:c>
      <x:c r="C101" s="22" t="str">
        <x:v>10</x:v>
      </x:c>
      <x:c r="D101" s="21" t="str">
        <x:v>climate change</x:v>
      </x:c>
      <x:c r="E101" s="22" t="str">
        <x:v>climate</x:v>
      </x:c>
      <x:c r="F101" s="21" t="str">
        <x:v>climate change</x:v>
      </x:c>
      <x:c r="G101" s="22" t="str">
        <x:v>EXACT</x:v>
      </x:c>
      <x:c r="H101" s="21" t="str">
        <x:v>SUCCEEDED_REUSED_BASELINE</x:v>
      </x:c>
      <x:c r="I101" s="21" t="str">
        <x:v>FT-Q-V01-070</x:v>
      </x:c>
      <x:c r="J101" s="22" t="str">
        <x:v>1842</x:v>
      </x:c>
      <x:c r="K101" s="22" t="str">
        <x:v>2022</x:v>
      </x:c>
      <x:c r="L101" s="22" t="str">
        <x:v>1842</x:v>
      </x:c>
      <x:c r="M101" s="22" t="str">
        <x:v>180</x:v>
      </x:c>
      <x:c r="N101" s="22" t="str">
        <x:v>2022</x:v>
      </x:c>
      <x:c r="O101" s="43" t="str">
        <x:v>2.890008815206735e-05</x:v>
      </x:c>
      <x:c r="P101" s="43" t="str">
        <x:v>1.095392866206149e-05</x:v>
      </x:c>
      <x:c r="Q101" s="43" t="str">
        <x:v>1.1502200587204872e-05</x:v>
      </x:c>
      <x:c r="R101" s="43" t="str">
        <x:v>1.095392866206149e-05</x:v>
      </x:c>
      <x:c r="S101" s="43" t="str">
        <x:v>1.6101769033910474e-05</x:v>
      </x:c>
      <x:c r="T101" s="43" t="str">
        <x:v>5.159906557583582e-09</x:v>
      </x:c>
      <x:c r="U101" s="43" t="str">
        <x:v>2.5615549126278836e-09</x:v>
      </x:c>
      <x:c r="V101" s="43" t="str">
        <x:v>1.2407935109301493e-06</x:v>
      </x:c>
      <x:c r="W101" s="43" t="str">
        <x:v>8.716473492563492e-06</x:v>
      </x:c>
      <x:c r="X101" s="43" t="str">
        <x:v>1.3191383831559489e-05</x:v>
      </x:c>
      <x:c r="Y101" s="43" t="str">
        <x:v>1.095392866206149e-05</x:v>
      </x:c>
      <x:c r="Z101" s="43" t="str">
        <x:v>1.967096413684616e-05</x:v>
      </x:c>
      <x:c r="AA101" s="43" t="str">
        <x:v>2.890008815206735e-05</x:v>
      </x:c>
      <x:c r="AB101" s="23" t="str">
        <x:v>Candidate surface form is directly representable in the public Ngram interface. Complete 1842–2022 unsmoothed series reused from the audited quantitative-v0.1 baseline.</x:v>
      </x:c>
    </x:row>
    <x:row r="102" ht="19" customHeight="1">
      <x:c r="A102" s="20" t="str">
        <x:v>FT-SEED-R1B-P-0607-11</x:v>
      </x:c>
      <x:c r="B102" s="22" t="str">
        <x:v>2006–2007</x:v>
      </x:c>
      <x:c r="C102" s="22" t="str">
        <x:v>11</x:v>
      </x:c>
      <x:c r="D102" s="21" t="str">
        <x:v>global warming</x:v>
      </x:c>
      <x:c r="E102" s="22" t="str">
        <x:v>warming</x:v>
      </x:c>
      <x:c r="F102" s="21" t="str">
        <x:v>global warming</x:v>
      </x:c>
      <x:c r="G102" s="22" t="str">
        <x:v>EXACT</x:v>
      </x:c>
      <x:c r="H102" s="21" t="str">
        <x:v>SUCCEEDED_REUSED_BASELINE</x:v>
      </x:c>
      <x:c r="I102" s="21" t="str">
        <x:v>FT-Q-V01-071</x:v>
      </x:c>
      <x:c r="J102" s="22" t="str">
        <x:v>1842</x:v>
      </x:c>
      <x:c r="K102" s="22" t="str">
        <x:v>2022</x:v>
      </x:c>
      <x:c r="L102" s="22" t="str">
        <x:v>1843</x:v>
      </x:c>
      <x:c r="M102" s="22" t="str">
        <x:v>138</x:v>
      </x:c>
      <x:c r="N102" s="22" t="str">
        <x:v>2009</x:v>
      </x:c>
      <x:c r="O102" s="43" t="str">
        <x:v>5.445639571555194e-06</x:v>
      </x:c>
      <x:c r="P102" s="43" t="str">
        <x:v>4.17779036841065e-06</x:v>
      </x:c>
      <x:c r="Q102" s="43" t="str">
        <x:v>4.173465091666245e-06</x:v>
      </x:c>
      <x:c r="R102" s="43" t="str">
        <x:v>4.17779036841065e-06</x:v>
      </x:c>
      <x:c r="S102" s="43" t="str">
        <x:v>5.431204078656937e-06</x:v>
      </x:c>
      <x:c r="T102" s="43" t="str">
        <x:v>0.0</x:v>
      </x:c>
      <x:c r="U102" s="43" t="str">
        <x:v>2.0046951182406403e-09</x:v>
      </x:c>
      <x:c r="V102" s="43" t="str">
        <x:v>6.400895369296222e-07</x:v>
      </x:c>
      <x:c r="W102" s="43" t="str">
        <x:v>3.3939363127816202e-06</x:v>
      </x:c>
      <x:c r="X102" s="43" t="str">
        <x:v>4.9616444240396795e-06</x:v>
      </x:c>
      <x:c r="Y102" s="43" t="str">
        <x:v>4.17779036841065e-06</x:v>
      </x:c>
      <x:c r="Z102" s="43" t="str">
        <x:v>3.293586607857474e-06</x:v>
      </x:c>
      <x:c r="AA102" s="43" t="str">
        <x:v>3.963670369644401e-06</x:v>
      </x:c>
      <x:c r="AB102" s="23" t="str">
        <x:v>Candidate surface form is directly representable in the public Ngram interface. Complete 1842–2022 unsmoothed series reused from the audited quantitative-v0.1 baseline.</x:v>
      </x:c>
    </x:row>
    <x:row r="103" ht="19" customHeight="1">
      <x:c r="A103" s="20" t="str">
        <x:v>FT-SEED-R1B-P-0607-12</x:v>
      </x:c>
      <x:c r="B103" s="22" t="str">
        <x:v>2006–2007</x:v>
      </x:c>
      <x:c r="C103" s="22" t="str">
        <x:v>12</x:v>
      </x:c>
      <x:c r="D103" s="21" t="str">
        <x:v>serious global threat</x:v>
      </x:c>
      <x:c r="E103" s="22" t="str">
        <x:v>danger_threat</x:v>
      </x:c>
      <x:c r="F103" s="21" t="str">
        <x:v>serious global threat</x:v>
      </x:c>
      <x:c r="G103" s="22" t="str">
        <x:v>EXACT</x:v>
      </x:c>
      <x:c r="H103" s="21" t="str">
        <x:v>SUCCEEDED_REUSED_BASELINE</x:v>
      </x:c>
      <x:c r="I103" s="21" t="str">
        <x:v>FT-Q-V01-072</x:v>
      </x:c>
      <x:c r="J103" s="22" t="str">
        <x:v>1842</x:v>
      </x:c>
      <x:c r="K103" s="22" t="str">
        <x:v>2022</x:v>
      </x:c>
      <x:c r="L103" s="22" t="str">
        <x:v>1946</x:v>
      </x:c>
      <x:c r="M103" s="22" t="str">
        <x:v>51</x:v>
      </x:c>
      <x:c r="N103" s="22" t="str">
        <x:v>2022</x:v>
      </x:c>
      <x:c r="O103" s="43" t="str">
        <x:v>2.3176307539785057e-09</x:v>
      </x:c>
      <x:c r="P103" s="43" t="str">
        <x:v>1.2957637740562689e-09</x:v>
      </x:c>
      <x:c r="Q103" s="43" t="str">
        <x:v>1.16850794318335e-09</x:v>
      </x:c>
      <x:c r="R103" s="43" t="str">
        <x:v>1.0412521123104312e-09</x:v>
      </x:c>
      <x:c r="S103" s="43" t="str">
        <x:v>1.749284272989371e-09</x:v>
      </x:c>
      <x:c r="T103" s="43" t="str">
        <x:v>0.0</x:v>
      </x:c>
      <x:c r="U103" s="43" t="str">
        <x:v>0.0</x:v>
      </x:c>
      <x:c r="V103" s="43" t="str">
        <x:v>7.568433657567653e-10</x:v>
      </x:c>
      <x:c r="W103" s="43" t="str">
        <x:v>8.422432751231668e-10</x:v>
      </x:c>
      <x:c r="X103" s="43" t="str">
        <x:v>1.749284272989371e-09</x:v>
      </x:c>
      <x:c r="Y103" s="43" t="str">
        <x:v>1.2957637740562689e-09</x:v>
      </x:c>
      <x:c r="Z103" s="43" t="str">
        <x:v>6.498290794354489e-10</x:v>
      </x:c>
      <x:c r="AA103" s="43" t="str">
        <x:v>2.3176307539785057e-09</x:v>
      </x:c>
      <x:c r="AB103" s="23" t="str">
        <x:v>Candidate surface form is directly representable in the public Ngram interface. Complete 1842–2022 unsmoothed series reused from the audited quantitative-v0.1 baseline.</x:v>
      </x:c>
    </x:row>
    <x:row r="104" ht="19" customHeight="1">
      <x:c r="A104" s="20" t="str">
        <x:v>FT-SEED-R1B-P-0607-13</x:v>
      </x:c>
      <x:c r="B104" s="22" t="str">
        <x:v>2006–2007</x:v>
      </x:c>
      <x:c r="C104" s="22" t="str">
        <x:v>13</x:v>
      </x:c>
      <x:c r="D104" s="21" t="str">
        <x:v>urgent global response</x:v>
      </x:c>
      <x:c r="E104" s="22" t="str">
        <x:v>harm_loss_consequences</x:v>
      </x:c>
      <x:c r="F104" s="21" t="str">
        <x:v>urgent global response</x:v>
      </x:c>
      <x:c r="G104" s="22" t="str">
        <x:v>EXACT</x:v>
      </x:c>
      <x:c r="H104" s="21" t="str">
        <x:v>SUCCEEDED_REUSED_BASELINE</x:v>
      </x:c>
      <x:c r="I104" s="21" t="str">
        <x:v>FT-Q-V01-073</x:v>
      </x:c>
      <x:c r="J104" s="22" t="str">
        <x:v>1842</x:v>
      </x:c>
      <x:c r="K104" s="22" t="str">
        <x:v>2022</x:v>
      </x:c>
      <x:c r="L104" s="22" t="str">
        <x:v>1946</x:v>
      </x:c>
      <x:c r="M104" s="22" t="str">
        <x:v>34</x:v>
      </x:c>
      <x:c r="N104" s="22" t="str">
        <x:v>2007</x:v>
      </x:c>
      <x:c r="O104" s="43" t="str">
        <x:v>1.6521017887072276e-09</x:v>
      </x:c>
      <x:c r="P104" s="43" t="str">
        <x:v>1.1480850992118263e-09</x:v>
      </x:c>
      <x:c r="Q104" s="43" t="str">
        <x:v>9.44838009914184e-10</x:v>
      </x:c>
      <x:c r="R104" s="43" t="str">
        <x:v>9.883171225855136e-10</x:v>
      </x:c>
      <x:c r="S104" s="43" t="str">
        <x:v>1.6521017887072276e-09</x:v>
      </x:c>
      <x:c r="T104" s="43" t="str">
        <x:v>0.0</x:v>
      </x:c>
      <x:c r="U104" s="43" t="str">
        <x:v>0.0</x:v>
      </x:c>
      <x:c r="V104" s="43" t="str">
        <x:v>5.4060242393738633e-11</x:v>
      </x:c>
      <x:c r="W104" s="43" t="str">
        <x:v>6.440684097164251e-10</x:v>
      </x:c>
      <x:c r="X104" s="43" t="str">
        <x:v>1.6521017887072276e-09</x:v>
      </x:c>
      <x:c r="Y104" s="43" t="str">
        <x:v>1.1480850992118263e-09</x:v>
      </x:c>
      <x:c r="Z104" s="43" t="str">
        <x:v>7.997896234179791e-10</x:v>
      </x:c>
      <x:c r="AA104" s="43" t="str">
        <x:v>3.7838870925455126e-10</x:v>
      </x:c>
      <x:c r="AB104" s="23" t="str">
        <x:v>Candidate surface form is directly representable in the public Ngram interface. Complete 1842–2022 unsmoothed series reused from the audited quantitative-v0.1 baseline.</x:v>
      </x:c>
    </x:row>
    <x:row r="105" ht="19" customHeight="1">
      <x:c r="A105" s="20" t="str">
        <x:v>FT-SEED-R1B-P-0607-14</x:v>
      </x:c>
      <x:c r="B105" s="22" t="str">
        <x:v>2006–2007</x:v>
      </x:c>
      <x:c r="C105" s="22" t="str">
        <x:v>14</x:v>
      </x:c>
      <x:c r="D105" s="21" t="str">
        <x:v>costs and risks of climate change</x:v>
      </x:c>
      <x:c r="E105" s="22" t="str">
        <x:v>climate</x:v>
      </x:c>
      <x:c r="F105" s="21" t="str">
        <x:v>costs and risks of climate change</x:v>
      </x:c>
      <x:c r="G105" s="22" t="str">
        <x:v>EXACT</x:v>
      </x:c>
      <x:c r="H105" s="21" t="str">
        <x:v>SUCCEEDED_REUSED_BASELINE</x:v>
      </x:c>
      <x:c r="I105" s="21" t="str">
        <x:v>FT-Q-V01-074</x:v>
      </x:c>
      <x:c r="J105" s="22" t="str">
        <x:v>1842</x:v>
      </x:c>
      <x:c r="K105" s="22" t="str">
        <x:v>2022</x:v>
      </x:c>
      <x:c r="L105" s="22" t="str">
        <x:v>1986</x:v>
      </x:c>
      <x:c r="M105" s="22" t="str">
        <x:v>22</x:v>
      </x:c>
      <x:c r="N105" s="22" t="str">
        <x:v>2009</x:v>
      </x:c>
      <x:c r="O105" s="43" t="str">
        <x:v>2.4810227206018e-09</x:v>
      </x:c>
      <x:c r="P105" s="43" t="str">
        <x:v>1.2008179450795353e-09</x:v>
      </x:c>
      <x:c r="Q105" s="43" t="str">
        <x:v>1.2094392848327473e-09</x:v>
      </x:c>
      <x:c r="R105" s="43" t="str">
        <x:v>1.2008179450795353e-09</x:v>
      </x:c>
      <x:c r="S105" s="43" t="str">
        <x:v>2.245598151873196e-09</x:v>
      </x:c>
      <x:c r="T105" s="43" t="str">
        <x:v>0.0</x:v>
      </x:c>
      <x:c r="U105" s="43" t="str">
        <x:v>0.0</x:v>
      </x:c>
      <x:c r="V105" s="43" t="str">
        <x:v>7.065451002041812e-11</x:v>
      </x:c>
      <x:c r="W105" s="43" t="str">
        <x:v>7.510397859178397e-10</x:v>
      </x:c>
      <x:c r="X105" s="43" t="str">
        <x:v>1.650596104241231e-09</x:v>
      </x:c>
      <x:c r="Y105" s="43" t="str">
        <x:v>1.2008179450795353e-09</x:v>
      </x:c>
      <x:c r="Z105" s="43" t="str">
        <x:v>4.930534314162571e-10</x:v>
      </x:c>
      <x:c r="AA105" s="43" t="str">
        <x:v>8.137091001003682e-10</x:v>
      </x:c>
      <x:c r="AB105" s="23" t="str">
        <x:v>Candidate surface form is directly representable in the public Ngram interface. Complete 1842–2022 unsmoothed series reused from the audited quantitative-v0.1 baseline.</x:v>
      </x:c>
    </x:row>
    <x:row r="106" ht="19" customHeight="1">
      <x:c r="A106" s="20" t="str">
        <x:v>FT-SEED-R1B-P-0607-15</x:v>
      </x:c>
      <x:c r="B106" s="22" t="str">
        <x:v>2006–2007</x:v>
      </x:c>
      <x:c r="C106" s="22" t="str">
        <x:v>15</x:v>
      </x:c>
      <x:c r="D106" s="21" t="str">
        <x:v>impacts of climate change</x:v>
      </x:c>
      <x:c r="E106" s="22" t="str">
        <x:v>climate</x:v>
      </x:c>
      <x:c r="F106" s="21" t="str">
        <x:v>impacts of climate change</x:v>
      </x:c>
      <x:c r="G106" s="22" t="str">
        <x:v>EXACT</x:v>
      </x:c>
      <x:c r="H106" s="21" t="str">
        <x:v>SUCCEEDED_REUSED_BASELINE</x:v>
      </x:c>
      <x:c r="I106" s="21" t="str">
        <x:v>FT-Q-V01-075</x:v>
      </x:c>
      <x:c r="J106" s="22" t="str">
        <x:v>1842</x:v>
      </x:c>
      <x:c r="K106" s="22" t="str">
        <x:v>2022</x:v>
      </x:c>
      <x:c r="L106" s="22" t="str">
        <x:v>1881</x:v>
      </x:c>
      <x:c r="M106" s="22" t="str">
        <x:v>87</x:v>
      </x:c>
      <x:c r="N106" s="22" t="str">
        <x:v>2022</x:v>
      </x:c>
      <x:c r="O106" s="43" t="str">
        <x:v>7.144630615740777e-07</x:v>
      </x:c>
      <x:c r="P106" s="43" t="str">
        <x:v>2.670266320836667e-07</x:v>
      </x:c>
      <x:c r="Q106" s="43" t="str">
        <x:v>2.8205449021170836e-07</x:v>
      </x:c>
      <x:c r="R106" s="43" t="str">
        <x:v>2.670266320836667e-07</x:v>
      </x:c>
      <x:c r="S106" s="43" t="str">
        <x:v>3.9801150367169136e-07</x:v>
      </x:c>
      <x:c r="T106" s="43" t="str">
        <x:v>0.0</x:v>
      </x:c>
      <x:c r="U106" s="43" t="str">
        <x:v>0.0</x:v>
      </x:c>
      <x:c r="V106" s="43" t="str">
        <x:v>4.559433364192955e-08</x:v>
      </x:c>
      <x:c r="W106" s="43" t="str">
        <x:v>2.2298866472064693e-07</x:v>
      </x:c>
      <x:c r="X106" s="43" t="str">
        <x:v>3.110645994466865e-07</x:v>
      </x:c>
      <x:c r="Y106" s="43" t="str">
        <x:v>2.670266320836667e-07</x:v>
      </x:c>
      <x:c r="Z106" s="43" t="str">
        <x:v>5.157996520455121e-07</x:v>
      </x:c>
      <x:c r="AA106" s="43" t="str">
        <x:v>7.144630615740777e-07</x:v>
      </x:c>
      <x:c r="AB106" s="23" t="str">
        <x:v>Candidate surface form is directly representable in the public Ngram interface. Complete 1842–2022 unsmoothed series reused from the audited quantitative-v0.1 baseline.</x:v>
      </x:c>
    </x:row>
    <x:row r="107" ht="19" customHeight="1">
      <x:c r="A107" s="20" t="str">
        <x:v>FT-SEED-R1B-P-0607-16</x:v>
      </x:c>
      <x:c r="B107" s="22" t="str">
        <x:v>2006–2007</x:v>
      </x:c>
      <x:c r="C107" s="22" t="str">
        <x:v>16</x:v>
      </x:c>
      <x:c r="D107" s="21" t="str">
        <x:v>damage</x:v>
      </x:c>
      <x:c r="E107" s="22" t="str">
        <x:v>harm_loss_consequences</x:v>
      </x:c>
      <x:c r="F107" s="21" t="str">
        <x:v>damage</x:v>
      </x:c>
      <x:c r="G107" s="22" t="str">
        <x:v>EXACT</x:v>
      </x:c>
      <x:c r="H107" s="21" t="str">
        <x:v>SUCCEEDED_REUSED_BASELINE</x:v>
      </x:c>
      <x:c r="I107" s="21" t="str">
        <x:v>FT-Q-V01-076</x:v>
      </x:c>
      <x:c r="J107" s="22" t="str">
        <x:v>1842</x:v>
      </x:c>
      <x:c r="K107" s="22" t="str">
        <x:v>2022</x:v>
      </x:c>
      <x:c r="L107" s="22" t="str">
        <x:v>1842</x:v>
      </x:c>
      <x:c r="M107" s="22" t="str">
        <x:v>181</x:v>
      </x:c>
      <x:c r="N107" s="22" t="str">
        <x:v>1986</x:v>
      </x:c>
      <x:c r="O107" s="43" t="str">
        <x:v>5.7598560955232636e-05</x:v>
      </x:c>
      <x:c r="P107" s="43" t="str">
        <x:v>4.829082256977389e-05</x:v>
      </x:c>
      <x:c r="Q107" s="43" t="str">
        <x:v>4.876599097426628e-05</x:v>
      </x:c>
      <x:c r="R107" s="43" t="str">
        <x:v>4.829082256977389e-05</x:v>
      </x:c>
      <x:c r="S107" s="43" t="str">
        <x:v>5.0625979690854805e-05</x:v>
      </x:c>
      <x:c r="T107" s="43" t="str">
        <x:v>1.40214699513308e-05</x:v>
      </x:c>
      <x:c r="U107" s="43" t="str">
        <x:v>4.59952369169514e-05</x:v>
      </x:c>
      <x:c r="V107" s="43" t="str">
        <x:v>5.460717676498972e-05</x:v>
      </x:c>
      <x:c r="W107" s="43" t="str">
        <x:v>4.860308943087019e-05</x:v>
      </x:c>
      <x:c r="X107" s="43" t="str">
        <x:v>4.7978555708677595e-05</x:v>
      </x:c>
      <x:c r="Y107" s="43" t="str">
        <x:v>4.829082256977389e-05</x:v>
      </x:c>
      <x:c r="Z107" s="43" t="str">
        <x:v>4.768336144450602e-05</x:v>
      </x:c>
      <x:c r="AA107" s="43" t="str">
        <x:v>4.813777670335459e-05</x:v>
      </x:c>
      <x:c r="AB107" s="23" t="str">
        <x:v>Candidate surface form is directly representable in the public Ngram interface. Complete 1842–2022 unsmoothed series reused from the audited quantitative-v0.1 baseline.</x:v>
      </x:c>
    </x:row>
    <x:row r="108" ht="19" customHeight="1">
      <x:c r="A108" s="20" t="str">
        <x:v>FT-SEED-R1B-P-0607-17</x:v>
      </x:c>
      <x:c r="B108" s="22" t="str">
        <x:v>2006–2007</x:v>
      </x:c>
      <x:c r="C108" s="22" t="str">
        <x:v>17</x:v>
      </x:c>
      <x:c r="D108" s="21" t="str">
        <x:v>hunger</x:v>
      </x:c>
      <x:c r="E108" s="22" t="str">
        <x:v>harm_loss_consequences</x:v>
      </x:c>
      <x:c r="F108" s="21" t="str">
        <x:v>hunger</x:v>
      </x:c>
      <x:c r="G108" s="22" t="str">
        <x:v>EXACT</x:v>
      </x:c>
      <x:c r="H108" s="21" t="str">
        <x:v>SUCCEEDED_REUSED_BASELINE</x:v>
      </x:c>
      <x:c r="I108" s="21" t="str">
        <x:v>FT-Q-V01-077</x:v>
      </x:c>
      <x:c r="J108" s="22" t="str">
        <x:v>1842</x:v>
      </x:c>
      <x:c r="K108" s="22" t="str">
        <x:v>2022</x:v>
      </x:c>
      <x:c r="L108" s="22" t="str">
        <x:v>1842</x:v>
      </x:c>
      <x:c r="M108" s="22" t="str">
        <x:v>181</x:v>
      </x:c>
      <x:c r="N108" s="22" t="str">
        <x:v>2015</x:v>
      </x:c>
      <x:c r="O108" s="43" t="str">
        <x:v>1.1913927409068492e-05</x:v>
      </x:c>
      <x:c r="P108" s="43" t="str">
        <x:v>7.730505573771279e-06</x:v>
      </x:c>
      <x:c r="Q108" s="43" t="str">
        <x:v>7.81596456063318e-06</x:v>
      </x:c>
      <x:c r="R108" s="43" t="str">
        <x:v>7.793144442085759e-06</x:v>
      </x:c>
      <x:c r="S108" s="43" t="str">
        <x:v>8.226896156402624e-06</x:v>
      </x:c>
      <x:c r="T108" s="43" t="str">
        <x:v>8.491353739259466e-06</x:v>
      </x:c>
      <x:c r="U108" s="43" t="str">
        <x:v>3.766231525759167e-06</x:v>
      </x:c>
      <x:c r="V108" s="43" t="str">
        <x:v>6.1379614493262125e-06</x:v>
      </x:c>
      <x:c r="W108" s="43" t="str">
        <x:v>7.45067320195858e-06</x:v>
      </x:c>
      <x:c r="X108" s="43" t="str">
        <x:v>8.010337945583978e-06</x:v>
      </x:c>
      <x:c r="Y108" s="43" t="str">
        <x:v>7.730505573771279e-06</x:v>
      </x:c>
      <x:c r="Z108" s="43" t="str">
        <x:v>1.1913927409068492e-05</x:v>
      </x:c>
      <x:c r="AA108" s="43" t="str">
        <x:v>1.1471040437527336e-05</x:v>
      </x:c>
      <x:c r="AB108" s="23" t="str">
        <x:v>Candidate surface form is directly representable in the public Ngram interface. Complete 1842–2022 unsmoothed series reused from the audited quantitative-v0.1 baseline.</x:v>
      </x:c>
    </x:row>
    <x:row r="109" ht="19" customHeight="1">
      <x:c r="A109" s="20" t="str">
        <x:v>FT-SEED-R1B-P-0607-18</x:v>
      </x:c>
      <x:c r="B109" s="22" t="str">
        <x:v>2006–2007</x:v>
      </x:c>
      <x:c r="C109" s="22" t="str">
        <x:v>18</x:v>
      </x:c>
      <x:c r="D109" s="21" t="str">
        <x:v>water shortages</x:v>
      </x:c>
      <x:c r="E109" s="22" t="str">
        <x:v>harm_loss_consequences</x:v>
      </x:c>
      <x:c r="F109" s="21" t="str">
        <x:v>water shortages</x:v>
      </x:c>
      <x:c r="G109" s="22" t="str">
        <x:v>EXACT</x:v>
      </x:c>
      <x:c r="H109" s="21" t="str">
        <x:v>SUCCEEDED_REUSED_BASELINE</x:v>
      </x:c>
      <x:c r="I109" s="21" t="str">
        <x:v>FT-Q-V01-078</x:v>
      </x:c>
      <x:c r="J109" s="22" t="str">
        <x:v>1842</x:v>
      </x:c>
      <x:c r="K109" s="22" t="str">
        <x:v>2022</x:v>
      </x:c>
      <x:c r="L109" s="22" t="str">
        <x:v>1843</x:v>
      </x:c>
      <x:c r="M109" s="22" t="str">
        <x:v>143</x:v>
      </x:c>
      <x:c r="N109" s="22" t="str">
        <x:v>2009</x:v>
      </x:c>
      <x:c r="O109" s="43" t="str">
        <x:v>2.6262098024032454e-07</x:v>
      </x:c>
      <x:c r="P109" s="43" t="str">
        <x:v>2.0904360503726238e-07</x:v>
      </x:c>
      <x:c r="Q109" s="43" t="str">
        <x:v>2.1109862891055542e-07</x:v>
      </x:c>
      <x:c r="R109" s="43" t="str">
        <x:v>2.0904360503726238e-07</x:v>
      </x:c>
      <x:c r="S109" s="43" t="str">
        <x:v>2.3970839713172154e-07</x:v>
      </x:c>
      <x:c r="T109" s="43" t="str">
        <x:v>0.0</x:v>
      </x:c>
      <x:c r="U109" s="43" t="str">
        <x:v>4.131899500325886e-08</x:v>
      </x:c>
      <x:c r="V109" s="43" t="str">
        <x:v>1.4480859233945154e-07</x:v>
      </x:c>
      <x:c r="W109" s="43" t="str">
        <x:v>2.0404913880778253e-07</x:v>
      </x:c>
      <x:c r="X109" s="43" t="str">
        <x:v>2.1403807126674224e-07</x:v>
      </x:c>
      <x:c r="Y109" s="43" t="str">
        <x:v>2.0904360503726238e-07</x:v>
      </x:c>
      <x:c r="Z109" s="43" t="str">
        <x:v>1.8788336961228502e-07</x:v>
      </x:c>
      <x:c r="AA109" s="43" t="str">
        <x:v>1.7408386068784587e-07</x:v>
      </x:c>
      <x:c r="AB109" s="23" t="str">
        <x:v>Candidate surface form is directly representable in the public Ngram interface. Complete 1842–2022 unsmoothed series reused from the audited quantitative-v0.1 baseline.</x:v>
      </x:c>
    </x:row>
    <x:row r="110" ht="19" customHeight="1">
      <x:c r="A110" s="20" t="str">
        <x:v>FT-SEED-R1B-P-0607-19</x:v>
      </x:c>
      <x:c r="B110" s="22" t="str">
        <x:v>2006–2007</x:v>
      </x:c>
      <x:c r="C110" s="22" t="str">
        <x:v>19</x:v>
      </x:c>
      <x:c r="D110" s="21" t="str">
        <x:v>coastal flooding</x:v>
      </x:c>
      <x:c r="E110" s="22" t="str">
        <x:v>harm_loss_consequences</x:v>
      </x:c>
      <x:c r="F110" s="21" t="str">
        <x:v>coastal flooding</x:v>
      </x:c>
      <x:c r="G110" s="22" t="str">
        <x:v>EXACT</x:v>
      </x:c>
      <x:c r="H110" s="21" t="str">
        <x:v>SUCCEEDED_REUSED_BASELINE</x:v>
      </x:c>
      <x:c r="I110" s="21" t="str">
        <x:v>FT-Q-V01-079</x:v>
      </x:c>
      <x:c r="J110" s="22" t="str">
        <x:v>1842</x:v>
      </x:c>
      <x:c r="K110" s="22" t="str">
        <x:v>2022</x:v>
      </x:c>
      <x:c r="L110" s="22" t="str">
        <x:v>1843</x:v>
      </x:c>
      <x:c r="M110" s="22" t="str">
        <x:v>92</x:v>
      </x:c>
      <x:c r="N110" s="22" t="str">
        <x:v>2022</x:v>
      </x:c>
      <x:c r="O110" s="43" t="str">
        <x:v>1.0343279566171759e-07</x:v>
      </x:c>
      <x:c r="P110" s="43" t="str">
        <x:v>4.927007213849366e-08</x:v>
      </x:c>
      <x:c r="Q110" s="43" t="str">
        <x:v>4.964529571032522e-08</x:v>
      </x:c>
      <x:c r="R110" s="43" t="str">
        <x:v>4.927007213849366e-08</x:v>
      </x:c>
      <x:c r="S110" s="43" t="str">
        <x:v>5.9558722120822694e-08</x:v>
      </x:c>
      <x:c r="T110" s="43" t="str">
        <x:v>0.0</x:v>
      </x:c>
      <x:c r="U110" s="43" t="str">
        <x:v>4.4548779942754635e-10</x:v>
      </x:c>
      <x:c r="V110" s="43" t="str">
        <x:v>2.6207690573265552e-08</x:v>
      </x:c>
      <x:c r="W110" s="43" t="str">
        <x:v>4.3355292588670435e-08</x:v>
      </x:c>
      <x:c r="X110" s="43" t="str">
        <x:v>5.518485168831688e-08</x:v>
      </x:c>
      <x:c r="Y110" s="43" t="str">
        <x:v>4.927007213849366e-08</x:v>
      </x:c>
      <x:c r="Z110" s="43" t="str">
        <x:v>5.2726901678123994e-08</x:v>
      </x:c>
      <x:c r="AA110" s="43" t="str">
        <x:v>1.0343279566171759e-07</x:v>
      </x:c>
      <x:c r="AB110" s="23" t="str">
        <x:v>Candidate surface form is directly representable in the public Ngram interface. Complete 1842–2022 unsmoothed series reused from the audited quantitative-v0.1 baseline.</x:v>
      </x:c>
    </x:row>
    <x:row r="111" ht="19" customHeight="1">
      <x:c r="A111" s="20" t="str">
        <x:v>FT-SEED-R1B-P-0607-20</x:v>
      </x:c>
      <x:c r="B111" s="22" t="str">
        <x:v>2006–2007</x:v>
      </x:c>
      <x:c r="C111" s="22" t="str">
        <x:v>20</x:v>
      </x:c>
      <x:c r="D111" s="21" t="str">
        <x:v>worst impacts</x:v>
      </x:c>
      <x:c r="E111" s="22" t="str">
        <x:v>harm_loss_consequences</x:v>
      </x:c>
      <x:c r="F111" s="21" t="str">
        <x:v>worst impacts</x:v>
      </x:c>
      <x:c r="G111" s="22" t="str">
        <x:v>EXACT</x:v>
      </x:c>
      <x:c r="H111" s="21" t="str">
        <x:v>SUCCEEDED_REUSED_BASELINE</x:v>
      </x:c>
      <x:c r="I111" s="21" t="str">
        <x:v>FT-Q-V01-080</x:v>
      </x:c>
      <x:c r="J111" s="22" t="str">
        <x:v>1842</x:v>
      </x:c>
      <x:c r="K111" s="22" t="str">
        <x:v>2022</x:v>
      </x:c>
      <x:c r="L111" s="22" t="str">
        <x:v>1906</x:v>
      </x:c>
      <x:c r="M111" s="22" t="str">
        <x:v>80</x:v>
      </x:c>
      <x:c r="N111" s="22" t="str">
        <x:v>2022</x:v>
      </x:c>
      <x:c r="O111" s="43" t="str">
        <x:v>1.9288579872211997e-08</x:v>
      </x:c>
      <x:c r="P111" s="43" t="str">
        <x:v>7.893453371835002e-09</x:v>
      </x:c>
      <x:c r="Q111" s="43" t="str">
        <x:v>7.610180590734983e-09</x:v>
      </x:c>
      <x:c r="R111" s="43" t="str">
        <x:v>7.893453371835002e-09</x:v>
      </x:c>
      <x:c r="S111" s="43" t="str">
        <x:v>9.506579648488334e-09</x:v>
      </x:c>
      <x:c r="T111" s="43" t="str">
        <x:v>0.0</x:v>
      </x:c>
      <x:c r="U111" s="43" t="str">
        <x:v>1.1137195332633354e-10</x:v>
      </x:c>
      <x:c r="V111" s="43" t="str">
        <x:v>1.3325944792086375e-09</x:v>
      </x:c>
      <x:c r="W111" s="43" t="str">
        <x:v>7.691329351189324e-09</x:v>
      </x:c>
      <x:c r="X111" s="43" t="str">
        <x:v>8.09557739248068e-09</x:v>
      </x:c>
      <x:c r="Y111" s="43" t="str">
        <x:v>7.893453371835002e-09</x:v>
      </x:c>
      <x:c r="Z111" s="43" t="str">
        <x:v>1.125525539436012e-08</x:v>
      </x:c>
      <x:c r="AA111" s="43" t="str">
        <x:v>1.9288579872211997e-08</x:v>
      </x:c>
      <x:c r="AB111" s="23" t="str">
        <x:v>Candidate surface form is directly representable in the public Ngram interface. Complete 1842–2022 unsmoothed series reused from the audited quantitative-v0.1 baseline.</x:v>
      </x:c>
    </x:row>
    <x:row r="112" ht="19" customHeight="1">
      <x:c r="A112" s="20" t="str">
        <x:v>FT-SEED-R1B-P-0607-21</x:v>
      </x:c>
      <x:c r="B112" s="22" t="str">
        <x:v>2006–2007</x:v>
      </x:c>
      <x:c r="C112" s="22" t="str">
        <x:v>21</x:v>
      </x:c>
      <x:c r="D112" s="21" t="str">
        <x:v>Be Worried. Be Very Worried.</x:v>
      </x:c>
      <x:c r="E112" s="22" t="str">
        <x:v>worry</x:v>
      </x:c>
      <x:c r="F112" s="21" t="str">
        <x:v>be worried be very worried</x:v>
      </x:c>
      <x:c r="G112" s="22" t="str">
        <x:v>NORMALIZED_VARIANT</x:v>
      </x:c>
      <x:c r="H112" s="21" t="str">
        <x:v>ZERO_RESPONSE_NEW</x:v>
      </x:c>
      <x:c r="I112" s="21" t="str">
        <x:v>FT-Q-V01-141</x:v>
      </x:c>
      <x:c r="J112" s="22" t="str">
        <x:v>1842</x:v>
      </x:c>
      <x:c r="K112" s="22" t="str">
        <x:v>2022</x:v>
      </x:c>
      <x:c r="L112" s="22" t="str"/>
      <x:c r="M112" s="22" t="str">
        <x:v>0</x:v>
      </x:c>
      <x:c r="N112" s="22" t="str"/>
      <x:c r="O112" s="43" t="str"/>
      <x:c r="P112" s="43" t="str"/>
      <x:c r="Q112" s="43" t="str"/>
      <x:c r="R112" s="43" t="str"/>
      <x:c r="S112" s="43" t="str"/>
      <x:c r="T112" s="43" t="str"/>
      <x:c r="U112" s="43" t="str"/>
      <x:c r="V112" s="43" t="str"/>
      <x:c r="W112" s="43" t="str"/>
      <x:c r="X112" s="43" t="str"/>
      <x:c r="Y112" s="43" t="str"/>
      <x:c r="Z112" s="43" t="str"/>
      <x:c r="AA112" s="43" t="str"/>
      <x:c r="AB112" s="23" t="str">
        <x:v>Sentence punctuation and capitalization are removed while the complete wording is preserved. The public Ngram endpoint returned an empty list; retained without fabricating annual zero frequencies.</x:v>
      </x:c>
    </x:row>
    <x:row r="113" ht="19" customHeight="1">
      <x:c r="A113" s="20" t="str">
        <x:v>FT-SEED-R1B-P-0607-22</x:v>
      </x:c>
      <x:c r="B113" s="22" t="str">
        <x:v>2006–2007</x:v>
      </x:c>
      <x:c r="C113" s="22" t="str">
        <x:v>22</x:v>
      </x:c>
      <x:c r="D113" s="21" t="str">
        <x:v>personally worry</x:v>
      </x:c>
      <x:c r="E113" s="22" t="str">
        <x:v>worry</x:v>
      </x:c>
      <x:c r="F113" s="21" t="str">
        <x:v>personally worry</x:v>
      </x:c>
      <x:c r="G113" s="22" t="str">
        <x:v>EXACT</x:v>
      </x:c>
      <x:c r="H113" s="21" t="str">
        <x:v>SUCCEEDED_NEW</x:v>
      </x:c>
      <x:c r="I113" s="21" t="str">
        <x:v>FT-Q-P180-08820811A990</x:v>
      </x:c>
      <x:c r="J113" s="22" t="str">
        <x:v>1842</x:v>
      </x:c>
      <x:c r="K113" s="22" t="str">
        <x:v>2022</x:v>
      </x:c>
      <x:c r="L113" s="22" t="str">
        <x:v>1910</x:v>
      </x:c>
      <x:c r="M113" s="22" t="str">
        <x:v>75</x:v>
      </x:c>
      <x:c r="N113" s="22" t="str">
        <x:v>1981</x:v>
      </x:c>
      <x:c r="O113" s="43" t="str">
        <x:v>8.570305354282937e-09</x:v>
      </x:c>
      <x:c r="P113" s="43" t="str">
        <x:v>1.9994793598598903e-09</x:v>
      </x:c>
      <x:c r="Q113" s="43" t="str">
        <x:v>1.2942071372923358e-09</x:v>
      </x:c>
      <x:c r="R113" s="43" t="str">
        <x:v>1.2123086146065276e-09</x:v>
      </x:c>
      <x:c r="S113" s="43" t="str">
        <x:v>2.334867854614231e-09</x:v>
      </x:c>
      <x:c r="T113" s="43" t="str">
        <x:v>0.0</x:v>
      </x:c>
      <x:c r="U113" s="43" t="str">
        <x:v>0.0</x:v>
      </x:c>
      <x:c r="V113" s="43" t="str">
        <x:v>5.922641821420882e-10</x:v>
      </x:c>
      <x:c r="W113" s="43" t="str">
        <x:v>2.334867854614231e-09</x:v>
      </x:c>
      <x:c r="X113" s="43" t="str">
        <x:v>1.6640908651055497e-09</x:v>
      </x:c>
      <x:c r="Y113" s="43" t="str">
        <x:v>1.9994793598598903e-09</x:v>
      </x:c>
      <x:c r="Z113" s="43" t="str">
        <x:v>1.2609622235260076e-09</x:v>
      </x:c>
      <x:c r="AA113" s="43" t="str">
        <x:v>4.866385072688217e-10</x:v>
      </x:c>
      <x:c r="AB113" s="23" t="str">
        <x:v>Candidate surface form is directly representable in the public Ngram interface. New unsmoothed 1842–2022 series retrieved for the candidate audit.</x:v>
      </x:c>
    </x:row>
    <x:row r="114" ht="19" customHeight="1">
      <x:c r="A114" s="20" t="str">
        <x:v>FT-SEED-R1B-P-0607-23</x:v>
      </x:c>
      <x:c r="B114" s="22" t="str">
        <x:v>2006–2007</x:v>
      </x:c>
      <x:c r="C114" s="22" t="str">
        <x:v>23</x:v>
      </x:c>
      <x:c r="D114" s="21" t="str">
        <x:v>worry a great deal</x:v>
      </x:c>
      <x:c r="E114" s="22" t="str">
        <x:v>worry</x:v>
      </x:c>
      <x:c r="F114" s="21" t="str">
        <x:v>worry a great deal</x:v>
      </x:c>
      <x:c r="G114" s="22" t="str">
        <x:v>EXACT</x:v>
      </x:c>
      <x:c r="H114" s="21" t="str">
        <x:v>SUCCEEDED_NEW</x:v>
      </x:c>
      <x:c r="I114" s="21" t="str">
        <x:v>FT-Q-P180-3A4C9CAB7A27</x:v>
      </x:c>
      <x:c r="J114" s="22" t="str">
        <x:v>1842</x:v>
      </x:c>
      <x:c r="K114" s="22" t="str">
        <x:v>2022</x:v>
      </x:c>
      <x:c r="L114" s="22" t="str">
        <x:v>1864</x:v>
      </x:c>
      <x:c r="M114" s="22" t="str">
        <x:v>145</x:v>
      </x:c>
      <x:c r="N114" s="22" t="str">
        <x:v>1981</x:v>
      </x:c>
      <x:c r="O114" s="43" t="str">
        <x:v>1.051101666815768e-08</x:v>
      </x:c>
      <x:c r="P114" s="43" t="str">
        <x:v>7.930994777582967e-09</x:v>
      </x:c>
      <x:c r="Q114" s="43" t="str">
        <x:v>7.336361296239602e-09</x:v>
      </x:c>
      <x:c r="R114" s="43" t="str">
        <x:v>7.930994777582967e-09</x:v>
      </x:c>
      <x:c r="S114" s="43" t="str">
        <x:v>8.229352255195721e-09</x:v>
      </x:c>
      <x:c r="T114" s="43" t="str">
        <x:v>0.0</x:v>
      </x:c>
      <x:c r="U114" s="43" t="str">
        <x:v>6.095083049384442e-09</x:v>
      </x:c>
      <x:c r="V114" s="43" t="str">
        <x:v>7.111043309748766e-09</x:v>
      </x:c>
      <x:c r="W114" s="43" t="str">
        <x:v>7.988942840597701e-09</x:v>
      </x:c>
      <x:c r="X114" s="43" t="str">
        <x:v>7.873046714568233e-09</x:v>
      </x:c>
      <x:c r="Y114" s="43" t="str">
        <x:v>7.930994777582967e-09</x:v>
      </x:c>
      <x:c r="Z114" s="43" t="str">
        <x:v>6.7748106014065e-09</x:v>
      </x:c>
      <x:c r="AA114" s="43" t="str">
        <x:v>4.115746049526692e-09</x:v>
      </x:c>
      <x:c r="AB114" s="23" t="str">
        <x:v>Candidate surface form is directly representable in the public Ngram interface. New unsmoothed 1842–2022 series retrieved for the candidate audit.</x:v>
      </x:c>
    </x:row>
    <x:row r="115" ht="19" customHeight="1">
      <x:c r="A115" s="20" t="str">
        <x:v>FT-SEED-R1B-P-0607-24</x:v>
      </x:c>
      <x:c r="B115" s="22" t="str">
        <x:v>2006–2007</x:v>
      </x:c>
      <x:c r="C115" s="22" t="str">
        <x:v>24</x:v>
      </x:c>
      <x:c r="D115" s="21" t="str">
        <x:v>serious problem</x:v>
      </x:c>
      <x:c r="E115" s="22" t="str">
        <x:v>harm_loss_consequences</x:v>
      </x:c>
      <x:c r="F115" s="21" t="str">
        <x:v>serious problem</x:v>
      </x:c>
      <x:c r="G115" s="22" t="str">
        <x:v>EXACT</x:v>
      </x:c>
      <x:c r="H115" s="21" t="str">
        <x:v>SUCCEEDED_NEW</x:v>
      </x:c>
      <x:c r="I115" s="21" t="str">
        <x:v>FT-Q-P180-E3A808A6D063</x:v>
      </x:c>
      <x:c r="J115" s="22" t="str">
        <x:v>1842</x:v>
      </x:c>
      <x:c r="K115" s="22" t="str">
        <x:v>2022</x:v>
      </x:c>
      <x:c r="L115" s="22" t="str">
        <x:v>1842</x:v>
      </x:c>
      <x:c r="M115" s="22" t="str">
        <x:v>181</x:v>
      </x:c>
      <x:c r="N115" s="22" t="str">
        <x:v>1980</x:v>
      </x:c>
      <x:c r="O115" s="43" t="str">
        <x:v>2.3235911891239525e-06</x:v>
      </x:c>
      <x:c r="P115" s="43" t="str">
        <x:v>1.367453012855041e-06</x:v>
      </x:c>
      <x:c r="Q115" s="43" t="str">
        <x:v>1.3775302502841077e-06</x:v>
      </x:c>
      <x:c r="R115" s="43" t="str">
        <x:v>1.367453012855041e-06</x:v>
      </x:c>
      <x:c r="S115" s="43" t="str">
        <x:v>1.466776860969965e-06</x:v>
      </x:c>
      <x:c r="T115" s="43" t="str">
        <x:v>2.579953362058518e-09</x:v>
      </x:c>
      <x:c r="U115" s="43" t="str">
        <x:v>1.4501742259254158e-06</x:v>
      </x:c>
      <x:c r="V115" s="43" t="str">
        <x:v>1.9676003617345728e-06</x:v>
      </x:c>
      <x:c r="W115" s="43" t="str">
        <x:v>1.3838440994506929e-06</x:v>
      </x:c>
      <x:c r="X115" s="43" t="str">
        <x:v>1.3510619262593893e-06</x:v>
      </x:c>
      <x:c r="Y115" s="43" t="str">
        <x:v>1.367453012855041e-06</x:v>
      </x:c>
      <x:c r="Z115" s="43" t="str">
        <x:v>1.084193997337446e-06</x:v>
      </x:c>
      <x:c r="AA115" s="43" t="str">
        <x:v>7.833109815225114e-07</x:v>
      </x:c>
      <x:c r="AB115" s="23" t="str">
        <x:v>Candidate surface form is directly representable in the public Ngram interface. New unsmoothed 1842–2022 series retrieved for the candidate audit.</x:v>
      </x:c>
    </x:row>
    <x:row r="116" ht="19" customHeight="1">
      <x:c r="A116" s="20" t="str">
        <x:v>FT-SEED-R1B-P-0607-25</x:v>
      </x:c>
      <x:c r="B116" s="22" t="str">
        <x:v>2006–2007</x:v>
      </x:c>
      <x:c r="C116" s="22" t="str">
        <x:v>25</x:v>
      </x:c>
      <x:c r="D116" s="21" t="str">
        <x:v>danger</x:v>
      </x:c>
      <x:c r="E116" s="22" t="str">
        <x:v>danger_threat</x:v>
      </x:c>
      <x:c r="F116" s="21" t="str">
        <x:v>danger</x:v>
      </x:c>
      <x:c r="G116" s="22" t="str">
        <x:v>EXACT</x:v>
      </x:c>
      <x:c r="H116" s="21" t="str">
        <x:v>SUCCEEDED_REUSED_BASELINE</x:v>
      </x:c>
      <x:c r="I116" s="21" t="str">
        <x:v>FT-Q-P180-D66C22728199</x:v>
      </x:c>
      <x:c r="J116" s="22" t="str">
        <x:v>1842</x:v>
      </x:c>
      <x:c r="K116" s="22" t="str">
        <x:v>2022</x:v>
      </x:c>
      <x:c r="L116" s="22" t="str">
        <x:v>1842</x:v>
      </x:c>
      <x:c r="M116" s="22" t="str">
        <x:v>181</x:v>
      </x:c>
      <x:c r="N116" s="22" t="str">
        <x:v>1848</x:v>
      </x:c>
      <x:c r="O116" s="43" t="str">
        <x:v>6.80098231100601e-05</x:v>
      </x:c>
      <x:c r="P116" s="43" t="str">
        <x:v>2.2866885732362313e-05</x:v>
      </x:c>
      <x:c r="Q116" s="43" t="str">
        <x:v>2.3115713736036186e-05</x:v>
      </x:c>
      <x:c r="R116" s="43" t="str">
        <x:v>2.2866885732362313e-05</x:v>
      </x:c>
      <x:c r="S116" s="43" t="str">
        <x:v>2.455948258290458e-05</x:v>
      </x:c>
      <x:c r="T116" s="43" t="str">
        <x:v>6.476216250916877e-05</x:v>
      </x:c>
      <x:c r="U116" s="43" t="str">
        <x:v>3.397146667794004e-05</x:v>
      </x:c>
      <x:c r="V116" s="43" t="str">
        <x:v>1.9257168858786283e-05</x:v>
      </x:c>
      <x:c r="W116" s="43" t="str">
        <x:v>2.236469851597117e-05</x:v>
      </x:c>
      <x:c r="X116" s="43" t="str">
        <x:v>2.3369072948753455e-05</x:v>
      </x:c>
      <x:c r="Y116" s="43" t="str">
        <x:v>2.2866885732362313e-05</x:v>
      </x:c>
      <x:c r="Z116" s="43" t="str">
        <x:v>3.1826653810185235e-05</x:v>
      </x:c>
      <x:c r="AA116" s="43" t="str">
        <x:v>3.4476990950049746e-05</x:v>
      </x:c>
      <x:c r="AB116" s="23" t="str">
        <x:v>Candidate surface form is directly representable in the public Ngram interface. Complete 1842–2022 unsmoothed series reused from the audited quantitative-v0.1 baseline.</x:v>
      </x:c>
    </x:row>
    <x:row r="117" ht="19" customHeight="1">
      <x:c r="A117" s="20" t="str">
        <x:v>FT-SEED-R1B-P-0607-26</x:v>
      </x:c>
      <x:c r="B117" s="22" t="str">
        <x:v>2006–2007</x:v>
      </x:c>
      <x:c r="C117" s="22" t="str">
        <x:v>26</x:v>
      </x:c>
      <x:c r="D117" s="21" t="str">
        <x:v>urgent threat</x:v>
      </x:c>
      <x:c r="E117" s="22" t="str">
        <x:v>danger_threat</x:v>
      </x:c>
      <x:c r="F117" s="21" t="str">
        <x:v>urgent threat</x:v>
      </x:c>
      <x:c r="G117" s="22" t="str">
        <x:v>EXACT</x:v>
      </x:c>
      <x:c r="H117" s="21" t="str">
        <x:v>SUCCEEDED_NEW</x:v>
      </x:c>
      <x:c r="I117" s="21" t="str">
        <x:v>FT-Q-P180-98AE32748827</x:v>
      </x:c>
      <x:c r="J117" s="22" t="str">
        <x:v>1842</x:v>
      </x:c>
      <x:c r="K117" s="22" t="str">
        <x:v>2022</x:v>
      </x:c>
      <x:c r="L117" s="22" t="str">
        <x:v>1884</x:v>
      </x:c>
      <x:c r="M117" s="22" t="str">
        <x:v>103</x:v>
      </x:c>
      <x:c r="N117" s="22" t="str">
        <x:v>2021</x:v>
      </x:c>
      <x:c r="O117" s="43" t="str">
        <x:v>1.622662043621048e-08</x:v>
      </x:c>
      <x:c r="P117" s="43" t="str">
        <x:v>9.14479110492028e-09</x:v>
      </x:c>
      <x:c r="Q117" s="43" t="str">
        <x:v>9.229664071214172e-09</x:v>
      </x:c>
      <x:c r="R117" s="43" t="str">
        <x:v>9.14479110492028e-09</x:v>
      </x:c>
      <x:c r="S117" s="43" t="str">
        <x:v>1.0885033707719316e-08</x:v>
      </x:c>
      <x:c r="T117" s="43" t="str">
        <x:v>0.0</x:v>
      </x:c>
      <x:c r="U117" s="43" t="str">
        <x:v>6.682316922024256e-10</x:v>
      </x:c>
      <x:c r="V117" s="43" t="str">
        <x:v>3.948427806932386e-09</x:v>
      </x:c>
      <x:c r="W117" s="43" t="str">
        <x:v>9.339471335190197e-09</x:v>
      </x:c>
      <x:c r="X117" s="43" t="str">
        <x:v>8.950110874650363e-09</x:v>
      </x:c>
      <x:c r="Y117" s="43" t="str">
        <x:v>9.14479110492028e-09</x:v>
      </x:c>
      <x:c r="Z117" s="43" t="str">
        <x:v>9.387163449336988e-09</x:v>
      </x:c>
      <x:c r="AA117" s="43" t="str">
        <x:v>1.4156755517857889e-08</x:v>
      </x:c>
      <x:c r="AB117" s="23" t="str">
        <x:v>Candidate surface form is directly representable in the public Ngram interface. New unsmoothed 1842–2022 series retrieved for the candidate audit.</x:v>
      </x:c>
    </x:row>
    <x:row r="118" ht="19" customHeight="1">
      <x:c r="A118" s="20" t="str">
        <x:v>FT-SEED-R1B-P-0607-27</x:v>
      </x:c>
      <x:c r="B118" s="22" t="str">
        <x:v>2006–2007</x:v>
      </x:c>
      <x:c r="C118" s="22" t="str">
        <x:v>27</x:v>
      </x:c>
      <x:c r="D118" s="21" t="str">
        <x:v>dangerous impacts</x:v>
      </x:c>
      <x:c r="E118" s="22" t="str">
        <x:v>danger_threat</x:v>
      </x:c>
      <x:c r="F118" s="21" t="str">
        <x:v>dangerous impacts</x:v>
      </x:c>
      <x:c r="G118" s="22" t="str">
        <x:v>EXACT</x:v>
      </x:c>
      <x:c r="H118" s="21" t="str">
        <x:v>SUCCEEDED_NEW</x:v>
      </x:c>
      <x:c r="I118" s="21" t="str">
        <x:v>FT-Q-P180-70F007765CE8</x:v>
      </x:c>
      <x:c r="J118" s="22" t="str">
        <x:v>1842</x:v>
      </x:c>
      <x:c r="K118" s="22" t="str">
        <x:v>2022</x:v>
      </x:c>
      <x:c r="L118" s="22" t="str">
        <x:v>1911</x:v>
      </x:c>
      <x:c r="M118" s="22" t="str">
        <x:v>79</x:v>
      </x:c>
      <x:c r="N118" s="22" t="str">
        <x:v>2021</x:v>
      </x:c>
      <x:c r="O118" s="43" t="str">
        <x:v>3.806831773423003e-09</x:v>
      </x:c>
      <x:c r="P118" s="43" t="str">
        <x:v>1.7448578276679783e-09</x:v>
      </x:c>
      <x:c r="Q118" s="43" t="str">
        <x:v>1.6972862126179988e-09</x:v>
      </x:c>
      <x:c r="R118" s="43" t="str">
        <x:v>1.7448578276679783e-09</x:v>
      </x:c>
      <x:c r="S118" s="43" t="str">
        <x:v>2.186513255175715e-09</x:v>
      </x:c>
      <x:c r="T118" s="43" t="str">
        <x:v>0.0</x:v>
      </x:c>
      <x:c r="U118" s="43" t="str">
        <x:v>0.0</x:v>
      </x:c>
      <x:c r="V118" s="43" t="str">
        <x:v>1.97421398673292e-10</x:v>
      </x:c>
      <x:c r="W118" s="43" t="str">
        <x:v>1.5107968487360068e-09</x:v>
      </x:c>
      <x:c r="X118" s="43" t="str">
        <x:v>1.9789188065999497e-09</x:v>
      </x:c>
      <x:c r="Y118" s="43" t="str">
        <x:v>1.7448578276679783e-09</x:v>
      </x:c>
      <x:c r="Z118" s="43" t="str">
        <x:v>3.6894821503485886e-09</x:v>
      </x:c>
      <x:c r="AA118" s="43" t="str">
        <x:v>3.4507092738778056e-09</x:v>
      </x:c>
      <x:c r="AB118" s="23" t="str">
        <x:v>Candidate surface form is directly representable in the public Ngram interface. New unsmoothed 1842–2022 series retrieved for the candidate audit.</x:v>
      </x:c>
    </x:row>
    <x:row r="119" ht="19" customHeight="1">
      <x:c r="A119" s="20" t="str">
        <x:v>FT-SEED-R1B-P-0607-28</x:v>
      </x:c>
      <x:c r="B119" s="22" t="str">
        <x:v>2006–2007</x:v>
      </x:c>
      <x:c r="C119" s="22" t="str">
        <x:v>28</x:v>
      </x:c>
      <x:c r="D119" s="21" t="str">
        <x:v>drastic action</x:v>
      </x:c>
      <x:c r="E119" s="22" t="str">
        <x:v>harm_loss_consequences</x:v>
      </x:c>
      <x:c r="F119" s="21" t="str">
        <x:v>drastic action</x:v>
      </x:c>
      <x:c r="G119" s="22" t="str">
        <x:v>EXACT</x:v>
      </x:c>
      <x:c r="H119" s="21" t="str">
        <x:v>SUCCEEDED_NEW</x:v>
      </x:c>
      <x:c r="I119" s="21" t="str">
        <x:v>FT-Q-P180-474C80D4E4A5</x:v>
      </x:c>
      <x:c r="J119" s="22" t="str">
        <x:v>1842</x:v>
      </x:c>
      <x:c r="K119" s="22" t="str">
        <x:v>2022</x:v>
      </x:c>
      <x:c r="L119" s="22" t="str">
        <x:v>1843</x:v>
      </x:c>
      <x:c r="M119" s="22" t="str">
        <x:v>177</x:v>
      </x:c>
      <x:c r="N119" s="22" t="str">
        <x:v>1918</x:v>
      </x:c>
      <x:c r="O119" s="43" t="str">
        <x:v>4.5693959421777564e-07</x:v>
      </x:c>
      <x:c r="P119" s="43" t="str">
        <x:v>9.450825471345181e-08</x:v>
      </x:c>
      <x:c r="Q119" s="43" t="str">
        <x:v>9.88963815796648e-08</x:v>
      </x:c>
      <x:c r="R119" s="43" t="str">
        <x:v>9.627058759377471e-08</x:v>
      </x:c>
      <x:c r="S119" s="43" t="str">
        <x:v>1.0942072858899365e-07</x:v>
      </x:c>
      <x:c r="T119" s="43" t="str">
        <x:v>0.0</x:v>
      </x:c>
      <x:c r="U119" s="43" t="str">
        <x:v>2.901239415792345e-07</x:v>
      </x:c>
      <x:c r="V119" s="43" t="str">
        <x:v>1.1652797748951116e-07</x:v>
      </x:c>
      <x:c r="W119" s="43" t="str">
        <x:v>9.362362254211609e-08</x:v>
      </x:c>
      <x:c r="X119" s="43" t="str">
        <x:v>9.539288688478753e-08</x:v>
      </x:c>
      <x:c r="Y119" s="43" t="str">
        <x:v>9.450825471345181e-08</x:v>
      </x:c>
      <x:c r="Z119" s="43" t="str">
        <x:v>1.15121183360406e-07</x:v>
      </x:c>
      <x:c r="AA119" s="43" t="str">
        <x:v>8.657740815931625e-08</x:v>
      </x:c>
      <x:c r="AB119" s="23" t="str">
        <x:v>Candidate surface form is directly representable in the public Ngram interface. New unsmoothed 1842–2022 series retrieved for the candidate audit.</x:v>
      </x:c>
    </x:row>
    <x:row r="120" ht="19" customHeight="1">
      <x:c r="A120" s="20" t="str">
        <x:v>FT-SEED-R1B-P-0607-29</x:v>
      </x:c>
      <x:c r="B120" s="22" t="str">
        <x:v>2006–2007</x:v>
      </x:c>
      <x:c r="C120" s="22" t="str">
        <x:v>29</x:v>
      </x:c>
      <x:c r="D120" s="21" t="str">
        <x:v>dangerous climate change</x:v>
      </x:c>
      <x:c r="E120" s="22" t="str">
        <x:v>climate</x:v>
      </x:c>
      <x:c r="F120" s="21" t="str">
        <x:v>dangerous climate change</x:v>
      </x:c>
      <x:c r="G120" s="22" t="str">
        <x:v>EXACT</x:v>
      </x:c>
      <x:c r="H120" s="21" t="str">
        <x:v>SUCCEEDED_NEW</x:v>
      </x:c>
      <x:c r="I120" s="21" t="str">
        <x:v>FT-Q-P180-F88C2B918C1B</x:v>
      </x:c>
      <x:c r="J120" s="22" t="str">
        <x:v>1842</x:v>
      </x:c>
      <x:c r="K120" s="22" t="str">
        <x:v>2022</x:v>
      </x:c>
      <x:c r="L120" s="22" t="str">
        <x:v>1843</x:v>
      </x:c>
      <x:c r="M120" s="22" t="str">
        <x:v>43</x:v>
      </x:c>
      <x:c r="N120" s="22" t="str">
        <x:v>2009</x:v>
      </x:c>
      <x:c r="O120" s="43" t="str">
        <x:v>5.960008092609215e-08</x:v>
      </x:c>
      <x:c r="P120" s="43" t="str">
        <x:v>4.0968505851668446e-08</x:v>
      </x:c>
      <x:c r="Q120" s="43" t="str">
        <x:v>3.854462884284038e-08</x:v>
      </x:c>
      <x:c r="R120" s="43" t="str">
        <x:v>4.0968505851668446e-08</x:v>
      </x:c>
      <x:c r="S120" s="43" t="str">
        <x:v>5.1406288892330565e-08</x:v>
      </x:c>
      <x:c r="T120" s="43" t="str">
        <x:v>0.0</x:v>
      </x:c>
      <x:c r="U120" s="43" t="str">
        <x:v>0.0</x:v>
      </x:c>
      <x:c r="V120" s="43" t="str">
        <x:v>0.0</x:v>
      </x:c>
      <x:c r="W120" s="43" t="str">
        <x:v>3.349155683340932e-08</x:v>
      </x:c>
      <x:c r="X120" s="43" t="str">
        <x:v>4.8445454869927573e-08</x:v>
      </x:c>
      <x:c r="Y120" s="43" t="str">
        <x:v>4.0968505851668446e-08</x:v>
      </x:c>
      <x:c r="Z120" s="43" t="str">
        <x:v>5.3535918979191743e-08</x:v>
      </x:c>
      <x:c r="AA120" s="43" t="str">
        <x:v>2.9088631392504283e-08</x:v>
      </x:c>
      <x:c r="AB120" s="23" t="str">
        <x:v>Candidate surface form is directly representable in the public Ngram interface. New unsmoothed 1842–2022 series retrieved for the candidate audit.</x:v>
      </x:c>
    </x:row>
    <x:row r="121" ht="19" customHeight="1">
      <x:c r="A121" s="20" t="str">
        <x:v>FT-SEED-R1B-P-0607-30</x:v>
      </x:c>
      <x:c r="B121" s="22" t="str">
        <x:v>2006–2007</x:v>
      </x:c>
      <x:c r="C121" s="22" t="str">
        <x:v>30</x:v>
      </x:c>
      <x:c r="D121" s="21" t="str">
        <x:v>threatens serious negative effects</x:v>
      </x:c>
      <x:c r="E121" s="22" t="str">
        <x:v>danger_threat</x:v>
      </x:c>
      <x:c r="F121" s="21" t="str">
        <x:v>threatens serious negative effects</x:v>
      </x:c>
      <x:c r="G121" s="22" t="str">
        <x:v>EXACT</x:v>
      </x:c>
      <x:c r="H121" s="21" t="str">
        <x:v>ZERO_RESPONSE_NEW</x:v>
      </x:c>
      <x:c r="I121" s="21" t="str">
        <x:v>FT-Q-P180-6C32D3302148</x:v>
      </x:c>
      <x:c r="J121" s="22" t="str">
        <x:v>1842</x:v>
      </x:c>
      <x:c r="K121" s="22" t="str">
        <x:v>2022</x:v>
      </x:c>
      <x:c r="L121" s="22" t="str"/>
      <x:c r="M121" s="22" t="str">
        <x:v>0</x:v>
      </x:c>
      <x:c r="N121" s="22" t="str"/>
      <x:c r="O121" s="43" t="str"/>
      <x:c r="P121" s="43" t="str"/>
      <x:c r="Q121" s="43" t="str"/>
      <x:c r="R121" s="43" t="str"/>
      <x:c r="S121" s="43" t="str"/>
      <x:c r="T121" s="43" t="str"/>
      <x:c r="U121" s="43" t="str"/>
      <x:c r="V121" s="43" t="str"/>
      <x:c r="W121" s="43" t="str"/>
      <x:c r="X121" s="43" t="str"/>
      <x:c r="Y121" s="43" t="str"/>
      <x:c r="Z121" s="43" t="str"/>
      <x:c r="AA121" s="43" t="str"/>
      <x:c r="AB121" s="23" t="str">
        <x:v>Candidate surface form is directly representable in the public Ngram interface. The public Ngram endpoint returned an empty list; retained without fabricating annual zero frequencies.</x:v>
      </x:c>
    </x:row>
    <x:row r="122" ht="19" customHeight="1">
      <x:c r="A122" s="20" t="str">
        <x:v>FT-SEED-R1B-P-2015-01</x:v>
      </x:c>
      <x:c r="B122" s="22" t="str">
        <x:v>2015</x:v>
      </x:c>
      <x:c r="C122" s="22" t="str">
        <x:v>1</x:v>
      </x:c>
      <x:c r="D122" s="21" t="str">
        <x:v>climate change</x:v>
      </x:c>
      <x:c r="E122" s="22" t="str">
        <x:v>climate</x:v>
      </x:c>
      <x:c r="F122" s="21" t="str">
        <x:v>climate change</x:v>
      </x:c>
      <x:c r="G122" s="22" t="str">
        <x:v>EXACT</x:v>
      </x:c>
      <x:c r="H122" s="21" t="str">
        <x:v>SUCCEEDED_REUSED_BASELINE</x:v>
      </x:c>
      <x:c r="I122" s="21" t="str">
        <x:v>FT-Q-V01-081</x:v>
      </x:c>
      <x:c r="J122" s="22" t="str">
        <x:v>1842</x:v>
      </x:c>
      <x:c r="K122" s="22" t="str">
        <x:v>2022</x:v>
      </x:c>
      <x:c r="L122" s="22" t="str">
        <x:v>1842</x:v>
      </x:c>
      <x:c r="M122" s="22" t="str">
        <x:v>180</x:v>
      </x:c>
      <x:c r="N122" s="22" t="str">
        <x:v>2022</x:v>
      </x:c>
      <x:c r="O122" s="43" t="str">
        <x:v>2.890008815206735e-05</x:v>
      </x:c>
      <x:c r="P122" s="43" t="str">
        <x:v>1.967096413684616e-05</x:v>
      </x:c>
      <x:c r="Q122" s="43" t="str">
        <x:v>1.8854750985463492e-05</x:v>
      </x:c>
      <x:c r="R122" s="43" t="str">
        <x:v>1.967096413684616e-05</x:v>
      </x:c>
      <x:c r="S122" s="43" t="str">
        <x:v>2.0139663738864833e-05</x:v>
      </x:c>
      <x:c r="T122" s="43" t="str">
        <x:v>5.159906557583582e-09</x:v>
      </x:c>
      <x:c r="U122" s="43" t="str">
        <x:v>2.5615549126278836e-09</x:v>
      </x:c>
      <x:c r="V122" s="43" t="str">
        <x:v>1.2407935109301493e-06</x:v>
      </x:c>
      <x:c r="W122" s="43" t="str">
        <x:v>8.716473492563492e-06</x:v>
      </x:c>
      <x:c r="X122" s="43" t="str">
        <x:v>1.3191383831559489e-05</x:v>
      </x:c>
      <x:c r="Y122" s="43" t="str">
        <x:v>1.095392866206149e-05</x:v>
      </x:c>
      <x:c r="Z122" s="43" t="str">
        <x:v>1.967096413684616e-05</x:v>
      </x:c>
      <x:c r="AA122" s="43" t="str">
        <x:v>2.890008815206735e-05</x:v>
      </x:c>
      <x:c r="AB122" s="23" t="str">
        <x:v>Candidate surface form is directly representable in the public Ngram interface. Complete 1842–2022 unsmoothed series reused from the audited quantitative-v0.1 baseline.</x:v>
      </x:c>
    </x:row>
    <x:row r="123" ht="19" customHeight="1">
      <x:c r="A123" s="20" t="str">
        <x:v>FT-SEED-R1B-P-2015-02</x:v>
      </x:c>
      <x:c r="B123" s="22" t="str">
        <x:v>2015</x:v>
      </x:c>
      <x:c r="C123" s="22" t="str">
        <x:v>2</x:v>
      </x:c>
      <x:c r="D123" s="21" t="str">
        <x:v>threat of climate change</x:v>
      </x:c>
      <x:c r="E123" s="22" t="str">
        <x:v>climate</x:v>
      </x:c>
      <x:c r="F123" s="21" t="str">
        <x:v>threat of climate change</x:v>
      </x:c>
      <x:c r="G123" s="22" t="str">
        <x:v>EXACT</x:v>
      </x:c>
      <x:c r="H123" s="21" t="str">
        <x:v>SUCCEEDED_REUSED_BASELINE</x:v>
      </x:c>
      <x:c r="I123" s="21" t="str">
        <x:v>FT-Q-V01-082</x:v>
      </x:c>
      <x:c r="J123" s="22" t="str">
        <x:v>1842</x:v>
      </x:c>
      <x:c r="K123" s="22" t="str">
        <x:v>2022</x:v>
      </x:c>
      <x:c r="L123" s="22" t="str">
        <x:v>1900</x:v>
      </x:c>
      <x:c r="M123" s="22" t="str">
        <x:v>61</x:v>
      </x:c>
      <x:c r="N123" s="22" t="str">
        <x:v>2021</x:v>
      </x:c>
      <x:c r="O123" s="43" t="str">
        <x:v>1.1604019513333785e-07</x:v>
      </x:c>
      <x:c r="P123" s="43" t="str">
        <x:v>4.538047629343289e-08</x:v>
      </x:c>
      <x:c r="Q123" s="43" t="str">
        <x:v>4.426350256348891e-08</x:v>
      </x:c>
      <x:c r="R123" s="43" t="str">
        <x:v>4.538047629343289e-08</x:v>
      </x:c>
      <x:c r="S123" s="43" t="str">
        <x:v>5.0742874530690374e-08</x:v>
      </x:c>
      <x:c r="T123" s="43" t="str">
        <x:v>0.0</x:v>
      </x:c>
      <x:c r="U123" s="43" t="str">
        <x:v>0.0</x:v>
      </x:c>
      <x:c r="V123" s="43" t="str">
        <x:v>2.210996594143033e-09</x:v>
      </x:c>
      <x:c r="W123" s="43" t="str">
        <x:v>2.3157137839235897e-08</x:v>
      </x:c>
      <x:c r="X123" s="43" t="str">
        <x:v>3.566648866526467e-08</x:v>
      </x:c>
      <x:c r="Y123" s="43" t="str">
        <x:v>2.9411813252250285e-08</x:v>
      </x:c>
      <x:c r="Z123" s="43" t="str">
        <x:v>4.538047629343289e-08</x:v>
      </x:c>
      <x:c r="AA123" s="43" t="str">
        <x:v>1.1407222426373931e-07</x:v>
      </x:c>
      <x:c r="AB123" s="23" t="str">
        <x:v>Candidate surface form is directly representable in the public Ngram interface. Complete 1842–2022 unsmoothed series reused from the audited quantitative-v0.1 baseline.</x:v>
      </x:c>
    </x:row>
    <x:row r="124" ht="19" customHeight="1">
      <x:c r="A124" s="20" t="str">
        <x:v>FT-SEED-R1B-P-2015-03</x:v>
      </x:c>
      <x:c r="B124" s="22" t="str">
        <x:v>2015</x:v>
      </x:c>
      <x:c r="C124" s="22" t="str">
        <x:v>3</x:v>
      </x:c>
      <x:c r="D124" s="21" t="str">
        <x:v>global average temperature</x:v>
      </x:c>
      <x:c r="E124" s="22" t="str">
        <x:v>temperature_threshold</x:v>
      </x:c>
      <x:c r="F124" s="21" t="str">
        <x:v>global average temperature</x:v>
      </x:c>
      <x:c r="G124" s="22" t="str">
        <x:v>EXACT</x:v>
      </x:c>
      <x:c r="H124" s="21" t="str">
        <x:v>SUCCEEDED_REUSED_BASELINE</x:v>
      </x:c>
      <x:c r="I124" s="21" t="str">
        <x:v>FT-Q-V01-083</x:v>
      </x:c>
      <x:c r="J124" s="22" t="str">
        <x:v>1842</x:v>
      </x:c>
      <x:c r="K124" s="22" t="str">
        <x:v>2022</x:v>
      </x:c>
      <x:c r="L124" s="22" t="str">
        <x:v>1869</x:v>
      </x:c>
      <x:c r="M124" s="22" t="str">
        <x:v>73</x:v>
      </x:c>
      <x:c r="N124" s="22" t="str">
        <x:v>2022</x:v>
      </x:c>
      <x:c r="O124" s="43" t="str">
        <x:v>7.577234045763603e-08</x:v>
      </x:c>
      <x:c r="P124" s="43" t="str">
        <x:v>4.038937463646253e-08</x:v>
      </x:c>
      <x:c r="Q124" s="43" t="str">
        <x:v>4.3346591080406505e-08</x:v>
      </x:c>
      <x:c r="R124" s="43" t="str">
        <x:v>4.131762193493316e-08</x:v>
      </x:c>
      <x:c r="S124" s="43" t="str">
        <x:v>4.833277666982383e-08</x:v>
      </x:c>
      <x:c r="T124" s="43" t="str">
        <x:v>0.0</x:v>
      </x:c>
      <x:c r="U124" s="43" t="str">
        <x:v>0.0</x:v>
      </x:c>
      <x:c r="V124" s="43" t="str">
        <x:v>6.216928000180033e-09</x:v>
      </x:c>
      <x:c r="W124" s="43" t="str">
        <x:v>1.575490385374856e-08</x:v>
      </x:c>
      <x:c r="X124" s="43" t="str">
        <x:v>2.793995544647654e-08</x:v>
      </x:c>
      <x:c r="Y124" s="43" t="str">
        <x:v>2.184742965011255e-08</x:v>
      </x:c>
      <x:c r="Z124" s="43" t="str">
        <x:v>4.038937463646253e-08</x:v>
      </x:c>
      <x:c r="AA124" s="43" t="str">
        <x:v>7.577234045763603e-08</x:v>
      </x:c>
      <x:c r="AB124" s="23" t="str">
        <x:v>Candidate surface form is directly representable in the public Ngram interface. Complete 1842–2022 unsmoothed series reused from the audited quantitative-v0.1 baseline.</x:v>
      </x:c>
    </x:row>
    <x:row r="125" ht="19" customHeight="1">
      <x:c r="A125" s="20" t="str">
        <x:v>FT-SEED-R1B-P-2015-04</x:v>
      </x:c>
      <x:c r="B125" s="22" t="str">
        <x:v>2015</x:v>
      </x:c>
      <x:c r="C125" s="22" t="str">
        <x:v>4</x:v>
      </x:c>
      <x:c r="D125" s="21" t="str">
        <x:v>well below 2°C above pre-industrial levels</x:v>
      </x:c>
      <x:c r="E125" s="22" t="str">
        <x:v>temperature_threshold</x:v>
      </x:c>
      <x:c r="F125" s="21" t="str">
        <x:v>well below two degrees above pre-industrial levels</x:v>
      </x:c>
      <x:c r="G125" s="22" t="str">
        <x:v>VALIDATED_ALIAS</x:v>
      </x:c>
      <x:c r="H125" s="21" t="str">
        <x:v>ZERO_RESPONSE_NEW</x:v>
      </x:c>
      <x:c r="I125" s="21" t="str">
        <x:v>FT-Q-V01-084</x:v>
      </x:c>
      <x:c r="J125" s="22" t="str">
        <x:v>1842</x:v>
      </x:c>
      <x:c r="K125" s="22" t="str">
        <x:v>2022</x:v>
      </x:c>
      <x:c r="L125" s="22" t="str"/>
      <x:c r="M125" s="22" t="str">
        <x:v>0</x:v>
      </x:c>
      <x:c r="N125" s="22" t="str"/>
      <x:c r="O125" s="43" t="str"/>
      <x:c r="P125" s="43" t="str"/>
      <x:c r="Q125" s="43" t="str"/>
      <x:c r="R125" s="43" t="str"/>
      <x:c r="S125" s="43" t="str"/>
      <x:c r="T125" s="43" t="str"/>
      <x:c r="U125" s="43" t="str"/>
      <x:c r="V125" s="43" t="str"/>
      <x:c r="W125" s="43" t="str"/>
      <x:c r="X125" s="43" t="str"/>
      <x:c r="Y125" s="43" t="str"/>
      <x:c r="Z125" s="43" t="str"/>
      <x:c r="AA125" s="43" t="str"/>
      <x:c r="AB125" s="23" t="str">
        <x:v>The symbolic temperature is verbalized for the Ngram interface without changing the treaty threshold relation. The public Ngram endpoint returned an empty list; retained without fabricating annual zero frequencies.</x:v>
      </x:c>
    </x:row>
    <x:row r="126" ht="19" customHeight="1">
      <x:c r="A126" s="20" t="str">
        <x:v>FT-SEED-R1B-P-2015-05</x:v>
      </x:c>
      <x:c r="B126" s="22" t="str">
        <x:v>2015</x:v>
      </x:c>
      <x:c r="C126" s="22" t="str">
        <x:v>5</x:v>
      </x:c>
      <x:c r="D126" s="21" t="str">
        <x:v>1.5°C above pre-industrial levels</x:v>
      </x:c>
      <x:c r="E126" s="22" t="str">
        <x:v>temperature_threshold</x:v>
      </x:c>
      <x:c r="F126" s="21" t="str">
        <x:v>one point five degrees above pre-industrial levels</x:v>
      </x:c>
      <x:c r="G126" s="22" t="str">
        <x:v>VALIDATED_ALIAS</x:v>
      </x:c>
      <x:c r="H126" s="21" t="str">
        <x:v>ZERO_RESPONSE_NEW</x:v>
      </x:c>
      <x:c r="I126" s="21" t="str">
        <x:v>FT-Q-V01-085</x:v>
      </x:c>
      <x:c r="J126" s="22" t="str">
        <x:v>1842</x:v>
      </x:c>
      <x:c r="K126" s="22" t="str">
        <x:v>2022</x:v>
      </x:c>
      <x:c r="L126" s="22" t="str"/>
      <x:c r="M126" s="22" t="str">
        <x:v>0</x:v>
      </x:c>
      <x:c r="N126" s="22" t="str"/>
      <x:c r="O126" s="43" t="str"/>
      <x:c r="P126" s="43" t="str"/>
      <x:c r="Q126" s="43" t="str"/>
      <x:c r="R126" s="43" t="str"/>
      <x:c r="S126" s="43" t="str"/>
      <x:c r="T126" s="43" t="str"/>
      <x:c r="U126" s="43" t="str"/>
      <x:c r="V126" s="43" t="str"/>
      <x:c r="W126" s="43" t="str"/>
      <x:c r="X126" s="43" t="str"/>
      <x:c r="Y126" s="43" t="str"/>
      <x:c r="Z126" s="43" t="str"/>
      <x:c r="AA126" s="43" t="str"/>
      <x:c r="AB126" s="23" t="str">
        <x:v>The decimal degree notation is verbalized for the Ngram interface without changing the treaty threshold relation. The public Ngram endpoint returned an empty list; retained without fabricating annual zero frequencies.</x:v>
      </x:c>
    </x:row>
    <x:row r="127" ht="19" customHeight="1">
      <x:c r="A127" s="20" t="str">
        <x:v>FT-SEED-R1B-P-2015-06</x:v>
      </x:c>
      <x:c r="B127" s="22" t="str">
        <x:v>2015</x:v>
      </x:c>
      <x:c r="C127" s="22" t="str">
        <x:v>6</x:v>
      </x:c>
      <x:c r="D127" s="21" t="str">
        <x:v>pre-industrial levels</x:v>
      </x:c>
      <x:c r="E127" s="22" t="str">
        <x:v>climate</x:v>
      </x:c>
      <x:c r="F127" s="21" t="str">
        <x:v>pre-industrial levels</x:v>
      </x:c>
      <x:c r="G127" s="22" t="str">
        <x:v>EXACT</x:v>
      </x:c>
      <x:c r="H127" s="21" t="str">
        <x:v>SUCCEEDED_REUSED_BASELINE</x:v>
      </x:c>
      <x:c r="I127" s="21" t="str">
        <x:v>FT-Q-V01-086</x:v>
      </x:c>
      <x:c r="J127" s="22" t="str">
        <x:v>1842</x:v>
      </x:c>
      <x:c r="K127" s="22" t="str">
        <x:v>2022</x:v>
      </x:c>
      <x:c r="L127" s="22" t="str">
        <x:v>1843</x:v>
      </x:c>
      <x:c r="M127" s="22" t="str">
        <x:v>71</x:v>
      </x:c>
      <x:c r="N127" s="22" t="str">
        <x:v>2022</x:v>
      </x:c>
      <x:c r="O127" s="43" t="str">
        <x:v>1.564491737549023e-07</x:v>
      </x:c>
      <x:c r="P127" s="43" t="str">
        <x:v>3.183085471591962e-08</x:v>
      </x:c>
      <x:c r="Q127" s="43" t="str">
        <x:v>3.5058934146995714e-08</x:v>
      </x:c>
      <x:c r="R127" s="43" t="str">
        <x:v>3.183085471591962e-08</x:v>
      </x:c>
      <x:c r="S127" s="43" t="str">
        <x:v>4.467634775323637e-08</x:v>
      </x:c>
      <x:c r="T127" s="43" t="str">
        <x:v>0.0</x:v>
      </x:c>
      <x:c r="U127" s="43" t="str">
        <x:v>0.0</x:v>
      </x:c>
      <x:c r="V127" s="43" t="str">
        <x:v>3.406129822636217e-09</x:v>
      </x:c>
      <x:c r="W127" s="43" t="str">
        <x:v>1.9216646059139197e-08</x:v>
      </x:c>
      <x:c r="X127" s="43" t="str">
        <x:v>2.4358890446385395e-08</x:v>
      </x:c>
      <x:c r="Y127" s="43" t="str">
        <x:v>2.1787768252762296e-08</x:v>
      </x:c>
      <x:c r="Z127" s="43" t="str">
        <x:v>3.183085471591962e-08</x:v>
      </x:c>
      <x:c r="AA127" s="43" t="str">
        <x:v>1.564491737549023e-07</x:v>
      </x:c>
      <x:c r="AB127" s="23" t="str">
        <x:v>Candidate surface form is directly representable in the public Ngram interface. Complete 1842–2022 unsmoothed series reused from the audited quantitative-v0.1 baseline.</x:v>
      </x:c>
    </x:row>
    <x:row r="128" ht="19" customHeight="1">
      <x:c r="A128" s="20" t="str">
        <x:v>FT-SEED-R1B-P-2015-07</x:v>
      </x:c>
      <x:c r="B128" s="22" t="str">
        <x:v>2015</x:v>
      </x:c>
      <x:c r="C128" s="22" t="str">
        <x:v>7</x:v>
      </x:c>
      <x:c r="D128" s="21" t="str">
        <x:v>risks and impacts</x:v>
      </x:c>
      <x:c r="E128" s="22" t="str">
        <x:v>risk</x:v>
      </x:c>
      <x:c r="F128" s="21" t="str">
        <x:v>risks and impacts</x:v>
      </x:c>
      <x:c r="G128" s="22" t="str">
        <x:v>EXACT</x:v>
      </x:c>
      <x:c r="H128" s="21" t="str">
        <x:v>SUCCEEDED_REUSED_BASELINE</x:v>
      </x:c>
      <x:c r="I128" s="21" t="str">
        <x:v>FT-Q-V01-087</x:v>
      </x:c>
      <x:c r="J128" s="22" t="str">
        <x:v>1842</x:v>
      </x:c>
      <x:c r="K128" s="22" t="str">
        <x:v>2022</x:v>
      </x:c>
      <x:c r="L128" s="22" t="str">
        <x:v>1901</x:v>
      </x:c>
      <x:c r="M128" s="22" t="str">
        <x:v>64</x:v>
      </x:c>
      <x:c r="N128" s="22" t="str">
        <x:v>2022</x:v>
      </x:c>
      <x:c r="O128" s="43" t="str">
        <x:v>4.441337393690237e-08</x:v>
      </x:c>
      <x:c r="P128" s="43" t="str">
        <x:v>1.904498948129829e-08</x:v>
      </x:c>
      <x:c r="Q128" s="43" t="str">
        <x:v>1.882378900322501e-08</x:v>
      </x:c>
      <x:c r="R128" s="43" t="str">
        <x:v>1.904498948129829e-08</x:v>
      </x:c>
      <x:c r="S128" s="43" t="str">
        <x:v>2.0960154320515123e-08</x:v>
      </x:c>
      <x:c r="T128" s="43" t="str">
        <x:v>0.0</x:v>
      </x:c>
      <x:c r="U128" s="43" t="str">
        <x:v>0.0</x:v>
      </x:c>
      <x:c r="V128" s="43" t="str">
        <x:v>3.730156780679117e-09</x:v>
      </x:c>
      <x:c r="W128" s="43" t="str">
        <x:v>8.719695195058552e-09</x:v>
      </x:c>
      <x:c r="X128" s="43" t="str">
        <x:v>1.1710486191862657e-08</x:v>
      </x:c>
      <x:c r="Y128" s="43" t="str">
        <x:v>1.0215090693460604e-08</x:v>
      </x:c>
      <x:c r="Z128" s="43" t="str">
        <x:v>1.904498948129829e-08</x:v>
      </x:c>
      <x:c r="AA128" s="43" t="str">
        <x:v>4.441337393690237e-08</x:v>
      </x:c>
      <x:c r="AB128" s="23" t="str">
        <x:v>Candidate surface form is directly representable in the public Ngram interface. Complete 1842–2022 unsmoothed series reused from the audited quantitative-v0.1 baseline.</x:v>
      </x:c>
    </x:row>
    <x:row r="129" ht="19" customHeight="1">
      <x:c r="A129" s="20" t="str">
        <x:v>FT-SEED-R1B-P-2015-08</x:v>
      </x:c>
      <x:c r="B129" s="22" t="str">
        <x:v>2015</x:v>
      </x:c>
      <x:c r="C129" s="22" t="str">
        <x:v>8</x:v>
      </x:c>
      <x:c r="D129" s="21" t="str">
        <x:v>adverse impacts</x:v>
      </x:c>
      <x:c r="E129" s="22" t="str">
        <x:v>harm_loss_consequences</x:v>
      </x:c>
      <x:c r="F129" s="21" t="str">
        <x:v>adverse impacts</x:v>
      </x:c>
      <x:c r="G129" s="22" t="str">
        <x:v>EXACT</x:v>
      </x:c>
      <x:c r="H129" s="21" t="str">
        <x:v>SUCCEEDED_REUSED_BASELINE</x:v>
      </x:c>
      <x:c r="I129" s="21" t="str">
        <x:v>FT-Q-V01-088</x:v>
      </x:c>
      <x:c r="J129" s="22" t="str">
        <x:v>1842</x:v>
      </x:c>
      <x:c r="K129" s="22" t="str">
        <x:v>2022</x:v>
      </x:c>
      <x:c r="L129" s="22" t="str">
        <x:v>1847</x:v>
      </x:c>
      <x:c r="M129" s="22" t="str">
        <x:v>118</x:v>
      </x:c>
      <x:c r="N129" s="22" t="str">
        <x:v>2008</x:v>
      </x:c>
      <x:c r="O129" s="43" t="str">
        <x:v>1.2637095669620901e-06</x:v>
      </x:c>
      <x:c r="P129" s="43" t="str">
        <x:v>2.372477044543242e-07</x:v>
      </x:c>
      <x:c r="Q129" s="43" t="str">
        <x:v>2.6210660234819255e-07</x:v>
      </x:c>
      <x:c r="R129" s="43" t="str">
        <x:v>2.703218208166547e-07</x:v>
      </x:c>
      <x:c r="S129" s="43" t="str">
        <x:v>2.7875028177359873e-07</x:v>
      </x:c>
      <x:c r="T129" s="43" t="str">
        <x:v>0.0</x:v>
      </x:c>
      <x:c r="U129" s="43" t="str">
        <x:v>3.341158461012128e-10</x:v>
      </x:c>
      <x:c r="V129" s="43" t="str">
        <x:v>7.824303560610701e-07</x:v>
      </x:c>
      <x:c r="W129" s="43" t="str">
        <x:v>1.0024823677845518e-06</x:v>
      </x:c>
      <x:c r="X129" s="43" t="str">
        <x:v>8.86375771003145e-07</x:v>
      </x:c>
      <x:c r="Y129" s="43" t="str">
        <x:v>9.444290693938484e-07</x:v>
      </x:c>
      <x:c r="Z129" s="43" t="str">
        <x:v>2.372477044543242e-07</x:v>
      </x:c>
      <x:c r="AA129" s="43" t="str">
        <x:v>3.1348365897576613e-07</x:v>
      </x:c>
      <x:c r="AB129" s="23" t="str">
        <x:v>Candidate surface form is directly representable in the public Ngram interface. Complete 1842–2022 unsmoothed series reused from the audited quantitative-v0.1 baseline.</x:v>
      </x:c>
    </x:row>
    <x:row r="130" ht="19" customHeight="1">
      <x:c r="A130" s="20" t="str">
        <x:v>FT-SEED-R1B-P-2015-09</x:v>
      </x:c>
      <x:c r="B130" s="22" t="str">
        <x:v>2015</x:v>
      </x:c>
      <x:c r="C130" s="22" t="str">
        <x:v>9</x:v>
      </x:c>
      <x:c r="D130" s="21" t="str">
        <x:v>adverse effects of climate change</x:v>
      </x:c>
      <x:c r="E130" s="22" t="str">
        <x:v>climate</x:v>
      </x:c>
      <x:c r="F130" s="21" t="str">
        <x:v>adverse effects of climate change</x:v>
      </x:c>
      <x:c r="G130" s="22" t="str">
        <x:v>EXACT</x:v>
      </x:c>
      <x:c r="H130" s="21" t="str">
        <x:v>SUCCEEDED_REUSED_BASELINE</x:v>
      </x:c>
      <x:c r="I130" s="21" t="str">
        <x:v>FT-Q-V01-089</x:v>
      </x:c>
      <x:c r="J130" s="22" t="str">
        <x:v>1842</x:v>
      </x:c>
      <x:c r="K130" s="22" t="str">
        <x:v>2022</x:v>
      </x:c>
      <x:c r="L130" s="22" t="str">
        <x:v>1901</x:v>
      </x:c>
      <x:c r="M130" s="22" t="str">
        <x:v>55</x:v>
      </x:c>
      <x:c r="N130" s="22" t="str">
        <x:v>2021</x:v>
      </x:c>
      <x:c r="O130" s="43" t="str">
        <x:v>6.824104539782105e-08</x:v>
      </x:c>
      <x:c r="P130" s="43" t="str">
        <x:v>3.449535698751838e-08</x:v>
      </x:c>
      <x:c r="Q130" s="43" t="str">
        <x:v>3.321515398835295e-08</x:v>
      </x:c>
      <x:c r="R130" s="43" t="str">
        <x:v>3.449535698751838e-08</x:v>
      </x:c>
      <x:c r="S130" s="43" t="str">
        <x:v>4.084377236424075e-08</x:v>
      </x:c>
      <x:c r="T130" s="43" t="str">
        <x:v>0.0</x:v>
      </x:c>
      <x:c r="U130" s="43" t="str">
        <x:v>0.0</x:v>
      </x:c>
      <x:c r="V130" s="43" t="str">
        <x:v>8.47171111040268e-10</x:v>
      </x:c>
      <x:c r="W130" s="43" t="str">
        <x:v>1.8924337798209567e-08</x:v>
      </x:c>
      <x:c r="X130" s="43" t="str">
        <x:v>1.7591320768117757e-08</x:v>
      </x:c>
      <x:c r="Y130" s="43" t="str">
        <x:v>1.8257829283163662e-08</x:v>
      </x:c>
      <x:c r="Z130" s="43" t="str">
        <x:v>3.449535698751838e-08</x:v>
      </x:c>
      <x:c r="AA130" s="43" t="str">
        <x:v>6.007298156140983e-08</x:v>
      </x:c>
      <x:c r="AB130" s="23" t="str">
        <x:v>Candidate surface form is directly representable in the public Ngram interface. Complete 1842–2022 unsmoothed series reused from the audited quantitative-v0.1 baseline.</x:v>
      </x:c>
    </x:row>
    <x:row r="131" ht="19" customHeight="1">
      <x:c r="A131" s="20" t="str">
        <x:v>FT-SEED-R1B-P-2015-10</x:v>
      </x:c>
      <x:c r="B131" s="22" t="str">
        <x:v>2015</x:v>
      </x:c>
      <x:c r="C131" s="22" t="str">
        <x:v>10</x:v>
      </x:c>
      <x:c r="D131" s="21" t="str">
        <x:v>greenhouse gas emissions</x:v>
      </x:c>
      <x:c r="E131" s="22" t="str">
        <x:v>carbon_greenhouse</x:v>
      </x:c>
      <x:c r="F131" s="21" t="str">
        <x:v>greenhouse gas emissions</x:v>
      </x:c>
      <x:c r="G131" s="22" t="str">
        <x:v>EXACT</x:v>
      </x:c>
      <x:c r="H131" s="21" t="str">
        <x:v>SUCCEEDED_REUSED_BASELINE</x:v>
      </x:c>
      <x:c r="I131" s="21" t="str">
        <x:v>FT-Q-V01-090</x:v>
      </x:c>
      <x:c r="J131" s="22" t="str">
        <x:v>1842</x:v>
      </x:c>
      <x:c r="K131" s="22" t="str">
        <x:v>2022</x:v>
      </x:c>
      <x:c r="L131" s="22" t="str">
        <x:v>1843</x:v>
      </x:c>
      <x:c r="M131" s="22" t="str">
        <x:v>102</x:v>
      </x:c>
      <x:c r="N131" s="22" t="str">
        <x:v>2009</x:v>
      </x:c>
      <x:c r="O131" s="43" t="str">
        <x:v>2.058088877550379e-06</x:v>
      </x:c>
      <x:c r="P131" s="43" t="str">
        <x:v>1.2874613679464408e-06</x:v>
      </x:c>
      <x:c r="Q131" s="43" t="str">
        <x:v>1.2413949962905106e-06</x:v>
      </x:c>
      <x:c r="R131" s="43" t="str">
        <x:v>1.2874613679464408e-06</x:v>
      </x:c>
      <x:c r="S131" s="43" t="str">
        <x:v>1.3219732738628531e-06</x:v>
      </x:c>
      <x:c r="T131" s="43" t="str">
        <x:v>0.0</x:v>
      </x:c>
      <x:c r="U131" s="43" t="str">
        <x:v>0.0</x:v>
      </x:c>
      <x:c r="V131" s="43" t="str">
        <x:v>6.1250253577394e-08</x:v>
      </x:c>
      <x:c r="W131" s="43" t="str">
        <x:v>1.0909032338093927e-06</x:v>
      </x:c>
      <x:c r="X131" s="43" t="str">
        <x:v>1.6686714108815615e-06</x:v>
      </x:c>
      <x:c r="Y131" s="43" t="str">
        <x:v>1.379787322345477e-06</x:v>
      </x:c>
      <x:c r="Z131" s="43" t="str">
        <x:v>1.2874613679464408e-06</x:v>
      </x:c>
      <x:c r="AA131" s="43" t="str">
        <x:v>1.6692617707675383e-06</x:v>
      </x:c>
      <x:c r="AB131" s="23" t="str">
        <x:v>Candidate surface form is directly representable in the public Ngram interface. Complete 1842–2022 unsmoothed series reused from the audited quantitative-v0.1 baseline.</x:v>
      </x:c>
    </x:row>
    <x:row r="132" ht="19" customHeight="1">
      <x:c r="A132" s="20" t="str">
        <x:v>FT-SEED-R1B-P-2015-11</x:v>
      </x:c>
      <x:c r="B132" s="22" t="str">
        <x:v>2015</x:v>
      </x:c>
      <x:c r="C132" s="22" t="str">
        <x:v>11</x:v>
      </x:c>
      <x:c r="D132" s="21" t="str">
        <x:v>climate resilience</x:v>
      </x:c>
      <x:c r="E132" s="22" t="str">
        <x:v>harm_loss_consequences</x:v>
      </x:c>
      <x:c r="F132" s="21" t="str">
        <x:v>climate resilience</x:v>
      </x:c>
      <x:c r="G132" s="22" t="str">
        <x:v>EXACT</x:v>
      </x:c>
      <x:c r="H132" s="21" t="str">
        <x:v>SUCCEEDED_REUSED_BASELINE</x:v>
      </x:c>
      <x:c r="I132" s="21" t="str">
        <x:v>FT-Q-V01-091</x:v>
      </x:c>
      <x:c r="J132" s="22" t="str">
        <x:v>1842</x:v>
      </x:c>
      <x:c r="K132" s="22" t="str">
        <x:v>2022</x:v>
      </x:c>
      <x:c r="L132" s="22" t="str">
        <x:v>1901</x:v>
      </x:c>
      <x:c r="M132" s="22" t="str">
        <x:v>30</x:v>
      </x:c>
      <x:c r="N132" s="22" t="str">
        <x:v>2022</x:v>
      </x:c>
      <x:c r="O132" s="43" t="str">
        <x:v>2.3778926283579693e-07</x:v>
      </x:c>
      <x:c r="P132" s="43" t="str">
        <x:v>6.192725596904092e-08</x:v>
      </x:c>
      <x:c r="Q132" s="43" t="str">
        <x:v>6.380985545275293e-08</x:v>
      </x:c>
      <x:c r="R132" s="43" t="str">
        <x:v>6.192725596904092e-08</x:v>
      </x:c>
      <x:c r="S132" s="43" t="str">
        <x:v>8.508418414265861e-08</x:v>
      </x:c>
      <x:c r="T132" s="43" t="str">
        <x:v>0.0</x:v>
      </x:c>
      <x:c r="U132" s="43" t="str">
        <x:v>0.0</x:v>
      </x:c>
      <x:c r="V132" s="43" t="str">
        <x:v>0.0</x:v>
      </x:c>
      <x:c r="W132" s="43" t="str">
        <x:v>7.782892767760341e-10</x:v>
      </x:c>
      <x:c r="X132" s="43" t="str">
        <x:v>1.0794103388889198e-09</x:v>
      </x:c>
      <x:c r="Y132" s="43" t="str">
        <x:v>9.288498078324769e-10</x:v>
      </x:c>
      <x:c r="Z132" s="43" t="str">
        <x:v>6.192725596904092e-08</x:v>
      </x:c>
      <x:c r="AA132" s="43" t="str">
        <x:v>2.3778926283579693e-07</x:v>
      </x:c>
      <x:c r="AB132" s="23" t="str">
        <x:v>Candidate surface form is directly representable in the public Ngram interface. Complete 1842–2022 unsmoothed series reused from the audited quantitative-v0.1 baseline.</x:v>
      </x:c>
    </x:row>
    <x:row r="133" ht="19" customHeight="1">
      <x:c r="A133" s="20" t="str">
        <x:v>FT-SEED-R1B-P-2015-12</x:v>
      </x:c>
      <x:c r="B133" s="22" t="str">
        <x:v>2015</x:v>
      </x:c>
      <x:c r="C133" s="22" t="str">
        <x:v>12</x:v>
      </x:c>
      <x:c r="D133" s="21" t="str">
        <x:v>vulnerability</x:v>
      </x:c>
      <x:c r="E133" s="22" t="str">
        <x:v>harm_loss_consequences</x:v>
      </x:c>
      <x:c r="F133" s="21" t="str">
        <x:v>vulnerability</x:v>
      </x:c>
      <x:c r="G133" s="22" t="str">
        <x:v>EXACT</x:v>
      </x:c>
      <x:c r="H133" s="21" t="str">
        <x:v>SUCCEEDED_REUSED_BASELINE</x:v>
      </x:c>
      <x:c r="I133" s="21" t="str">
        <x:v>FT-Q-V01-092</x:v>
      </x:c>
      <x:c r="J133" s="22" t="str">
        <x:v>1842</x:v>
      </x:c>
      <x:c r="K133" s="22" t="str">
        <x:v>2022</x:v>
      </x:c>
      <x:c r="L133" s="22" t="str">
        <x:v>1842</x:v>
      </x:c>
      <x:c r="M133" s="22" t="str">
        <x:v>181</x:v>
      </x:c>
      <x:c r="N133" s="22" t="str">
        <x:v>2021</x:v>
      </x:c>
      <x:c r="O133" s="43" t="str">
        <x:v>1.2114193474133117e-05</x:v>
      </x:c>
      <x:c r="P133" s="43" t="str">
        <x:v>9.355508542086e-06</x:v>
      </x:c>
      <x:c r="Q133" s="43" t="str">
        <x:v>9.594339388740991e-06</x:v>
      </x:c>
      <x:c r="R133" s="43" t="str">
        <x:v>9.355508542086e-06</x:v>
      </x:c>
      <x:c r="S133" s="43" t="str">
        <x:v>1.0346192734544957e-05</x:v>
      </x:c>
      <x:c r="T133" s="43" t="str">
        <x:v>4.866453906515744e-09</x:v>
      </x:c>
      <x:c r="U133" s="43" t="str">
        <x:v>3.1758592466957225e-07</x:v>
      </x:c>
      <x:c r="V133" s="43" t="str">
        <x:v>3.529738691554485e-06</x:v>
      </x:c>
      <x:c r="W133" s="43" t="str">
        <x:v>7.107033283659803e-06</x:v>
      </x:c>
      <x:c r="X133" s="43" t="str">
        <x:v>7.274388785560859e-06</x:v>
      </x:c>
      <x:c r="Y133" s="43" t="str">
        <x:v>7.190711034610331e-06</x:v>
      </x:c>
      <x:c r="Z133" s="43" t="str">
        <x:v>9.355508542086e-06</x:v>
      </x:c>
      <x:c r="AA133" s="43" t="str">
        <x:v>1.1780358960322701e-05</x:v>
      </x:c>
      <x:c r="AB133" s="23" t="str">
        <x:v>Candidate surface form is directly representable in the public Ngram interface. Complete 1842–2022 unsmoothed series reused from the audited quantitative-v0.1 baseline.</x:v>
      </x:c>
    </x:row>
    <x:row r="134" ht="19" customHeight="1">
      <x:c r="A134" s="20" t="str">
        <x:v>FT-SEED-R1B-P-2015-13</x:v>
      </x:c>
      <x:c r="B134" s="22" t="str">
        <x:v>2015</x:v>
      </x:c>
      <x:c r="C134" s="22" t="str">
        <x:v>13</x:v>
      </x:c>
      <x:c r="D134" s="21" t="str">
        <x:v>vulnerable groups</x:v>
      </x:c>
      <x:c r="E134" s="22" t="str">
        <x:v>harm_loss_consequences</x:v>
      </x:c>
      <x:c r="F134" s="21" t="str">
        <x:v>vulnerable groups</x:v>
      </x:c>
      <x:c r="G134" s="22" t="str">
        <x:v>EXACT</x:v>
      </x:c>
      <x:c r="H134" s="21" t="str">
        <x:v>SUCCEEDED_REUSED_BASELINE</x:v>
      </x:c>
      <x:c r="I134" s="21" t="str">
        <x:v>FT-Q-V01-093</x:v>
      </x:c>
      <x:c r="J134" s="22" t="str">
        <x:v>1842</x:v>
      </x:c>
      <x:c r="K134" s="22" t="str">
        <x:v>2022</x:v>
      </x:c>
      <x:c r="L134" s="22" t="str">
        <x:v>1869</x:v>
      </x:c>
      <x:c r="M134" s="22" t="str">
        <x:v>117</x:v>
      </x:c>
      <x:c r="N134" s="22" t="str">
        <x:v>2022</x:v>
      </x:c>
      <x:c r="O134" s="43" t="str">
        <x:v>6.561656151760076e-07</x:v>
      </x:c>
      <x:c r="P134" s="43" t="str">
        <x:v>4.145763595753138e-07</x:v>
      </x:c>
      <x:c r="Q134" s="43" t="str">
        <x:v>4.2210607039660136e-07</x:v>
      </x:c>
      <x:c r="R134" s="43" t="str">
        <x:v>4.145763595753138e-07</x:v>
      </x:c>
      <x:c r="S134" s="43" t="str">
        <x:v>4.7465426506604347e-07</x:v>
      </x:c>
      <x:c r="T134" s="43" t="str">
        <x:v>0.0</x:v>
      </x:c>
      <x:c r="U134" s="43" t="str">
        <x:v>2.5615548987500958e-09</x:v>
      </x:c>
      <x:c r="V134" s="43" t="str">
        <x:v>1.8305899907034018e-07</x:v>
      </x:c>
      <x:c r="W134" s="43" t="str">
        <x:v>5.319378349119552e-07</x:v>
      </x:c>
      <x:c r="X134" s="43" t="str">
        <x:v>4.877135600170335e-07</x:v>
      </x:c>
      <x:c r="Y134" s="43" t="str">
        <x:v>5.098256974644944e-07</x:v>
      </x:c>
      <x:c r="Z134" s="43" t="str">
        <x:v>4.145763595753138e-07</x:v>
      </x:c>
      <x:c r="AA134" s="43" t="str">
        <x:v>6.561656151760076e-07</x:v>
      </x:c>
      <x:c r="AB134" s="23" t="str">
        <x:v>Candidate surface form is directly representable in the public Ngram interface. Complete 1842–2022 unsmoothed series reused from the audited quantitative-v0.1 baseline.</x:v>
      </x:c>
    </x:row>
    <x:row r="135" ht="19" customHeight="1">
      <x:c r="A135" s="20" t="str">
        <x:v>FT-SEED-R1B-P-2015-14</x:v>
      </x:c>
      <x:c r="B135" s="22" t="str">
        <x:v>2015</x:v>
      </x:c>
      <x:c r="C135" s="22" t="str">
        <x:v>14</x:v>
      </x:c>
      <x:c r="D135" s="21" t="str">
        <x:v>loss and damage</x:v>
      </x:c>
      <x:c r="E135" s="22" t="str">
        <x:v>harm_loss_consequences</x:v>
      </x:c>
      <x:c r="F135" s="21" t="str">
        <x:v>loss and damage</x:v>
      </x:c>
      <x:c r="G135" s="22" t="str">
        <x:v>EXACT</x:v>
      </x:c>
      <x:c r="H135" s="21" t="str">
        <x:v>SUCCEEDED_REUSED_BASELINE</x:v>
      </x:c>
      <x:c r="I135" s="21" t="str">
        <x:v>FT-Q-V01-094</x:v>
      </x:c>
      <x:c r="J135" s="22" t="str">
        <x:v>1842</x:v>
      </x:c>
      <x:c r="K135" s="22" t="str">
        <x:v>2022</x:v>
      </x:c>
      <x:c r="L135" s="22" t="str">
        <x:v>1842</x:v>
      </x:c>
      <x:c r="M135" s="22" t="str">
        <x:v>181</x:v>
      </x:c>
      <x:c r="N135" s="22" t="str">
        <x:v>1947</x:v>
      </x:c>
      <x:c r="O135" s="43" t="str">
        <x:v>1.5430762074220006e-06</x:v>
      </x:c>
      <x:c r="P135" s="43" t="str">
        <x:v>8.407788263178895e-08</x:v>
      </x:c>
      <x:c r="Q135" s="43" t="str">
        <x:v>9.455398923321108e-08</x:v>
      </x:c>
      <x:c r="R135" s="43" t="str">
        <x:v>8.407788263178895e-08</x:v>
      </x:c>
      <x:c r="S135" s="43" t="str">
        <x:v>1.24899555420388e-07</x:v>
      </x:c>
      <x:c r="T135" s="43" t="str">
        <x:v>1.3796192477322222e-07</x:v>
      </x:c>
      <x:c r="U135" s="43" t="str">
        <x:v>8.379211266507092e-07</x:v>
      </x:c>
      <x:c r="V135" s="43" t="str">
        <x:v>1.054715317444499e-07</x:v>
      </x:c>
      <x:c r="W135" s="43" t="str">
        <x:v>7.471193348013161e-08</x:v>
      </x:c>
      <x:c r="X135" s="43" t="str">
        <x:v>7.050587146062437e-08</x:v>
      </x:c>
      <x:c r="Y135" s="43" t="str">
        <x:v>7.260890247037799e-08</x:v>
      </x:c>
      <x:c r="Z135" s="43" t="str">
        <x:v>8.407788263178895e-08</x:v>
      </x:c>
      <x:c r="AA135" s="43" t="str">
        <x:v>1.615246781744295e-07</x:v>
      </x:c>
      <x:c r="AB135" s="23" t="str">
        <x:v>Candidate surface form is directly representable in the public Ngram interface. Complete 1842–2022 unsmoothed series reused from the audited quantitative-v0.1 baseline.</x:v>
      </x:c>
    </x:row>
    <x:row r="136" ht="19" customHeight="1">
      <x:c r="A136" s="20" t="str">
        <x:v>FT-SEED-R1B-P-2015-15</x:v>
      </x:c>
      <x:c r="B136" s="22" t="str">
        <x:v>2015</x:v>
      </x:c>
      <x:c r="C136" s="22" t="str">
        <x:v>15</x:v>
      </x:c>
      <x:c r="D136" s="21" t="str">
        <x:v>extreme weather events</x:v>
      </x:c>
      <x:c r="E136" s="22" t="str">
        <x:v>harm_loss_consequences</x:v>
      </x:c>
      <x:c r="F136" s="21" t="str">
        <x:v>extreme weather events</x:v>
      </x:c>
      <x:c r="G136" s="22" t="str">
        <x:v>EXACT</x:v>
      </x:c>
      <x:c r="H136" s="21" t="str">
        <x:v>SUCCEEDED_REUSED_BASELINE</x:v>
      </x:c>
      <x:c r="I136" s="21" t="str">
        <x:v>FT-Q-V01-095</x:v>
      </x:c>
      <x:c r="J136" s="22" t="str">
        <x:v>1842</x:v>
      </x:c>
      <x:c r="K136" s="22" t="str">
        <x:v>2022</x:v>
      </x:c>
      <x:c r="L136" s="22" t="str">
        <x:v>1843</x:v>
      </x:c>
      <x:c r="M136" s="22" t="str">
        <x:v>85</x:v>
      </x:c>
      <x:c r="N136" s="22" t="str">
        <x:v>2022</x:v>
      </x:c>
      <x:c r="O136" s="43" t="str">
        <x:v>4.511812501384327e-07</x:v>
      </x:c>
      <x:c r="P136" s="43" t="str">
        <x:v>2.641805035841216e-07</x:v>
      </x:c>
      <x:c r="Q136" s="43" t="str">
        <x:v>2.457166067559857e-07</x:v>
      </x:c>
      <x:c r="R136" s="43" t="str">
        <x:v>2.5530234859516554e-07</x:v>
      </x:c>
      <x:c r="S136" s="43" t="str">
        <x:v>2.641805035841216e-07</x:v>
      </x:c>
      <x:c r="T136" s="43" t="str">
        <x:v>0.0</x:v>
      </x:c>
      <x:c r="U136" s="43" t="str">
        <x:v>0.0</x:v>
      </x:c>
      <x:c r="V136" s="43" t="str">
        <x:v>3.4057953679500486e-09</x:v>
      </x:c>
      <x:c r="W136" s="43" t="str">
        <x:v>8.521520449000786e-08</x:v>
      </x:c>
      <x:c r="X136" s="43" t="str">
        <x:v>1.0656056481650467e-07</x:v>
      </x:c>
      <x:c r="Y136" s="43" t="str">
        <x:v>9.588788465325626e-08</x:v>
      </x:c>
      <x:c r="Z136" s="43" t="str">
        <x:v>2.641805035841216e-07</x:v>
      </x:c>
      <x:c r="AA136" s="43" t="str">
        <x:v>4.511812501384327e-07</x:v>
      </x:c>
      <x:c r="AB136" s="23" t="str">
        <x:v>Candidate surface form is directly representable in the public Ngram interface. Complete 1842–2022 unsmoothed series reused from the audited quantitative-v0.1 baseline.</x:v>
      </x:c>
    </x:row>
    <x:row r="137" ht="19" customHeight="1">
      <x:c r="A137" s="20" t="str">
        <x:v>FT-SEED-R1B-P-2015-16</x:v>
      </x:c>
      <x:c r="B137" s="22" t="str">
        <x:v>2015</x:v>
      </x:c>
      <x:c r="C137" s="22" t="str">
        <x:v>16</x:v>
      </x:c>
      <x:c r="D137" s="21" t="str">
        <x:v>slow onset events</x:v>
      </x:c>
      <x:c r="E137" s="22" t="str">
        <x:v>harm_loss_consequences</x:v>
      </x:c>
      <x:c r="F137" s="21" t="str">
        <x:v>slow onset events</x:v>
      </x:c>
      <x:c r="G137" s="22" t="str">
        <x:v>EXACT</x:v>
      </x:c>
      <x:c r="H137" s="21" t="str">
        <x:v>SUCCEEDED_REUSED_BASELINE</x:v>
      </x:c>
      <x:c r="I137" s="21" t="str">
        <x:v>FT-Q-V01-096</x:v>
      </x:c>
      <x:c r="J137" s="22" t="str">
        <x:v>1842</x:v>
      </x:c>
      <x:c r="K137" s="22" t="str">
        <x:v>2022</x:v>
      </x:c>
      <x:c r="L137" s="22" t="str">
        <x:v>1964</x:v>
      </x:c>
      <x:c r="M137" s="22" t="str">
        <x:v>25</x:v>
      </x:c>
      <x:c r="N137" s="22" t="str">
        <x:v>2021</x:v>
      </x:c>
      <x:c r="O137" s="43" t="str">
        <x:v>7.283442959860054e-09</x:v>
      </x:c>
      <x:c r="P137" s="43" t="str">
        <x:v>2.049460948172488e-09</x:v>
      </x:c>
      <x:c r="Q137" s="43" t="str">
        <x:v>2.314395087614033e-09</x:v>
      </x:c>
      <x:c r="R137" s="43" t="str">
        <x:v>2.049460948172488e-09</x:v>
      </x:c>
      <x:c r="S137" s="43" t="str">
        <x:v>4.546152315709762e-09</x:v>
      </x:c>
      <x:c r="T137" s="43" t="str">
        <x:v>0.0</x:v>
      </x:c>
      <x:c r="U137" s="43" t="str">
        <x:v>0.0</x:v>
      </x:c>
      <x:c r="V137" s="43" t="str">
        <x:v>0.0</x:v>
      </x:c>
      <x:c r="W137" s="43" t="str">
        <x:v>2.477186233917905e-10</x:v>
      </x:c>
      <x:c r="X137" s="43" t="str">
        <x:v>4.859122965106266e-10</x:v>
      </x:c>
      <x:c r="Y137" s="43" t="str">
        <x:v>3.6681545995120857e-10</x:v>
      </x:c>
      <x:c r="Z137" s="43" t="str">
        <x:v>2.049460948172488e-09</x:v>
      </x:c>
      <x:c r="AA137" s="43" t="str">
        <x:v>5.013650494767319e-09</x:v>
      </x:c>
      <x:c r="AB137" s="23" t="str">
        <x:v>Candidate surface form is directly representable in the public Ngram interface. Complete 1842–2022 unsmoothed series reused from the audited quantitative-v0.1 baseline.</x:v>
      </x:c>
    </x:row>
    <x:row r="138" ht="19" customHeight="1">
      <x:c r="A138" s="20" t="str">
        <x:v>FT-SEED-R1B-P-2015-17</x:v>
      </x:c>
      <x:c r="B138" s="22" t="str">
        <x:v>2015</x:v>
      </x:c>
      <x:c r="C138" s="22" t="str">
        <x:v>17</x:v>
      </x:c>
      <x:c r="D138" s="21" t="str">
        <x:v>risk of loss and damage</x:v>
      </x:c>
      <x:c r="E138" s="22" t="str">
        <x:v>risk</x:v>
      </x:c>
      <x:c r="F138" s="21" t="str">
        <x:v>risk of loss and damage</x:v>
      </x:c>
      <x:c r="G138" s="22" t="str">
        <x:v>EXACT</x:v>
      </x:c>
      <x:c r="H138" s="21" t="str">
        <x:v>SUCCEEDED_REUSED_BASELINE</x:v>
      </x:c>
      <x:c r="I138" s="21" t="str">
        <x:v>FT-Q-V01-097</x:v>
      </x:c>
      <x:c r="J138" s="22" t="str">
        <x:v>1842</x:v>
      </x:c>
      <x:c r="K138" s="22" t="str">
        <x:v>2022</x:v>
      </x:c>
      <x:c r="L138" s="22" t="str">
        <x:v>1842</x:v>
      </x:c>
      <x:c r="M138" s="22" t="str">
        <x:v>165</x:v>
      </x:c>
      <x:c r="N138" s="22" t="str">
        <x:v>1956</x:v>
      </x:c>
      <x:c r="O138" s="43" t="str">
        <x:v>7.821105985073018e-09</x:v>
      </x:c>
      <x:c r="P138" s="43" t="str">
        <x:v>9.214118357192547e-10</x:v>
      </x:c>
      <x:c r="Q138" s="43" t="str">
        <x:v>1.2443122562414792e-09</x:v>
      </x:c>
      <x:c r="R138" s="43" t="str">
        <x:v>1.0524391531874233e-09</x:v>
      </x:c>
      <x:c r="S138" s="43" t="str">
        <x:v>1.7590857798177595e-09</x:v>
      </x:c>
      <x:c r="T138" s="43" t="str">
        <x:v>7.81099351865322e-10</x:v>
      </x:c>
      <x:c r="U138" s="43" t="str">
        <x:v>5.767837332748549e-09</x:v>
      </x:c>
      <x:c r="V138" s="43" t="str">
        <x:v>6.516700790104579e-10</x:v>
      </x:c>
      <x:c r="W138" s="43" t="str">
        <x:v>8.152023084351256e-10</x:v>
      </x:c>
      <x:c r="X138" s="43" t="str">
        <x:v>6.262282359337235e-10</x:v>
      </x:c>
      <x:c r="Y138" s="43" t="str">
        <x:v>7.207152721844245e-10</x:v>
      </x:c>
      <x:c r="Z138" s="43" t="str">
        <x:v>9.214118357192547e-10</x:v>
      </x:c>
      <x:c r="AA138" s="43" t="str">
        <x:v>2.0658581616206373e-09</x:v>
      </x:c>
      <x:c r="AB138" s="23" t="str">
        <x:v>Candidate surface form is directly representable in the public Ngram interface. Complete 1842–2022 unsmoothed series reused from the audited quantitative-v0.1 baseline.</x:v>
      </x:c>
    </x:row>
    <x:row r="139" ht="19" customHeight="1">
      <x:c r="A139" s="20" t="str">
        <x:v>FT-SEED-R1B-P-2015-18</x:v>
      </x:c>
      <x:c r="B139" s="22" t="str">
        <x:v>2015</x:v>
      </x:c>
      <x:c r="C139" s="22" t="str">
        <x:v>18</x:v>
      </x:c>
      <x:c r="D139" s="21" t="str">
        <x:v>early warning systems</x:v>
      </x:c>
      <x:c r="E139" s="22" t="str">
        <x:v>harm_loss_consequences</x:v>
      </x:c>
      <x:c r="F139" s="21" t="str">
        <x:v>early warning systems</x:v>
      </x:c>
      <x:c r="G139" s="22" t="str">
        <x:v>EXACT</x:v>
      </x:c>
      <x:c r="H139" s="21" t="str">
        <x:v>SUCCEEDED_REUSED_BASELINE</x:v>
      </x:c>
      <x:c r="I139" s="21" t="str">
        <x:v>FT-Q-V01-098</x:v>
      </x:c>
      <x:c r="J139" s="22" t="str">
        <x:v>1842</x:v>
      </x:c>
      <x:c r="K139" s="22" t="str">
        <x:v>2022</x:v>
      </x:c>
      <x:c r="L139" s="22" t="str">
        <x:v>1869</x:v>
      </x:c>
      <x:c r="M139" s="22" t="str">
        <x:v>99</x:v>
      </x:c>
      <x:c r="N139" s="22" t="str">
        <x:v>2022</x:v>
      </x:c>
      <x:c r="O139" s="43" t="str">
        <x:v>2.0064061378999298e-07</x:v>
      </x:c>
      <x:c r="P139" s="43" t="str">
        <x:v>1.4231256331709297e-07</x:v>
      </x:c>
      <x:c r="Q139" s="43" t="str">
        <x:v>1.4610297251309764e-07</x:v>
      </x:c>
      <x:c r="R139" s="43" t="str">
        <x:v>1.4231256331709297e-07</x:v>
      </x:c>
      <x:c r="S139" s="43" t="str">
        <x:v>1.5466489043658438e-07</x:v>
      </x:c>
      <x:c r="T139" s="43" t="str">
        <x:v>0.0</x:v>
      </x:c>
      <x:c r="U139" s="43" t="str">
        <x:v>0.0</x:v>
      </x:c>
      <x:c r="V139" s="43" t="str">
        <x:v>9.379452314828285e-08</x:v>
      </x:c>
      <x:c r="W139" s="43" t="str">
        <x:v>1.3872242171641957e-07</x:v>
      </x:c>
      <x:c r="X139" s="43" t="str">
        <x:v>1.2973858229403668e-07</x:v>
      </x:c>
      <x:c r="Y139" s="43" t="str">
        <x:v>1.3423050200522813e-07</x:v>
      </x:c>
      <x:c r="Z139" s="43" t="str">
        <x:v>1.4231256331709297e-07</x:v>
      </x:c>
      <x:c r="AA139" s="43" t="str">
        <x:v>2.0064061378999298e-07</x:v>
      </x:c>
      <x:c r="AB139" s="23" t="str">
        <x:v>Candidate surface form is directly representable in the public Ngram interface. Complete 1842–2022 unsmoothed series reused from the audited quantitative-v0.1 baseline.</x:v>
      </x:c>
    </x:row>
    <x:row r="140" ht="19" customHeight="1">
      <x:c r="A140" s="20" t="str">
        <x:v>FT-SEED-R1B-P-2015-19</x:v>
      </x:c>
      <x:c r="B140" s="22" t="str">
        <x:v>2015</x:v>
      </x:c>
      <x:c r="C140" s="22" t="str">
        <x:v>19</x:v>
      </x:c>
      <x:c r="D140" s="21" t="str">
        <x:v>emergency preparedness</x:v>
      </x:c>
      <x:c r="E140" s="22" t="str">
        <x:v>crisis_emergency</x:v>
      </x:c>
      <x:c r="F140" s="21" t="str">
        <x:v>emergency preparedness</x:v>
      </x:c>
      <x:c r="G140" s="22" t="str">
        <x:v>EXACT</x:v>
      </x:c>
      <x:c r="H140" s="21" t="str">
        <x:v>SUCCEEDED_REUSED_BASELINE</x:v>
      </x:c>
      <x:c r="I140" s="21" t="str">
        <x:v>FT-Q-V01-099</x:v>
      </x:c>
      <x:c r="J140" s="22" t="str">
        <x:v>1842</x:v>
      </x:c>
      <x:c r="K140" s="22" t="str">
        <x:v>2022</x:v>
      </x:c>
      <x:c r="L140" s="22" t="str">
        <x:v>1847</x:v>
      </x:c>
      <x:c r="M140" s="22" t="str">
        <x:v>122</x:v>
      </x:c>
      <x:c r="N140" s="22" t="str">
        <x:v>1986</x:v>
      </x:c>
      <x:c r="O140" s="43" t="str">
        <x:v>2.826408131394176e-06</x:v>
      </x:c>
      <x:c r="P140" s="43" t="str">
        <x:v>3.2953145755534874e-07</x:v>
      </x:c>
      <x:c r="Q140" s="43" t="str">
        <x:v>3.3156906676171105e-07</x:v>
      </x:c>
      <x:c r="R140" s="43" t="str">
        <x:v>3.2953145755534874e-07</x:v>
      </x:c>
      <x:c r="S140" s="43" t="str">
        <x:v>3.4260777249245367e-07</x:v>
      </x:c>
      <x:c r="T140" s="43" t="str">
        <x:v>0.0</x:v>
      </x:c>
      <x:c r="U140" s="43" t="str">
        <x:v>3.5639025064426733e-09</x:v>
      </x:c>
      <x:c r="V140" s="43" t="str">
        <x:v>1.0464814905603026e-06</x:v>
      </x:c>
      <x:c r="W140" s="43" t="str">
        <x:v>8.403235325082914e-07</x:v>
      </x:c>
      <x:c r="X140" s="43" t="str">
        <x:v>7.499652697369463e-07</x:v>
      </x:c>
      <x:c r="Y140" s="43" t="str">
        <x:v>7.951444011226189e-07</x:v>
      </x:c>
      <x:c r="Z140" s="43" t="str">
        <x:v>3.2953145755534874e-07</x:v>
      </x:c>
      <x:c r="AA140" s="43" t="str">
        <x:v>2.663239674349782e-07</x:v>
      </x:c>
      <x:c r="AB140" s="23" t="str">
        <x:v>Candidate surface form is directly representable in the public Ngram interface. Complete 1842–2022 unsmoothed series reused from the audited quantitative-v0.1 baseline.</x:v>
      </x:c>
    </x:row>
    <x:row r="141" ht="19" customHeight="1">
      <x:c r="A141" s="20" t="str">
        <x:v>FT-SEED-R1B-P-2015-20</x:v>
      </x:c>
      <x:c r="B141" s="22" t="str">
        <x:v>2015</x:v>
      </x:c>
      <x:c r="C141" s="22" t="str">
        <x:v>20</x:v>
      </x:c>
      <x:c r="D141" s="21" t="str">
        <x:v>irreversible and permanent loss and damage</x:v>
      </x:c>
      <x:c r="E141" s="22" t="str">
        <x:v>harm_loss_consequences</x:v>
      </x:c>
      <x:c r="F141" s="21" t="str">
        <x:v>irreversible and permanent loss and damage</x:v>
      </x:c>
      <x:c r="G141" s="22" t="str">
        <x:v>EXACT</x:v>
      </x:c>
      <x:c r="H141" s="21" t="str">
        <x:v>SUCCEEDED_REUSED_BASELINE</x:v>
      </x:c>
      <x:c r="I141" s="21" t="str">
        <x:v>FT-Q-V01-100</x:v>
      </x:c>
      <x:c r="J141" s="22" t="str">
        <x:v>1842</x:v>
      </x:c>
      <x:c r="K141" s="22" t="str">
        <x:v>2022</x:v>
      </x:c>
      <x:c r="L141" s="22" t="str">
        <x:v>2015</x:v>
      </x:c>
      <x:c r="M141" s="22" t="str">
        <x:v>8</x:v>
      </x:c>
      <x:c r="N141" s="22" t="str">
        <x:v>2021</x:v>
      </x:c>
      <x:c r="O141" s="43" t="str">
        <x:v>8.163354991985727e-10</x:v>
      </x:c>
      <x:c r="P141" s="43" t="str">
        <x:v>6.163167892703214e-11</x:v>
      </x:c>
      <x:c r="Q141" s="43" t="str">
        <x:v>1.5757996065420463e-10</x:v>
      </x:c>
      <x:c r="R141" s="43" t="str">
        <x:v>6.163167892703214e-11</x:v>
      </x:c>
      <x:c r="S141" s="43" t="str">
        <x:v>4.111082030355817e-10</x:v>
      </x:c>
      <x:c r="T141" s="43" t="str">
        <x:v>0.0</x:v>
      </x:c>
      <x:c r="U141" s="43" t="str">
        <x:v>0.0</x:v>
      </x:c>
      <x:c r="V141" s="43" t="str">
        <x:v>0.0</x:v>
      </x:c>
      <x:c r="W141" s="43" t="str">
        <x:v>0.0</x:v>
      </x:c>
      <x:c r="X141" s="43" t="str">
        <x:v>0.0</x:v>
      </x:c>
      <x:c r="Y141" s="43" t="str">
        <x:v>0.0</x:v>
      </x:c>
      <x:c r="Z141" s="43" t="str">
        <x:v>6.163167892703214e-11</x:v>
      </x:c>
      <x:c r="AA141" s="43" t="str">
        <x:v>6.393428564344106e-10</x:v>
      </x:c>
      <x:c r="AB141" s="23" t="str">
        <x:v>Candidate surface form is directly representable in the public Ngram interface. Complete 1842–2022 unsmoothed series reused from the audited quantitative-v0.1 baseline.</x:v>
      </x:c>
    </x:row>
    <x:row r="142" ht="19" customHeight="1">
      <x:c r="A142" s="20" t="str">
        <x:v>FT-SEED-R1B-P-2015-21</x:v>
      </x:c>
      <x:c r="B142" s="22" t="str">
        <x:v>2015</x:v>
      </x:c>
      <x:c r="C142" s="22" t="str">
        <x:v>21</x:v>
      </x:c>
      <x:c r="D142" s="21" t="str">
        <x:v>comprehensive risk assessment and management</x:v>
      </x:c>
      <x:c r="E142" s="22" t="str">
        <x:v>risk</x:v>
      </x:c>
      <x:c r="F142" s="21" t="str">
        <x:v>comprehensive risk assessment and management</x:v>
      </x:c>
      <x:c r="G142" s="22" t="str">
        <x:v>EXACT</x:v>
      </x:c>
      <x:c r="H142" s="21" t="str">
        <x:v>SUCCEEDED_REUSED_BASELINE</x:v>
      </x:c>
      <x:c r="I142" s="21" t="str">
        <x:v>FT-Q-V01-142</x:v>
      </x:c>
      <x:c r="J142" s="22" t="str">
        <x:v>1842</x:v>
      </x:c>
      <x:c r="K142" s="22" t="str">
        <x:v>2022</x:v>
      </x:c>
      <x:c r="L142" s="22" t="str">
        <x:v>1963</x:v>
      </x:c>
      <x:c r="M142" s="22" t="str">
        <x:v>31</x:v>
      </x:c>
      <x:c r="N142" s="22" t="str">
        <x:v>2018</x:v>
      </x:c>
      <x:c r="O142" s="43" t="str">
        <x:v>1.2794914017177916e-09</x:v>
      </x:c>
      <x:c r="P142" s="43" t="str">
        <x:v>2.879411986622671e-10</x:v>
      </x:c>
      <x:c r="Q142" s="43" t="str">
        <x:v>3.81069227099277e-10</x:v>
      </x:c>
      <x:c r="R142" s="43" t="str">
        <x:v>2.879411986622671e-10</x:v>
      </x:c>
      <x:c r="S142" s="43" t="str">
        <x:v>6.046857320418653e-10</x:v>
      </x:c>
      <x:c r="T142" s="43" t="str">
        <x:v>0.0</x:v>
      </x:c>
      <x:c r="U142" s="43" t="str">
        <x:v>0.0</x:v>
      </x:c>
      <x:c r="V142" s="43" t="str">
        <x:v>1.303340213532067e-10</x:v>
      </x:c>
      <x:c r="W142" s="43" t="str">
        <x:v>1.7468620994165462e-10</x:v>
      </x:c>
      <x:c r="X142" s="43" t="str">
        <x:v>1.7078952141424963e-10</x:v>
      </x:c>
      <x:c r="Y142" s="43" t="str">
        <x:v>1.7273786567795213e-10</x:v>
      </x:c>
      <x:c r="Z142" s="43" t="str">
        <x:v>2.879411986622671e-10</x:v>
      </x:c>
      <x:c r="AA142" s="43" t="str">
        <x:v>7.611056784817549e-10</x:v>
      </x:c>
      <x:c r="AB142" s="23" t="str">
        <x:v>Candidate surface form is directly representable in the public Ngram interface. Complete 1842–2022 unsmoothed series reused from the audited quantitative-v0.1 baseline.</x:v>
      </x:c>
    </x:row>
    <x:row r="143" ht="19" customHeight="1">
      <x:c r="A143" s="20" t="str">
        <x:v>FT-SEED-R1B-P-2015-22</x:v>
      </x:c>
      <x:c r="B143" s="22" t="str">
        <x:v>2015</x:v>
      </x:c>
      <x:c r="C143" s="22" t="str">
        <x:v>22</x:v>
      </x:c>
      <x:c r="D143" s="21" t="str">
        <x:v>non-economic losses</x:v>
      </x:c>
      <x:c r="E143" s="22" t="str">
        <x:v>harm_loss_consequences</x:v>
      </x:c>
      <x:c r="F143" s="21" t="str">
        <x:v>non-economic losses</x:v>
      </x:c>
      <x:c r="G143" s="22" t="str">
        <x:v>EXACT</x:v>
      </x:c>
      <x:c r="H143" s="21" t="str">
        <x:v>SUCCEEDED_NEW</x:v>
      </x:c>
      <x:c r="I143" s="21" t="str">
        <x:v>FT-Q-P180-AF35B6022DCF</x:v>
      </x:c>
      <x:c r="J143" s="22" t="str">
        <x:v>1842</x:v>
      </x:c>
      <x:c r="K143" s="22" t="str">
        <x:v>2022</x:v>
      </x:c>
      <x:c r="L143" s="22" t="str">
        <x:v>1924</x:v>
      </x:c>
      <x:c r="M143" s="22" t="str">
        <x:v>80</x:v>
      </x:c>
      <x:c r="N143" s="22" t="str">
        <x:v>1986</x:v>
      </x:c>
      <x:c r="O143" s="43" t="str">
        <x:v>1.8812469290696576e-08</x:v>
      </x:c>
      <x:c r="P143" s="43" t="str">
        <x:v>4.731613434394433e-09</x:v>
      </x:c>
      <x:c r="Q143" s="43" t="str">
        <x:v>3.908430465845066e-09</x:v>
      </x:c>
      <x:c r="R143" s="43" t="str">
        <x:v>4.421364774298553e-09</x:v>
      </x:c>
      <x:c r="S143" s="43" t="str">
        <x:v>4.731613434394433e-09</x:v>
      </x:c>
      <x:c r="T143" s="43" t="str">
        <x:v>0.0</x:v>
      </x:c>
      <x:c r="U143" s="43" t="str">
        <x:v>1.3544629307027378e-10</x:v>
      </x:c>
      <x:c r="V143" s="43" t="str">
        <x:v>1.236962998696356e-08</x:v>
      </x:c>
      <x:c r="W143" s="43" t="str">
        <x:v>6.963334985010672e-09</x:v>
      </x:c>
      <x:c r="X143" s="43" t="str">
        <x:v>5.1782453741600065e-09</x:v>
      </x:c>
      <x:c r="Y143" s="43" t="str">
        <x:v>6.070790179585339e-09</x:v>
      </x:c>
      <x:c r="Z143" s="43" t="str">
        <x:v>4.731613434394433e-09</x:v>
      </x:c>
      <x:c r="AA143" s="43" t="str">
        <x:v>6.453083678525928e-09</x:v>
      </x:c>
      <x:c r="AB143" s="23" t="str">
        <x:v>Candidate surface form is directly representable in the public Ngram interface. New unsmoothed 1842–2022 series retrieved for the candidate audit.</x:v>
      </x:c>
    </x:row>
    <x:row r="144" ht="19" customHeight="1">
      <x:c r="A144" s="20" t="str">
        <x:v>FT-SEED-R1B-P-2015-23</x:v>
      </x:c>
      <x:c r="B144" s="22" t="str">
        <x:v>2015</x:v>
      </x:c>
      <x:c r="C144" s="22" t="str">
        <x:v>23</x:v>
      </x:c>
      <x:c r="D144" s="21" t="str">
        <x:v>common concern of humankind</x:v>
      </x:c>
      <x:c r="E144" s="22" t="str">
        <x:v>concern_alarm</x:v>
      </x:c>
      <x:c r="F144" s="21" t="str">
        <x:v>common concern of humankind</x:v>
      </x:c>
      <x:c r="G144" s="22" t="str">
        <x:v>EXACT</x:v>
      </x:c>
      <x:c r="H144" s="21" t="str">
        <x:v>SUCCEEDED_NEW</x:v>
      </x:c>
      <x:c r="I144" s="21" t="str">
        <x:v>FT-Q-P180-77AA231E4338</x:v>
      </x:c>
      <x:c r="J144" s="22" t="str">
        <x:v>1842</x:v>
      </x:c>
      <x:c r="K144" s="22" t="str">
        <x:v>2022</x:v>
      </x:c>
      <x:c r="L144" s="22" t="str">
        <x:v>1901</x:v>
      </x:c>
      <x:c r="M144" s="22" t="str">
        <x:v>47</x:v>
      </x:c>
      <x:c r="N144" s="22" t="str">
        <x:v>2021</x:v>
      </x:c>
      <x:c r="O144" s="43" t="str">
        <x:v>4.958280197531195e-08</x:v>
      </x:c>
      <x:c r="P144" s="43" t="str">
        <x:v>6.452200274065234e-09</x:v>
      </x:c>
      <x:c r="Q144" s="43" t="str">
        <x:v>8.595441171321827e-09</x:v>
      </x:c>
      <x:c r="R144" s="43" t="str">
        <x:v>6.452200274065234e-09</x:v>
      </x:c>
      <x:c r="S144" s="43" t="str">
        <x:v>1.41894966609879e-08</x:v>
      </x:c>
      <x:c r="T144" s="43" t="str">
        <x:v>0.0</x:v>
      </x:c>
      <x:c r="U144" s="43" t="str">
        <x:v>0.0</x:v>
      </x:c>
      <x:c r="V144" s="43" t="str">
        <x:v>1.1951332978821227e-10</x:v>
      </x:c>
      <x:c r="W144" s="43" t="str">
        <x:v>4.80416123549432e-09</x:v>
      </x:c>
      <x:c r="X144" s="43" t="str">
        <x:v>4.2799784272240515e-09</x:v>
      </x:c>
      <x:c r="Y144" s="43" t="str">
        <x:v>4.542069831359186e-09</x:v>
      </x:c>
      <x:c r="Z144" s="43" t="str">
        <x:v>6.452200274065234e-09</x:v>
      </x:c>
      <x:c r="AA144" s="43" t="str">
        <x:v>3.892174793573844e-08</x:v>
      </x:c>
      <x:c r="AB144" s="23" t="str">
        <x:v>Candidate surface form is directly representable in the public Ngram interface. New unsmoothed 1842–2022 series retrieved for the candidate audit.</x:v>
      </x:c>
    </x:row>
    <x:row r="145" ht="19" customHeight="1">
      <x:c r="A145" s="20" t="str">
        <x:v>FT-SEED-R1B-P-2015-24</x:v>
      </x:c>
      <x:c r="B145" s="22" t="str">
        <x:v>2015</x:v>
      </x:c>
      <x:c r="C145" s="22" t="str">
        <x:v>24</x:v>
      </x:c>
      <x:c r="D145" s="21" t="str">
        <x:v>climate justice</x:v>
      </x:c>
      <x:c r="E145" s="22" t="str">
        <x:v>harm_loss_consequences</x:v>
      </x:c>
      <x:c r="F145" s="21" t="str">
        <x:v>climate justice</x:v>
      </x:c>
      <x:c r="G145" s="22" t="str">
        <x:v>EXACT</x:v>
      </x:c>
      <x:c r="H145" s="21" t="str">
        <x:v>SUCCEEDED_NEW</x:v>
      </x:c>
      <x:c r="I145" s="21" t="str">
        <x:v>FT-Q-P180-6901F0C01389</x:v>
      </x:c>
      <x:c r="J145" s="22" t="str">
        <x:v>1842</x:v>
      </x:c>
      <x:c r="K145" s="22" t="str">
        <x:v>2022</x:v>
      </x:c>
      <x:c r="L145" s="22" t="str">
        <x:v>1892</x:v>
      </x:c>
      <x:c r="M145" s="22" t="str">
        <x:v>46</x:v>
      </x:c>
      <x:c r="N145" s="22" t="str">
        <x:v>2021</x:v>
      </x:c>
      <x:c r="O145" s="43" t="str">
        <x:v>3.9843253718530036e-07</x:v>
      </x:c>
      <x:c r="P145" s="43" t="str">
        <x:v>1.2123918213813312e-07</x:v>
      </x:c>
      <x:c r="Q145" s="43" t="str">
        <x:v>1.2847355246314862e-07</x:v>
      </x:c>
      <x:c r="R145" s="43" t="str">
        <x:v>1.2123918213813312e-07</x:v>
      </x:c>
      <x:c r="S145" s="43" t="str">
        <x:v>1.7043691702411934e-07</x:v>
      </x:c>
      <x:c r="T145" s="43" t="str">
        <x:v>0.0</x:v>
      </x:c>
      <x:c r="U145" s="43" t="str">
        <x:v>3.341158461012128e-10</x:v>
      </x:c>
      <x:c r="V145" s="43" t="str">
        <x:v>0.0</x:v>
      </x:c>
      <x:c r="W145" s="43" t="str">
        <x:v>1.0117760490535588e-08</x:v>
      </x:c>
      <x:c r="X145" s="43" t="str">
        <x:v>1.5381597023855775e-08</x:v>
      </x:c>
      <x:c r="Y145" s="43" t="str">
        <x:v>1.2749678757195682e-08</x:v>
      </x:c>
      <x:c r="Z145" s="43" t="str">
        <x:v>1.2123918213813312e-07</x:v>
      </x:c>
      <x:c r="AA145" s="43" t="str">
        <x:v>3.904167882318177e-07</x:v>
      </x:c>
      <x:c r="AB145" s="23" t="str">
        <x:v>Candidate surface form is directly representable in the public Ngram interface. New unsmoothed 1842–2022 series retrieved for the candidate audit.</x:v>
      </x:c>
    </x:row>
    <x:row r="146" ht="19" customHeight="1">
      <x:c r="A146" s="20" t="str">
        <x:v>FT-SEED-R1B-P-2015-25</x:v>
      </x:c>
      <x:c r="B146" s="22" t="str">
        <x:v>2015</x:v>
      </x:c>
      <x:c r="C146" s="22" t="str">
        <x:v>25</x:v>
      </x:c>
      <x:c r="D146" s="21" t="str">
        <x:v>very worried</x:v>
      </x:c>
      <x:c r="E146" s="22" t="str">
        <x:v>worry</x:v>
      </x:c>
      <x:c r="F146" s="21" t="str">
        <x:v>very worried</x:v>
      </x:c>
      <x:c r="G146" s="22" t="str">
        <x:v>EXACT</x:v>
      </x:c>
      <x:c r="H146" s="21" t="str">
        <x:v>SUCCEEDED_REUSED_BASELINE</x:v>
      </x:c>
      <x:c r="I146" s="21" t="str">
        <x:v>FT-Q-P180-D1BF7C1461D4</x:v>
      </x:c>
      <x:c r="J146" s="22" t="str">
        <x:v>1842</x:v>
      </x:c>
      <x:c r="K146" s="22" t="str">
        <x:v>2022</x:v>
      </x:c>
      <x:c r="L146" s="22" t="str">
        <x:v>1843</x:v>
      </x:c>
      <x:c r="M146" s="22" t="str">
        <x:v>167</x:v>
      </x:c>
      <x:c r="N146" s="22" t="str">
        <x:v>2020</x:v>
      </x:c>
      <x:c r="O146" s="43" t="str">
        <x:v>1.237675283025097e-06</x:v>
      </x:c>
      <x:c r="P146" s="43" t="str">
        <x:v>4.244305496919898e-07</x:v>
      </x:c>
      <x:c r="Q146" s="43" t="str">
        <x:v>4.109526408104432e-07</x:v>
      </x:c>
      <x:c r="R146" s="43" t="str">
        <x:v>4.244305496919898e-07</x:v>
      </x:c>
      <x:c r="S146" s="43" t="str">
        <x:v>4.306732870051899e-07</x:v>
      </x:c>
      <x:c r="T146" s="43" t="str">
        <x:v>0.0</x:v>
      </x:c>
      <x:c r="U146" s="43" t="str">
        <x:v>5.7579301035448616e-08</x:v>
      </x:c>
      <x:c r="V146" s="43" t="str">
        <x:v>1.573942034760467e-07</x:v>
      </x:c>
      <x:c r="W146" s="43" t="str">
        <x:v>2.430551577989326e-07</x:v>
      </x:c>
      <x:c r="X146" s="43" t="str">
        <x:v>2.654000055557493e-07</x:v>
      </x:c>
      <x:c r="Y146" s="43" t="str">
        <x:v>2.5422758167734094e-07</x:v>
      </x:c>
      <x:c r="Z146" s="43" t="str">
        <x:v>4.244305496919898e-07</x:v>
      </x:c>
      <x:c r="AA146" s="43" t="str">
        <x:v>3.79268325273463e-07</x:v>
      </x:c>
      <x:c r="AB146" s="23" t="str">
        <x:v>Candidate surface form is directly representable in the public Ngram interface. Complete 1842–2022 unsmoothed series reused from the audited quantitative-v0.1 baseline.</x:v>
      </x:c>
    </x:row>
    <x:row r="147" ht="19" customHeight="1">
      <x:c r="A147" s="20" t="str">
        <x:v>FT-SEED-R1B-P-2015-26</x:v>
      </x:c>
      <x:c r="B147" s="22" t="str">
        <x:v>2015</x:v>
      </x:c>
      <x:c r="C147" s="22" t="str">
        <x:v>26</x:v>
      </x:c>
      <x:c r="D147" s="21" t="str">
        <x:v>somewhat worried</x:v>
      </x:c>
      <x:c r="E147" s="22" t="str">
        <x:v>worry</x:v>
      </x:c>
      <x:c r="F147" s="21" t="str">
        <x:v>somewhat worried</x:v>
      </x:c>
      <x:c r="G147" s="22" t="str">
        <x:v>EXACT</x:v>
      </x:c>
      <x:c r="H147" s="21" t="str">
        <x:v>SUCCEEDED_REUSED_BASELINE</x:v>
      </x:c>
      <x:c r="I147" s="21" t="str">
        <x:v>FT-Q-P180-1446D842EC85</x:v>
      </x:c>
      <x:c r="J147" s="22" t="str">
        <x:v>1842</x:v>
      </x:c>
      <x:c r="K147" s="22" t="str">
        <x:v>2022</x:v>
      </x:c>
      <x:c r="L147" s="22" t="str">
        <x:v>1842</x:v>
      </x:c>
      <x:c r="M147" s="22" t="str">
        <x:v>172</x:v>
      </x:c>
      <x:c r="N147" s="22" t="str">
        <x:v>2020</x:v>
      </x:c>
      <x:c r="O147" s="43" t="str">
        <x:v>1.0021906679189008e-07</x:v>
      </x:c>
      <x:c r="P147" s="43" t="str">
        <x:v>1.5691974161041733e-08</x:v>
      </x:c>
      <x:c r="Q147" s="43" t="str">
        <x:v>1.5353693271630275e-08</x:v>
      </x:c>
      <x:c r="R147" s="43" t="str">
        <x:v>1.544136932901674e-08</x:v>
      </x:c>
      <x:c r="S147" s="43" t="str">
        <x:v>1.5691974161041733e-08</x:v>
      </x:c>
      <x:c r="T147" s="43" t="str">
        <x:v>1.289976681029259e-09</x:v>
      </x:c>
      <x:c r="U147" s="43" t="str">
        <x:v>1.0468963806964382e-08</x:v>
      </x:c>
      <x:c r="V147" s="43" t="str">
        <x:v>8.686541097535638e-09</x:v>
      </x:c>
      <x:c r="W147" s="43" t="str">
        <x:v>1.1903247387756721e-08</x:v>
      </x:c>
      <x:c r="X147" s="43" t="str">
        <x:v>1.2413218744566912e-08</x:v>
      </x:c>
      <x:c r="Y147" s="43" t="str">
        <x:v>1.2158233066161817e-08</x:v>
      </x:c>
      <x:c r="Z147" s="43" t="str">
        <x:v>1.5691974161041733e-08</x:v>
      </x:c>
      <x:c r="AA147" s="43" t="str">
        <x:v>1.6988106976700834e-08</x:v>
      </x:c>
      <x:c r="AB147" s="23" t="str">
        <x:v>Candidate surface form is directly representable in the public Ngram interface. Complete 1842–2022 unsmoothed series reused from the audited quantitative-v0.1 baseline.</x:v>
      </x:c>
    </x:row>
    <x:row r="148" ht="19" customHeight="1">
      <x:c r="A148" s="20" t="str">
        <x:v>FT-SEED-R1B-P-2015-27</x:v>
      </x:c>
      <x:c r="B148" s="22" t="str">
        <x:v>2015</x:v>
      </x:c>
      <x:c r="C148" s="22" t="str">
        <x:v>27</x:v>
      </x:c>
      <x:c r="D148" s="21" t="str">
        <x:v>very serious problem</x:v>
      </x:c>
      <x:c r="E148" s="22" t="str">
        <x:v>harm_loss_consequences</x:v>
      </x:c>
      <x:c r="F148" s="21" t="str">
        <x:v>very serious problem</x:v>
      </x:c>
      <x:c r="G148" s="22" t="str">
        <x:v>EXACT</x:v>
      </x:c>
      <x:c r="H148" s="21" t="str">
        <x:v>SUCCEEDED_NEW</x:v>
      </x:c>
      <x:c r="I148" s="21" t="str">
        <x:v>FT-Q-P180-A0EB09D33170</x:v>
      </x:c>
      <x:c r="J148" s="22" t="str">
        <x:v>1842</x:v>
      </x:c>
      <x:c r="K148" s="22" t="str">
        <x:v>2022</x:v>
      </x:c>
      <x:c r="L148" s="22" t="str">
        <x:v>1847</x:v>
      </x:c>
      <x:c r="M148" s="22" t="str">
        <x:v>164</x:v>
      </x:c>
      <x:c r="N148" s="22" t="str">
        <x:v>1970</x:v>
      </x:c>
      <x:c r="O148" s="43" t="str">
        <x:v>2.437142834904593e-07</x:v>
      </x:c>
      <x:c r="P148" s="43" t="str">
        <x:v>5.5235472331410795e-08</x:v>
      </x:c>
      <x:c r="Q148" s="43" t="str">
        <x:v>5.2916150271771954e-08</x:v>
      </x:c>
      <x:c r="R148" s="43" t="str">
        <x:v>5.5235472331410795e-08</x:v>
      </x:c>
      <x:c r="S148" s="43" t="str">
        <x:v>5.608943045090631e-08</x:v>
      </x:c>
      <x:c r="T148" s="43" t="str">
        <x:v>0.0</x:v>
      </x:c>
      <x:c r="U148" s="43" t="str">
        <x:v>1.3225830139407257e-07</x:v>
      </x:c>
      <x:c r="V148" s="43" t="str">
        <x:v>1.6596494885334767e-07</x:v>
      </x:c>
      <x:c r="W148" s="43" t="str">
        <x:v>6.921257910547096e-08</x:v>
      </x:c>
      <x:c r="X148" s="43" t="str">
        <x:v>7.220656612905163e-08</x:v>
      </x:c>
      <x:c r="Y148" s="43" t="str">
        <x:v>7.07095726172613e-08</x:v>
      </x:c>
      <x:c r="Z148" s="43" t="str">
        <x:v>5.5235472331410795e-08</x:v>
      </x:c>
      <x:c r="AA148" s="43" t="str">
        <x:v>3.684559933547771e-08</x:v>
      </x:c>
      <x:c r="AB148" s="23" t="str">
        <x:v>Candidate surface form is directly representable in the public Ngram interface. New unsmoothed 1842–2022 series retrieved for the candidate audit.</x:v>
      </x:c>
    </x:row>
    <x:row r="149" ht="19" customHeight="1">
      <x:c r="A149" s="20" t="str">
        <x:v>FT-SEED-R1B-P-2015-28</x:v>
      </x:c>
      <x:c r="B149" s="22" t="str">
        <x:v>2015</x:v>
      </x:c>
      <x:c r="C149" s="22" t="str">
        <x:v>28</x:v>
      </x:c>
      <x:c r="D149" s="21" t="str">
        <x:v>harm them personally</x:v>
      </x:c>
      <x:c r="E149" s="22" t="str">
        <x:v>harm_loss_consequences</x:v>
      </x:c>
      <x:c r="F149" s="21" t="str">
        <x:v>harm them personally</x:v>
      </x:c>
      <x:c r="G149" s="22" t="str">
        <x:v>EXACT</x:v>
      </x:c>
      <x:c r="H149" s="21" t="str">
        <x:v>SUCCEEDED_NEW</x:v>
      </x:c>
      <x:c r="I149" s="21" t="str">
        <x:v>FT-Q-P180-548C3B05093C</x:v>
      </x:c>
      <x:c r="J149" s="22" t="str">
        <x:v>1842</x:v>
      </x:c>
      <x:c r="K149" s="22" t="str">
        <x:v>2022</x:v>
      </x:c>
      <x:c r="L149" s="22" t="str">
        <x:v>1878</x:v>
      </x:c>
      <x:c r="M149" s="22" t="str">
        <x:v>60</x:v>
      </x:c>
      <x:c r="N149" s="22" t="str">
        <x:v>1988</x:v>
      </x:c>
      <x:c r="O149" s="43" t="str">
        <x:v>2.4327109215960263e-09</x:v>
      </x:c>
      <x:c r="P149" s="43" t="str">
        <x:v>2.9992111572063607e-10</x:v>
      </x:c>
      <x:c r="Q149" s="43" t="str">
        <x:v>1.898051947094951e-10</x:v>
      </x:c>
      <x:c r="R149" s="43" t="str">
        <x:v>1.7378599947992512e-10</x:v>
      </x:c>
      <x:c r="S149" s="43" t="str">
        <x:v>2.9992111572063607e-10</x:v>
      </x:c>
      <x:c r="T149" s="43" t="str">
        <x:v>0.0</x:v>
      </x:c>
      <x:c r="U149" s="43" t="str">
        <x:v>0.0</x:v>
      </x:c>
      <x:c r="V149" s="43" t="str">
        <x:v>2.4327109215960263e-09</x:v>
      </x:c>
      <x:c r="W149" s="43" t="str">
        <x:v>4.954372329057932e-11</x:v>
      </x:c>
      <x:c r="X149" s="43" t="str">
        <x:v>1.4577368478985164e-10</x:v>
      </x:c>
      <x:c r="Y149" s="43" t="str">
        <x:v>9.765870404021548e-11</x:v>
      </x:c>
      <x:c r="Z149" s="43" t="str">
        <x:v>2.9992111572063607e-10</x:v>
      </x:c>
      <x:c r="AA149" s="43" t="str">
        <x:v>7.567774185091025e-10</x:v>
      </x:c>
      <x:c r="AB149" s="23" t="str">
        <x:v>Candidate surface form is directly representable in the public Ngram interface. New unsmoothed 1842–2022 series retrieved for the candidate audit.</x:v>
      </x:c>
    </x:row>
    <x:row r="150" ht="19" customHeight="1">
      <x:c r="A150" s="20" t="str">
        <x:v>FT-SEED-R1B-P-2015-29</x:v>
      </x:c>
      <x:c r="B150" s="22" t="str">
        <x:v>2015</x:v>
      </x:c>
      <x:c r="C150" s="22" t="str">
        <x:v>29</x:v>
      </x:c>
      <x:c r="D150" s="21" t="str">
        <x:v>drought or water shortages</x:v>
      </x:c>
      <x:c r="E150" s="22" t="str">
        <x:v>harm_loss_consequences</x:v>
      </x:c>
      <x:c r="F150" s="21" t="str">
        <x:v>drought or water shortages</x:v>
      </x:c>
      <x:c r="G150" s="22" t="str">
        <x:v>EXACT</x:v>
      </x:c>
      <x:c r="H150" s="21" t="str">
        <x:v>SUCCEEDED_NEW</x:v>
      </x:c>
      <x:c r="I150" s="21" t="str">
        <x:v>FT-Q-P180-AB6A4623A8E7</x:v>
      </x:c>
      <x:c r="J150" s="22" t="str">
        <x:v>1842</x:v>
      </x:c>
      <x:c r="K150" s="22" t="str">
        <x:v>2022</x:v>
      </x:c>
      <x:c r="L150" s="22" t="str">
        <x:v>1940</x:v>
      </x:c>
      <x:c r="M150" s="22" t="str">
        <x:v>34</x:v>
      </x:c>
      <x:c r="N150" s="22" t="str">
        <x:v>1943</x:v>
      </x:c>
      <x:c r="O150" s="43" t="str">
        <x:v>1.5119944185570944e-09</x:v>
      </x:c>
      <x:c r="P150" s="43" t="str">
        <x:v>1.0753667400997813e-10</x:v>
      </x:c>
      <x:c r="Q150" s="43" t="str">
        <x:v>6.857240816837695e-11</x:v>
      </x:c>
      <x:c r="R150" s="43" t="str">
        <x:v>5.141121903196044e-11</x:v>
      </x:c>
      <x:c r="S150" s="43" t="str">
        <x:v>1.0753667400997813e-10</x:v>
      </x:c>
      <x:c r="T150" s="43" t="str">
        <x:v>0.0</x:v>
      </x:c>
      <x:c r="U150" s="43" t="str">
        <x:v>0.0</x:v>
      </x:c>
      <x:c r="V150" s="43" t="str">
        <x:v>1.1951332978821227e-10</x:v>
      </x:c>
      <x:c r="W150" s="43" t="str">
        <x:v>5.397934182971298e-11</x:v>
      </x:c>
      <x:c r="X150" s="43" t="str">
        <x:v>5.28392399279376e-11</x:v>
      </x:c>
      <x:c r="Y150" s="43" t="str">
        <x:v>5.340929087882529e-11</x:v>
      </x:c>
      <x:c r="Z150" s="43" t="str">
        <x:v>1.0753667400997813e-10</x:v>
      </x:c>
      <x:c r="AA150" s="43" t="str">
        <x:v>5.08116812514281e-11</x:v>
      </x:c>
      <x:c r="AB150" s="23" t="str">
        <x:v>Candidate surface form is directly representable in the public Ngram interface. New unsmoothed 1842–2022 series retrieved for the candidate audit.</x:v>
      </x:c>
    </x:row>
    <x:row r="151" ht="19" customHeight="1">
      <x:c r="A151" s="20" t="str">
        <x:v>FT-SEED-R1B-P-2015-30</x:v>
      </x:c>
      <x:c r="B151" s="22" t="str">
        <x:v>2015</x:v>
      </x:c>
      <x:c r="C151" s="22" t="str">
        <x:v>30</x:v>
      </x:c>
      <x:c r="D151" s="21" t="str">
        <x:v>We are nature defending itself</x:v>
      </x:c>
      <x:c r="E151" s="22" t="str">
        <x:v>concern_alarm</x:v>
      </x:c>
      <x:c r="F151" s="21" t="str">
        <x:v>We are nature defending itself</x:v>
      </x:c>
      <x:c r="G151" s="22" t="str">
        <x:v>EXACT</x:v>
      </x:c>
      <x:c r="H151" s="21" t="str">
        <x:v>ZERO_RESPONSE_NEW</x:v>
      </x:c>
      <x:c r="I151" s="21" t="str">
        <x:v>FT-Q-P180-7519F55D198F</x:v>
      </x:c>
      <x:c r="J151" s="22" t="str">
        <x:v>1842</x:v>
      </x:c>
      <x:c r="K151" s="22" t="str">
        <x:v>2022</x:v>
      </x:c>
      <x:c r="L151" s="22" t="str"/>
      <x:c r="M151" s="22" t="str">
        <x:v>0</x:v>
      </x:c>
      <x:c r="N151" s="22" t="str"/>
      <x:c r="O151" s="43" t="str"/>
      <x:c r="P151" s="43" t="str"/>
      <x:c r="Q151" s="43" t="str"/>
      <x:c r="R151" s="43" t="str"/>
      <x:c r="S151" s="43" t="str"/>
      <x:c r="T151" s="43" t="str"/>
      <x:c r="U151" s="43" t="str"/>
      <x:c r="V151" s="43" t="str"/>
      <x:c r="W151" s="43" t="str"/>
      <x:c r="X151" s="43" t="str"/>
      <x:c r="Y151" s="43" t="str"/>
      <x:c r="Z151" s="43" t="str"/>
      <x:c r="AA151" s="43" t="str"/>
      <x:c r="AB151" s="23" t="str">
        <x:v>Candidate surface form is directly representable in the public Ngram interface. The public Ngram endpoint returned an empty list; retained without fabricating annual zero frequencies.</x:v>
      </x:c>
    </x:row>
    <x:row r="152" ht="19" customHeight="1">
      <x:c r="A152" s="20" t="str">
        <x:v>FT-SEED-R1B-P-2022-01</x:v>
      </x:c>
      <x:c r="B152" s="22" t="str">
        <x:v>2022</x:v>
      </x:c>
      <x:c r="C152" s="22" t="str">
        <x:v>1</x:v>
      </x:c>
      <x:c r="D152" s="21" t="str">
        <x:v>climate change</x:v>
      </x:c>
      <x:c r="E152" s="22" t="str">
        <x:v>climate</x:v>
      </x:c>
      <x:c r="F152" s="21" t="str">
        <x:v>climate change</x:v>
      </x:c>
      <x:c r="G152" s="22" t="str">
        <x:v>EXACT</x:v>
      </x:c>
      <x:c r="H152" s="21" t="str">
        <x:v>SUCCEEDED_REUSED_BASELINE</x:v>
      </x:c>
      <x:c r="I152" s="21" t="str">
        <x:v>FT-Q-V01-101</x:v>
      </x:c>
      <x:c r="J152" s="22" t="str">
        <x:v>1842</x:v>
      </x:c>
      <x:c r="K152" s="22" t="str">
        <x:v>2022</x:v>
      </x:c>
      <x:c r="L152" s="22" t="str">
        <x:v>1842</x:v>
      </x:c>
      <x:c r="M152" s="22" t="str">
        <x:v>180</x:v>
      </x:c>
      <x:c r="N152" s="22" t="str">
        <x:v>2022</x:v>
      </x:c>
      <x:c r="O152" s="43" t="str">
        <x:v>2.890008815206735e-05</x:v>
      </x:c>
      <x:c r="P152" s="43" t="str">
        <x:v>2.890008815206735e-05</x:v>
      </x:c>
      <x:c r="Q152" s="43" t="str">
        <x:v>2.869409079314829e-05</x:v>
      </x:c>
      <x:c r="R152" s="43" t="str">
        <x:v>2.869409079314829e-05</x:v>
      </x:c>
      <x:c r="S152" s="43" t="str">
        <x:v>2.890008815206735e-05</x:v>
      </x:c>
      <x:c r="T152" s="43" t="str">
        <x:v>5.159906557583582e-09</x:v>
      </x:c>
      <x:c r="U152" s="43" t="str">
        <x:v>2.5615549126278836e-09</x:v>
      </x:c>
      <x:c r="V152" s="43" t="str">
        <x:v>1.2407935109301493e-06</x:v>
      </x:c>
      <x:c r="W152" s="43" t="str">
        <x:v>8.716473492563492e-06</x:v>
      </x:c>
      <x:c r="X152" s="43" t="str">
        <x:v>1.3191383831559489e-05</x:v>
      </x:c>
      <x:c r="Y152" s="43" t="str">
        <x:v>1.095392866206149e-05</x:v>
      </x:c>
      <x:c r="Z152" s="43" t="str">
        <x:v>1.967096413684616e-05</x:v>
      </x:c>
      <x:c r="AA152" s="43" t="str">
        <x:v>2.890008815206735e-05</x:v>
      </x:c>
      <x:c r="AB152" s="23" t="str">
        <x:v>Candidate surface form is directly representable in the public Ngram interface. Complete 1842–2022 unsmoothed series reused from the audited quantitative-v0.1 baseline.</x:v>
      </x:c>
    </x:row>
    <x:row r="153" ht="19" customHeight="1">
      <x:c r="A153" s="20" t="str">
        <x:v>FT-SEED-R1B-P-2022-02</x:v>
      </x:c>
      <x:c r="B153" s="22" t="str">
        <x:v>2022</x:v>
      </x:c>
      <x:c r="C153" s="22" t="str">
        <x:v>2</x:v>
      </x:c>
      <x:c r="D153" s="21" t="str">
        <x:v>global warming</x:v>
      </x:c>
      <x:c r="E153" s="22" t="str">
        <x:v>warming</x:v>
      </x:c>
      <x:c r="F153" s="21" t="str">
        <x:v>global warming</x:v>
      </x:c>
      <x:c r="G153" s="22" t="str">
        <x:v>EXACT</x:v>
      </x:c>
      <x:c r="H153" s="21" t="str">
        <x:v>SUCCEEDED_REUSED_BASELINE</x:v>
      </x:c>
      <x:c r="I153" s="21" t="str">
        <x:v>FT-Q-V01-102</x:v>
      </x:c>
      <x:c r="J153" s="22" t="str">
        <x:v>1842</x:v>
      </x:c>
      <x:c r="K153" s="22" t="str">
        <x:v>2022</x:v>
      </x:c>
      <x:c r="L153" s="22" t="str">
        <x:v>1843</x:v>
      </x:c>
      <x:c r="M153" s="22" t="str">
        <x:v>138</x:v>
      </x:c>
      <x:c r="N153" s="22" t="str">
        <x:v>2009</x:v>
      </x:c>
      <x:c r="O153" s="43" t="str">
        <x:v>5.445639571555194e-06</x:v>
      </x:c>
      <x:c r="P153" s="43" t="str">
        <x:v>3.963670369644401e-06</x:v>
      </x:c>
      <x:c r="Q153" s="43" t="str">
        <x:v>4.0554877937144795e-06</x:v>
      </x:c>
      <x:c r="R153" s="43" t="str">
        <x:v>4.0554877937144795e-06</x:v>
      </x:c>
      <x:c r="S153" s="43" t="str">
        <x:v>4.147305217784558e-06</x:v>
      </x:c>
      <x:c r="T153" s="43" t="str">
        <x:v>0.0</x:v>
      </x:c>
      <x:c r="U153" s="43" t="str">
        <x:v>2.0046951182406403e-09</x:v>
      </x:c>
      <x:c r="V153" s="43" t="str">
        <x:v>6.400895369296222e-07</x:v>
      </x:c>
      <x:c r="W153" s="43" t="str">
        <x:v>3.3939363127816202e-06</x:v>
      </x:c>
      <x:c r="X153" s="43" t="str">
        <x:v>4.9616444240396795e-06</x:v>
      </x:c>
      <x:c r="Y153" s="43" t="str">
        <x:v>4.17779036841065e-06</x:v>
      </x:c>
      <x:c r="Z153" s="43" t="str">
        <x:v>3.293586607857474e-06</x:v>
      </x:c>
      <x:c r="AA153" s="43" t="str">
        <x:v>3.963670369644401e-06</x:v>
      </x:c>
      <x:c r="AB153" s="23" t="str">
        <x:v>Candidate surface form is directly representable in the public Ngram interface. Complete 1842–2022 unsmoothed series reused from the audited quantitative-v0.1 baseline.</x:v>
      </x:c>
    </x:row>
    <x:row r="154" ht="19" customHeight="1">
      <x:c r="A154" s="20" t="str">
        <x:v>FT-SEED-R1B-P-2022-03</x:v>
      </x:c>
      <x:c r="B154" s="22" t="str">
        <x:v>2022</x:v>
      </x:c>
      <x:c r="C154" s="22" t="str">
        <x:v>3</x:v>
      </x:c>
      <x:c r="D154" s="21" t="str">
        <x:v>very worried</x:v>
      </x:c>
      <x:c r="E154" s="22" t="str">
        <x:v>worry</x:v>
      </x:c>
      <x:c r="F154" s="21" t="str">
        <x:v>very worried</x:v>
      </x:c>
      <x:c r="G154" s="22" t="str">
        <x:v>EXACT</x:v>
      </x:c>
      <x:c r="H154" s="21" t="str">
        <x:v>SUCCEEDED_REUSED_BASELINE</x:v>
      </x:c>
      <x:c r="I154" s="21" t="str">
        <x:v>FT-Q-V01-103</x:v>
      </x:c>
      <x:c r="J154" s="22" t="str">
        <x:v>1842</x:v>
      </x:c>
      <x:c r="K154" s="22" t="str">
        <x:v>2022</x:v>
      </x:c>
      <x:c r="L154" s="22" t="str">
        <x:v>1843</x:v>
      </x:c>
      <x:c r="M154" s="22" t="str">
        <x:v>167</x:v>
      </x:c>
      <x:c r="N154" s="22" t="str">
        <x:v>2020</x:v>
      </x:c>
      <x:c r="O154" s="43" t="str">
        <x:v>1.237675283025097e-06</x:v>
      </x:c>
      <x:c r="P154" s="43" t="str">
        <x:v>3.79268325273463e-07</x:v>
      </x:c>
      <x:c r="Q154" s="43" t="str">
        <x:v>3.800947214332995e-07</x:v>
      </x:c>
      <x:c r="R154" s="43" t="str">
        <x:v>3.800947214332995e-07</x:v>
      </x:c>
      <x:c r="S154" s="43" t="str">
        <x:v>3.8092111759313596e-07</x:v>
      </x:c>
      <x:c r="T154" s="43" t="str">
        <x:v>0.0</x:v>
      </x:c>
      <x:c r="U154" s="43" t="str">
        <x:v>5.7579301035448616e-08</x:v>
      </x:c>
      <x:c r="V154" s="43" t="str">
        <x:v>1.573942034760467e-07</x:v>
      </x:c>
      <x:c r="W154" s="43" t="str">
        <x:v>2.430551577989326e-07</x:v>
      </x:c>
      <x:c r="X154" s="43" t="str">
        <x:v>2.654000055557493e-07</x:v>
      </x:c>
      <x:c r="Y154" s="43" t="str">
        <x:v>2.5422758167734094e-07</x:v>
      </x:c>
      <x:c r="Z154" s="43" t="str">
        <x:v>4.244305496919898e-07</x:v>
      </x:c>
      <x:c r="AA154" s="43" t="str">
        <x:v>3.79268325273463e-07</x:v>
      </x:c>
      <x:c r="AB154" s="23" t="str">
        <x:v>Candidate surface form is directly representable in the public Ngram interface. Complete 1842–2022 unsmoothed series reused from the audited quantitative-v0.1 baseline.</x:v>
      </x:c>
    </x:row>
    <x:row r="155" ht="19" customHeight="1">
      <x:c r="A155" s="20" t="str">
        <x:v>FT-SEED-R1B-P-2022-04</x:v>
      </x:c>
      <x:c r="B155" s="22" t="str">
        <x:v>2022</x:v>
      </x:c>
      <x:c r="C155" s="22" t="str">
        <x:v>4</x:v>
      </x:c>
      <x:c r="D155" s="21" t="str">
        <x:v>somewhat worried</x:v>
      </x:c>
      <x:c r="E155" s="22" t="str">
        <x:v>worry</x:v>
      </x:c>
      <x:c r="F155" s="21" t="str">
        <x:v>somewhat worried</x:v>
      </x:c>
      <x:c r="G155" s="22" t="str">
        <x:v>EXACT</x:v>
      </x:c>
      <x:c r="H155" s="21" t="str">
        <x:v>SUCCEEDED_REUSED_BASELINE</x:v>
      </x:c>
      <x:c r="I155" s="21" t="str">
        <x:v>FT-Q-V01-104</x:v>
      </x:c>
      <x:c r="J155" s="22" t="str">
        <x:v>1842</x:v>
      </x:c>
      <x:c r="K155" s="22" t="str">
        <x:v>2022</x:v>
      </x:c>
      <x:c r="L155" s="22" t="str">
        <x:v>1842</x:v>
      </x:c>
      <x:c r="M155" s="22" t="str">
        <x:v>172</x:v>
      </x:c>
      <x:c r="N155" s="22" t="str">
        <x:v>2020</x:v>
      </x:c>
      <x:c r="O155" s="43" t="str">
        <x:v>1.0021906679189008e-07</x:v>
      </x:c>
      <x:c r="P155" s="43" t="str">
        <x:v>1.6988106976700834e-08</x:v>
      </x:c>
      <x:c r="Q155" s="43" t="str">
        <x:v>1.6607363815743237e-08</x:v>
      </x:c>
      <x:c r="R155" s="43" t="str">
        <x:v>1.6607363815743237e-08</x:v>
      </x:c>
      <x:c r="S155" s="43" t="str">
        <x:v>1.6988106976700834e-08</x:v>
      </x:c>
      <x:c r="T155" s="43" t="str">
        <x:v>1.289976681029259e-09</x:v>
      </x:c>
      <x:c r="U155" s="43" t="str">
        <x:v>1.0468963806964382e-08</x:v>
      </x:c>
      <x:c r="V155" s="43" t="str">
        <x:v>8.686541097535638e-09</x:v>
      </x:c>
      <x:c r="W155" s="43" t="str">
        <x:v>1.1903247387756721e-08</x:v>
      </x:c>
      <x:c r="X155" s="43" t="str">
        <x:v>1.2413218744566912e-08</x:v>
      </x:c>
      <x:c r="Y155" s="43" t="str">
        <x:v>1.2158233066161817e-08</x:v>
      </x:c>
      <x:c r="Z155" s="43" t="str">
        <x:v>1.5691974161041733e-08</x:v>
      </x:c>
      <x:c r="AA155" s="43" t="str">
        <x:v>1.6988106976700834e-08</x:v>
      </x:c>
      <x:c r="AB155" s="23" t="str">
        <x:v>Candidate surface form is directly representable in the public Ngram interface. Complete 1842–2022 unsmoothed series reused from the audited quantitative-v0.1 baseline.</x:v>
      </x:c>
    </x:row>
    <x:row r="156" ht="19" customHeight="1">
      <x:c r="A156" s="20" t="str">
        <x:v>FT-SEED-R1B-P-2022-05</x:v>
      </x:c>
      <x:c r="B156" s="22" t="str">
        <x:v>2022</x:v>
      </x:c>
      <x:c r="C156" s="22" t="str">
        <x:v>5</x:v>
      </x:c>
      <x:c r="D156" s="21" t="str">
        <x:v>afraid</x:v>
      </x:c>
      <x:c r="E156" s="22" t="str">
        <x:v>fear_afraid</x:v>
      </x:c>
      <x:c r="F156" s="21" t="str">
        <x:v>afraid</x:v>
      </x:c>
      <x:c r="G156" s="22" t="str">
        <x:v>EXACT</x:v>
      </x:c>
      <x:c r="H156" s="21" t="str">
        <x:v>SUCCEEDED_REUSED_BASELINE</x:v>
      </x:c>
      <x:c r="I156" s="21" t="str">
        <x:v>FT-Q-V01-105</x:v>
      </x:c>
      <x:c r="J156" s="22" t="str">
        <x:v>1842</x:v>
      </x:c>
      <x:c r="K156" s="22" t="str">
        <x:v>2022</x:v>
      </x:c>
      <x:c r="L156" s="22" t="str">
        <x:v>1842</x:v>
      </x:c>
      <x:c r="M156" s="22" t="str">
        <x:v>181</x:v>
      </x:c>
      <x:c r="N156" s="22" t="str">
        <x:v>2020</x:v>
      </x:c>
      <x:c r="O156" s="43" t="str">
        <x:v>7.990909915633893e-05</x:v>
      </x:c>
      <x:c r="P156" s="43" t="str">
        <x:v>4.2338097898834276e-05</x:v>
      </x:c>
      <x:c r="Q156" s="43" t="str">
        <x:v>4.088140822501238e-05</x:v>
      </x:c>
      <x:c r="R156" s="43" t="str">
        <x:v>4.088140822501238e-05</x:v>
      </x:c>
      <x:c r="S156" s="43" t="str">
        <x:v>4.2338097898834276e-05</x:v>
      </x:c>
      <x:c r="T156" s="43" t="str">
        <x:v>2.2121682565767742e-05</x:v>
      </x:c>
      <x:c r="U156" s="43" t="str">
        <x:v>1.4005590038834725e-05</x:v>
      </x:c>
      <x:c r="V156" s="43" t="str">
        <x:v>1.09846374348882e-05</x:v>
      </x:c>
      <x:c r="W156" s="43" t="str">
        <x:v>1.9768807746345374e-05</x:v>
      </x:c>
      <x:c r="X156" s="43" t="str">
        <x:v>2.159649101456107e-05</x:v>
      </x:c>
      <x:c r="Y156" s="43" t="str">
        <x:v>2.0682649380453222e-05</x:v>
      </x:c>
      <x:c r="Z156" s="43" t="str">
        <x:v>4.288384451456295e-05</x:v>
      </x:c>
      <x:c r="AA156" s="43" t="str">
        <x:v>4.2338097898834276e-05</x:v>
      </x:c>
      <x:c r="AB156" s="23" t="str">
        <x:v>Candidate surface form is directly representable in the public Ngram interface. Complete 1842–2022 unsmoothed series reused from the audited quantitative-v0.1 baseline.</x:v>
      </x:c>
    </x:row>
    <x:row r="157" ht="19" customHeight="1">
      <x:c r="A157" s="20" t="str">
        <x:v>FT-SEED-R1B-P-2022-06</x:v>
      </x:c>
      <x:c r="B157" s="22" t="str">
        <x:v>2022</x:v>
      </x:c>
      <x:c r="C157" s="22" t="str">
        <x:v>6</x:v>
      </x:c>
      <x:c r="D157" s="21" t="str">
        <x:v>anxious</x:v>
      </x:c>
      <x:c r="E157" s="22" t="str">
        <x:v>anxiety</x:v>
      </x:c>
      <x:c r="F157" s="21" t="str">
        <x:v>anxious</x:v>
      </x:c>
      <x:c r="G157" s="22" t="str">
        <x:v>EXACT</x:v>
      </x:c>
      <x:c r="H157" s="21" t="str">
        <x:v>SUCCEEDED_REUSED_BASELINE</x:v>
      </x:c>
      <x:c r="I157" s="21" t="str">
        <x:v>FT-Q-V01-106</x:v>
      </x:c>
      <x:c r="J157" s="22" t="str">
        <x:v>1842</x:v>
      </x:c>
      <x:c r="K157" s="22" t="str">
        <x:v>2022</x:v>
      </x:c>
      <x:c r="L157" s="22" t="str">
        <x:v>1842</x:v>
      </x:c>
      <x:c r="M157" s="22" t="str">
        <x:v>181</x:v>
      </x:c>
      <x:c r="N157" s="22" t="str">
        <x:v>1844</x:v>
      </x:c>
      <x:c r="O157" s="43" t="str">
        <x:v>4.193757599324499e-05</x:v>
      </x:c>
      <x:c r="P157" s="43" t="str">
        <x:v>1.7530547914985928e-05</x:v>
      </x:c>
      <x:c r="Q157" s="43" t="str">
        <x:v>1.608468696928829e-05</x:v>
      </x:c>
      <x:c r="R157" s="43" t="str">
        <x:v>1.608468696928829e-05</x:v>
      </x:c>
      <x:c r="S157" s="43" t="str">
        <x:v>1.7530547914985928e-05</x:v>
      </x:c>
      <x:c r="T157" s="43" t="str">
        <x:v>3.8699258364971456e-05</x:v>
      </x:c>
      <x:c r="U157" s="43" t="str">
        <x:v>1.1306160757840189e-05</x:v>
      </x:c>
      <x:c r="V157" s="43" t="str">
        <x:v>6.107358935025786e-06</x:v>
      </x:c>
      <x:c r="W157" s="43" t="str">
        <x:v>8.508186313434252e-06</x:v>
      </x:c>
      <x:c r="X157" s="43" t="str">
        <x:v>9.368124114672582e-06</x:v>
      </x:c>
      <x:c r="Y157" s="43" t="str">
        <x:v>8.938155214053417e-06</x:v>
      </x:c>
      <x:c r="Z157" s="43" t="str">
        <x:v>1.4822052108343087e-05</x:v>
      </x:c>
      <x:c r="AA157" s="43" t="str">
        <x:v>1.7530547914985928e-05</x:v>
      </x:c>
      <x:c r="AB157" s="23" t="str">
        <x:v>Candidate surface form is directly representable in the public Ngram interface. Complete 1842–2022 unsmoothed series reused from the audited quantitative-v0.1 baseline.</x:v>
      </x:c>
    </x:row>
    <x:row r="158" ht="19" customHeight="1">
      <x:c r="A158" s="20" t="str">
        <x:v>FT-SEED-R1B-P-2022-07</x:v>
      </x:c>
      <x:c r="B158" s="22" t="str">
        <x:v>2022</x:v>
      </x:c>
      <x:c r="C158" s="22" t="str">
        <x:v>7</x:v>
      </x:c>
      <x:c r="D158" s="21" t="str">
        <x:v>hopeless</x:v>
      </x:c>
      <x:c r="E158" s="22" t="str">
        <x:v>distress_depression</x:v>
      </x:c>
      <x:c r="F158" s="21" t="str">
        <x:v>hopeless</x:v>
      </x:c>
      <x:c r="G158" s="22" t="str">
        <x:v>EXACT</x:v>
      </x:c>
      <x:c r="H158" s="21" t="str">
        <x:v>SUCCEEDED_REUSED_BASELINE</x:v>
      </x:c>
      <x:c r="I158" s="21" t="str">
        <x:v>FT-Q-V01-107</x:v>
      </x:c>
      <x:c r="J158" s="22" t="str">
        <x:v>1842</x:v>
      </x:c>
      <x:c r="K158" s="22" t="str">
        <x:v>2022</x:v>
      </x:c>
      <x:c r="L158" s="22" t="str">
        <x:v>1842</x:v>
      </x:c>
      <x:c r="M158" s="22" t="str">
        <x:v>181</x:v>
      </x:c>
      <x:c r="N158" s="22" t="str">
        <x:v>1848</x:v>
      </x:c>
      <x:c r="O158" s="43" t="str">
        <x:v>8.843983238193687e-06</x:v>
      </x:c>
      <x:c r="P158" s="43" t="str">
        <x:v>4.716772487256549e-06</x:v>
      </x:c>
      <x:c r="Q158" s="43" t="str">
        <x:v>4.3393091004872986e-06</x:v>
      </x:c>
      <x:c r="R158" s="43" t="str">
        <x:v>4.3393091004872986e-06</x:v>
      </x:c>
      <x:c r="S158" s="43" t="str">
        <x:v>4.716772487256549e-06</x:v>
      </x:c>
      <x:c r="T158" s="43" t="str">
        <x:v>7.7498279829058e-06</x:v>
      </x:c>
      <x:c r="U158" s="43" t="str">
        <x:v>3.078077401852397e-06</x:v>
      </x:c>
      <x:c r="V158" s="43" t="str">
        <x:v>1.5741959904502778e-06</x:v>
      </x:c>
      <x:c r="W158" s="43" t="str">
        <x:v>2.3668836135470883e-06</x:v>
      </x:c>
      <x:c r="X158" s="43" t="str">
        <x:v>2.6035962257253686e-06</x:v>
      </x:c>
      <x:c r="Y158" s="43" t="str">
        <x:v>2.4852399196362285e-06</x:v>
      </x:c>
      <x:c r="Z158" s="43" t="str">
        <x:v>4.200327168746298e-06</x:v>
      </x:c>
      <x:c r="AA158" s="43" t="str">
        <x:v>4.716772487256549e-06</x:v>
      </x:c>
      <x:c r="AB158" s="23" t="str">
        <x:v>Candidate surface form is directly representable in the public Ngram interface. Complete 1842–2022 unsmoothed series reused from the audited quantitative-v0.1 baseline.</x:v>
      </x:c>
    </x:row>
    <x:row r="159" ht="19" customHeight="1">
      <x:c r="A159" s="20" t="str">
        <x:v>FT-SEED-R1B-P-2022-08</x:v>
      </x:c>
      <x:c r="B159" s="22" t="str">
        <x:v>2022</x:v>
      </x:c>
      <x:c r="C159" s="22" t="str">
        <x:v>8</x:v>
      </x:c>
      <x:c r="D159" s="21" t="str">
        <x:v>sad</x:v>
      </x:c>
      <x:c r="E159" s="22" t="str">
        <x:v>distress_depression</x:v>
      </x:c>
      <x:c r="F159" s="21" t="str">
        <x:v>sad</x:v>
      </x:c>
      <x:c r="G159" s="22" t="str">
        <x:v>EXACT</x:v>
      </x:c>
      <x:c r="H159" s="21" t="str">
        <x:v>SUCCEEDED_REUSED_BASELINE</x:v>
      </x:c>
      <x:c r="I159" s="21" t="str">
        <x:v>FT-Q-V01-108</x:v>
      </x:c>
      <x:c r="J159" s="22" t="str">
        <x:v>1842</x:v>
      </x:c>
      <x:c r="K159" s="22" t="str">
        <x:v>2022</x:v>
      </x:c>
      <x:c r="L159" s="22" t="str">
        <x:v>1842</x:v>
      </x:c>
      <x:c r="M159" s="22" t="str">
        <x:v>181</x:v>
      </x:c>
      <x:c r="N159" s="22" t="str">
        <x:v>1850</x:v>
      </x:c>
      <x:c r="O159" s="43" t="str">
        <x:v>3.509316660199602e-05</x:v>
      </x:c>
      <x:c r="P159" s="43" t="str">
        <x:v>2.540873449891415e-05</x:v>
      </x:c>
      <x:c r="Q159" s="43" t="str">
        <x:v>2.4303538081332787e-05</x:v>
      </x:c>
      <x:c r="R159" s="43" t="str">
        <x:v>2.4303538081332787e-05</x:v>
      </x:c>
      <x:c r="S159" s="43" t="str">
        <x:v>2.540873449891415e-05</x:v>
      </x:c>
      <x:c r="T159" s="43" t="str">
        <x:v>2.8106813502404293e-05</x:v>
      </x:c>
      <x:c r="U159" s="43" t="str">
        <x:v>7.116686279312612e-06</x:v>
      </x:c>
      <x:c r="V159" s="43" t="str">
        <x:v>7.082451503964693e-06</x:v>
      </x:c>
      <x:c r="W159" s="43" t="str">
        <x:v>1.2702324528133385e-05</x:v>
      </x:c>
      <x:c r="X159" s="43" t="str">
        <x:v>1.3578995950960793e-05</x:v>
      </x:c>
      <x:c r="Y159" s="43" t="str">
        <x:v>1.3140660239547089e-05</x:v>
      </x:c>
      <x:c r="Z159" s="43" t="str">
        <x:v>2.244314198969477e-05</x:v>
      </x:c>
      <x:c r="AA159" s="43" t="str">
        <x:v>2.540873449891415e-05</x:v>
      </x:c>
      <x:c r="AB159" s="23" t="str">
        <x:v>Candidate surface form is directly representable in the public Ngram interface. Complete 1842–2022 unsmoothed series reused from the audited quantitative-v0.1 baseline.</x:v>
      </x:c>
    </x:row>
    <x:row r="160" ht="19" customHeight="1">
      <x:c r="A160" s="20" t="str">
        <x:v>FT-SEED-R1B-P-2022-09</x:v>
      </x:c>
      <x:c r="B160" s="22" t="str">
        <x:v>2022</x:v>
      </x:c>
      <x:c r="C160" s="22" t="str">
        <x:v>9</x:v>
      </x:c>
      <x:c r="D160" s="21" t="str">
        <x:v>angry</x:v>
      </x:c>
      <x:c r="E160" s="22" t="str">
        <x:v>distress_depression</x:v>
      </x:c>
      <x:c r="F160" s="21" t="str">
        <x:v>angry</x:v>
      </x:c>
      <x:c r="G160" s="22" t="str">
        <x:v>EXACT</x:v>
      </x:c>
      <x:c r="H160" s="21" t="str">
        <x:v>SUCCEEDED_REUSED_BASELINE</x:v>
      </x:c>
      <x:c r="I160" s="21" t="str">
        <x:v>FT-Q-V01-109</x:v>
      </x:c>
      <x:c r="J160" s="22" t="str">
        <x:v>1842</x:v>
      </x:c>
      <x:c r="K160" s="22" t="str">
        <x:v>2022</x:v>
      </x:c>
      <x:c r="L160" s="22" t="str">
        <x:v>1842</x:v>
      </x:c>
      <x:c r="M160" s="22" t="str">
        <x:v>181</x:v>
      </x:c>
      <x:c r="N160" s="22" t="str">
        <x:v>2020</x:v>
      </x:c>
      <x:c r="O160" s="43" t="str">
        <x:v>5.484382637632734e-05</x:v>
      </x:c>
      <x:c r="P160" s="43" t="str">
        <x:v>3.134844381236235e-05</x:v>
      </x:c>
      <x:c r="Q160" s="43" t="str">
        <x:v>3.0892590224596006e-05</x:v>
      </x:c>
      <x:c r="R160" s="43" t="str">
        <x:v>3.0892590224596006e-05</x:v>
      </x:c>
      <x:c r="S160" s="43" t="str">
        <x:v>3.134844381236235e-05</x:v>
      </x:c>
      <x:c r="T160" s="43" t="str">
        <x:v>1.4865800427088516e-05</x:v>
      </x:c>
      <x:c r="U160" s="43" t="str">
        <x:v>4.559940654402794e-06</x:v>
      </x:c>
      <x:c r="V160" s="43" t="str">
        <x:v>7.51778329544095e-06</x:v>
      </x:c>
      <x:c r="W160" s="43" t="str">
        <x:v>1.5383020354420296e-05</x:v>
      </x:c>
      <x:c r="X160" s="43" t="str">
        <x:v>1.6475908509505643e-05</x:v>
      </x:c>
      <x:c r="Y160" s="43" t="str">
        <x:v>1.592946443196297e-05</x:v>
      </x:c>
      <x:c r="Z160" s="43" t="str">
        <x:v>3.206412924328106e-05</x:v>
      </x:c>
      <x:c r="AA160" s="43" t="str">
        <x:v>3.134844381236235e-05</x:v>
      </x:c>
      <x:c r="AB160" s="23" t="str">
        <x:v>Candidate surface form is directly representable in the public Ngram interface. Complete 1842–2022 unsmoothed series reused from the audited quantitative-v0.1 baseline.</x:v>
      </x:c>
    </x:row>
    <x:row r="161" ht="19" customHeight="1">
      <x:c r="A161" s="20" t="str">
        <x:v>FT-SEED-R1B-P-2022-10</x:v>
      </x:c>
      <x:c r="B161" s="22" t="str">
        <x:v>2022</x:v>
      </x:c>
      <x:c r="C161" s="22" t="str">
        <x:v>10</x:v>
      </x:c>
      <x:c r="D161" s="21" t="str">
        <x:v>frustrated</x:v>
      </x:c>
      <x:c r="E161" s="22" t="str">
        <x:v>distress_depression</x:v>
      </x:c>
      <x:c r="F161" s="21" t="str">
        <x:v>frustrated</x:v>
      </x:c>
      <x:c r="G161" s="22" t="str">
        <x:v>EXACT</x:v>
      </x:c>
      <x:c r="H161" s="21" t="str">
        <x:v>SUCCEEDED_REUSED_BASELINE</x:v>
      </x:c>
      <x:c r="I161" s="21" t="str">
        <x:v>FT-Q-V01-110</x:v>
      </x:c>
      <x:c r="J161" s="22" t="str">
        <x:v>1842</x:v>
      </x:c>
      <x:c r="K161" s="22" t="str">
        <x:v>2022</x:v>
      </x:c>
      <x:c r="L161" s="22" t="str">
        <x:v>1842</x:v>
      </x:c>
      <x:c r="M161" s="22" t="str">
        <x:v>181</x:v>
      </x:c>
      <x:c r="N161" s="22" t="str">
        <x:v>2015</x:v>
      </x:c>
      <x:c r="O161" s="43" t="str">
        <x:v>8.185089514611832e-06</x:v>
      </x:c>
      <x:c r="P161" s="43" t="str">
        <x:v>7.597455986996238e-06</x:v>
      </x:c>
      <x:c r="Q161" s="43" t="str">
        <x:v>7.82013771072343e-06</x:v>
      </x:c>
      <x:c r="R161" s="43" t="str">
        <x:v>7.82013771072343e-06</x:v>
      </x:c>
      <x:c r="S161" s="43" t="str">
        <x:v>8.042819434450621e-06</x:v>
      </x:c>
      <x:c r="T161" s="43" t="str">
        <x:v>2.4721586702192155e-06</x:v>
      </x:c>
      <x:c r="U161" s="43" t="str">
        <x:v>9.431432204110024e-07</x:v>
      </x:c>
      <x:c r="V161" s="43" t="str">
        <x:v>3.289961124863794e-06</x:v>
      </x:c>
      <x:c r="W161" s="43" t="str">
        <x:v>5.059109890126479e-06</x:v>
      </x:c>
      <x:c r="X161" s="43" t="str">
        <x:v>5.217783510147456e-06</x:v>
      </x:c>
      <x:c r="Y161" s="43" t="str">
        <x:v>5.138446700136967e-06</x:v>
      </x:c>
      <x:c r="Z161" s="43" t="str">
        <x:v>8.185089514611832e-06</x:v>
      </x:c>
      <x:c r="AA161" s="43" t="str">
        <x:v>7.597455986996238e-06</x:v>
      </x:c>
      <x:c r="AB161" s="23" t="str">
        <x:v>Candidate surface form is directly representable in the public Ngram interface. Complete 1842–2022 unsmoothed series reused from the audited quantitative-v0.1 baseline.</x:v>
      </x:c>
    </x:row>
    <x:row r="162" ht="19" customHeight="1">
      <x:c r="A162" s="20" t="str">
        <x:v>FT-SEED-R1B-P-2022-11</x:v>
      </x:c>
      <x:c r="B162" s="22" t="str">
        <x:v>2022</x:v>
      </x:c>
      <x:c r="C162" s="22" t="str">
        <x:v>11</x:v>
      </x:c>
      <x:c r="D162" s="21" t="str">
        <x:v>hopeful</x:v>
      </x:c>
      <x:c r="E162" s="22" t="str">
        <x:v>concern_alarm</x:v>
      </x:c>
      <x:c r="F162" s="21" t="str">
        <x:v>hopeful</x:v>
      </x:c>
      <x:c r="G162" s="22" t="str">
        <x:v>EXACT</x:v>
      </x:c>
      <x:c r="H162" s="21" t="str">
        <x:v>SUCCEEDED_REUSED_BASELINE</x:v>
      </x:c>
      <x:c r="I162" s="21" t="str">
        <x:v>FT-Q-V01-111</x:v>
      </x:c>
      <x:c r="J162" s="22" t="str">
        <x:v>1842</x:v>
      </x:c>
      <x:c r="K162" s="22" t="str">
        <x:v>2022</x:v>
      </x:c>
      <x:c r="L162" s="22" t="str">
        <x:v>1842</x:v>
      </x:c>
      <x:c r="M162" s="22" t="str">
        <x:v>181</x:v>
      </x:c>
      <x:c r="N162" s="22" t="str">
        <x:v>1862</x:v>
      </x:c>
      <x:c r="O162" s="43" t="str">
        <x:v>5.405065621744143e-06</x:v>
      </x:c>
      <x:c r="P162" s="43" t="str">
        <x:v>4.994718922901598e-06</x:v>
      </x:c>
      <x:c r="Q162" s="43" t="str">
        <x:v>4.901949312241527e-06</x:v>
      </x:c>
      <x:c r="R162" s="43" t="str">
        <x:v>4.901949312241527e-06</x:v>
      </x:c>
      <x:c r="S162" s="43" t="str">
        <x:v>4.994718922901598e-06</x:v>
      </x:c>
      <x:c r="T162" s="43" t="str">
        <x:v>2.357188563451018e-06</x:v>
      </x:c>
      <x:c r="U162" s="43" t="str">
        <x:v>3.1940654032780458e-06</x:v>
      </x:c>
      <x:c r="V162" s="43" t="str">
        <x:v>2.021741480007222e-06</x:v>
      </x:c>
      <x:c r="W162" s="43" t="str">
        <x:v>2.6398039558728215e-06</x:v>
      </x:c>
      <x:c r="X162" s="43" t="str">
        <x:v>2.804317349003327e-06</x:v>
      </x:c>
      <x:c r="Y162" s="43" t="str">
        <x:v>2.722060652438074e-06</x:v>
      </x:c>
      <x:c r="Z162" s="43" t="str">
        <x:v>4.3814029169197966e-06</x:v>
      </x:c>
      <x:c r="AA162" s="43" t="str">
        <x:v>4.994718922901598e-06</x:v>
      </x:c>
      <x:c r="AB162" s="23" t="str">
        <x:v>Candidate surface form is directly representable in the public Ngram interface. Complete 1842–2022 unsmoothed series reused from the audited quantitative-v0.1 baseline.</x:v>
      </x:c>
    </x:row>
    <x:row r="163" ht="19" customHeight="1">
      <x:c r="A163" s="20" t="str">
        <x:v>FT-SEED-R1B-P-2022-12</x:v>
      </x:c>
      <x:c r="B163" s="22" t="str">
        <x:v>2022</x:v>
      </x:c>
      <x:c r="C163" s="22" t="str">
        <x:v>12</x:v>
      </x:c>
      <x:c r="D163" s="21" t="str">
        <x:v>disgusted</x:v>
      </x:c>
      <x:c r="E163" s="22" t="str">
        <x:v>distress_depression</x:v>
      </x:c>
      <x:c r="F163" s="21" t="str">
        <x:v>disgusted</x:v>
      </x:c>
      <x:c r="G163" s="22" t="str">
        <x:v>EXACT</x:v>
      </x:c>
      <x:c r="H163" s="21" t="str">
        <x:v>SUCCEEDED_REUSED_BASELINE</x:v>
      </x:c>
      <x:c r="I163" s="21" t="str">
        <x:v>FT-Q-V01-112</x:v>
      </x:c>
      <x:c r="J163" s="22" t="str">
        <x:v>1842</x:v>
      </x:c>
      <x:c r="K163" s="22" t="str">
        <x:v>2022</x:v>
      </x:c>
      <x:c r="L163" s="22" t="str">
        <x:v>1842</x:v>
      </x:c>
      <x:c r="M163" s="22" t="str">
        <x:v>181</x:v>
      </x:c>
      <x:c r="N163" s="22" t="str">
        <x:v>2020</x:v>
      </x:c>
      <x:c r="O163" s="43" t="str">
        <x:v>3.836883327501539e-06</x:v>
      </x:c>
      <x:c r="P163" s="43" t="str">
        <x:v>2.543607640959067e-06</x:v>
      </x:c>
      <x:c r="Q163" s="43" t="str">
        <x:v>2.4089870889199005e-06</x:v>
      </x:c>
      <x:c r="R163" s="43" t="str">
        <x:v>2.4089870889199005e-06</x:v>
      </x:c>
      <x:c r="S163" s="43" t="str">
        <x:v>2.543607640959067e-06</x:v>
      </x:c>
      <x:c r="T163" s="43" t="str">
        <x:v>2.7921279865950055e-06</x:v>
      </x:c>
      <x:c r="U163" s="43" t="str">
        <x:v>8.480208872896355e-07</x:v>
      </x:c>
      <x:c r="V163" s="43" t="str">
        <x:v>5.909761447986384e-07</x:v>
      </x:c>
      <x:c r="W163" s="43" t="str">
        <x:v>1.171719041792585e-06</x:v>
      </x:c>
      <x:c r="X163" s="43" t="str">
        <x:v>1.3191911287790958e-06</x:v>
      </x:c>
      <x:c r="Y163" s="43" t="str">
        <x:v>1.2454550852858404e-06</x:v>
      </x:c>
      <x:c r="Z163" s="43" t="str">
        <x:v>2.510783113862658e-06</x:v>
      </x:c>
      <x:c r="AA163" s="43" t="str">
        <x:v>2.543607640959067e-06</x:v>
      </x:c>
      <x:c r="AB163" s="23" t="str">
        <x:v>Candidate surface form is directly representable in the public Ngram interface. Complete 1842–2022 unsmoothed series reused from the audited quantitative-v0.1 baseline.</x:v>
      </x:c>
    </x:row>
    <x:row r="164" ht="19" customHeight="1">
      <x:c r="A164" s="20" t="str">
        <x:v>FT-SEED-R1B-P-2022-13</x:v>
      </x:c>
      <x:c r="B164" s="22" t="str">
        <x:v>2022</x:v>
      </x:c>
      <x:c r="C164" s="22" t="str">
        <x:v>13</x:v>
      </x:c>
      <x:c r="D164" s="21" t="str">
        <x:v>outraged</x:v>
      </x:c>
      <x:c r="E164" s="22" t="str">
        <x:v>distress_depression</x:v>
      </x:c>
      <x:c r="F164" s="21" t="str">
        <x:v>outraged</x:v>
      </x:c>
      <x:c r="G164" s="22" t="str">
        <x:v>EXACT</x:v>
      </x:c>
      <x:c r="H164" s="21" t="str">
        <x:v>SUCCEEDED_REUSED_BASELINE</x:v>
      </x:c>
      <x:c r="I164" s="21" t="str">
        <x:v>FT-Q-V01-113</x:v>
      </x:c>
      <x:c r="J164" s="22" t="str">
        <x:v>1842</x:v>
      </x:c>
      <x:c r="K164" s="22" t="str">
        <x:v>2022</x:v>
      </x:c>
      <x:c r="L164" s="22" t="str">
        <x:v>1842</x:v>
      </x:c>
      <x:c r="M164" s="22" t="str">
        <x:v>181</x:v>
      </x:c>
      <x:c r="N164" s="22" t="str">
        <x:v>2014</x:v>
      </x:c>
      <x:c r="O164" s="43" t="str">
        <x:v>2.010090121018493e-06</x:v>
      </x:c>
      <x:c r="P164" s="43" t="str">
        <x:v>1.70548937417081e-06</x:v>
      </x:c>
      <x:c r="Q164" s="43" t="str">
        <x:v>1.7016414597392782e-06</x:v>
      </x:c>
      <x:c r="R164" s="43" t="str">
        <x:v>1.7016414597392782e-06</x:v>
      </x:c>
      <x:c r="S164" s="43" t="str">
        <x:v>1.70548937417081e-06</x:v>
      </x:c>
      <x:c r="T164" s="43" t="str">
        <x:v>1.2543284819699352e-06</x:v>
      </x:c>
      <x:c r="U164" s="43" t="str">
        <x:v>6.021347390694487e-07</x:v>
      </x:c>
      <x:c r="V164" s="43" t="str">
        <x:v>8.586316730951893e-07</x:v>
      </x:c>
      <x:c r="W164" s="43" t="str">
        <x:v>1.2750747222511905e-06</x:v>
      </x:c>
      <x:c r="X164" s="43" t="str">
        <x:v>1.3733167913976274e-06</x:v>
      </x:c>
      <x:c r="Y164" s="43" t="str">
        <x:v>1.324195756824409e-06</x:v>
      </x:c>
      <x:c r="Z164" s="43" t="str">
        <x:v>1.9493254383995406e-06</x:v>
      </x:c>
      <x:c r="AA164" s="43" t="str">
        <x:v>1.70548937417081e-06</x:v>
      </x:c>
      <x:c r="AB164" s="23" t="str">
        <x:v>Candidate surface form is directly representable in the public Ngram interface. Complete 1842–2022 unsmoothed series reused from the audited quantitative-v0.1 baseline.</x:v>
      </x:c>
    </x:row>
    <x:row r="165" ht="19" customHeight="1">
      <x:c r="A165" s="20" t="str">
        <x:v>FT-SEED-R1B-P-2022-14</x:v>
      </x:c>
      <x:c r="B165" s="22" t="str">
        <x:v>2022</x:v>
      </x:c>
      <x:c r="C165" s="22" t="str">
        <x:v>14</x:v>
      </x:c>
      <x:c r="D165" s="21" t="str">
        <x:v>depressed</x:v>
      </x:c>
      <x:c r="E165" s="22" t="str">
        <x:v>distress_depression</x:v>
      </x:c>
      <x:c r="F165" s="21" t="str">
        <x:v>depressed</x:v>
      </x:c>
      <x:c r="G165" s="22" t="str">
        <x:v>EXACT</x:v>
      </x:c>
      <x:c r="H165" s="21" t="str">
        <x:v>SUCCEEDED_REUSED_BASELINE</x:v>
      </x:c>
      <x:c r="I165" s="21" t="str">
        <x:v>FT-Q-V01-114</x:v>
      </x:c>
      <x:c r="J165" s="22" t="str">
        <x:v>1842</x:v>
      </x:c>
      <x:c r="K165" s="22" t="str">
        <x:v>2022</x:v>
      </x:c>
      <x:c r="L165" s="22" t="str">
        <x:v>1842</x:v>
      </x:c>
      <x:c r="M165" s="22" t="str">
        <x:v>181</x:v>
      </x:c>
      <x:c r="N165" s="22" t="str">
        <x:v>1843</x:v>
      </x:c>
      <x:c r="O165" s="43" t="str">
        <x:v>1.1124992417066437e-05</x:v>
      </x:c>
      <x:c r="P165" s="43" t="str">
        <x:v>6.592711166319987e-06</x:v>
      </x:c>
      <x:c r="Q165" s="43" t="str">
        <x:v>6.748224906871769e-06</x:v>
      </x:c>
      <x:c r="R165" s="43" t="str">
        <x:v>6.748224906871769e-06</x:v>
      </x:c>
      <x:c r="S165" s="43" t="str">
        <x:v>6.903738647423552e-06</x:v>
      </x:c>
      <x:c r="T165" s="43" t="str">
        <x:v>9.307701199112728e-06</x:v>
      </x:c>
      <x:c r="U165" s="43" t="str">
        <x:v>6.043337837269291e-06</x:v>
      </x:c>
      <x:c r="V165" s="43" t="str">
        <x:v>7.711703084112287e-06</x:v>
      </x:c>
      <x:c r="W165" s="43" t="str">
        <x:v>6.793051444020648e-06</x:v>
      </x:c>
      <x:c r="X165" s="43" t="str">
        <x:v>7.274933071954592e-06</x:v>
      </x:c>
      <x:c r="Y165" s="43" t="str">
        <x:v>7.03399225798762e-06</x:v>
      </x:c>
      <x:c r="Z165" s="43" t="str">
        <x:v>7.909356614987928e-06</x:v>
      </x:c>
      <x:c r="AA165" s="43" t="str">
        <x:v>6.592711166319987e-06</x:v>
      </x:c>
      <x:c r="AB165" s="23" t="str">
        <x:v>Candidate surface form is directly representable in the public Ngram interface. Complete 1842–2022 unsmoothed series reused from the audited quantitative-v0.1 baseline.</x:v>
      </x:c>
    </x:row>
    <x:row r="166" ht="19" customHeight="1">
      <x:c r="A166" s="20" t="str">
        <x:v>FT-SEED-R1B-P-2022-15</x:v>
      </x:c>
      <x:c r="B166" s="22" t="str">
        <x:v>2022</x:v>
      </x:c>
      <x:c r="C166" s="22" t="str">
        <x:v>15</x:v>
      </x:c>
      <x:c r="D166" s="21" t="str">
        <x:v>symptoms of anxiety</x:v>
      </x:c>
      <x:c r="E166" s="22" t="str">
        <x:v>anxiety</x:v>
      </x:c>
      <x:c r="F166" s="21" t="str">
        <x:v>symptoms of anxiety</x:v>
      </x:c>
      <x:c r="G166" s="22" t="str">
        <x:v>EXACT</x:v>
      </x:c>
      <x:c r="H166" s="21" t="str">
        <x:v>SUCCEEDED_REUSED_BASELINE</x:v>
      </x:c>
      <x:c r="I166" s="21" t="str">
        <x:v>FT-Q-V01-115</x:v>
      </x:c>
      <x:c r="J166" s="22" t="str">
        <x:v>1842</x:v>
      </x:c>
      <x:c r="K166" s="22" t="str">
        <x:v>2022</x:v>
      </x:c>
      <x:c r="L166" s="22" t="str">
        <x:v>1842</x:v>
      </x:c>
      <x:c r="M166" s="22" t="str">
        <x:v>179</x:v>
      </x:c>
      <x:c r="N166" s="22" t="str">
        <x:v>2022</x:v>
      </x:c>
      <x:c r="O166" s="43" t="str">
        <x:v>1.9264715700462176e-07</x:v>
      </x:c>
      <x:c r="P166" s="43" t="str">
        <x:v>1.9264715700462176e-07</x:v>
      </x:c>
      <x:c r="Q166" s="43" t="str">
        <x:v>1.8940394040656283e-07</x:v>
      </x:c>
      <x:c r="R166" s="43" t="str">
        <x:v>1.8940394040656283e-07</x:v>
      </x:c>
      <x:c r="S166" s="43" t="str">
        <x:v>1.9264715700462176e-07</x:v>
      </x:c>
      <x:c r="T166" s="43" t="str">
        <x:v>4.118266616615074e-09</x:v>
      </x:c>
      <x:c r="U166" s="43" t="str">
        <x:v>4.033755884869095e-09</x:v>
      </x:c>
      <x:c r="V166" s="43" t="str">
        <x:v>7.033237547915405e-08</x:v>
      </x:c>
      <x:c r="W166" s="43" t="str">
        <x:v>1.0176281067808546e-07</x:v>
      </x:c>
      <x:c r="X166" s="43" t="str">
        <x:v>1.071436565580619e-07</x:v>
      </x:c>
      <x:c r="Y166" s="43" t="str">
        <x:v>1.0445323361807368e-07</x:v>
      </x:c>
      <x:c r="Z166" s="43" t="str">
        <x:v>1.362641557159372e-07</x:v>
      </x:c>
      <x:c r="AA166" s="43" t="str">
        <x:v>1.9264715700462176e-07</x:v>
      </x:c>
      <x:c r="AB166" s="23" t="str">
        <x:v>Candidate surface form is directly representable in the public Ngram interface. Complete 1842–2022 unsmoothed series reused from the audited quantitative-v0.1 baseline.</x:v>
      </x:c>
    </x:row>
    <x:row r="167" ht="19" customHeight="1">
      <x:c r="A167" s="20" t="str">
        <x:v>FT-SEED-R1B-P-2022-16</x:v>
      </x:c>
      <x:c r="B167" s="22" t="str">
        <x:v>2022</x:v>
      </x:c>
      <x:c r="C167" s="22" t="str">
        <x:v>16</x:v>
      </x:c>
      <x:c r="D167" s="21" t="str">
        <x:v>climate anxiety</x:v>
      </x:c>
      <x:c r="E167" s="22" t="str">
        <x:v>anxiety</x:v>
      </x:c>
      <x:c r="F167" s="21" t="str">
        <x:v>climate anxiety</x:v>
      </x:c>
      <x:c r="G167" s="22" t="str">
        <x:v>EXACT</x:v>
      </x:c>
      <x:c r="H167" s="21" t="str">
        <x:v>SUCCEEDED_REUSED_BASELINE</x:v>
      </x:c>
      <x:c r="I167" s="21" t="str">
        <x:v>FT-Q-V01-116</x:v>
      </x:c>
      <x:c r="J167" s="22" t="str">
        <x:v>1842</x:v>
      </x:c>
      <x:c r="K167" s="22" t="str">
        <x:v>2022</x:v>
      </x:c>
      <x:c r="L167" s="22" t="str">
        <x:v>1972</x:v>
      </x:c>
      <x:c r="M167" s="22" t="str">
        <x:v>17</x:v>
      </x:c>
      <x:c r="N167" s="22" t="str">
        <x:v>2022</x:v>
      </x:c>
      <x:c r="O167" s="43" t="str">
        <x:v>3.579004737019886e-08</x:v>
      </x:c>
      <x:c r="P167" s="43" t="str">
        <x:v>3.579004737019886e-08</x:v>
      </x:c>
      <x:c r="Q167" s="43" t="str">
        <x:v>2.4057332459470615e-08</x:v>
      </x:c>
      <x:c r="R167" s="43" t="str">
        <x:v>2.4057332459470615e-08</x:v>
      </x:c>
      <x:c r="S167" s="43" t="str">
        <x:v>3.579004737019886e-08</x:v>
      </x:c>
      <x:c r="T167" s="43" t="str">
        <x:v>0.0</x:v>
      </x:c>
      <x:c r="U167" s="43" t="str">
        <x:v>0.0</x:v>
      </x:c>
      <x:c r="V167" s="43" t="str">
        <x:v>0.0</x:v>
      </x:c>
      <x:c r="W167" s="43" t="str">
        <x:v>0.0</x:v>
      </x:c>
      <x:c r="X167" s="43" t="str">
        <x:v>4.497542963055601e-11</x:v>
      </x:c>
      <x:c r="Y167" s="43" t="str">
        <x:v>2.2487714815278004e-11</x:v>
      </x:c>
      <x:c r="Z167" s="43" t="str">
        <x:v>1.8680921740066303e-10</x:v>
      </x:c>
      <x:c r="AA167" s="43" t="str">
        <x:v>3.579004737019886e-08</x:v>
      </x:c>
      <x:c r="AB167" s="23" t="str">
        <x:v>Candidate surface form is directly representable in the public Ngram interface. Complete 1842–2022 unsmoothed series reused from the audited quantitative-v0.1 baseline.</x:v>
      </x:c>
    </x:row>
    <x:row r="168" ht="19" customHeight="1">
      <x:c r="A168" s="20" t="str">
        <x:v>FT-SEED-R1B-P-2022-17</x:v>
      </x:c>
      <x:c r="B168" s="22" t="str">
        <x:v>2022</x:v>
      </x:c>
      <x:c r="C168" s="22" t="str">
        <x:v>17</x:v>
      </x:c>
      <x:c r="D168" s="21" t="str">
        <x:v>eco-anxiety</x:v>
      </x:c>
      <x:c r="E168" s="22" t="str">
        <x:v>anxiety</x:v>
      </x:c>
      <x:c r="F168" s="21" t="str">
        <x:v>eco-anxiety</x:v>
      </x:c>
      <x:c r="G168" s="22" t="str">
        <x:v>EXACT</x:v>
      </x:c>
      <x:c r="H168" s="21" t="str">
        <x:v>SUCCEEDED_REUSED_BASELINE</x:v>
      </x:c>
      <x:c r="I168" s="21" t="str">
        <x:v>FT-Q-V01-117</x:v>
      </x:c>
      <x:c r="J168" s="22" t="str">
        <x:v>1842</x:v>
      </x:c>
      <x:c r="K168" s="22" t="str">
        <x:v>2022</x:v>
      </x:c>
      <x:c r="L168" s="22" t="str">
        <x:v>1901</x:v>
      </x:c>
      <x:c r="M168" s="22" t="str">
        <x:v>23</x:v>
      </x:c>
      <x:c r="N168" s="22" t="str">
        <x:v>2022</x:v>
      </x:c>
      <x:c r="O168" s="43" t="str">
        <x:v>5.496096178170262e-08</x:v>
      </x:c>
      <x:c r="P168" s="43" t="str">
        <x:v>5.496096178170262e-08</x:v>
      </x:c>
      <x:c r="Q168" s="43" t="str">
        <x:v>4.02901724205762e-08</x:v>
      </x:c>
      <x:c r="R168" s="43" t="str">
        <x:v>4.02901724205762e-08</x:v>
      </x:c>
      <x:c r="S168" s="43" t="str">
        <x:v>5.496096178170262e-08</x:v>
      </x:c>
      <x:c r="T168" s="43" t="str">
        <x:v>0.0</x:v>
      </x:c>
      <x:c r="U168" s="43" t="str">
        <x:v>0.0</x:v>
      </x:c>
      <x:c r="V168" s="43" t="str">
        <x:v>0.0</x:v>
      </x:c>
      <x:c r="W168" s="43" t="str">
        <x:v>4.954372329057932e-11</x:v>
      </x:c>
      <x:c r="X168" s="43" t="str">
        <x:v>7.774596660903299e-10</x:v>
      </x:c>
      <x:c r="Y168" s="43" t="str">
        <x:v>4.135016946904546e-10</x:v>
      </x:c>
      <x:c r="Z168" s="43" t="str">
        <x:v>8.997633402230143e-10</x:v>
      </x:c>
      <x:c r="AA168" s="43" t="str">
        <x:v>5.496096178170262e-08</x:v>
      </x:c>
      <x:c r="AB168" s="23" t="str">
        <x:v>Candidate surface form is directly representable in the public Ngram interface. Complete 1842–2022 unsmoothed series reused from the audited quantitative-v0.1 baseline.</x:v>
      </x:c>
    </x:row>
    <x:row r="169" ht="19" customHeight="1">
      <x:c r="A169" s="20" t="str">
        <x:v>FT-SEED-R1B-P-2022-18</x:v>
      </x:c>
      <x:c r="B169" s="22" t="str">
        <x:v>2022</x:v>
      </x:c>
      <x:c r="C169" s="22" t="str">
        <x:v>18</x:v>
      </x:c>
      <x:c r="D169" s="21" t="str">
        <x:v>psychological distress</x:v>
      </x:c>
      <x:c r="E169" s="22" t="str">
        <x:v>distress_depression</x:v>
      </x:c>
      <x:c r="F169" s="21" t="str">
        <x:v>psychological distress</x:v>
      </x:c>
      <x:c r="G169" s="22" t="str">
        <x:v>EXACT</x:v>
      </x:c>
      <x:c r="H169" s="21" t="str">
        <x:v>SUCCEEDED_REUSED_BASELINE</x:v>
      </x:c>
      <x:c r="I169" s="21" t="str">
        <x:v>FT-Q-V01-118</x:v>
      </x:c>
      <x:c r="J169" s="22" t="str">
        <x:v>1842</x:v>
      </x:c>
      <x:c r="K169" s="22" t="str">
        <x:v>2022</x:v>
      </x:c>
      <x:c r="L169" s="22" t="str">
        <x:v>1886</x:v>
      </x:c>
      <x:c r="M169" s="22" t="str">
        <x:v>115</x:v>
      </x:c>
      <x:c r="N169" s="22" t="str">
        <x:v>2022</x:v>
      </x:c>
      <x:c r="O169" s="43" t="str">
        <x:v>8.442735095481879e-07</x:v>
      </x:c>
      <x:c r="P169" s="43" t="str">
        <x:v>8.442735095481879e-07</x:v>
      </x:c>
      <x:c r="Q169" s="43" t="str">
        <x:v>7.65441606265238e-07</x:v>
      </x:c>
      <x:c r="R169" s="43" t="str">
        <x:v>7.65441606265238e-07</x:v>
      </x:c>
      <x:c r="S169" s="43" t="str">
        <x:v>8.442735095481879e-07</x:v>
      </x:c>
      <x:c r="T169" s="43" t="str">
        <x:v>0.0</x:v>
      </x:c>
      <x:c r="U169" s="43" t="str">
        <x:v>6.682316922024256e-10</x:v>
      </x:c>
      <x:c r="V169" s="43" t="str">
        <x:v>1.9154811647936754e-07</x:v>
      </x:c>
      <x:c r="W169" s="43" t="str">
        <x:v>4.4261770315578985e-07</x:v>
      </x:c>
      <x:c r="X169" s="43" t="str">
        <x:v>3.763993797756271e-07</x:v>
      </x:c>
      <x:c r="Y169" s="43" t="str">
        <x:v>4.095085414657085e-07</x:v>
      </x:c>
      <x:c r="Z169" s="43" t="str">
        <x:v>4.692647605497591e-07</x:v>
      </x:c>
      <x:c r="AA169" s="43" t="str">
        <x:v>8.442735095481879e-07</x:v>
      </x:c>
      <x:c r="AB169" s="23" t="str">
        <x:v>Candidate surface form is directly representable in the public Ngram interface. Complete 1842–2022 unsmoothed series reused from the audited quantitative-v0.1 baseline.</x:v>
      </x:c>
    </x:row>
    <x:row r="170" ht="19" customHeight="1">
      <x:c r="A170" s="20" t="str">
        <x:v>FT-SEED-R1B-P-2022-19</x:v>
      </x:c>
      <x:c r="B170" s="22" t="str">
        <x:v>2022</x:v>
      </x:c>
      <x:c r="C170" s="22" t="str">
        <x:v>19</x:v>
      </x:c>
      <x:c r="D170" s="21" t="str">
        <x:v>distress</x:v>
      </x:c>
      <x:c r="E170" s="22" t="str">
        <x:v>distress_depression</x:v>
      </x:c>
      <x:c r="F170" s="21" t="str">
        <x:v>distress</x:v>
      </x:c>
      <x:c r="G170" s="22" t="str">
        <x:v>EXACT</x:v>
      </x:c>
      <x:c r="H170" s="21" t="str">
        <x:v>SUCCEEDED_REUSED_BASELINE</x:v>
      </x:c>
      <x:c r="I170" s="21" t="str">
        <x:v>FT-Q-V01-119</x:v>
      </x:c>
      <x:c r="J170" s="22" t="str">
        <x:v>1842</x:v>
      </x:c>
      <x:c r="K170" s="22" t="str">
        <x:v>2022</x:v>
      </x:c>
      <x:c r="L170" s="22" t="str">
        <x:v>1842</x:v>
      </x:c>
      <x:c r="M170" s="22" t="str">
        <x:v>181</x:v>
      </x:c>
      <x:c r="N170" s="22" t="str">
        <x:v>1842</x:v>
      </x:c>
      <x:c r="O170" s="43" t="str">
        <x:v>4.5284177929261205e-05</x:v>
      </x:c>
      <x:c r="P170" s="43" t="str">
        <x:v>1.530569114294167e-05</x:v>
      </x:c>
      <x:c r="Q170" s="43" t="str">
        <x:v>1.4732708390141624e-05</x:v>
      </x:c>
      <x:c r="R170" s="43" t="str">
        <x:v>1.4732708390141624e-05</x:v>
      </x:c>
      <x:c r="S170" s="43" t="str">
        <x:v>1.530569114294167e-05</x:v>
      </x:c>
      <x:c r="T170" s="43" t="str">
        <x:v>4.5284177929261205e-05</x:v>
      </x:c>
      <x:c r="U170" s="43" t="str">
        <x:v>7.3396613800014165e-06</x:v>
      </x:c>
      <x:c r="V170" s="43" t="str">
        <x:v>8.156161257488748e-06</x:v>
      </x:c>
      <x:c r="W170" s="43" t="str">
        <x:v>1.0678569893229906e-05</x:v>
      </x:c>
      <x:c r="X170" s="43" t="str">
        <x:v>1.0978957782015186e-05</x:v>
      </x:c>
      <x:c r="Y170" s="43" t="str">
        <x:v>1.0828763837622546e-05</x:v>
      </x:c>
      <x:c r="Z170" s="43" t="str">
        <x:v>1.3673280868431448e-05</x:v>
      </x:c>
      <x:c r="AA170" s="43" t="str">
        <x:v>1.530569114294167e-05</x:v>
      </x:c>
      <x:c r="AB170" s="23" t="str">
        <x:v>Candidate surface form is directly representable in the public Ngram interface. Complete 1842–2022 unsmoothed series reused from the audited quantitative-v0.1 baseline.</x:v>
      </x:c>
    </x:row>
    <x:row r="171" ht="19" customHeight="1">
      <x:c r="A171" s="20" t="str">
        <x:v>FT-SEED-R1B-P-2022-20</x:v>
      </x:c>
      <x:c r="B171" s="22" t="str">
        <x:v>2022</x:v>
      </x:c>
      <x:c r="C171" s="22" t="str">
        <x:v>20</x:v>
      </x:c>
      <x:c r="D171" s="21" t="str">
        <x:v>powerlessness</x:v>
      </x:c>
      <x:c r="E171" s="22" t="str">
        <x:v>distress_depression</x:v>
      </x:c>
      <x:c r="F171" s="21" t="str">
        <x:v>powerlessness</x:v>
      </x:c>
      <x:c r="G171" s="22" t="str">
        <x:v>EXACT</x:v>
      </x:c>
      <x:c r="H171" s="21" t="str">
        <x:v>SUCCEEDED_REUSED_BASELINE</x:v>
      </x:c>
      <x:c r="I171" s="21" t="str">
        <x:v>FT-Q-V01-120</x:v>
      </x:c>
      <x:c r="J171" s="22" t="str">
        <x:v>1842</x:v>
      </x:c>
      <x:c r="K171" s="22" t="str">
        <x:v>2022</x:v>
      </x:c>
      <x:c r="L171" s="22" t="str">
        <x:v>1842</x:v>
      </x:c>
      <x:c r="M171" s="22" t="str">
        <x:v>181</x:v>
      </x:c>
      <x:c r="N171" s="22" t="str">
        <x:v>2016</x:v>
      </x:c>
      <x:c r="O171" s="43" t="str">
        <x:v>9.903161126700866e-07</x:v>
      </x:c>
      <x:c r="P171" s="43" t="str">
        <x:v>8.604735197703661e-07</x:v>
      </x:c>
      <x:c r="Q171" s="43" t="str">
        <x:v>9.170843425776454e-07</x:v>
      </x:c>
      <x:c r="R171" s="43" t="str">
        <x:v>9.170843425776454e-07</x:v>
      </x:c>
      <x:c r="S171" s="43" t="str">
        <x:v>9.736951653849246e-07</x:v>
      </x:c>
      <x:c r="T171" s="43" t="str">
        <x:v>4.8056230994575344e-08</x:v>
      </x:c>
      <x:c r="U171" s="43" t="str">
        <x:v>4.725432958818665e-08</x:v>
      </x:c>
      <x:c r="V171" s="43" t="str">
        <x:v>5.816229462496381e-07</x:v>
      </x:c>
      <x:c r="W171" s="43" t="str">
        <x:v>7.747634387378355e-07</x:v>
      </x:c>
      <x:c r="X171" s="43" t="str">
        <x:v>7.41349112098888e-07</x:v>
      </x:c>
      <x:c r="Y171" s="43" t="str">
        <x:v>7.580562754183617e-07</x:v>
      </x:c>
      <x:c r="Z171" s="43" t="str">
        <x:v>8.678666019168446e-07</x:v>
      </x:c>
      <x:c r="AA171" s="43" t="str">
        <x:v>8.604735197703661e-07</x:v>
      </x:c>
      <x:c r="AB171" s="23" t="str">
        <x:v>Candidate surface form is directly representable in the public Ngram interface. Complete 1842–2022 unsmoothed series reused from the audited quantitative-v0.1 baseline.</x:v>
      </x:c>
    </x:row>
    <x:row r="172" ht="19" customHeight="1">
      <x:c r="A172" s="20" t="str">
        <x:v>FT-SEED-R1B-P-2022-21</x:v>
      </x:c>
      <x:c r="B172" s="22" t="str">
        <x:v>2022</x:v>
      </x:c>
      <x:c r="C172" s="22" t="str">
        <x:v>21</x:v>
      </x:c>
      <x:c r="D172" s="21" t="str">
        <x:v>guilt</x:v>
      </x:c>
      <x:c r="E172" s="22" t="str">
        <x:v>distress_depression</x:v>
      </x:c>
      <x:c r="F172" s="21" t="str">
        <x:v>guilt</x:v>
      </x:c>
      <x:c r="G172" s="22" t="str">
        <x:v>EXACT</x:v>
      </x:c>
      <x:c r="H172" s="21" t="str">
        <x:v>SUCCEEDED_REUSED_BASELINE</x:v>
      </x:c>
      <x:c r="I172" s="21" t="str">
        <x:v>FT-Q-V01-143</x:v>
      </x:c>
      <x:c r="J172" s="22" t="str">
        <x:v>1842</x:v>
      </x:c>
      <x:c r="K172" s="22" t="str">
        <x:v>2022</x:v>
      </x:c>
      <x:c r="L172" s="22" t="str">
        <x:v>1842</x:v>
      </x:c>
      <x:c r="M172" s="22" t="str">
        <x:v>181</x:v>
      </x:c>
      <x:c r="N172" s="22" t="str">
        <x:v>1844</x:v>
      </x:c>
      <x:c r="O172" s="43" t="str">
        <x:v>2.0787264730870447e-05</x:v>
      </x:c>
      <x:c r="P172" s="43" t="str">
        <x:v>1.681260062724732e-05</x:v>
      </x:c>
      <x:c r="Q172" s="43" t="str">
        <x:v>1.7060073389529862e-05</x:v>
      </x:c>
      <x:c r="R172" s="43" t="str">
        <x:v>1.7060073389529862e-05</x:v>
      </x:c>
      <x:c r="S172" s="43" t="str">
        <x:v>1.7307546151812403e-05</x:v>
      </x:c>
      <x:c r="T172" s="43" t="str">
        <x:v>1.8657984277581363e-05</x:v>
      </x:c>
      <x:c r="U172" s="43" t="str">
        <x:v>3.496206829295412e-06</x:v>
      </x:c>
      <x:c r="V172" s="43" t="str">
        <x:v>8.151257723909566e-06</x:v>
      </x:c>
      <x:c r="W172" s="43" t="str">
        <x:v>1.0638998595879912e-05</x:v>
      </x:c>
      <x:c r="X172" s="43" t="str">
        <x:v>1.129985992306265e-05</x:v>
      </x:c>
      <x:c r="Y172" s="43" t="str">
        <x:v>1.096942925947128e-05</x:v>
      </x:c>
      <x:c r="Z172" s="43" t="str">
        <x:v>1.744112144308474e-05</x:v>
      </x:c>
      <x:c r="AA172" s="43" t="str">
        <x:v>1.681260062724732e-05</x:v>
      </x:c>
      <x:c r="AB172" s="23" t="str">
        <x:v>Candidate surface form is directly representable in the public Ngram interface. Complete 1842–2022 unsmoothed series reused from the audited quantitative-v0.1 baseline.</x:v>
      </x:c>
    </x:row>
    <x:row r="173" ht="19" customHeight="1">
      <x:c r="A173" s="20" t="str">
        <x:v>FT-SEED-R1B-P-2022-22</x:v>
      </x:c>
      <x:c r="B173" s="22" t="str">
        <x:v>2022</x:v>
      </x:c>
      <x:c r="C173" s="22" t="str">
        <x:v>22</x:v>
      </x:c>
      <x:c r="D173" s="21" t="str">
        <x:v>heatwaves</x:v>
      </x:c>
      <x:c r="E173" s="22" t="str">
        <x:v>heat</x:v>
      </x:c>
      <x:c r="F173" s="21" t="str">
        <x:v>heatwaves</x:v>
      </x:c>
      <x:c r="G173" s="22" t="str">
        <x:v>EXACT</x:v>
      </x:c>
      <x:c r="H173" s="21" t="str">
        <x:v>SUCCEEDED_NEW</x:v>
      </x:c>
      <x:c r="I173" s="21" t="str">
        <x:v>FT-Q-P180-5EF8668DB1EC</x:v>
      </x:c>
      <x:c r="J173" s="22" t="str">
        <x:v>1842</x:v>
      </x:c>
      <x:c r="K173" s="22" t="str">
        <x:v>2022</x:v>
      </x:c>
      <x:c r="L173" s="22" t="str">
        <x:v>1843</x:v>
      </x:c>
      <x:c r="M173" s="22" t="str">
        <x:v>112</x:v>
      </x:c>
      <x:c r="N173" s="22" t="str">
        <x:v>2022</x:v>
      </x:c>
      <x:c r="O173" s="43" t="str">
        <x:v>2.3539609864120514e-07</x:v>
      </x:c>
      <x:c r="P173" s="43" t="str">
        <x:v>2.3539609864120514e-07</x:v>
      </x:c>
      <x:c r="Q173" s="43" t="str">
        <x:v>1.9697515064864834e-07</x:v>
      </x:c>
      <x:c r="R173" s="43" t="str">
        <x:v>1.9697515064864834e-07</x:v>
      </x:c>
      <x:c r="S173" s="43" t="str">
        <x:v>2.3539609864120514e-07</x:v>
      </x:c>
      <x:c r="T173" s="43" t="str">
        <x:v>0.0</x:v>
      </x:c>
      <x:c r="U173" s="43" t="str">
        <x:v>1.6365135913076756e-09</x:v>
      </x:c>
      <x:c r="V173" s="43" t="str">
        <x:v>6.129516005870528e-09</x:v>
      </x:c>
      <x:c r="W173" s="43" t="str">
        <x:v>2.3275241775588817e-08</x:v>
      </x:c>
      <x:c r="X173" s="43" t="str">
        <x:v>3.319536007184709e-08</x:v>
      </x:c>
      <x:c r="Y173" s="43" t="str">
        <x:v>2.8235300923717954e-08</x:v>
      </x:c>
      <x:c r="Z173" s="43" t="str">
        <x:v>4.943210869801096e-08</x:v>
      </x:c>
      <x:c r="AA173" s="43" t="str">
        <x:v>2.3539609864120514e-07</x:v>
      </x:c>
      <x:c r="AB173" s="23" t="str">
        <x:v>Candidate surface form is directly representable in the public Ngram interface. New unsmoothed 1842–2022 series retrieved for the candidate audit.</x:v>
      </x:c>
    </x:row>
    <x:row r="174" ht="19" customHeight="1">
      <x:c r="A174" s="20" t="str">
        <x:v>FT-SEED-R1B-P-2022-23</x:v>
      </x:c>
      <x:c r="B174" s="22" t="str">
        <x:v>2022</x:v>
      </x:c>
      <x:c r="C174" s="22" t="str">
        <x:v>23</x:v>
      </x:c>
      <x:c r="D174" s="21" t="str">
        <x:v>heat-related mortality</x:v>
      </x:c>
      <x:c r="E174" s="22" t="str">
        <x:v>heat</x:v>
      </x:c>
      <x:c r="F174" s="21" t="str">
        <x:v>heat-related mortality</x:v>
      </x:c>
      <x:c r="G174" s="22" t="str">
        <x:v>EXACT</x:v>
      </x:c>
      <x:c r="H174" s="21" t="str">
        <x:v>SUCCEEDED_NEW</x:v>
      </x:c>
      <x:c r="I174" s="21" t="str">
        <x:v>FT-Q-P180-4E8D44A8A178</x:v>
      </x:c>
      <x:c r="J174" s="22" t="str">
        <x:v>1842</x:v>
      </x:c>
      <x:c r="K174" s="22" t="str">
        <x:v>2022</x:v>
      </x:c>
      <x:c r="L174" s="22" t="str">
        <x:v>1901</x:v>
      </x:c>
      <x:c r="M174" s="22" t="str">
        <x:v>52</x:v>
      </x:c>
      <x:c r="N174" s="22" t="str">
        <x:v>2022</x:v>
      </x:c>
      <x:c r="O174" s="43" t="str">
        <x:v>3.4297885746770174e-08</x:v>
      </x:c>
      <x:c r="P174" s="43" t="str">
        <x:v>3.4297885746770174e-08</x:v>
      </x:c>
      <x:c r="Q174" s="43" t="str">
        <x:v>2.5230117672164765e-08</x:v>
      </x:c>
      <x:c r="R174" s="43" t="str">
        <x:v>2.5230117672164765e-08</x:v>
      </x:c>
      <x:c r="S174" s="43" t="str">
        <x:v>3.4297885746770174e-08</x:v>
      </x:c>
      <x:c r="T174" s="43" t="str">
        <x:v>0.0</x:v>
      </x:c>
      <x:c r="U174" s="43" t="str">
        <x:v>0.0</x:v>
      </x:c>
      <x:c r="V174" s="43" t="str">
        <x:v>2.987833244705307e-10</x:v>
      </x:c>
      <x:c r="W174" s="43" t="str">
        <x:v>8.528736036850226e-09</x:v>
      </x:c>
      <x:c r="X174" s="43" t="str">
        <x:v>5.759477353373121e-09</x:v>
      </x:c>
      <x:c r="Y174" s="43" t="str">
        <x:v>7.144106695111674e-09</x:v>
      </x:c>
      <x:c r="Z174" s="43" t="str">
        <x:v>1.0538593789299888e-08</x:v>
      </x:c>
      <x:c r="AA174" s="43" t="str">
        <x:v>3.4297885746770174e-08</x:v>
      </x:c>
      <x:c r="AB174" s="23" t="str">
        <x:v>Candidate surface form is directly representable in the public Ngram interface. New unsmoothed 1842–2022 series retrieved for the candidate audit.</x:v>
      </x:c>
    </x:row>
    <x:row r="175" ht="19" customHeight="1">
      <x:c r="A175" s="20" t="str">
        <x:v>FT-SEED-R1B-P-2022-24</x:v>
      </x:c>
      <x:c r="B175" s="22" t="str">
        <x:v>2022</x:v>
      </x:c>
      <x:c r="C175" s="22" t="str">
        <x:v>24</x:v>
      </x:c>
      <x:c r="D175" s="21" t="str">
        <x:v>mental health challenges</x:v>
      </x:c>
      <x:c r="E175" s="22" t="str">
        <x:v>harm_loss_consequences</x:v>
      </x:c>
      <x:c r="F175" s="21" t="str">
        <x:v>mental health challenges</x:v>
      </x:c>
      <x:c r="G175" s="22" t="str">
        <x:v>EXACT</x:v>
      </x:c>
      <x:c r="H175" s="21" t="str">
        <x:v>SUCCEEDED_NEW</x:v>
      </x:c>
      <x:c r="I175" s="21" t="str">
        <x:v>FT-Q-P180-5B5B2297FCBF</x:v>
      </x:c>
      <x:c r="J175" s="22" t="str">
        <x:v>1842</x:v>
      </x:c>
      <x:c r="K175" s="22" t="str">
        <x:v>2022</x:v>
      </x:c>
      <x:c r="L175" s="22" t="str">
        <x:v>1900</x:v>
      </x:c>
      <x:c r="M175" s="22" t="str">
        <x:v>66</x:v>
      </x:c>
      <x:c r="N175" s="22" t="str">
        <x:v>2022</x:v>
      </x:c>
      <x:c r="O175" s="43" t="str">
        <x:v>1.5939624659067064e-07</x:v>
      </x:c>
      <x:c r="P175" s="43" t="str">
        <x:v>1.5939624659067064e-07</x:v>
      </x:c>
      <x:c r="Q175" s="43" t="str">
        <x:v>1.470317696761203e-07</x:v>
      </x:c>
      <x:c r="R175" s="43" t="str">
        <x:v>1.470317696761203e-07</x:v>
      </x:c>
      <x:c r="S175" s="43" t="str">
        <x:v>1.5939624659067064e-07</x:v>
      </x:c>
      <x:c r="T175" s="43" t="str">
        <x:v>0.0</x:v>
      </x:c>
      <x:c r="U175" s="43" t="str">
        <x:v>0.0</x:v>
      </x:c>
      <x:c r="V175" s="43" t="str">
        <x:v>2.0002289824461172e-09</x:v>
      </x:c>
      <x:c r="W175" s="43" t="str">
        <x:v>6.787490056114898e-09</x:v>
      </x:c>
      <x:c r="X175" s="43" t="str">
        <x:v>7.531640255908911e-09</x:v>
      </x:c>
      <x:c r="Y175" s="43" t="str">
        <x:v>7.1595651560119045e-09</x:v>
      </x:c>
      <x:c r="Z175" s="43" t="str">
        <x:v>3.3191270426558006e-08</x:v>
      </x:c>
      <x:c r="AA175" s="43" t="str">
        <x:v>1.5939624659067064e-07</x:v>
      </x:c>
      <x:c r="AB175" s="23" t="str">
        <x:v>Candidate surface form is directly representable in the public Ngram interface. New unsmoothed 1842–2022 series retrieved for the candidate audit.</x:v>
      </x:c>
    </x:row>
    <x:row r="176" ht="19" customHeight="1">
      <x:c r="A176" s="20" t="str">
        <x:v>FT-SEED-R1B-P-2022-25</x:v>
      </x:c>
      <x:c r="B176" s="22" t="str">
        <x:v>2022</x:v>
      </x:c>
      <x:c r="C176" s="22" t="str">
        <x:v>25</x:v>
      </x:c>
      <x:c r="D176" s="21" t="str">
        <x:v>anxiety and stress</x:v>
      </x:c>
      <x:c r="E176" s="22" t="str">
        <x:v>anxiety</x:v>
      </x:c>
      <x:c r="F176" s="21" t="str">
        <x:v>anxiety and stress</x:v>
      </x:c>
      <x:c r="G176" s="22" t="str">
        <x:v>EXACT</x:v>
      </x:c>
      <x:c r="H176" s="21" t="str">
        <x:v>SUCCEEDED_NEW</x:v>
      </x:c>
      <x:c r="I176" s="21" t="str">
        <x:v>FT-Q-P180-DC3B8883BB1C</x:v>
      </x:c>
      <x:c r="J176" s="22" t="str">
        <x:v>1842</x:v>
      </x:c>
      <x:c r="K176" s="22" t="str">
        <x:v>2022</x:v>
      </x:c>
      <x:c r="L176" s="22" t="str">
        <x:v>1844</x:v>
      </x:c>
      <x:c r="M176" s="22" t="str">
        <x:v>138</x:v>
      </x:c>
      <x:c r="N176" s="22" t="str">
        <x:v>2022</x:v>
      </x:c>
      <x:c r="O176" s="43" t="str">
        <x:v>2.2447910766332235e-07</x:v>
      </x:c>
      <x:c r="P176" s="43" t="str">
        <x:v>2.2447910766332235e-07</x:v>
      </x:c>
      <x:c r="Q176" s="43" t="str">
        <x:v>2.2406331945390434e-07</x:v>
      </x:c>
      <x:c r="R176" s="43" t="str">
        <x:v>2.2406331945390434e-07</x:v>
      </x:c>
      <x:c r="S176" s="43" t="str">
        <x:v>2.2447910766332235e-07</x:v>
      </x:c>
      <x:c r="T176" s="43" t="str">
        <x:v>0.0</x:v>
      </x:c>
      <x:c r="U176" s="43" t="str">
        <x:v>2.4447004420835583e-09</x:v>
      </x:c>
      <x:c r="V176" s="43" t="str">
        <x:v>4.232917150126525e-08</x:v>
      </x:c>
      <x:c r="W176" s="43" t="str">
        <x:v>7.530645684816761e-08</x:v>
      </x:c>
      <x:c r="X176" s="43" t="str">
        <x:v>7.580231807524651e-08</x:v>
      </x:c>
      <x:c r="Y176" s="43" t="str">
        <x:v>7.555438746170706e-08</x:v>
      </x:c>
      <x:c r="Z176" s="43" t="str">
        <x:v>1.292659954632569e-07</x:v>
      </x:c>
      <x:c r="AA176" s="43" t="str">
        <x:v>2.2447910766332235e-07</x:v>
      </x:c>
      <x:c r="AB176" s="23" t="str">
        <x:v>Candidate surface form is directly representable in the public Ngram interface. New unsmoothed 1842–2022 series retrieved for the candidate audit.</x:v>
      </x:c>
    </x:row>
    <x:row r="177" ht="19" customHeight="1">
      <x:c r="A177" s="20" t="str">
        <x:v>FT-SEED-R1B-P-2022-26</x:v>
      </x:c>
      <x:c r="B177" s="22" t="str">
        <x:v>2022</x:v>
      </x:c>
      <x:c r="C177" s="22" t="str">
        <x:v>26</x:v>
      </x:c>
      <x:c r="D177" s="21" t="str">
        <x:v>ill health</x:v>
      </x:c>
      <x:c r="E177" s="22" t="str">
        <x:v>harm_loss_consequences</x:v>
      </x:c>
      <x:c r="F177" s="21" t="str">
        <x:v>ill health</x:v>
      </x:c>
      <x:c r="G177" s="22" t="str">
        <x:v>EXACT</x:v>
      </x:c>
      <x:c r="H177" s="21" t="str">
        <x:v>SUCCEEDED_NEW</x:v>
      </x:c>
      <x:c r="I177" s="21" t="str">
        <x:v>FT-Q-P180-B924C0D033A0</x:v>
      </x:c>
      <x:c r="J177" s="22" t="str">
        <x:v>1842</x:v>
      </x:c>
      <x:c r="K177" s="22" t="str">
        <x:v>2022</x:v>
      </x:c>
      <x:c r="L177" s="22" t="str">
        <x:v>1842</x:v>
      </x:c>
      <x:c r="M177" s="22" t="str">
        <x:v>181</x:v>
      </x:c>
      <x:c r="N177" s="22" t="str">
        <x:v>1850</x:v>
      </x:c>
      <x:c r="O177" s="43" t="str">
        <x:v>2.420165740923963e-06</x:v>
      </x:c>
      <x:c r="P177" s="43" t="str">
        <x:v>8.053424292442379e-07</x:v>
      </x:c>
      <x:c r="Q177" s="43" t="str">
        <x:v>8.071232997682032e-07</x:v>
      </x:c>
      <x:c r="R177" s="43" t="str">
        <x:v>8.071232997682032e-07</x:v>
      </x:c>
      <x:c r="S177" s="43" t="str">
        <x:v>8.089041702921684e-07</x:v>
      </x:c>
      <x:c r="T177" s="43" t="str">
        <x:v>2.1968301825436853e-06</x:v>
      </x:c>
      <x:c r="U177" s="43" t="str">
        <x:v>1.4956139914729105e-06</x:v>
      </x:c>
      <x:c r="V177" s="43" t="str">
        <x:v>6.012468629322532e-07</x:v>
      </x:c>
      <x:c r="W177" s="43" t="str">
        <x:v>8.571711666016668e-07</x:v>
      </x:c>
      <x:c r="X177" s="43" t="str">
        <x:v>8.991487940868126e-07</x:v>
      </x:c>
      <x:c r="Y177" s="43" t="str">
        <x:v>8.781599803442397e-07</x:v>
      </x:c>
      <x:c r="Z177" s="43" t="str">
        <x:v>8.328422375601663e-07</x:v>
      </x:c>
      <x:c r="AA177" s="43" t="str">
        <x:v>8.053424292442379e-07</x:v>
      </x:c>
      <x:c r="AB177" s="23" t="str">
        <x:v>Candidate surface form is directly representable in the public Ngram interface. New unsmoothed 1842–2022 series retrieved for the candidate audit.</x:v>
      </x:c>
    </x:row>
    <x:row r="178" ht="19" customHeight="1">
      <x:c r="A178" s="20" t="str">
        <x:v>FT-SEED-R1B-P-2022-27</x:v>
      </x:c>
      <x:c r="B178" s="22" t="str">
        <x:v>2022</x:v>
      </x:c>
      <x:c r="C178" s="22" t="str">
        <x:v>27</x:v>
      </x:c>
      <x:c r="D178" s="21" t="str">
        <x:v>premature deaths</x:v>
      </x:c>
      <x:c r="E178" s="22" t="str">
        <x:v>harm_loss_consequences</x:v>
      </x:c>
      <x:c r="F178" s="21" t="str">
        <x:v>premature deaths</x:v>
      </x:c>
      <x:c r="G178" s="22" t="str">
        <x:v>EXACT</x:v>
      </x:c>
      <x:c r="H178" s="21" t="str">
        <x:v>SUCCEEDED_NEW</x:v>
      </x:c>
      <x:c r="I178" s="21" t="str">
        <x:v>FT-Q-P180-9B46C9F1133A</x:v>
      </x:c>
      <x:c r="J178" s="22" t="str">
        <x:v>1842</x:v>
      </x:c>
      <x:c r="K178" s="22" t="str">
        <x:v>2022</x:v>
      </x:c>
      <x:c r="L178" s="22" t="str">
        <x:v>1842</x:v>
      </x:c>
      <x:c r="M178" s="22" t="str">
        <x:v>181</x:v>
      </x:c>
      <x:c r="N178" s="22" t="str">
        <x:v>2021</x:v>
      </x:c>
      <x:c r="O178" s="43" t="str">
        <x:v>1.5945866710387335e-07</x:v>
      </x:c>
      <x:c r="P178" s="43" t="str">
        <x:v>1.3586060954029477e-07</x:v>
      </x:c>
      <x:c r="Q178" s="43" t="str">
        <x:v>1.4765963832208406e-07</x:v>
      </x:c>
      <x:c r="R178" s="43" t="str">
        <x:v>1.4765963832208406e-07</x:v>
      </x:c>
      <x:c r="S178" s="43" t="str">
        <x:v>1.5945866710387335e-07</x:v>
      </x:c>
      <x:c r="T178" s="43" t="str">
        <x:v>5.2244054415950814e-08</x:v>
      </x:c>
      <x:c r="U178" s="43" t="str">
        <x:v>1.5480701762160543e-08</x:v>
      </x:c>
      <x:c r="V178" s="43" t="str">
        <x:v>4.2939155106558324e-08</x:v>
      </x:c>
      <x:c r="W178" s="43" t="str">
        <x:v>8.478774978643022e-08</x:v>
      </x:c>
      <x:c r="X178" s="43" t="str">
        <x:v>8.275478846631046e-08</x:v>
      </x:c>
      <x:c r="Y178" s="43" t="str">
        <x:v>8.377126912637034e-08</x:v>
      </x:c>
      <x:c r="Z178" s="43" t="str">
        <x:v>1.1820353693070551e-07</x:v>
      </x:c>
      <x:c r="AA178" s="43" t="str">
        <x:v>1.3586060954029477e-07</x:v>
      </x:c>
      <x:c r="AB178" s="23" t="str">
        <x:v>Candidate surface form is directly representable in the public Ngram interface. New unsmoothed 1842–2022 series retrieved for the candidate audit.</x:v>
      </x:c>
    </x:row>
    <x:row r="179" ht="19" customHeight="1">
      <x:c r="A179" s="20" t="str">
        <x:v>FT-SEED-R1B-P-2022-28</x:v>
      </x:c>
      <x:c r="B179" s="22" t="str">
        <x:v>2022</x:v>
      </x:c>
      <x:c r="C179" s="22" t="str">
        <x:v>28</x:v>
      </x:c>
      <x:c r="D179" s="21" t="str">
        <x:v>very serious threat</x:v>
      </x:c>
      <x:c r="E179" s="22" t="str">
        <x:v>danger_threat</x:v>
      </x:c>
      <x:c r="F179" s="21" t="str">
        <x:v>very serious threat</x:v>
      </x:c>
      <x:c r="G179" s="22" t="str">
        <x:v>EXACT</x:v>
      </x:c>
      <x:c r="H179" s="21" t="str">
        <x:v>SUCCEEDED_NEW</x:v>
      </x:c>
      <x:c r="I179" s="21" t="str">
        <x:v>FT-Q-P180-4BC5F94348C2</x:v>
      </x:c>
      <x:c r="J179" s="22" t="str">
        <x:v>1842</x:v>
      </x:c>
      <x:c r="K179" s="22" t="str">
        <x:v>2022</x:v>
      </x:c>
      <x:c r="L179" s="22" t="str">
        <x:v>1844</x:v>
      </x:c>
      <x:c r="M179" s="22" t="str">
        <x:v>142</x:v>
      </x:c>
      <x:c r="N179" s="22" t="str">
        <x:v>1980</x:v>
      </x:c>
      <x:c r="O179" s="43" t="str">
        <x:v>2.482974169326635e-08</x:v>
      </x:c>
      <x:c r="P179" s="43" t="str">
        <x:v>1.0925974208708666e-08</x:v>
      </x:c>
      <x:c r="Q179" s="43" t="str">
        <x:v>1.068363673917272e-08</x:v>
      </x:c>
      <x:c r="R179" s="43" t="str">
        <x:v>1.068363673917272e-08</x:v>
      </x:c>
      <x:c r="S179" s="43" t="str">
        <x:v>1.0925974208708666e-08</x:v>
      </x:c>
      <x:c r="T179" s="43" t="str">
        <x:v>0.0</x:v>
      </x:c>
      <x:c r="U179" s="43" t="str">
        <x:v>8.800921769136494e-09</x:v>
      </x:c>
      <x:c r="V179" s="43" t="str">
        <x:v>1.5893711985404124e-08</x:v>
      </x:c>
      <x:c r="W179" s="43" t="str">
        <x:v>1.5408097263358567e-08</x:v>
      </x:c>
      <x:c r="X179" s="43" t="str">
        <x:v>1.5111872392337133e-08</x:v>
      </x:c>
      <x:c r="Y179" s="43" t="str">
        <x:v>1.525998482784785e-08</x:v>
      </x:c>
      <x:c r="Z179" s="43" t="str">
        <x:v>1.169692359984098e-08</x:v>
      </x:c>
      <x:c r="AA179" s="43" t="str">
        <x:v>1.0925974208708666e-08</x:v>
      </x:c>
      <x:c r="AB179" s="23" t="str">
        <x:v>Candidate surface form is directly representable in the public Ngram interface. New unsmoothed 1842–2022 series retrieved for the candidate audit.</x:v>
      </x:c>
    </x:row>
    <x:row r="180" ht="19" customHeight="1">
      <x:c r="A180" s="20" t="str">
        <x:v>FT-SEED-R1B-P-2022-29</x:v>
      </x:c>
      <x:c r="B180" s="22" t="str">
        <x:v>2022</x:v>
      </x:c>
      <x:c r="C180" s="22" t="str">
        <x:v>29</x:v>
      </x:c>
      <x:c r="D180" s="21" t="str">
        <x:v>harm future generations</x:v>
      </x:c>
      <x:c r="E180" s="22" t="str">
        <x:v>harm_loss_consequences</x:v>
      </x:c>
      <x:c r="F180" s="21" t="str">
        <x:v>harm future generations</x:v>
      </x:c>
      <x:c r="G180" s="22" t="str">
        <x:v>EXACT</x:v>
      </x:c>
      <x:c r="H180" s="21" t="str">
        <x:v>SUCCEEDED_NEW</x:v>
      </x:c>
      <x:c r="I180" s="21" t="str">
        <x:v>FT-Q-P180-6258B483BD16</x:v>
      </x:c>
      <x:c r="J180" s="22" t="str">
        <x:v>1842</x:v>
      </x:c>
      <x:c r="K180" s="22" t="str">
        <x:v>2022</x:v>
      </x:c>
      <x:c r="L180" s="22" t="str">
        <x:v>1883</x:v>
      </x:c>
      <x:c r="M180" s="22" t="str">
        <x:v>68</x:v>
      </x:c>
      <x:c r="N180" s="22" t="str">
        <x:v>2017</x:v>
      </x:c>
      <x:c r="O180" s="43" t="str">
        <x:v>1.9909478510271583e-09</x:v>
      </x:c>
      <x:c r="P180" s="43" t="str">
        <x:v>8.040760279826031e-10</x:v>
      </x:c>
      <x:c r="Q180" s="43" t="str">
        <x:v>1.318835041175248e-09</x:v>
      </x:c>
      <x:c r="R180" s="43" t="str">
        <x:v>1.318835041175248e-09</x:v>
      </x:c>
      <x:c r="S180" s="43" t="str">
        <x:v>1.833594054367893e-09</x:v>
      </x:c>
      <x:c r="T180" s="43" t="str">
        <x:v>0.0</x:v>
      </x:c>
      <x:c r="U180" s="43" t="str">
        <x:v>0.0</x:v>
      </x:c>
      <x:c r="V180" s="43" t="str">
        <x:v>4.865421954214355e-10</x:v>
      </x:c>
      <x:c r="W180" s="43" t="str">
        <x:v>6.936121121903227e-10</x:v>
      </x:c>
      <x:c r="X180" s="43" t="str">
        <x:v>1.3605543358607974e-09</x:v>
      </x:c>
      <x:c r="Y180" s="43" t="str">
        <x:v>1.02708322402556e-09</x:v>
      </x:c>
      <x:c r="Z180" s="43" t="str">
        <x:v>1.2996581588708978e-09</x:v>
      </x:c>
      <x:c r="AA180" s="43" t="str">
        <x:v>8.040760279826031e-10</x:v>
      </x:c>
      <x:c r="AB180" s="23" t="str">
        <x:v>Candidate surface form is directly representable in the public Ngram interface. New unsmoothed 1842–2022 series retrieved for the candidate audit.</x:v>
      </x:c>
    </x:row>
    <x:row r="181" ht="19" customHeight="1">
      <x:c r="A181" s="24" t="str">
        <x:v>FT-SEED-R1B-P-2022-30</x:v>
      </x:c>
      <x:c r="B181" s="26" t="str">
        <x:v>2022</x:v>
      </x:c>
      <x:c r="C181" s="26" t="str">
        <x:v>30</x:v>
      </x:c>
      <x:c r="D181" s="25" t="str">
        <x:v>climate crisis</x:v>
      </x:c>
      <x:c r="E181" s="26" t="str">
        <x:v>crisis_emergency</x:v>
      </x:c>
      <x:c r="F181" s="25" t="str">
        <x:v>climate crisis</x:v>
      </x:c>
      <x:c r="G181" s="26" t="str">
        <x:v>EXACT</x:v>
      </x:c>
      <x:c r="H181" s="25" t="str">
        <x:v>SUCCEEDED_REUSED_BASELINE</x:v>
      </x:c>
      <x:c r="I181" s="25" t="str">
        <x:v>FT-Q-P180-2CA3EB4228AC</x:v>
      </x:c>
      <x:c r="J181" s="26" t="str">
        <x:v>1842</x:v>
      </x:c>
      <x:c r="K181" s="26" t="str">
        <x:v>2022</x:v>
      </x:c>
      <x:c r="L181" s="26" t="str">
        <x:v>1867</x:v>
      </x:c>
      <x:c r="M181" s="26" t="str">
        <x:v>69</x:v>
      </x:c>
      <x:c r="N181" s="26" t="str">
        <x:v>2022</x:v>
      </x:c>
      <x:c r="O181" s="44" t="str">
        <x:v>9.38814122442011e-07</x:v>
      </x:c>
      <x:c r="P181" s="44" t="str">
        <x:v>9.38814122442011e-07</x:v>
      </x:c>
      <x:c r="Q181" s="44" t="str">
        <x:v>8.728122682377659e-07</x:v>
      </x:c>
      <x:c r="R181" s="44" t="str">
        <x:v>8.728122682377659e-07</x:v>
      </x:c>
      <x:c r="S181" s="44" t="str">
        <x:v>9.38814122442011e-07</x:v>
      </x:c>
      <x:c r="T181" s="44" t="str">
        <x:v>0.0</x:v>
      </x:c>
      <x:c r="U181" s="44" t="str">
        <x:v>0.0</x:v>
      </x:c>
      <x:c r="V181" s="44" t="str">
        <x:v>1.9742139450995566e-09</x:v>
      </x:c>
      <x:c r="W181" s="44" t="str">
        <x:v>1.7213927533399342e-08</x:v>
      </x:c>
      <x:c r="X181" s="44" t="str">
        <x:v>4.511035556209464e-08</x:v>
      </x:c>
      <x:c r="Y181" s="44" t="str">
        <x:v>3.116214154774699e-08</x:v>
      </x:c>
      <x:c r="Z181" s="44" t="str">
        <x:v>8.700639558822942e-08</x:v>
      </x:c>
      <x:c r="AA181" s="44" t="str">
        <x:v>9.38814122442011e-07</x:v>
      </x:c>
      <x:c r="AB181" s="27" t="str">
        <x:v>Candidate surface form is directly representable in the public Ngram interface. Complete 1842–2022 unsmoothed series reused from the audited quantitative-v0.1 baseline.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5" hidden="0" customWidth="1"/>
    <x:col min="3" max="3" width="15" hidden="0" customWidth="1"/>
    <x:col min="4" max="4" width="25" hidden="0" customWidth="1"/>
    <x:col min="5" max="5" width="2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25" hidden="0" customWidth="1"/>
    <x:col min="11" max="11" width="28" hidden="0" customWidth="1"/>
    <x:col min="12" max="12" width="42" hidden="0" customWidth="1"/>
    <x:col min="13" max="13" width="42" hidden="0" customWidth="1"/>
    <x:col min="14" max="14" width="42" hidden="0" customWidth="1"/>
    <x:col min="15" max="15" width="42" hidden="0" customWidth="1"/>
    <x:col min="16" max="16" width="42" hidden="0" customWidth="1"/>
    <x:col min="17" max="17" width="15" hidden="0" customWidth="1"/>
    <x:col min="18" max="18" width="42" hidden="0" customWidth="1"/>
    <x:col min="19" max="19" width="42" hidden="0" customWidth="1"/>
    <x:col min="20" max="20" width="25" hidden="0" customWidth="1"/>
    <x:col min="21" max="21" width="15" hidden="0" customWidth="1"/>
  </x:cols>
  <x:sheetData>
    <x:row r="1" ht="38" customHeight="1">
      <x:c r="A1" s="12" t="str">
        <x:v>candidate_id</x:v>
      </x:c>
      <x:c r="B1" s="12" t="str">
        <x:v>anchor</x:v>
      </x:c>
      <x:c r="C1" s="12" t="str">
        <x:v>priority_rank</x:v>
      </x:c>
      <x:c r="D1" s="12" t="str">
        <x:v>surface_form</x:v>
      </x:c>
      <x:c r="E1" s="12" t="str">
        <x:v>normalized_concept</x:v>
      </x:c>
      <x:c r="F1" s="12" t="str">
        <x:v>lexical_family</x:v>
      </x:c>
      <x:c r="G1" s="12" t="str">
        <x:v>layer</x:v>
      </x:c>
      <x:c r="H1" s="12" t="str">
        <x:v>primary_voice</x:v>
      </x:c>
      <x:c r="I1" s="12" t="str">
        <x:v>expression_mode</x:v>
      </x:c>
      <x:c r="J1" s="12" t="str">
        <x:v>candidate_provenance</x:v>
      </x:c>
      <x:c r="K1" s="12" t="str">
        <x:v>dictionary_status</x:v>
      </x:c>
      <x:c r="L1" s="12" t="str">
        <x:v>dictionary_primary_source</x:v>
      </x:c>
      <x:c r="M1" s="12" t="str">
        <x:v>dictionary_secondary_source</x:v>
      </x:c>
      <x:c r="N1" s="12" t="str">
        <x:v>dictionary_historical_source</x:v>
      </x:c>
      <x:c r="O1" s="12" t="str">
        <x:v>dictionary_definition_paraphrase</x:v>
      </x:c>
      <x:c r="P1" s="12" t="str">
        <x:v>dictionary_historical_sense</x:v>
      </x:c>
      <x:c r="Q1" s="12" t="str">
        <x:v>dictionary_first_attestation_if_available</x:v>
      </x:c>
      <x:c r="R1" s="12" t="str">
        <x:v>dictionary_anchor_sense_match</x:v>
      </x:c>
      <x:c r="S1" s="12" t="str">
        <x:v>dictionary_polysemy_note</x:v>
      </x:c>
      <x:c r="T1" s="12" t="str">
        <x:v>dictionary_source_url_or_id</x:v>
      </x:c>
      <x:c r="U1" s="12" t="str">
        <x:v>dictionary_access_date</x:v>
      </x:c>
    </x:row>
    <x:row r="2" ht="19" customHeight="1">
      <x:c r="A2" s="16" t="str">
        <x:v>FT-SEED-R1B-P-1842-01</x:v>
      </x:c>
      <x:c r="B2" s="18" t="str">
        <x:v>1842</x:v>
      </x:c>
      <x:c r="C2" s="18" t="str">
        <x:v>1</x:v>
      </x:c>
      <x:c r="D2" s="17" t="str">
        <x:v>temperature</x:v>
      </x:c>
      <x:c r="E2" s="17" t="str">
        <x:v>local / instrumental temperature</x:v>
      </x:c>
      <x:c r="F2" s="18" t="str">
        <x:v>temperature_threshold</x:v>
      </x:c>
      <x:c r="G2" s="18" t="str">
        <x:v>A</x:v>
      </x:c>
      <x:c r="H2" s="18" t="str">
        <x:v>V1</x:v>
      </x:c>
      <x:c r="I2" s="18" t="str">
        <x:v>E5</x:v>
      </x:c>
      <x:c r="J2" s="17" t="str">
        <x:v>RECONSTRUCTED_FROM_REPORT; Fear of Temperature_ Stratified Lexical Expansion, Voice Mapping, and Semantic-Relational Pre-Valida.pdf; p.6; project candidate FT-SEED-R1B-P-1842-01; original visible ID not available</x:v>
      </x:c>
      <x:c r="K2" s="17" t="str">
        <x:v>DIRECT_HEADWORD</x:v>
      </x:c>
      <x:c r="L2" s="17" t="str">
        <x:v>DictionaryAPI.dev English entry (Wiktionary-derived open lexical data)</x:v>
      </x:c>
      <x:c r="M2" s="17" t="str">
        <x:v>DictionaryAPI.dev exact entry consulted; definition stored as a project paraphrase rather than a copied dictionary definition.</x:v>
      </x:c>
      <x:c r="N2" s="17" t="str">
        <x:v>Anchor-period research source/context; Webster 1913 stable component URL recorded but automated page retrieval was unavailable</x:v>
      </x:c>
      <x:c r="O2" s="17" t="str">
        <x:v>A local or instrument-specific temperature reading; the candidate is interpreted in its documented anchor and voice context.</x:v>
      </x:c>
      <x:c r="P2" s="17" t="str">
        <x:v>A physical temperature, warming, heat, or measurement sense in the documented anchor context.</x:v>
      </x:c>
      <x:c r="Q2" s="18" t="str">
        <x:v>NOT_AVAILABLE_IN_ACCESSED_SOURCES</x:v>
      </x:c>
      <x:c r="R2" s="17" t="str">
        <x:v>STRONG</x:v>
      </x:c>
      <x:c r="S2" s="17" t="str">
        <x:v>The surface form may realize multiple senses; candidate meaning remains anchored to the report-visible source context.</x:v>
      </x:c>
      <x:c r="T2" s="17" t="str">
        <x:v>https://api.dictionaryapi.dev/api/v2/entries/en/temperature; https://websters1913.timcieplowski.com/word/temperature/</x:v>
      </x:c>
      <x:c r="U2" s="48" t="str">
        <x:v>2026-08-26</x:v>
      </x:c>
    </x:row>
    <x:row r="3" ht="19" customHeight="1">
      <x:c r="A3" s="20" t="str">
        <x:v>FT-SEED-R1B-P-1842-02</x:v>
      </x:c>
      <x:c r="B3" s="22" t="str">
        <x:v>1842</x:v>
      </x:c>
      <x:c r="C3" s="22" t="str">
        <x:v>2</x:v>
      </x:c>
      <x:c r="D3" s="21" t="str">
        <x:v>mean temperature</x:v>
      </x:c>
      <x:c r="E3" s="21" t="str">
        <x:v>mean temperature</x:v>
      </x:c>
      <x:c r="F3" s="22" t="str">
        <x:v>temperature_threshold</x:v>
      </x:c>
      <x:c r="G3" s="22" t="str">
        <x:v>A</x:v>
      </x:c>
      <x:c r="H3" s="22" t="str">
        <x:v>V1</x:v>
      </x:c>
      <x:c r="I3" s="22" t="str">
        <x:v>E5</x:v>
      </x:c>
      <x:c r="J3" s="21" t="str">
        <x:v>RECONSTRUCTED_FROM_REPORT; Fear of Temperature_ Stratified Lexical Expansion, Voice Mapping, and Semantic-Relational Pre-Valida.pdf; p.6; project candidate FT-SEED-R1B-P-1842-02; original visible ID not available</x:v>
      </x:c>
      <x:c r="K3" s="21" t="str">
        <x:v>NO_STANDALONE_HEADWORD</x:v>
      </x:c>
      <x:c r="L3" s="21" t="str">
        <x:v>Component lexical analysis plus anchor-source contextual meaning</x:v>
      </x:c>
      <x:c r="M3" s="21" t="str">
        <x:v>Component headword checked: temperature.</x:v>
      </x:c>
      <x:c r="N3" s="21" t="str">
        <x:v>Anchor-period research source/context; Webster 1913 stable component URL recorded but automated page retrieval was unavailable</x:v>
      </x:c>
      <x:c r="O3" s="21" t="str">
        <x:v>A temporally or spatially averaged temperature value; the candidate is interpreted in its documented anchor and voice context.</x:v>
      </x:c>
      <x:c r="P3" s="21" t="str">
        <x:v>A physical temperature, warming, heat, or measurement sense in the documented anchor context.</x:v>
      </x:c>
      <x:c r="Q3" s="22" t="str">
        <x:v>NOT_AVAILABLE_IN_ACCESSED_SOURCES</x:v>
      </x:c>
      <x:c r="R3" s="21" t="str">
        <x:v>STRONG</x:v>
      </x:c>
      <x:c r="S3" s="21" t="str">
        <x:v>The surface form may realize multiple senses; candidate meaning remains anchored to the report-visible source context.</x:v>
      </x:c>
      <x:c r="T3" s="21" t="str">
        <x:v>Fear of Temperature_ Stratified Lexical Expansion, Voice Mapping, and Semantic-Relational Pre-Valida.pdf#page=8; https://api.dictionaryapi.dev/api/v2/entries/en/mean%20temperature; https://websters1913.timcieplowski.com/word/temperature/</x:v>
      </x:c>
      <x:c r="U3" s="49" t="str">
        <x:v>2026-08-26</x:v>
      </x:c>
    </x:row>
    <x:row r="4" ht="19" customHeight="1">
      <x:c r="A4" s="20" t="str">
        <x:v>FT-SEED-R1B-P-1842-03</x:v>
      </x:c>
      <x:c r="B4" s="22" t="str">
        <x:v>1842</x:v>
      </x:c>
      <x:c r="C4" s="22" t="str">
        <x:v>3</x:v>
      </x:c>
      <x:c r="D4" s="21" t="str">
        <x:v>temperature of the air in shade</x:v>
      </x:c>
      <x:c r="E4" s="21" t="str">
        <x:v>local / instrumental temperature</x:v>
      </x:c>
      <x:c r="F4" s="22" t="str">
        <x:v>temperature_threshold</x:v>
      </x:c>
      <x:c r="G4" s="22" t="str">
        <x:v>A</x:v>
      </x:c>
      <x:c r="H4" s="22" t="str">
        <x:v>V1</x:v>
      </x:c>
      <x:c r="I4" s="22" t="str">
        <x:v>E5</x:v>
      </x:c>
      <x:c r="J4" s="21" t="str">
        <x:v>RECONSTRUCTED_FROM_REPORT; Fear of Temperature_ Stratified Lexical Expansion, Voice Mapping, and Semantic-Relational Pre-Valida.pdf; p.6; project candidate FT-SEED-R1B-P-1842-03; original visible ID not available</x:v>
      </x:c>
      <x:c r="K4" s="21" t="str">
        <x:v>NO_STANDALONE_HEADWORD</x:v>
      </x:c>
      <x:c r="L4" s="21" t="str">
        <x:v>Component lexical analysis plus anchor-source contextual meaning</x:v>
      </x:c>
      <x:c r="M4" s="21" t="str">
        <x:v>Component headword checked: shade.</x:v>
      </x:c>
      <x:c r="N4" s="21" t="str">
        <x:v>Anchor-period research source/context; Webster 1913 stable component URL recorded but automated page retrieval was unavailable</x:v>
      </x:c>
      <x:c r="O4" s="21" t="str">
        <x:v>A local or instrument-specific temperature reading; the candidate is interpreted in its documented anchor and voice context.</x:v>
      </x:c>
      <x:c r="P4" s="21" t="str">
        <x:v>A physical temperature, warming, heat, or measurement sense in the documented anchor context.</x:v>
      </x:c>
      <x:c r="Q4" s="22" t="str">
        <x:v>NOT_AVAILABLE_IN_ACCESSED_SOURCES</x:v>
      </x:c>
      <x:c r="R4" s="21" t="str">
        <x:v>STRONG</x:v>
      </x:c>
      <x:c r="S4" s="21" t="str">
        <x:v>The surface form may realize multiple senses; candidate meaning remains anchored to the report-visible source context.</x:v>
      </x:c>
      <x:c r="T4" s="21" t="str">
        <x:v>Fear of Temperature_ Stratified Lexical Expansion, Voice Mapping, and Semantic-Relational Pre-Valida.pdf#page=6; https://api.dictionaryapi.dev/api/v2/entries/en/temperature%20of%20the%20air%20in%20shade; https://websters1913.timcieplowski.com/word/shade/</x:v>
      </x:c>
      <x:c r="U4" s="49" t="str">
        <x:v>2026-08-26</x:v>
      </x:c>
    </x:row>
    <x:row r="5" ht="19" customHeight="1">
      <x:c r="A5" s="20" t="str">
        <x:v>FT-SEED-R1B-P-1842-04</x:v>
      </x:c>
      <x:c r="B5" s="22" t="str">
        <x:v>1842</x:v>
      </x:c>
      <x:c r="C5" s="22" t="str">
        <x:v>4</x:v>
      </x:c>
      <x:c r="D5" s="21" t="str">
        <x:v>maximum temperature</x:v>
      </x:c>
      <x:c r="E5" s="21" t="str">
        <x:v>local / instrumental temperature</x:v>
      </x:c>
      <x:c r="F5" s="22" t="str">
        <x:v>temperature_threshold</x:v>
      </x:c>
      <x:c r="G5" s="22" t="str">
        <x:v>A</x:v>
      </x:c>
      <x:c r="H5" s="22" t="str">
        <x:v>V1</x:v>
      </x:c>
      <x:c r="I5" s="22" t="str">
        <x:v>E5</x:v>
      </x:c>
      <x:c r="J5" s="21" t="str">
        <x:v>RECONSTRUCTED_FROM_REPORT; Fear of Temperature_ Stratified Lexical Expansion, Voice Mapping, and Semantic-Relational Pre-Valida.pdf; p.6; project candidate FT-SEED-R1B-P-1842-04; original visible ID not available</x:v>
      </x:c>
      <x:c r="K5" s="21" t="str">
        <x:v>NO_STANDALONE_HEADWORD</x:v>
      </x:c>
      <x:c r="L5" s="21" t="str">
        <x:v>Component lexical analysis plus anchor-source contextual meaning</x:v>
      </x:c>
      <x:c r="M5" s="21" t="str">
        <x:v>Component headword checked: temperature.</x:v>
      </x:c>
      <x:c r="N5" s="21" t="str">
        <x:v>Anchor-period research source/context; Webster 1913 stable component URL recorded but automated page retrieval was unavailable</x:v>
      </x:c>
      <x:c r="O5" s="21" t="str">
        <x:v>A local or instrument-specific temperature reading; the candidate is interpreted in its documented anchor and voice context.</x:v>
      </x:c>
      <x:c r="P5" s="21" t="str">
        <x:v>A physical temperature, warming, heat, or measurement sense in the documented anchor context.</x:v>
      </x:c>
      <x:c r="Q5" s="22" t="str">
        <x:v>NOT_AVAILABLE_IN_ACCESSED_SOURCES</x:v>
      </x:c>
      <x:c r="R5" s="21" t="str">
        <x:v>STRONG</x:v>
      </x:c>
      <x:c r="S5" s="21" t="str">
        <x:v>The surface form may realize multiple senses; candidate meaning remains anchored to the report-visible source context.</x:v>
      </x:c>
      <x:c r="T5" s="21" t="str">
        <x:v>Fear of Temperature_ Stratified Lexical Expansion, Voice Mapping, and Semantic-Relational Pre-Valida.pdf#page=6; https://api.dictionaryapi.dev/api/v2/entries/en/maximum%20temperature; https://websters1913.timcieplowski.com/word/temperature/</x:v>
      </x:c>
      <x:c r="U5" s="49" t="str">
        <x:v>2026-08-26</x:v>
      </x:c>
    </x:row>
    <x:row r="6" ht="19" customHeight="1">
      <x:c r="A6" s="20" t="str">
        <x:v>FT-SEED-R1B-P-1842-05</x:v>
      </x:c>
      <x:c r="B6" s="22" t="str">
        <x:v>1842</x:v>
      </x:c>
      <x:c r="C6" s="22" t="str">
        <x:v>5</x:v>
      </x:c>
      <x:c r="D6" s="21" t="str">
        <x:v>minimum temperature</x:v>
      </x:c>
      <x:c r="E6" s="21" t="str">
        <x:v>local / instrumental temperature</x:v>
      </x:c>
      <x:c r="F6" s="22" t="str">
        <x:v>temperature_threshold</x:v>
      </x:c>
      <x:c r="G6" s="22" t="str">
        <x:v>A</x:v>
      </x:c>
      <x:c r="H6" s="22" t="str">
        <x:v>V1</x:v>
      </x:c>
      <x:c r="I6" s="22" t="str">
        <x:v>E5</x:v>
      </x:c>
      <x:c r="J6" s="21" t="str">
        <x:v>RECONSTRUCTED_FROM_REPORT; Fear of Temperature_ Stratified Lexical Expansion, Voice Mapping, and Semantic-Relational Pre-Valida.pdf; p.6; project candidate FT-SEED-R1B-P-1842-05; original visible ID not available</x:v>
      </x:c>
      <x:c r="K6" s="21" t="str">
        <x:v>NO_STANDALONE_HEADWORD</x:v>
      </x:c>
      <x:c r="L6" s="21" t="str">
        <x:v>Component lexical analysis plus anchor-source contextual meaning</x:v>
      </x:c>
      <x:c r="M6" s="21" t="str">
        <x:v>Component headword checked: temperature.</x:v>
      </x:c>
      <x:c r="N6" s="21" t="str">
        <x:v>Anchor-period research source/context; Webster 1913 stable component URL recorded but automated page retrieval was unavailable</x:v>
      </x:c>
      <x:c r="O6" s="21" t="str">
        <x:v>A local or instrument-specific temperature reading; the candidate is interpreted in its documented anchor and voice context.</x:v>
      </x:c>
      <x:c r="P6" s="21" t="str">
        <x:v>A physical temperature, warming, heat, or measurement sense in the documented anchor context.</x:v>
      </x:c>
      <x:c r="Q6" s="22" t="str">
        <x:v>NOT_AVAILABLE_IN_ACCESSED_SOURCES</x:v>
      </x:c>
      <x:c r="R6" s="21" t="str">
        <x:v>STRONG</x:v>
      </x:c>
      <x:c r="S6" s="21" t="str">
        <x:v>The surface form may realize multiple senses; candidate meaning remains anchored to the report-visible source context.</x:v>
      </x:c>
      <x:c r="T6" s="21" t="str">
        <x:v>Fear of Temperature_ Stratified Lexical Expansion, Voice Mapping, and Semantic-Relational Pre-Valida.pdf#page=6; https://api.dictionaryapi.dev/api/v2/entries/en/minimum%20temperature; https://websters1913.timcieplowski.com/word/temperature/</x:v>
      </x:c>
      <x:c r="U6" s="49" t="str">
        <x:v>2026-08-26</x:v>
      </x:c>
    </x:row>
    <x:row r="7" ht="19" customHeight="1">
      <x:c r="A7" s="20" t="str">
        <x:v>FT-SEED-R1B-P-1842-06</x:v>
      </x:c>
      <x:c r="B7" s="22" t="str">
        <x:v>1842</x:v>
      </x:c>
      <x:c r="C7" s="22" t="str">
        <x:v>6</x:v>
      </x:c>
      <x:c r="D7" s="21" t="str">
        <x:v>mean temperature of sea at surface</x:v>
      </x:c>
      <x:c r="E7" s="21" t="str">
        <x:v>mean temperature</x:v>
      </x:c>
      <x:c r="F7" s="22" t="str">
        <x:v>temperature_threshold</x:v>
      </x:c>
      <x:c r="G7" s="22" t="str">
        <x:v>A</x:v>
      </x:c>
      <x:c r="H7" s="22" t="str">
        <x:v>V1</x:v>
      </x:c>
      <x:c r="I7" s="22" t="str">
        <x:v>E5</x:v>
      </x:c>
      <x:c r="J7" s="21" t="str">
        <x:v>RECONSTRUCTED_FROM_REPORT; Fear of Temperature_ Stratified Lexical Expansion, Voice Mapping, and Semantic-Relational Pre-Valida.pdf; p.6; project candidate FT-SEED-R1B-P-1842-06; original visible ID not available</x:v>
      </x:c>
      <x:c r="K7" s="21" t="str">
        <x:v>NO_STANDALONE_HEADWORD</x:v>
      </x:c>
      <x:c r="L7" s="21" t="str">
        <x:v>Component lexical analysis plus anchor-source contextual meaning</x:v>
      </x:c>
      <x:c r="M7" s="21" t="str">
        <x:v>Component headword checked: surface.</x:v>
      </x:c>
      <x:c r="N7" s="21" t="str">
        <x:v>Anchor-period research source/context; Webster 1913 stable component URL recorded but automated page retrieval was unavailable</x:v>
      </x:c>
      <x:c r="O7" s="21" t="str">
        <x:v>A temporally or spatially averaged temperature value; the candidate is interpreted in its documented anchor and voice context.</x:v>
      </x:c>
      <x:c r="P7" s="21" t="str">
        <x:v>A physical temperature, warming, heat, or measurement sense in the documented anchor context.</x:v>
      </x:c>
      <x:c r="Q7" s="22" t="str">
        <x:v>NOT_AVAILABLE_IN_ACCESSED_SOURCES</x:v>
      </x:c>
      <x:c r="R7" s="21" t="str">
        <x:v>STRONG</x:v>
      </x:c>
      <x:c r="S7" s="21" t="str">
        <x:v>The surface form may realize multiple senses; candidate meaning remains anchored to the report-visible source context.</x:v>
      </x:c>
      <x:c r="T7" s="21" t="str">
        <x:v>Fear of Temperature_ Stratified Lexical Expansion, Voice Mapping, and Semantic-Relational Pre-Valida.pdf#page=6; https://api.dictionaryapi.dev/api/v2/entries/en/mean%20temperature%20of%20sea%20at%20surface; https://websters1913.timcieplowski.com/word/surface/</x:v>
      </x:c>
      <x:c r="U7" s="49" t="str">
        <x:v>2026-08-26</x:v>
      </x:c>
    </x:row>
    <x:row r="8" ht="19" customHeight="1">
      <x:c r="A8" s="20" t="str">
        <x:v>FT-SEED-R1B-P-1842-07</x:v>
      </x:c>
      <x:c r="B8" s="22" t="str">
        <x:v>1842</x:v>
      </x:c>
      <x:c r="C8" s="22" t="str">
        <x:v>7</x:v>
      </x:c>
      <x:c r="D8" s="21" t="str">
        <x:v>dew point</x:v>
      </x:c>
      <x:c r="E8" s="21" t="str">
        <x:v>local / instrumental temperature</x:v>
      </x:c>
      <x:c r="F8" s="22" t="str">
        <x:v>temperature_threshold</x:v>
      </x:c>
      <x:c r="G8" s="22" t="str">
        <x:v>A</x:v>
      </x:c>
      <x:c r="H8" s="22" t="str">
        <x:v>V1</x:v>
      </x:c>
      <x:c r="I8" s="22" t="str">
        <x:v>E5</x:v>
      </x:c>
      <x:c r="J8" s="21" t="str">
        <x:v>RECONSTRUCTED_FROM_REPORT; Fear of Temperature_ Stratified Lexical Expansion, Voice Mapping, and Semantic-Relational Pre-Valida.pdf; p.6; project candidate FT-SEED-R1B-P-1842-07; original visible ID not available</x:v>
      </x:c>
      <x:c r="K8" s="21" t="str">
        <x:v>NO_STANDALONE_HEADWORD</x:v>
      </x:c>
      <x:c r="L8" s="21" t="str">
        <x:v>Component lexical analysis plus anchor-source contextual meaning</x:v>
      </x:c>
      <x:c r="M8" s="21" t="str">
        <x:v>Component headword checked: point.</x:v>
      </x:c>
      <x:c r="N8" s="21" t="str">
        <x:v>Anchor-period research source/context; Webster 1913 stable component URL recorded but automated page retrieval was unavailable</x:v>
      </x:c>
      <x:c r="O8" s="21" t="str">
        <x:v>A local or instrument-specific temperature reading; the candidate is interpreted in its documented anchor and voice context.</x:v>
      </x:c>
      <x:c r="P8" s="21" t="str">
        <x:v>A physical temperature, warming, heat, or measurement sense in the documented anchor context.</x:v>
      </x:c>
      <x:c r="Q8" s="22" t="str">
        <x:v>NOT_AVAILABLE_IN_ACCESSED_SOURCES</x:v>
      </x:c>
      <x:c r="R8" s="21" t="str">
        <x:v>STRONG</x:v>
      </x:c>
      <x:c r="S8" s="21" t="str">
        <x:v>The surface form may realize multiple senses; candidate meaning remains anchored to the report-visible source context.</x:v>
      </x:c>
      <x:c r="T8" s="21" t="str">
        <x:v>Fear of Temperature_ Stratified Lexical Expansion, Voice Mapping, and Semantic-Relational Pre-Valida.pdf#page=6; https://api.dictionaryapi.dev/api/v2/entries/en/dew%20point; https://websters1913.timcieplowski.com/word/point/</x:v>
      </x:c>
      <x:c r="U8" s="49" t="str">
        <x:v>2026-08-26</x:v>
      </x:c>
    </x:row>
    <x:row r="9" ht="19" customHeight="1">
      <x:c r="A9" s="20" t="str">
        <x:v>FT-SEED-R1B-P-1842-08</x:v>
      </x:c>
      <x:c r="B9" s="22" t="str">
        <x:v>1842</x:v>
      </x:c>
      <x:c r="C9" s="22" t="str">
        <x:v>8</x:v>
      </x:c>
      <x:c r="D9" s="21" t="str">
        <x:v>standard thermometer</x:v>
      </x:c>
      <x:c r="E9" s="21" t="str">
        <x:v>local / instrumental temperature</x:v>
      </x:c>
      <x:c r="F9" s="22" t="str">
        <x:v>temperature_threshold</x:v>
      </x:c>
      <x:c r="G9" s="22" t="str">
        <x:v>A</x:v>
      </x:c>
      <x:c r="H9" s="22" t="str">
        <x:v>V1</x:v>
      </x:c>
      <x:c r="I9" s="22" t="str">
        <x:v>E5</x:v>
      </x:c>
      <x:c r="J9" s="21" t="str">
        <x:v>RECONSTRUCTED_FROM_REPORT; Fear of Temperature_ Stratified Lexical Expansion, Voice Mapping, and Semantic-Relational Pre-Valida.pdf; p.7; project candidate FT-SEED-R1B-P-1842-08; original visible ID not available</x:v>
      </x:c>
      <x:c r="K9" s="21" t="str">
        <x:v>NO_STANDALONE_HEADWORD</x:v>
      </x:c>
      <x:c r="L9" s="21" t="str">
        <x:v>Component lexical analysis plus anchor-source contextual meaning</x:v>
      </x:c>
      <x:c r="M9" s="21" t="str">
        <x:v>Component headword checked: thermometer.</x:v>
      </x:c>
      <x:c r="N9" s="21" t="str">
        <x:v>Anchor-period research source/context; Webster 1913 stable component URL recorded but automated page retrieval was unavailable</x:v>
      </x:c>
      <x:c r="O9" s="21" t="str">
        <x:v>A local or instrument-specific temperature reading; the candidate is interpreted in its documented anchor and voice context.</x:v>
      </x:c>
      <x:c r="P9" s="21" t="str">
        <x:v>A physical temperature, warming, heat, or measurement sense in the documented anchor context.</x:v>
      </x:c>
      <x:c r="Q9" s="22" t="str">
        <x:v>NOT_AVAILABLE_IN_ACCESSED_SOURCES</x:v>
      </x:c>
      <x:c r="R9" s="21" t="str">
        <x:v>STRONG</x:v>
      </x:c>
      <x:c r="S9" s="21" t="str">
        <x:v>The surface form may realize multiple senses; candidate meaning remains anchored to the report-visible source context.</x:v>
      </x:c>
      <x:c r="T9" s="21" t="str">
        <x:v>Fear of Temperature_ Stratified Lexical Expansion, Voice Mapping, and Semantic-Relational Pre-Valida.pdf#page=7; https://api.dictionaryapi.dev/api/v2/entries/en/standard%20thermometer; https://websters1913.timcieplowski.com/word/thermometer/</x:v>
      </x:c>
      <x:c r="U9" s="49" t="str">
        <x:v>2026-08-26</x:v>
      </x:c>
    </x:row>
    <x:row r="10" ht="19" customHeight="1">
      <x:c r="A10" s="20" t="str">
        <x:v>FT-SEED-R1B-P-1842-09</x:v>
      </x:c>
      <x:c r="B10" s="22" t="str">
        <x:v>1842</x:v>
      </x:c>
      <x:c r="C10" s="22" t="str">
        <x:v>9</x:v>
      </x:c>
      <x:c r="D10" s="21" t="str">
        <x:v>attached thermometer</x:v>
      </x:c>
      <x:c r="E10" s="21" t="str">
        <x:v>local / instrumental temperature</x:v>
      </x:c>
      <x:c r="F10" s="22" t="str">
        <x:v>temperature_threshold</x:v>
      </x:c>
      <x:c r="G10" s="22" t="str">
        <x:v>A</x:v>
      </x:c>
      <x:c r="H10" s="22" t="str">
        <x:v>V1</x:v>
      </x:c>
      <x:c r="I10" s="22" t="str">
        <x:v>E5</x:v>
      </x:c>
      <x:c r="J10" s="21" t="str">
        <x:v>RECONSTRUCTED_FROM_REPORT; Fear of Temperature_ Stratified Lexical Expansion, Voice Mapping, and Semantic-Relational Pre-Valida.pdf; p.7; project candidate FT-SEED-R1B-P-1842-09; original visible ID not available</x:v>
      </x:c>
      <x:c r="K10" s="21" t="str">
        <x:v>NO_STANDALONE_HEADWORD</x:v>
      </x:c>
      <x:c r="L10" s="21" t="str">
        <x:v>Component lexical analysis plus anchor-source contextual meaning</x:v>
      </x:c>
      <x:c r="M10" s="21" t="str">
        <x:v>Component headword checked: thermometer.</x:v>
      </x:c>
      <x:c r="N10" s="21" t="str">
        <x:v>Anchor-period research source/context; Webster 1913 stable component URL recorded but automated page retrieval was unavailable</x:v>
      </x:c>
      <x:c r="O10" s="21" t="str">
        <x:v>A local or instrument-specific temperature reading; the candidate is interpreted in its documented anchor and voice context.</x:v>
      </x:c>
      <x:c r="P10" s="21" t="str">
        <x:v>A physical temperature, warming, heat, or measurement sense in the documented anchor context.</x:v>
      </x:c>
      <x:c r="Q10" s="22" t="str">
        <x:v>NOT_AVAILABLE_IN_ACCESSED_SOURCES</x:v>
      </x:c>
      <x:c r="R10" s="21" t="str">
        <x:v>STRONG</x:v>
      </x:c>
      <x:c r="S10" s="21" t="str">
        <x:v>The surface form may realize multiple senses; candidate meaning remains anchored to the report-visible source context.</x:v>
      </x:c>
      <x:c r="T10" s="21" t="str">
        <x:v>Fear of Temperature_ Stratified Lexical Expansion, Voice Mapping, and Semantic-Relational Pre-Valida.pdf#page=7; https://api.dictionaryapi.dev/api/v2/entries/en/attached%20thermometer; https://websters1913.timcieplowski.com/word/thermometer/</x:v>
      </x:c>
      <x:c r="U10" s="49" t="str">
        <x:v>2026-08-26</x:v>
      </x:c>
    </x:row>
    <x:row r="11" ht="19" customHeight="1">
      <x:c r="A11" s="20" t="str">
        <x:v>FT-SEED-R1B-P-1842-10</x:v>
      </x:c>
      <x:c r="B11" s="22" t="str">
        <x:v>1842</x:v>
      </x:c>
      <x:c r="C11" s="22" t="str">
        <x:v>10</x:v>
      </x:c>
      <x:c r="D11" s="21" t="str">
        <x:v>dry bulb thermometer</x:v>
      </x:c>
      <x:c r="E11" s="21" t="str">
        <x:v>local / instrumental temperature</x:v>
      </x:c>
      <x:c r="F11" s="22" t="str">
        <x:v>temperature_threshold</x:v>
      </x:c>
      <x:c r="G11" s="22" t="str">
        <x:v>A</x:v>
      </x:c>
      <x:c r="H11" s="22" t="str">
        <x:v>V1</x:v>
      </x:c>
      <x:c r="I11" s="22" t="str">
        <x:v>E5</x:v>
      </x:c>
      <x:c r="J11" s="21" t="str">
        <x:v>RECONSTRUCTED_FROM_REPORT; Fear of Temperature_ Stratified Lexical Expansion, Voice Mapping, and Semantic-Relational Pre-Valida.pdf; p.7; project candidate FT-SEED-R1B-P-1842-10; original visible ID not available</x:v>
      </x:c>
      <x:c r="K11" s="21" t="str">
        <x:v>NO_STANDALONE_HEADWORD</x:v>
      </x:c>
      <x:c r="L11" s="21" t="str">
        <x:v>Component lexical analysis plus anchor-source contextual meaning</x:v>
      </x:c>
      <x:c r="M11" s="21" t="str">
        <x:v>Component headword checked: thermometer.</x:v>
      </x:c>
      <x:c r="N11" s="21" t="str">
        <x:v>Anchor-period research source/context; Webster 1913 stable component URL recorded but automated page retrieval was unavailable</x:v>
      </x:c>
      <x:c r="O11" s="21" t="str">
        <x:v>A local or instrument-specific temperature reading; the candidate is interpreted in its documented anchor and voice context.</x:v>
      </x:c>
      <x:c r="P11" s="21" t="str">
        <x:v>A physical temperature, warming, heat, or measurement sense in the documented anchor context.</x:v>
      </x:c>
      <x:c r="Q11" s="22" t="str">
        <x:v>NOT_AVAILABLE_IN_ACCESSED_SOURCES</x:v>
      </x:c>
      <x:c r="R11" s="21" t="str">
        <x:v>STRONG</x:v>
      </x:c>
      <x:c r="S11" s="21" t="str">
        <x:v>The surface form may realize multiple senses; candidate meaning remains anchored to the report-visible source context.</x:v>
      </x:c>
      <x:c r="T11" s="21" t="str">
        <x:v>Fear of Temperature_ Stratified Lexical Expansion, Voice Mapping, and Semantic-Relational Pre-Valida.pdf#page=7; https://api.dictionaryapi.dev/api/v2/entries/en/dry%20bulb%20thermometer; https://websters1913.timcieplowski.com/word/thermometer/</x:v>
      </x:c>
      <x:c r="U11" s="49" t="str">
        <x:v>2026-08-26</x:v>
      </x:c>
    </x:row>
    <x:row r="12" ht="19" customHeight="1">
      <x:c r="A12" s="20" t="str">
        <x:v>FT-SEED-R1B-P-1842-11</x:v>
      </x:c>
      <x:c r="B12" s="22" t="str">
        <x:v>1842</x:v>
      </x:c>
      <x:c r="C12" s="22" t="str">
        <x:v>11</x:v>
      </x:c>
      <x:c r="D12" s="21" t="str">
        <x:v>wet bulb thermometer</x:v>
      </x:c>
      <x:c r="E12" s="21" t="str">
        <x:v>local / instrumental temperature</x:v>
      </x:c>
      <x:c r="F12" s="22" t="str">
        <x:v>temperature_threshold</x:v>
      </x:c>
      <x:c r="G12" s="22" t="str">
        <x:v>A</x:v>
      </x:c>
      <x:c r="H12" s="22" t="str">
        <x:v>V1</x:v>
      </x:c>
      <x:c r="I12" s="22" t="str">
        <x:v>E5</x:v>
      </x:c>
      <x:c r="J12" s="21" t="str">
        <x:v>RECONSTRUCTED_FROM_REPORT; Fear of Temperature_ Stratified Lexical Expansion, Voice Mapping, and Semantic-Relational Pre-Valida.pdf; p.6; project candidate FT-SEED-R1B-P-1842-11; original visible ID not available</x:v>
      </x:c>
      <x:c r="K12" s="21" t="str">
        <x:v>NO_STANDALONE_HEADWORD</x:v>
      </x:c>
      <x:c r="L12" s="21" t="str">
        <x:v>Component lexical analysis plus anchor-source contextual meaning</x:v>
      </x:c>
      <x:c r="M12" s="21" t="str">
        <x:v>Component headword checked: thermometer.</x:v>
      </x:c>
      <x:c r="N12" s="21" t="str">
        <x:v>Anchor-period research source/context; Webster 1913 stable component URL recorded but automated page retrieval was unavailable</x:v>
      </x:c>
      <x:c r="O12" s="21" t="str">
        <x:v>A local or instrument-specific temperature reading; the candidate is interpreted in its documented anchor and voice context.</x:v>
      </x:c>
      <x:c r="P12" s="21" t="str">
        <x:v>A physical temperature, warming, heat, or measurement sense in the documented anchor context.</x:v>
      </x:c>
      <x:c r="Q12" s="22" t="str">
        <x:v>NOT_AVAILABLE_IN_ACCESSED_SOURCES</x:v>
      </x:c>
      <x:c r="R12" s="21" t="str">
        <x:v>STRONG</x:v>
      </x:c>
      <x:c r="S12" s="21" t="str">
        <x:v>The surface form may realize multiple senses; candidate meaning remains anchored to the report-visible source context.</x:v>
      </x:c>
      <x:c r="T12" s="21" t="str">
        <x:v>Fear of Temperature_ Stratified Lexical Expansion, Voice Mapping, and Semantic-Relational Pre-Valida.pdf#page=6; https://api.dictionaryapi.dev/api/v2/entries/en/wet%20bulb%20thermometer; https://websters1913.timcieplowski.com/word/thermometer/</x:v>
      </x:c>
      <x:c r="U12" s="49" t="str">
        <x:v>2026-08-26</x:v>
      </x:c>
    </x:row>
    <x:row r="13" ht="19" customHeight="1">
      <x:c r="A13" s="20" t="str">
        <x:v>FT-SEED-R1B-P-1842-12</x:v>
      </x:c>
      <x:c r="B13" s="22" t="str">
        <x:v>1842</x:v>
      </x:c>
      <x:c r="C13" s="22" t="str">
        <x:v>12</x:v>
      </x:c>
      <x:c r="D13" s="21" t="str">
        <x:v>meteorological observations</x:v>
      </x:c>
      <x:c r="E13" s="21" t="str">
        <x:v>historical climate / climatological condition</x:v>
      </x:c>
      <x:c r="F13" s="22" t="str">
        <x:v>climate</x:v>
      </x:c>
      <x:c r="G13" s="22" t="str">
        <x:v>B</x:v>
      </x:c>
      <x:c r="H13" s="22" t="str">
        <x:v>V1</x:v>
      </x:c>
      <x:c r="I13" s="22" t="str">
        <x:v>E5</x:v>
      </x:c>
      <x:c r="J13" s="21" t="str">
        <x:v>RECONSTRUCTED_FROM_REPORT; Fear of Temperature_ Stratified Lexical Expansion, Voice Mapping, and Semantic-Relational Pre-Valida.pdf; p.6; project candidate FT-SEED-R1B-P-1842-12; original visible ID not available</x:v>
      </x:c>
      <x:c r="K13" s="21" t="str">
        <x:v>NO_STANDALONE_HEADWORD</x:v>
      </x:c>
      <x:c r="L13" s="21" t="str">
        <x:v>Component lexical analysis plus anchor-source contextual meaning</x:v>
      </x:c>
      <x:c r="M13" s="21" t="str">
        <x:v>Component headword checked: observations.</x:v>
      </x:c>
      <x:c r="N13" s="21" t="str">
        <x:v>Anchor-period research source/context; Webster 1913 stable component URL recorded but automated page retrieval was unavailable</x:v>
      </x:c>
      <x:c r="O13" s="21" t="str">
        <x:v>Climate as a historical, geographical, seasonal, or climatological condition; the candidate is interpreted in its documented anchor and voice context.</x:v>
      </x:c>
      <x:c r="P13" s="21" t="str">
        <x:v>A climatic, atmospheric, meteorological, or causal-science sense in the documented anchor context.</x:v>
      </x:c>
      <x:c r="Q13" s="22" t="str">
        <x:v>NOT_AVAILABLE_IN_ACCESSED_SOURCES</x:v>
      </x:c>
      <x:c r="R13" s="21" t="str">
        <x:v>STRONG</x:v>
      </x:c>
      <x:c r="S13" s="21" t="str">
        <x:v>The surface form may realize multiple senses; candidate meaning remains anchored to the report-visible source context.</x:v>
      </x:c>
      <x:c r="T13" s="21" t="str">
        <x:v>Fear of Temperature_ Stratified Lexical Expansion, Voice Mapping, and Semantic-Relational Pre-Valida.pdf#page=6; https://api.dictionaryapi.dev/api/v2/entries/en/meteorological%20observations; https://websters1913.timcieplowski.com/word/observations/</x:v>
      </x:c>
      <x:c r="U13" s="49" t="str">
        <x:v>2026-08-26</x:v>
      </x:c>
    </x:row>
    <x:row r="14" ht="19" customHeight="1">
      <x:c r="A14" s="20" t="str">
        <x:v>FT-SEED-R1B-P-1842-13</x:v>
      </x:c>
      <x:c r="B14" s="22" t="str">
        <x:v>1842</x:v>
      </x:c>
      <x:c r="C14" s="22" t="str">
        <x:v>13</x:v>
      </x:c>
      <x:c r="D14" s="21" t="str">
        <x:v>meteorological journal</x:v>
      </x:c>
      <x:c r="E14" s="21" t="str">
        <x:v>historical climate / climatological condition</x:v>
      </x:c>
      <x:c r="F14" s="22" t="str">
        <x:v>climate</x:v>
      </x:c>
      <x:c r="G14" s="22" t="str">
        <x:v>B</x:v>
      </x:c>
      <x:c r="H14" s="22" t="str">
        <x:v>V1</x:v>
      </x:c>
      <x:c r="I14" s="22" t="str">
        <x:v>E5</x:v>
      </x:c>
      <x:c r="J14" s="21" t="str">
        <x:v>RECONSTRUCTED_FROM_REPORT; Fear of Temperature_ Stratified Lexical Expansion, Voice Mapping, and Semantic-Relational Pre-Valida.pdf; p.6; project candidate FT-SEED-R1B-P-1842-13; original visible ID not available</x:v>
      </x:c>
      <x:c r="K14" s="21" t="str">
        <x:v>NO_STANDALONE_HEADWORD</x:v>
      </x:c>
      <x:c r="L14" s="21" t="str">
        <x:v>Component lexical analysis plus anchor-source contextual meaning</x:v>
      </x:c>
      <x:c r="M14" s="21" t="str">
        <x:v>Component headword checked: journal.</x:v>
      </x:c>
      <x:c r="N14" s="21" t="str">
        <x:v>Anchor-period research source/context; Webster 1913 stable component URL recorded but automated page retrieval was unavailable</x:v>
      </x:c>
      <x:c r="O14" s="21" t="str">
        <x:v>Climate as a historical, geographical, seasonal, or climatological condition; the candidate is interpreted in its documented anchor and voice context.</x:v>
      </x:c>
      <x:c r="P14" s="21" t="str">
        <x:v>A climatic, atmospheric, meteorological, or causal-science sense in the documented anchor context.</x:v>
      </x:c>
      <x:c r="Q14" s="22" t="str">
        <x:v>NOT_AVAILABLE_IN_ACCESSED_SOURCES</x:v>
      </x:c>
      <x:c r="R14" s="21" t="str">
        <x:v>STRONG</x:v>
      </x:c>
      <x:c r="S14" s="21" t="str">
        <x:v>The surface form may realize multiple senses; candidate meaning remains anchored to the report-visible source context.</x:v>
      </x:c>
      <x:c r="T14" s="21" t="str">
        <x:v>Fear of Temperature_ Stratified Lexical Expansion, Voice Mapping, and Semantic-Relational Pre-Valida.pdf#page=6; https://api.dictionaryapi.dev/api/v2/entries/en/meteorological%20journal; https://websters1913.timcieplowski.com/word/journal/</x:v>
      </x:c>
      <x:c r="U14" s="49" t="str">
        <x:v>2026-08-26</x:v>
      </x:c>
    </x:row>
    <x:row r="15" ht="19" customHeight="1">
      <x:c r="A15" s="20" t="str">
        <x:v>FT-SEED-R1B-P-1842-14</x:v>
      </x:c>
      <x:c r="B15" s="22" t="str">
        <x:v>1842</x:v>
      </x:c>
      <x:c r="C15" s="22" t="str">
        <x:v>14</x:v>
      </x:c>
      <x:c r="D15" s="21" t="str">
        <x:v>weather</x:v>
      </x:c>
      <x:c r="E15" s="21" t="str">
        <x:v>historical climate / climatological condition</x:v>
      </x:c>
      <x:c r="F15" s="22" t="str">
        <x:v>climate</x:v>
      </x:c>
      <x:c r="G15" s="22" t="str">
        <x:v>B</x:v>
      </x:c>
      <x:c r="H15" s="22" t="str">
        <x:v>V1</x:v>
      </x:c>
      <x:c r="I15" s="22" t="str">
        <x:v>E5</x:v>
      </x:c>
      <x:c r="J15" s="21" t="str">
        <x:v>RECONSTRUCTED_FROM_REPORT; Fear of Temperature_ Stratified Lexical Expansion, Voice Mapping, and Semantic-Relational Pre-Valida.pdf; p.6; project candidate FT-SEED-R1B-P-1842-14; original visible ID not available</x:v>
      </x:c>
      <x:c r="K15" s="21" t="str">
        <x:v>DIRECT_HEADWORD</x:v>
      </x:c>
      <x:c r="L15" s="21" t="str">
        <x:v>Webster's Revised Unabridged Dictionary (1913 public-domain headword index)</x:v>
      </x:c>
      <x:c r="M15" s="21" t="str">
        <x:v>Component headword checked: weather.</x:v>
      </x:c>
      <x:c r="N15" s="21" t="str">
        <x:v>Anchor-period research source/context; Webster 1913 stable component URL recorded but automated page retrieval was unavailable</x:v>
      </x:c>
      <x:c r="O15" s="21" t="str">
        <x:v>Climate as a historical, geographical, seasonal, or climatological condition; the candidate is interpreted in its documented anchor and voice context.</x:v>
      </x:c>
      <x:c r="P15" s="21" t="str">
        <x:v>A climatic, atmospheric, meteorological, or causal-science sense in the documented anchor context.</x:v>
      </x:c>
      <x:c r="Q15" s="22" t="str">
        <x:v>NOT_AVAILABLE_IN_ACCESSED_SOURCES</x:v>
      </x:c>
      <x:c r="R15" s="21" t="str">
        <x:v>STRONG</x:v>
      </x:c>
      <x:c r="S15" s="21" t="str">
        <x:v>The surface form may realize multiple senses; candidate meaning remains anchored to the report-visible source context.</x:v>
      </x:c>
      <x:c r="T15" s="21" t="str">
        <x:v>https://websters1913.timcieplowski.com/word/weather/; https://api.dictionaryapi.dev/api/v2/entries/en/weather</x:v>
      </x:c>
      <x:c r="U15" s="49" t="str">
        <x:v>2026-08-26</x:v>
      </x:c>
    </x:row>
    <x:row r="16" ht="19" customHeight="1">
      <x:c r="A16" s="20" t="str">
        <x:v>FT-SEED-R1B-P-1842-15</x:v>
      </x:c>
      <x:c r="B16" s="22" t="str">
        <x:v>1842</x:v>
      </x:c>
      <x:c r="C16" s="22" t="str">
        <x:v>15</x:v>
      </x:c>
      <x:c r="D16" s="21" t="str">
        <x:v>climate</x:v>
      </x:c>
      <x:c r="E16" s="21" t="str">
        <x:v>historical climate / climatological condition</x:v>
      </x:c>
      <x:c r="F16" s="22" t="str">
        <x:v>climate</x:v>
      </x:c>
      <x:c r="G16" s="22" t="str">
        <x:v>B</x:v>
      </x:c>
      <x:c r="H16" s="22" t="str">
        <x:v>V1</x:v>
      </x:c>
      <x:c r="I16" s="22" t="str">
        <x:v>E5</x:v>
      </x:c>
      <x:c r="J16" s="21" t="str">
        <x:v>RECONSTRUCTED_FROM_REPORT; Fear of Temperature_ Stratified Lexical Expansion, Voice Mapping, and Semantic-Relational Pre-Valida.pdf; p.6; project candidate FT-SEED-R1B-P-1842-15; original visible ID not available</x:v>
      </x:c>
      <x:c r="K16" s="21" t="str">
        <x:v>DIRECT_HEADWORD</x:v>
      </x:c>
      <x:c r="L16" s="21" t="str">
        <x:v>Webster's Revised Unabridged Dictionary (1913 public-domain headword index)</x:v>
      </x:c>
      <x:c r="M16" s="21" t="str">
        <x:v>Component headword checked: climate.</x:v>
      </x:c>
      <x:c r="N16" s="21" t="str">
        <x:v>Anchor-period research source/context; Webster 1913 stable component URL recorded but automated page retrieval was unavailable</x:v>
      </x:c>
      <x:c r="O16" s="21" t="str">
        <x:v>Climate as a historical, geographical, seasonal, or climatological condition; the candidate is interpreted in its documented anchor and voice context.</x:v>
      </x:c>
      <x:c r="P16" s="21" t="str">
        <x:v>A regional or prevailing atmospheric condition understood through meteorological observation, not the modern issue label 'climate change'.</x:v>
      </x:c>
      <x:c r="Q16" s="22" t="str">
        <x:v>NOT_AVAILABLE_IN_ACCESSED_SOURCES</x:v>
      </x:c>
      <x:c r="R16" s="21" t="str">
        <x:v>PARTIAL</x:v>
      </x:c>
      <x:c r="S16" s="21" t="str">
        <x:v>Historical meteorological climate and modern climate-system/change senses overlap only partly; business/social metaphor senses are excluded.</x:v>
      </x:c>
      <x:c r="T16" s="21" t="str">
        <x:v>https://websters1913.timcieplowski.com/word/climate/; https://api.dictionaryapi.dev/api/v2/entries/en/climate</x:v>
      </x:c>
      <x:c r="U16" s="49" t="str">
        <x:v>2026-08-26</x:v>
      </x:c>
    </x:row>
    <x:row r="17" ht="19" customHeight="1">
      <x:c r="A17" s="20" t="str">
        <x:v>FT-SEED-R1B-P-1842-16</x:v>
      </x:c>
      <x:c r="B17" s="22" t="str">
        <x:v>1842</x:v>
      </x:c>
      <x:c r="C17" s="22" t="str">
        <x:v>16</x:v>
      </x:c>
      <x:c r="D17" s="21" t="str">
        <x:v>sun's heat</x:v>
      </x:c>
      <x:c r="E17" s="21" t="str">
        <x:v>physical heat source / state</x:v>
      </x:c>
      <x:c r="F17" s="22" t="str">
        <x:v>heat</x:v>
      </x:c>
      <x:c r="G17" s="22" t="str">
        <x:v>A</x:v>
      </x:c>
      <x:c r="H17" s="22" t="str">
        <x:v>V1</x:v>
      </x:c>
      <x:c r="I17" s="22" t="str">
        <x:v>E5</x:v>
      </x:c>
      <x:c r="J17" s="21" t="str">
        <x:v>RECONSTRUCTED_FROM_REPORT; Fear of Temperature_ Stratified Lexical Expansion, Voice Mapping, and Semantic-Relational Pre-Valida.pdf; p.6; project candidate FT-SEED-R1B-P-1842-16; original visible ID not available</x:v>
      </x:c>
      <x:c r="K17" s="21" t="str">
        <x:v>NO_STANDALONE_HEADWORD</x:v>
      </x:c>
      <x:c r="L17" s="21" t="str">
        <x:v>Component lexical analysis plus anchor-source contextual meaning</x:v>
      </x:c>
      <x:c r="M17" s="21" t="str">
        <x:v>Component headword checked: heat.</x:v>
      </x:c>
      <x:c r="N17" s="21" t="str">
        <x:v>Anchor-period research source/context; Webster 1913 stable component URL recorded but automated page retrieval was unavailable</x:v>
      </x:c>
      <x:c r="O17" s="21" t="str">
        <x:v>Heat as a physical source, state, or thermal condition; the candidate is interpreted in its documented anchor and voice context.</x:v>
      </x:c>
      <x:c r="P17" s="21" t="str">
        <x:v>Physical or embodied heat in a local meteorological, material, or bodily-exposure sense.</x:v>
      </x:c>
      <x:c r="Q17" s="22" t="str">
        <x:v>NOT_AVAILABLE_IN_ACCESSED_SOURCES</x:v>
      </x:c>
      <x:c r="R17" s="21" t="str">
        <x:v>STRONG</x:v>
      </x:c>
      <x:c r="S17" s="21" t="str">
        <x:v>Heat may refer to cooking, machinery, emotion, contest, or political metaphor; those senses are not automatically relevant.</x:v>
      </x:c>
      <x:c r="T17" s="21" t="str">
        <x:v>Fear of Temperature_ Stratified Lexical Expansion, Voice Mapping, and Semantic-Relational Pre-Valida.pdf#page=6; https://api.dictionaryapi.dev/api/v2/entries/en/sun%27s%20heat; https://websters1913.timcieplowski.com/word/heat/</x:v>
      </x:c>
      <x:c r="U17" s="49" t="str">
        <x:v>2026-08-26</x:v>
      </x:c>
    </x:row>
    <x:row r="18" ht="19" customHeight="1">
      <x:c r="A18" s="20" t="str">
        <x:v>FT-SEED-R1B-P-1842-17</x:v>
      </x:c>
      <x:c r="B18" s="22" t="str">
        <x:v>1842</x:v>
      </x:c>
      <x:c r="C18" s="22" t="str">
        <x:v>17</x:v>
      </x:c>
      <x:c r="D18" s="21" t="str">
        <x:v>radiation of the heat</x:v>
      </x:c>
      <x:c r="E18" s="21" t="str">
        <x:v>physical heat source / state</x:v>
      </x:c>
      <x:c r="F18" s="22" t="str">
        <x:v>heat</x:v>
      </x:c>
      <x:c r="G18" s="22" t="str">
        <x:v>B</x:v>
      </x:c>
      <x:c r="H18" s="22" t="str">
        <x:v>V1</x:v>
      </x:c>
      <x:c r="I18" s="22" t="str">
        <x:v>E5</x:v>
      </x:c>
      <x:c r="J18" s="21" t="str">
        <x:v>RECONSTRUCTED_FROM_REPORT; Fear of Temperature_ Stratified Lexical Expansion, Voice Mapping, and Semantic-Relational Pre-Valida.pdf; p.6; project candidate FT-SEED-R1B-P-1842-17; original visible ID not available</x:v>
      </x:c>
      <x:c r="K18" s="21" t="str">
        <x:v>NO_STANDALONE_HEADWORD</x:v>
      </x:c>
      <x:c r="L18" s="21" t="str">
        <x:v>Component lexical analysis plus anchor-source contextual meaning</x:v>
      </x:c>
      <x:c r="M18" s="21" t="str">
        <x:v>Component headword checked: heat.</x:v>
      </x:c>
      <x:c r="N18" s="21" t="str">
        <x:v>Anchor-period research source/context; Webster 1913 stable component URL recorded but automated page retrieval was unavailable</x:v>
      </x:c>
      <x:c r="O18" s="21" t="str">
        <x:v>Heat as a physical source, state, or thermal condition; the candidate is interpreted in its documented anchor and voice context.</x:v>
      </x:c>
      <x:c r="P18" s="21" t="str">
        <x:v>A climatic, atmospheric, meteorological, or causal-science sense in the documented anchor context.</x:v>
      </x:c>
      <x:c r="Q18" s="22" t="str">
        <x:v>NOT_AVAILABLE_IN_ACCESSED_SOURCES</x:v>
      </x:c>
      <x:c r="R18" s="21" t="str">
        <x:v>STRONG</x:v>
      </x:c>
      <x:c r="S18" s="21" t="str">
        <x:v>The surface form may realize multiple senses; candidate meaning remains anchored to the report-visible source context.</x:v>
      </x:c>
      <x:c r="T18" s="21" t="str">
        <x:v>Fear of Temperature_ Stratified Lexical Expansion, Voice Mapping, and Semantic-Relational Pre-Valida.pdf#page=6; https://api.dictionaryapi.dev/api/v2/entries/en/radiation%20of%20the%20heat; https://websters1913.timcieplowski.com/word/heat/</x:v>
      </x:c>
      <x:c r="U18" s="49" t="str">
        <x:v>2026-08-26</x:v>
      </x:c>
    </x:row>
    <x:row r="19" ht="19" customHeight="1">
      <x:c r="A19" s="20" t="str">
        <x:v>FT-SEED-R1B-P-1842-18</x:v>
      </x:c>
      <x:c r="B19" s="22" t="str">
        <x:v>1842</x:v>
      </x:c>
      <x:c r="C19" s="22" t="str">
        <x:v>18</x:v>
      </x:c>
      <x:c r="D19" s="21" t="str">
        <x:v>changes of temperature</x:v>
      </x:c>
      <x:c r="E19" s="21" t="str">
        <x:v>local / instrumental temperature</x:v>
      </x:c>
      <x:c r="F19" s="22" t="str">
        <x:v>temperature_threshold</x:v>
      </x:c>
      <x:c r="G19" s="22" t="str">
        <x:v>A</x:v>
      </x:c>
      <x:c r="H19" s="22" t="str">
        <x:v>V2</x:v>
      </x:c>
      <x:c r="I19" s="22" t="str">
        <x:v>E5</x:v>
      </x:c>
      <x:c r="J19" s="21" t="str">
        <x:v>RECONSTRUCTED_FROM_REPORT; Fear of Temperature_ Stratified Lexical Expansion, Voice Mapping, and Semantic-Relational Pre-Valida.pdf; p.7; project candidate FT-SEED-R1B-P-1842-18; original visible ID not available</x:v>
      </x:c>
      <x:c r="K19" s="21" t="str">
        <x:v>NO_STANDALONE_HEADWORD</x:v>
      </x:c>
      <x:c r="L19" s="21" t="str">
        <x:v>Component lexical analysis plus anchor-source contextual meaning</x:v>
      </x:c>
      <x:c r="M19" s="21" t="str">
        <x:v>Component headword checked: temperature.</x:v>
      </x:c>
      <x:c r="N19" s="21" t="str">
        <x:v>Anchor-period research source/context; Webster 1913 stable component URL recorded but automated page retrieval was unavailable</x:v>
      </x:c>
      <x:c r="O19" s="21" t="str">
        <x:v>A local or instrument-specific temperature reading; the candidate is interpreted in its documented anchor and voice context.</x:v>
      </x:c>
      <x:c r="P19" s="21" t="str">
        <x:v>A physical temperature, warming, heat, or measurement sense in the documented anchor context.</x:v>
      </x:c>
      <x:c r="Q19" s="22" t="str">
        <x:v>NOT_AVAILABLE_IN_ACCESSED_SOURCES</x:v>
      </x:c>
      <x:c r="R19" s="21" t="str">
        <x:v>STRONG</x:v>
      </x:c>
      <x:c r="S19" s="21" t="str">
        <x:v>The surface form may realize multiple senses; candidate meaning remains anchored to the report-visible source context.</x:v>
      </x:c>
      <x:c r="T19" s="21" t="str">
        <x:v>Fear of Temperature_ Stratified Lexical Expansion, Voice Mapping, and Semantic-Relational Pre-Valida.pdf#page=7; https://api.dictionaryapi.dev/api/v2/entries/en/changes%20of%20temperature; https://websters1913.timcieplowski.com/word/temperature/</x:v>
      </x:c>
      <x:c r="U19" s="49" t="str">
        <x:v>2026-08-26</x:v>
      </x:c>
    </x:row>
    <x:row r="20" ht="19" customHeight="1">
      <x:c r="A20" s="20" t="str">
        <x:v>FT-SEED-R1B-P-1842-19</x:v>
      </x:c>
      <x:c r="B20" s="22" t="str">
        <x:v>1842</x:v>
      </x:c>
      <x:c r="C20" s="22" t="str">
        <x:v>19</x:v>
      </x:c>
      <x:c r="D20" s="21" t="str">
        <x:v>excessive heat</x:v>
      </x:c>
      <x:c r="E20" s="21" t="str">
        <x:v>extreme-heat hazard</x:v>
      </x:c>
      <x:c r="F20" s="22" t="str">
        <x:v>heat</x:v>
      </x:c>
      <x:c r="G20" s="22" t="str">
        <x:v>D</x:v>
      </x:c>
      <x:c r="H20" s="22" t="str">
        <x:v>V5</x:v>
      </x:c>
      <x:c r="I20" s="22" t="str">
        <x:v>E5</x:v>
      </x:c>
      <x:c r="J20" s="21" t="str">
        <x:v>RECONSTRUCTED_FROM_REPORT; Fear of Temperature_ Stratified Lexical Expansion, Voice Mapping, and Semantic-Relational Pre-Valida.pdf; p.7; project candidate FT-SEED-R1B-P-1842-19; original visible ID not available</x:v>
      </x:c>
      <x:c r="K20" s="21" t="str">
        <x:v>NO_STANDALONE_HEADWORD</x:v>
      </x:c>
      <x:c r="L20" s="21" t="str">
        <x:v>Component lexical analysis plus anchor-source contextual meaning</x:v>
      </x:c>
      <x:c r="M20" s="21" t="str">
        <x:v>Component headword checked: heat.</x:v>
      </x:c>
      <x:c r="N20" s="21" t="str">
        <x:v>Anchor-period research source/context; Webster 1913 stable component URL recorded but automated page retrieval was unavailable</x:v>
      </x:c>
      <x:c r="O20" s="21" t="str">
        <x:v>Extreme heat framed as a hazard with health or social consequences; the candidate is interpreted in its documented anchor and voice context.</x:v>
      </x:c>
      <x:c r="P20" s="21" t="str">
        <x:v>Physical or embodied heat in a local meteorological, material, or bodily-exposure sense.</x:v>
      </x:c>
      <x:c r="Q20" s="22" t="str">
        <x:v>NOT_AVAILABLE_IN_ACCESSED_SOURCES</x:v>
      </x:c>
      <x:c r="R20" s="21" t="str">
        <x:v>STRONG</x:v>
      </x:c>
      <x:c r="S20" s="21" t="str">
        <x:v>Heat may refer to cooking, machinery, emotion, contest, or political metaphor; those senses are not automatically relevant.</x:v>
      </x:c>
      <x:c r="T20" s="21" t="str">
        <x:v>Fear of Temperature_ Stratified Lexical Expansion, Voice Mapping, and Semantic-Relational Pre-Valida.pdf#page=7; https://api.dictionaryapi.dev/api/v2/entries/en/excessive%20heat; https://websters1913.timcieplowski.com/word/heat/</x:v>
      </x:c>
      <x:c r="U20" s="49" t="str">
        <x:v>2026-08-26</x:v>
      </x:c>
    </x:row>
    <x:row r="21" ht="19" customHeight="1">
      <x:c r="A21" s="20" t="str">
        <x:v>FT-SEED-R1B-P-1842-20</x:v>
      </x:c>
      <x:c r="B21" s="22" t="str">
        <x:v>1842</x:v>
      </x:c>
      <x:c r="C21" s="22" t="str">
        <x:v>20</x:v>
      </x:c>
      <x:c r="D21" s="21" t="str">
        <x:v>heat of the men</x:v>
      </x:c>
      <x:c r="E21" s="21" t="str">
        <x:v>embodied heat exposure</x:v>
      </x:c>
      <x:c r="F21" s="22" t="str">
        <x:v>heat</x:v>
      </x:c>
      <x:c r="G21" s="22" t="str">
        <x:v>A</x:v>
      </x:c>
      <x:c r="H21" s="22" t="str">
        <x:v>V5</x:v>
      </x:c>
      <x:c r="I21" s="22" t="str">
        <x:v>E5</x:v>
      </x:c>
      <x:c r="J21" s="21" t="str">
        <x:v>RECONSTRUCTED_FROM_REPORT; Fear of Temperature_ Stratified Lexical Expansion, Voice Mapping, and Semantic-Relational Pre-Valida.pdf; p.7; project candidate FT-SEED-R1B-P-1842-20; original visible ID not available</x:v>
      </x:c>
      <x:c r="K21" s="21" t="str">
        <x:v>NO_STANDALONE_HEADWORD</x:v>
      </x:c>
      <x:c r="L21" s="21" t="str">
        <x:v>Component lexical analysis plus anchor-source contextual meaning</x:v>
      </x:c>
      <x:c r="M21" s="21" t="str">
        <x:v>Component headword checked: men.</x:v>
      </x:c>
      <x:c r="N21" s="21" t="str">
        <x:v>Anchor-period research source/context; Webster 1913 stable component URL recorded but automated page retrieval was unavailable</x:v>
      </x:c>
      <x:c r="O21" s="21" t="str">
        <x:v>Heat experienced by bodies in occupational, domestic, or environmental settings; the candidate is interpreted in its documented anchor and voice context.</x:v>
      </x:c>
      <x:c r="P21" s="21" t="str">
        <x:v>Physical or embodied heat in a local meteorological, material, or bodily-exposure sense.</x:v>
      </x:c>
      <x:c r="Q21" s="22" t="str">
        <x:v>NOT_AVAILABLE_IN_ACCESSED_SOURCES</x:v>
      </x:c>
      <x:c r="R21" s="21" t="str">
        <x:v>STRONG</x:v>
      </x:c>
      <x:c r="S21" s="21" t="str">
        <x:v>Heat may refer to cooking, machinery, emotion, contest, or political metaphor; those senses are not automatically relevant.</x:v>
      </x:c>
      <x:c r="T21" s="21" t="str">
        <x:v>Fear of Temperature_ Stratified Lexical Expansion, Voice Mapping, and Semantic-Relational Pre-Valida.pdf#page=7; https://api.dictionaryapi.dev/api/v2/entries/en/heat%20of%20the%20men; https://websters1913.timcieplowski.com/word/men/</x:v>
      </x:c>
      <x:c r="U21" s="49" t="str">
        <x:v>2026-08-26</x:v>
      </x:c>
    </x:row>
    <x:row r="22" ht="19" customHeight="1">
      <x:c r="A22" s="20" t="str">
        <x:v>FT-SEED-R1B-P-1842-21</x:v>
      </x:c>
      <x:c r="B22" s="22" t="str">
        <x:v>1842</x:v>
      </x:c>
      <x:c r="C22" s="22" t="str">
        <x:v>21</x:v>
      </x:c>
      <x:c r="D22" s="21" t="str">
        <x:v>heat of the irons</x:v>
      </x:c>
      <x:c r="E22" s="21" t="str">
        <x:v>physical heat source / state</x:v>
      </x:c>
      <x:c r="F22" s="22" t="str">
        <x:v>heat</x:v>
      </x:c>
      <x:c r="G22" s="22" t="str">
        <x:v>A</x:v>
      </x:c>
      <x:c r="H22" s="22" t="str">
        <x:v>V5</x:v>
      </x:c>
      <x:c r="I22" s="22" t="str">
        <x:v>E5</x:v>
      </x:c>
      <x:c r="J22" s="21" t="str">
        <x:v>RECONSTRUCTED_FROM_REPORT; Fear of Temperature_ Stratified Lexical Expansion, Voice Mapping, and Semantic-Relational Pre-Valida.pdf; p.6; project candidate FT-SEED-R1B-P-1842-21; original visible ID not available</x:v>
      </x:c>
      <x:c r="K22" s="21" t="str">
        <x:v>NO_STANDALONE_HEADWORD</x:v>
      </x:c>
      <x:c r="L22" s="21" t="str">
        <x:v>Component lexical analysis plus anchor-source contextual meaning</x:v>
      </x:c>
      <x:c r="M22" s="21" t="str">
        <x:v>Component headword checked: irons.</x:v>
      </x:c>
      <x:c r="N22" s="21" t="str">
        <x:v>Anchor-period research source/context; Webster 1913 stable component URL recorded but automated page retrieval was unavailable</x:v>
      </x:c>
      <x:c r="O22" s="21" t="str">
        <x:v>Heat as a physical source, state, or thermal condition; the candidate is interpreted in its documented anchor and voice context.</x:v>
      </x:c>
      <x:c r="P22" s="21" t="str">
        <x:v>Physical or embodied heat in a local meteorological, material, or bodily-exposure sense.</x:v>
      </x:c>
      <x:c r="Q22" s="22" t="str">
        <x:v>NOT_AVAILABLE_IN_ACCESSED_SOURCES</x:v>
      </x:c>
      <x:c r="R22" s="21" t="str">
        <x:v>STRONG</x:v>
      </x:c>
      <x:c r="S22" s="21" t="str">
        <x:v>Heat may refer to cooking, machinery, emotion, contest, or political metaphor; those senses are not automatically relevant.</x:v>
      </x:c>
      <x:c r="T22" s="21" t="str">
        <x:v>Fear of Temperature_ Stratified Lexical Expansion, Voice Mapping, and Semantic-Relational Pre-Valida.pdf#page=6; https://api.dictionaryapi.dev/api/v2/entries/en/heat%20of%20the%20irons; https://websters1913.timcieplowski.com/word/irons/</x:v>
      </x:c>
      <x:c r="U22" s="49" t="str">
        <x:v>2026-08-26</x:v>
      </x:c>
    </x:row>
    <x:row r="23" ht="19" customHeight="1">
      <x:c r="A23" s="20" t="str">
        <x:v>FT-SEED-R1B-P-1842-22</x:v>
      </x:c>
      <x:c r="B23" s="22" t="str">
        <x:v>1842</x:v>
      </x:c>
      <x:c r="C23" s="22" t="str">
        <x:v>22</x:v>
      </x:c>
      <x:c r="D23" s="21" t="str">
        <x:v>most suffocating</x:v>
      </x:c>
      <x:c r="E23" s="21" t="str">
        <x:v>generic damage</x:v>
      </x:c>
      <x:c r="F23" s="22" t="str">
        <x:v>harm_loss_consequences</x:v>
      </x:c>
      <x:c r="G23" s="22" t="str">
        <x:v>D</x:v>
      </x:c>
      <x:c r="H23" s="22" t="str">
        <x:v>V5</x:v>
      </x:c>
      <x:c r="I23" s="22" t="str">
        <x:v>E5</x:v>
      </x:c>
      <x:c r="J23" s="21" t="str">
        <x:v>RECONSTRUCTED_FROM_REPORT; Fear of Temperature_ Stratified Lexical Expansion, Voice Mapping, and Semantic-Relational Pre-Valida.pdf; p.6; project candidate FT-SEED-R1B-P-1842-22; original visible ID not available</x:v>
      </x:c>
      <x:c r="K23" s="21" t="str">
        <x:v>NO_STANDALONE_HEADWORD</x:v>
      </x:c>
      <x:c r="L23" s="21" t="str">
        <x:v>Component lexical analysis plus anchor-source contextual meaning</x:v>
      </x:c>
      <x:c r="M23" s="21" t="str">
        <x:v>Component headword checked: suffocating.</x:v>
      </x:c>
      <x:c r="N23" s="21" t="str">
        <x:v>Anchor-period research source/context; Webster 1913 stable component URL recorded but automated page retrieval was unavailable</x:v>
      </x:c>
      <x:c r="O23" s="21" t="str">
        <x:v>Generic material, ecological, or social damage; the candidate is interpreted in its documented anchor and voice context.</x:v>
      </x:c>
      <x:c r="P23" s="21" t="str">
        <x:v>A threat, risk, harm, severity, or consequence sense in the documented source; it is not automatically an emotion.</x:v>
      </x:c>
      <x:c r="Q23" s="22" t="str">
        <x:v>NOT_AVAILABLE_IN_ACCESSED_SOURCES</x:v>
      </x:c>
      <x:c r="R23" s="21" t="str">
        <x:v>STRONG</x:v>
      </x:c>
      <x:c r="S23" s="21" t="str">
        <x:v>The surface form may realize multiple senses; candidate meaning remains anchored to the report-visible source context.</x:v>
      </x:c>
      <x:c r="T23" s="21" t="str">
        <x:v>Fear of Temperature_ Stratified Lexical Expansion, Voice Mapping, and Semantic-Relational Pre-Valida.pdf#page=6; https://api.dictionaryapi.dev/api/v2/entries/en/most%20suffocating; https://websters1913.timcieplowski.com/word/suffocating/</x:v>
      </x:c>
      <x:c r="U23" s="49" t="str">
        <x:v>2026-08-26</x:v>
      </x:c>
    </x:row>
    <x:row r="24" ht="19" customHeight="1">
      <x:c r="A24" s="20" t="str">
        <x:v>FT-SEED-R1B-P-1842-23</x:v>
      </x:c>
      <x:c r="B24" s="22" t="str">
        <x:v>1842</x:v>
      </x:c>
      <x:c r="C24" s="22" t="str">
        <x:v>23</x:v>
      </x:c>
      <x:c r="D24" s="21" t="str">
        <x:v>faint away</x:v>
      </x:c>
      <x:c r="E24" s="21" t="str">
        <x:v>generic damage</x:v>
      </x:c>
      <x:c r="F24" s="22" t="str">
        <x:v>harm_loss_consequences</x:v>
      </x:c>
      <x:c r="G24" s="22" t="str">
        <x:v>D</x:v>
      </x:c>
      <x:c r="H24" s="22" t="str">
        <x:v>V5</x:v>
      </x:c>
      <x:c r="I24" s="22" t="str">
        <x:v>E5</x:v>
      </x:c>
      <x:c r="J24" s="21" t="str">
        <x:v>RECONSTRUCTED_FROM_REPORT; Fear of Temperature_ Stratified Lexical Expansion, Voice Mapping, and Semantic-Relational Pre-Valida.pdf; p.6; project candidate FT-SEED-R1B-P-1842-23; original visible ID not available</x:v>
      </x:c>
      <x:c r="K24" s="21" t="str">
        <x:v>NO_STANDALONE_HEADWORD</x:v>
      </x:c>
      <x:c r="L24" s="21" t="str">
        <x:v>Component lexical analysis plus anchor-source contextual meaning</x:v>
      </x:c>
      <x:c r="M24" s="21" t="str">
        <x:v>Component headword checked: away.</x:v>
      </x:c>
      <x:c r="N24" s="21" t="str">
        <x:v>Anchor-period research source/context; Webster 1913 stable component URL recorded but automated page retrieval was unavailable</x:v>
      </x:c>
      <x:c r="O24" s="21" t="str">
        <x:v>Generic material, ecological, or social damage; the candidate is interpreted in its documented anchor and voice context.</x:v>
      </x:c>
      <x:c r="P24" s="21" t="str">
        <x:v>A threat, risk, harm, severity, or consequence sense in the documented source; it is not automatically an emotion.</x:v>
      </x:c>
      <x:c r="Q24" s="22" t="str">
        <x:v>NOT_AVAILABLE_IN_ACCESSED_SOURCES</x:v>
      </x:c>
      <x:c r="R24" s="21" t="str">
        <x:v>STRONG</x:v>
      </x:c>
      <x:c r="S24" s="21" t="str">
        <x:v>The surface form may realize multiple senses; candidate meaning remains anchored to the report-visible source context.</x:v>
      </x:c>
      <x:c r="T24" s="21" t="str">
        <x:v>Fear of Temperature_ Stratified Lexical Expansion, Voice Mapping, and Semantic-Relational Pre-Valida.pdf#page=6; https://api.dictionaryapi.dev/api/v2/entries/en/faint%20away; https://websters1913.timcieplowski.com/word/away/</x:v>
      </x:c>
      <x:c r="U24" s="49" t="str">
        <x:v>2026-08-26</x:v>
      </x:c>
    </x:row>
    <x:row r="25" ht="19" customHeight="1">
      <x:c r="A25" s="20" t="str">
        <x:v>FT-SEED-R1B-P-1842-24</x:v>
      </x:c>
      <x:c r="B25" s="22" t="str">
        <x:v>1842</x:v>
      </x:c>
      <x:c r="C25" s="22" t="str">
        <x:v>24</x:v>
      </x:c>
      <x:c r="D25" s="21" t="str">
        <x:v>perspiration</x:v>
      </x:c>
      <x:c r="E25" s="21" t="str">
        <x:v>generic damage</x:v>
      </x:c>
      <x:c r="F25" s="22" t="str">
        <x:v>harm_loss_consequences</x:v>
      </x:c>
      <x:c r="G25" s="22" t="str">
        <x:v>D</x:v>
      </x:c>
      <x:c r="H25" s="22" t="str">
        <x:v>V5</x:v>
      </x:c>
      <x:c r="I25" s="22" t="str">
        <x:v>E5</x:v>
      </x:c>
      <x:c r="J25" s="21" t="str">
        <x:v>RECONSTRUCTED_FROM_REPORT; Fear of Temperature_ Stratified Lexical Expansion, Voice Mapping, and Semantic-Relational Pre-Valida.pdf; p.6; project candidate FT-SEED-R1B-P-1842-24; original visible ID not available</x:v>
      </x:c>
      <x:c r="K25" s="21" t="str">
        <x:v>DIRECT_HEADWORD</x:v>
      </x:c>
      <x:c r="L25" s="21" t="str">
        <x:v>Webster's Revised Unabridged Dictionary (1913 public-domain headword index)</x:v>
      </x:c>
      <x:c r="M25" s="21" t="str">
        <x:v>Component headword checked: perspiration.</x:v>
      </x:c>
      <x:c r="N25" s="21" t="str">
        <x:v>Anchor-period research source/context; Webster 1913 stable component URL recorded but automated page retrieval was unavailable</x:v>
      </x:c>
      <x:c r="O25" s="21" t="str">
        <x:v>Generic material, ecological, or social damage; the candidate is interpreted in its documented anchor and voice context.</x:v>
      </x:c>
      <x:c r="P25" s="21" t="str">
        <x:v>A threat, risk, harm, severity, or consequence sense in the documented source; it is not automatically an emotion.</x:v>
      </x:c>
      <x:c r="Q25" s="22" t="str">
        <x:v>NOT_AVAILABLE_IN_ACCESSED_SOURCES</x:v>
      </x:c>
      <x:c r="R25" s="21" t="str">
        <x:v>STRONG</x:v>
      </x:c>
      <x:c r="S25" s="21" t="str">
        <x:v>The surface form may realize multiple senses; candidate meaning remains anchored to the report-visible source context.</x:v>
      </x:c>
      <x:c r="T25" s="21" t="str">
        <x:v>https://websters1913.timcieplowski.com/word/perspiration/; https://api.dictionaryapi.dev/api/v2/entries/en/perspiration</x:v>
      </x:c>
      <x:c r="U25" s="49" t="str">
        <x:v>2026-08-26</x:v>
      </x:c>
    </x:row>
    <x:row r="26" ht="19" customHeight="1">
      <x:c r="A26" s="20" t="str">
        <x:v>FT-SEED-R1B-P-1842-25</x:v>
      </x:c>
      <x:c r="B26" s="22" t="str">
        <x:v>1842</x:v>
      </x:c>
      <x:c r="C26" s="22" t="str">
        <x:v>25</x:v>
      </x:c>
      <x:c r="D26" s="21" t="str">
        <x:v>depressing effect</x:v>
      </x:c>
      <x:c r="E26" s="21" t="str">
        <x:v>historical depressing effect</x:v>
      </x:c>
      <x:c r="F26" s="22" t="str">
        <x:v>distress_depression</x:v>
      </x:c>
      <x:c r="G26" s="22" t="str">
        <x:v>C</x:v>
      </x:c>
      <x:c r="H26" s="22" t="str">
        <x:v>V5</x:v>
      </x:c>
      <x:c r="I26" s="22" t="str">
        <x:v>E3</x:v>
      </x:c>
      <x:c r="J26" s="21" t="str">
        <x:v>RECONSTRUCTED_FROM_REPORT; Fear of Temperature_ Stratified Lexical Expansion, Voice Mapping, and Semantic-Relational Pre-Valida.pdf; p.6; project candidate FT-SEED-R1B-P-1842-25; original visible ID not available</x:v>
      </x:c>
      <x:c r="K26" s="21" t="str">
        <x:v>NO_STANDALONE_HEADWORD</x:v>
      </x:c>
      <x:c r="L26" s="21" t="str">
        <x:v>Component lexical analysis plus anchor-source contextual meaning</x:v>
      </x:c>
      <x:c r="M26" s="21" t="str">
        <x:v>Component headword checked: effect.</x:v>
      </x:c>
      <x:c r="N26" s="21" t="str">
        <x:v>Anchor-period research source/context; Webster 1913 stable component URL recorded but automated page retrieval was unavailable</x:v>
      </x:c>
      <x:c r="O26" s="21" t="str">
        <x:v>Historical bodily or energetic depressing effect; false friend with modern clinical depression; the candidate is interpreted in its documented anchor and voice context.</x:v>
      </x:c>
      <x:c r="P26" s="21" t="str">
        <x:v>A bodily or energetic lowering effect associated with oppressive heat; affect-adjacent but not a modern clinical-depression diagnosis.</x:v>
      </x:c>
      <x:c r="Q26" s="22" t="str">
        <x:v>NOT_AVAILABLE_IN_ACCESSED_SOURCES</x:v>
      </x:c>
      <x:c r="R26" s="21" t="str">
        <x:v>DIFFERENT</x:v>
      </x:c>
      <x:c r="S26" s="21" t="str">
        <x:v>'Depressing' historically permits lowering or weakening senses that differ from modern clinical depression.</x:v>
      </x:c>
      <x:c r="T26" s="21" t="str">
        <x:v>Fear of Temperature_ Stratified Lexical Expansion, Voice Mapping, and Semantic-Relational Pre-Valida.pdf#page=6; https://api.dictionaryapi.dev/api/v2/entries/en/depressing%20effect; https://websters1913.timcieplowski.com/word/effect/</x:v>
      </x:c>
      <x:c r="U26" s="49" t="str">
        <x:v>2026-08-26</x:v>
      </x:c>
    </x:row>
    <x:row r="27" ht="19" customHeight="1">
      <x:c r="A27" s="20" t="str">
        <x:v>FT-SEED-R1B-P-1842-26</x:v>
      </x:c>
      <x:c r="B27" s="22" t="str">
        <x:v>1842</x:v>
      </x:c>
      <x:c r="C27" s="22" t="str">
        <x:v>26</x:v>
      </x:c>
      <x:c r="D27" s="21" t="str">
        <x:v>complain of the heat</x:v>
      </x:c>
      <x:c r="E27" s="21" t="str">
        <x:v>embodied heat exposure</x:v>
      </x:c>
      <x:c r="F27" s="22" t="str">
        <x:v>heat</x:v>
      </x:c>
      <x:c r="G27" s="22" t="str">
        <x:v>C</x:v>
      </x:c>
      <x:c r="H27" s="22" t="str">
        <x:v>V5</x:v>
      </x:c>
      <x:c r="I27" s="22" t="str">
        <x:v>E5</x:v>
      </x:c>
      <x:c r="J27" s="21" t="str">
        <x:v>RECONSTRUCTED_FROM_REPORT; Fear of Temperature_ Stratified Lexical Expansion, Voice Mapping, and Semantic-Relational Pre-Valida.pdf; p.6; project candidate FT-SEED-R1B-P-1842-26; original visible ID not available</x:v>
      </x:c>
      <x:c r="K27" s="21" t="str">
        <x:v>NO_STANDALONE_HEADWORD</x:v>
      </x:c>
      <x:c r="L27" s="21" t="str">
        <x:v>Component lexical analysis plus anchor-source contextual meaning</x:v>
      </x:c>
      <x:c r="M27" s="21" t="str">
        <x:v>Component headword checked: heat.</x:v>
      </x:c>
      <x:c r="N27" s="21" t="str">
        <x:v>Anchor-period research source/context; Webster 1913 stable component URL recorded but automated page retrieval was unavailable</x:v>
      </x:c>
      <x:c r="O27" s="21" t="str">
        <x:v>Heat experienced by bodies in occupational, domestic, or environmental settings; the candidate is interpreted in its documented anchor and voice context.</x:v>
      </x:c>
      <x:c r="P27" s="21" t="str">
        <x:v>The candidate's affective or evaluative sense as used by the documented speaker/instrument/research voice at the anchor.</x:v>
      </x:c>
      <x:c r="Q27" s="22" t="str">
        <x:v>NOT_AVAILABLE_IN_ACCESSED_SOURCES</x:v>
      </x:c>
      <x:c r="R27" s="21" t="str">
        <x:v>STRONG</x:v>
      </x:c>
      <x:c r="S27" s="21" t="str">
        <x:v>The surface form may realize multiple senses; candidate meaning remains anchored to the report-visible source context.</x:v>
      </x:c>
      <x:c r="T27" s="21" t="str">
        <x:v>Fear of Temperature_ Stratified Lexical Expansion, Voice Mapping, and Semantic-Relational Pre-Valida.pdf#page=6; https://api.dictionaryapi.dev/api/v2/entries/en/complain%20of%20the%20heat; https://websters1913.timcieplowski.com/word/heat/</x:v>
      </x:c>
      <x:c r="U27" s="49" t="str">
        <x:v>2026-08-26</x:v>
      </x:c>
    </x:row>
    <x:row r="28" ht="19" customHeight="1">
      <x:c r="A28" s="20" t="str">
        <x:v>FT-SEED-R1B-P-1842-27</x:v>
      </x:c>
      <x:c r="B28" s="22" t="str">
        <x:v>1842</x:v>
      </x:c>
      <x:c r="C28" s="22" t="str">
        <x:v>27</x:v>
      </x:c>
      <x:c r="D28" s="21" t="str">
        <x:v>premature heat of the weather</x:v>
      </x:c>
      <x:c r="E28" s="21" t="str">
        <x:v>physical heat source / state</x:v>
      </x:c>
      <x:c r="F28" s="22" t="str">
        <x:v>heat</x:v>
      </x:c>
      <x:c r="G28" s="22" t="str">
        <x:v>A</x:v>
      </x:c>
      <x:c r="H28" s="22" t="str">
        <x:v>V5</x:v>
      </x:c>
      <x:c r="I28" s="22" t="str">
        <x:v>E5</x:v>
      </x:c>
      <x:c r="J28" s="21" t="str">
        <x:v>RECONSTRUCTED_FROM_REPORT; Fear of Temperature_ Stratified Lexical Expansion, Voice Mapping, and Semantic-Relational Pre-Valida.pdf; p.6; project candidate FT-SEED-R1B-P-1842-27; original visible ID not available</x:v>
      </x:c>
      <x:c r="K28" s="21" t="str">
        <x:v>NO_STANDALONE_HEADWORD</x:v>
      </x:c>
      <x:c r="L28" s="21" t="str">
        <x:v>Component lexical analysis plus anchor-source contextual meaning</x:v>
      </x:c>
      <x:c r="M28" s="21" t="str">
        <x:v>Component headword checked: weather.</x:v>
      </x:c>
      <x:c r="N28" s="21" t="str">
        <x:v>Anchor-period research source/context; Webster 1913 stable component URL recorded but automated page retrieval was unavailable</x:v>
      </x:c>
      <x:c r="O28" s="21" t="str">
        <x:v>Heat as a physical source, state, or thermal condition; the candidate is interpreted in its documented anchor and voice context.</x:v>
      </x:c>
      <x:c r="P28" s="21" t="str">
        <x:v>Physical or embodied heat in a local meteorological, material, or bodily-exposure sense.</x:v>
      </x:c>
      <x:c r="Q28" s="22" t="str">
        <x:v>NOT_AVAILABLE_IN_ACCESSED_SOURCES</x:v>
      </x:c>
      <x:c r="R28" s="21" t="str">
        <x:v>STRONG</x:v>
      </x:c>
      <x:c r="S28" s="21" t="str">
        <x:v>Heat may refer to cooking, machinery, emotion, contest, or political metaphor; those senses are not automatically relevant.</x:v>
      </x:c>
      <x:c r="T28" s="21" t="str">
        <x:v>Fear of Temperature_ Stratified Lexical Expansion, Voice Mapping, and Semantic-Relational Pre-Valida.pdf#page=6; https://api.dictionaryapi.dev/api/v2/entries/en/premature%20heat%20of%20the%20weather; https://websters1913.timcieplowski.com/word/weather/</x:v>
      </x:c>
      <x:c r="U28" s="49" t="str">
        <x:v>2026-08-26</x:v>
      </x:c>
    </x:row>
    <x:row r="29" ht="19" customHeight="1">
      <x:c r="A29" s="20" t="str">
        <x:v>FT-SEED-R1B-P-1842-28</x:v>
      </x:c>
      <x:c r="B29" s="22" t="str">
        <x:v>1842</x:v>
      </x:c>
      <x:c r="C29" s="22" t="str">
        <x:v>28</x:v>
      </x:c>
      <x:c r="D29" s="21" t="str">
        <x:v>suffered more from cold than from heat</x:v>
      </x:c>
      <x:c r="E29" s="21" t="str">
        <x:v>physical heat source / state</x:v>
      </x:c>
      <x:c r="F29" s="22" t="str">
        <x:v>heat</x:v>
      </x:c>
      <x:c r="G29" s="22" t="str">
        <x:v>D</x:v>
      </x:c>
      <x:c r="H29" s="22" t="str">
        <x:v>V1</x:v>
      </x:c>
      <x:c r="I29" s="22" t="str">
        <x:v>E5</x:v>
      </x:c>
      <x:c r="J29" s="21" t="str">
        <x:v>RECONSTRUCTED_FROM_REPORT; Fear of Temperature_ Stratified Lexical Expansion, Voice Mapping, and Semantic-Relational Pre-Valida.pdf; p.7; project candidate FT-SEED-R1B-P-1842-28; original visible ID not available</x:v>
      </x:c>
      <x:c r="K29" s="21" t="str">
        <x:v>NO_STANDALONE_HEADWORD</x:v>
      </x:c>
      <x:c r="L29" s="21" t="str">
        <x:v>Component lexical analysis plus anchor-source contextual meaning</x:v>
      </x:c>
      <x:c r="M29" s="21" t="str">
        <x:v>Component headword checked: heat.</x:v>
      </x:c>
      <x:c r="N29" s="21" t="str">
        <x:v>Anchor-period research source/context; Webster 1913 stable component URL recorded but automated page retrieval was unavailable</x:v>
      </x:c>
      <x:c r="O29" s="21" t="str">
        <x:v>Heat as a physical source, state, or thermal condition; the candidate is interpreted in its documented anchor and voice context.</x:v>
      </x:c>
      <x:c r="P29" s="21" t="str">
        <x:v>A threat, risk, harm, severity, or consequence sense in the documented source; it is not automatically an emotion.</x:v>
      </x:c>
      <x:c r="Q29" s="22" t="str">
        <x:v>NOT_AVAILABLE_IN_ACCESSED_SOURCES</x:v>
      </x:c>
      <x:c r="R29" s="21" t="str">
        <x:v>STRONG</x:v>
      </x:c>
      <x:c r="S29" s="21" t="str">
        <x:v>The surface form may realize multiple senses; candidate meaning remains anchored to the report-visible source context.</x:v>
      </x:c>
      <x:c r="T29" s="21" t="str">
        <x:v>Fear of Temperature_ Stratified Lexical Expansion, Voice Mapping, and Semantic-Relational Pre-Valida.pdf#page=7; https://api.dictionaryapi.dev/api/v2/entries/en/suffered%20more%20from%20cold%20than%20from%20heat; https://websters1913.timcieplowski.com/word/heat/</x:v>
      </x:c>
      <x:c r="U29" s="49" t="str">
        <x:v>2026-08-26</x:v>
      </x:c>
    </x:row>
    <x:row r="30" ht="19" customHeight="1">
      <x:c r="A30" s="20" t="str">
        <x:v>FT-SEED-R1B-P-1842-29</x:v>
      </x:c>
      <x:c r="B30" s="22" t="str">
        <x:v>1842</x:v>
      </x:c>
      <x:c r="C30" s="22" t="str">
        <x:v>29</x:v>
      </x:c>
      <x:c r="D30" s="21" t="str">
        <x:v>sickness and mortality</x:v>
      </x:c>
      <x:c r="E30" s="21" t="str">
        <x:v>mortality</x:v>
      </x:c>
      <x:c r="F30" s="22" t="str">
        <x:v>harm_loss_consequences</x:v>
      </x:c>
      <x:c r="G30" s="22" t="str">
        <x:v>D</x:v>
      </x:c>
      <x:c r="H30" s="22" t="str">
        <x:v>V2</x:v>
      </x:c>
      <x:c r="I30" s="22" t="str">
        <x:v>E5</x:v>
      </x:c>
      <x:c r="J30" s="21" t="str">
        <x:v>RECONSTRUCTED_FROM_REPORT; Fear of Temperature_ Stratified Lexical Expansion, Voice Mapping, and Semantic-Relational Pre-Valida.pdf; p.7; project candidate FT-SEED-R1B-P-1842-29; original visible ID not available</x:v>
      </x:c>
      <x:c r="K30" s="21" t="str">
        <x:v>NO_STANDALONE_HEADWORD</x:v>
      </x:c>
      <x:c r="L30" s="21" t="str">
        <x:v>Component lexical analysis plus anchor-source contextual meaning</x:v>
      </x:c>
      <x:c r="M30" s="21" t="str">
        <x:v>Component headword checked: mortality.</x:v>
      </x:c>
      <x:c r="N30" s="21" t="str">
        <x:v>Anchor-period research source/context; Webster 1913 stable component URL recorded but automated page retrieval was unavailable</x:v>
      </x:c>
      <x:c r="O30" s="21" t="str">
        <x:v>Death or mortality attributed to heat or climate consequences; the candidate is interpreted in its documented anchor and voice context.</x:v>
      </x:c>
      <x:c r="P30" s="21" t="str">
        <x:v>A threat, risk, harm, severity, or consequence sense in the documented source; it is not automatically an emotion.</x:v>
      </x:c>
      <x:c r="Q30" s="22" t="str">
        <x:v>NOT_AVAILABLE_IN_ACCESSED_SOURCES</x:v>
      </x:c>
      <x:c r="R30" s="21" t="str">
        <x:v>STRONG</x:v>
      </x:c>
      <x:c r="S30" s="21" t="str">
        <x:v>The surface form may realize multiple senses; candidate meaning remains anchored to the report-visible source context.</x:v>
      </x:c>
      <x:c r="T30" s="21" t="str">
        <x:v>Fear of Temperature_ Stratified Lexical Expansion, Voice Mapping, and Semantic-Relational Pre-Valida.pdf#page=7; https://api.dictionaryapi.dev/api/v2/entries/en/sickness%20and%20mortality; https://websters1913.timcieplowski.com/word/mortality/</x:v>
      </x:c>
      <x:c r="U30" s="49" t="str">
        <x:v>2026-08-26</x:v>
      </x:c>
    </x:row>
    <x:row r="31" ht="19" customHeight="1">
      <x:c r="A31" s="20" t="str">
        <x:v>FT-SEED-R1B-P-1842-30</x:v>
      </x:c>
      <x:c r="B31" s="22" t="str">
        <x:v>1842</x:v>
      </x:c>
      <x:c r="C31" s="22" t="str">
        <x:v>30</x:v>
      </x:c>
      <x:c r="D31" s="21" t="str">
        <x:v>alarm to the public</x:v>
      </x:c>
      <x:c r="E31" s="21" t="str">
        <x:v>public alarm</x:v>
      </x:c>
      <x:c r="F31" s="22" t="str">
        <x:v>concern_alarm</x:v>
      </x:c>
      <x:c r="G31" s="22" t="str">
        <x:v>C</x:v>
      </x:c>
      <x:c r="H31" s="22" t="str">
        <x:v>V3</x:v>
      </x:c>
      <x:c r="I31" s="22" t="str">
        <x:v>E5</x:v>
      </x:c>
      <x:c r="J31" s="21" t="str">
        <x:v>RECONSTRUCTED_FROM_REPORT; Fear of Temperature_ Stratified Lexical Expansion, Voice Mapping, and Semantic-Relational Pre-Valida.pdf; p.7; project candidate FT-SEED-R1B-P-1842-30; original visible ID not available</x:v>
      </x:c>
      <x:c r="K31" s="21" t="str">
        <x:v>NO_STANDALONE_HEADWORD</x:v>
      </x:c>
      <x:c r="L31" s="21" t="str">
        <x:v>Component lexical analysis plus anchor-source contextual meaning</x:v>
      </x:c>
      <x:c r="M31" s="21" t="str">
        <x:v>Component headword checked: public.</x:v>
      </x:c>
      <x:c r="N31" s="21" t="str">
        <x:v>Anchor-period research source/context; Webster 1913 stable component URL recorded but automated page retrieval was unavailable</x:v>
      </x:c>
      <x:c r="O31" s="21" t="str">
        <x:v>Alarm attributed to or anticipated for a public, requiring direct evidence and sense review; the candidate is interpreted in its documented anchor and voice context.</x:v>
      </x:c>
      <x:c r="P31" s="21" t="str">
        <x:v>The candidate's affective or evaluative sense as used by the documented speaker/instrument/research voice at the anchor.</x:v>
      </x:c>
      <x:c r="Q31" s="22" t="str">
        <x:v>NOT_AVAILABLE_IN_ACCESSED_SOURCES</x:v>
      </x:c>
      <x:c r="R31" s="21" t="str">
        <x:v>STRONG</x:v>
      </x:c>
      <x:c r="S31" s="21" t="str">
        <x:v>The surface form may realize multiple senses; candidate meaning remains anchored to the report-visible source context.</x:v>
      </x:c>
      <x:c r="T31" s="21" t="str">
        <x:v>Fear of Temperature_ Stratified Lexical Expansion, Voice Mapping, and Semantic-Relational Pre-Valida.pdf#page=7; https://api.dictionaryapi.dev/api/v2/entries/en/alarm%20to%20the%20public; https://websters1913.timcieplowski.com/word/public/</x:v>
      </x:c>
      <x:c r="U31" s="49" t="str">
        <x:v>2026-08-26</x:v>
      </x:c>
    </x:row>
    <x:row r="32" ht="19" customHeight="1">
      <x:c r="A32" s="20" t="str">
        <x:v>FT-SEED-R1B-P-1938-01</x:v>
      </x:c>
      <x:c r="B32" s="22" t="str">
        <x:v>1938</x:v>
      </x:c>
      <x:c r="C32" s="22" t="str">
        <x:v>1</x:v>
      </x:c>
      <x:c r="D32" s="21" t="str">
        <x:v>artificial production of carbon dioxide</x:v>
      </x:c>
      <x:c r="E32" s="21" t="str">
        <x:v>anthropogenic carbon-dioxide production</x:v>
      </x:c>
      <x:c r="F32" s="22" t="str">
        <x:v>carbon_greenhouse</x:v>
      </x:c>
      <x:c r="G32" s="22" t="str">
        <x:v>B</x:v>
      </x:c>
      <x:c r="H32" s="22" t="str">
        <x:v>V1</x:v>
      </x:c>
      <x:c r="I32" s="22" t="str">
        <x:v>E5</x:v>
      </x:c>
      <x:c r="J32" s="21" t="str">
        <x:v>RECONSTRUCTED_FROM_REPORT; Fear of Temperature_ Stratified Lexical Expansion, Voice Mapping, and Semantic-Relational Pre-Valida.pdf; p.7; project candidate FT-SEED-R1B-P-1938-01; original visible ID not available</x:v>
      </x:c>
      <x:c r="K32" s="21" t="str">
        <x:v>TECHNICAL_GLOSSARY</x:v>
      </x:c>
      <x:c r="L32" s="21" t="str">
        <x:v>IPCC climate-science glossary / assessment terminology</x:v>
      </x:c>
      <x:c r="M32" s="21" t="str">
        <x:v>Component headword checked: dioxide.</x:v>
      </x:c>
      <x:c r="N32" s="21" t="str">
        <x:v>Anchor-period research source/context; Webster 1913 stable component URL recorded but automated page retrieval was unavailable</x:v>
      </x:c>
      <x:c r="O32" s="21" t="str">
        <x:v>Human production of carbon dioxide as a climatic cause; the candidate is interpreted in its documented anchor and voice context.</x:v>
      </x:c>
      <x:c r="P32" s="21" t="str">
        <x:v>A climatic, atmospheric, meteorological, or causal-science sense in the documented anchor context.</x:v>
      </x:c>
      <x:c r="Q32" s="22" t="str">
        <x:v>NOT_AVAILABLE_IN_ACCESSED_SOURCES</x:v>
      </x:c>
      <x:c r="R32" s="21" t="str">
        <x:v>STRONG</x:v>
      </x:c>
      <x:c r="S32" s="21" t="str">
        <x:v>The surface form may realize multiple senses; candidate meaning remains anchored to the report-visible source context.</x:v>
      </x:c>
      <x:c r="T32" s="21" t="str">
        <x:v>https://www.ipcc.ch/site/assets/uploads/2018/02/WGIIAR5-AnnexII_FINAL.pdf; https://api.dictionaryapi.dev/api/v2/entries/en/artificial%20production%20of%20carbon%20dioxide; https://websters1913.timcieplowski.com/word/dioxide/</x:v>
      </x:c>
      <x:c r="U32" s="49" t="str">
        <x:v>2026-08-26</x:v>
      </x:c>
    </x:row>
    <x:row r="33" ht="19" customHeight="1">
      <x:c r="A33" s="20" t="str">
        <x:v>FT-SEED-R1B-P-1938-02</x:v>
      </x:c>
      <x:c r="B33" s="22" t="str">
        <x:v>1938</x:v>
      </x:c>
      <x:c r="C33" s="22" t="str">
        <x:v>2</x:v>
      </x:c>
      <x:c r="D33" s="21" t="str">
        <x:v>carbon dioxide</x:v>
      </x:c>
      <x:c r="E33" s="21" t="str">
        <x:v>atmospheric carbon dioxide</x:v>
      </x:c>
      <x:c r="F33" s="22" t="str">
        <x:v>carbon_greenhouse</x:v>
      </x:c>
      <x:c r="G33" s="22" t="str">
        <x:v>B</x:v>
      </x:c>
      <x:c r="H33" s="22" t="str">
        <x:v>V1</x:v>
      </x:c>
      <x:c r="I33" s="22" t="str">
        <x:v>E5</x:v>
      </x:c>
      <x:c r="J33" s="21" t="str">
        <x:v>RECONSTRUCTED_FROM_REPORT; Fear of Temperature_ Stratified Lexical Expansion, Voice Mapping, and Semantic-Relational Pre-Valida.pdf; p.7; project candidate FT-SEED-R1B-P-1938-02; original visible ID not available</x:v>
      </x:c>
      <x:c r="K33" s="21" t="str">
        <x:v>TECHNICAL_GLOSSARY</x:v>
      </x:c>
      <x:c r="L33" s="21" t="str">
        <x:v>IPCC climate-science glossary / assessment terminology</x:v>
      </x:c>
      <x:c r="M33" s="21" t="str">
        <x:v>Component headword checked: dioxide.</x:v>
      </x:c>
      <x:c r="N33" s="21" t="str">
        <x:v>Anchor-period research source/context; Webster 1913 stable component URL recorded but automated page retrieval was unavailable</x:v>
      </x:c>
      <x:c r="O33" s="21" t="str">
        <x:v>Carbon dioxide as an atmospheric constituent; the candidate is interpreted in its documented anchor and voice context.</x:v>
      </x:c>
      <x:c r="P33" s="21" t="str">
        <x:v>A climatic, atmospheric, meteorological, or causal-science sense in the documented anchor context.</x:v>
      </x:c>
      <x:c r="Q33" s="22" t="str">
        <x:v>NOT_AVAILABLE_IN_ACCESSED_SOURCES</x:v>
      </x:c>
      <x:c r="R33" s="21" t="str">
        <x:v>STRONG</x:v>
      </x:c>
      <x:c r="S33" s="21" t="str">
        <x:v>The surface form may realize multiple senses; candidate meaning remains anchored to the report-visible source context.</x:v>
      </x:c>
      <x:c r="T33" s="21" t="str">
        <x:v>https://www.ipcc.ch/site/assets/uploads/2018/02/WGIIAR5-AnnexII_FINAL.pdf; https://api.dictionaryapi.dev/api/v2/entries/en/carbon%20dioxide; https://websters1913.timcieplowski.com/word/dioxide/</x:v>
      </x:c>
      <x:c r="U33" s="49" t="str">
        <x:v>2026-08-26</x:v>
      </x:c>
    </x:row>
    <x:row r="34" ht="19" customHeight="1">
      <x:c r="A34" s="20" t="str">
        <x:v>FT-SEED-R1B-P-1938-03</x:v>
      </x:c>
      <x:c r="B34" s="22" t="str">
        <x:v>1938</x:v>
      </x:c>
      <x:c r="C34" s="22" t="str">
        <x:v>3</x:v>
      </x:c>
      <x:c r="D34" s="21" t="str">
        <x:v>fuel combustion</x:v>
      </x:c>
      <x:c r="E34" s="21" t="str">
        <x:v>anthropogenic carbon-dioxide production</x:v>
      </x:c>
      <x:c r="F34" s="22" t="str">
        <x:v>carbon_greenhouse</x:v>
      </x:c>
      <x:c r="G34" s="22" t="str">
        <x:v>B</x:v>
      </x:c>
      <x:c r="H34" s="22" t="str">
        <x:v>V1</x:v>
      </x:c>
      <x:c r="I34" s="22" t="str">
        <x:v>E5</x:v>
      </x:c>
      <x:c r="J34" s="21" t="str">
        <x:v>RECONSTRUCTED_FROM_REPORT; Fear of Temperature_ Stratified Lexical Expansion, Voice Mapping, and Semantic-Relational Pre-Valida.pdf; p.8; project candidate FT-SEED-R1B-P-1938-03; original visible ID not available</x:v>
      </x:c>
      <x:c r="K34" s="21" t="str">
        <x:v>TECHNICAL_GLOSSARY</x:v>
      </x:c>
      <x:c r="L34" s="21" t="str">
        <x:v>IPCC climate-science glossary / assessment terminology</x:v>
      </x:c>
      <x:c r="M34" s="21" t="str">
        <x:v>Component headword checked: combustion.</x:v>
      </x:c>
      <x:c r="N34" s="21" t="str">
        <x:v>Anchor-period research source/context; Webster 1913 stable component URL recorded but automated page retrieval was unavailable</x:v>
      </x:c>
      <x:c r="O34" s="21" t="str">
        <x:v>Human production of carbon dioxide as a climatic cause; the candidate is interpreted in its documented anchor and voice context.</x:v>
      </x:c>
      <x:c r="P34" s="21" t="str">
        <x:v>A climatic, atmospheric, meteorological, or causal-science sense in the documented anchor context.</x:v>
      </x:c>
      <x:c r="Q34" s="22" t="str">
        <x:v>NOT_AVAILABLE_IN_ACCESSED_SOURCES</x:v>
      </x:c>
      <x:c r="R34" s="21" t="str">
        <x:v>STRONG</x:v>
      </x:c>
      <x:c r="S34" s="21" t="str">
        <x:v>The surface form may realize multiple senses; candidate meaning remains anchored to the report-visible source context.</x:v>
      </x:c>
      <x:c r="T34" s="21" t="str">
        <x:v>https://www.ipcc.ch/site/assets/uploads/2018/02/WGIIAR5-AnnexII_FINAL.pdf; https://api.dictionaryapi.dev/api/v2/entries/en/fuel%20combustion; https://websters1913.timcieplowski.com/word/combustion/</x:v>
      </x:c>
      <x:c r="U34" s="49" t="str">
        <x:v>2026-08-26</x:v>
      </x:c>
    </x:row>
    <x:row r="35" ht="19" customHeight="1">
      <x:c r="A35" s="20" t="str">
        <x:v>FT-SEED-R1B-P-1938-04</x:v>
      </x:c>
      <x:c r="B35" s="22" t="str">
        <x:v>1938</x:v>
      </x:c>
      <x:c r="C35" s="22" t="str">
        <x:v>4</x:v>
      </x:c>
      <x:c r="D35" s="21" t="str">
        <x:v>air</x:v>
      </x:c>
      <x:c r="E35" s="21" t="str">
        <x:v>historical climate / climatological condition</x:v>
      </x:c>
      <x:c r="F35" s="22" t="str">
        <x:v>climate</x:v>
      </x:c>
      <x:c r="G35" s="22" t="str">
        <x:v>B</x:v>
      </x:c>
      <x:c r="H35" s="22" t="str">
        <x:v>V1</x:v>
      </x:c>
      <x:c r="I35" s="22" t="str">
        <x:v>E5</x:v>
      </x:c>
      <x:c r="J35" s="21" t="str">
        <x:v>RECONSTRUCTED_FROM_REPORT; Fear of Temperature_ Stratified Lexical Expansion, Voice Mapping, and Semantic-Relational Pre-Valida.pdf; p.8; project candidate FT-SEED-R1B-P-1938-04; original visible ID not available</x:v>
      </x:c>
      <x:c r="K35" s="21" t="str">
        <x:v>DIRECT_HEADWORD</x:v>
      </x:c>
      <x:c r="L35" s="21" t="str">
        <x:v>Webster's Revised Unabridged Dictionary (1913 public-domain headword index)</x:v>
      </x:c>
      <x:c r="M35" s="21" t="str">
        <x:v>Component headword checked: air.</x:v>
      </x:c>
      <x:c r="N35" s="21" t="str">
        <x:v>Webster's Revised Unabridged Dictionary (1913 public-domain edition)</x:v>
      </x:c>
      <x:c r="O35" s="21" t="str">
        <x:v>Climate as a historical, geographical, seasonal, or climatological condition; the candidate is interpreted in its documented anchor and voice context.</x:v>
      </x:c>
      <x:c r="P35" s="21" t="str">
        <x:v>A climatic, atmospheric, meteorological, or causal-science sense in the documented anchor context.</x:v>
      </x:c>
      <x:c r="Q35" s="22" t="str">
        <x:v>NOT_AVAILABLE_IN_ACCESSED_SOURCES</x:v>
      </x:c>
      <x:c r="R35" s="21" t="str">
        <x:v>STRONG</x:v>
      </x:c>
      <x:c r="S35" s="21" t="str">
        <x:v>The surface form may realize multiple senses; candidate meaning remains anchored to the report-visible source context.</x:v>
      </x:c>
      <x:c r="T35" s="21" t="str">
        <x:v>https://websters1913.timcieplowski.com/word/air/; https://api.dictionaryapi.dev/api/v2/entries/en/air</x:v>
      </x:c>
      <x:c r="U35" s="49" t="str">
        <x:v>2026-08-26</x:v>
      </x:c>
    </x:row>
    <x:row r="36" ht="19" customHeight="1">
      <x:c r="A36" s="20" t="str">
        <x:v>FT-SEED-R1B-P-1938-05</x:v>
      </x:c>
      <x:c r="B36" s="22" t="str">
        <x:v>1938</x:v>
      </x:c>
      <x:c r="C36" s="22" t="str">
        <x:v>5</x:v>
      </x:c>
      <x:c r="D36" s="21" t="str">
        <x:v>atmosphere</x:v>
      </x:c>
      <x:c r="E36" s="21" t="str">
        <x:v>historical climate / climatological condition</x:v>
      </x:c>
      <x:c r="F36" s="22" t="str">
        <x:v>climate</x:v>
      </x:c>
      <x:c r="G36" s="22" t="str">
        <x:v>B</x:v>
      </x:c>
      <x:c r="H36" s="22" t="str">
        <x:v>V1</x:v>
      </x:c>
      <x:c r="I36" s="22" t="str">
        <x:v>E5</x:v>
      </x:c>
      <x:c r="J36" s="21" t="str">
        <x:v>RECONSTRUCTED_FROM_REPORT; Fear of Temperature_ Stratified Lexical Expansion, Voice Mapping, and Semantic-Relational Pre-Valida.pdf; p.8; project candidate FT-SEED-R1B-P-1938-05; original visible ID not available</x:v>
      </x:c>
      <x:c r="K36" s="21" t="str">
        <x:v>TECHNICAL_GLOSSARY</x:v>
      </x:c>
      <x:c r="L36" s="21" t="str">
        <x:v>IPCC climate-science glossary / assessment terminology</x:v>
      </x:c>
      <x:c r="M36" s="21" t="str">
        <x:v>Component headword checked: atmosphere.</x:v>
      </x:c>
      <x:c r="N36" s="21" t="str">
        <x:v>Anchor-period research source/context; Webster 1913 stable component URL recorded but automated page retrieval was unavailable</x:v>
      </x:c>
      <x:c r="O36" s="21" t="str">
        <x:v>Climate as a historical, geographical, seasonal, or climatological condition; the candidate is interpreted in its documented anchor and voice context.</x:v>
      </x:c>
      <x:c r="P36" s="21" t="str">
        <x:v>A climatic, atmospheric, meteorological, or causal-science sense in the documented anchor context.</x:v>
      </x:c>
      <x:c r="Q36" s="22" t="str">
        <x:v>NOT_AVAILABLE_IN_ACCESSED_SOURCES</x:v>
      </x:c>
      <x:c r="R36" s="21" t="str">
        <x:v>STRONG</x:v>
      </x:c>
      <x:c r="S36" s="21" t="str">
        <x:v>The surface form may realize multiple senses; candidate meaning remains anchored to the report-visible source context.</x:v>
      </x:c>
      <x:c r="T36" s="21" t="str">
        <x:v>https://www.ipcc.ch/site/assets/uploads/2018/02/WGIIAR5-AnnexII_FINAL.pdf; https://api.dictionaryapi.dev/api/v2/entries/en/atmosphere; https://websters1913.timcieplowski.com/word/atmosphere/</x:v>
      </x:c>
      <x:c r="U36" s="49" t="str">
        <x:v>2026-08-26</x:v>
      </x:c>
    </x:row>
    <x:row r="37" ht="19" customHeight="1">
      <x:c r="A37" s="20" t="str">
        <x:v>FT-SEED-R1B-P-1938-06</x:v>
      </x:c>
      <x:c r="B37" s="22" t="str">
        <x:v>1938</x:v>
      </x:c>
      <x:c r="C37" s="22" t="str">
        <x:v>6</x:v>
      </x:c>
      <x:c r="D37" s="21" t="str">
        <x:v>radiation absorption coefficients</x:v>
      </x:c>
      <x:c r="E37" s="21" t="str">
        <x:v>historical climate / climatological condition</x:v>
      </x:c>
      <x:c r="F37" s="22" t="str">
        <x:v>climate</x:v>
      </x:c>
      <x:c r="G37" s="22" t="str">
        <x:v>B</x:v>
      </x:c>
      <x:c r="H37" s="22" t="str">
        <x:v>V1</x:v>
      </x:c>
      <x:c r="I37" s="22" t="str">
        <x:v>E5</x:v>
      </x:c>
      <x:c r="J37" s="21" t="str">
        <x:v>RECONSTRUCTED_FROM_REPORT; Fear of Temperature_ Stratified Lexical Expansion, Voice Mapping, and Semantic-Relational Pre-Valida.pdf; p.8; project candidate FT-SEED-R1B-P-1938-06; original visible ID not available</x:v>
      </x:c>
      <x:c r="K37" s="21" t="str">
        <x:v>TECHNICAL_GLOSSARY</x:v>
      </x:c>
      <x:c r="L37" s="21" t="str">
        <x:v>IPCC climate-science glossary / assessment terminology</x:v>
      </x:c>
      <x:c r="M37" s="21" t="str">
        <x:v>Component headword checked: coefficients.</x:v>
      </x:c>
      <x:c r="N37" s="21" t="str">
        <x:v>Anchor-period research source/context; Webster 1913 stable component URL recorded but automated page retrieval was unavailable</x:v>
      </x:c>
      <x:c r="O37" s="21" t="str">
        <x:v>Climate as a historical, geographical, seasonal, or climatological condition; the candidate is interpreted in its documented anchor and voice context.</x:v>
      </x:c>
      <x:c r="P37" s="21" t="str">
        <x:v>A climatic, atmospheric, meteorological, or causal-science sense in the documented anchor context.</x:v>
      </x:c>
      <x:c r="Q37" s="22" t="str">
        <x:v>NOT_AVAILABLE_IN_ACCESSED_SOURCES</x:v>
      </x:c>
      <x:c r="R37" s="21" t="str">
        <x:v>STRONG</x:v>
      </x:c>
      <x:c r="S37" s="21" t="str">
        <x:v>The surface form may realize multiple senses; candidate meaning remains anchored to the report-visible source context.</x:v>
      </x:c>
      <x:c r="T37" s="21" t="str">
        <x:v>https://www.ipcc.ch/site/assets/uploads/2018/02/WGIIAR5-AnnexII_FINAL.pdf; https://api.dictionaryapi.dev/api/v2/entries/en/radiation%20absorption%20coefficients; https://websters1913.timcieplowski.com/word/coefficients/</x:v>
      </x:c>
      <x:c r="U37" s="49" t="str">
        <x:v>2026-08-26</x:v>
      </x:c>
    </x:row>
    <x:row r="38" ht="19" customHeight="1">
      <x:c r="A38" s="20" t="str">
        <x:v>FT-SEED-R1B-P-1938-07</x:v>
      </x:c>
      <x:c r="B38" s="22" t="str">
        <x:v>1938</x:v>
      </x:c>
      <x:c r="C38" s="22" t="str">
        <x:v>7</x:v>
      </x:c>
      <x:c r="D38" s="21" t="str">
        <x:v>water vapour</x:v>
      </x:c>
      <x:c r="E38" s="21" t="str">
        <x:v>historical climate / climatological condition</x:v>
      </x:c>
      <x:c r="F38" s="22" t="str">
        <x:v>climate</x:v>
      </x:c>
      <x:c r="G38" s="22" t="str">
        <x:v>B</x:v>
      </x:c>
      <x:c r="H38" s="22" t="str">
        <x:v>V1</x:v>
      </x:c>
      <x:c r="I38" s="22" t="str">
        <x:v>E5</x:v>
      </x:c>
      <x:c r="J38" s="21" t="str">
        <x:v>RECONSTRUCTED_FROM_REPORT; Fear of Temperature_ Stratified Lexical Expansion, Voice Mapping, and Semantic-Relational Pre-Valida.pdf; p.8; project candidate FT-SEED-R1B-P-1938-07; original visible ID not available</x:v>
      </x:c>
      <x:c r="K38" s="21" t="str">
        <x:v>TECHNICAL_GLOSSARY</x:v>
      </x:c>
      <x:c r="L38" s="21" t="str">
        <x:v>IPCC climate-science glossary / assessment terminology</x:v>
      </x:c>
      <x:c r="M38" s="21" t="str">
        <x:v>Component headword checked: vapour.</x:v>
      </x:c>
      <x:c r="N38" s="21" t="str">
        <x:v>Anchor-period research source/context; Webster 1913 stable component URL recorded but automated page retrieval was unavailable</x:v>
      </x:c>
      <x:c r="O38" s="21" t="str">
        <x:v>Climate as a historical, geographical, seasonal, or climatological condition; the candidate is interpreted in its documented anchor and voice context.</x:v>
      </x:c>
      <x:c r="P38" s="21" t="str">
        <x:v>A climatic, atmospheric, meteorological, or causal-science sense in the documented anchor context.</x:v>
      </x:c>
      <x:c r="Q38" s="22" t="str">
        <x:v>NOT_AVAILABLE_IN_ACCESSED_SOURCES</x:v>
      </x:c>
      <x:c r="R38" s="21" t="str">
        <x:v>STRONG</x:v>
      </x:c>
      <x:c r="S38" s="21" t="str">
        <x:v>The surface form may realize multiple senses; candidate meaning remains anchored to the report-visible source context.</x:v>
      </x:c>
      <x:c r="T38" s="21" t="str">
        <x:v>https://www.ipcc.ch/site/assets/uploads/2018/02/WGIIAR5-AnnexII_FINAL.pdf; https://api.dictionaryapi.dev/api/v2/entries/en/water%20vapour; https://websters1913.timcieplowski.com/word/vapour/</x:v>
      </x:c>
      <x:c r="U38" s="49" t="str">
        <x:v>2026-08-26</x:v>
      </x:c>
    </x:row>
    <x:row r="39" ht="19" customHeight="1">
      <x:c r="A39" s="20" t="str">
        <x:v>FT-SEED-R1B-P-1938-08</x:v>
      </x:c>
      <x:c r="B39" s="22" t="str">
        <x:v>1938</x:v>
      </x:c>
      <x:c r="C39" s="22" t="str">
        <x:v>8</x:v>
      </x:c>
      <x:c r="D39" s="21" t="str">
        <x:v>sky radiation</x:v>
      </x:c>
      <x:c r="E39" s="21" t="str">
        <x:v>historical climate / climatological condition</x:v>
      </x:c>
      <x:c r="F39" s="22" t="str">
        <x:v>climate</x:v>
      </x:c>
      <x:c r="G39" s="22" t="str">
        <x:v>B</x:v>
      </x:c>
      <x:c r="H39" s="22" t="str">
        <x:v>V1</x:v>
      </x:c>
      <x:c r="I39" s="22" t="str">
        <x:v>E5</x:v>
      </x:c>
      <x:c r="J39" s="21" t="str">
        <x:v>RECONSTRUCTED_FROM_REPORT; Fear of Temperature_ Stratified Lexical Expansion, Voice Mapping, and Semantic-Relational Pre-Valida.pdf; p.8; project candidate FT-SEED-R1B-P-1938-08; original visible ID not available</x:v>
      </x:c>
      <x:c r="K39" s="21" t="str">
        <x:v>NO_STANDALONE_HEADWORD</x:v>
      </x:c>
      <x:c r="L39" s="21" t="str">
        <x:v>Component lexical analysis plus anchor-source contextual meaning</x:v>
      </x:c>
      <x:c r="M39" s="21" t="str">
        <x:v>Component headword checked: radiation.</x:v>
      </x:c>
      <x:c r="N39" s="21" t="str">
        <x:v>Anchor-period research source/context; Webster 1913 stable component URL recorded but automated page retrieval was unavailable</x:v>
      </x:c>
      <x:c r="O39" s="21" t="str">
        <x:v>Climate as a historical, geographical, seasonal, or climatological condition; the candidate is interpreted in its documented anchor and voice context.</x:v>
      </x:c>
      <x:c r="P39" s="21" t="str">
        <x:v>A climatic, atmospheric, meteorological, or causal-science sense in the documented anchor context.</x:v>
      </x:c>
      <x:c r="Q39" s="22" t="str">
        <x:v>NOT_AVAILABLE_IN_ACCESSED_SOURCES</x:v>
      </x:c>
      <x:c r="R39" s="21" t="str">
        <x:v>STRONG</x:v>
      </x:c>
      <x:c r="S39" s="21" t="str">
        <x:v>The surface form may realize multiple senses; candidate meaning remains anchored to the report-visible source context.</x:v>
      </x:c>
      <x:c r="T39" s="21" t="str">
        <x:v>Fear of Temperature_ Stratified Lexical Expansion, Voice Mapping, and Semantic-Relational Pre-Valida.pdf#page=8; https://api.dictionaryapi.dev/api/v2/entries/en/sky%20radiation; https://websters1913.timcieplowski.com/word/radiation/</x:v>
      </x:c>
      <x:c r="U39" s="49" t="str">
        <x:v>2026-08-26</x:v>
      </x:c>
    </x:row>
    <x:row r="40" ht="19" customHeight="1">
      <x:c r="A40" s="20" t="str">
        <x:v>FT-SEED-R1B-P-1938-09</x:v>
      </x:c>
      <x:c r="B40" s="22" t="str">
        <x:v>1938</x:v>
      </x:c>
      <x:c r="C40" s="22" t="str">
        <x:v>9</x:v>
      </x:c>
      <x:c r="D40" s="21" t="str">
        <x:v>increase in mean temperature</x:v>
      </x:c>
      <x:c r="E40" s="21" t="str">
        <x:v>mean temperature</x:v>
      </x:c>
      <x:c r="F40" s="22" t="str">
        <x:v>temperature_threshold</x:v>
      </x:c>
      <x:c r="G40" s="22" t="str">
        <x:v>A</x:v>
      </x:c>
      <x:c r="H40" s="22" t="str">
        <x:v>V1</x:v>
      </x:c>
      <x:c r="I40" s="22" t="str">
        <x:v>E5</x:v>
      </x:c>
      <x:c r="J40" s="21" t="str">
        <x:v>RECONSTRUCTED_FROM_REPORT; Fear of Temperature_ Stratified Lexical Expansion, Voice Mapping, and Semantic-Relational Pre-Valida.pdf; p.8; project candidate FT-SEED-R1B-P-1938-09; original visible ID not available</x:v>
      </x:c>
      <x:c r="K40" s="21" t="str">
        <x:v>NO_STANDALONE_HEADWORD</x:v>
      </x:c>
      <x:c r="L40" s="21" t="str">
        <x:v>Component lexical analysis plus anchor-source contextual meaning</x:v>
      </x:c>
      <x:c r="M40" s="21" t="str">
        <x:v>Component headword checked: temperature.</x:v>
      </x:c>
      <x:c r="N40" s="21" t="str">
        <x:v>Anchor-period research source/context; Webster 1913 stable component URL recorded but automated page retrieval was unavailable</x:v>
      </x:c>
      <x:c r="O40" s="21" t="str">
        <x:v>A temporally or spatially averaged temperature value; the candidate is interpreted in its documented anchor and voice context.</x:v>
      </x:c>
      <x:c r="P40" s="21" t="str">
        <x:v>A physical temperature, warming, heat, or measurement sense in the documented anchor context.</x:v>
      </x:c>
      <x:c r="Q40" s="22" t="str">
        <x:v>NOT_AVAILABLE_IN_ACCESSED_SOURCES</x:v>
      </x:c>
      <x:c r="R40" s="21" t="str">
        <x:v>STRONG</x:v>
      </x:c>
      <x:c r="S40" s="21" t="str">
        <x:v>The surface form may realize multiple senses; candidate meaning remains anchored to the report-visible source context.</x:v>
      </x:c>
      <x:c r="T40" s="21" t="str">
        <x:v>Fear of Temperature_ Stratified Lexical Expansion, Voice Mapping, and Semantic-Relational Pre-Valida.pdf#page=8; https://api.dictionaryapi.dev/api/v2/entries/en/increase%20in%20mean%20temperature; https://websters1913.timcieplowski.com/word/temperature/</x:v>
      </x:c>
      <x:c r="U40" s="49" t="str">
        <x:v>2026-08-26</x:v>
      </x:c>
    </x:row>
    <x:row r="41" ht="19" customHeight="1">
      <x:c r="A41" s="20" t="str">
        <x:v>FT-SEED-R1B-P-1938-10</x:v>
      </x:c>
      <x:c r="B41" s="22" t="str">
        <x:v>1938</x:v>
      </x:c>
      <x:c r="C41" s="22" t="str">
        <x:v>10</x:v>
      </x:c>
      <x:c r="D41" s="21" t="str">
        <x:v>mean temperature</x:v>
      </x:c>
      <x:c r="E41" s="21" t="str">
        <x:v>mean temperature</x:v>
      </x:c>
      <x:c r="F41" s="22" t="str">
        <x:v>temperature_threshold</x:v>
      </x:c>
      <x:c r="G41" s="22" t="str">
        <x:v>A</x:v>
      </x:c>
      <x:c r="H41" s="22" t="str">
        <x:v>V1</x:v>
      </x:c>
      <x:c r="I41" s="22" t="str">
        <x:v>E5</x:v>
      </x:c>
      <x:c r="J41" s="21" t="str">
        <x:v>RECONSTRUCTED_FROM_REPORT; Fear of Temperature_ Stratified Lexical Expansion, Voice Mapping, and Semantic-Relational Pre-Valida.pdf; p.8; project candidate FT-SEED-R1B-P-1938-10; original visible ID not available</x:v>
      </x:c>
      <x:c r="K41" s="21" t="str">
        <x:v>NO_STANDALONE_HEADWORD</x:v>
      </x:c>
      <x:c r="L41" s="21" t="str">
        <x:v>Component lexical analysis plus anchor-source contextual meaning</x:v>
      </x:c>
      <x:c r="M41" s="21" t="str">
        <x:v>Component headword checked: temperature.</x:v>
      </x:c>
      <x:c r="N41" s="21" t="str">
        <x:v>Anchor-period research source/context; Webster 1913 stable component URL recorded but automated page retrieval was unavailable</x:v>
      </x:c>
      <x:c r="O41" s="21" t="str">
        <x:v>A temporally or spatially averaged temperature value; the candidate is interpreted in its documented anchor and voice context.</x:v>
      </x:c>
      <x:c r="P41" s="21" t="str">
        <x:v>A physical temperature, warming, heat, or measurement sense in the documented anchor context.</x:v>
      </x:c>
      <x:c r="Q41" s="22" t="str">
        <x:v>NOT_AVAILABLE_IN_ACCESSED_SOURCES</x:v>
      </x:c>
      <x:c r="R41" s="21" t="str">
        <x:v>STRONG</x:v>
      </x:c>
      <x:c r="S41" s="21" t="str">
        <x:v>The surface form may realize multiple senses; candidate meaning remains anchored to the report-visible source context.</x:v>
      </x:c>
      <x:c r="T41" s="21" t="str">
        <x:v>Fear of Temperature_ Stratified Lexical Expansion, Voice Mapping, and Semantic-Relational Pre-Valida.pdf#page=8; https://api.dictionaryapi.dev/api/v2/entries/en/mean%20temperature; https://websters1913.timcieplowski.com/word/temperature/</x:v>
      </x:c>
      <x:c r="U41" s="49" t="str">
        <x:v>2026-08-26</x:v>
      </x:c>
    </x:row>
    <x:row r="42" ht="19" customHeight="1">
      <x:c r="A42" s="20" t="str">
        <x:v>FT-SEED-R1B-P-1938-11</x:v>
      </x:c>
      <x:c r="B42" s="22" t="str">
        <x:v>1938</x:v>
      </x:c>
      <x:c r="C42" s="22" t="str">
        <x:v>11</x:v>
      </x:c>
      <x:c r="D42" s="21" t="str">
        <x:v>temperature observations</x:v>
      </x:c>
      <x:c r="E42" s="21" t="str">
        <x:v>local / instrumental temperature</x:v>
      </x:c>
      <x:c r="F42" s="22" t="str">
        <x:v>temperature_threshold</x:v>
      </x:c>
      <x:c r="G42" s="22" t="str">
        <x:v>A</x:v>
      </x:c>
      <x:c r="H42" s="22" t="str">
        <x:v>V1</x:v>
      </x:c>
      <x:c r="I42" s="22" t="str">
        <x:v>E5</x:v>
      </x:c>
      <x:c r="J42" s="21" t="str">
        <x:v>RECONSTRUCTED_FROM_REPORT; Fear of Temperature_ Stratified Lexical Expansion, Voice Mapping, and Semantic-Relational Pre-Valida.pdf; p.7; project candidate FT-SEED-R1B-P-1938-11; original visible ID not available</x:v>
      </x:c>
      <x:c r="K42" s="21" t="str">
        <x:v>NO_STANDALONE_HEADWORD</x:v>
      </x:c>
      <x:c r="L42" s="21" t="str">
        <x:v>Component lexical analysis plus anchor-source contextual meaning</x:v>
      </x:c>
      <x:c r="M42" s="21" t="str">
        <x:v>Component headword checked: observations.</x:v>
      </x:c>
      <x:c r="N42" s="21" t="str">
        <x:v>Anchor-period research source/context; Webster 1913 stable component URL recorded but automated page retrieval was unavailable</x:v>
      </x:c>
      <x:c r="O42" s="21" t="str">
        <x:v>A local or instrument-specific temperature reading; the candidate is interpreted in its documented anchor and voice context.</x:v>
      </x:c>
      <x:c r="P42" s="21" t="str">
        <x:v>A physical temperature, warming, heat, or measurement sense in the documented anchor context.</x:v>
      </x:c>
      <x:c r="Q42" s="22" t="str">
        <x:v>NOT_AVAILABLE_IN_ACCESSED_SOURCES</x:v>
      </x:c>
      <x:c r="R42" s="21" t="str">
        <x:v>STRONG</x:v>
      </x:c>
      <x:c r="S42" s="21" t="str">
        <x:v>The surface form may realize multiple senses; candidate meaning remains anchored to the report-visible source context.</x:v>
      </x:c>
      <x:c r="T42" s="21" t="str">
        <x:v>Fear of Temperature_ Stratified Lexical Expansion, Voice Mapping, and Semantic-Relational Pre-Valida.pdf#page=7; https://api.dictionaryapi.dev/api/v2/entries/en/temperature%20observations; https://websters1913.timcieplowski.com/word/observations/</x:v>
      </x:c>
      <x:c r="U42" s="49" t="str">
        <x:v>2026-08-26</x:v>
      </x:c>
    </x:row>
    <x:row r="43" ht="19" customHeight="1">
      <x:c r="A43" s="20" t="str">
        <x:v>FT-SEED-R1B-P-1938-12</x:v>
      </x:c>
      <x:c r="B43" s="22" t="str">
        <x:v>1938</x:v>
      </x:c>
      <x:c r="C43" s="22" t="str">
        <x:v>12</x:v>
      </x:c>
      <x:c r="D43" s="21" t="str">
        <x:v>meteorological stations</x:v>
      </x:c>
      <x:c r="E43" s="21" t="str">
        <x:v>historical climate / climatological condition</x:v>
      </x:c>
      <x:c r="F43" s="22" t="str">
        <x:v>climate</x:v>
      </x:c>
      <x:c r="G43" s="22" t="str">
        <x:v>B</x:v>
      </x:c>
      <x:c r="H43" s="22" t="str">
        <x:v>V1</x:v>
      </x:c>
      <x:c r="I43" s="22" t="str">
        <x:v>E5</x:v>
      </x:c>
      <x:c r="J43" s="21" t="str">
        <x:v>RECONSTRUCTED_FROM_REPORT; Fear of Temperature_ Stratified Lexical Expansion, Voice Mapping, and Semantic-Relational Pre-Valida.pdf; p.7; project candidate FT-SEED-R1B-P-1938-12; original visible ID not available</x:v>
      </x:c>
      <x:c r="K43" s="21" t="str">
        <x:v>NO_STANDALONE_HEADWORD</x:v>
      </x:c>
      <x:c r="L43" s="21" t="str">
        <x:v>Component lexical analysis plus anchor-source contextual meaning</x:v>
      </x:c>
      <x:c r="M43" s="21" t="str">
        <x:v>Component headword checked: stations.</x:v>
      </x:c>
      <x:c r="N43" s="21" t="str">
        <x:v>Anchor-period research source/context; Webster 1913 stable component URL recorded but automated page retrieval was unavailable</x:v>
      </x:c>
      <x:c r="O43" s="21" t="str">
        <x:v>Climate as a historical, geographical, seasonal, or climatological condition; the candidate is interpreted in its documented anchor and voice context.</x:v>
      </x:c>
      <x:c r="P43" s="21" t="str">
        <x:v>A climatic, atmospheric, meteorological, or causal-science sense in the documented anchor context.</x:v>
      </x:c>
      <x:c r="Q43" s="22" t="str">
        <x:v>NOT_AVAILABLE_IN_ACCESSED_SOURCES</x:v>
      </x:c>
      <x:c r="R43" s="21" t="str">
        <x:v>STRONG</x:v>
      </x:c>
      <x:c r="S43" s="21" t="str">
        <x:v>The surface form may realize multiple senses; candidate meaning remains anchored to the report-visible source context.</x:v>
      </x:c>
      <x:c r="T43" s="21" t="str">
        <x:v>Fear of Temperature_ Stratified Lexical Expansion, Voice Mapping, and Semantic-Relational Pre-Valida.pdf#page=7; https://api.dictionaryapi.dev/api/v2/entries/en/meteorological%20stations; https://websters1913.timcieplowski.com/word/stations/</x:v>
      </x:c>
      <x:c r="U43" s="49" t="str">
        <x:v>2026-08-26</x:v>
      </x:c>
    </x:row>
    <x:row r="44" ht="19" customHeight="1">
      <x:c r="A44" s="20" t="str">
        <x:v>FT-SEED-R1B-P-1938-13</x:v>
      </x:c>
      <x:c r="B44" s="22" t="str">
        <x:v>1938</x:v>
      </x:c>
      <x:c r="C44" s="22" t="str">
        <x:v>13</x:v>
      </x:c>
      <x:c r="D44" s="21" t="str">
        <x:v>world temperatures</x:v>
      </x:c>
      <x:c r="E44" s="21" t="str">
        <x:v>global aggregate temperature</x:v>
      </x:c>
      <x:c r="F44" s="22" t="str">
        <x:v>temperature_threshold</x:v>
      </x:c>
      <x:c r="G44" s="22" t="str">
        <x:v>A</x:v>
      </x:c>
      <x:c r="H44" s="22" t="str">
        <x:v>V1</x:v>
      </x:c>
      <x:c r="I44" s="22" t="str">
        <x:v>E5</x:v>
      </x:c>
      <x:c r="J44" s="21" t="str">
        <x:v>RECONSTRUCTED_FROM_REPORT; Fear of Temperature_ Stratified Lexical Expansion, Voice Mapping, and Semantic-Relational Pre-Valida.pdf; p.8; project candidate FT-SEED-R1B-P-1938-13; original visible ID not available</x:v>
      </x:c>
      <x:c r="K44" s="21" t="str">
        <x:v>NO_STANDALONE_HEADWORD</x:v>
      </x:c>
      <x:c r="L44" s="21" t="str">
        <x:v>Component lexical analysis plus anchor-source contextual meaning</x:v>
      </x:c>
      <x:c r="M44" s="21" t="str">
        <x:v>Component headword checked: temperatures.</x:v>
      </x:c>
      <x:c r="N44" s="21" t="str">
        <x:v>Anchor-period research source/context; Webster 1913 stable component URL recorded but automated page retrieval was unavailable</x:v>
      </x:c>
      <x:c r="O44" s="21" t="str">
        <x:v>A global-scale aggregate temperature metric; the candidate is interpreted in its documented anchor and voice context.</x:v>
      </x:c>
      <x:c r="P44" s="21" t="str">
        <x:v>A physical temperature, warming, heat, or measurement sense in the documented anchor context.</x:v>
      </x:c>
      <x:c r="Q44" s="22" t="str">
        <x:v>NOT_AVAILABLE_IN_ACCESSED_SOURCES</x:v>
      </x:c>
      <x:c r="R44" s="21" t="str">
        <x:v>STRONG</x:v>
      </x:c>
      <x:c r="S44" s="21" t="str">
        <x:v>The surface form may realize multiple senses; candidate meaning remains anchored to the report-visible source context.</x:v>
      </x:c>
      <x:c r="T44" s="21" t="str">
        <x:v>Fear of Temperature_ Stratified Lexical Expansion, Voice Mapping, and Semantic-Relational Pre-Valida.pdf#page=8; https://api.dictionaryapi.dev/api/v2/entries/en/world%20temperatures; https://websters1913.timcieplowski.com/word/temperatures/</x:v>
      </x:c>
      <x:c r="U44" s="49" t="str">
        <x:v>2026-08-26</x:v>
      </x:c>
    </x:row>
    <x:row r="45" ht="19" customHeight="1">
      <x:c r="A45" s="20" t="str">
        <x:v>FT-SEED-R1B-P-1938-14</x:v>
      </x:c>
      <x:c r="B45" s="22" t="str">
        <x:v>1938</x:v>
      </x:c>
      <x:c r="C45" s="22" t="str">
        <x:v>14</x:v>
      </x:c>
      <x:c r="D45" s="21" t="str">
        <x:v>actually increased</x:v>
      </x:c>
      <x:c r="E45" s="21" t="str">
        <x:v>temperature increase</x:v>
      </x:c>
      <x:c r="F45" s="22" t="str">
        <x:v>warming</x:v>
      </x:c>
      <x:c r="G45" s="22" t="str">
        <x:v>A</x:v>
      </x:c>
      <x:c r="H45" s="22" t="str">
        <x:v>V1</x:v>
      </x:c>
      <x:c r="I45" s="22" t="str">
        <x:v>E5</x:v>
      </x:c>
      <x:c r="J45" s="21" t="str">
        <x:v>RECONSTRUCTED_FROM_REPORT; Fear of Temperature_ Stratified Lexical Expansion, Voice Mapping, and Semantic-Relational Pre-Valida.pdf; p.8; project candidate FT-SEED-R1B-P-1938-14; original visible ID not available</x:v>
      </x:c>
      <x:c r="K45" s="21" t="str">
        <x:v>NO_STANDALONE_HEADWORD</x:v>
      </x:c>
      <x:c r="L45" s="21" t="str">
        <x:v>Component lexical analysis plus anchor-source contextual meaning</x:v>
      </x:c>
      <x:c r="M45" s="21" t="str">
        <x:v>Component headword checked: increased.</x:v>
      </x:c>
      <x:c r="N45" s="21" t="str">
        <x:v>Anchor-period research source/context; Webster 1913 stable component URL recorded but automated page retrieval was unavailable</x:v>
      </x:c>
      <x:c r="O45" s="21" t="str">
        <x:v>An observed, estimated, or projected increase in temperature; the candidate is interpreted in its documented anchor and voice context.</x:v>
      </x:c>
      <x:c r="P45" s="21" t="str">
        <x:v>A physical temperature, warming, heat, or measurement sense in the documented anchor context.</x:v>
      </x:c>
      <x:c r="Q45" s="22" t="str">
        <x:v>NOT_AVAILABLE_IN_ACCESSED_SOURCES</x:v>
      </x:c>
      <x:c r="R45" s="21" t="str">
        <x:v>STRONG</x:v>
      </x:c>
      <x:c r="S45" s="21" t="str">
        <x:v>The surface form may realize multiple senses; candidate meaning remains anchored to the report-visible source context.</x:v>
      </x:c>
      <x:c r="T45" s="21" t="str">
        <x:v>Fear of Temperature_ Stratified Lexical Expansion, Voice Mapping, and Semantic-Relational Pre-Valida.pdf#page=8; https://api.dictionaryapi.dev/api/v2/entries/en/actually%20increased; https://websters1913.timcieplowski.com/word/increased/</x:v>
      </x:c>
      <x:c r="U45" s="49" t="str">
        <x:v>2026-08-26</x:v>
      </x:c>
    </x:row>
    <x:row r="46" ht="19" customHeight="1">
      <x:c r="A46" s="20" t="str">
        <x:v>FT-SEED-R1B-P-1938-15</x:v>
      </x:c>
      <x:c r="B46" s="22" t="str">
        <x:v>1938</x:v>
      </x:c>
      <x:c r="C46" s="22" t="str">
        <x:v>15</x:v>
      </x:c>
      <x:c r="D46" s="21" t="str">
        <x:v>average rate</x:v>
      </x:c>
      <x:c r="E46" s="21" t="str">
        <x:v>local / instrumental temperature</x:v>
      </x:c>
      <x:c r="F46" s="22" t="str">
        <x:v>temperature_threshold</x:v>
      </x:c>
      <x:c r="G46" s="22" t="str">
        <x:v>A</x:v>
      </x:c>
      <x:c r="H46" s="22" t="str">
        <x:v>V1</x:v>
      </x:c>
      <x:c r="I46" s="22" t="str">
        <x:v>E5</x:v>
      </x:c>
      <x:c r="J46" s="21" t="str">
        <x:v>RECONSTRUCTED_FROM_REPORT; Fear of Temperature_ Stratified Lexical Expansion, Voice Mapping, and Semantic-Relational Pre-Valida.pdf; p.8; project candidate FT-SEED-R1B-P-1938-15; original visible ID not available</x:v>
      </x:c>
      <x:c r="K46" s="21" t="str">
        <x:v>NO_STANDALONE_HEADWORD</x:v>
      </x:c>
      <x:c r="L46" s="21" t="str">
        <x:v>Component lexical analysis plus anchor-source contextual meaning</x:v>
      </x:c>
      <x:c r="M46" s="21" t="str">
        <x:v>Component headword checked: rate.</x:v>
      </x:c>
      <x:c r="N46" s="21" t="str">
        <x:v>Anchor-period research source/context; Webster 1913 stable component URL recorded but automated page retrieval was unavailable</x:v>
      </x:c>
      <x:c r="O46" s="21" t="str">
        <x:v>A local or instrument-specific temperature reading; the candidate is interpreted in its documented anchor and voice context.</x:v>
      </x:c>
      <x:c r="P46" s="21" t="str">
        <x:v>A physical temperature, warming, heat, or measurement sense in the documented anchor context.</x:v>
      </x:c>
      <x:c r="Q46" s="22" t="str">
        <x:v>NOT_AVAILABLE_IN_ACCESSED_SOURCES</x:v>
      </x:c>
      <x:c r="R46" s="21" t="str">
        <x:v>STRONG</x:v>
      </x:c>
      <x:c r="S46" s="21" t="str">
        <x:v>The surface form may realize multiple senses; candidate meaning remains anchored to the report-visible source context.</x:v>
      </x:c>
      <x:c r="T46" s="21" t="str">
        <x:v>Fear of Temperature_ Stratified Lexical Expansion, Voice Mapping, and Semantic-Relational Pre-Valida.pdf#page=8; https://api.dictionaryapi.dev/api/v2/entries/en/average%20rate; https://websters1913.timcieplowski.com/word/rate/</x:v>
      </x:c>
      <x:c r="U46" s="49" t="str">
        <x:v>2026-08-26</x:v>
      </x:c>
    </x:row>
    <x:row r="47" ht="19" customHeight="1">
      <x:c r="A47" s="20" t="str">
        <x:v>FT-SEED-R1B-P-1938-16</x:v>
      </x:c>
      <x:c r="B47" s="22" t="str">
        <x:v>1938</x:v>
      </x:c>
      <x:c r="C47" s="22" t="str">
        <x:v>16</x:v>
      </x:c>
      <x:c r="D47" s="21" t="str">
        <x:v>small increases in mean temperature</x:v>
      </x:c>
      <x:c r="E47" s="21" t="str">
        <x:v>mean temperature</x:v>
      </x:c>
      <x:c r="F47" s="22" t="str">
        <x:v>temperature_threshold</x:v>
      </x:c>
      <x:c r="G47" s="22" t="str">
        <x:v>A</x:v>
      </x:c>
      <x:c r="H47" s="22" t="str">
        <x:v>V1</x:v>
      </x:c>
      <x:c r="I47" s="22" t="str">
        <x:v>E5</x:v>
      </x:c>
      <x:c r="J47" s="21" t="str">
        <x:v>RECONSTRUCTED_FROM_REPORT; Fear of Temperature_ Stratified Lexical Expansion, Voice Mapping, and Semantic-Relational Pre-Valida.pdf; p.8; project candidate FT-SEED-R1B-P-1938-16; original visible ID not available</x:v>
      </x:c>
      <x:c r="K47" s="21" t="str">
        <x:v>NO_STANDALONE_HEADWORD</x:v>
      </x:c>
      <x:c r="L47" s="21" t="str">
        <x:v>Component lexical analysis plus anchor-source contextual meaning</x:v>
      </x:c>
      <x:c r="M47" s="21" t="str">
        <x:v>Component headword checked: temperature.</x:v>
      </x:c>
      <x:c r="N47" s="21" t="str">
        <x:v>Anchor-period research source/context; Webster 1913 stable component URL recorded but automated page retrieval was unavailable</x:v>
      </x:c>
      <x:c r="O47" s="21" t="str">
        <x:v>A temporally or spatially averaged temperature value; the candidate is interpreted in its documented anchor and voice context.</x:v>
      </x:c>
      <x:c r="P47" s="21" t="str">
        <x:v>A physical temperature, warming, heat, or measurement sense in the documented anchor context.</x:v>
      </x:c>
      <x:c r="Q47" s="22" t="str">
        <x:v>NOT_AVAILABLE_IN_ACCESSED_SOURCES</x:v>
      </x:c>
      <x:c r="R47" s="21" t="str">
        <x:v>STRONG</x:v>
      </x:c>
      <x:c r="S47" s="21" t="str">
        <x:v>The surface form may realize multiple senses; candidate meaning remains anchored to the report-visible source context.</x:v>
      </x:c>
      <x:c r="T47" s="21" t="str">
        <x:v>Fear of Temperature_ Stratified Lexical Expansion, Voice Mapping, and Semantic-Relational Pre-Valida.pdf#page=8; https://api.dictionaryapi.dev/api/v2/entries/en/small%20increases%20in%20mean%20temperature; https://websters1913.timcieplowski.com/word/temperature/</x:v>
      </x:c>
      <x:c r="U47" s="49" t="str">
        <x:v>2026-08-26</x:v>
      </x:c>
    </x:row>
    <x:row r="48" ht="19" customHeight="1">
      <x:c r="A48" s="20" t="str">
        <x:v>FT-SEED-R1B-P-1938-17</x:v>
      </x:c>
      <x:c r="B48" s="22" t="str">
        <x:v>1938</x:v>
      </x:c>
      <x:c r="C48" s="22" t="str">
        <x:v>17</x:v>
      </x:c>
      <x:c r="D48" s="21" t="str">
        <x:v>deadly glaciers</x:v>
      </x:c>
      <x:c r="E48" s="21" t="str">
        <x:v>institutional climate threat</x:v>
      </x:c>
      <x:c r="F48" s="22" t="str">
        <x:v>danger_threat</x:v>
      </x:c>
      <x:c r="G48" s="22" t="str">
        <x:v>D</x:v>
      </x:c>
      <x:c r="H48" s="22" t="str">
        <x:v>V1</x:v>
      </x:c>
      <x:c r="I48" s="22" t="str">
        <x:v>E5</x:v>
      </x:c>
      <x:c r="J48" s="21" t="str">
        <x:v>RECONSTRUCTED_FROM_REPORT; Fear of Temperature_ Stratified Lexical Expansion, Voice Mapping, and Semantic-Relational Pre-Valida.pdf; p.8; project candidate FT-SEED-R1B-P-1938-17; original visible ID not available</x:v>
      </x:c>
      <x:c r="K48" s="21" t="str">
        <x:v>NO_STANDALONE_HEADWORD</x:v>
      </x:c>
      <x:c r="L48" s="21" t="str">
        <x:v>Component lexical analysis plus anchor-source contextual meaning</x:v>
      </x:c>
      <x:c r="M48" s="21" t="str">
        <x:v>Component headword checked: glaciers.</x:v>
      </x:c>
      <x:c r="N48" s="21" t="str">
        <x:v>Anchor-period research source/context; Webster 1913 stable component URL recorded but automated page retrieval was unavailable</x:v>
      </x:c>
      <x:c r="O48" s="21" t="str">
        <x:v>Climate change framed as an institutional threat; the candidate is interpreted in its documented anchor and voice context.</x:v>
      </x:c>
      <x:c r="P48" s="21" t="str">
        <x:v>A threat, risk, harm, severity, or consequence sense in the documented source; it is not automatically an emotion.</x:v>
      </x:c>
      <x:c r="Q48" s="22" t="str">
        <x:v>NOT_AVAILABLE_IN_ACCESSED_SOURCES</x:v>
      </x:c>
      <x:c r="R48" s="21" t="str">
        <x:v>STRONG</x:v>
      </x:c>
      <x:c r="S48" s="21" t="str">
        <x:v>The surface form may realize multiple senses; candidate meaning remains anchored to the report-visible source context.</x:v>
      </x:c>
      <x:c r="T48" s="21" t="str">
        <x:v>Fear of Temperature_ Stratified Lexical Expansion, Voice Mapping, and Semantic-Relational Pre-Valida.pdf#page=8; https://api.dictionaryapi.dev/api/v2/entries/en/deadly%20glaciers; https://websters1913.timcieplowski.com/word/glaciers/</x:v>
      </x:c>
      <x:c r="U48" s="49" t="str">
        <x:v>2026-08-26</x:v>
      </x:c>
    </x:row>
    <x:row r="49" ht="19" customHeight="1">
      <x:c r="A49" s="20" t="str">
        <x:v>FT-SEED-R1B-P-1938-18</x:v>
      </x:c>
      <x:c r="B49" s="22" t="str">
        <x:v>1938</x:v>
      </x:c>
      <x:c r="C49" s="22" t="str">
        <x:v>18</x:v>
      </x:c>
      <x:c r="D49" s="21" t="str">
        <x:v>rather a coincidence</x:v>
      </x:c>
      <x:c r="E49" s="21" t="str">
        <x:v>personal concern</x:v>
      </x:c>
      <x:c r="F49" s="22" t="str">
        <x:v>concern_alarm</x:v>
      </x:c>
      <x:c r="G49" s="22" t="str">
        <x:v>C</x:v>
      </x:c>
      <x:c r="H49" s="22" t="str">
        <x:v>V1</x:v>
      </x:c>
      <x:c r="I49" s="22" t="str">
        <x:v>E2</x:v>
      </x:c>
      <x:c r="J49" s="21" t="str">
        <x:v>RECONSTRUCTED_FROM_REPORT; Fear of Temperature_ Stratified Lexical Expansion, Voice Mapping, and Semantic-Relational Pre-Valida.pdf; p.8; project candidate FT-SEED-R1B-P-1938-18; original visible ID not available</x:v>
      </x:c>
      <x:c r="K49" s="21" t="str">
        <x:v>NO_STANDALONE_HEADWORD</x:v>
      </x:c>
      <x:c r="L49" s="21" t="str">
        <x:v>Component lexical analysis plus anchor-source contextual meaning</x:v>
      </x:c>
      <x:c r="M49" s="21" t="str">
        <x:v>Component headword checked: coincidence.</x:v>
      </x:c>
      <x:c r="N49" s="21" t="str">
        <x:v>Anchor-period research source/context; Webster 1913 stable component URL recorded but automated page retrieval was unavailable</x:v>
      </x:c>
      <x:c r="O49" s="21" t="str">
        <x:v>Concern expressed or endorsed by an identifiable person about a climate or heat object; the candidate is interpreted in its documented anchor and voice context.</x:v>
      </x:c>
      <x:c r="P49" s="21" t="str">
        <x:v>An epistemic evaluation that two observations may coincide rather than stand in a causal relation; normally no affect.</x:v>
      </x:c>
      <x:c r="Q49" s="22" t="str">
        <x:v>NOT_AVAILABLE_IN_ACCESSED_SOURCES</x:v>
      </x:c>
      <x:c r="R49" s="21" t="str">
        <x:v>STRONG</x:v>
      </x:c>
      <x:c r="S49" s="21" t="str">
        <x:v>Coincidence has epistemic and event-overlap senses; neither should be recoded as emotion here.</x:v>
      </x:c>
      <x:c r="T49" s="21" t="str">
        <x:v>Fear of Temperature_ Stratified Lexical Expansion, Voice Mapping, and Semantic-Relational Pre-Valida.pdf#page=8; https://api.dictionaryapi.dev/api/v2/entries/en/rather%20a%20coincidence; https://websters1913.timcieplowski.com/word/coincidence/</x:v>
      </x:c>
      <x:c r="U49" s="49" t="str">
        <x:v>2026-08-26</x:v>
      </x:c>
    </x:row>
    <x:row r="50" ht="19" customHeight="1">
      <x:c r="A50" s="20" t="str">
        <x:v>FT-SEED-R1B-P-1938-19</x:v>
      </x:c>
      <x:c r="B50" s="22" t="str">
        <x:v>1938</x:v>
      </x:c>
      <x:c r="C50" s="22" t="str">
        <x:v>19</x:v>
      </x:c>
      <x:c r="D50" s="21" t="str">
        <x:v>Hottest Day for Ten Years</x:v>
      </x:c>
      <x:c r="E50" s="21" t="str">
        <x:v>heatwave / weather event</x:v>
      </x:c>
      <x:c r="F50" s="22" t="str">
        <x:v>heat</x:v>
      </x:c>
      <x:c r="G50" s="22" t="str">
        <x:v>A</x:v>
      </x:c>
      <x:c r="H50" s="22" t="str">
        <x:v>V3</x:v>
      </x:c>
      <x:c r="I50" s="22" t="str">
        <x:v>E5</x:v>
      </x:c>
      <x:c r="J50" s="21" t="str">
        <x:v>RECONSTRUCTED_FROM_REPORT; Fear of Temperature_ Stratified Lexical Expansion, Voice Mapping, and Semantic-Relational Pre-Valida.pdf; p.8; project candidate FT-SEED-R1B-P-1938-19; original visible ID not available</x:v>
      </x:c>
      <x:c r="K50" s="21" t="str">
        <x:v>NO_STANDALONE_HEADWORD</x:v>
      </x:c>
      <x:c r="L50" s="21" t="str">
        <x:v>Component lexical analysis plus anchor-source contextual meaning</x:v>
      </x:c>
      <x:c r="M50" s="21" t="str">
        <x:v>Component headword checked: years.</x:v>
      </x:c>
      <x:c r="N50" s="21" t="str">
        <x:v>Anchor-period research source/context; Webster 1913 stable component URL recorded but automated page retrieval was unavailable</x:v>
      </x:c>
      <x:c r="O50" s="21" t="str">
        <x:v>A bounded hot-weather or heatwave event; the candidate is interpreted in its documented anchor and voice context.</x:v>
      </x:c>
      <x:c r="P50" s="21" t="str">
        <x:v>A physical temperature, warming, heat, or measurement sense in the documented anchor context.</x:v>
      </x:c>
      <x:c r="Q50" s="22" t="str">
        <x:v>NOT_AVAILABLE_IN_ACCESSED_SOURCES</x:v>
      </x:c>
      <x:c r="R50" s="21" t="str">
        <x:v>STRONG</x:v>
      </x:c>
      <x:c r="S50" s="21" t="str">
        <x:v>The surface form may realize multiple senses; candidate meaning remains anchored to the report-visible source context.</x:v>
      </x:c>
      <x:c r="T50" s="21" t="str">
        <x:v>Fear of Temperature_ Stratified Lexical Expansion, Voice Mapping, and Semantic-Relational Pre-Valida.pdf#page=8; https://api.dictionaryapi.dev/api/v2/entries/en/Hottest%20Day%20for%20Ten%20Years; https://websters1913.timcieplowski.com/word/years/</x:v>
      </x:c>
      <x:c r="U50" s="49" t="str">
        <x:v>2026-08-26</x:v>
      </x:c>
    </x:row>
    <x:row r="51" ht="19" customHeight="1">
      <x:c r="A51" s="20" t="str">
        <x:v>FT-SEED-R1B-P-1938-20</x:v>
      </x:c>
      <x:c r="B51" s="22" t="str">
        <x:v>1938</x:v>
      </x:c>
      <x:c r="C51" s="22" t="str">
        <x:v>20</x:v>
      </x:c>
      <x:c r="D51" s="21" t="str">
        <x:v>Heat Wave Over Queensland</x:v>
      </x:c>
      <x:c r="E51" s="21" t="str">
        <x:v>heatwave / weather event</x:v>
      </x:c>
      <x:c r="F51" s="22" t="str">
        <x:v>heat</x:v>
      </x:c>
      <x:c r="G51" s="22" t="str">
        <x:v>A</x:v>
      </x:c>
      <x:c r="H51" s="22" t="str">
        <x:v>V3</x:v>
      </x:c>
      <x:c r="I51" s="22" t="str">
        <x:v>E5</x:v>
      </x:c>
      <x:c r="J51" s="21" t="str">
        <x:v>RECONSTRUCTED_FROM_REPORT; Fear of Temperature_ Stratified Lexical Expansion, Voice Mapping, and Semantic-Relational Pre-Valida.pdf; p.8; project candidate FT-SEED-R1B-P-1938-20; original visible ID not available</x:v>
      </x:c>
      <x:c r="K51" s="21" t="str">
        <x:v>NO_STANDALONE_HEADWORD</x:v>
      </x:c>
      <x:c r="L51" s="21" t="str">
        <x:v>Component lexical analysis plus anchor-source contextual meaning</x:v>
      </x:c>
      <x:c r="M51" s="21" t="str">
        <x:v>Component headword checked: queensland.</x:v>
      </x:c>
      <x:c r="N51" s="21" t="str">
        <x:v>Anchor-period research source/context; Webster 1913 stable component URL recorded but automated page retrieval was unavailable</x:v>
      </x:c>
      <x:c r="O51" s="21" t="str">
        <x:v>A bounded hot-weather or heatwave event; the candidate is interpreted in its documented anchor and voice context.</x:v>
      </x:c>
      <x:c r="P51" s="21" t="str">
        <x:v>A physical temperature, warming, heat, or measurement sense in the documented anchor context.</x:v>
      </x:c>
      <x:c r="Q51" s="22" t="str">
        <x:v>NOT_AVAILABLE_IN_ACCESSED_SOURCES</x:v>
      </x:c>
      <x:c r="R51" s="21" t="str">
        <x:v>STRONG</x:v>
      </x:c>
      <x:c r="S51" s="21" t="str">
        <x:v>The surface form may realize multiple senses; candidate meaning remains anchored to the report-visible source context.</x:v>
      </x:c>
      <x:c r="T51" s="21" t="str">
        <x:v>Fear of Temperature_ Stratified Lexical Expansion, Voice Mapping, and Semantic-Relational Pre-Valida.pdf#page=8; https://api.dictionaryapi.dev/api/v2/entries/en/Heat%20Wave%20Over%20Queensland; https://websters1913.timcieplowski.com/word/queensland/</x:v>
      </x:c>
      <x:c r="U51" s="49" t="str">
        <x:v>2026-08-26</x:v>
      </x:c>
    </x:row>
    <x:row r="52" ht="19" customHeight="1">
      <x:c r="A52" s="20" t="str">
        <x:v>FT-SEED-R1B-P-1938-21</x:v>
      </x:c>
      <x:c r="B52" s="22" t="str">
        <x:v>1938</x:v>
      </x:c>
      <x:c r="C52" s="22" t="str">
        <x:v>21</x:v>
      </x:c>
      <x:c r="D52" s="21" t="str">
        <x:v>heat wave</x:v>
      </x:c>
      <x:c r="E52" s="21" t="str">
        <x:v>heatwave / weather event</x:v>
      </x:c>
      <x:c r="F52" s="22" t="str">
        <x:v>heat</x:v>
      </x:c>
      <x:c r="G52" s="22" t="str">
        <x:v>A</x:v>
      </x:c>
      <x:c r="H52" s="22" t="str">
        <x:v>V3</x:v>
      </x:c>
      <x:c r="I52" s="22" t="str">
        <x:v>E5</x:v>
      </x:c>
      <x:c r="J52" s="21" t="str">
        <x:v>RECONSTRUCTED_FROM_REPORT; Fear of Temperature_ Stratified Lexical Expansion, Voice Mapping, and Semantic-Relational Pre-Valida.pdf; p.7; project candidate FT-SEED-R1B-P-1938-21; original visible ID not available</x:v>
      </x:c>
      <x:c r="K52" s="21" t="str">
        <x:v>NO_STANDALONE_HEADWORD</x:v>
      </x:c>
      <x:c r="L52" s="21" t="str">
        <x:v>Component lexical analysis plus anchor-source contextual meaning</x:v>
      </x:c>
      <x:c r="M52" s="21" t="str">
        <x:v>Component headword checked: wave.</x:v>
      </x:c>
      <x:c r="N52" s="21" t="str">
        <x:v>Anchor-period research source/context; Webster 1913 stable component URL recorded but automated page retrieval was unavailable</x:v>
      </x:c>
      <x:c r="O52" s="21" t="str">
        <x:v>A bounded hot-weather or heatwave event; the candidate is interpreted in its documented anchor and voice context.</x:v>
      </x:c>
      <x:c r="P52" s="21" t="str">
        <x:v>A physical temperature, warming, heat, or measurement sense in the documented anchor context.</x:v>
      </x:c>
      <x:c r="Q52" s="22" t="str">
        <x:v>NOT_AVAILABLE_IN_ACCESSED_SOURCES</x:v>
      </x:c>
      <x:c r="R52" s="21" t="str">
        <x:v>STRONG</x:v>
      </x:c>
      <x:c r="S52" s="21" t="str">
        <x:v>The surface form may realize multiple senses; candidate meaning remains anchored to the report-visible source context.</x:v>
      </x:c>
      <x:c r="T52" s="21" t="str">
        <x:v>Fear of Temperature_ Stratified Lexical Expansion, Voice Mapping, and Semantic-Relational Pre-Valida.pdf#page=9; https://api.dictionaryapi.dev/api/v2/entries/en/heat%20wave; https://websters1913.timcieplowski.com/word/wave/</x:v>
      </x:c>
      <x:c r="U52" s="49" t="str">
        <x:v>2026-08-26</x:v>
      </x:c>
    </x:row>
    <x:row r="53" ht="19" customHeight="1">
      <x:c r="A53" s="20" t="str">
        <x:v>FT-SEED-R1B-P-1938-22</x:v>
      </x:c>
      <x:c r="B53" s="22" t="str">
        <x:v>1938</x:v>
      </x:c>
      <x:c r="C53" s="22" t="str">
        <x:v>22</x:v>
      </x:c>
      <x:c r="D53" s="21" t="str">
        <x:v>40-degree temperatures</x:v>
      </x:c>
      <x:c r="E53" s="21" t="str">
        <x:v>local / instrumental temperature</x:v>
      </x:c>
      <x:c r="F53" s="22" t="str">
        <x:v>temperature_threshold</x:v>
      </x:c>
      <x:c r="G53" s="22" t="str">
        <x:v>A</x:v>
      </x:c>
      <x:c r="H53" s="22" t="str">
        <x:v>V3</x:v>
      </x:c>
      <x:c r="I53" s="22" t="str">
        <x:v>E5</x:v>
      </x:c>
      <x:c r="J53" s="21" t="str">
        <x:v>RECONSTRUCTED_FROM_REPORT; Fear of Temperature_ Stratified Lexical Expansion, Voice Mapping, and Semantic-Relational Pre-Valida.pdf; p.7; project candidate FT-SEED-R1B-P-1938-22; original visible ID not available</x:v>
      </x:c>
      <x:c r="K53" s="21" t="str">
        <x:v>NO_STANDALONE_HEADWORD</x:v>
      </x:c>
      <x:c r="L53" s="21" t="str">
        <x:v>Component lexical analysis plus anchor-source contextual meaning</x:v>
      </x:c>
      <x:c r="M53" s="21" t="str">
        <x:v>Component headword checked: temperatures.</x:v>
      </x:c>
      <x:c r="N53" s="21" t="str">
        <x:v>Anchor-period research source/context; Webster 1913 stable component URL recorded but automated page retrieval was unavailable</x:v>
      </x:c>
      <x:c r="O53" s="21" t="str">
        <x:v>A local or instrument-specific temperature reading; the candidate is interpreted in its documented anchor and voice context.</x:v>
      </x:c>
      <x:c r="P53" s="21" t="str">
        <x:v>A physical temperature, warming, heat, or measurement sense in the documented anchor context.</x:v>
      </x:c>
      <x:c r="Q53" s="22" t="str">
        <x:v>NOT_AVAILABLE_IN_ACCESSED_SOURCES</x:v>
      </x:c>
      <x:c r="R53" s="21" t="str">
        <x:v>STRONG</x:v>
      </x:c>
      <x:c r="S53" s="21" t="str">
        <x:v>The surface form may realize multiple senses; candidate meaning remains anchored to the report-visible source context.</x:v>
      </x:c>
      <x:c r="T53" s="21" t="str">
        <x:v>Fear of Temperature_ Stratified Lexical Expansion, Voice Mapping, and Semantic-Relational Pre-Valida.pdf#page=7; https://api.dictionaryapi.dev/api/v2/entries/en/40-degree%20temperatures; https://websters1913.timcieplowski.com/word/temperatures/</x:v>
      </x:c>
      <x:c r="U53" s="49" t="str">
        <x:v>2026-08-26</x:v>
      </x:c>
    </x:row>
    <x:row r="54" ht="19" customHeight="1">
      <x:c r="A54" s="20" t="str">
        <x:v>FT-SEED-R1B-P-1938-23</x:v>
      </x:c>
      <x:c r="B54" s="22" t="str">
        <x:v>1938</x:v>
      </x:c>
      <x:c r="C54" s="22" t="str">
        <x:v>23</x:v>
      </x:c>
      <x:c r="D54" s="21" t="str">
        <x:v>scorching westerly wind</x:v>
      </x:c>
      <x:c r="E54" s="21" t="str">
        <x:v>heatwave / weather event</x:v>
      </x:c>
      <x:c r="F54" s="22" t="str">
        <x:v>heat</x:v>
      </x:c>
      <x:c r="G54" s="22" t="str">
        <x:v>D</x:v>
      </x:c>
      <x:c r="H54" s="22" t="str">
        <x:v>V3</x:v>
      </x:c>
      <x:c r="I54" s="22" t="str">
        <x:v>E5</x:v>
      </x:c>
      <x:c r="J54" s="21" t="str">
        <x:v>RECONSTRUCTED_FROM_REPORT; Fear of Temperature_ Stratified Lexical Expansion, Voice Mapping, and Semantic-Relational Pre-Valida.pdf; p.8; project candidate FT-SEED-R1B-P-1938-23; original visible ID not available</x:v>
      </x:c>
      <x:c r="K54" s="21" t="str">
        <x:v>NO_STANDALONE_HEADWORD</x:v>
      </x:c>
      <x:c r="L54" s="21" t="str">
        <x:v>Component lexical analysis plus anchor-source contextual meaning</x:v>
      </x:c>
      <x:c r="M54" s="21" t="str">
        <x:v>Component headword checked: wind.</x:v>
      </x:c>
      <x:c r="N54" s="21" t="str">
        <x:v>Anchor-period research source/context; Webster 1913 stable component URL recorded but automated page retrieval was unavailable</x:v>
      </x:c>
      <x:c r="O54" s="21" t="str">
        <x:v>A bounded hot-weather or heatwave event; the candidate is interpreted in its documented anchor and voice context.</x:v>
      </x:c>
      <x:c r="P54" s="21" t="str">
        <x:v>A threat, risk, harm, severity, or consequence sense in the documented source; it is not automatically an emotion.</x:v>
      </x:c>
      <x:c r="Q54" s="22" t="str">
        <x:v>NOT_AVAILABLE_IN_ACCESSED_SOURCES</x:v>
      </x:c>
      <x:c r="R54" s="21" t="str">
        <x:v>STRONG</x:v>
      </x:c>
      <x:c r="S54" s="21" t="str">
        <x:v>The surface form may realize multiple senses; candidate meaning remains anchored to the report-visible source context.</x:v>
      </x:c>
      <x:c r="T54" s="21" t="str">
        <x:v>Fear of Temperature_ Stratified Lexical Expansion, Voice Mapping, and Semantic-Relational Pre-Valida.pdf#page=8; https://api.dictionaryapi.dev/api/v2/entries/en/scorching%20westerly%20wind; https://websters1913.timcieplowski.com/word/wind/</x:v>
      </x:c>
      <x:c r="U54" s="49" t="str">
        <x:v>2026-08-26</x:v>
      </x:c>
    </x:row>
    <x:row r="55" ht="19" customHeight="1">
      <x:c r="A55" s="20" t="str">
        <x:v>FT-SEED-R1B-P-1938-24</x:v>
      </x:c>
      <x:c r="B55" s="22" t="str">
        <x:v>1938</x:v>
      </x:c>
      <x:c r="C55" s="22" t="str">
        <x:v>24</x:v>
      </x:c>
      <x:c r="D55" s="21" t="str">
        <x:v>pitiless sun</x:v>
      </x:c>
      <x:c r="E55" s="21" t="str">
        <x:v>physical heat source / state</x:v>
      </x:c>
      <x:c r="F55" s="22" t="str">
        <x:v>heat</x:v>
      </x:c>
      <x:c r="G55" s="22" t="str">
        <x:v>D</x:v>
      </x:c>
      <x:c r="H55" s="22" t="str">
        <x:v>V3</x:v>
      </x:c>
      <x:c r="I55" s="22" t="str">
        <x:v>E5</x:v>
      </x:c>
      <x:c r="J55" s="21" t="str">
        <x:v>RECONSTRUCTED_FROM_REPORT; Fear of Temperature_ Stratified Lexical Expansion, Voice Mapping, and Semantic-Relational Pre-Valida.pdf; p.8; project candidate FT-SEED-R1B-P-1938-24; original visible ID not available</x:v>
      </x:c>
      <x:c r="K55" s="21" t="str">
        <x:v>NO_STANDALONE_HEADWORD</x:v>
      </x:c>
      <x:c r="L55" s="21" t="str">
        <x:v>Component lexical analysis plus anchor-source contextual meaning</x:v>
      </x:c>
      <x:c r="M55" s="21" t="str">
        <x:v>Component headword checked: sun.</x:v>
      </x:c>
      <x:c r="N55" s="21" t="str">
        <x:v>Anchor-period research source/context; Webster 1913 stable component URL recorded but automated page retrieval was unavailable</x:v>
      </x:c>
      <x:c r="O55" s="21" t="str">
        <x:v>Heat as a physical source, state, or thermal condition; the candidate is interpreted in its documented anchor and voice context.</x:v>
      </x:c>
      <x:c r="P55" s="21" t="str">
        <x:v>A threat, risk, harm, severity, or consequence sense in the documented source; it is not automatically an emotion.</x:v>
      </x:c>
      <x:c r="Q55" s="22" t="str">
        <x:v>NOT_AVAILABLE_IN_ACCESSED_SOURCES</x:v>
      </x:c>
      <x:c r="R55" s="21" t="str">
        <x:v>STRONG</x:v>
      </x:c>
      <x:c r="S55" s="21" t="str">
        <x:v>The surface form may realize multiple senses; candidate meaning remains anchored to the report-visible source context.</x:v>
      </x:c>
      <x:c r="T55" s="21" t="str">
        <x:v>Fear of Temperature_ Stratified Lexical Expansion, Voice Mapping, and Semantic-Relational Pre-Valida.pdf#page=8; https://api.dictionaryapi.dev/api/v2/entries/en/pitiless%20sun; https://websters1913.timcieplowski.com/word/sun/</x:v>
      </x:c>
      <x:c r="U55" s="49" t="str">
        <x:v>2026-08-26</x:v>
      </x:c>
    </x:row>
    <x:row r="56" ht="19" customHeight="1">
      <x:c r="A56" s="20" t="str">
        <x:v>FT-SEED-R1B-P-1938-25</x:v>
      </x:c>
      <x:c r="B56" s="22" t="str">
        <x:v>1938</x:v>
      </x:c>
      <x:c r="C56" s="22" t="str">
        <x:v>25</x:v>
      </x:c>
      <x:c r="D56" s="21" t="str">
        <x:v>hottest spell for years</x:v>
      </x:c>
      <x:c r="E56" s="21" t="str">
        <x:v>heatwave / weather event</x:v>
      </x:c>
      <x:c r="F56" s="22" t="str">
        <x:v>heat</x:v>
      </x:c>
      <x:c r="G56" s="22" t="str">
        <x:v>A</x:v>
      </x:c>
      <x:c r="H56" s="22" t="str">
        <x:v>V3</x:v>
      </x:c>
      <x:c r="I56" s="22" t="str">
        <x:v>E5</x:v>
      </x:c>
      <x:c r="J56" s="21" t="str">
        <x:v>RECONSTRUCTED_FROM_REPORT; Fear of Temperature_ Stratified Lexical Expansion, Voice Mapping, and Semantic-Relational Pre-Valida.pdf; p.8; project candidate FT-SEED-R1B-P-1938-25; original visible ID not available</x:v>
      </x:c>
      <x:c r="K56" s="21" t="str">
        <x:v>NO_STANDALONE_HEADWORD</x:v>
      </x:c>
      <x:c r="L56" s="21" t="str">
        <x:v>Component lexical analysis plus anchor-source contextual meaning</x:v>
      </x:c>
      <x:c r="M56" s="21" t="str">
        <x:v>Component headword checked: years.</x:v>
      </x:c>
      <x:c r="N56" s="21" t="str">
        <x:v>Anchor-period research source/context; Webster 1913 stable component URL recorded but automated page retrieval was unavailable</x:v>
      </x:c>
      <x:c r="O56" s="21" t="str">
        <x:v>A bounded hot-weather or heatwave event; the candidate is interpreted in its documented anchor and voice context.</x:v>
      </x:c>
      <x:c r="P56" s="21" t="str">
        <x:v>A physical temperature, warming, heat, or measurement sense in the documented anchor context.</x:v>
      </x:c>
      <x:c r="Q56" s="22" t="str">
        <x:v>NOT_AVAILABLE_IN_ACCESSED_SOURCES</x:v>
      </x:c>
      <x:c r="R56" s="21" t="str">
        <x:v>STRONG</x:v>
      </x:c>
      <x:c r="S56" s="21" t="str">
        <x:v>The surface form may realize multiple senses; candidate meaning remains anchored to the report-visible source context.</x:v>
      </x:c>
      <x:c r="T56" s="21" t="str">
        <x:v>Fear of Temperature_ Stratified Lexical Expansion, Voice Mapping, and Semantic-Relational Pre-Valida.pdf#page=8; https://api.dictionaryapi.dev/api/v2/entries/en/hottest%20spell%20for%20years; https://websters1913.timcieplowski.com/word/years/</x:v>
      </x:c>
      <x:c r="U56" s="49" t="str">
        <x:v>2026-08-26</x:v>
      </x:c>
    </x:row>
    <x:row r="57" ht="19" customHeight="1">
      <x:c r="A57" s="20" t="str">
        <x:v>FT-SEED-R1B-P-1938-26</x:v>
      </x:c>
      <x:c r="B57" s="22" t="str">
        <x:v>1938</x:v>
      </x:c>
      <x:c r="C57" s="22" t="str">
        <x:v>26</x:v>
      </x:c>
      <x:c r="D57" s="21" t="str">
        <x:v>weather is just bearable</x:v>
      </x:c>
      <x:c r="E57" s="21" t="str">
        <x:v>personal concern</x:v>
      </x:c>
      <x:c r="F57" s="22" t="str">
        <x:v>concern_alarm</x:v>
      </x:c>
      <x:c r="G57" s="22" t="str">
        <x:v>C</x:v>
      </x:c>
      <x:c r="H57" s="22" t="str">
        <x:v>V3</x:v>
      </x:c>
      <x:c r="I57" s="22" t="str">
        <x:v>E5</x:v>
      </x:c>
      <x:c r="J57" s="21" t="str">
        <x:v>RECONSTRUCTED_FROM_REPORT; Fear of Temperature_ Stratified Lexical Expansion, Voice Mapping, and Semantic-Relational Pre-Valida.pdf; p.8; project candidate FT-SEED-R1B-P-1938-26; original visible ID not available</x:v>
      </x:c>
      <x:c r="K57" s="21" t="str">
        <x:v>NO_STANDALONE_HEADWORD</x:v>
      </x:c>
      <x:c r="L57" s="21" t="str">
        <x:v>Component lexical analysis plus anchor-source contextual meaning</x:v>
      </x:c>
      <x:c r="M57" s="21" t="str">
        <x:v>Component headword checked: bearable.</x:v>
      </x:c>
      <x:c r="N57" s="21" t="str">
        <x:v>Anchor-period research source/context; Webster 1913 stable component URL recorded but automated page retrieval was unavailable</x:v>
      </x:c>
      <x:c r="O57" s="21" t="str">
        <x:v>Concern expressed or endorsed by an identifiable person about a climate or heat object; the candidate is interpreted in its documented anchor and voice context.</x:v>
      </x:c>
      <x:c r="P57" s="21" t="str">
        <x:v>The candidate's affective or evaluative sense as used by the documented speaker/instrument/research voice at the anchor.</x:v>
      </x:c>
      <x:c r="Q57" s="22" t="str">
        <x:v>NOT_AVAILABLE_IN_ACCESSED_SOURCES</x:v>
      </x:c>
      <x:c r="R57" s="21" t="str">
        <x:v>STRONG</x:v>
      </x:c>
      <x:c r="S57" s="21" t="str">
        <x:v>The surface form may realize multiple senses; candidate meaning remains anchored to the report-visible source context.</x:v>
      </x:c>
      <x:c r="T57" s="21" t="str">
        <x:v>Fear of Temperature_ Stratified Lexical Expansion, Voice Mapping, and Semantic-Relational Pre-Valida.pdf#page=8; https://api.dictionaryapi.dev/api/v2/entries/en/weather%20is%20just%20bearable; https://websters1913.timcieplowski.com/word/bearable/</x:v>
      </x:c>
      <x:c r="U57" s="49" t="str">
        <x:v>2026-08-26</x:v>
      </x:c>
    </x:row>
    <x:row r="58" ht="19" customHeight="1">
      <x:c r="A58" s="20" t="str">
        <x:v>FT-SEED-R1B-P-1938-27</x:v>
      </x:c>
      <x:c r="B58" s="22" t="str">
        <x:v>1938</x:v>
      </x:c>
      <x:c r="C58" s="22" t="str">
        <x:v>27</x:v>
      </x:c>
      <x:c r="D58" s="21" t="str">
        <x:v>heat records</x:v>
      </x:c>
      <x:c r="E58" s="21" t="str">
        <x:v>physical heat source / state</x:v>
      </x:c>
      <x:c r="F58" s="22" t="str">
        <x:v>heat</x:v>
      </x:c>
      <x:c r="G58" s="22" t="str">
        <x:v>A</x:v>
      </x:c>
      <x:c r="H58" s="22" t="str">
        <x:v>V3</x:v>
      </x:c>
      <x:c r="I58" s="22" t="str">
        <x:v>E5</x:v>
      </x:c>
      <x:c r="J58" s="21" t="str">
        <x:v>RECONSTRUCTED_FROM_REPORT; Fear of Temperature_ Stratified Lexical Expansion, Voice Mapping, and Semantic-Relational Pre-Valida.pdf; p.8; project candidate FT-SEED-R1B-P-1938-27; original visible ID not available</x:v>
      </x:c>
      <x:c r="K58" s="21" t="str">
        <x:v>NO_STANDALONE_HEADWORD</x:v>
      </x:c>
      <x:c r="L58" s="21" t="str">
        <x:v>Component lexical analysis plus anchor-source contextual meaning</x:v>
      </x:c>
      <x:c r="M58" s="21" t="str">
        <x:v>Component headword checked: records.</x:v>
      </x:c>
      <x:c r="N58" s="21" t="str">
        <x:v>Anchor-period research source/context; Webster 1913 stable component URL recorded but automated page retrieval was unavailable</x:v>
      </x:c>
      <x:c r="O58" s="21" t="str">
        <x:v>Heat as a physical source, state, or thermal condition; the candidate is interpreted in its documented anchor and voice context.</x:v>
      </x:c>
      <x:c r="P58" s="21" t="str">
        <x:v>A physical temperature, warming, heat, or measurement sense in the documented anchor context.</x:v>
      </x:c>
      <x:c r="Q58" s="22" t="str">
        <x:v>NOT_AVAILABLE_IN_ACCESSED_SOURCES</x:v>
      </x:c>
      <x:c r="R58" s="21" t="str">
        <x:v>STRONG</x:v>
      </x:c>
      <x:c r="S58" s="21" t="str">
        <x:v>The surface form may realize multiple senses; candidate meaning remains anchored to the report-visible source context.</x:v>
      </x:c>
      <x:c r="T58" s="21" t="str">
        <x:v>Fear of Temperature_ Stratified Lexical Expansion, Voice Mapping, and Semantic-Relational Pre-Valida.pdf#page=8; https://api.dictionaryapi.dev/api/v2/entries/en/heat%20records; https://websters1913.timcieplowski.com/word/records/</x:v>
      </x:c>
      <x:c r="U58" s="49" t="str">
        <x:v>2026-08-26</x:v>
      </x:c>
    </x:row>
    <x:row r="59" ht="19" customHeight="1">
      <x:c r="A59" s="20" t="str">
        <x:v>FT-SEED-R1B-P-1938-28</x:v>
      </x:c>
      <x:c r="B59" s="22" t="str">
        <x:v>1938</x:v>
      </x:c>
      <x:c r="C59" s="22" t="str">
        <x:v>28</x:v>
      </x:c>
      <x:c r="D59" s="21" t="str">
        <x:v>drought</x:v>
      </x:c>
      <x:c r="E59" s="21" t="str">
        <x:v>generic damage</x:v>
      </x:c>
      <x:c r="F59" s="22" t="str">
        <x:v>harm_loss_consequences</x:v>
      </x:c>
      <x:c r="G59" s="22" t="str">
        <x:v>D</x:v>
      </x:c>
      <x:c r="H59" s="22" t="str">
        <x:v>V3</x:v>
      </x:c>
      <x:c r="I59" s="22" t="str">
        <x:v>E5</x:v>
      </x:c>
      <x:c r="J59" s="21" t="str">
        <x:v>RECONSTRUCTED_FROM_REPORT; Fear of Temperature_ Stratified Lexical Expansion, Voice Mapping, and Semantic-Relational Pre-Valida.pdf; p.8; project candidate FT-SEED-R1B-P-1938-28; original visible ID not available</x:v>
      </x:c>
      <x:c r="K59" s="21" t="str">
        <x:v>DIRECT_HEADWORD</x:v>
      </x:c>
      <x:c r="L59" s="21" t="str">
        <x:v>Webster's Revised Unabridged Dictionary (1913 public-domain headword index)</x:v>
      </x:c>
      <x:c r="M59" s="21" t="str">
        <x:v>Component headword checked: drought.</x:v>
      </x:c>
      <x:c r="N59" s="21" t="str">
        <x:v>Anchor-period research source/context; Webster 1913 stable component URL recorded but automated page retrieval was unavailable</x:v>
      </x:c>
      <x:c r="O59" s="21" t="str">
        <x:v>Generic material, ecological, or social damage; the candidate is interpreted in its documented anchor and voice context.</x:v>
      </x:c>
      <x:c r="P59" s="21" t="str">
        <x:v>A threat, risk, harm, severity, or consequence sense in the documented source; it is not automatically an emotion.</x:v>
      </x:c>
      <x:c r="Q59" s="22" t="str">
        <x:v>NOT_AVAILABLE_IN_ACCESSED_SOURCES</x:v>
      </x:c>
      <x:c r="R59" s="21" t="str">
        <x:v>STRONG</x:v>
      </x:c>
      <x:c r="S59" s="21" t="str">
        <x:v>The surface form may realize multiple senses; candidate meaning remains anchored to the report-visible source context.</x:v>
      </x:c>
      <x:c r="T59" s="21" t="str">
        <x:v>https://websters1913.timcieplowski.com/word/drought/; https://api.dictionaryapi.dev/api/v2/entries/en/drought</x:v>
      </x:c>
      <x:c r="U59" s="49" t="str">
        <x:v>2026-08-26</x:v>
      </x:c>
    </x:row>
    <x:row r="60" ht="19" customHeight="1">
      <x:c r="A60" s="20" t="str">
        <x:v>FT-SEED-R1B-P-1938-29</x:v>
      </x:c>
      <x:c r="B60" s="22" t="str">
        <x:v>1938</x:v>
      </x:c>
      <x:c r="C60" s="22" t="str">
        <x:v>29</x:v>
      </x:c>
      <x:c r="D60" s="21" t="str">
        <x:v>grass fires</x:v>
      </x:c>
      <x:c r="E60" s="21" t="str">
        <x:v>generic damage</x:v>
      </x:c>
      <x:c r="F60" s="22" t="str">
        <x:v>harm_loss_consequences</x:v>
      </x:c>
      <x:c r="G60" s="22" t="str">
        <x:v>D</x:v>
      </x:c>
      <x:c r="H60" s="22" t="str">
        <x:v>V3</x:v>
      </x:c>
      <x:c r="I60" s="22" t="str">
        <x:v>E5</x:v>
      </x:c>
      <x:c r="J60" s="21" t="str">
        <x:v>RECONSTRUCTED_FROM_REPORT; Fear of Temperature_ Stratified Lexical Expansion, Voice Mapping, and Semantic-Relational Pre-Valida.pdf; p.8; project candidate FT-SEED-R1B-P-1938-29; original visible ID not available</x:v>
      </x:c>
      <x:c r="K60" s="21" t="str">
        <x:v>NO_STANDALONE_HEADWORD</x:v>
      </x:c>
      <x:c r="L60" s="21" t="str">
        <x:v>Component lexical analysis plus anchor-source contextual meaning</x:v>
      </x:c>
      <x:c r="M60" s="21" t="str">
        <x:v>Component headword checked: fires.</x:v>
      </x:c>
      <x:c r="N60" s="21" t="str">
        <x:v>Anchor-period research source/context; Webster 1913 stable component URL recorded but automated page retrieval was unavailable</x:v>
      </x:c>
      <x:c r="O60" s="21" t="str">
        <x:v>Generic material, ecological, or social damage; the candidate is interpreted in its documented anchor and voice context.</x:v>
      </x:c>
      <x:c r="P60" s="21" t="str">
        <x:v>A threat, risk, harm, severity, or consequence sense in the documented source; it is not automatically an emotion.</x:v>
      </x:c>
      <x:c r="Q60" s="22" t="str">
        <x:v>NOT_AVAILABLE_IN_ACCESSED_SOURCES</x:v>
      </x:c>
      <x:c r="R60" s="21" t="str">
        <x:v>STRONG</x:v>
      </x:c>
      <x:c r="S60" s="21" t="str">
        <x:v>The surface form may realize multiple senses; candidate meaning remains anchored to the report-visible source context.</x:v>
      </x:c>
      <x:c r="T60" s="21" t="str">
        <x:v>Fear of Temperature_ Stratified Lexical Expansion, Voice Mapping, and Semantic-Relational Pre-Valida.pdf#page=8; https://api.dictionaryapi.dev/api/v2/entries/en/grass%20fires; https://websters1913.timcieplowski.com/word/fires/</x:v>
      </x:c>
      <x:c r="U60" s="49" t="str">
        <x:v>2026-08-26</x:v>
      </x:c>
    </x:row>
    <x:row r="61" ht="19" customHeight="1">
      <x:c r="A61" s="20" t="str">
        <x:v>FT-SEED-R1B-P-1938-30</x:v>
      </x:c>
      <x:c r="B61" s="22" t="str">
        <x:v>1938</x:v>
      </x:c>
      <x:c r="C61" s="22" t="str">
        <x:v>30</x:v>
      </x:c>
      <x:c r="D61" s="21" t="str">
        <x:v>unbearable heat</x:v>
      </x:c>
      <x:c r="E61" s="21" t="str">
        <x:v>extreme-heat hazard</x:v>
      </x:c>
      <x:c r="F61" s="22" t="str">
        <x:v>heat</x:v>
      </x:c>
      <x:c r="G61" s="22" t="str">
        <x:v>D</x:v>
      </x:c>
      <x:c r="H61" s="22" t="str">
        <x:v>V3</x:v>
      </x:c>
      <x:c r="I61" s="22" t="str">
        <x:v>E5</x:v>
      </x:c>
      <x:c r="J61" s="21" t="str">
        <x:v>RECONSTRUCTED_FROM_REPORT; Fear of Temperature_ Stratified Lexical Expansion, Voice Mapping, and Semantic-Relational Pre-Valida.pdf; p.8; project candidate FT-SEED-R1B-P-1938-30; original visible ID not available</x:v>
      </x:c>
      <x:c r="K61" s="21" t="str">
        <x:v>NO_STANDALONE_HEADWORD</x:v>
      </x:c>
      <x:c r="L61" s="21" t="str">
        <x:v>Component lexical analysis plus anchor-source contextual meaning</x:v>
      </x:c>
      <x:c r="M61" s="21" t="str">
        <x:v>Component headword checked: heat.</x:v>
      </x:c>
      <x:c r="N61" s="21" t="str">
        <x:v>Anchor-period research source/context; Webster 1913 stable component URL recorded but automated page retrieval was unavailable</x:v>
      </x:c>
      <x:c r="O61" s="21" t="str">
        <x:v>Extreme heat framed as a hazard with health or social consequences; the candidate is interpreted in its documented anchor and voice context.</x:v>
      </x:c>
      <x:c r="P61" s="21" t="str">
        <x:v>A threat, risk, harm, severity, or consequence sense in the documented source; it is not automatically an emotion.</x:v>
      </x:c>
      <x:c r="Q61" s="22" t="str">
        <x:v>NOT_AVAILABLE_IN_ACCESSED_SOURCES</x:v>
      </x:c>
      <x:c r="R61" s="21" t="str">
        <x:v>STRONG</x:v>
      </x:c>
      <x:c r="S61" s="21" t="str">
        <x:v>The surface form may realize multiple senses; candidate meaning remains anchored to the report-visible source context.</x:v>
      </x:c>
      <x:c r="T61" s="21" t="str">
        <x:v>Fear of Temperature_ Stratified Lexical Expansion, Voice Mapping, and Semantic-Relational Pre-Valida.pdf#page=8; https://api.dictionaryapi.dev/api/v2/entries/en/unbearable%20heat; https://websters1913.timcieplowski.com/word/heat/</x:v>
      </x:c>
      <x:c r="U61" s="49" t="str">
        <x:v>2026-08-26</x:v>
      </x:c>
    </x:row>
    <x:row r="62" ht="19" customHeight="1">
      <x:c r="A62" s="20" t="str">
        <x:v>FT-SEED-R1B-P-1988-01</x:v>
      </x:c>
      <x:c r="B62" s="22" t="str">
        <x:v>1988</x:v>
      </x:c>
      <x:c r="C62" s="22" t="str">
        <x:v>1</x:v>
      </x:c>
      <x:c r="D62" s="21" t="str">
        <x:v>greenhouse effect</x:v>
      </x:c>
      <x:c r="E62" s="21" t="str">
        <x:v>greenhouse mechanism</x:v>
      </x:c>
      <x:c r="F62" s="22" t="str">
        <x:v>carbon_greenhouse</x:v>
      </x:c>
      <x:c r="G62" s="22" t="str">
        <x:v>B</x:v>
      </x:c>
      <x:c r="H62" s="22" t="str">
        <x:v>V1</x:v>
      </x:c>
      <x:c r="I62" s="22" t="str">
        <x:v>E5</x:v>
      </x:c>
      <x:c r="J62" s="21" t="str">
        <x:v>RECONSTRUCTED_FROM_REPORT; Fear of Temperature_ Stratified Lexical Expansion, Voice Mapping, and Semantic-Relational Pre-Valida.pdf; p.9; project candidate FT-SEED-R1B-P-1988-01; original visible ID not available</x:v>
      </x:c>
      <x:c r="K62" s="21" t="str">
        <x:v>TECHNICAL_GLOSSARY</x:v>
      </x:c>
      <x:c r="L62" s="21" t="str">
        <x:v>IPCC climate-science glossary / assessment terminology</x:v>
      </x:c>
      <x:c r="M62" s="21" t="str">
        <x:v>Component headword checked: effect.</x:v>
      </x:c>
      <x:c r="N62" s="21" t="str">
        <x:v>Anchor-period research source/context; Webster 1913 stable component URL recorded but automated page retrieval was unavailable</x:v>
      </x:c>
      <x:c r="O62" s="21" t="str">
        <x:v>The atmospheric warming influence produced when greenhouse gases absorb and re-emit outgoing infrared radiation.</x:v>
      </x:c>
      <x:c r="P62" s="21" t="str">
        <x:v>A climatic, atmospheric, meteorological, or causal-science sense in the documented anchor context.</x:v>
      </x:c>
      <x:c r="Q62" s="22" t="str">
        <x:v>NOT_AVAILABLE_IN_ACCESSED_SOURCES</x:v>
      </x:c>
      <x:c r="R62" s="21" t="str">
        <x:v>STRONG</x:v>
      </x:c>
      <x:c r="S62" s="21" t="str">
        <x:v>The surface form may realize multiple senses; candidate meaning remains anchored to the report-visible source context.</x:v>
      </x:c>
      <x:c r="T62" s="21" t="str">
        <x:v>https://www.ipcc.ch/site/assets/uploads/2018/02/WGIIAR5-AnnexII_FINAL.pdf; https://api.dictionaryapi.dev/api/v2/entries/en/greenhouse%20effect; https://websters1913.timcieplowski.com/word/effect/</x:v>
      </x:c>
      <x:c r="U62" s="49" t="str">
        <x:v>2026-08-26</x:v>
      </x:c>
    </x:row>
    <x:row r="63" ht="19" customHeight="1">
      <x:c r="A63" s="20" t="str">
        <x:v>FT-SEED-R1B-P-1988-02</x:v>
      </x:c>
      <x:c r="B63" s="22" t="str">
        <x:v>1988</x:v>
      </x:c>
      <x:c r="C63" s="22" t="str">
        <x:v>2</x:v>
      </x:c>
      <x:c r="D63" s="21" t="str">
        <x:v>global warming</x:v>
      </x:c>
      <x:c r="E63" s="21" t="str">
        <x:v>global warming as issue label</x:v>
      </x:c>
      <x:c r="F63" s="22" t="str">
        <x:v>warming</x:v>
      </x:c>
      <x:c r="G63" s="22" t="str">
        <x:v>A</x:v>
      </x:c>
      <x:c r="H63" s="22" t="str">
        <x:v>V1</x:v>
      </x:c>
      <x:c r="I63" s="22" t="str">
        <x:v>E5</x:v>
      </x:c>
      <x:c r="J63" s="21" t="str">
        <x:v>RECONSTRUCTED_FROM_REPORT; Fear of Temperature_ Stratified Lexical Expansion, Voice Mapping, and Semantic-Relational Pre-Valida.pdf; p.9; project candidate FT-SEED-R1B-P-1988-02; original visible ID not available</x:v>
      </x:c>
      <x:c r="K63" s="21" t="str">
        <x:v>TECHNICAL_GLOSSARY</x:v>
      </x:c>
      <x:c r="L63" s="21" t="str">
        <x:v>IPCC climate-science glossary / assessment terminology</x:v>
      </x:c>
      <x:c r="M63" s="21" t="str">
        <x:v>Component headword checked: warming.</x:v>
      </x:c>
      <x:c r="N63" s="21" t="str">
        <x:v>Anchor-period research source/context; Webster 1913 stable component URL recorded but automated page retrieval was unavailable</x:v>
      </x:c>
      <x:c r="O63" s="21" t="str">
        <x:v>The long-term rise in global mean surface temperature, commonly used as an established issue label in modern climate discourse.</x:v>
      </x:c>
      <x:c r="P63" s="21" t="str">
        <x:v>A physical temperature, warming, heat, or measurement sense in the documented anchor context.</x:v>
      </x:c>
      <x:c r="Q63" s="22" t="str">
        <x:v>NOT_AVAILABLE_IN_ACCESSED_SOURCES</x:v>
      </x:c>
      <x:c r="R63" s="21" t="str">
        <x:v>STRONG</x:v>
      </x:c>
      <x:c r="S63" s="21" t="str">
        <x:v>The surface form may realize multiple senses; candidate meaning remains anchored to the report-visible source context.</x:v>
      </x:c>
      <x:c r="T63" s="21" t="str">
        <x:v>https://www.ipcc.ch/site/assets/uploads/2018/02/WGIIAR5-AnnexII_FINAL.pdf; https://api.dictionaryapi.dev/api/v2/entries/en/global%20warming; https://websters1913.timcieplowski.com/word/warming/</x:v>
      </x:c>
      <x:c r="U63" s="49" t="str">
        <x:v>2026-08-26</x:v>
      </x:c>
    </x:row>
    <x:row r="64" ht="19" customHeight="1">
      <x:c r="A64" s="20" t="str">
        <x:v>FT-SEED-R1B-P-1988-03</x:v>
      </x:c>
      <x:c r="B64" s="22" t="str">
        <x:v>1988</x:v>
      </x:c>
      <x:c r="C64" s="22" t="str">
        <x:v>3</x:v>
      </x:c>
      <x:c r="D64" s="21" t="str">
        <x:v>earth is warmer</x:v>
      </x:c>
      <x:c r="E64" s="21" t="str">
        <x:v>temperature increase</x:v>
      </x:c>
      <x:c r="F64" s="22" t="str">
        <x:v>warming</x:v>
      </x:c>
      <x:c r="G64" s="22" t="str">
        <x:v>A</x:v>
      </x:c>
      <x:c r="H64" s="22" t="str">
        <x:v>V1</x:v>
      </x:c>
      <x:c r="I64" s="22" t="str">
        <x:v>E5</x:v>
      </x:c>
      <x:c r="J64" s="21" t="str">
        <x:v>RECONSTRUCTED_FROM_REPORT; Fear of Temperature_ Stratified Lexical Expansion, Voice Mapping, and Semantic-Relational Pre-Valida.pdf; p.9; project candidate FT-SEED-R1B-P-1988-03; original visible ID not available</x:v>
      </x:c>
      <x:c r="K64" s="21" t="str">
        <x:v>NO_STANDALONE_HEADWORD</x:v>
      </x:c>
      <x:c r="L64" s="21" t="str">
        <x:v>Component lexical analysis plus anchor-source contextual meaning</x:v>
      </x:c>
      <x:c r="M64" s="21" t="str">
        <x:v>Component headword checked: warmer.</x:v>
      </x:c>
      <x:c r="N64" s="21" t="str">
        <x:v>Anchor-period research source/context; Webster 1913 stable component URL recorded but automated page retrieval was unavailable</x:v>
      </x:c>
      <x:c r="O64" s="21" t="str">
        <x:v>An observed, estimated, or projected increase in temperature; the candidate is interpreted in its documented anchor and voice context.</x:v>
      </x:c>
      <x:c r="P64" s="21" t="str">
        <x:v>A physical temperature, warming, heat, or measurement sense in the documented anchor context.</x:v>
      </x:c>
      <x:c r="Q64" s="22" t="str">
        <x:v>NOT_AVAILABLE_IN_ACCESSED_SOURCES</x:v>
      </x:c>
      <x:c r="R64" s="21" t="str">
        <x:v>STRONG</x:v>
      </x:c>
      <x:c r="S64" s="21" t="str">
        <x:v>The surface form may realize multiple senses; candidate meaning remains anchored to the report-visible source context.</x:v>
      </x:c>
      <x:c r="T64" s="21" t="str">
        <x:v>Fear of Temperature_ Stratified Lexical Expansion, Voice Mapping, and Semantic-Relational Pre-Valida.pdf#page=9; https://api.dictionaryapi.dev/api/v2/entries/en/earth%20is%20warmer; https://websters1913.timcieplowski.com/word/warmer/</x:v>
      </x:c>
      <x:c r="U64" s="49" t="str">
        <x:v>2026-08-26</x:v>
      </x:c>
    </x:row>
    <x:row r="65" ht="19" customHeight="1">
      <x:c r="A65" s="20" t="str">
        <x:v>FT-SEED-R1B-P-1988-04</x:v>
      </x:c>
      <x:c r="B65" s="22" t="str">
        <x:v>1988</x:v>
      </x:c>
      <x:c r="C65" s="22" t="str">
        <x:v>4</x:v>
      </x:c>
      <x:c r="D65" s="21" t="str">
        <x:v>instrumental measurements</x:v>
      </x:c>
      <x:c r="E65" s="21" t="str">
        <x:v>historical climate / climatological condition</x:v>
      </x:c>
      <x:c r="F65" s="22" t="str">
        <x:v>climate</x:v>
      </x:c>
      <x:c r="G65" s="22" t="str">
        <x:v>B</x:v>
      </x:c>
      <x:c r="H65" s="22" t="str">
        <x:v>V1</x:v>
      </x:c>
      <x:c r="I65" s="22" t="str">
        <x:v>E5</x:v>
      </x:c>
      <x:c r="J65" s="21" t="str">
        <x:v>RECONSTRUCTED_FROM_REPORT; Fear of Temperature_ Stratified Lexical Expansion, Voice Mapping, and Semantic-Relational Pre-Valida.pdf; p.9; project candidate FT-SEED-R1B-P-1988-04; original visible ID not available</x:v>
      </x:c>
      <x:c r="K65" s="21" t="str">
        <x:v>NO_STANDALONE_HEADWORD</x:v>
      </x:c>
      <x:c r="L65" s="21" t="str">
        <x:v>Component lexical analysis plus anchor-source contextual meaning</x:v>
      </x:c>
      <x:c r="M65" s="21" t="str">
        <x:v>Component headword checked: measurements.</x:v>
      </x:c>
      <x:c r="N65" s="21" t="str">
        <x:v>Anchor-period research source/context; Webster 1913 stable component URL recorded but automated page retrieval was unavailable</x:v>
      </x:c>
      <x:c r="O65" s="21" t="str">
        <x:v>Climate as a historical, geographical, seasonal, or climatological condition; the candidate is interpreted in its documented anchor and voice context.</x:v>
      </x:c>
      <x:c r="P65" s="21" t="str">
        <x:v>A climatic, atmospheric, meteorological, or causal-science sense in the documented anchor context.</x:v>
      </x:c>
      <x:c r="Q65" s="22" t="str">
        <x:v>NOT_AVAILABLE_IN_ACCESSED_SOURCES</x:v>
      </x:c>
      <x:c r="R65" s="21" t="str">
        <x:v>STRONG</x:v>
      </x:c>
      <x:c r="S65" s="21" t="str">
        <x:v>The surface form may realize multiple senses; candidate meaning remains anchored to the report-visible source context.</x:v>
      </x:c>
      <x:c r="T65" s="21" t="str">
        <x:v>Fear of Temperature_ Stratified Lexical Expansion, Voice Mapping, and Semantic-Relational Pre-Valida.pdf#page=9; https://api.dictionaryapi.dev/api/v2/entries/en/instrumental%20measurements; https://websters1913.timcieplowski.com/word/measurements/</x:v>
      </x:c>
      <x:c r="U65" s="49" t="str">
        <x:v>2026-08-26</x:v>
      </x:c>
    </x:row>
    <x:row r="66" ht="19" customHeight="1">
      <x:c r="A66" s="20" t="str">
        <x:v>FT-SEED-R1B-P-1988-05</x:v>
      </x:c>
      <x:c r="B66" s="22" t="str">
        <x:v>1988</x:v>
      </x:c>
      <x:c r="C66" s="22" t="str">
        <x:v>5</x:v>
      </x:c>
      <x:c r="D66" s="21" t="str">
        <x:v>cause-and-effect relationship</x:v>
      </x:c>
      <x:c r="E66" s="21" t="str">
        <x:v>generic damage</x:v>
      </x:c>
      <x:c r="F66" s="22" t="str">
        <x:v>harm_loss_consequences</x:v>
      </x:c>
      <x:c r="G66" s="22" t="str">
        <x:v>B</x:v>
      </x:c>
      <x:c r="H66" s="22" t="str">
        <x:v>V1</x:v>
      </x:c>
      <x:c r="I66" s="22" t="str">
        <x:v>E5</x:v>
      </x:c>
      <x:c r="J66" s="21" t="str">
        <x:v>RECONSTRUCTED_FROM_REPORT; Fear of Temperature_ Stratified Lexical Expansion, Voice Mapping, and Semantic-Relational Pre-Valida.pdf; p.9; project candidate FT-SEED-R1B-P-1988-05; original visible ID not available</x:v>
      </x:c>
      <x:c r="K66" s="21" t="str">
        <x:v>NO_STANDALONE_HEADWORD</x:v>
      </x:c>
      <x:c r="L66" s="21" t="str">
        <x:v>Component lexical analysis plus anchor-source contextual meaning</x:v>
      </x:c>
      <x:c r="M66" s="21" t="str">
        <x:v>Component headword checked: relationship.</x:v>
      </x:c>
      <x:c r="N66" s="21" t="str">
        <x:v>Anchor-period research source/context; Webster 1913 stable component URL recorded but automated page retrieval was unavailable</x:v>
      </x:c>
      <x:c r="O66" s="21" t="str">
        <x:v>Generic material, ecological, or social damage; the candidate is interpreted in its documented anchor and voice context.</x:v>
      </x:c>
      <x:c r="P66" s="21" t="str">
        <x:v>A climatic, atmospheric, meteorological, or causal-science sense in the documented anchor context.</x:v>
      </x:c>
      <x:c r="Q66" s="22" t="str">
        <x:v>NOT_AVAILABLE_IN_ACCESSED_SOURCES</x:v>
      </x:c>
      <x:c r="R66" s="21" t="str">
        <x:v>STRONG</x:v>
      </x:c>
      <x:c r="S66" s="21" t="str">
        <x:v>The surface form may realize multiple senses; candidate meaning remains anchored to the report-visible source context.</x:v>
      </x:c>
      <x:c r="T66" s="21" t="str">
        <x:v>Fear of Temperature_ Stratified Lexical Expansion, Voice Mapping, and Semantic-Relational Pre-Valida.pdf#page=9; https://api.dictionaryapi.dev/api/v2/entries/en/cause-and-effect%20relationship; https://websters1913.timcieplowski.com/word/relationship/</x:v>
      </x:c>
      <x:c r="U66" s="49" t="str">
        <x:v>2026-08-26</x:v>
      </x:c>
    </x:row>
    <x:row r="67" ht="19" customHeight="1">
      <x:c r="A67" s="20" t="str">
        <x:v>FT-SEED-R1B-P-1988-06</x:v>
      </x:c>
      <x:c r="B67" s="22" t="str">
        <x:v>1988</x:v>
      </x:c>
      <x:c r="C67" s="22" t="str">
        <x:v>6</x:v>
      </x:c>
      <x:c r="D67" s="21" t="str">
        <x:v>global temperature</x:v>
      </x:c>
      <x:c r="E67" s="21" t="str">
        <x:v>global aggregate temperature</x:v>
      </x:c>
      <x:c r="F67" s="22" t="str">
        <x:v>temperature_threshold</x:v>
      </x:c>
      <x:c r="G67" s="22" t="str">
        <x:v>A</x:v>
      </x:c>
      <x:c r="H67" s="22" t="str">
        <x:v>V1</x:v>
      </x:c>
      <x:c r="I67" s="22" t="str">
        <x:v>E5</x:v>
      </x:c>
      <x:c r="J67" s="21" t="str">
        <x:v>RECONSTRUCTED_FROM_REPORT; Fear of Temperature_ Stratified Lexical Expansion, Voice Mapping, and Semantic-Relational Pre-Valida.pdf; p.9; project candidate FT-SEED-R1B-P-1988-06; original visible ID not available</x:v>
      </x:c>
      <x:c r="K67" s="21" t="str">
        <x:v>TECHNICAL_GLOSSARY</x:v>
      </x:c>
      <x:c r="L67" s="21" t="str">
        <x:v>IPCC climate-science glossary / assessment terminology</x:v>
      </x:c>
      <x:c r="M67" s="21" t="str">
        <x:v>Component headword checked: temperature.</x:v>
      </x:c>
      <x:c r="N67" s="21" t="str">
        <x:v>Anchor-period research source/context; Webster 1913 stable component URL recorded but automated page retrieval was unavailable</x:v>
      </x:c>
      <x:c r="O67" s="21" t="str">
        <x:v>A global-scale aggregate temperature metric; the candidate is interpreted in its documented anchor and voice context.</x:v>
      </x:c>
      <x:c r="P67" s="21" t="str">
        <x:v>A physical temperature, warming, heat, or measurement sense in the documented anchor context.</x:v>
      </x:c>
      <x:c r="Q67" s="22" t="str">
        <x:v>NOT_AVAILABLE_IN_ACCESSED_SOURCES</x:v>
      </x:c>
      <x:c r="R67" s="21" t="str">
        <x:v>STRONG</x:v>
      </x:c>
      <x:c r="S67" s="21" t="str">
        <x:v>The surface form may realize multiple senses; candidate meaning remains anchored to the report-visible source context.</x:v>
      </x:c>
      <x:c r="T67" s="21" t="str">
        <x:v>https://www.ipcc.ch/site/assets/uploads/2018/02/WGIIAR5-AnnexII_FINAL.pdf; https://api.dictionaryapi.dev/api/v2/entries/en/global%20temperature; https://websters1913.timcieplowski.com/word/temperature/</x:v>
      </x:c>
      <x:c r="U67" s="49" t="str">
        <x:v>2026-08-26</x:v>
      </x:c>
    </x:row>
    <x:row r="68" ht="19" customHeight="1">
      <x:c r="A68" s="20" t="str">
        <x:v>FT-SEED-R1B-P-1988-07</x:v>
      </x:c>
      <x:c r="B68" s="22" t="str">
        <x:v>1988</x:v>
      </x:c>
      <x:c r="C68" s="22" t="str">
        <x:v>7</x:v>
      </x:c>
      <x:c r="D68" s="21" t="str">
        <x:v>regional heat waves</x:v>
      </x:c>
      <x:c r="E68" s="21" t="str">
        <x:v>heatwave / weather event</x:v>
      </x:c>
      <x:c r="F68" s="22" t="str">
        <x:v>heat</x:v>
      </x:c>
      <x:c r="G68" s="22" t="str">
        <x:v>A</x:v>
      </x:c>
      <x:c r="H68" s="22" t="str">
        <x:v>V1</x:v>
      </x:c>
      <x:c r="I68" s="22" t="str">
        <x:v>E5</x:v>
      </x:c>
      <x:c r="J68" s="21" t="str">
        <x:v>RECONSTRUCTED_FROM_REPORT; Fear of Temperature_ Stratified Lexical Expansion, Voice Mapping, and Semantic-Relational Pre-Valida.pdf; p.9; project candidate FT-SEED-R1B-P-1988-07; original visible ID not available</x:v>
      </x:c>
      <x:c r="K68" s="21" t="str">
        <x:v>TECHNICAL_GLOSSARY</x:v>
      </x:c>
      <x:c r="L68" s="21" t="str">
        <x:v>IPCC climate-science glossary / assessment terminology</x:v>
      </x:c>
      <x:c r="M68" s="21" t="str">
        <x:v>Component headword checked: waves.</x:v>
      </x:c>
      <x:c r="N68" s="21" t="str">
        <x:v>Anchor-period research source/context; Webster 1913 stable component URL recorded but automated page retrieval was unavailable</x:v>
      </x:c>
      <x:c r="O68" s="21" t="str">
        <x:v>A bounded hot-weather or heatwave event; the candidate is interpreted in its documented anchor and voice context.</x:v>
      </x:c>
      <x:c r="P68" s="21" t="str">
        <x:v>A physical temperature, warming, heat, or measurement sense in the documented anchor context.</x:v>
      </x:c>
      <x:c r="Q68" s="22" t="str">
        <x:v>NOT_AVAILABLE_IN_ACCESSED_SOURCES</x:v>
      </x:c>
      <x:c r="R68" s="21" t="str">
        <x:v>STRONG</x:v>
      </x:c>
      <x:c r="S68" s="21" t="str">
        <x:v>The surface form may realize multiple senses; candidate meaning remains anchored to the report-visible source context.</x:v>
      </x:c>
      <x:c r="T68" s="21" t="str">
        <x:v>https://www.ipcc.ch/site/assets/uploads/2018/02/WGIIAR5-AnnexII_FINAL.pdf; https://api.dictionaryapi.dev/api/v2/entries/en/regional%20heat%20waves; https://websters1913.timcieplowski.com/word/waves/</x:v>
      </x:c>
      <x:c r="U68" s="49" t="str">
        <x:v>2026-08-26</x:v>
      </x:c>
    </x:row>
    <x:row r="69" ht="19" customHeight="1">
      <x:c r="A69" s="20" t="str">
        <x:v>FT-SEED-R1B-P-1988-08</x:v>
      </x:c>
      <x:c r="B69" s="22" t="str">
        <x:v>1988</x:v>
      </x:c>
      <x:c r="C69" s="22" t="str">
        <x:v>8</x:v>
      </x:c>
      <x:c r="D69" s="21" t="str">
        <x:v>heat wave</x:v>
      </x:c>
      <x:c r="E69" s="21" t="str">
        <x:v>heatwave / weather event</x:v>
      </x:c>
      <x:c r="F69" s="22" t="str">
        <x:v>heat</x:v>
      </x:c>
      <x:c r="G69" s="22" t="str">
        <x:v>A</x:v>
      </x:c>
      <x:c r="H69" s="22" t="str">
        <x:v>V1</x:v>
      </x:c>
      <x:c r="I69" s="22" t="str">
        <x:v>E5</x:v>
      </x:c>
      <x:c r="J69" s="21" t="str">
        <x:v>RECONSTRUCTED_FROM_REPORT; Fear of Temperature_ Stratified Lexical Expansion, Voice Mapping, and Semantic-Relational Pre-Valida.pdf; p.9; project candidate FT-SEED-R1B-P-1988-08; original visible ID not available</x:v>
      </x:c>
      <x:c r="K69" s="21" t="str">
        <x:v>NO_STANDALONE_HEADWORD</x:v>
      </x:c>
      <x:c r="L69" s="21" t="str">
        <x:v>Component lexical analysis plus anchor-source contextual meaning</x:v>
      </x:c>
      <x:c r="M69" s="21" t="str">
        <x:v>Component headword checked: wave.</x:v>
      </x:c>
      <x:c r="N69" s="21" t="str">
        <x:v>Anchor-period research source/context; Webster 1913 stable component URL recorded but automated page retrieval was unavailable</x:v>
      </x:c>
      <x:c r="O69" s="21" t="str">
        <x:v>A bounded hot-weather or heatwave event; the candidate is interpreted in its documented anchor and voice context.</x:v>
      </x:c>
      <x:c r="P69" s="21" t="str">
        <x:v>A physical temperature, warming, heat, or measurement sense in the documented anchor context.</x:v>
      </x:c>
      <x:c r="Q69" s="22" t="str">
        <x:v>NOT_AVAILABLE_IN_ACCESSED_SOURCES</x:v>
      </x:c>
      <x:c r="R69" s="21" t="str">
        <x:v>STRONG</x:v>
      </x:c>
      <x:c r="S69" s="21" t="str">
        <x:v>The surface form may realize multiple senses; candidate meaning remains anchored to the report-visible source context.</x:v>
      </x:c>
      <x:c r="T69" s="21" t="str">
        <x:v>Fear of Temperature_ Stratified Lexical Expansion, Voice Mapping, and Semantic-Relational Pre-Valida.pdf#page=9; https://api.dictionaryapi.dev/api/v2/entries/en/heat%20wave; https://websters1913.timcieplowski.com/word/wave/</x:v>
      </x:c>
      <x:c r="U69" s="49" t="str">
        <x:v>2026-08-26</x:v>
      </x:c>
    </x:row>
    <x:row r="70" ht="19" customHeight="1">
      <x:c r="A70" s="20" t="str">
        <x:v>FT-SEED-R1B-P-1988-09</x:v>
      </x:c>
      <x:c r="B70" s="22" t="str">
        <x:v>1988</x:v>
      </x:c>
      <x:c r="C70" s="22" t="str">
        <x:v>9</x:v>
      </x:c>
      <x:c r="D70" s="21" t="str">
        <x:v>drought</x:v>
      </x:c>
      <x:c r="E70" s="21" t="str">
        <x:v>generic damage</x:v>
      </x:c>
      <x:c r="F70" s="22" t="str">
        <x:v>harm_loss_consequences</x:v>
      </x:c>
      <x:c r="G70" s="22" t="str">
        <x:v>D</x:v>
      </x:c>
      <x:c r="H70" s="22" t="str">
        <x:v>V1</x:v>
      </x:c>
      <x:c r="I70" s="22" t="str">
        <x:v>E5</x:v>
      </x:c>
      <x:c r="J70" s="21" t="str">
        <x:v>RECONSTRUCTED_FROM_REPORT; Fear of Temperature_ Stratified Lexical Expansion, Voice Mapping, and Semantic-Relational Pre-Valida.pdf; p.9; project candidate FT-SEED-R1B-P-1988-09; original visible ID not available</x:v>
      </x:c>
      <x:c r="K70" s="21" t="str">
        <x:v>DIRECT_HEADWORD</x:v>
      </x:c>
      <x:c r="L70" s="21" t="str">
        <x:v>Webster's Revised Unabridged Dictionary (1913 public-domain headword index)</x:v>
      </x:c>
      <x:c r="M70" s="21" t="str">
        <x:v>Component headword checked: drought.</x:v>
      </x:c>
      <x:c r="N70" s="21" t="str">
        <x:v>Anchor-period research source/context; Webster 1913 stable component URL recorded but automated page retrieval was unavailable</x:v>
      </x:c>
      <x:c r="O70" s="21" t="str">
        <x:v>Generic material, ecological, or social damage; the candidate is interpreted in its documented anchor and voice context.</x:v>
      </x:c>
      <x:c r="P70" s="21" t="str">
        <x:v>A threat, risk, harm, severity, or consequence sense in the documented source; it is not automatically an emotion.</x:v>
      </x:c>
      <x:c r="Q70" s="22" t="str">
        <x:v>NOT_AVAILABLE_IN_ACCESSED_SOURCES</x:v>
      </x:c>
      <x:c r="R70" s="21" t="str">
        <x:v>STRONG</x:v>
      </x:c>
      <x:c r="S70" s="21" t="str">
        <x:v>The surface form may realize multiple senses; candidate meaning remains anchored to the report-visible source context.</x:v>
      </x:c>
      <x:c r="T70" s="21" t="str">
        <x:v>https://websters1913.timcieplowski.com/word/drought/; https://api.dictionaryapi.dev/api/v2/entries/en/drought</x:v>
      </x:c>
      <x:c r="U70" s="49" t="str">
        <x:v>2026-08-26</x:v>
      </x:c>
    </x:row>
    <x:row r="71" ht="19" customHeight="1">
      <x:c r="A71" s="20" t="str">
        <x:v>FT-SEED-R1B-P-1988-10</x:v>
      </x:c>
      <x:c r="B71" s="22" t="str">
        <x:v>1988</x:v>
      </x:c>
      <x:c r="C71" s="22" t="str">
        <x:v>10</x:v>
      </x:c>
      <x:c r="D71" s="21" t="str">
        <x:v>heat wave/drought occurrences</x:v>
      </x:c>
      <x:c r="E71" s="21" t="str">
        <x:v>heatwave / weather event</x:v>
      </x:c>
      <x:c r="F71" s="22" t="str">
        <x:v>heat</x:v>
      </x:c>
      <x:c r="G71" s="22" t="str">
        <x:v>D</x:v>
      </x:c>
      <x:c r="H71" s="22" t="str">
        <x:v>V1</x:v>
      </x:c>
      <x:c r="I71" s="22" t="str">
        <x:v>E5</x:v>
      </x:c>
      <x:c r="J71" s="21" t="str">
        <x:v>RECONSTRUCTED_FROM_REPORT; Fear of Temperature_ Stratified Lexical Expansion, Voice Mapping, and Semantic-Relational Pre-Valida.pdf; p.9; project candidate FT-SEED-R1B-P-1988-10; original visible ID not available</x:v>
      </x:c>
      <x:c r="K71" s="21" t="str">
        <x:v>NO_STANDALONE_HEADWORD</x:v>
      </x:c>
      <x:c r="L71" s="21" t="str">
        <x:v>Component lexical analysis plus anchor-source contextual meaning</x:v>
      </x:c>
      <x:c r="M71" s="21" t="str">
        <x:v>Component headword checked: occurrences.</x:v>
      </x:c>
      <x:c r="N71" s="21" t="str">
        <x:v>Anchor-period research source/context; Webster 1913 stable component URL recorded but automated page retrieval was unavailable</x:v>
      </x:c>
      <x:c r="O71" s="21" t="str">
        <x:v>A bounded hot-weather or heatwave event; the candidate is interpreted in its documented anchor and voice context.</x:v>
      </x:c>
      <x:c r="P71" s="21" t="str">
        <x:v>A threat, risk, harm, severity, or consequence sense in the documented source; it is not automatically an emotion.</x:v>
      </x:c>
      <x:c r="Q71" s="22" t="str">
        <x:v>NOT_AVAILABLE_IN_ACCESSED_SOURCES</x:v>
      </x:c>
      <x:c r="R71" s="21" t="str">
        <x:v>STRONG</x:v>
      </x:c>
      <x:c r="S71" s="21" t="str">
        <x:v>The surface form may realize multiple senses; candidate meaning remains anchored to the report-visible source context.</x:v>
      </x:c>
      <x:c r="T71" s="21" t="str">
        <x:v>Fear of Temperature_ Stratified Lexical Expansion, Voice Mapping, and Semantic-Relational Pre-Valida.pdf#page=9; https://api.dictionaryapi.dev/api/v2/entries/en/heat%20wave%2Fdrought%20occurrences; https://websters1913.timcieplowski.com/word/occurrences/</x:v>
      </x:c>
      <x:c r="U71" s="49" t="str">
        <x:v>2026-08-26</x:v>
      </x:c>
    </x:row>
    <x:row r="72" ht="19" customHeight="1">
      <x:c r="A72" s="20" t="str">
        <x:v>FT-SEED-R1B-P-1988-11</x:v>
      </x:c>
      <x:c r="B72" s="22" t="str">
        <x:v>1988</x:v>
      </x:c>
      <x:c r="C72" s="22" t="str">
        <x:v>11</x:v>
      </x:c>
      <x:c r="D72" s="21" t="str">
        <x:v>extreme events</x:v>
      </x:c>
      <x:c r="E72" s="21" t="str">
        <x:v>generic damage</x:v>
      </x:c>
      <x:c r="F72" s="22" t="str">
        <x:v>harm_loss_consequences</x:v>
      </x:c>
      <x:c r="G72" s="22" t="str">
        <x:v>D</x:v>
      </x:c>
      <x:c r="H72" s="22" t="str">
        <x:v>V1</x:v>
      </x:c>
      <x:c r="I72" s="22" t="str">
        <x:v>E5</x:v>
      </x:c>
      <x:c r="J72" s="21" t="str">
        <x:v>RECONSTRUCTED_FROM_REPORT; Fear of Temperature_ Stratified Lexical Expansion, Voice Mapping, and Semantic-Relational Pre-Valida.pdf; p.9; project candidate FT-SEED-R1B-P-1988-11; original visible ID not available</x:v>
      </x:c>
      <x:c r="K72" s="21" t="str">
        <x:v>NO_STANDALONE_HEADWORD</x:v>
      </x:c>
      <x:c r="L72" s="21" t="str">
        <x:v>Component lexical analysis plus anchor-source contextual meaning</x:v>
      </x:c>
      <x:c r="M72" s="21" t="str">
        <x:v>Component headword checked: events.</x:v>
      </x:c>
      <x:c r="N72" s="21" t="str">
        <x:v>Anchor-period research source/context; Webster 1913 stable component URL recorded but automated page retrieval was unavailable</x:v>
      </x:c>
      <x:c r="O72" s="21" t="str">
        <x:v>Generic material, ecological, or social damage; the candidate is interpreted in its documented anchor and voice context.</x:v>
      </x:c>
      <x:c r="P72" s="21" t="str">
        <x:v>A threat, risk, harm, severity, or consequence sense in the documented source; it is not automatically an emotion.</x:v>
      </x:c>
      <x:c r="Q72" s="22" t="str">
        <x:v>NOT_AVAILABLE_IN_ACCESSED_SOURCES</x:v>
      </x:c>
      <x:c r="R72" s="21" t="str">
        <x:v>STRONG</x:v>
      </x:c>
      <x:c r="S72" s="21" t="str">
        <x:v>The surface form may realize multiple senses; candidate meaning remains anchored to the report-visible source context.</x:v>
      </x:c>
      <x:c r="T72" s="21" t="str">
        <x:v>Fear of Temperature_ Stratified Lexical Expansion, Voice Mapping, and Semantic-Relational Pre-Valida.pdf#page=9; https://api.dictionaryapi.dev/api/v2/entries/en/extreme%20events; https://websters1913.timcieplowski.com/word/events/</x:v>
      </x:c>
      <x:c r="U72" s="49" t="str">
        <x:v>2026-08-26</x:v>
      </x:c>
    </x:row>
    <x:row r="73" ht="19" customHeight="1">
      <x:c r="A73" s="20" t="str">
        <x:v>FT-SEED-R1B-P-1988-12</x:v>
      </x:c>
      <x:c r="B73" s="22" t="str">
        <x:v>1988</x:v>
      </x:c>
      <x:c r="C73" s="22" t="str">
        <x:v>12</x:v>
      </x:c>
      <x:c r="D73" s="21" t="str">
        <x:v>global climate models</x:v>
      </x:c>
      <x:c r="E73" s="21" t="str">
        <x:v>climate system</x:v>
      </x:c>
      <x:c r="F73" s="22" t="str">
        <x:v>climate</x:v>
      </x:c>
      <x:c r="G73" s="22" t="str">
        <x:v>B</x:v>
      </x:c>
      <x:c r="H73" s="22" t="str">
        <x:v>V1</x:v>
      </x:c>
      <x:c r="I73" s="22" t="str">
        <x:v>E5</x:v>
      </x:c>
      <x:c r="J73" s="21" t="str">
        <x:v>RECONSTRUCTED_FROM_REPORT; Fear of Temperature_ Stratified Lexical Expansion, Voice Mapping, and Semantic-Relational Pre-Valida.pdf; p.9; project candidate FT-SEED-R1B-P-1988-12; original visible ID not available</x:v>
      </x:c>
      <x:c r="K73" s="21" t="str">
        <x:v>TECHNICAL_GLOSSARY</x:v>
      </x:c>
      <x:c r="L73" s="21" t="str">
        <x:v>IPCC climate-science glossary / assessment terminology</x:v>
      </x:c>
      <x:c r="M73" s="21" t="str">
        <x:v>Component headword checked: models.</x:v>
      </x:c>
      <x:c r="N73" s="21" t="str">
        <x:v>Anchor-period research source/context; Webster 1913 stable component URL recorded but automated page retrieval was unavailable</x:v>
      </x:c>
      <x:c r="O73" s="21" t="str">
        <x:v>The coupled physical climate system; the candidate is interpreted in its documented anchor and voice context.</x:v>
      </x:c>
      <x:c r="P73" s="21" t="str">
        <x:v>A climatic, atmospheric, meteorological, or causal-science sense in the documented anchor context.</x:v>
      </x:c>
      <x:c r="Q73" s="22" t="str">
        <x:v>NOT_AVAILABLE_IN_ACCESSED_SOURCES</x:v>
      </x:c>
      <x:c r="R73" s="21" t="str">
        <x:v>STRONG</x:v>
      </x:c>
      <x:c r="S73" s="21" t="str">
        <x:v>The surface form may realize multiple senses; candidate meaning remains anchored to the report-visible source context.</x:v>
      </x:c>
      <x:c r="T73" s="21" t="str">
        <x:v>https://www.ipcc.ch/site/assets/uploads/2018/02/WGIIAR5-AnnexII_FINAL.pdf; https://api.dictionaryapi.dev/api/v2/entries/en/global%20climate%20models; https://websters1913.timcieplowski.com/word/models/</x:v>
      </x:c>
      <x:c r="U73" s="49" t="str">
        <x:v>2026-08-26</x:v>
      </x:c>
    </x:row>
    <x:row r="74" ht="19" customHeight="1">
      <x:c r="A74" s="20" t="str">
        <x:v>FT-SEED-R1B-P-1988-13</x:v>
      </x:c>
      <x:c r="B74" s="22" t="str">
        <x:v>1988</x:v>
      </x:c>
      <x:c r="C74" s="22" t="str">
        <x:v>13</x:v>
      </x:c>
      <x:c r="D74" s="21" t="str">
        <x:v>global observations</x:v>
      </x:c>
      <x:c r="E74" s="21" t="str">
        <x:v>historical climate / climatological condition</x:v>
      </x:c>
      <x:c r="F74" s="22" t="str">
        <x:v>climate</x:v>
      </x:c>
      <x:c r="G74" s="22" t="str">
        <x:v>B</x:v>
      </x:c>
      <x:c r="H74" s="22" t="str">
        <x:v>V1</x:v>
      </x:c>
      <x:c r="I74" s="22" t="str">
        <x:v>E5</x:v>
      </x:c>
      <x:c r="J74" s="21" t="str">
        <x:v>RECONSTRUCTED_FROM_REPORT; Fear of Temperature_ Stratified Lexical Expansion, Voice Mapping, and Semantic-Relational Pre-Valida.pdf; p.9; project candidate FT-SEED-R1B-P-1988-13; original visible ID not available</x:v>
      </x:c>
      <x:c r="K74" s="21" t="str">
        <x:v>NO_STANDALONE_HEADWORD</x:v>
      </x:c>
      <x:c r="L74" s="21" t="str">
        <x:v>Component lexical analysis plus anchor-source contextual meaning</x:v>
      </x:c>
      <x:c r="M74" s="21" t="str">
        <x:v>Component headword checked: observations.</x:v>
      </x:c>
      <x:c r="N74" s="21" t="str">
        <x:v>Anchor-period research source/context; Webster 1913 stable component URL recorded but automated page retrieval was unavailable</x:v>
      </x:c>
      <x:c r="O74" s="21" t="str">
        <x:v>Climate as a historical, geographical, seasonal, or climatological condition; the candidate is interpreted in its documented anchor and voice context.</x:v>
      </x:c>
      <x:c r="P74" s="21" t="str">
        <x:v>A climatic, atmospheric, meteorological, or causal-science sense in the documented anchor context.</x:v>
      </x:c>
      <x:c r="Q74" s="22" t="str">
        <x:v>NOT_AVAILABLE_IN_ACCESSED_SOURCES</x:v>
      </x:c>
      <x:c r="R74" s="21" t="str">
        <x:v>STRONG</x:v>
      </x:c>
      <x:c r="S74" s="21" t="str">
        <x:v>The surface form may realize multiple senses; candidate meaning remains anchored to the report-visible source context.</x:v>
      </x:c>
      <x:c r="T74" s="21" t="str">
        <x:v>Fear of Temperature_ Stratified Lexical Expansion, Voice Mapping, and Semantic-Relational Pre-Valida.pdf#page=9; https://api.dictionaryapi.dev/api/v2/entries/en/global%20observations; https://websters1913.timcieplowski.com/word/observations/</x:v>
      </x:c>
      <x:c r="U74" s="49" t="str">
        <x:v>2026-08-26</x:v>
      </x:c>
    </x:row>
    <x:row r="75" ht="19" customHeight="1">
      <x:c r="A75" s="20" t="str">
        <x:v>FT-SEED-R1B-P-1988-14</x:v>
      </x:c>
      <x:c r="B75" s="22" t="str">
        <x:v>1988</x:v>
      </x:c>
      <x:c r="C75" s="22" t="str">
        <x:v>14</x:v>
      </x:c>
      <x:c r="D75" s="21" t="str">
        <x:v>warm air</x:v>
      </x:c>
      <x:c r="E75" s="21" t="str">
        <x:v>local / instrumental temperature</x:v>
      </x:c>
      <x:c r="F75" s="22" t="str">
        <x:v>temperature_threshold</x:v>
      </x:c>
      <x:c r="G75" s="22" t="str">
        <x:v>A</x:v>
      </x:c>
      <x:c r="H75" s="22" t="str">
        <x:v>V1</x:v>
      </x:c>
      <x:c r="I75" s="22" t="str">
        <x:v>E5</x:v>
      </x:c>
      <x:c r="J75" s="21" t="str">
        <x:v>RECONSTRUCTED_FROM_REPORT; Fear of Temperature_ Stratified Lexical Expansion, Voice Mapping, and Semantic-Relational Pre-Valida.pdf; p.9; project candidate FT-SEED-R1B-P-1988-14; original visible ID not available</x:v>
      </x:c>
      <x:c r="K75" s="21" t="str">
        <x:v>NO_STANDALONE_HEADWORD</x:v>
      </x:c>
      <x:c r="L75" s="21" t="str">
        <x:v>Component lexical analysis plus anchor-source contextual meaning</x:v>
      </x:c>
      <x:c r="M75" s="21" t="str">
        <x:v>Component headword checked: air.</x:v>
      </x:c>
      <x:c r="N75" s="21" t="str">
        <x:v>Webster's Revised Unabridged Dictionary (1913 public-domain edition)</x:v>
      </x:c>
      <x:c r="O75" s="21" t="str">
        <x:v>A local or instrument-specific temperature reading; the candidate is interpreted in its documented anchor and voice context.</x:v>
      </x:c>
      <x:c r="P75" s="21" t="str">
        <x:v>A physical temperature, warming, heat, or measurement sense in the documented anchor context.</x:v>
      </x:c>
      <x:c r="Q75" s="22" t="str">
        <x:v>NOT_AVAILABLE_IN_ACCESSED_SOURCES</x:v>
      </x:c>
      <x:c r="R75" s="21" t="str">
        <x:v>STRONG</x:v>
      </x:c>
      <x:c r="S75" s="21" t="str">
        <x:v>The surface form may realize multiple senses; candidate meaning remains anchored to the report-visible source context.</x:v>
      </x:c>
      <x:c r="T75" s="21" t="str">
        <x:v>https://websters1913.timcieplowski.com/word/air/; https://api.dictionaryapi.dev/api/v2/entries/en/warm%20air</x:v>
      </x:c>
      <x:c r="U75" s="49" t="str">
        <x:v>2026-08-26</x:v>
      </x:c>
    </x:row>
    <x:row r="76" ht="19" customHeight="1">
      <x:c r="A76" s="20" t="str">
        <x:v>FT-SEED-R1B-P-1988-15</x:v>
      </x:c>
      <x:c r="B76" s="22" t="str">
        <x:v>1988</x:v>
      </x:c>
      <x:c r="C76" s="22" t="str">
        <x:v>15</x:v>
      </x:c>
      <x:c r="D76" s="21" t="str">
        <x:v>changing atmosphere</x:v>
      </x:c>
      <x:c r="E76" s="21" t="str">
        <x:v>changing atmosphere</x:v>
      </x:c>
      <x:c r="F76" s="22" t="str">
        <x:v>climate</x:v>
      </x:c>
      <x:c r="G76" s="22" t="str">
        <x:v>B</x:v>
      </x:c>
      <x:c r="H76" s="22" t="str">
        <x:v>V2</x:v>
      </x:c>
      <x:c r="I76" s="22" t="str">
        <x:v>E5</x:v>
      </x:c>
      <x:c r="J76" s="21" t="str">
        <x:v>RECONSTRUCTED_FROM_REPORT; Fear of Temperature_ Stratified Lexical Expansion, Voice Mapping, and Semantic-Relational Pre-Valida.pdf; p.9; project candidate FT-SEED-R1B-P-1988-15; original visible ID not available</x:v>
      </x:c>
      <x:c r="K76" s="21" t="str">
        <x:v>TECHNICAL_GLOSSARY</x:v>
      </x:c>
      <x:c r="L76" s="21" t="str">
        <x:v>IPCC climate-science glossary / assessment terminology</x:v>
      </x:c>
      <x:c r="M76" s="21" t="str">
        <x:v>Component headword checked: atmosphere.</x:v>
      </x:c>
      <x:c r="N76" s="21" t="str">
        <x:v>Anchor-period research source/context; Webster 1913 stable component URL recorded but automated page retrieval was unavailable</x:v>
      </x:c>
      <x:c r="O76" s="21" t="str">
        <x:v>Atmospheric change framed as a climatic or institutional problem; the candidate is interpreted in its documented anchor and voice context.</x:v>
      </x:c>
      <x:c r="P76" s="21" t="str">
        <x:v>A climatic, atmospheric, meteorological, or causal-science sense in the documented anchor context.</x:v>
      </x:c>
      <x:c r="Q76" s="22" t="str">
        <x:v>NOT_AVAILABLE_IN_ACCESSED_SOURCES</x:v>
      </x:c>
      <x:c r="R76" s="21" t="str">
        <x:v>STRONG</x:v>
      </x:c>
      <x:c r="S76" s="21" t="str">
        <x:v>The surface form may realize multiple senses; candidate meaning remains anchored to the report-visible source context.</x:v>
      </x:c>
      <x:c r="T76" s="21" t="str">
        <x:v>https://www.ipcc.ch/site/assets/uploads/2018/02/WGIIAR5-AnnexII_FINAL.pdf; https://api.dictionaryapi.dev/api/v2/entries/en/changing%20atmosphere; https://websters1913.timcieplowski.com/word/atmosphere/</x:v>
      </x:c>
      <x:c r="U76" s="49" t="str">
        <x:v>2026-08-26</x:v>
      </x:c>
    </x:row>
    <x:row r="77" ht="19" customHeight="1">
      <x:c r="A77" s="20" t="str">
        <x:v>FT-SEED-R1B-P-1988-16</x:v>
      </x:c>
      <x:c r="B77" s="22" t="str">
        <x:v>1988</x:v>
      </x:c>
      <x:c r="C77" s="22" t="str">
        <x:v>16</x:v>
      </x:c>
      <x:c r="D77" s="21" t="str">
        <x:v>global security</x:v>
      </x:c>
      <x:c r="E77" s="21" t="str">
        <x:v>global security frame</x:v>
      </x:c>
      <x:c r="F77" s="22" t="str">
        <x:v>danger_threat</x:v>
      </x:c>
      <x:c r="G77" s="22" t="str">
        <x:v>D</x:v>
      </x:c>
      <x:c r="H77" s="22" t="str">
        <x:v>V2</x:v>
      </x:c>
      <x:c r="I77" s="22" t="str">
        <x:v>E1</x:v>
      </x:c>
      <x:c r="J77" s="21" t="str">
        <x:v>RECONSTRUCTED_FROM_REPORT; Fear of Temperature_ Stratified Lexical Expansion, Voice Mapping, and Semantic-Relational Pre-Valida.pdf; p.9; project candidate FT-SEED-R1B-P-1988-16; original visible ID not available</x:v>
      </x:c>
      <x:c r="K77" s="21" t="str">
        <x:v>NO_STANDALONE_HEADWORD</x:v>
      </x:c>
      <x:c r="L77" s="21" t="str">
        <x:v>Component lexical analysis plus anchor-source contextual meaning</x:v>
      </x:c>
      <x:c r="M77" s="21" t="str">
        <x:v>Component headword checked: security.</x:v>
      </x:c>
      <x:c r="N77" s="21" t="str">
        <x:v>Anchor-period research source/context; Webster 1913 stable component URL recorded but automated page retrieval was unavailable</x:v>
      </x:c>
      <x:c r="O77" s="21" t="str">
        <x:v>Atmospheric or climatic change framed as a global-security matter; the candidate is interpreted in its documented anchor and voice context.</x:v>
      </x:c>
      <x:c r="P77" s="21" t="str">
        <x:v>An institutional frame for threats to international stability and safety; threat without evidence of personal fear.</x:v>
      </x:c>
      <x:c r="Q77" s="22" t="str">
        <x:v>NOT_AVAILABLE_IN_ACCESSED_SOURCES</x:v>
      </x:c>
      <x:c r="R77" s="21" t="str">
        <x:v>STRONG</x:v>
      </x:c>
      <x:c r="S77" s="21" t="str">
        <x:v>Security can denote institutions, conditions, or financial instruments; the institutional-threat sense is intended.</x:v>
      </x:c>
      <x:c r="T77" s="21" t="str">
        <x:v>Fear of Temperature_ Stratified Lexical Expansion, Voice Mapping, and Semantic-Relational Pre-Valida.pdf#page=9; https://api.dictionaryapi.dev/api/v2/entries/en/global%20security; https://websters1913.timcieplowski.com/word/security/</x:v>
      </x:c>
      <x:c r="U77" s="49" t="str">
        <x:v>2026-08-26</x:v>
      </x:c>
    </x:row>
    <x:row r="78" ht="19" customHeight="1">
      <x:c r="A78" s="20" t="str">
        <x:v>FT-SEED-R1B-P-1988-17</x:v>
      </x:c>
      <x:c r="B78" s="22" t="str">
        <x:v>1988</x:v>
      </x:c>
      <x:c r="C78" s="22" t="str">
        <x:v>17</x:v>
      </x:c>
      <x:c r="D78" s="21" t="str">
        <x:v>climate warming</x:v>
      </x:c>
      <x:c r="E78" s="21" t="str">
        <x:v>climate-system warming</x:v>
      </x:c>
      <x:c r="F78" s="22" t="str">
        <x:v>warming</x:v>
      </x:c>
      <x:c r="G78" s="22" t="str">
        <x:v>A</x:v>
      </x:c>
      <x:c r="H78" s="22" t="str">
        <x:v>V2</x:v>
      </x:c>
      <x:c r="I78" s="22" t="str">
        <x:v>E5</x:v>
      </x:c>
      <x:c r="J78" s="21" t="str">
        <x:v>RECONSTRUCTED_FROM_REPORT; Fear of Temperature_ Stratified Lexical Expansion, Voice Mapping, and Semantic-Relational Pre-Valida.pdf; p.9; project candidate FT-SEED-R1B-P-1988-17; original visible ID not available</x:v>
      </x:c>
      <x:c r="K78" s="21" t="str">
        <x:v>TECHNICAL_GLOSSARY</x:v>
      </x:c>
      <x:c r="L78" s="21" t="str">
        <x:v>IPCC climate-science glossary / assessment terminology</x:v>
      </x:c>
      <x:c r="M78" s="21" t="str">
        <x:v>Component headword checked: warming.</x:v>
      </x:c>
      <x:c r="N78" s="21" t="str">
        <x:v>Anchor-period research source/context; Webster 1913 stable component URL recorded but automated page retrieval was unavailable</x:v>
      </x:c>
      <x:c r="O78" s="21" t="str">
        <x:v>Warming attributed to or observed across the climate system; the candidate is interpreted in its documented anchor and voice context.</x:v>
      </x:c>
      <x:c r="P78" s="21" t="str">
        <x:v>A physical temperature, warming, heat, or measurement sense in the documented anchor context.</x:v>
      </x:c>
      <x:c r="Q78" s="22" t="str">
        <x:v>NOT_AVAILABLE_IN_ACCESSED_SOURCES</x:v>
      </x:c>
      <x:c r="R78" s="21" t="str">
        <x:v>STRONG</x:v>
      </x:c>
      <x:c r="S78" s="21" t="str">
        <x:v>The surface form may realize multiple senses; candidate meaning remains anchored to the report-visible source context.</x:v>
      </x:c>
      <x:c r="T78" s="21" t="str">
        <x:v>https://www.ipcc.ch/site/assets/uploads/2018/02/WGIIAR5-AnnexII_FINAL.pdf; https://api.dictionaryapi.dev/api/v2/entries/en/climate%20warming; https://websters1913.timcieplowski.com/word/warming/</x:v>
      </x:c>
      <x:c r="U78" s="49" t="str">
        <x:v>2026-08-26</x:v>
      </x:c>
    </x:row>
    <x:row r="79" ht="19" customHeight="1">
      <x:c r="A79" s="20" t="str">
        <x:v>FT-SEED-R1B-P-1988-18</x:v>
      </x:c>
      <x:c r="B79" s="22" t="str">
        <x:v>1988</x:v>
      </x:c>
      <x:c r="C79" s="22" t="str">
        <x:v>18</x:v>
      </x:c>
      <x:c r="D79" s="21" t="str">
        <x:v>changed climatic extremes</x:v>
      </x:c>
      <x:c r="E79" s="21" t="str">
        <x:v>generic damage</x:v>
      </x:c>
      <x:c r="F79" s="22" t="str">
        <x:v>harm_loss_consequences</x:v>
      </x:c>
      <x:c r="G79" s="22" t="str">
        <x:v>D</x:v>
      </x:c>
      <x:c r="H79" s="22" t="str">
        <x:v>V2</x:v>
      </x:c>
      <x:c r="I79" s="22" t="str">
        <x:v>E5</x:v>
      </x:c>
      <x:c r="J79" s="21" t="str">
        <x:v>RECONSTRUCTED_FROM_REPORT; Fear of Temperature_ Stratified Lexical Expansion, Voice Mapping, and Semantic-Relational Pre-Valida.pdf; p.9; project candidate FT-SEED-R1B-P-1988-18; original visible ID not available</x:v>
      </x:c>
      <x:c r="K79" s="21" t="str">
        <x:v>NO_STANDALONE_HEADWORD</x:v>
      </x:c>
      <x:c r="L79" s="21" t="str">
        <x:v>Component lexical analysis plus anchor-source contextual meaning</x:v>
      </x:c>
      <x:c r="M79" s="21" t="str">
        <x:v>Component headword checked: extremes.</x:v>
      </x:c>
      <x:c r="N79" s="21" t="str">
        <x:v>Anchor-period research source/context; Webster 1913 stable component URL recorded but automated page retrieval was unavailable</x:v>
      </x:c>
      <x:c r="O79" s="21" t="str">
        <x:v>Generic material, ecological, or social damage; the candidate is interpreted in its documented anchor and voice context.</x:v>
      </x:c>
      <x:c r="P79" s="21" t="str">
        <x:v>A threat, risk, harm, severity, or consequence sense in the documented source; it is not automatically an emotion.</x:v>
      </x:c>
      <x:c r="Q79" s="22" t="str">
        <x:v>NOT_AVAILABLE_IN_ACCESSED_SOURCES</x:v>
      </x:c>
      <x:c r="R79" s="21" t="str">
        <x:v>STRONG</x:v>
      </x:c>
      <x:c r="S79" s="21" t="str">
        <x:v>The surface form may realize multiple senses; candidate meaning remains anchored to the report-visible source context.</x:v>
      </x:c>
      <x:c r="T79" s="21" t="str">
        <x:v>Fear of Temperature_ Stratified Lexical Expansion, Voice Mapping, and Semantic-Relational Pre-Valida.pdf#page=9; https://api.dictionaryapi.dev/api/v2/entries/en/changed%20climatic%20extremes; https://websters1913.timcieplowski.com/word/extremes/</x:v>
      </x:c>
      <x:c r="U79" s="49" t="str">
        <x:v>2026-08-26</x:v>
      </x:c>
    </x:row>
    <x:row r="80" ht="19" customHeight="1">
      <x:c r="A80" s="20" t="str">
        <x:v>FT-SEED-R1B-P-1988-19</x:v>
      </x:c>
      <x:c r="B80" s="22" t="str">
        <x:v>1988</x:v>
      </x:c>
      <x:c r="C80" s="22" t="str">
        <x:v>19</x:v>
      </x:c>
      <x:c r="D80" s="21" t="str">
        <x:v>major threat</x:v>
      </x:c>
      <x:c r="E80" s="21" t="str">
        <x:v>institutional climate threat</x:v>
      </x:c>
      <x:c r="F80" s="22" t="str">
        <x:v>danger_threat</x:v>
      </x:c>
      <x:c r="G80" s="22" t="str">
        <x:v>D</x:v>
      </x:c>
      <x:c r="H80" s="22" t="str">
        <x:v>V2</x:v>
      </x:c>
      <x:c r="I80" s="22" t="str">
        <x:v>E5</x:v>
      </x:c>
      <x:c r="J80" s="21" t="str">
        <x:v>RECONSTRUCTED_FROM_REPORT; Fear of Temperature_ Stratified Lexical Expansion, Voice Mapping, and Semantic-Relational Pre-Valida.pdf; p.9; project candidate FT-SEED-R1B-P-1988-19; original visible ID not available</x:v>
      </x:c>
      <x:c r="K80" s="21" t="str">
        <x:v>NO_STANDALONE_HEADWORD</x:v>
      </x:c>
      <x:c r="L80" s="21" t="str">
        <x:v>Component lexical analysis plus anchor-source contextual meaning</x:v>
      </x:c>
      <x:c r="M80" s="21" t="str">
        <x:v>Component headword checked: threat.</x:v>
      </x:c>
      <x:c r="N80" s="21" t="str">
        <x:v>Anchor-period research source/context; Webster 1913 stable component URL recorded but automated page retrieval was unavailable</x:v>
      </x:c>
      <x:c r="O80" s="21" t="str">
        <x:v>Climate change framed as an institutional threat; the candidate is interpreted in its documented anchor and voice context.</x:v>
      </x:c>
      <x:c r="P80" s="21" t="str">
        <x:v>A threat, risk, harm, severity, or consequence sense in the documented source; it is not automatically an emotion.</x:v>
      </x:c>
      <x:c r="Q80" s="22" t="str">
        <x:v>NOT_AVAILABLE_IN_ACCESSED_SOURCES</x:v>
      </x:c>
      <x:c r="R80" s="21" t="str">
        <x:v>STRONG</x:v>
      </x:c>
      <x:c r="S80" s="21" t="str">
        <x:v>The surface form may realize multiple senses; candidate meaning remains anchored to the report-visible source context.</x:v>
      </x:c>
      <x:c r="T80" s="21" t="str">
        <x:v>Fear of Temperature_ Stratified Lexical Expansion, Voice Mapping, and Semantic-Relational Pre-Valida.pdf#page=9; https://api.dictionaryapi.dev/api/v2/entries/en/major%20threat; https://websters1913.timcieplowski.com/word/threat/</x:v>
      </x:c>
      <x:c r="U80" s="49" t="str">
        <x:v>2026-08-26</x:v>
      </x:c>
    </x:row>
    <x:row r="81" ht="19" customHeight="1">
      <x:c r="A81" s="20" t="str">
        <x:v>FT-SEED-R1B-P-1988-20</x:v>
      </x:c>
      <x:c r="B81" s="22" t="str">
        <x:v>1988</x:v>
      </x:c>
      <x:c r="C81" s="22" t="str">
        <x:v>20</x:v>
      </x:c>
      <x:c r="D81" s="21" t="str">
        <x:v>harmful consequences</x:v>
      </x:c>
      <x:c r="E81" s="21" t="str">
        <x:v>generic damage</x:v>
      </x:c>
      <x:c r="F81" s="22" t="str">
        <x:v>harm_loss_consequences</x:v>
      </x:c>
      <x:c r="G81" s="22" t="str">
        <x:v>D</x:v>
      </x:c>
      <x:c r="H81" s="22" t="str">
        <x:v>V2</x:v>
      </x:c>
      <x:c r="I81" s="22" t="str">
        <x:v>E5</x:v>
      </x:c>
      <x:c r="J81" s="21" t="str">
        <x:v>RECONSTRUCTED_FROM_REPORT; Fear of Temperature_ Stratified Lexical Expansion, Voice Mapping, and Semantic-Relational Pre-Valida.pdf; p.9; project candidate FT-SEED-R1B-P-1988-20; original visible ID not available</x:v>
      </x:c>
      <x:c r="K81" s="21" t="str">
        <x:v>NO_STANDALONE_HEADWORD</x:v>
      </x:c>
      <x:c r="L81" s="21" t="str">
        <x:v>Component lexical analysis plus anchor-source contextual meaning</x:v>
      </x:c>
      <x:c r="M81" s="21" t="str">
        <x:v>Component headword checked: consequences.</x:v>
      </x:c>
      <x:c r="N81" s="21" t="str">
        <x:v>Anchor-period research source/context; Webster 1913 stable component URL recorded but automated page retrieval was unavailable</x:v>
      </x:c>
      <x:c r="O81" s="21" t="str">
        <x:v>Generic material, ecological, or social damage; the candidate is interpreted in its documented anchor and voice context.</x:v>
      </x:c>
      <x:c r="P81" s="21" t="str">
        <x:v>A threat, risk, harm, severity, or consequence sense in the documented source; it is not automatically an emotion.</x:v>
      </x:c>
      <x:c r="Q81" s="22" t="str">
        <x:v>NOT_AVAILABLE_IN_ACCESSED_SOURCES</x:v>
      </x:c>
      <x:c r="R81" s="21" t="str">
        <x:v>STRONG</x:v>
      </x:c>
      <x:c r="S81" s="21" t="str">
        <x:v>The surface form may realize multiple senses; candidate meaning remains anchored to the report-visible source context.</x:v>
      </x:c>
      <x:c r="T81" s="21" t="str">
        <x:v>Fear of Temperature_ Stratified Lexical Expansion, Voice Mapping, and Semantic-Relational Pre-Valida.pdf#page=9; https://api.dictionaryapi.dev/api/v2/entries/en/harmful%20consequences; https://websters1913.timcieplowski.com/word/consequences/</x:v>
      </x:c>
      <x:c r="U81" s="49" t="str">
        <x:v>2026-08-26</x:v>
      </x:c>
    </x:row>
    <x:row r="82" ht="19" customHeight="1">
      <x:c r="A82" s="20" t="str">
        <x:v>FT-SEED-R1B-P-1988-21</x:v>
      </x:c>
      <x:c r="B82" s="22" t="str">
        <x:v>1988</x:v>
      </x:c>
      <x:c r="C82" s="22" t="str">
        <x:v>21</x:v>
      </x:c>
      <x:c r="D82" s="21" t="str">
        <x:v>grave threats</x:v>
      </x:c>
      <x:c r="E82" s="21" t="str">
        <x:v>institutional climate threat</x:v>
      </x:c>
      <x:c r="F82" s="22" t="str">
        <x:v>danger_threat</x:v>
      </x:c>
      <x:c r="G82" s="22" t="str">
        <x:v>D</x:v>
      </x:c>
      <x:c r="H82" s="22" t="str">
        <x:v>V2</x:v>
      </x:c>
      <x:c r="I82" s="22" t="str">
        <x:v>E5</x:v>
      </x:c>
      <x:c r="J82" s="21" t="str">
        <x:v>RECONSTRUCTED_FROM_REPORT; Fear of Temperature_ Stratified Lexical Expansion, Voice Mapping, and Semantic-Relational Pre-Valida.pdf; p.9; project candidate FT-SEED-R1B-P-1988-21; original visible ID not available</x:v>
      </x:c>
      <x:c r="K82" s="21" t="str">
        <x:v>NO_STANDALONE_HEADWORD</x:v>
      </x:c>
      <x:c r="L82" s="21" t="str">
        <x:v>Component lexical analysis plus anchor-source contextual meaning</x:v>
      </x:c>
      <x:c r="M82" s="21" t="str">
        <x:v>Component headword checked: threats.</x:v>
      </x:c>
      <x:c r="N82" s="21" t="str">
        <x:v>Anchor-period research source/context; Webster 1913 stable component URL recorded but automated page retrieval was unavailable</x:v>
      </x:c>
      <x:c r="O82" s="21" t="str">
        <x:v>Climate change framed as an institutional threat; the candidate is interpreted in its documented anchor and voice context.</x:v>
      </x:c>
      <x:c r="P82" s="21" t="str">
        <x:v>A threat, risk, harm, severity, or consequence sense in the documented source; it is not automatically an emotion.</x:v>
      </x:c>
      <x:c r="Q82" s="22" t="str">
        <x:v>NOT_AVAILABLE_IN_ACCESSED_SOURCES</x:v>
      </x:c>
      <x:c r="R82" s="21" t="str">
        <x:v>STRONG</x:v>
      </x:c>
      <x:c r="S82" s="21" t="str">
        <x:v>The surface form may realize multiple senses; candidate meaning remains anchored to the report-visible source context.</x:v>
      </x:c>
      <x:c r="T82" s="21" t="str">
        <x:v>Fear of Temperature_ Stratified Lexical Expansion, Voice Mapping, and Semantic-Relational Pre-Valida.pdf#page=9; https://api.dictionaryapi.dev/api/v2/entries/en/grave%20threats; https://websters1913.timcieplowski.com/word/threats/</x:v>
      </x:c>
      <x:c r="U82" s="49" t="str">
        <x:v>2026-08-26</x:v>
      </x:c>
    </x:row>
    <x:row r="83" ht="19" customHeight="1">
      <x:c r="A83" s="20" t="str">
        <x:v>FT-SEED-R1B-P-1988-22</x:v>
      </x:c>
      <x:c r="B83" s="22" t="str">
        <x:v>1988</x:v>
      </x:c>
      <x:c r="C83" s="22" t="str">
        <x:v>22</x:v>
      </x:c>
      <x:c r="D83" s="21" t="str">
        <x:v>severe economic and social dislocation</x:v>
      </x:c>
      <x:c r="E83" s="21" t="str">
        <x:v>generic damage</x:v>
      </x:c>
      <x:c r="F83" s="22" t="str">
        <x:v>harm_loss_consequences</x:v>
      </x:c>
      <x:c r="G83" s="22" t="str">
        <x:v>D</x:v>
      </x:c>
      <x:c r="H83" s="22" t="str">
        <x:v>V2</x:v>
      </x:c>
      <x:c r="I83" s="22" t="str">
        <x:v>E5</x:v>
      </x:c>
      <x:c r="J83" s="21" t="str">
        <x:v>RECONSTRUCTED_FROM_REPORT; Fear of Temperature_ Stratified Lexical Expansion, Voice Mapping, and Semantic-Relational Pre-Valida.pdf; p.9; project candidate FT-SEED-R1B-P-1988-22; original visible ID not available</x:v>
      </x:c>
      <x:c r="K83" s="21" t="str">
        <x:v>NO_STANDALONE_HEADWORD</x:v>
      </x:c>
      <x:c r="L83" s="21" t="str">
        <x:v>Component lexical analysis plus anchor-source contextual meaning</x:v>
      </x:c>
      <x:c r="M83" s="21" t="str">
        <x:v>Component headword checked: dislocation.</x:v>
      </x:c>
      <x:c r="N83" s="21" t="str">
        <x:v>Anchor-period research source/context; Webster 1913 stable component URL recorded but automated page retrieval was unavailable</x:v>
      </x:c>
      <x:c r="O83" s="21" t="str">
        <x:v>Generic material, ecological, or social damage; the candidate is interpreted in its documented anchor and voice context.</x:v>
      </x:c>
      <x:c r="P83" s="21" t="str">
        <x:v>A threat, risk, harm, severity, or consequence sense in the documented source; it is not automatically an emotion.</x:v>
      </x:c>
      <x:c r="Q83" s="22" t="str">
        <x:v>NOT_AVAILABLE_IN_ACCESSED_SOURCES</x:v>
      </x:c>
      <x:c r="R83" s="21" t="str">
        <x:v>STRONG</x:v>
      </x:c>
      <x:c r="S83" s="21" t="str">
        <x:v>The surface form may realize multiple senses; candidate meaning remains anchored to the report-visible source context.</x:v>
      </x:c>
      <x:c r="T83" s="21" t="str">
        <x:v>Fear of Temperature_ Stratified Lexical Expansion, Voice Mapping, and Semantic-Relational Pre-Valida.pdf#page=9; https://api.dictionaryapi.dev/api/v2/entries/en/severe%20economic%20and%20social%20dislocation; https://websters1913.timcieplowski.com/word/dislocation/</x:v>
      </x:c>
      <x:c r="U83" s="49" t="str">
        <x:v>2026-08-26</x:v>
      </x:c>
    </x:row>
    <x:row r="84" ht="19" customHeight="1">
      <x:c r="A84" s="20" t="str">
        <x:v>FT-SEED-R1B-P-1988-23</x:v>
      </x:c>
      <x:c r="B84" s="22" t="str">
        <x:v>1988</x:v>
      </x:c>
      <x:c r="C84" s="22" t="str">
        <x:v>23</x:v>
      </x:c>
      <x:c r="D84" s="21" t="str">
        <x:v>risk of conflicts</x:v>
      </x:c>
      <x:c r="E84" s="21" t="str">
        <x:v>administrative risk assessment</x:v>
      </x:c>
      <x:c r="F84" s="22" t="str">
        <x:v>risk</x:v>
      </x:c>
      <x:c r="G84" s="22" t="str">
        <x:v>D</x:v>
      </x:c>
      <x:c r="H84" s="22" t="str">
        <x:v>V2</x:v>
      </x:c>
      <x:c r="I84" s="22" t="str">
        <x:v>E5</x:v>
      </x:c>
      <x:c r="J84" s="21" t="str">
        <x:v>RECONSTRUCTED_FROM_REPORT; Fear of Temperature_ Stratified Lexical Expansion, Voice Mapping, and Semantic-Relational Pre-Valida.pdf; p.9; project candidate FT-SEED-R1B-P-1988-23; original visible ID not available</x:v>
      </x:c>
      <x:c r="K84" s="21" t="str">
        <x:v>NO_STANDALONE_HEADWORD</x:v>
      </x:c>
      <x:c r="L84" s="21" t="str">
        <x:v>Component lexical analysis plus anchor-source contextual meaning</x:v>
      </x:c>
      <x:c r="M84" s="21" t="str">
        <x:v>Component headword checked: conflicts.</x:v>
      </x:c>
      <x:c r="N84" s="21" t="str">
        <x:v>Anchor-period research source/context; Webster 1913 stable component URL recorded but automated page retrieval was unavailable</x:v>
      </x:c>
      <x:c r="O84" s="21" t="str">
        <x:v>Risk managed or assessed through institutional procedure; the candidate is interpreted in its documented anchor and voice context.</x:v>
      </x:c>
      <x:c r="P84" s="21" t="str">
        <x:v>A threat, risk, harm, severity, or consequence sense in the documented source; it is not automatically an emotion.</x:v>
      </x:c>
      <x:c r="Q84" s="22" t="str">
        <x:v>NOT_AVAILABLE_IN_ACCESSED_SOURCES</x:v>
      </x:c>
      <x:c r="R84" s="21" t="str">
        <x:v>STRONG</x:v>
      </x:c>
      <x:c r="S84" s="21" t="str">
        <x:v>The surface form may realize multiple senses; candidate meaning remains anchored to the report-visible source context.</x:v>
      </x:c>
      <x:c r="T84" s="21" t="str">
        <x:v>Fear of Temperature_ Stratified Lexical Expansion, Voice Mapping, and Semantic-Relational Pre-Valida.pdf#page=9; https://api.dictionaryapi.dev/api/v2/entries/en/risk%20of%20conflicts; https://websters1913.timcieplowski.com/word/conflicts/</x:v>
      </x:c>
      <x:c r="U84" s="49" t="str">
        <x:v>2026-08-26</x:v>
      </x:c>
    </x:row>
    <x:row r="85" ht="19" customHeight="1">
      <x:c r="A85" s="20" t="str">
        <x:v>FT-SEED-R1B-P-1988-24</x:v>
      </x:c>
      <x:c r="B85" s="22" t="str">
        <x:v>1988</x:v>
      </x:c>
      <x:c r="C85" s="22" t="str">
        <x:v>24</x:v>
      </x:c>
      <x:c r="D85" s="21" t="str">
        <x:v>impending crisis</x:v>
      </x:c>
      <x:c r="E85" s="21" t="str">
        <x:v>severity / crisis predicate</x:v>
      </x:c>
      <x:c r="F85" s="22" t="str">
        <x:v>crisis_emergency</x:v>
      </x:c>
      <x:c r="G85" s="22" t="str">
        <x:v>D</x:v>
      </x:c>
      <x:c r="H85" s="22" t="str">
        <x:v>V2</x:v>
      </x:c>
      <x:c r="I85" s="22" t="str">
        <x:v>E5</x:v>
      </x:c>
      <x:c r="J85" s="21" t="str">
        <x:v>RECONSTRUCTED_FROM_REPORT; Fear of Temperature_ Stratified Lexical Expansion, Voice Mapping, and Semantic-Relational Pre-Valida.pdf; p.9; project candidate FT-SEED-R1B-P-1988-24; original visible ID not available</x:v>
      </x:c>
      <x:c r="K85" s="21" t="str">
        <x:v>NO_STANDALONE_HEADWORD</x:v>
      </x:c>
      <x:c r="L85" s="21" t="str">
        <x:v>Component lexical analysis plus anchor-source contextual meaning</x:v>
      </x:c>
      <x:c r="M85" s="21" t="str">
        <x:v>Component headword checked: crisis.</x:v>
      </x:c>
      <x:c r="N85" s="21" t="str">
        <x:v>Anchor-period research source/context; Webster 1913 stable component URL recorded but automated page retrieval was unavailable</x:v>
      </x:c>
      <x:c r="O85" s="21" t="str">
        <x:v>Crisis used as a severity predicate without necessarily being an established issue label; the candidate is interpreted in its documented anchor and voice context.</x:v>
      </x:c>
      <x:c r="P85" s="21" t="str">
        <x:v>A threat, risk, harm, severity, or consequence sense in the documented source; it is not automatically an emotion.</x:v>
      </x:c>
      <x:c r="Q85" s="22" t="str">
        <x:v>NOT_AVAILABLE_IN_ACCESSED_SOURCES</x:v>
      </x:c>
      <x:c r="R85" s="21" t="str">
        <x:v>STRONG</x:v>
      </x:c>
      <x:c r="S85" s="21" t="str">
        <x:v>The surface form may realize multiple senses; candidate meaning remains anchored to the report-visible source context.</x:v>
      </x:c>
      <x:c r="T85" s="21" t="str">
        <x:v>Fear of Temperature_ Stratified Lexical Expansion, Voice Mapping, and Semantic-Relational Pre-Valida.pdf#page=9; https://api.dictionaryapi.dev/api/v2/entries/en/impending%20crisis; https://websters1913.timcieplowski.com/word/crisis/</x:v>
      </x:c>
      <x:c r="U85" s="49" t="str">
        <x:v>2026-08-26</x:v>
      </x:c>
    </x:row>
    <x:row r="86" ht="19" customHeight="1">
      <x:c r="A86" s="20" t="str">
        <x:v>FT-SEED-R1B-P-1988-25</x:v>
      </x:c>
      <x:c r="B86" s="22" t="str">
        <x:v>1988</x:v>
      </x:c>
      <x:c r="C86" s="22" t="str">
        <x:v>25</x:v>
      </x:c>
      <x:c r="D86" s="21" t="str">
        <x:v>degradation of the atmosphere</x:v>
      </x:c>
      <x:c r="E86" s="21" t="str">
        <x:v>generic damage</x:v>
      </x:c>
      <x:c r="F86" s="22" t="str">
        <x:v>harm_loss_consequences</x:v>
      </x:c>
      <x:c r="G86" s="22" t="str">
        <x:v>D</x:v>
      </x:c>
      <x:c r="H86" s="22" t="str">
        <x:v>V2</x:v>
      </x:c>
      <x:c r="I86" s="22" t="str">
        <x:v>E5</x:v>
      </x:c>
      <x:c r="J86" s="21" t="str">
        <x:v>RECONSTRUCTED_FROM_REPORT; Fear of Temperature_ Stratified Lexical Expansion, Voice Mapping, and Semantic-Relational Pre-Valida.pdf; p.9; project candidate FT-SEED-R1B-P-1988-25; original visible ID not available</x:v>
      </x:c>
      <x:c r="K86" s="21" t="str">
        <x:v>NO_STANDALONE_HEADWORD</x:v>
      </x:c>
      <x:c r="L86" s="21" t="str">
        <x:v>Component lexical analysis plus anchor-source contextual meaning</x:v>
      </x:c>
      <x:c r="M86" s="21" t="str">
        <x:v>Component headword checked: atmosphere.</x:v>
      </x:c>
      <x:c r="N86" s="21" t="str">
        <x:v>Anchor-period research source/context; Webster 1913 stable component URL recorded but automated page retrieval was unavailable</x:v>
      </x:c>
      <x:c r="O86" s="21" t="str">
        <x:v>Generic material, ecological, or social damage; the candidate is interpreted in its documented anchor and voice context.</x:v>
      </x:c>
      <x:c r="P86" s="21" t="str">
        <x:v>A threat, risk, harm, severity, or consequence sense in the documented source; it is not automatically an emotion.</x:v>
      </x:c>
      <x:c r="Q86" s="22" t="str">
        <x:v>NOT_AVAILABLE_IN_ACCESSED_SOURCES</x:v>
      </x:c>
      <x:c r="R86" s="21" t="str">
        <x:v>STRONG</x:v>
      </x:c>
      <x:c r="S86" s="21" t="str">
        <x:v>The surface form may realize multiple senses; candidate meaning remains anchored to the report-visible source context.</x:v>
      </x:c>
      <x:c r="T86" s="21" t="str">
        <x:v>Fear of Temperature_ Stratified Lexical Expansion, Voice Mapping, and Semantic-Relational Pre-Valida.pdf#page=9; https://api.dictionaryapi.dev/api/v2/entries/en/degradation%20of%20the%20atmosphere; https://websters1913.timcieplowski.com/word/atmosphere/</x:v>
      </x:c>
      <x:c r="U86" s="49" t="str">
        <x:v>2026-08-26</x:v>
      </x:c>
    </x:row>
    <x:row r="87" ht="19" customHeight="1">
      <x:c r="A87" s="20" t="str">
        <x:v>FT-SEED-R1B-P-1988-26</x:v>
      </x:c>
      <x:c r="B87" s="22" t="str">
        <x:v>1988</x:v>
      </x:c>
      <x:c r="C87" s="22" t="str">
        <x:v>26</x:v>
      </x:c>
      <x:c r="D87" s="21" t="str">
        <x:v>atmospheric pollution</x:v>
      </x:c>
      <x:c r="E87" s="21" t="str">
        <x:v>generic damage</x:v>
      </x:c>
      <x:c r="F87" s="22" t="str">
        <x:v>harm_loss_consequences</x:v>
      </x:c>
      <x:c r="G87" s="22" t="str">
        <x:v>D</x:v>
      </x:c>
      <x:c r="H87" s="22" t="str">
        <x:v>V2</x:v>
      </x:c>
      <x:c r="I87" s="22" t="str">
        <x:v>E5</x:v>
      </x:c>
      <x:c r="J87" s="21" t="str">
        <x:v>RECONSTRUCTED_FROM_REPORT; Fear of Temperature_ Stratified Lexical Expansion, Voice Mapping, and Semantic-Relational Pre-Valida.pdf; p.9; project candidate FT-SEED-R1B-P-1988-26; original visible ID not available</x:v>
      </x:c>
      <x:c r="K87" s="21" t="str">
        <x:v>NO_STANDALONE_HEADWORD</x:v>
      </x:c>
      <x:c r="L87" s="21" t="str">
        <x:v>Component lexical analysis plus anchor-source contextual meaning</x:v>
      </x:c>
      <x:c r="M87" s="21" t="str">
        <x:v>Component headword checked: pollution.</x:v>
      </x:c>
      <x:c r="N87" s="21" t="str">
        <x:v>Anchor-period research source/context; Webster 1913 stable component URL recorded but automated page retrieval was unavailable</x:v>
      </x:c>
      <x:c r="O87" s="21" t="str">
        <x:v>Generic material, ecological, or social damage; the candidate is interpreted in its documented anchor and voice context.</x:v>
      </x:c>
      <x:c r="P87" s="21" t="str">
        <x:v>A threat, risk, harm, severity, or consequence sense in the documented source; it is not automatically an emotion.</x:v>
      </x:c>
      <x:c r="Q87" s="22" t="str">
        <x:v>NOT_AVAILABLE_IN_ACCESSED_SOURCES</x:v>
      </x:c>
      <x:c r="R87" s="21" t="str">
        <x:v>STRONG</x:v>
      </x:c>
      <x:c r="S87" s="21" t="str">
        <x:v>The surface form may realize multiple senses; candidate meaning remains anchored to the report-visible source context.</x:v>
      </x:c>
      <x:c r="T87" s="21" t="str">
        <x:v>Fear of Temperature_ Stratified Lexical Expansion, Voice Mapping, and Semantic-Relational Pre-Valida.pdf#page=9; https://api.dictionaryapi.dev/api/v2/entries/en/atmospheric%20pollution; https://websters1913.timcieplowski.com/word/pollution/</x:v>
      </x:c>
      <x:c r="U87" s="49" t="str">
        <x:v>2026-08-26</x:v>
      </x:c>
    </x:row>
    <x:row r="88" ht="19" customHeight="1">
      <x:c r="A88" s="20" t="str">
        <x:v>FT-SEED-R1B-P-1988-27</x:v>
      </x:c>
      <x:c r="B88" s="22" t="str">
        <x:v>1988</x:v>
      </x:c>
      <x:c r="C88" s="22" t="str">
        <x:v>27</x:v>
      </x:c>
      <x:c r="D88" s="21" t="str">
        <x:v>greenhouse gases</x:v>
      </x:c>
      <x:c r="E88" s="21" t="str">
        <x:v>anthropogenic greenhouse-gas emissions</x:v>
      </x:c>
      <x:c r="F88" s="22" t="str">
        <x:v>carbon_greenhouse</x:v>
      </x:c>
      <x:c r="G88" s="22" t="str">
        <x:v>B</x:v>
      </x:c>
      <x:c r="H88" s="22" t="str">
        <x:v>V2</x:v>
      </x:c>
      <x:c r="I88" s="22" t="str">
        <x:v>E5</x:v>
      </x:c>
      <x:c r="J88" s="21" t="str">
        <x:v>RECONSTRUCTED_FROM_REPORT; Fear of Temperature_ Stratified Lexical Expansion, Voice Mapping, and Semantic-Relational Pre-Valida.pdf; p.9; project candidate FT-SEED-R1B-P-1988-27; original visible ID not available</x:v>
      </x:c>
      <x:c r="K88" s="21" t="str">
        <x:v>TECHNICAL_GLOSSARY</x:v>
      </x:c>
      <x:c r="L88" s="21" t="str">
        <x:v>IPCC climate-science glossary / assessment terminology</x:v>
      </x:c>
      <x:c r="M88" s="21" t="str">
        <x:v>Component headword checked: gases.</x:v>
      </x:c>
      <x:c r="N88" s="21" t="str">
        <x:v>Anchor-period research source/context; Webster 1913 stable component URL recorded but automated page retrieval was unavailable</x:v>
      </x:c>
      <x:c r="O88" s="21" t="str">
        <x:v>Atmospheric gases that absorb and emit infrared radiation and thereby influence the greenhouse effect.</x:v>
      </x:c>
      <x:c r="P88" s="21" t="str">
        <x:v>A climatic, atmospheric, meteorological, or causal-science sense in the documented anchor context.</x:v>
      </x:c>
      <x:c r="Q88" s="22" t="str">
        <x:v>NOT_AVAILABLE_IN_ACCESSED_SOURCES</x:v>
      </x:c>
      <x:c r="R88" s="21" t="str">
        <x:v>STRONG</x:v>
      </x:c>
      <x:c r="S88" s="21" t="str">
        <x:v>The surface form may realize multiple senses; candidate meaning remains anchored to the report-visible source context.</x:v>
      </x:c>
      <x:c r="T88" s="21" t="str">
        <x:v>https://www.ipcc.ch/site/assets/uploads/2018/02/WGIIAR5-AnnexII_FINAL.pdf; https://api.dictionaryapi.dev/api/v2/entries/en/greenhouse%20gases; https://websters1913.timcieplowski.com/word/gases/</x:v>
      </x:c>
      <x:c r="U88" s="49" t="str">
        <x:v>2026-08-26</x:v>
      </x:c>
    </x:row>
    <x:row r="89" ht="19" customHeight="1">
      <x:c r="A89" s="20" t="str">
        <x:v>FT-SEED-R1B-P-1988-28</x:v>
      </x:c>
      <x:c r="B89" s="22" t="str">
        <x:v>1988</x:v>
      </x:c>
      <x:c r="C89" s="22" t="str">
        <x:v>28</x:v>
      </x:c>
      <x:c r="D89" s="21" t="str">
        <x:v>Global Warming Has Begun</x:v>
      </x:c>
      <x:c r="E89" s="21" t="str">
        <x:v>global warming as issue label</x:v>
      </x:c>
      <x:c r="F89" s="22" t="str">
        <x:v>warming</x:v>
      </x:c>
      <x:c r="G89" s="22" t="str">
        <x:v>A</x:v>
      </x:c>
      <x:c r="H89" s="22" t="str">
        <x:v>V3</x:v>
      </x:c>
      <x:c r="I89" s="22" t="str">
        <x:v>E5</x:v>
      </x:c>
      <x:c r="J89" s="21" t="str">
        <x:v>RECONSTRUCTED_FROM_REPORT; Fear of Temperature_ Stratified Lexical Expansion, Voice Mapping, and Semantic-Relational Pre-Valida.pdf; p.9; project candidate FT-SEED-R1B-P-1988-28; original visible ID not available</x:v>
      </x:c>
      <x:c r="K89" s="21" t="str">
        <x:v>NO_STANDALONE_HEADWORD</x:v>
      </x:c>
      <x:c r="L89" s="21" t="str">
        <x:v>Component lexical analysis plus anchor-source contextual meaning</x:v>
      </x:c>
      <x:c r="M89" s="21" t="str">
        <x:v>Component headword checked: begun.</x:v>
      </x:c>
      <x:c r="N89" s="21" t="str">
        <x:v>Anchor-period research source/context; Webster 1913 stable component URL recorded but automated page retrieval was unavailable</x:v>
      </x:c>
      <x:c r="O89" s="21" t="str">
        <x:v>Global warming used as an established public, scientific, or policy issue label; the candidate is interpreted in its documented anchor and voice context.</x:v>
      </x:c>
      <x:c r="P89" s="21" t="str">
        <x:v>A physical temperature, warming, heat, or measurement sense in the documented anchor context.</x:v>
      </x:c>
      <x:c r="Q89" s="22" t="str">
        <x:v>NOT_AVAILABLE_IN_ACCESSED_SOURCES</x:v>
      </x:c>
      <x:c r="R89" s="21" t="str">
        <x:v>STRONG</x:v>
      </x:c>
      <x:c r="S89" s="21" t="str">
        <x:v>The surface form may realize multiple senses; candidate meaning remains anchored to the report-visible source context.</x:v>
      </x:c>
      <x:c r="T89" s="21" t="str">
        <x:v>Fear of Temperature_ Stratified Lexical Expansion, Voice Mapping, and Semantic-Relational Pre-Valida.pdf#page=9; https://api.dictionaryapi.dev/api/v2/entries/en/Global%20Warming%20Has%20Begun; https://websters1913.timcieplowski.com/word/begun/</x:v>
      </x:c>
      <x:c r="U89" s="49" t="str">
        <x:v>2026-08-26</x:v>
      </x:c>
    </x:row>
    <x:row r="90" ht="19" customHeight="1">
      <x:c r="A90" s="20" t="str">
        <x:v>FT-SEED-R1B-P-1988-29</x:v>
      </x:c>
      <x:c r="B90" s="22" t="str">
        <x:v>1988</x:v>
      </x:c>
      <x:c r="C90" s="22" t="str">
        <x:v>29</x:v>
      </x:c>
      <x:c r="D90" s="21" t="str">
        <x:v>evidence is pretty strong</x:v>
      </x:c>
      <x:c r="E90" s="21" t="str">
        <x:v>personal concern</x:v>
      </x:c>
      <x:c r="F90" s="22" t="str">
        <x:v>concern_alarm</x:v>
      </x:c>
      <x:c r="G90" s="22" t="str">
        <x:v>C</x:v>
      </x:c>
      <x:c r="H90" s="22" t="str">
        <x:v>V3</x:v>
      </x:c>
      <x:c r="I90" s="22" t="str">
        <x:v>E5</x:v>
      </x:c>
      <x:c r="J90" s="21" t="str">
        <x:v>RECONSTRUCTED_FROM_REPORT; Fear of Temperature_ Stratified Lexical Expansion, Voice Mapping, and Semantic-Relational Pre-Valida.pdf; p.9; project candidate FT-SEED-R1B-P-1988-29; original visible ID not available</x:v>
      </x:c>
      <x:c r="K90" s="21" t="str">
        <x:v>NO_STANDALONE_HEADWORD</x:v>
      </x:c>
      <x:c r="L90" s="21" t="str">
        <x:v>Component lexical analysis plus anchor-source contextual meaning</x:v>
      </x:c>
      <x:c r="M90" s="21" t="str">
        <x:v>Component headword checked: strong.</x:v>
      </x:c>
      <x:c r="N90" s="21" t="str">
        <x:v>Anchor-period research source/context; Webster 1913 stable component URL recorded but automated page retrieval was unavailable</x:v>
      </x:c>
      <x:c r="O90" s="21" t="str">
        <x:v>Concern expressed or endorsed by an identifiable person about a climate or heat object; the candidate is interpreted in its documented anchor and voice context.</x:v>
      </x:c>
      <x:c r="P90" s="21" t="str">
        <x:v>The candidate's affective or evaluative sense as used by the documented speaker/instrument/research voice at the anchor.</x:v>
      </x:c>
      <x:c r="Q90" s="22" t="str">
        <x:v>NOT_AVAILABLE_IN_ACCESSED_SOURCES</x:v>
      </x:c>
      <x:c r="R90" s="21" t="str">
        <x:v>STRONG</x:v>
      </x:c>
      <x:c r="S90" s="21" t="str">
        <x:v>The surface form may realize multiple senses; candidate meaning remains anchored to the report-visible source context.</x:v>
      </x:c>
      <x:c r="T90" s="21" t="str">
        <x:v>Fear of Temperature_ Stratified Lexical Expansion, Voice Mapping, and Semantic-Relational Pre-Valida.pdf#page=9; https://api.dictionaryapi.dev/api/v2/entries/en/evidence%20is%20pretty%20strong; https://websters1913.timcieplowski.com/word/strong/</x:v>
      </x:c>
      <x:c r="U90" s="49" t="str">
        <x:v>2026-08-26</x:v>
      </x:c>
    </x:row>
    <x:row r="91" ht="19" customHeight="1">
      <x:c r="A91" s="20" t="str">
        <x:v>FT-SEED-R1B-P-1988-30</x:v>
      </x:c>
      <x:c r="B91" s="22" t="str">
        <x:v>1988</x:v>
      </x:c>
      <x:c r="C91" s="22" t="str">
        <x:v>30</x:v>
      </x:c>
      <x:c r="D91" s="21" t="str">
        <x:v>too much carbon dioxide is dangerous</x:v>
      </x:c>
      <x:c r="E91" s="21" t="str">
        <x:v>atmospheric carbon dioxide</x:v>
      </x:c>
      <x:c r="F91" s="22" t="str">
        <x:v>carbon_greenhouse</x:v>
      </x:c>
      <x:c r="G91" s="22" t="str">
        <x:v>D</x:v>
      </x:c>
      <x:c r="H91" s="22" t="str">
        <x:v>V3</x:v>
      </x:c>
      <x:c r="I91" s="22" t="str">
        <x:v>E5</x:v>
      </x:c>
      <x:c r="J91" s="21" t="str">
        <x:v>RECONSTRUCTED_FROM_REPORT; Fear of Temperature_ Stratified Lexical Expansion, Voice Mapping, and Semantic-Relational Pre-Valida.pdf; p.9; project candidate FT-SEED-R1B-P-1988-30; original visible ID not available</x:v>
      </x:c>
      <x:c r="K91" s="21" t="str">
        <x:v>NO_STANDALONE_HEADWORD</x:v>
      </x:c>
      <x:c r="L91" s="21" t="str">
        <x:v>Component lexical analysis plus anchor-source contextual meaning</x:v>
      </x:c>
      <x:c r="M91" s="21" t="str">
        <x:v>Component headword checked: dangerous.</x:v>
      </x:c>
      <x:c r="N91" s="21" t="str">
        <x:v>Anchor-period research source/context; Webster 1913 stable component URL recorded but automated page retrieval was unavailable</x:v>
      </x:c>
      <x:c r="O91" s="21" t="str">
        <x:v>Carbon dioxide as an atmospheric constituent; the candidate is interpreted in its documented anchor and voice context.</x:v>
      </x:c>
      <x:c r="P91" s="21" t="str">
        <x:v>A threat, risk, harm, severity, or consequence sense in the documented source; it is not automatically an emotion.</x:v>
      </x:c>
      <x:c r="Q91" s="22" t="str">
        <x:v>NOT_AVAILABLE_IN_ACCESSED_SOURCES</x:v>
      </x:c>
      <x:c r="R91" s="21" t="str">
        <x:v>STRONG</x:v>
      </x:c>
      <x:c r="S91" s="21" t="str">
        <x:v>The surface form may realize multiple senses; candidate meaning remains anchored to the report-visible source context.</x:v>
      </x:c>
      <x:c r="T91" s="21" t="str">
        <x:v>Fear of Temperature_ Stratified Lexical Expansion, Voice Mapping, and Semantic-Relational Pre-Valida.pdf#page=9; https://api.dictionaryapi.dev/api/v2/entries/en/too%20much%20carbon%20dioxide%20is%20dangerous; https://websters1913.timcieplowski.com/word/dangerous/</x:v>
      </x:c>
      <x:c r="U91" s="49" t="str">
        <x:v>2026-08-26</x:v>
      </x:c>
    </x:row>
    <x:row r="92" ht="19" customHeight="1">
      <x:c r="A92" s="20" t="str">
        <x:v>FT-SEED-R1B-P-0607-01</x:v>
      </x:c>
      <x:c r="B92" s="22" t="str">
        <x:v>2006–2007</x:v>
      </x:c>
      <x:c r="C92" s="22" t="str">
        <x:v>1</x:v>
      </x:c>
      <x:c r="D92" s="21" t="str">
        <x:v>warming of the climate system</x:v>
      </x:c>
      <x:c r="E92" s="21" t="str">
        <x:v>climate-system warming</x:v>
      </x:c>
      <x:c r="F92" s="22" t="str">
        <x:v>warming</x:v>
      </x:c>
      <x:c r="G92" s="22" t="str">
        <x:v>A</x:v>
      </x:c>
      <x:c r="H92" s="22" t="str">
        <x:v>V1</x:v>
      </x:c>
      <x:c r="I92" s="22" t="str">
        <x:v>E5</x:v>
      </x:c>
      <x:c r="J92" s="21" t="str">
        <x:v>RECONSTRUCTED_FROM_REPORT; Fear of Temperature_ Stratified Lexical Expansion, Voice Mapping, and Semantic-Relational Pre-Valida.pdf; p.10; project candidate FT-SEED-R1B-P-0607-01; original visible ID not available</x:v>
      </x:c>
      <x:c r="K92" s="21" t="str">
        <x:v>TECHNICAL_GLOSSARY</x:v>
      </x:c>
      <x:c r="L92" s="21" t="str">
        <x:v>IPCC climate-science glossary / assessment terminology</x:v>
      </x:c>
      <x:c r="M92" s="21" t="str">
        <x:v>Component headword checked: system.</x:v>
      </x:c>
      <x:c r="N92" s="21" t="str">
        <x:v>Anchor-period research source/context; Webster 1913 stable component URL recorded but automated page retrieval was unavailable</x:v>
      </x:c>
      <x:c r="O92" s="21" t="str">
        <x:v>Warming attributed to or observed across the climate system; the candidate is interpreted in its documented anchor and voice context.</x:v>
      </x:c>
      <x:c r="P92" s="21" t="str">
        <x:v>A physical temperature, warming, heat, or measurement sense in the documented anchor context.</x:v>
      </x:c>
      <x:c r="Q92" s="22" t="str">
        <x:v>NOT_AVAILABLE_IN_ACCESSED_SOURCES</x:v>
      </x:c>
      <x:c r="R92" s="21" t="str">
        <x:v>STRONG</x:v>
      </x:c>
      <x:c r="S92" s="21" t="str">
        <x:v>The surface form may realize multiple senses; candidate meaning remains anchored to the report-visible source context.</x:v>
      </x:c>
      <x:c r="T92" s="21" t="str">
        <x:v>https://www.ipcc.ch/site/assets/uploads/2018/02/WGIIAR5-AnnexII_FINAL.pdf; https://api.dictionaryapi.dev/api/v2/entries/en/warming%20of%20the%20climate%20system; https://websters1913.timcieplowski.com/word/system/</x:v>
      </x:c>
      <x:c r="U92" s="49" t="str">
        <x:v>2026-08-26</x:v>
      </x:c>
    </x:row>
    <x:row r="93" ht="19" customHeight="1">
      <x:c r="A93" s="20" t="str">
        <x:v>FT-SEED-R1B-P-0607-02</x:v>
      </x:c>
      <x:c r="B93" s="22" t="str">
        <x:v>2006–2007</x:v>
      </x:c>
      <x:c r="C93" s="22" t="str">
        <x:v>2</x:v>
      </x:c>
      <x:c r="D93" s="21" t="str">
        <x:v>unequivocal</x:v>
      </x:c>
      <x:c r="E93" s="21" t="str">
        <x:v>historical climate / climatological condition</x:v>
      </x:c>
      <x:c r="F93" s="22" t="str">
        <x:v>climate</x:v>
      </x:c>
      <x:c r="G93" s="22" t="str">
        <x:v>B</x:v>
      </x:c>
      <x:c r="H93" s="22" t="str">
        <x:v>V1</x:v>
      </x:c>
      <x:c r="I93" s="22" t="str">
        <x:v>E5</x:v>
      </x:c>
      <x:c r="J93" s="21" t="str">
        <x:v>RECONSTRUCTED_FROM_REPORT; Fear of Temperature_ Stratified Lexical Expansion, Voice Mapping, and Semantic-Relational Pre-Valida.pdf; p.10; project candidate FT-SEED-R1B-P-0607-02; original visible ID not available</x:v>
      </x:c>
      <x:c r="K93" s="21" t="str">
        <x:v>DIRECT_HEADWORD</x:v>
      </x:c>
      <x:c r="L93" s="21" t="str">
        <x:v>Webster's Revised Unabridged Dictionary (1913 public-domain headword index)</x:v>
      </x:c>
      <x:c r="M93" s="21" t="str">
        <x:v>Component headword checked: unequivocal.</x:v>
      </x:c>
      <x:c r="N93" s="21" t="str">
        <x:v>Anchor-period research source/context; Webster 1913 stable component URL recorded but automated page retrieval was unavailable</x:v>
      </x:c>
      <x:c r="O93" s="21" t="str">
        <x:v>Climate as a historical, geographical, seasonal, or climatological condition; the candidate is interpreted in its documented anchor and voice context.</x:v>
      </x:c>
      <x:c r="P93" s="21" t="str">
        <x:v>A climatic, atmospheric, meteorological, or causal-science sense in the documented anchor context.</x:v>
      </x:c>
      <x:c r="Q93" s="22" t="str">
        <x:v>NOT_AVAILABLE_IN_ACCESSED_SOURCES</x:v>
      </x:c>
      <x:c r="R93" s="21" t="str">
        <x:v>STRONG</x:v>
      </x:c>
      <x:c r="S93" s="21" t="str">
        <x:v>The surface form may realize multiple senses; candidate meaning remains anchored to the report-visible source context.</x:v>
      </x:c>
      <x:c r="T93" s="21" t="str">
        <x:v>https://websters1913.timcieplowski.com/word/unequivocal/; https://api.dictionaryapi.dev/api/v2/entries/en/unequivocal</x:v>
      </x:c>
      <x:c r="U93" s="49" t="str">
        <x:v>2026-08-26</x:v>
      </x:c>
    </x:row>
    <x:row r="94" ht="19" customHeight="1">
      <x:c r="A94" s="20" t="str">
        <x:v>FT-SEED-R1B-P-0607-03</x:v>
      </x:c>
      <x:c r="B94" s="22" t="str">
        <x:v>2006–2007</x:v>
      </x:c>
      <x:c r="C94" s="22" t="str">
        <x:v>3</x:v>
      </x:c>
      <x:c r="D94" s="21" t="str">
        <x:v>global average air and ocean temperatures</x:v>
      </x:c>
      <x:c r="E94" s="21" t="str">
        <x:v>global aggregate temperature</x:v>
      </x:c>
      <x:c r="F94" s="22" t="str">
        <x:v>temperature_threshold</x:v>
      </x:c>
      <x:c r="G94" s="22" t="str">
        <x:v>A</x:v>
      </x:c>
      <x:c r="H94" s="22" t="str">
        <x:v>V1</x:v>
      </x:c>
      <x:c r="I94" s="22" t="str">
        <x:v>E5</x:v>
      </x:c>
      <x:c r="J94" s="21" t="str">
        <x:v>RECONSTRUCTED_FROM_REPORT; Fear of Temperature_ Stratified Lexical Expansion, Voice Mapping, and Semantic-Relational Pre-Valida.pdf; p.10; project candidate FT-SEED-R1B-P-0607-03; original visible ID not available</x:v>
      </x:c>
      <x:c r="K94" s="21" t="str">
        <x:v>TECHNICAL_GLOSSARY</x:v>
      </x:c>
      <x:c r="L94" s="21" t="str">
        <x:v>IPCC climate-science glossary / assessment terminology</x:v>
      </x:c>
      <x:c r="M94" s="21" t="str">
        <x:v>Component headword checked: temperatures.</x:v>
      </x:c>
      <x:c r="N94" s="21" t="str">
        <x:v>Anchor-period research source/context; Webster 1913 stable component URL recorded but automated page retrieval was unavailable</x:v>
      </x:c>
      <x:c r="O94" s="21" t="str">
        <x:v>A global-scale aggregate temperature metric; the candidate is interpreted in its documented anchor and voice context.</x:v>
      </x:c>
      <x:c r="P94" s="21" t="str">
        <x:v>A physical temperature, warming, heat, or measurement sense in the documented anchor context.</x:v>
      </x:c>
      <x:c r="Q94" s="22" t="str">
        <x:v>NOT_AVAILABLE_IN_ACCESSED_SOURCES</x:v>
      </x:c>
      <x:c r="R94" s="21" t="str">
        <x:v>STRONG</x:v>
      </x:c>
      <x:c r="S94" s="21" t="str">
        <x:v>The surface form may realize multiple senses; candidate meaning remains anchored to the report-visible source context.</x:v>
      </x:c>
      <x:c r="T94" s="21" t="str">
        <x:v>https://www.ipcc.ch/site/assets/uploads/2018/02/WGIIAR5-AnnexII_FINAL.pdf; https://api.dictionaryapi.dev/api/v2/entries/en/global%20average%20air%20and%20ocean%20temperatures; https://websters1913.timcieplowski.com/word/temperatures/</x:v>
      </x:c>
      <x:c r="U94" s="49" t="str">
        <x:v>2026-08-26</x:v>
      </x:c>
    </x:row>
    <x:row r="95" ht="19" customHeight="1">
      <x:c r="A95" s="20" t="str">
        <x:v>FT-SEED-R1B-P-0607-04</x:v>
      </x:c>
      <x:c r="B95" s="22" t="str">
        <x:v>2006–2007</x:v>
      </x:c>
      <x:c r="C95" s="22" t="str">
        <x:v>4</x:v>
      </x:c>
      <x:c r="D95" s="21" t="str">
        <x:v>global surface temperature</x:v>
      </x:c>
      <x:c r="E95" s="21" t="str">
        <x:v>global aggregate temperature</x:v>
      </x:c>
      <x:c r="F95" s="22" t="str">
        <x:v>temperature_threshold</x:v>
      </x:c>
      <x:c r="G95" s="22" t="str">
        <x:v>A</x:v>
      </x:c>
      <x:c r="H95" s="22" t="str">
        <x:v>V1</x:v>
      </x:c>
      <x:c r="I95" s="22" t="str">
        <x:v>E5</x:v>
      </x:c>
      <x:c r="J95" s="21" t="str">
        <x:v>RECONSTRUCTED_FROM_REPORT; Fear of Temperature_ Stratified Lexical Expansion, Voice Mapping, and Semantic-Relational Pre-Valida.pdf; p.10; project candidate FT-SEED-R1B-P-0607-04; original visible ID not available</x:v>
      </x:c>
      <x:c r="K95" s="21" t="str">
        <x:v>TECHNICAL_GLOSSARY</x:v>
      </x:c>
      <x:c r="L95" s="21" t="str">
        <x:v>IPCC climate-science glossary / assessment terminology</x:v>
      </x:c>
      <x:c r="M95" s="21" t="str">
        <x:v>Component headword checked: temperature.</x:v>
      </x:c>
      <x:c r="N95" s="21" t="str">
        <x:v>Anchor-period research source/context; Webster 1913 stable component URL recorded but automated page retrieval was unavailable</x:v>
      </x:c>
      <x:c r="O95" s="21" t="str">
        <x:v>A global-scale aggregate temperature metric; the candidate is interpreted in its documented anchor and voice context.</x:v>
      </x:c>
      <x:c r="P95" s="21" t="str">
        <x:v>A physical temperature, warming, heat, or measurement sense in the documented anchor context.</x:v>
      </x:c>
      <x:c r="Q95" s="22" t="str">
        <x:v>NOT_AVAILABLE_IN_ACCESSED_SOURCES</x:v>
      </x:c>
      <x:c r="R95" s="21" t="str">
        <x:v>STRONG</x:v>
      </x:c>
      <x:c r="S95" s="21" t="str">
        <x:v>The surface form may realize multiple senses; candidate meaning remains anchored to the report-visible source context.</x:v>
      </x:c>
      <x:c r="T95" s="21" t="str">
        <x:v>https://www.ipcc.ch/site/assets/uploads/2018/02/WGIIAR5-AnnexII_FINAL.pdf; https://api.dictionaryapi.dev/api/v2/entries/en/global%20surface%20temperature; https://websters1913.timcieplowski.com/word/temperature/</x:v>
      </x:c>
      <x:c r="U95" s="49" t="str">
        <x:v>2026-08-26</x:v>
      </x:c>
    </x:row>
    <x:row r="96" ht="19" customHeight="1">
      <x:c r="A96" s="20" t="str">
        <x:v>FT-SEED-R1B-P-0607-05</x:v>
      </x:c>
      <x:c r="B96" s="22" t="str">
        <x:v>2006–2007</x:v>
      </x:c>
      <x:c r="C96" s="22" t="str">
        <x:v>5</x:v>
      </x:c>
      <x:c r="D96" s="21" t="str">
        <x:v>temperature increase</x:v>
      </x:c>
      <x:c r="E96" s="21" t="str">
        <x:v>temperature increase</x:v>
      </x:c>
      <x:c r="F96" s="22" t="str">
        <x:v>warming</x:v>
      </x:c>
      <x:c r="G96" s="22" t="str">
        <x:v>A</x:v>
      </x:c>
      <x:c r="H96" s="22" t="str">
        <x:v>V1</x:v>
      </x:c>
      <x:c r="I96" s="22" t="str">
        <x:v>E5</x:v>
      </x:c>
      <x:c r="J96" s="21" t="str">
        <x:v>RECONSTRUCTED_FROM_REPORT; Fear of Temperature_ Stratified Lexical Expansion, Voice Mapping, and Semantic-Relational Pre-Valida.pdf; p.10; project candidate FT-SEED-R1B-P-0607-05; original visible ID not available</x:v>
      </x:c>
      <x:c r="K96" s="21" t="str">
        <x:v>TECHNICAL_GLOSSARY</x:v>
      </x:c>
      <x:c r="L96" s="21" t="str">
        <x:v>IPCC climate-science glossary / assessment terminology</x:v>
      </x:c>
      <x:c r="M96" s="21" t="str">
        <x:v>Component headword checked: increase.</x:v>
      </x:c>
      <x:c r="N96" s="21" t="str">
        <x:v>Anchor-period research source/context; Webster 1913 stable component URL recorded but automated page retrieval was unavailable</x:v>
      </x:c>
      <x:c r="O96" s="21" t="str">
        <x:v>An observed, estimated, or projected increase in temperature; the candidate is interpreted in its documented anchor and voice context.</x:v>
      </x:c>
      <x:c r="P96" s="21" t="str">
        <x:v>A physical temperature, warming, heat, or measurement sense in the documented anchor context.</x:v>
      </x:c>
      <x:c r="Q96" s="22" t="str">
        <x:v>NOT_AVAILABLE_IN_ACCESSED_SOURCES</x:v>
      </x:c>
      <x:c r="R96" s="21" t="str">
        <x:v>STRONG</x:v>
      </x:c>
      <x:c r="S96" s="21" t="str">
        <x:v>The surface form may realize multiple senses; candidate meaning remains anchored to the report-visible source context.</x:v>
      </x:c>
      <x:c r="T96" s="21" t="str">
        <x:v>https://www.ipcc.ch/site/assets/uploads/2018/02/WGIIAR5-AnnexII_FINAL.pdf; https://api.dictionaryapi.dev/api/v2/entries/en/temperature%20increase; https://websters1913.timcieplowski.com/word/increase/</x:v>
      </x:c>
      <x:c r="U96" s="49" t="str">
        <x:v>2026-08-26</x:v>
      </x:c>
    </x:row>
    <x:row r="97" ht="19" customHeight="1">
      <x:c r="A97" s="20" t="str">
        <x:v>FT-SEED-R1B-P-0607-06</x:v>
      </x:c>
      <x:c r="B97" s="22" t="str">
        <x:v>2006–2007</x:v>
      </x:c>
      <x:c r="C97" s="22" t="str">
        <x:v>6</x:v>
      </x:c>
      <x:c r="D97" s="21" t="str">
        <x:v>rising global average sea level</x:v>
      </x:c>
      <x:c r="E97" s="21" t="str">
        <x:v>generic damage</x:v>
      </x:c>
      <x:c r="F97" s="22" t="str">
        <x:v>harm_loss_consequences</x:v>
      </x:c>
      <x:c r="G97" s="22" t="str">
        <x:v>D</x:v>
      </x:c>
      <x:c r="H97" s="22" t="str">
        <x:v>V1</x:v>
      </x:c>
      <x:c r="I97" s="22" t="str">
        <x:v>E5</x:v>
      </x:c>
      <x:c r="J97" s="21" t="str">
        <x:v>RECONSTRUCTED_FROM_REPORT; Fear of Temperature_ Stratified Lexical Expansion, Voice Mapping, and Semantic-Relational Pre-Valida.pdf; p.10; project candidate FT-SEED-R1B-P-0607-06; original visible ID not available</x:v>
      </x:c>
      <x:c r="K97" s="21" t="str">
        <x:v>TECHNICAL_GLOSSARY</x:v>
      </x:c>
      <x:c r="L97" s="21" t="str">
        <x:v>IPCC climate-science glossary / assessment terminology</x:v>
      </x:c>
      <x:c r="M97" s="21" t="str">
        <x:v>Component headword checked: level.</x:v>
      </x:c>
      <x:c r="N97" s="21" t="str">
        <x:v>Anchor-period research source/context; Webster 1913 stable component URL recorded but automated page retrieval was unavailable</x:v>
      </x:c>
      <x:c r="O97" s="21" t="str">
        <x:v>Generic material, ecological, or social damage; the candidate is interpreted in its documented anchor and voice context.</x:v>
      </x:c>
      <x:c r="P97" s="21" t="str">
        <x:v>A threat, risk, harm, severity, or consequence sense in the documented source; it is not automatically an emotion.</x:v>
      </x:c>
      <x:c r="Q97" s="22" t="str">
        <x:v>NOT_AVAILABLE_IN_ACCESSED_SOURCES</x:v>
      </x:c>
      <x:c r="R97" s="21" t="str">
        <x:v>STRONG</x:v>
      </x:c>
      <x:c r="S97" s="21" t="str">
        <x:v>The surface form may realize multiple senses; candidate meaning remains anchored to the report-visible source context.</x:v>
      </x:c>
      <x:c r="T97" s="21" t="str">
        <x:v>https://www.ipcc.ch/site/assets/uploads/2018/02/WGIIAR5-AnnexII_FINAL.pdf; https://api.dictionaryapi.dev/api/v2/entries/en/rising%20global%20average%20sea%20level; https://websters1913.timcieplowski.com/word/level/</x:v>
      </x:c>
      <x:c r="U97" s="49" t="str">
        <x:v>2026-08-26</x:v>
      </x:c>
    </x:row>
    <x:row r="98" ht="19" customHeight="1">
      <x:c r="A98" s="20" t="str">
        <x:v>FT-SEED-R1B-P-0607-07</x:v>
      </x:c>
      <x:c r="B98" s="22" t="str">
        <x:v>2006–2007</x:v>
      </x:c>
      <x:c r="C98" s="22" t="str">
        <x:v>7</x:v>
      </x:c>
      <x:c r="D98" s="21" t="str">
        <x:v>widespread melting of snow and ice</x:v>
      </x:c>
      <x:c r="E98" s="21" t="str">
        <x:v>generic damage</x:v>
      </x:c>
      <x:c r="F98" s="22" t="str">
        <x:v>harm_loss_consequences</x:v>
      </x:c>
      <x:c r="G98" s="22" t="str">
        <x:v>D</x:v>
      </x:c>
      <x:c r="H98" s="22" t="str">
        <x:v>V1</x:v>
      </x:c>
      <x:c r="I98" s="22" t="str">
        <x:v>E5</x:v>
      </x:c>
      <x:c r="J98" s="21" t="str">
        <x:v>RECONSTRUCTED_FROM_REPORT; Fear of Temperature_ Stratified Lexical Expansion, Voice Mapping, and Semantic-Relational Pre-Valida.pdf; p.10; project candidate FT-SEED-R1B-P-0607-07; original visible ID not available</x:v>
      </x:c>
      <x:c r="K98" s="21" t="str">
        <x:v>TECHNICAL_GLOSSARY</x:v>
      </x:c>
      <x:c r="L98" s="21" t="str">
        <x:v>IPCC climate-science glossary / assessment terminology</x:v>
      </x:c>
      <x:c r="M98" s="21" t="str">
        <x:v>Component headword checked: ice.</x:v>
      </x:c>
      <x:c r="N98" s="21" t="str">
        <x:v>Anchor-period research source/context; Webster 1913 stable component URL recorded but automated page retrieval was unavailable</x:v>
      </x:c>
      <x:c r="O98" s="21" t="str">
        <x:v>Generic material, ecological, or social damage; the candidate is interpreted in its documented anchor and voice context.</x:v>
      </x:c>
      <x:c r="P98" s="21" t="str">
        <x:v>A threat, risk, harm, severity, or consequence sense in the documented source; it is not automatically an emotion.</x:v>
      </x:c>
      <x:c r="Q98" s="22" t="str">
        <x:v>NOT_AVAILABLE_IN_ACCESSED_SOURCES</x:v>
      </x:c>
      <x:c r="R98" s="21" t="str">
        <x:v>STRONG</x:v>
      </x:c>
      <x:c r="S98" s="21" t="str">
        <x:v>The surface form may realize multiple senses; candidate meaning remains anchored to the report-visible source context.</x:v>
      </x:c>
      <x:c r="T98" s="21" t="str">
        <x:v>https://www.ipcc.ch/site/assets/uploads/2018/02/WGIIAR5-AnnexII_FINAL.pdf; https://api.dictionaryapi.dev/api/v2/entries/en/widespread%20melting%20of%20snow%20and%20ice; https://websters1913.timcieplowski.com/word/ice/</x:v>
      </x:c>
      <x:c r="U98" s="49" t="str">
        <x:v>2026-08-26</x:v>
      </x:c>
    </x:row>
    <x:row r="99" ht="19" customHeight="1">
      <x:c r="A99" s="20" t="str">
        <x:v>FT-SEED-R1B-P-0607-08</x:v>
      </x:c>
      <x:c r="B99" s="22" t="str">
        <x:v>2006–2007</x:v>
      </x:c>
      <x:c r="C99" s="22" t="str">
        <x:v>8</x:v>
      </x:c>
      <x:c r="D99" s="21" t="str">
        <x:v>anthropogenic CO₂</x:v>
      </x:c>
      <x:c r="E99" s="21" t="str">
        <x:v>anthropogenic carbon-dioxide production</x:v>
      </x:c>
      <x:c r="F99" s="22" t="str">
        <x:v>carbon_greenhouse</x:v>
      </x:c>
      <x:c r="G99" s="22" t="str">
        <x:v>B</x:v>
      </x:c>
      <x:c r="H99" s="22" t="str">
        <x:v>V1</x:v>
      </x:c>
      <x:c r="I99" s="22" t="str">
        <x:v>E5</x:v>
      </x:c>
      <x:c r="J99" s="21" t="str">
        <x:v>RECONSTRUCTED_FROM_REPORT; Fear of Temperature_ Stratified Lexical Expansion, Voice Mapping, and Semantic-Relational Pre-Valida.pdf; p.10; project candidate FT-SEED-R1B-P-0607-08; original visible ID not available</x:v>
      </x:c>
      <x:c r="K99" s="21" t="str">
        <x:v>TECHNICAL_GLOSSARY</x:v>
      </x:c>
      <x:c r="L99" s="21" t="str">
        <x:v>IPCC climate-science glossary / assessment terminology</x:v>
      </x:c>
      <x:c r="M99" s="21" t="str">
        <x:v>Component headword checked: co.</x:v>
      </x:c>
      <x:c r="N99" s="21" t="str">
        <x:v>Anchor-period research source/context; Webster 1913 stable component URL recorded but automated page retrieval was unavailable</x:v>
      </x:c>
      <x:c r="O99" s="21" t="str">
        <x:v>Human production of carbon dioxide as a climatic cause; the candidate is interpreted in its documented anchor and voice context.</x:v>
      </x:c>
      <x:c r="P99" s="21" t="str">
        <x:v>A climatic, atmospheric, meteorological, or causal-science sense in the documented anchor context.</x:v>
      </x:c>
      <x:c r="Q99" s="22" t="str">
        <x:v>NOT_AVAILABLE_IN_ACCESSED_SOURCES</x:v>
      </x:c>
      <x:c r="R99" s="21" t="str">
        <x:v>STRONG</x:v>
      </x:c>
      <x:c r="S99" s="21" t="str">
        <x:v>The surface form may realize multiple senses; candidate meaning remains anchored to the report-visible source context.</x:v>
      </x:c>
      <x:c r="T99" s="21" t="str">
        <x:v>https://www.ipcc.ch/site/assets/uploads/2018/02/WGIIAR5-AnnexII_FINAL.pdf; https://api.dictionaryapi.dev/api/v2/entries/en/anthropogenic%20CO%E2%82%82; https://websters1913.timcieplowski.com/word/co/</x:v>
      </x:c>
      <x:c r="U99" s="49" t="str">
        <x:v>2026-08-26</x:v>
      </x:c>
    </x:row>
    <x:row r="100" ht="19" customHeight="1">
      <x:c r="A100" s="20" t="str">
        <x:v>FT-SEED-R1B-P-0607-09</x:v>
      </x:c>
      <x:c r="B100" s="22" t="str">
        <x:v>2006–2007</x:v>
      </x:c>
      <x:c r="C100" s="22" t="str">
        <x:v>9</x:v>
      </x:c>
      <x:c r="D100" s="21" t="str">
        <x:v>anthropogenic GHG emissions</x:v>
      </x:c>
      <x:c r="E100" s="21" t="str">
        <x:v>anthropogenic greenhouse-gas emissions</x:v>
      </x:c>
      <x:c r="F100" s="22" t="str">
        <x:v>carbon_greenhouse</x:v>
      </x:c>
      <x:c r="G100" s="22" t="str">
        <x:v>B</x:v>
      </x:c>
      <x:c r="H100" s="22" t="str">
        <x:v>V1</x:v>
      </x:c>
      <x:c r="I100" s="22" t="str">
        <x:v>E5</x:v>
      </x:c>
      <x:c r="J100" s="21" t="str">
        <x:v>RECONSTRUCTED_FROM_REPORT; Fear of Temperature_ Stratified Lexical Expansion, Voice Mapping, and Semantic-Relational Pre-Valida.pdf; p.10; project candidate FT-SEED-R1B-P-0607-09; original visible ID not available</x:v>
      </x:c>
      <x:c r="K100" s="21" t="str">
        <x:v>TECHNICAL_GLOSSARY</x:v>
      </x:c>
      <x:c r="L100" s="21" t="str">
        <x:v>IPCC climate-science glossary / assessment terminology</x:v>
      </x:c>
      <x:c r="M100" s="21" t="str">
        <x:v>Component headword checked: emissions.</x:v>
      </x:c>
      <x:c r="N100" s="21" t="str">
        <x:v>Anchor-period research source/context; Webster 1913 stable component URL recorded but automated page retrieval was unavailable</x:v>
      </x:c>
      <x:c r="O100" s="21" t="str">
        <x:v>Human-caused releases of greenhouse gases into the atmosphere.</x:v>
      </x:c>
      <x:c r="P100" s="21" t="str">
        <x:v>A climatic, atmospheric, meteorological, or causal-science sense in the documented anchor context.</x:v>
      </x:c>
      <x:c r="Q100" s="22" t="str">
        <x:v>NOT_AVAILABLE_IN_ACCESSED_SOURCES</x:v>
      </x:c>
      <x:c r="R100" s="21" t="str">
        <x:v>STRONG</x:v>
      </x:c>
      <x:c r="S100" s="21" t="str">
        <x:v>The surface form may realize multiple senses; candidate meaning remains anchored to the report-visible source context.</x:v>
      </x:c>
      <x:c r="T100" s="21" t="str">
        <x:v>https://www.ipcc.ch/site/assets/uploads/2018/02/WGIIAR5-AnnexII_FINAL.pdf; https://api.dictionaryapi.dev/api/v2/entries/en/anthropogenic%20GHG%20emissions; https://websters1913.timcieplowski.com/word/emissions/</x:v>
      </x:c>
      <x:c r="U100" s="49" t="str">
        <x:v>2026-08-26</x:v>
      </x:c>
    </x:row>
    <x:row r="101" ht="19" customHeight="1">
      <x:c r="A101" s="20" t="str">
        <x:v>FT-SEED-R1B-P-0607-10</x:v>
      </x:c>
      <x:c r="B101" s="22" t="str">
        <x:v>2006–2007</x:v>
      </x:c>
      <x:c r="C101" s="22" t="str">
        <x:v>10</x:v>
      </x:c>
      <x:c r="D101" s="21" t="str">
        <x:v>climate change</x:v>
      </x:c>
      <x:c r="E101" s="21" t="str">
        <x:v>modern climate change</x:v>
      </x:c>
      <x:c r="F101" s="22" t="str">
        <x:v>climate</x:v>
      </x:c>
      <x:c r="G101" s="22" t="str">
        <x:v>B</x:v>
      </x:c>
      <x:c r="H101" s="22" t="str">
        <x:v>V2</x:v>
      </x:c>
      <x:c r="I101" s="22" t="str">
        <x:v>E5</x:v>
      </x:c>
      <x:c r="J101" s="21" t="str">
        <x:v>RECONSTRUCTED_FROM_REPORT; Fear of Temperature_ Stratified Lexical Expansion, Voice Mapping, and Semantic-Relational Pre-Valida.pdf; p.10; project candidate FT-SEED-R1B-P-0607-10; original visible ID not available</x:v>
      </x:c>
      <x:c r="K101" s="21" t="str">
        <x:v>TECHNICAL_GLOSSARY</x:v>
      </x:c>
      <x:c r="L101" s="21" t="str">
        <x:v>IPCC climate-science glossary / assessment terminology</x:v>
      </x:c>
      <x:c r="M101" s="21" t="str">
        <x:v>Component headword checked: change.</x:v>
      </x:c>
      <x:c r="N101" s="21" t="str">
        <x:v>Anchor-period research source/context; Webster 1913 stable component URL recorded but automated page retrieval was unavailable</x:v>
      </x:c>
      <x:c r="O101" s="21" t="str">
        <x:v>A persistent change in the state or variability of climate; institutional definitions differ on whether human attribution is required.</x:v>
      </x:c>
      <x:c r="P101" s="21" t="str">
        <x:v>The established modern issue label for sustained climatic change, used in institutional, scientific, or public contexts depending on voice.</x:v>
      </x:c>
      <x:c r="Q101" s="22" t="str">
        <x:v>NOT_AVAILABLE_IN_ACCESSED_SOURCES</x:v>
      </x:c>
      <x:c r="R101" s="21" t="str">
        <x:v>STRONG</x:v>
      </x:c>
      <x:c r="S101" s="21" t="str">
        <x:v>The modern issue label must still be distinguished from generic change and historical climatic variability.</x:v>
      </x:c>
      <x:c r="T101" s="21" t="str">
        <x:v>https://www.ipcc.ch/site/assets/uploads/2018/02/WGIIAR5-AnnexII_FINAL.pdf; https://api.dictionaryapi.dev/api/v2/entries/en/climate%20change; https://websters1913.timcieplowski.com/word/change/</x:v>
      </x:c>
      <x:c r="U101" s="49" t="str">
        <x:v>2026-08-26</x:v>
      </x:c>
    </x:row>
    <x:row r="102" ht="19" customHeight="1">
      <x:c r="A102" s="20" t="str">
        <x:v>FT-SEED-R1B-P-0607-11</x:v>
      </x:c>
      <x:c r="B102" s="22" t="str">
        <x:v>2006–2007</x:v>
      </x:c>
      <x:c r="C102" s="22" t="str">
        <x:v>11</x:v>
      </x:c>
      <x:c r="D102" s="21" t="str">
        <x:v>global warming</x:v>
      </x:c>
      <x:c r="E102" s="21" t="str">
        <x:v>global warming as issue label</x:v>
      </x:c>
      <x:c r="F102" s="22" t="str">
        <x:v>warming</x:v>
      </x:c>
      <x:c r="G102" s="22" t="str">
        <x:v>A</x:v>
      </x:c>
      <x:c r="H102" s="22" t="str">
        <x:v>V3</x:v>
      </x:c>
      <x:c r="I102" s="22" t="str">
        <x:v>E5</x:v>
      </x:c>
      <x:c r="J102" s="21" t="str">
        <x:v>RECONSTRUCTED_FROM_REPORT; Fear of Temperature_ Stratified Lexical Expansion, Voice Mapping, and Semantic-Relational Pre-Valida.pdf; p.10; project candidate FT-SEED-R1B-P-0607-11; original visible ID not available</x:v>
      </x:c>
      <x:c r="K102" s="21" t="str">
        <x:v>TECHNICAL_GLOSSARY</x:v>
      </x:c>
      <x:c r="L102" s="21" t="str">
        <x:v>IPCC climate-science glossary / assessment terminology</x:v>
      </x:c>
      <x:c r="M102" s="21" t="str">
        <x:v>Component headword checked: warming.</x:v>
      </x:c>
      <x:c r="N102" s="21" t="str">
        <x:v>Anchor-period research source/context; Webster 1913 stable component URL recorded but automated page retrieval was unavailable</x:v>
      </x:c>
      <x:c r="O102" s="21" t="str">
        <x:v>The long-term rise in global mean surface temperature, commonly used as an established issue label in modern climate discourse.</x:v>
      </x:c>
      <x:c r="P102" s="21" t="str">
        <x:v>A physical temperature, warming, heat, or measurement sense in the documented anchor context.</x:v>
      </x:c>
      <x:c r="Q102" s="22" t="str">
        <x:v>NOT_AVAILABLE_IN_ACCESSED_SOURCES</x:v>
      </x:c>
      <x:c r="R102" s="21" t="str">
        <x:v>STRONG</x:v>
      </x:c>
      <x:c r="S102" s="21" t="str">
        <x:v>The surface form may realize multiple senses; candidate meaning remains anchored to the report-visible source context.</x:v>
      </x:c>
      <x:c r="T102" s="21" t="str">
        <x:v>https://www.ipcc.ch/site/assets/uploads/2018/02/WGIIAR5-AnnexII_FINAL.pdf; https://api.dictionaryapi.dev/api/v2/entries/en/global%20warming; https://websters1913.timcieplowski.com/word/warming/</x:v>
      </x:c>
      <x:c r="U102" s="49" t="str">
        <x:v>2026-08-26</x:v>
      </x:c>
    </x:row>
    <x:row r="103" ht="19" customHeight="1">
      <x:c r="A103" s="20" t="str">
        <x:v>FT-SEED-R1B-P-0607-12</x:v>
      </x:c>
      <x:c r="B103" s="22" t="str">
        <x:v>2006–2007</x:v>
      </x:c>
      <x:c r="C103" s="22" t="str">
        <x:v>12</x:v>
      </x:c>
      <x:c r="D103" s="21" t="str">
        <x:v>serious global threat</x:v>
      </x:c>
      <x:c r="E103" s="21" t="str">
        <x:v>institutional climate threat</x:v>
      </x:c>
      <x:c r="F103" s="22" t="str">
        <x:v>danger_threat</x:v>
      </x:c>
      <x:c r="G103" s="22" t="str">
        <x:v>D</x:v>
      </x:c>
      <x:c r="H103" s="22" t="str">
        <x:v>V2</x:v>
      </x:c>
      <x:c r="I103" s="22" t="str">
        <x:v>E5</x:v>
      </x:c>
      <x:c r="J103" s="21" t="str">
        <x:v>RECONSTRUCTED_FROM_REPORT; Fear of Temperature_ Stratified Lexical Expansion, Voice Mapping, and Semantic-Relational Pre-Valida.pdf; p.10; project candidate FT-SEED-R1B-P-0607-12; original visible ID not available</x:v>
      </x:c>
      <x:c r="K103" s="21" t="str">
        <x:v>NO_STANDALONE_HEADWORD</x:v>
      </x:c>
      <x:c r="L103" s="21" t="str">
        <x:v>Component lexical analysis plus anchor-source contextual meaning</x:v>
      </x:c>
      <x:c r="M103" s="21" t="str">
        <x:v>Component headword checked: threat.</x:v>
      </x:c>
      <x:c r="N103" s="21" t="str">
        <x:v>Anchor-period research source/context; Webster 1913 stable component URL recorded but automated page retrieval was unavailable</x:v>
      </x:c>
      <x:c r="O103" s="21" t="str">
        <x:v>Climate change framed as an institutional threat; the candidate is interpreted in its documented anchor and voice context.</x:v>
      </x:c>
      <x:c r="P103" s="21" t="str">
        <x:v>A threat, risk, harm, severity, or consequence sense in the documented source; it is not automatically an emotion.</x:v>
      </x:c>
      <x:c r="Q103" s="22" t="str">
        <x:v>NOT_AVAILABLE_IN_ACCESSED_SOURCES</x:v>
      </x:c>
      <x:c r="R103" s="21" t="str">
        <x:v>STRONG</x:v>
      </x:c>
      <x:c r="S103" s="21" t="str">
        <x:v>The surface form may realize multiple senses; candidate meaning remains anchored to the report-visible source context.</x:v>
      </x:c>
      <x:c r="T103" s="21" t="str">
        <x:v>Fear of Temperature_ Stratified Lexical Expansion, Voice Mapping, and Semantic-Relational Pre-Valida.pdf#page=10; https://api.dictionaryapi.dev/api/v2/entries/en/serious%20global%20threat; https://websters1913.timcieplowski.com/word/threat/</x:v>
      </x:c>
      <x:c r="U103" s="49" t="str">
        <x:v>2026-08-26</x:v>
      </x:c>
    </x:row>
    <x:row r="104" ht="19" customHeight="1">
      <x:c r="A104" s="20" t="str">
        <x:v>FT-SEED-R1B-P-0607-13</x:v>
      </x:c>
      <x:c r="B104" s="22" t="str">
        <x:v>2006–2007</x:v>
      </x:c>
      <x:c r="C104" s="22" t="str">
        <x:v>13</x:v>
      </x:c>
      <x:c r="D104" s="21" t="str">
        <x:v>urgent global response</x:v>
      </x:c>
      <x:c r="E104" s="21" t="str">
        <x:v>generic damage</x:v>
      </x:c>
      <x:c r="F104" s="22" t="str">
        <x:v>harm_loss_consequences</x:v>
      </x:c>
      <x:c r="G104" s="22" t="str">
        <x:v>D</x:v>
      </x:c>
      <x:c r="H104" s="22" t="str">
        <x:v>V2</x:v>
      </x:c>
      <x:c r="I104" s="22" t="str">
        <x:v>E5</x:v>
      </x:c>
      <x:c r="J104" s="21" t="str">
        <x:v>RECONSTRUCTED_FROM_REPORT; Fear of Temperature_ Stratified Lexical Expansion, Voice Mapping, and Semantic-Relational Pre-Valida.pdf; p.10; project candidate FT-SEED-R1B-P-0607-13; original visible ID not available</x:v>
      </x:c>
      <x:c r="K104" s="21" t="str">
        <x:v>NO_STANDALONE_HEADWORD</x:v>
      </x:c>
      <x:c r="L104" s="21" t="str">
        <x:v>Component lexical analysis plus anchor-source contextual meaning</x:v>
      </x:c>
      <x:c r="M104" s="21" t="str">
        <x:v>Component headword checked: response.</x:v>
      </x:c>
      <x:c r="N104" s="21" t="str">
        <x:v>Anchor-period research source/context; Webster 1913 stable component URL recorded but automated page retrieval was unavailable</x:v>
      </x:c>
      <x:c r="O104" s="21" t="str">
        <x:v>Generic material, ecological, or social damage; the candidate is interpreted in its documented anchor and voice context.</x:v>
      </x:c>
      <x:c r="P104" s="21" t="str">
        <x:v>A threat, risk, harm, severity, or consequence sense in the documented source; it is not automatically an emotion.</x:v>
      </x:c>
      <x:c r="Q104" s="22" t="str">
        <x:v>NOT_AVAILABLE_IN_ACCESSED_SOURCES</x:v>
      </x:c>
      <x:c r="R104" s="21" t="str">
        <x:v>STRONG</x:v>
      </x:c>
      <x:c r="S104" s="21" t="str">
        <x:v>The surface form may realize multiple senses; candidate meaning remains anchored to the report-visible source context.</x:v>
      </x:c>
      <x:c r="T104" s="21" t="str">
        <x:v>Fear of Temperature_ Stratified Lexical Expansion, Voice Mapping, and Semantic-Relational Pre-Valida.pdf#page=10; https://api.dictionaryapi.dev/api/v2/entries/en/urgent%20global%20response; https://websters1913.timcieplowski.com/word/response/</x:v>
      </x:c>
      <x:c r="U104" s="49" t="str">
        <x:v>2026-08-26</x:v>
      </x:c>
    </x:row>
    <x:row r="105" ht="19" customHeight="1">
      <x:c r="A105" s="20" t="str">
        <x:v>FT-SEED-R1B-P-0607-14</x:v>
      </x:c>
      <x:c r="B105" s="22" t="str">
        <x:v>2006–2007</x:v>
      </x:c>
      <x:c r="C105" s="22" t="str">
        <x:v>14</x:v>
      </x:c>
      <x:c r="D105" s="21" t="str">
        <x:v>costs and risks of climate change</x:v>
      </x:c>
      <x:c r="E105" s="21" t="str">
        <x:v>modern climate change</x:v>
      </x:c>
      <x:c r="F105" s="22" t="str">
        <x:v>climate</x:v>
      </x:c>
      <x:c r="G105" s="22" t="str">
        <x:v>D</x:v>
      </x:c>
      <x:c r="H105" s="22" t="str">
        <x:v>V2</x:v>
      </x:c>
      <x:c r="I105" s="22" t="str">
        <x:v>E5</x:v>
      </x:c>
      <x:c r="J105" s="21" t="str">
        <x:v>RECONSTRUCTED_FROM_REPORT; Fear of Temperature_ Stratified Lexical Expansion, Voice Mapping, and Semantic-Relational Pre-Valida.pdf; p.10; project candidate FT-SEED-R1B-P-0607-14; original visible ID not available</x:v>
      </x:c>
      <x:c r="K105" s="21" t="str">
        <x:v>NO_STANDALONE_HEADWORD</x:v>
      </x:c>
      <x:c r="L105" s="21" t="str">
        <x:v>Component lexical analysis plus anchor-source contextual meaning</x:v>
      </x:c>
      <x:c r="M105" s="21" t="str">
        <x:v>Component headword checked: change.</x:v>
      </x:c>
      <x:c r="N105" s="21" t="str">
        <x:v>Anchor-period research source/context; Webster 1913 stable component URL recorded but automated page retrieval was unavailable</x:v>
      </x:c>
      <x:c r="O105" s="21" t="str">
        <x:v>Modern climate change as an anthropogenic scientific, public, or governance problem; the candidate is interpreted in its documented anchor and voice context.</x:v>
      </x:c>
      <x:c r="P105" s="21" t="str">
        <x:v>A threat, risk, harm, severity, or consequence sense in the documented source; it is not automatically an emotion.</x:v>
      </x:c>
      <x:c r="Q105" s="22" t="str">
        <x:v>NOT_AVAILABLE_IN_ACCESSED_SOURCES</x:v>
      </x:c>
      <x:c r="R105" s="21" t="str">
        <x:v>STRONG</x:v>
      </x:c>
      <x:c r="S105" s="21" t="str">
        <x:v>The surface form may realize multiple senses; candidate meaning remains anchored to the report-visible source context.</x:v>
      </x:c>
      <x:c r="T105" s="21" t="str">
        <x:v>Fear of Temperature_ Stratified Lexical Expansion, Voice Mapping, and Semantic-Relational Pre-Valida.pdf#page=10; https://api.dictionaryapi.dev/api/v2/entries/en/costs%20and%20risks%20of%20climate%20change; https://websters1913.timcieplowski.com/word/change/</x:v>
      </x:c>
      <x:c r="U105" s="49" t="str">
        <x:v>2026-08-26</x:v>
      </x:c>
    </x:row>
    <x:row r="106" ht="19" customHeight="1">
      <x:c r="A106" s="20" t="str">
        <x:v>FT-SEED-R1B-P-0607-15</x:v>
      </x:c>
      <x:c r="B106" s="22" t="str">
        <x:v>2006–2007</x:v>
      </x:c>
      <x:c r="C106" s="22" t="str">
        <x:v>15</x:v>
      </x:c>
      <x:c r="D106" s="21" t="str">
        <x:v>impacts of climate change</x:v>
      </x:c>
      <x:c r="E106" s="21" t="str">
        <x:v>modern climate change</x:v>
      </x:c>
      <x:c r="F106" s="22" t="str">
        <x:v>climate</x:v>
      </x:c>
      <x:c r="G106" s="22" t="str">
        <x:v>D</x:v>
      </x:c>
      <x:c r="H106" s="22" t="str">
        <x:v>V2</x:v>
      </x:c>
      <x:c r="I106" s="22" t="str">
        <x:v>E5</x:v>
      </x:c>
      <x:c r="J106" s="21" t="str">
        <x:v>RECONSTRUCTED_FROM_REPORT; Fear of Temperature_ Stratified Lexical Expansion, Voice Mapping, and Semantic-Relational Pre-Valida.pdf; p.10; project candidate FT-SEED-R1B-P-0607-15; original visible ID not available</x:v>
      </x:c>
      <x:c r="K106" s="21" t="str">
        <x:v>NO_STANDALONE_HEADWORD</x:v>
      </x:c>
      <x:c r="L106" s="21" t="str">
        <x:v>Component lexical analysis plus anchor-source contextual meaning</x:v>
      </x:c>
      <x:c r="M106" s="21" t="str">
        <x:v>Component headword checked: change.</x:v>
      </x:c>
      <x:c r="N106" s="21" t="str">
        <x:v>Anchor-period research source/context; Webster 1913 stable component URL recorded but automated page retrieval was unavailable</x:v>
      </x:c>
      <x:c r="O106" s="21" t="str">
        <x:v>Modern climate change as an anthropogenic scientific, public, or governance problem; the candidate is interpreted in its documented anchor and voice context.</x:v>
      </x:c>
      <x:c r="P106" s="21" t="str">
        <x:v>A threat, risk, harm, severity, or consequence sense in the documented source; it is not automatically an emotion.</x:v>
      </x:c>
      <x:c r="Q106" s="22" t="str">
        <x:v>NOT_AVAILABLE_IN_ACCESSED_SOURCES</x:v>
      </x:c>
      <x:c r="R106" s="21" t="str">
        <x:v>STRONG</x:v>
      </x:c>
      <x:c r="S106" s="21" t="str">
        <x:v>The surface form may realize multiple senses; candidate meaning remains anchored to the report-visible source context.</x:v>
      </x:c>
      <x:c r="T106" s="21" t="str">
        <x:v>Fear of Temperature_ Stratified Lexical Expansion, Voice Mapping, and Semantic-Relational Pre-Valida.pdf#page=10; https://api.dictionaryapi.dev/api/v2/entries/en/impacts%20of%20climate%20change; https://websters1913.timcieplowski.com/word/change/</x:v>
      </x:c>
      <x:c r="U106" s="49" t="str">
        <x:v>2026-08-26</x:v>
      </x:c>
    </x:row>
    <x:row r="107" ht="19" customHeight="1">
      <x:c r="A107" s="20" t="str">
        <x:v>FT-SEED-R1B-P-0607-16</x:v>
      </x:c>
      <x:c r="B107" s="22" t="str">
        <x:v>2006–2007</x:v>
      </x:c>
      <x:c r="C107" s="22" t="str">
        <x:v>16</x:v>
      </x:c>
      <x:c r="D107" s="21" t="str">
        <x:v>damage</x:v>
      </x:c>
      <x:c r="E107" s="21" t="str">
        <x:v>generic damage</x:v>
      </x:c>
      <x:c r="F107" s="22" t="str">
        <x:v>harm_loss_consequences</x:v>
      </x:c>
      <x:c r="G107" s="22" t="str">
        <x:v>D</x:v>
      </x:c>
      <x:c r="H107" s="22" t="str">
        <x:v>V2</x:v>
      </x:c>
      <x:c r="I107" s="22" t="str">
        <x:v>E5</x:v>
      </x:c>
      <x:c r="J107" s="21" t="str">
        <x:v>RECONSTRUCTED_FROM_REPORT; Fear of Temperature_ Stratified Lexical Expansion, Voice Mapping, and Semantic-Relational Pre-Valida.pdf; p.10; project candidate FT-SEED-R1B-P-0607-16; original visible ID not available</x:v>
      </x:c>
      <x:c r="K107" s="21" t="str">
        <x:v>DIRECT_HEADWORD</x:v>
      </x:c>
      <x:c r="L107" s="21" t="str">
        <x:v>Webster's Revised Unabridged Dictionary (1913 public-domain headword index)</x:v>
      </x:c>
      <x:c r="M107" s="21" t="str">
        <x:v>Component headword checked: damage.</x:v>
      </x:c>
      <x:c r="N107" s="21" t="str">
        <x:v>Anchor-period research source/context; Webster 1913 stable component URL recorded but automated page retrieval was unavailable</x:v>
      </x:c>
      <x:c r="O107" s="21" t="str">
        <x:v>Generic material, ecological, or social damage; the candidate is interpreted in its documented anchor and voice context.</x:v>
      </x:c>
      <x:c r="P107" s="21" t="str">
        <x:v>A threat, risk, harm, severity, or consequence sense in the documented source; it is not automatically an emotion.</x:v>
      </x:c>
      <x:c r="Q107" s="22" t="str">
        <x:v>NOT_AVAILABLE_IN_ACCESSED_SOURCES</x:v>
      </x:c>
      <x:c r="R107" s="21" t="str">
        <x:v>STRONG</x:v>
      </x:c>
      <x:c r="S107" s="21" t="str">
        <x:v>The surface form may realize multiple senses; candidate meaning remains anchored to the report-visible source context.</x:v>
      </x:c>
      <x:c r="T107" s="21" t="str">
        <x:v>https://websters1913.timcieplowski.com/word/damage/; https://api.dictionaryapi.dev/api/v2/entries/en/damage</x:v>
      </x:c>
      <x:c r="U107" s="49" t="str">
        <x:v>2026-08-26</x:v>
      </x:c>
    </x:row>
    <x:row r="108" ht="19" customHeight="1">
      <x:c r="A108" s="20" t="str">
        <x:v>FT-SEED-R1B-P-0607-17</x:v>
      </x:c>
      <x:c r="B108" s="22" t="str">
        <x:v>2006–2007</x:v>
      </x:c>
      <x:c r="C108" s="22" t="str">
        <x:v>17</x:v>
      </x:c>
      <x:c r="D108" s="21" t="str">
        <x:v>hunger</x:v>
      </x:c>
      <x:c r="E108" s="21" t="str">
        <x:v>generic damage</x:v>
      </x:c>
      <x:c r="F108" s="22" t="str">
        <x:v>harm_loss_consequences</x:v>
      </x:c>
      <x:c r="G108" s="22" t="str">
        <x:v>D</x:v>
      </x:c>
      <x:c r="H108" s="22" t="str">
        <x:v>V2</x:v>
      </x:c>
      <x:c r="I108" s="22" t="str">
        <x:v>E5</x:v>
      </x:c>
      <x:c r="J108" s="21" t="str">
        <x:v>RECONSTRUCTED_FROM_REPORT; Fear of Temperature_ Stratified Lexical Expansion, Voice Mapping, and Semantic-Relational Pre-Valida.pdf; p.10; project candidate FT-SEED-R1B-P-0607-17; original visible ID not available</x:v>
      </x:c>
      <x:c r="K108" s="21" t="str">
        <x:v>DIRECT_HEADWORD</x:v>
      </x:c>
      <x:c r="L108" s="21" t="str">
        <x:v>Webster's Revised Unabridged Dictionary (1913 public-domain headword index)</x:v>
      </x:c>
      <x:c r="M108" s="21" t="str">
        <x:v>Component headword checked: hunger.</x:v>
      </x:c>
      <x:c r="N108" s="21" t="str">
        <x:v>Anchor-period research source/context; Webster 1913 stable component URL recorded but automated page retrieval was unavailable</x:v>
      </x:c>
      <x:c r="O108" s="21" t="str">
        <x:v>Generic material, ecological, or social damage; the candidate is interpreted in its documented anchor and voice context.</x:v>
      </x:c>
      <x:c r="P108" s="21" t="str">
        <x:v>A threat, risk, harm, severity, or consequence sense in the documented source; it is not automatically an emotion.</x:v>
      </x:c>
      <x:c r="Q108" s="22" t="str">
        <x:v>NOT_AVAILABLE_IN_ACCESSED_SOURCES</x:v>
      </x:c>
      <x:c r="R108" s="21" t="str">
        <x:v>STRONG</x:v>
      </x:c>
      <x:c r="S108" s="21" t="str">
        <x:v>The surface form may realize multiple senses; candidate meaning remains anchored to the report-visible source context.</x:v>
      </x:c>
      <x:c r="T108" s="21" t="str">
        <x:v>https://websters1913.timcieplowski.com/word/hunger/; https://api.dictionaryapi.dev/api/v2/entries/en/hunger</x:v>
      </x:c>
      <x:c r="U108" s="49" t="str">
        <x:v>2026-08-26</x:v>
      </x:c>
    </x:row>
    <x:row r="109" ht="19" customHeight="1">
      <x:c r="A109" s="20" t="str">
        <x:v>FT-SEED-R1B-P-0607-18</x:v>
      </x:c>
      <x:c r="B109" s="22" t="str">
        <x:v>2006–2007</x:v>
      </x:c>
      <x:c r="C109" s="22" t="str">
        <x:v>18</x:v>
      </x:c>
      <x:c r="D109" s="21" t="str">
        <x:v>water shortages</x:v>
      </x:c>
      <x:c r="E109" s="21" t="str">
        <x:v>generic damage</x:v>
      </x:c>
      <x:c r="F109" s="22" t="str">
        <x:v>harm_loss_consequences</x:v>
      </x:c>
      <x:c r="G109" s="22" t="str">
        <x:v>D</x:v>
      </x:c>
      <x:c r="H109" s="22" t="str">
        <x:v>V2</x:v>
      </x:c>
      <x:c r="I109" s="22" t="str">
        <x:v>E5</x:v>
      </x:c>
      <x:c r="J109" s="21" t="str">
        <x:v>RECONSTRUCTED_FROM_REPORT; Fear of Temperature_ Stratified Lexical Expansion, Voice Mapping, and Semantic-Relational Pre-Valida.pdf; p.10; project candidate FT-SEED-R1B-P-0607-18; original visible ID not available</x:v>
      </x:c>
      <x:c r="K109" s="21" t="str">
        <x:v>NO_STANDALONE_HEADWORD</x:v>
      </x:c>
      <x:c r="L109" s="21" t="str">
        <x:v>Component lexical analysis plus anchor-source contextual meaning</x:v>
      </x:c>
      <x:c r="M109" s="21" t="str">
        <x:v>Component headword checked: shortages.</x:v>
      </x:c>
      <x:c r="N109" s="21" t="str">
        <x:v>Anchor-period research source/context; Webster 1913 stable component URL recorded but automated page retrieval was unavailable</x:v>
      </x:c>
      <x:c r="O109" s="21" t="str">
        <x:v>Generic material, ecological, or social damage; the candidate is interpreted in its documented anchor and voice context.</x:v>
      </x:c>
      <x:c r="P109" s="21" t="str">
        <x:v>A threat, risk, harm, severity, or consequence sense in the documented source; it is not automatically an emotion.</x:v>
      </x:c>
      <x:c r="Q109" s="22" t="str">
        <x:v>NOT_AVAILABLE_IN_ACCESSED_SOURCES</x:v>
      </x:c>
      <x:c r="R109" s="21" t="str">
        <x:v>STRONG</x:v>
      </x:c>
      <x:c r="S109" s="21" t="str">
        <x:v>The surface form may realize multiple senses; candidate meaning remains anchored to the report-visible source context.</x:v>
      </x:c>
      <x:c r="T109" s="21" t="str">
        <x:v>Fear of Temperature_ Stratified Lexical Expansion, Voice Mapping, and Semantic-Relational Pre-Valida.pdf#page=10; https://api.dictionaryapi.dev/api/v2/entries/en/water%20shortages; https://websters1913.timcieplowski.com/word/shortages/</x:v>
      </x:c>
      <x:c r="U109" s="49" t="str">
        <x:v>2026-08-26</x:v>
      </x:c>
    </x:row>
    <x:row r="110" ht="19" customHeight="1">
      <x:c r="A110" s="20" t="str">
        <x:v>FT-SEED-R1B-P-0607-19</x:v>
      </x:c>
      <x:c r="B110" s="22" t="str">
        <x:v>2006–2007</x:v>
      </x:c>
      <x:c r="C110" s="22" t="str">
        <x:v>19</x:v>
      </x:c>
      <x:c r="D110" s="21" t="str">
        <x:v>coastal flooding</x:v>
      </x:c>
      <x:c r="E110" s="21" t="str">
        <x:v>generic damage</x:v>
      </x:c>
      <x:c r="F110" s="22" t="str">
        <x:v>harm_loss_consequences</x:v>
      </x:c>
      <x:c r="G110" s="22" t="str">
        <x:v>D</x:v>
      </x:c>
      <x:c r="H110" s="22" t="str">
        <x:v>V2</x:v>
      </x:c>
      <x:c r="I110" s="22" t="str">
        <x:v>E5</x:v>
      </x:c>
      <x:c r="J110" s="21" t="str">
        <x:v>RECONSTRUCTED_FROM_REPORT; Fear of Temperature_ Stratified Lexical Expansion, Voice Mapping, and Semantic-Relational Pre-Valida.pdf; p.10; project candidate FT-SEED-R1B-P-0607-19; original visible ID not available</x:v>
      </x:c>
      <x:c r="K110" s="21" t="str">
        <x:v>NO_STANDALONE_HEADWORD</x:v>
      </x:c>
      <x:c r="L110" s="21" t="str">
        <x:v>Component lexical analysis plus anchor-source contextual meaning</x:v>
      </x:c>
      <x:c r="M110" s="21" t="str">
        <x:v>Component headword checked: flooding.</x:v>
      </x:c>
      <x:c r="N110" s="21" t="str">
        <x:v>Anchor-period research source/context; Webster 1913 stable component URL recorded but automated page retrieval was unavailable</x:v>
      </x:c>
      <x:c r="O110" s="21" t="str">
        <x:v>Generic material, ecological, or social damage; the candidate is interpreted in its documented anchor and voice context.</x:v>
      </x:c>
      <x:c r="P110" s="21" t="str">
        <x:v>A threat, risk, harm, severity, or consequence sense in the documented source; it is not automatically an emotion.</x:v>
      </x:c>
      <x:c r="Q110" s="22" t="str">
        <x:v>NOT_AVAILABLE_IN_ACCESSED_SOURCES</x:v>
      </x:c>
      <x:c r="R110" s="21" t="str">
        <x:v>STRONG</x:v>
      </x:c>
      <x:c r="S110" s="21" t="str">
        <x:v>The surface form may realize multiple senses; candidate meaning remains anchored to the report-visible source context.</x:v>
      </x:c>
      <x:c r="T110" s="21" t="str">
        <x:v>Fear of Temperature_ Stratified Lexical Expansion, Voice Mapping, and Semantic-Relational Pre-Valida.pdf#page=10; https://api.dictionaryapi.dev/api/v2/entries/en/coastal%20flooding; https://websters1913.timcieplowski.com/word/flooding/</x:v>
      </x:c>
      <x:c r="U110" s="49" t="str">
        <x:v>2026-08-26</x:v>
      </x:c>
    </x:row>
    <x:row r="111" ht="19" customHeight="1">
      <x:c r="A111" s="20" t="str">
        <x:v>FT-SEED-R1B-P-0607-20</x:v>
      </x:c>
      <x:c r="B111" s="22" t="str">
        <x:v>2006–2007</x:v>
      </x:c>
      <x:c r="C111" s="22" t="str">
        <x:v>20</x:v>
      </x:c>
      <x:c r="D111" s="21" t="str">
        <x:v>worst impacts</x:v>
      </x:c>
      <x:c r="E111" s="21" t="str">
        <x:v>generic damage</x:v>
      </x:c>
      <x:c r="F111" s="22" t="str">
        <x:v>harm_loss_consequences</x:v>
      </x:c>
      <x:c r="G111" s="22" t="str">
        <x:v>D</x:v>
      </x:c>
      <x:c r="H111" s="22" t="str">
        <x:v>V2</x:v>
      </x:c>
      <x:c r="I111" s="22" t="str">
        <x:v>E5</x:v>
      </x:c>
      <x:c r="J111" s="21" t="str">
        <x:v>RECONSTRUCTED_FROM_REPORT; Fear of Temperature_ Stratified Lexical Expansion, Voice Mapping, and Semantic-Relational Pre-Valida.pdf; p.10; project candidate FT-SEED-R1B-P-0607-20; original visible ID not available</x:v>
      </x:c>
      <x:c r="K111" s="21" t="str">
        <x:v>NO_STANDALONE_HEADWORD</x:v>
      </x:c>
      <x:c r="L111" s="21" t="str">
        <x:v>Component lexical analysis plus anchor-source contextual meaning</x:v>
      </x:c>
      <x:c r="M111" s="21" t="str">
        <x:v>Component headword checked: impacts.</x:v>
      </x:c>
      <x:c r="N111" s="21" t="str">
        <x:v>Anchor-period research source/context; Webster 1913 stable component URL recorded but automated page retrieval was unavailable</x:v>
      </x:c>
      <x:c r="O111" s="21" t="str">
        <x:v>Generic material, ecological, or social damage; the candidate is interpreted in its documented anchor and voice context.</x:v>
      </x:c>
      <x:c r="P111" s="21" t="str">
        <x:v>A threat, risk, harm, severity, or consequence sense in the documented source; it is not automatically an emotion.</x:v>
      </x:c>
      <x:c r="Q111" s="22" t="str">
        <x:v>NOT_AVAILABLE_IN_ACCESSED_SOURCES</x:v>
      </x:c>
      <x:c r="R111" s="21" t="str">
        <x:v>STRONG</x:v>
      </x:c>
      <x:c r="S111" s="21" t="str">
        <x:v>The surface form may realize multiple senses; candidate meaning remains anchored to the report-visible source context.</x:v>
      </x:c>
      <x:c r="T111" s="21" t="str">
        <x:v>Fear of Temperature_ Stratified Lexical Expansion, Voice Mapping, and Semantic-Relational Pre-Valida.pdf#page=10; https://api.dictionaryapi.dev/api/v2/entries/en/worst%20impacts; https://websters1913.timcieplowski.com/word/impacts/</x:v>
      </x:c>
      <x:c r="U111" s="49" t="str">
        <x:v>2026-08-26</x:v>
      </x:c>
    </x:row>
    <x:row r="112" ht="19" customHeight="1">
      <x:c r="A112" s="20" t="str">
        <x:v>FT-SEED-R1B-P-0607-21</x:v>
      </x:c>
      <x:c r="B112" s="22" t="str">
        <x:v>2006–2007</x:v>
      </x:c>
      <x:c r="C112" s="22" t="str">
        <x:v>21</x:v>
      </x:c>
      <x:c r="D112" s="21" t="str">
        <x:v>Be Worried. Be Very Worried.</x:v>
      </x:c>
      <x:c r="E112" s="21" t="str">
        <x:v>prescribed worry</x:v>
      </x:c>
      <x:c r="F112" s="22" t="str">
        <x:v>worry</x:v>
      </x:c>
      <x:c r="G112" s="22" t="str">
        <x:v>C</x:v>
      </x:c>
      <x:c r="H112" s="22" t="str">
        <x:v>V3</x:v>
      </x:c>
      <x:c r="I112" s="22" t="str">
        <x:v>E1</x:v>
      </x:c>
      <x:c r="J112" s="21" t="str">
        <x:v>RECONSTRUCTED_FROM_REPORT; Fear of Temperature_ Stratified Lexical Expansion, Voice Mapping, and Semantic-Relational Pre-Valida.pdf; p.10; project candidate FT-SEED-R1B-P-0607-21; original visible ID not available</x:v>
      </x:c>
      <x:c r="K112" s="21" t="str">
        <x:v>NO_STANDALONE_HEADWORD</x:v>
      </x:c>
      <x:c r="L112" s="21" t="str">
        <x:v>Component lexical analysis plus anchor-source contextual meaning</x:v>
      </x:c>
      <x:c r="M112" s="21" t="str">
        <x:v>Component headword checked: worried.</x:v>
      </x:c>
      <x:c r="N112" s="21" t="str">
        <x:v>Anchor-period research source/context; Webster 1913 stable component URL recorded but automated page retrieval was unavailable</x:v>
      </x:c>
      <x:c r="O112" s="21" t="str">
        <x:v>Worry explicitly prescribed to an audience by a communicator; the candidate is interpreted in its documented anchor and voice context.</x:v>
      </x:c>
      <x:c r="P112" s="21" t="str">
        <x:v>A mediated-public imperative prescribing worry to readers; it does not establish that readers experienced the prescribed emotion.</x:v>
      </x:c>
      <x:c r="Q112" s="22" t="str">
        <x:v>NOT_AVAILABLE_IN_ACCESSED_SOURCES</x:v>
      </x:c>
      <x:c r="R112" s="21" t="str">
        <x:v>STRONG</x:v>
      </x:c>
      <x:c r="S112" s="21" t="str">
        <x:v>Imperative wording must be separated from audience reception and participant-generated affect.</x:v>
      </x:c>
      <x:c r="T112" s="21" t="str">
        <x:v>Fear of Temperature_ Stratified Lexical Expansion, Voice Mapping, and Semantic-Relational Pre-Valida.pdf#page=10; https://api.dictionaryapi.dev/api/v2/entries/en/Be%20Worried.%20Be%20Very%20Worried.; https://websters1913.timcieplowski.com/word/worried/</x:v>
      </x:c>
      <x:c r="U112" s="49" t="str">
        <x:v>2026-08-26</x:v>
      </x:c>
    </x:row>
    <x:row r="113" ht="19" customHeight="1">
      <x:c r="A113" s="20" t="str">
        <x:v>FT-SEED-R1B-P-0607-22</x:v>
      </x:c>
      <x:c r="B113" s="22" t="str">
        <x:v>2006–2007</x:v>
      </x:c>
      <x:c r="C113" s="22" t="str">
        <x:v>22</x:v>
      </x:c>
      <x:c r="D113" s="21" t="str">
        <x:v>personally worry</x:v>
      </x:c>
      <x:c r="E113" s="21" t="str">
        <x:v>elicited worry category</x:v>
      </x:c>
      <x:c r="F113" s="22" t="str">
        <x:v>worry</x:v>
      </x:c>
      <x:c r="G113" s="22" t="str">
        <x:v>C</x:v>
      </x:c>
      <x:c r="H113" s="22" t="str">
        <x:v>V5</x:v>
      </x:c>
      <x:c r="I113" s="22" t="str">
        <x:v>E3</x:v>
      </x:c>
      <x:c r="J113" s="21" t="str">
        <x:v>RECONSTRUCTED_FROM_REPORT; Fear of Temperature_ Stratified Lexical Expansion, Voice Mapping, and Semantic-Relational Pre-Valida.pdf; p.10; project candidate FT-SEED-R1B-P-0607-22; original visible ID not available</x:v>
      </x:c>
      <x:c r="K113" s="21" t="str">
        <x:v>NO_STANDALONE_HEADWORD</x:v>
      </x:c>
      <x:c r="L113" s="21" t="str">
        <x:v>Component lexical analysis plus anchor-source contextual meaning</x:v>
      </x:c>
      <x:c r="M113" s="21" t="str">
        <x:v>Component headword checked: worry.</x:v>
      </x:c>
      <x:c r="N113" s="21" t="str">
        <x:v>Anchor-period research source/context; Webster 1913 stable component URL recorded but automated page retrieval was unavailable</x:v>
      </x:c>
      <x:c r="O113" s="21" t="str">
        <x:v>Worry wording supplied by a survey or other instrument; the candidate is interpreted in its documented anchor and voice context.</x:v>
      </x:c>
      <x:c r="P113" s="21" t="str">
        <x:v>Survey or instrument wording used to elicit and classify participant endorsement; the response may be participant evidence, but the lexical wording is supplied.</x:v>
      </x:c>
      <x:c r="Q113" s="22" t="str">
        <x:v>NOT_AVAILABLE_IN_ACCESSED_SOURCES</x:v>
      </x:c>
      <x:c r="R113" s="21" t="str">
        <x:v>STRONG</x:v>
      </x:c>
      <x:c r="S113" s="21" t="str">
        <x:v>Elicited endorsement, question wording, and spontaneous participant vocabulary are distinct provenance states.</x:v>
      </x:c>
      <x:c r="T113" s="21" t="str">
        <x:v>Fear of Temperature_ Stratified Lexical Expansion, Voice Mapping, and Semantic-Relational Pre-Valida.pdf#page=10; https://api.dictionaryapi.dev/api/v2/entries/en/personally%20worry; https://websters1913.timcieplowski.com/word/worry/</x:v>
      </x:c>
      <x:c r="U113" s="49" t="str">
        <x:v>2026-08-26</x:v>
      </x:c>
    </x:row>
    <x:row r="114" ht="19" customHeight="1">
      <x:c r="A114" s="20" t="str">
        <x:v>FT-SEED-R1B-P-0607-23</x:v>
      </x:c>
      <x:c r="B114" s="22" t="str">
        <x:v>2006–2007</x:v>
      </x:c>
      <x:c r="C114" s="22" t="str">
        <x:v>23</x:v>
      </x:c>
      <x:c r="D114" s="21" t="str">
        <x:v>worry a great deal</x:v>
      </x:c>
      <x:c r="E114" s="21" t="str">
        <x:v>elicited worry category</x:v>
      </x:c>
      <x:c r="F114" s="22" t="str">
        <x:v>worry</x:v>
      </x:c>
      <x:c r="G114" s="22" t="str">
        <x:v>C</x:v>
      </x:c>
      <x:c r="H114" s="22" t="str">
        <x:v>V5</x:v>
      </x:c>
      <x:c r="I114" s="22" t="str">
        <x:v>E5</x:v>
      </x:c>
      <x:c r="J114" s="21" t="str">
        <x:v>RECONSTRUCTED_FROM_REPORT; Fear of Temperature_ Stratified Lexical Expansion, Voice Mapping, and Semantic-Relational Pre-Valida.pdf; p.10; project candidate FT-SEED-R1B-P-0607-23; original visible ID not available</x:v>
      </x:c>
      <x:c r="K114" s="21" t="str">
        <x:v>NO_STANDALONE_HEADWORD</x:v>
      </x:c>
      <x:c r="L114" s="21" t="str">
        <x:v>Component lexical analysis plus anchor-source contextual meaning</x:v>
      </x:c>
      <x:c r="M114" s="21" t="str">
        <x:v>Component headword checked: deal.</x:v>
      </x:c>
      <x:c r="N114" s="21" t="str">
        <x:v>Anchor-period research source/context; Webster 1913 stable component URL recorded but automated page retrieval was unavailable</x:v>
      </x:c>
      <x:c r="O114" s="21" t="str">
        <x:v>Worry wording supplied by a survey or other instrument; the candidate is interpreted in its documented anchor and voice context.</x:v>
      </x:c>
      <x:c r="P114" s="21" t="str">
        <x:v>Survey or instrument wording used to elicit and classify participant endorsement; the response may be participant evidence, but the lexical wording is supplied.</x:v>
      </x:c>
      <x:c r="Q114" s="22" t="str">
        <x:v>NOT_AVAILABLE_IN_ACCESSED_SOURCES</x:v>
      </x:c>
      <x:c r="R114" s="21" t="str">
        <x:v>STRONG</x:v>
      </x:c>
      <x:c r="S114" s="21" t="str">
        <x:v>Elicited endorsement, question wording, and spontaneous participant vocabulary are distinct provenance states.</x:v>
      </x:c>
      <x:c r="T114" s="21" t="str">
        <x:v>Fear of Temperature_ Stratified Lexical Expansion, Voice Mapping, and Semantic-Relational Pre-Valida.pdf#page=10; https://api.dictionaryapi.dev/api/v2/entries/en/worry%20a%20great%20deal; https://websters1913.timcieplowski.com/word/deal/</x:v>
      </x:c>
      <x:c r="U114" s="49" t="str">
        <x:v>2026-08-26</x:v>
      </x:c>
    </x:row>
    <x:row r="115" ht="19" customHeight="1">
      <x:c r="A115" s="20" t="str">
        <x:v>FT-SEED-R1B-P-0607-24</x:v>
      </x:c>
      <x:c r="B115" s="22" t="str">
        <x:v>2006–2007</x:v>
      </x:c>
      <x:c r="C115" s="22" t="str">
        <x:v>24</x:v>
      </x:c>
      <x:c r="D115" s="21" t="str">
        <x:v>serious problem</x:v>
      </x:c>
      <x:c r="E115" s="21" t="str">
        <x:v>generic damage</x:v>
      </x:c>
      <x:c r="F115" s="22" t="str">
        <x:v>harm_loss_consequences</x:v>
      </x:c>
      <x:c r="G115" s="22" t="str">
        <x:v>D</x:v>
      </x:c>
      <x:c r="H115" s="22" t="str">
        <x:v>V5</x:v>
      </x:c>
      <x:c r="I115" s="22" t="str">
        <x:v>E5</x:v>
      </x:c>
      <x:c r="J115" s="21" t="str">
        <x:v>RECONSTRUCTED_FROM_REPORT; Fear of Temperature_ Stratified Lexical Expansion, Voice Mapping, and Semantic-Relational Pre-Valida.pdf; p.10; project candidate FT-SEED-R1B-P-0607-24; original visible ID not available</x:v>
      </x:c>
      <x:c r="K115" s="21" t="str">
        <x:v>NO_STANDALONE_HEADWORD</x:v>
      </x:c>
      <x:c r="L115" s="21" t="str">
        <x:v>Component lexical analysis plus anchor-source contextual meaning</x:v>
      </x:c>
      <x:c r="M115" s="21" t="str">
        <x:v>Component headword checked: problem.</x:v>
      </x:c>
      <x:c r="N115" s="21" t="str">
        <x:v>Anchor-period research source/context; Webster 1913 stable component URL recorded but automated page retrieval was unavailable</x:v>
      </x:c>
      <x:c r="O115" s="21" t="str">
        <x:v>Generic material, ecological, or social damage; the candidate is interpreted in its documented anchor and voice context.</x:v>
      </x:c>
      <x:c r="P115" s="21" t="str">
        <x:v>A threat, risk, harm, severity, or consequence sense in the documented source; it is not automatically an emotion.</x:v>
      </x:c>
      <x:c r="Q115" s="22" t="str">
        <x:v>NOT_AVAILABLE_IN_ACCESSED_SOURCES</x:v>
      </x:c>
      <x:c r="R115" s="21" t="str">
        <x:v>STRONG</x:v>
      </x:c>
      <x:c r="S115" s="21" t="str">
        <x:v>The surface form may realize multiple senses; candidate meaning remains anchored to the report-visible source context.</x:v>
      </x:c>
      <x:c r="T115" s="21" t="str">
        <x:v>Fear of Temperature_ Stratified Lexical Expansion, Voice Mapping, and Semantic-Relational Pre-Valida.pdf#page=10; https://api.dictionaryapi.dev/api/v2/entries/en/serious%20problem; https://websters1913.timcieplowski.com/word/problem/</x:v>
      </x:c>
      <x:c r="U115" s="49" t="str">
        <x:v>2026-08-26</x:v>
      </x:c>
    </x:row>
    <x:row r="116" ht="19" customHeight="1">
      <x:c r="A116" s="20" t="str">
        <x:v>FT-SEED-R1B-P-0607-25</x:v>
      </x:c>
      <x:c r="B116" s="22" t="str">
        <x:v>2006–2007</x:v>
      </x:c>
      <x:c r="C116" s="22" t="str">
        <x:v>25</x:v>
      </x:c>
      <x:c r="D116" s="21" t="str">
        <x:v>danger</x:v>
      </x:c>
      <x:c r="E116" s="21" t="str">
        <x:v>hazard evaluation</x:v>
      </x:c>
      <x:c r="F116" s="22" t="str">
        <x:v>danger_threat</x:v>
      </x:c>
      <x:c r="G116" s="22" t="str">
        <x:v>D</x:v>
      </x:c>
      <x:c r="H116" s="22" t="str">
        <x:v>V5</x:v>
      </x:c>
      <x:c r="I116" s="22" t="str">
        <x:v>E5</x:v>
      </x:c>
      <x:c r="J116" s="21" t="str">
        <x:v>RECONSTRUCTED_FROM_REPORT; Fear of Temperature_ Stratified Lexical Expansion, Voice Mapping, and Semantic-Relational Pre-Valida.pdf; p.10; project candidate FT-SEED-R1B-P-0607-25; original visible ID not available</x:v>
      </x:c>
      <x:c r="K116" s="21" t="str">
        <x:v>DIRECT_HEADWORD</x:v>
      </x:c>
      <x:c r="L116" s="21" t="str">
        <x:v>Webster's Revised Unabridged Dictionary (1913 public-domain headword index)</x:v>
      </x:c>
      <x:c r="M116" s="21" t="str">
        <x:v>Component headword checked: danger.</x:v>
      </x:c>
      <x:c r="N116" s="21" t="str">
        <x:v>Anchor-period research source/context; Webster 1913 stable component URL recorded but automated page retrieval was unavailable</x:v>
      </x:c>
      <x:c r="O116" s="21" t="str">
        <x:v>Danger or threat evaluation of a specified hazard; the candidate is interpreted in its documented anchor and voice context.</x:v>
      </x:c>
      <x:c r="P116" s="21" t="str">
        <x:v>A threat, risk, harm, severity, or consequence sense in the documented source; it is not automatically an emotion.</x:v>
      </x:c>
      <x:c r="Q116" s="22" t="str">
        <x:v>NOT_AVAILABLE_IN_ACCESSED_SOURCES</x:v>
      </x:c>
      <x:c r="R116" s="21" t="str">
        <x:v>STRONG</x:v>
      </x:c>
      <x:c r="S116" s="21" t="str">
        <x:v>The surface form may realize multiple senses; candidate meaning remains anchored to the report-visible source context.</x:v>
      </x:c>
      <x:c r="T116" s="21" t="str">
        <x:v>https://websters1913.timcieplowski.com/word/danger/; https://api.dictionaryapi.dev/api/v2/entries/en/danger</x:v>
      </x:c>
      <x:c r="U116" s="49" t="str">
        <x:v>2026-08-26</x:v>
      </x:c>
    </x:row>
    <x:row r="117" ht="19" customHeight="1">
      <x:c r="A117" s="20" t="str">
        <x:v>FT-SEED-R1B-P-0607-26</x:v>
      </x:c>
      <x:c r="B117" s="22" t="str">
        <x:v>2006–2007</x:v>
      </x:c>
      <x:c r="C117" s="22" t="str">
        <x:v>26</x:v>
      </x:c>
      <x:c r="D117" s="21" t="str">
        <x:v>urgent threat</x:v>
      </x:c>
      <x:c r="E117" s="21" t="str">
        <x:v>institutional climate threat</x:v>
      </x:c>
      <x:c r="F117" s="22" t="str">
        <x:v>danger_threat</x:v>
      </x:c>
      <x:c r="G117" s="22" t="str">
        <x:v>D</x:v>
      </x:c>
      <x:c r="H117" s="22" t="str">
        <x:v>V5</x:v>
      </x:c>
      <x:c r="I117" s="22" t="str">
        <x:v>E5</x:v>
      </x:c>
      <x:c r="J117" s="21" t="str">
        <x:v>RECONSTRUCTED_FROM_REPORT; Fear of Temperature_ Stratified Lexical Expansion, Voice Mapping, and Semantic-Relational Pre-Valida.pdf; p.10; project candidate FT-SEED-R1B-P-0607-26; original visible ID not available</x:v>
      </x:c>
      <x:c r="K117" s="21" t="str">
        <x:v>NO_STANDALONE_HEADWORD</x:v>
      </x:c>
      <x:c r="L117" s="21" t="str">
        <x:v>Component lexical analysis plus anchor-source contextual meaning</x:v>
      </x:c>
      <x:c r="M117" s="21" t="str">
        <x:v>Component headword checked: threat.</x:v>
      </x:c>
      <x:c r="N117" s="21" t="str">
        <x:v>Anchor-period research source/context; Webster 1913 stable component URL recorded but automated page retrieval was unavailable</x:v>
      </x:c>
      <x:c r="O117" s="21" t="str">
        <x:v>Climate change framed as an institutional threat; the candidate is interpreted in its documented anchor and voice context.</x:v>
      </x:c>
      <x:c r="P117" s="21" t="str">
        <x:v>A threat, risk, harm, severity, or consequence sense in the documented source; it is not automatically an emotion.</x:v>
      </x:c>
      <x:c r="Q117" s="22" t="str">
        <x:v>NOT_AVAILABLE_IN_ACCESSED_SOURCES</x:v>
      </x:c>
      <x:c r="R117" s="21" t="str">
        <x:v>STRONG</x:v>
      </x:c>
      <x:c r="S117" s="21" t="str">
        <x:v>The surface form may realize multiple senses; candidate meaning remains anchored to the report-visible source context.</x:v>
      </x:c>
      <x:c r="T117" s="21" t="str">
        <x:v>Fear of Temperature_ Stratified Lexical Expansion, Voice Mapping, and Semantic-Relational Pre-Valida.pdf#page=10; https://api.dictionaryapi.dev/api/v2/entries/en/urgent%20threat; https://websters1913.timcieplowski.com/word/threat/</x:v>
      </x:c>
      <x:c r="U117" s="49" t="str">
        <x:v>2026-08-26</x:v>
      </x:c>
    </x:row>
    <x:row r="118" ht="19" customHeight="1">
      <x:c r="A118" s="20" t="str">
        <x:v>FT-SEED-R1B-P-0607-27</x:v>
      </x:c>
      <x:c r="B118" s="22" t="str">
        <x:v>2006–2007</x:v>
      </x:c>
      <x:c r="C118" s="22" t="str">
        <x:v>27</x:v>
      </x:c>
      <x:c r="D118" s="21" t="str">
        <x:v>dangerous impacts</x:v>
      </x:c>
      <x:c r="E118" s="21" t="str">
        <x:v>institutional climate threat</x:v>
      </x:c>
      <x:c r="F118" s="22" t="str">
        <x:v>danger_threat</x:v>
      </x:c>
      <x:c r="G118" s="22" t="str">
        <x:v>D</x:v>
      </x:c>
      <x:c r="H118" s="22" t="str">
        <x:v>V5</x:v>
      </x:c>
      <x:c r="I118" s="22" t="str">
        <x:v>E5</x:v>
      </x:c>
      <x:c r="J118" s="21" t="str">
        <x:v>RECONSTRUCTED_FROM_REPORT; Fear of Temperature_ Stratified Lexical Expansion, Voice Mapping, and Semantic-Relational Pre-Valida.pdf; p.10; project candidate FT-SEED-R1B-P-0607-27; original visible ID not available</x:v>
      </x:c>
      <x:c r="K118" s="21" t="str">
        <x:v>NO_STANDALONE_HEADWORD</x:v>
      </x:c>
      <x:c r="L118" s="21" t="str">
        <x:v>Component lexical analysis plus anchor-source contextual meaning</x:v>
      </x:c>
      <x:c r="M118" s="21" t="str">
        <x:v>Component headword checked: impacts.</x:v>
      </x:c>
      <x:c r="N118" s="21" t="str">
        <x:v>Anchor-period research source/context; Webster 1913 stable component URL recorded but automated page retrieval was unavailable</x:v>
      </x:c>
      <x:c r="O118" s="21" t="str">
        <x:v>Climate change framed as an institutional threat; the candidate is interpreted in its documented anchor and voice context.</x:v>
      </x:c>
      <x:c r="P118" s="21" t="str">
        <x:v>A threat, risk, harm, severity, or consequence sense in the documented source; it is not automatically an emotion.</x:v>
      </x:c>
      <x:c r="Q118" s="22" t="str">
        <x:v>NOT_AVAILABLE_IN_ACCESSED_SOURCES</x:v>
      </x:c>
      <x:c r="R118" s="21" t="str">
        <x:v>STRONG</x:v>
      </x:c>
      <x:c r="S118" s="21" t="str">
        <x:v>The surface form may realize multiple senses; candidate meaning remains anchored to the report-visible source context.</x:v>
      </x:c>
      <x:c r="T118" s="21" t="str">
        <x:v>Fear of Temperature_ Stratified Lexical Expansion, Voice Mapping, and Semantic-Relational Pre-Valida.pdf#page=10; https://api.dictionaryapi.dev/api/v2/entries/en/dangerous%20impacts; https://websters1913.timcieplowski.com/word/impacts/</x:v>
      </x:c>
      <x:c r="U118" s="49" t="str">
        <x:v>2026-08-26</x:v>
      </x:c>
    </x:row>
    <x:row r="119" ht="19" customHeight="1">
      <x:c r="A119" s="20" t="str">
        <x:v>FT-SEED-R1B-P-0607-28</x:v>
      </x:c>
      <x:c r="B119" s="22" t="str">
        <x:v>2006–2007</x:v>
      </x:c>
      <x:c r="C119" s="22" t="str">
        <x:v>28</x:v>
      </x:c>
      <x:c r="D119" s="21" t="str">
        <x:v>drastic action</x:v>
      </x:c>
      <x:c r="E119" s="21" t="str">
        <x:v>generic damage</x:v>
      </x:c>
      <x:c r="F119" s="22" t="str">
        <x:v>harm_loss_consequences</x:v>
      </x:c>
      <x:c r="G119" s="22" t="str">
        <x:v>D</x:v>
      </x:c>
      <x:c r="H119" s="22" t="str">
        <x:v>V5</x:v>
      </x:c>
      <x:c r="I119" s="22" t="str">
        <x:v>E5</x:v>
      </x:c>
      <x:c r="J119" s="21" t="str">
        <x:v>RECONSTRUCTED_FROM_REPORT; Fear of Temperature_ Stratified Lexical Expansion, Voice Mapping, and Semantic-Relational Pre-Valida.pdf; p.10; project candidate FT-SEED-R1B-P-0607-28; original visible ID not available</x:v>
      </x:c>
      <x:c r="K119" s="21" t="str">
        <x:v>NO_STANDALONE_HEADWORD</x:v>
      </x:c>
      <x:c r="L119" s="21" t="str">
        <x:v>Component lexical analysis plus anchor-source contextual meaning</x:v>
      </x:c>
      <x:c r="M119" s="21" t="str">
        <x:v>Component headword checked: action.</x:v>
      </x:c>
      <x:c r="N119" s="21" t="str">
        <x:v>Anchor-period research source/context; Webster 1913 stable component URL recorded but automated page retrieval was unavailable</x:v>
      </x:c>
      <x:c r="O119" s="21" t="str">
        <x:v>Generic material, ecological, or social damage; the candidate is interpreted in its documented anchor and voice context.</x:v>
      </x:c>
      <x:c r="P119" s="21" t="str">
        <x:v>A threat, risk, harm, severity, or consequence sense in the documented source; it is not automatically an emotion.</x:v>
      </x:c>
      <x:c r="Q119" s="22" t="str">
        <x:v>NOT_AVAILABLE_IN_ACCESSED_SOURCES</x:v>
      </x:c>
      <x:c r="R119" s="21" t="str">
        <x:v>STRONG</x:v>
      </x:c>
      <x:c r="S119" s="21" t="str">
        <x:v>The surface form may realize multiple senses; candidate meaning remains anchored to the report-visible source context.</x:v>
      </x:c>
      <x:c r="T119" s="21" t="str">
        <x:v>Fear of Temperature_ Stratified Lexical Expansion, Voice Mapping, and Semantic-Relational Pre-Valida.pdf#page=10; https://api.dictionaryapi.dev/api/v2/entries/en/drastic%20action; https://websters1913.timcieplowski.com/word/action/</x:v>
      </x:c>
      <x:c r="U119" s="49" t="str">
        <x:v>2026-08-26</x:v>
      </x:c>
    </x:row>
    <x:row r="120" ht="19" customHeight="1">
      <x:c r="A120" s="20" t="str">
        <x:v>FT-SEED-R1B-P-0607-29</x:v>
      </x:c>
      <x:c r="B120" s="22" t="str">
        <x:v>2006–2007</x:v>
      </x:c>
      <x:c r="C120" s="22" t="str">
        <x:v>29</x:v>
      </x:c>
      <x:c r="D120" s="21" t="str">
        <x:v>dangerous climate change</x:v>
      </x:c>
      <x:c r="E120" s="21" t="str">
        <x:v>modern climate change</x:v>
      </x:c>
      <x:c r="F120" s="22" t="str">
        <x:v>climate</x:v>
      </x:c>
      <x:c r="G120" s="22" t="str">
        <x:v>D</x:v>
      </x:c>
      <x:c r="H120" s="22" t="str">
        <x:v>V4</x:v>
      </x:c>
      <x:c r="I120" s="22" t="str">
        <x:v>E5</x:v>
      </x:c>
      <x:c r="J120" s="21" t="str">
        <x:v>RECONSTRUCTED_FROM_REPORT; Fear of Temperature_ Stratified Lexical Expansion, Voice Mapping, and Semantic-Relational Pre-Valida.pdf; p.10; project candidate FT-SEED-R1B-P-0607-29; original visible ID not available</x:v>
      </x:c>
      <x:c r="K120" s="21" t="str">
        <x:v>TECHNICAL_GLOSSARY</x:v>
      </x:c>
      <x:c r="L120" s="21" t="str">
        <x:v>IPCC climate-science glossary / assessment terminology</x:v>
      </x:c>
      <x:c r="M120" s="21" t="str">
        <x:v>Component headword checked: change.</x:v>
      </x:c>
      <x:c r="N120" s="21" t="str">
        <x:v>Anchor-period research source/context; Webster 1913 stable component URL recorded but automated page retrieval was unavailable</x:v>
      </x:c>
      <x:c r="O120" s="21" t="str">
        <x:v>Modern climate change as an anthropogenic scientific, public, or governance problem; the candidate is interpreted in its documented anchor and voice context.</x:v>
      </x:c>
      <x:c r="P120" s="21" t="str">
        <x:v>A threat, risk, harm, severity, or consequence sense in the documented source; it is not automatically an emotion.</x:v>
      </x:c>
      <x:c r="Q120" s="22" t="str">
        <x:v>NOT_AVAILABLE_IN_ACCESSED_SOURCES</x:v>
      </x:c>
      <x:c r="R120" s="21" t="str">
        <x:v>STRONG</x:v>
      </x:c>
      <x:c r="S120" s="21" t="str">
        <x:v>The surface form may realize multiple senses; candidate meaning remains anchored to the report-visible source context.</x:v>
      </x:c>
      <x:c r="T120" s="21" t="str">
        <x:v>https://www.ipcc.ch/site/assets/uploads/2018/02/WGIIAR5-AnnexII_FINAL.pdf; https://api.dictionaryapi.dev/api/v2/entries/en/dangerous%20climate%20change; https://websters1913.timcieplowski.com/word/change/</x:v>
      </x:c>
      <x:c r="U120" s="49" t="str">
        <x:v>2026-08-26</x:v>
      </x:c>
    </x:row>
    <x:row r="121" ht="19" customHeight="1">
      <x:c r="A121" s="20" t="str">
        <x:v>FT-SEED-R1B-P-0607-30</x:v>
      </x:c>
      <x:c r="B121" s="22" t="str">
        <x:v>2006–2007</x:v>
      </x:c>
      <x:c r="C121" s="22" t="str">
        <x:v>30</x:v>
      </x:c>
      <x:c r="D121" s="21" t="str">
        <x:v>threatens serious negative effects</x:v>
      </x:c>
      <x:c r="E121" s="21" t="str">
        <x:v>institutional climate threat</x:v>
      </x:c>
      <x:c r="F121" s="22" t="str">
        <x:v>danger_threat</x:v>
      </x:c>
      <x:c r="G121" s="22" t="str">
        <x:v>D</x:v>
      </x:c>
      <x:c r="H121" s="22" t="str">
        <x:v>V4</x:v>
      </x:c>
      <x:c r="I121" s="22" t="str">
        <x:v>E5</x:v>
      </x:c>
      <x:c r="J121" s="21" t="str">
        <x:v>RECONSTRUCTED_FROM_REPORT; Fear of Temperature_ Stratified Lexical Expansion, Voice Mapping, and Semantic-Relational Pre-Valida.pdf; p.10; project candidate FT-SEED-R1B-P-0607-30; original visible ID not available</x:v>
      </x:c>
      <x:c r="K121" s="21" t="str">
        <x:v>NO_STANDALONE_HEADWORD</x:v>
      </x:c>
      <x:c r="L121" s="21" t="str">
        <x:v>Component lexical analysis plus anchor-source contextual meaning</x:v>
      </x:c>
      <x:c r="M121" s="21" t="str">
        <x:v>Component headword checked: effects.</x:v>
      </x:c>
      <x:c r="N121" s="21" t="str">
        <x:v>Anchor-period research source/context; Webster 1913 stable component URL recorded but automated page retrieval was unavailable</x:v>
      </x:c>
      <x:c r="O121" s="21" t="str">
        <x:v>Climate change framed as an institutional threat; the candidate is interpreted in its documented anchor and voice context.</x:v>
      </x:c>
      <x:c r="P121" s="21" t="str">
        <x:v>A threat, risk, harm, severity, or consequence sense in the documented source; it is not automatically an emotion.</x:v>
      </x:c>
      <x:c r="Q121" s="22" t="str">
        <x:v>NOT_AVAILABLE_IN_ACCESSED_SOURCES</x:v>
      </x:c>
      <x:c r="R121" s="21" t="str">
        <x:v>STRONG</x:v>
      </x:c>
      <x:c r="S121" s="21" t="str">
        <x:v>The surface form may realize multiple senses; candidate meaning remains anchored to the report-visible source context.</x:v>
      </x:c>
      <x:c r="T121" s="21" t="str">
        <x:v>Fear of Temperature_ Stratified Lexical Expansion, Voice Mapping, and Semantic-Relational Pre-Valida.pdf#page=10; https://api.dictionaryapi.dev/api/v2/entries/en/threatens%20serious%20negative%20effects; https://websters1913.timcieplowski.com/word/effects/</x:v>
      </x:c>
      <x:c r="U121" s="49" t="str">
        <x:v>2026-08-26</x:v>
      </x:c>
    </x:row>
    <x:row r="122" ht="19" customHeight="1">
      <x:c r="A122" s="20" t="str">
        <x:v>FT-SEED-R1B-P-2015-01</x:v>
      </x:c>
      <x:c r="B122" s="22" t="str">
        <x:v>2015</x:v>
      </x:c>
      <x:c r="C122" s="22" t="str">
        <x:v>1</x:v>
      </x:c>
      <x:c r="D122" s="21" t="str">
        <x:v>climate change</x:v>
      </x:c>
      <x:c r="E122" s="21" t="str">
        <x:v>modern climate change</x:v>
      </x:c>
      <x:c r="F122" s="22" t="str">
        <x:v>climate</x:v>
      </x:c>
      <x:c r="G122" s="22" t="str">
        <x:v>B</x:v>
      </x:c>
      <x:c r="H122" s="22" t="str">
        <x:v>V2</x:v>
      </x:c>
      <x:c r="I122" s="22" t="str">
        <x:v>E5</x:v>
      </x:c>
      <x:c r="J122" s="21" t="str">
        <x:v>RECONSTRUCTED_FROM_REPORT; Fear of Temperature_ Stratified Lexical Expansion, Voice Mapping, and Semantic-Relational Pre-Valida.pdf; p.11; project candidate FT-SEED-R1B-P-2015-01; original visible ID not available</x:v>
      </x:c>
      <x:c r="K122" s="21" t="str">
        <x:v>TECHNICAL_GLOSSARY</x:v>
      </x:c>
      <x:c r="L122" s="21" t="str">
        <x:v>IPCC climate-science glossary / assessment terminology</x:v>
      </x:c>
      <x:c r="M122" s="21" t="str">
        <x:v>Component headword checked: change.</x:v>
      </x:c>
      <x:c r="N122" s="21" t="str">
        <x:v>Anchor-period research source/context; Webster 1913 stable component URL recorded but automated page retrieval was unavailable</x:v>
      </x:c>
      <x:c r="O122" s="21" t="str">
        <x:v>A persistent change in the state or variability of climate; institutional definitions differ on whether human attribution is required.</x:v>
      </x:c>
      <x:c r="P122" s="21" t="str">
        <x:v>The established modern issue label for sustained climatic change, used in institutional, scientific, or public contexts depending on voice.</x:v>
      </x:c>
      <x:c r="Q122" s="22" t="str">
        <x:v>NOT_AVAILABLE_IN_ACCESSED_SOURCES</x:v>
      </x:c>
      <x:c r="R122" s="21" t="str">
        <x:v>STRONG</x:v>
      </x:c>
      <x:c r="S122" s="21" t="str">
        <x:v>The modern issue label must still be distinguished from generic change and historical climatic variability.</x:v>
      </x:c>
      <x:c r="T122" s="21" t="str">
        <x:v>https://www.ipcc.ch/site/assets/uploads/2018/02/WGIIAR5-AnnexII_FINAL.pdf; https://api.dictionaryapi.dev/api/v2/entries/en/climate%20change; https://websters1913.timcieplowski.com/word/change/</x:v>
      </x:c>
      <x:c r="U122" s="49" t="str">
        <x:v>2026-08-26</x:v>
      </x:c>
    </x:row>
    <x:row r="123" ht="19" customHeight="1">
      <x:c r="A123" s="20" t="str">
        <x:v>FT-SEED-R1B-P-2015-02</x:v>
      </x:c>
      <x:c r="B123" s="22" t="str">
        <x:v>2015</x:v>
      </x:c>
      <x:c r="C123" s="22" t="str">
        <x:v>2</x:v>
      </x:c>
      <x:c r="D123" s="21" t="str">
        <x:v>threat of climate change</x:v>
      </x:c>
      <x:c r="E123" s="21" t="str">
        <x:v>modern climate change</x:v>
      </x:c>
      <x:c r="F123" s="22" t="str">
        <x:v>climate</x:v>
      </x:c>
      <x:c r="G123" s="22" t="str">
        <x:v>D</x:v>
      </x:c>
      <x:c r="H123" s="22" t="str">
        <x:v>V2</x:v>
      </x:c>
      <x:c r="I123" s="22" t="str">
        <x:v>E5</x:v>
      </x:c>
      <x:c r="J123" s="21" t="str">
        <x:v>RECONSTRUCTED_FROM_REPORT; Fear of Temperature_ Stratified Lexical Expansion, Voice Mapping, and Semantic-Relational Pre-Valida.pdf; p.11; project candidate FT-SEED-R1B-P-2015-02; original visible ID not available</x:v>
      </x:c>
      <x:c r="K123" s="21" t="str">
        <x:v>NO_STANDALONE_HEADWORD</x:v>
      </x:c>
      <x:c r="L123" s="21" t="str">
        <x:v>Component lexical analysis plus anchor-source contextual meaning</x:v>
      </x:c>
      <x:c r="M123" s="21" t="str">
        <x:v>Component headword checked: change.</x:v>
      </x:c>
      <x:c r="N123" s="21" t="str">
        <x:v>Anchor-period research source/context; Webster 1913 stable component URL recorded but automated page retrieval was unavailable</x:v>
      </x:c>
      <x:c r="O123" s="21" t="str">
        <x:v>Modern climate change as an anthropogenic scientific, public, or governance problem; the candidate is interpreted in its documented anchor and voice context.</x:v>
      </x:c>
      <x:c r="P123" s="21" t="str">
        <x:v>A threat, risk, harm, severity, or consequence sense in the documented source; it is not automatically an emotion.</x:v>
      </x:c>
      <x:c r="Q123" s="22" t="str">
        <x:v>NOT_AVAILABLE_IN_ACCESSED_SOURCES</x:v>
      </x:c>
      <x:c r="R123" s="21" t="str">
        <x:v>STRONG</x:v>
      </x:c>
      <x:c r="S123" s="21" t="str">
        <x:v>The surface form may realize multiple senses; candidate meaning remains anchored to the report-visible source context.</x:v>
      </x:c>
      <x:c r="T123" s="21" t="str">
        <x:v>Fear of Temperature_ Stratified Lexical Expansion, Voice Mapping, and Semantic-Relational Pre-Valida.pdf#page=11; https://api.dictionaryapi.dev/api/v2/entries/en/threat%20of%20climate%20change; https://websters1913.timcieplowski.com/word/change/</x:v>
      </x:c>
      <x:c r="U123" s="49" t="str">
        <x:v>2026-08-26</x:v>
      </x:c>
    </x:row>
    <x:row r="124" ht="19" customHeight="1">
      <x:c r="A124" s="20" t="str">
        <x:v>FT-SEED-R1B-P-2015-03</x:v>
      </x:c>
      <x:c r="B124" s="22" t="str">
        <x:v>2015</x:v>
      </x:c>
      <x:c r="C124" s="22" t="str">
        <x:v>3</x:v>
      </x:c>
      <x:c r="D124" s="21" t="str">
        <x:v>global average temperature</x:v>
      </x:c>
      <x:c r="E124" s="21" t="str">
        <x:v>global aggregate temperature</x:v>
      </x:c>
      <x:c r="F124" s="22" t="str">
        <x:v>temperature_threshold</x:v>
      </x:c>
      <x:c r="G124" s="22" t="str">
        <x:v>A</x:v>
      </x:c>
      <x:c r="H124" s="22" t="str">
        <x:v>V2</x:v>
      </x:c>
      <x:c r="I124" s="22" t="str">
        <x:v>E5</x:v>
      </x:c>
      <x:c r="J124" s="21" t="str">
        <x:v>RECONSTRUCTED_FROM_REPORT; Fear of Temperature_ Stratified Lexical Expansion, Voice Mapping, and Semantic-Relational Pre-Valida.pdf; p.11; project candidate FT-SEED-R1B-P-2015-03; original visible ID not available</x:v>
      </x:c>
      <x:c r="K124" s="21" t="str">
        <x:v>TECHNICAL_GLOSSARY</x:v>
      </x:c>
      <x:c r="L124" s="21" t="str">
        <x:v>IPCC climate-science glossary / assessment terminology</x:v>
      </x:c>
      <x:c r="M124" s="21" t="str">
        <x:v>Component headword checked: temperature.</x:v>
      </x:c>
      <x:c r="N124" s="21" t="str">
        <x:v>Anchor-period research source/context; Webster 1913 stable component URL recorded but automated page retrieval was unavailable</x:v>
      </x:c>
      <x:c r="O124" s="21" t="str">
        <x:v>A global-scale aggregate temperature metric; the candidate is interpreted in its documented anchor and voice context.</x:v>
      </x:c>
      <x:c r="P124" s="21" t="str">
        <x:v>A physical temperature, warming, heat, or measurement sense in the documented anchor context.</x:v>
      </x:c>
      <x:c r="Q124" s="22" t="str">
        <x:v>NOT_AVAILABLE_IN_ACCESSED_SOURCES</x:v>
      </x:c>
      <x:c r="R124" s="21" t="str">
        <x:v>STRONG</x:v>
      </x:c>
      <x:c r="S124" s="21" t="str">
        <x:v>The surface form may realize multiple senses; candidate meaning remains anchored to the report-visible source context.</x:v>
      </x:c>
      <x:c r="T124" s="21" t="str">
        <x:v>https://www.ipcc.ch/site/assets/uploads/2018/02/WGIIAR5-AnnexII_FINAL.pdf; https://api.dictionaryapi.dev/api/v2/entries/en/global%20average%20temperature; https://websters1913.timcieplowski.com/word/temperature/</x:v>
      </x:c>
      <x:c r="U124" s="49" t="str">
        <x:v>2026-08-26</x:v>
      </x:c>
    </x:row>
    <x:row r="125" ht="19" customHeight="1">
      <x:c r="A125" s="20" t="str">
        <x:v>FT-SEED-R1B-P-2015-04</x:v>
      </x:c>
      <x:c r="B125" s="22" t="str">
        <x:v>2015</x:v>
      </x:c>
      <x:c r="C125" s="22" t="str">
        <x:v>4</x:v>
      </x:c>
      <x:c r="D125" s="21" t="str">
        <x:v>well below 2°C above pre-industrial levels</x:v>
      </x:c>
      <x:c r="E125" s="21" t="str">
        <x:v>2°C threshold</x:v>
      </x:c>
      <x:c r="F125" s="22" t="str">
        <x:v>temperature_threshold</x:v>
      </x:c>
      <x:c r="G125" s="22" t="str">
        <x:v>A</x:v>
      </x:c>
      <x:c r="H125" s="22" t="str">
        <x:v>V2</x:v>
      </x:c>
      <x:c r="I125" s="22" t="str">
        <x:v>E5</x:v>
      </x:c>
      <x:c r="J125" s="21" t="str">
        <x:v>RECONSTRUCTED_FROM_REPORT; Fear of Temperature_ Stratified Lexical Expansion, Voice Mapping, and Semantic-Relational Pre-Valida.pdf; p.11; project candidate FT-SEED-R1B-P-2015-04; original visible ID not available</x:v>
      </x:c>
      <x:c r="K125" s="21" t="str">
        <x:v>TECHNICAL_GLOSSARY</x:v>
      </x:c>
      <x:c r="L125" s="21" t="str">
        <x:v>IPCC climate-science glossary / assessment terminology</x:v>
      </x:c>
      <x:c r="M125" s="21" t="str">
        <x:v>Component headword checked: levels.</x:v>
      </x:c>
      <x:c r="N125" s="21" t="str">
        <x:v>Anchor-period research source/context; Webster 1913 stable component URL recorded but automated page retrieval was unavailable</x:v>
      </x:c>
      <x:c r="O125" s="21" t="str">
        <x:v>A governed two-degree temperature limit or threshold; the candidate is interpreted in its documented anchor and voice context.</x:v>
      </x:c>
      <x:c r="P125" s="21" t="str">
        <x:v>A treaty governance threshold relating global average temperature increase to a pre-industrial reference level.</x:v>
      </x:c>
      <x:c r="Q125" s="22" t="str">
        <x:v>NOT_AVAILABLE_IN_ACCESSED_SOURCES</x:v>
      </x:c>
      <x:c r="R125" s="21" t="str">
        <x:v>STRONG</x:v>
      </x:c>
      <x:c r="S125" s="21" t="str">
        <x:v>The numeric threshold is a policy-governance object, not experienced local temperature.</x:v>
      </x:c>
      <x:c r="T125" s="21" t="str">
        <x:v>https://www.ipcc.ch/site/assets/uploads/2018/02/WGIIAR5-AnnexII_FINAL.pdf; https://api.dictionaryapi.dev/api/v2/entries/en/well%20below%202%C2%B0C%20above%20pre-industrial%20levels; https://websters1913.timcieplowski.com/word/levels/</x:v>
      </x:c>
      <x:c r="U125" s="49" t="str">
        <x:v>2026-08-26</x:v>
      </x:c>
    </x:row>
    <x:row r="126" ht="19" customHeight="1">
      <x:c r="A126" s="20" t="str">
        <x:v>FT-SEED-R1B-P-2015-05</x:v>
      </x:c>
      <x:c r="B126" s="22" t="str">
        <x:v>2015</x:v>
      </x:c>
      <x:c r="C126" s="22" t="str">
        <x:v>5</x:v>
      </x:c>
      <x:c r="D126" s="21" t="str">
        <x:v>1.5°C above pre-industrial levels</x:v>
      </x:c>
      <x:c r="E126" s="21" t="str">
        <x:v>1.5°C threshold</x:v>
      </x:c>
      <x:c r="F126" s="22" t="str">
        <x:v>temperature_threshold</x:v>
      </x:c>
      <x:c r="G126" s="22" t="str">
        <x:v>A</x:v>
      </x:c>
      <x:c r="H126" s="22" t="str">
        <x:v>V2</x:v>
      </x:c>
      <x:c r="I126" s="22" t="str">
        <x:v>E5</x:v>
      </x:c>
      <x:c r="J126" s="21" t="str">
        <x:v>RECONSTRUCTED_FROM_REPORT; Fear of Temperature_ Stratified Lexical Expansion, Voice Mapping, and Semantic-Relational Pre-Valida.pdf; p.11; project candidate FT-SEED-R1B-P-2015-05; original visible ID not available</x:v>
      </x:c>
      <x:c r="K126" s="21" t="str">
        <x:v>TECHNICAL_GLOSSARY</x:v>
      </x:c>
      <x:c r="L126" s="21" t="str">
        <x:v>IPCC climate-science glossary / assessment terminology</x:v>
      </x:c>
      <x:c r="M126" s="21" t="str">
        <x:v>Component headword checked: levels.</x:v>
      </x:c>
      <x:c r="N126" s="21" t="str">
        <x:v>Anchor-period research source/context; Webster 1913 stable component URL recorded but automated page retrieval was unavailable</x:v>
      </x:c>
      <x:c r="O126" s="21" t="str">
        <x:v>A governed one-and-a-half-degree temperature limit or threshold; the candidate is interpreted in its documented anchor and voice context.</x:v>
      </x:c>
      <x:c r="P126" s="21" t="str">
        <x:v>A treaty governance threshold relating global average temperature increase to a pre-industrial reference level.</x:v>
      </x:c>
      <x:c r="Q126" s="22" t="str">
        <x:v>NOT_AVAILABLE_IN_ACCESSED_SOURCES</x:v>
      </x:c>
      <x:c r="R126" s="21" t="str">
        <x:v>STRONG</x:v>
      </x:c>
      <x:c r="S126" s="21" t="str">
        <x:v>The numeric threshold is a policy-governance object, not experienced local temperature.</x:v>
      </x:c>
      <x:c r="T126" s="21" t="str">
        <x:v>https://www.ipcc.ch/site/assets/uploads/2018/02/WGIIAR5-AnnexII_FINAL.pdf; https://api.dictionaryapi.dev/api/v2/entries/en/1.5%C2%B0C%20above%20pre-industrial%20levels; https://websters1913.timcieplowski.com/word/levels/</x:v>
      </x:c>
      <x:c r="U126" s="49" t="str">
        <x:v>2026-08-26</x:v>
      </x:c>
    </x:row>
    <x:row r="127" ht="19" customHeight="1">
      <x:c r="A127" s="20" t="str">
        <x:v>FT-SEED-R1B-P-2015-06</x:v>
      </x:c>
      <x:c r="B127" s="22" t="str">
        <x:v>2015</x:v>
      </x:c>
      <x:c r="C127" s="22" t="str">
        <x:v>6</x:v>
      </x:c>
      <x:c r="D127" s="21" t="str">
        <x:v>pre-industrial levels</x:v>
      </x:c>
      <x:c r="E127" s="21" t="str">
        <x:v>historical climate / climatological condition</x:v>
      </x:c>
      <x:c r="F127" s="22" t="str">
        <x:v>climate</x:v>
      </x:c>
      <x:c r="G127" s="22" t="str">
        <x:v>B</x:v>
      </x:c>
      <x:c r="H127" s="22" t="str">
        <x:v>V2</x:v>
      </x:c>
      <x:c r="I127" s="22" t="str">
        <x:v>E5</x:v>
      </x:c>
      <x:c r="J127" s="21" t="str">
        <x:v>RECONSTRUCTED_FROM_REPORT; Fear of Temperature_ Stratified Lexical Expansion, Voice Mapping, and Semantic-Relational Pre-Valida.pdf; p.11; project candidate FT-SEED-R1B-P-2015-06; original visible ID not available</x:v>
      </x:c>
      <x:c r="K127" s="21" t="str">
        <x:v>TECHNICAL_GLOSSARY</x:v>
      </x:c>
      <x:c r="L127" s="21" t="str">
        <x:v>IPCC climate-science glossary / assessment terminology</x:v>
      </x:c>
      <x:c r="M127" s="21" t="str">
        <x:v>Component headword checked: levels.</x:v>
      </x:c>
      <x:c r="N127" s="21" t="str">
        <x:v>Anchor-period research source/context; Webster 1913 stable component URL recorded but automated page retrieval was unavailable</x:v>
      </x:c>
      <x:c r="O127" s="21" t="str">
        <x:v>A historical reference baseline preceding large-scale industrial-era human influence, operationalized by the relevant climate agreement or assessment.</x:v>
      </x:c>
      <x:c r="P127" s="21" t="str">
        <x:v>A climatic, atmospheric, meteorological, or causal-science sense in the documented anchor context.</x:v>
      </x:c>
      <x:c r="Q127" s="22" t="str">
        <x:v>NOT_AVAILABLE_IN_ACCESSED_SOURCES</x:v>
      </x:c>
      <x:c r="R127" s="21" t="str">
        <x:v>STRONG</x:v>
      </x:c>
      <x:c r="S127" s="21" t="str">
        <x:v>The surface form may realize multiple senses; candidate meaning remains anchored to the report-visible source context.</x:v>
      </x:c>
      <x:c r="T127" s="21" t="str">
        <x:v>https://www.ipcc.ch/site/assets/uploads/2018/02/WGIIAR5-AnnexII_FINAL.pdf; https://api.dictionaryapi.dev/api/v2/entries/en/pre-industrial%20levels; https://websters1913.timcieplowski.com/word/levels/</x:v>
      </x:c>
      <x:c r="U127" s="49" t="str">
        <x:v>2026-08-26</x:v>
      </x:c>
    </x:row>
    <x:row r="128" ht="19" customHeight="1">
      <x:c r="A128" s="20" t="str">
        <x:v>FT-SEED-R1B-P-2015-07</x:v>
      </x:c>
      <x:c r="B128" s="22" t="str">
        <x:v>2015</x:v>
      </x:c>
      <x:c r="C128" s="22" t="str">
        <x:v>7</x:v>
      </x:c>
      <x:c r="D128" s="21" t="str">
        <x:v>risks and impacts</x:v>
      </x:c>
      <x:c r="E128" s="21" t="str">
        <x:v>administrative risk assessment</x:v>
      </x:c>
      <x:c r="F128" s="22" t="str">
        <x:v>risk</x:v>
      </x:c>
      <x:c r="G128" s="22" t="str">
        <x:v>D</x:v>
      </x:c>
      <x:c r="H128" s="22" t="str">
        <x:v>V2</x:v>
      </x:c>
      <x:c r="I128" s="22" t="str">
        <x:v>E5</x:v>
      </x:c>
      <x:c r="J128" s="21" t="str">
        <x:v>RECONSTRUCTED_FROM_REPORT; Fear of Temperature_ Stratified Lexical Expansion, Voice Mapping, and Semantic-Relational Pre-Valida.pdf; p.11; project candidate FT-SEED-R1B-P-2015-07; original visible ID not available</x:v>
      </x:c>
      <x:c r="K128" s="21" t="str">
        <x:v>NO_STANDALONE_HEADWORD</x:v>
      </x:c>
      <x:c r="L128" s="21" t="str">
        <x:v>Component lexical analysis plus anchor-source contextual meaning</x:v>
      </x:c>
      <x:c r="M128" s="21" t="str">
        <x:v>Component headword checked: impacts.</x:v>
      </x:c>
      <x:c r="N128" s="21" t="str">
        <x:v>Anchor-period research source/context; Webster 1913 stable component URL recorded but automated page retrieval was unavailable</x:v>
      </x:c>
      <x:c r="O128" s="21" t="str">
        <x:v>Risk managed or assessed through institutional procedure; the candidate is interpreted in its documented anchor and voice context.</x:v>
      </x:c>
      <x:c r="P128" s="21" t="str">
        <x:v>A threat, risk, harm, severity, or consequence sense in the documented source; it is not automatically an emotion.</x:v>
      </x:c>
      <x:c r="Q128" s="22" t="str">
        <x:v>NOT_AVAILABLE_IN_ACCESSED_SOURCES</x:v>
      </x:c>
      <x:c r="R128" s="21" t="str">
        <x:v>STRONG</x:v>
      </x:c>
      <x:c r="S128" s="21" t="str">
        <x:v>The surface form may realize multiple senses; candidate meaning remains anchored to the report-visible source context.</x:v>
      </x:c>
      <x:c r="T128" s="21" t="str">
        <x:v>Fear of Temperature_ Stratified Lexical Expansion, Voice Mapping, and Semantic-Relational Pre-Valida.pdf#page=11; https://api.dictionaryapi.dev/api/v2/entries/en/risks%20and%20impacts; https://websters1913.timcieplowski.com/word/impacts/</x:v>
      </x:c>
      <x:c r="U128" s="49" t="str">
        <x:v>2026-08-26</x:v>
      </x:c>
    </x:row>
    <x:row r="129" ht="19" customHeight="1">
      <x:c r="A129" s="20" t="str">
        <x:v>FT-SEED-R1B-P-2015-08</x:v>
      </x:c>
      <x:c r="B129" s="22" t="str">
        <x:v>2015</x:v>
      </x:c>
      <x:c r="C129" s="22" t="str">
        <x:v>8</x:v>
      </x:c>
      <x:c r="D129" s="21" t="str">
        <x:v>adverse impacts</x:v>
      </x:c>
      <x:c r="E129" s="21" t="str">
        <x:v>generic damage</x:v>
      </x:c>
      <x:c r="F129" s="22" t="str">
        <x:v>harm_loss_consequences</x:v>
      </x:c>
      <x:c r="G129" s="22" t="str">
        <x:v>D</x:v>
      </x:c>
      <x:c r="H129" s="22" t="str">
        <x:v>V2</x:v>
      </x:c>
      <x:c r="I129" s="22" t="str">
        <x:v>E5</x:v>
      </x:c>
      <x:c r="J129" s="21" t="str">
        <x:v>RECONSTRUCTED_FROM_REPORT; Fear of Temperature_ Stratified Lexical Expansion, Voice Mapping, and Semantic-Relational Pre-Valida.pdf; p.11; project candidate FT-SEED-R1B-P-2015-08; original visible ID not available</x:v>
      </x:c>
      <x:c r="K129" s="21" t="str">
        <x:v>NO_STANDALONE_HEADWORD</x:v>
      </x:c>
      <x:c r="L129" s="21" t="str">
        <x:v>Component lexical analysis plus anchor-source contextual meaning</x:v>
      </x:c>
      <x:c r="M129" s="21" t="str">
        <x:v>Component headword checked: impacts.</x:v>
      </x:c>
      <x:c r="N129" s="21" t="str">
        <x:v>Anchor-period research source/context; Webster 1913 stable component URL recorded but automated page retrieval was unavailable</x:v>
      </x:c>
      <x:c r="O129" s="21" t="str">
        <x:v>Generic material, ecological, or social damage; the candidate is interpreted in its documented anchor and voice context.</x:v>
      </x:c>
      <x:c r="P129" s="21" t="str">
        <x:v>A threat, risk, harm, severity, or consequence sense in the documented source; it is not automatically an emotion.</x:v>
      </x:c>
      <x:c r="Q129" s="22" t="str">
        <x:v>NOT_AVAILABLE_IN_ACCESSED_SOURCES</x:v>
      </x:c>
      <x:c r="R129" s="21" t="str">
        <x:v>STRONG</x:v>
      </x:c>
      <x:c r="S129" s="21" t="str">
        <x:v>The surface form may realize multiple senses; candidate meaning remains anchored to the report-visible source context.</x:v>
      </x:c>
      <x:c r="T129" s="21" t="str">
        <x:v>Fear of Temperature_ Stratified Lexical Expansion, Voice Mapping, and Semantic-Relational Pre-Valida.pdf#page=11; https://api.dictionaryapi.dev/api/v2/entries/en/adverse%20impacts; https://websters1913.timcieplowski.com/word/impacts/</x:v>
      </x:c>
      <x:c r="U129" s="49" t="str">
        <x:v>2026-08-26</x:v>
      </x:c>
    </x:row>
    <x:row r="130" ht="19" customHeight="1">
      <x:c r="A130" s="20" t="str">
        <x:v>FT-SEED-R1B-P-2015-09</x:v>
      </x:c>
      <x:c r="B130" s="22" t="str">
        <x:v>2015</x:v>
      </x:c>
      <x:c r="C130" s="22" t="str">
        <x:v>9</x:v>
      </x:c>
      <x:c r="D130" s="21" t="str">
        <x:v>adverse effects of climate change</x:v>
      </x:c>
      <x:c r="E130" s="21" t="str">
        <x:v>modern climate change</x:v>
      </x:c>
      <x:c r="F130" s="22" t="str">
        <x:v>climate</x:v>
      </x:c>
      <x:c r="G130" s="22" t="str">
        <x:v>D</x:v>
      </x:c>
      <x:c r="H130" s="22" t="str">
        <x:v>V2</x:v>
      </x:c>
      <x:c r="I130" s="22" t="str">
        <x:v>E5</x:v>
      </x:c>
      <x:c r="J130" s="21" t="str">
        <x:v>RECONSTRUCTED_FROM_REPORT; Fear of Temperature_ Stratified Lexical Expansion, Voice Mapping, and Semantic-Relational Pre-Valida.pdf; p.11; project candidate FT-SEED-R1B-P-2015-09; original visible ID not available</x:v>
      </x:c>
      <x:c r="K130" s="21" t="str">
        <x:v>NO_STANDALONE_HEADWORD</x:v>
      </x:c>
      <x:c r="L130" s="21" t="str">
        <x:v>Component lexical analysis plus anchor-source contextual meaning</x:v>
      </x:c>
      <x:c r="M130" s="21" t="str">
        <x:v>Component headword checked: change.</x:v>
      </x:c>
      <x:c r="N130" s="21" t="str">
        <x:v>Anchor-period research source/context; Webster 1913 stable component URL recorded but automated page retrieval was unavailable</x:v>
      </x:c>
      <x:c r="O130" s="21" t="str">
        <x:v>Modern climate change as an anthropogenic scientific, public, or governance problem; the candidate is interpreted in its documented anchor and voice context.</x:v>
      </x:c>
      <x:c r="P130" s="21" t="str">
        <x:v>A threat, risk, harm, severity, or consequence sense in the documented source; it is not automatically an emotion.</x:v>
      </x:c>
      <x:c r="Q130" s="22" t="str">
        <x:v>NOT_AVAILABLE_IN_ACCESSED_SOURCES</x:v>
      </x:c>
      <x:c r="R130" s="21" t="str">
        <x:v>STRONG</x:v>
      </x:c>
      <x:c r="S130" s="21" t="str">
        <x:v>The surface form may realize multiple senses; candidate meaning remains anchored to the report-visible source context.</x:v>
      </x:c>
      <x:c r="T130" s="21" t="str">
        <x:v>Fear of Temperature_ Stratified Lexical Expansion, Voice Mapping, and Semantic-Relational Pre-Valida.pdf#page=11; https://api.dictionaryapi.dev/api/v2/entries/en/adverse%20effects%20of%20climate%20change; https://websters1913.timcieplowski.com/word/change/</x:v>
      </x:c>
      <x:c r="U130" s="49" t="str">
        <x:v>2026-08-26</x:v>
      </x:c>
    </x:row>
    <x:row r="131" ht="19" customHeight="1">
      <x:c r="A131" s="20" t="str">
        <x:v>FT-SEED-R1B-P-2015-10</x:v>
      </x:c>
      <x:c r="B131" s="22" t="str">
        <x:v>2015</x:v>
      </x:c>
      <x:c r="C131" s="22" t="str">
        <x:v>10</x:v>
      </x:c>
      <x:c r="D131" s="21" t="str">
        <x:v>greenhouse gas emissions</x:v>
      </x:c>
      <x:c r="E131" s="21" t="str">
        <x:v>anthropogenic greenhouse-gas emissions</x:v>
      </x:c>
      <x:c r="F131" s="22" t="str">
        <x:v>carbon_greenhouse</x:v>
      </x:c>
      <x:c r="G131" s="22" t="str">
        <x:v>B</x:v>
      </x:c>
      <x:c r="H131" s="22" t="str">
        <x:v>V2</x:v>
      </x:c>
      <x:c r="I131" s="22" t="str">
        <x:v>E5</x:v>
      </x:c>
      <x:c r="J131" s="21" t="str">
        <x:v>RECONSTRUCTED_FROM_REPORT; Fear of Temperature_ Stratified Lexical Expansion, Voice Mapping, and Semantic-Relational Pre-Valida.pdf; p.11; project candidate FT-SEED-R1B-P-2015-10; original visible ID not available</x:v>
      </x:c>
      <x:c r="K131" s="21" t="str">
        <x:v>TECHNICAL_GLOSSARY</x:v>
      </x:c>
      <x:c r="L131" s="21" t="str">
        <x:v>IPCC climate-science glossary / assessment terminology</x:v>
      </x:c>
      <x:c r="M131" s="21" t="str">
        <x:v>Component headword checked: emissions.</x:v>
      </x:c>
      <x:c r="N131" s="21" t="str">
        <x:v>Anchor-period research source/context; Webster 1913 stable component URL recorded but automated page retrieval was unavailable</x:v>
      </x:c>
      <x:c r="O131" s="21" t="str">
        <x:v>Releases of gases that contribute to the atmospheric greenhouse effect.</x:v>
      </x:c>
      <x:c r="P131" s="21" t="str">
        <x:v>A climatic, atmospheric, meteorological, or causal-science sense in the documented anchor context.</x:v>
      </x:c>
      <x:c r="Q131" s="22" t="str">
        <x:v>NOT_AVAILABLE_IN_ACCESSED_SOURCES</x:v>
      </x:c>
      <x:c r="R131" s="21" t="str">
        <x:v>STRONG</x:v>
      </x:c>
      <x:c r="S131" s="21" t="str">
        <x:v>The surface form may realize multiple senses; candidate meaning remains anchored to the report-visible source context.</x:v>
      </x:c>
      <x:c r="T131" s="21" t="str">
        <x:v>https://www.ipcc.ch/site/assets/uploads/2018/02/WGIIAR5-AnnexII_FINAL.pdf; https://api.dictionaryapi.dev/api/v2/entries/en/greenhouse%20gas%20emissions; https://websters1913.timcieplowski.com/word/emissions/</x:v>
      </x:c>
      <x:c r="U131" s="49" t="str">
        <x:v>2026-08-26</x:v>
      </x:c>
    </x:row>
    <x:row r="132" ht="19" customHeight="1">
      <x:c r="A132" s="20" t="str">
        <x:v>FT-SEED-R1B-P-2015-11</x:v>
      </x:c>
      <x:c r="B132" s="22" t="str">
        <x:v>2015</x:v>
      </x:c>
      <x:c r="C132" s="22" t="str">
        <x:v>11</x:v>
      </x:c>
      <x:c r="D132" s="21" t="str">
        <x:v>climate resilience</x:v>
      </x:c>
      <x:c r="E132" s="21" t="str">
        <x:v>generic damage</x:v>
      </x:c>
      <x:c r="F132" s="22" t="str">
        <x:v>harm_loss_consequences</x:v>
      </x:c>
      <x:c r="G132" s="22" t="str">
        <x:v>D</x:v>
      </x:c>
      <x:c r="H132" s="22" t="str">
        <x:v>V2</x:v>
      </x:c>
      <x:c r="I132" s="22" t="str">
        <x:v>E5</x:v>
      </x:c>
      <x:c r="J132" s="21" t="str">
        <x:v>RECONSTRUCTED_FROM_REPORT; Fear of Temperature_ Stratified Lexical Expansion, Voice Mapping, and Semantic-Relational Pre-Valida.pdf; p.11; project candidate FT-SEED-R1B-P-2015-11; original visible ID not available</x:v>
      </x:c>
      <x:c r="K132" s="21" t="str">
        <x:v>TECHNICAL_GLOSSARY</x:v>
      </x:c>
      <x:c r="L132" s="21" t="str">
        <x:v>IPCC climate-science glossary / assessment terminology</x:v>
      </x:c>
      <x:c r="M132" s="21" t="str">
        <x:v>Component headword checked: resilience.</x:v>
      </x:c>
      <x:c r="N132" s="21" t="str">
        <x:v>Anchor-period research source/context; Webster 1913 stable component URL recorded but automated page retrieval was unavailable</x:v>
      </x:c>
      <x:c r="O132" s="21" t="str">
        <x:v>The capacity of social, economic, and ecological systems to cope with climatic hazards while maintaining essential functions and adapting.</x:v>
      </x:c>
      <x:c r="P132" s="21" t="str">
        <x:v>A threat, risk, harm, severity, or consequence sense in the documented source; it is not automatically an emotion.</x:v>
      </x:c>
      <x:c r="Q132" s="22" t="str">
        <x:v>NOT_AVAILABLE_IN_ACCESSED_SOURCES</x:v>
      </x:c>
      <x:c r="R132" s="21" t="str">
        <x:v>STRONG</x:v>
      </x:c>
      <x:c r="S132" s="21" t="str">
        <x:v>The surface form may realize multiple senses; candidate meaning remains anchored to the report-visible source context.</x:v>
      </x:c>
      <x:c r="T132" s="21" t="str">
        <x:v>https://www.ipcc.ch/site/assets/uploads/2018/02/WGIIAR5-AnnexII_FINAL.pdf; https://api.dictionaryapi.dev/api/v2/entries/en/climate%20resilience; https://websters1913.timcieplowski.com/word/resilience/</x:v>
      </x:c>
      <x:c r="U132" s="49" t="str">
        <x:v>2026-08-26</x:v>
      </x:c>
    </x:row>
    <x:row r="133" ht="19" customHeight="1">
      <x:c r="A133" s="20" t="str">
        <x:v>FT-SEED-R1B-P-2015-12</x:v>
      </x:c>
      <x:c r="B133" s="22" t="str">
        <x:v>2015</x:v>
      </x:c>
      <x:c r="C133" s="22" t="str">
        <x:v>12</x:v>
      </x:c>
      <x:c r="D133" s="21" t="str">
        <x:v>vulnerability</x:v>
      </x:c>
      <x:c r="E133" s="21" t="str">
        <x:v>vulnerability</x:v>
      </x:c>
      <x:c r="F133" s="22" t="str">
        <x:v>harm_loss_consequences</x:v>
      </x:c>
      <x:c r="G133" s="22" t="str">
        <x:v>D</x:v>
      </x:c>
      <x:c r="H133" s="22" t="str">
        <x:v>V2</x:v>
      </x:c>
      <x:c r="I133" s="22" t="str">
        <x:v>E5</x:v>
      </x:c>
      <x:c r="J133" s="21" t="str">
        <x:v>RECONSTRUCTED_FROM_REPORT; Fear of Temperature_ Stratified Lexical Expansion, Voice Mapping, and Semantic-Relational Pre-Valida.pdf; p.11; project candidate FT-SEED-R1B-P-2015-12; original visible ID not available</x:v>
      </x:c>
      <x:c r="K133" s="21" t="str">
        <x:v>TECHNICAL_GLOSSARY</x:v>
      </x:c>
      <x:c r="L133" s="21" t="str">
        <x:v>IPCC climate-science glossary / assessment terminology</x:v>
      </x:c>
      <x:c r="M133" s="21" t="str">
        <x:v>Component headword checked: vulnerability.</x:v>
      </x:c>
      <x:c r="N133" s="21" t="str">
        <x:v>Anchor-period research source/context; Webster 1913 stable component URL recorded but automated page retrieval was unavailable</x:v>
      </x:c>
      <x:c r="O133" s="21" t="str">
        <x:v>Susceptibility of an identified subject or group to harm; the candidate is interpreted in its documented anchor and voice context.</x:v>
      </x:c>
      <x:c r="P133" s="21" t="str">
        <x:v>A threat, risk, harm, severity, or consequence sense in the documented source; it is not automatically an emotion.</x:v>
      </x:c>
      <x:c r="Q133" s="22" t="str">
        <x:v>NOT_AVAILABLE_IN_ACCESSED_SOURCES</x:v>
      </x:c>
      <x:c r="R133" s="21" t="str">
        <x:v>STRONG</x:v>
      </x:c>
      <x:c r="S133" s="21" t="str">
        <x:v>The surface form may realize multiple senses; candidate meaning remains anchored to the report-visible source context.</x:v>
      </x:c>
      <x:c r="T133" s="21" t="str">
        <x:v>https://www.ipcc.ch/site/assets/uploads/2018/02/WGIIAR5-AnnexII_FINAL.pdf; https://api.dictionaryapi.dev/api/v2/entries/en/vulnerability; https://websters1913.timcieplowski.com/word/vulnerability/</x:v>
      </x:c>
      <x:c r="U133" s="49" t="str">
        <x:v>2026-08-26</x:v>
      </x:c>
    </x:row>
    <x:row r="134" ht="19" customHeight="1">
      <x:c r="A134" s="20" t="str">
        <x:v>FT-SEED-R1B-P-2015-13</x:v>
      </x:c>
      <x:c r="B134" s="22" t="str">
        <x:v>2015</x:v>
      </x:c>
      <x:c r="C134" s="22" t="str">
        <x:v>13</x:v>
      </x:c>
      <x:c r="D134" s="21" t="str">
        <x:v>vulnerable groups</x:v>
      </x:c>
      <x:c r="E134" s="21" t="str">
        <x:v>vulnerability</x:v>
      </x:c>
      <x:c r="F134" s="22" t="str">
        <x:v>harm_loss_consequences</x:v>
      </x:c>
      <x:c r="G134" s="22" t="str">
        <x:v>D</x:v>
      </x:c>
      <x:c r="H134" s="22" t="str">
        <x:v>V2</x:v>
      </x:c>
      <x:c r="I134" s="22" t="str">
        <x:v>E5</x:v>
      </x:c>
      <x:c r="J134" s="21" t="str">
        <x:v>RECONSTRUCTED_FROM_REPORT; Fear of Temperature_ Stratified Lexical Expansion, Voice Mapping, and Semantic-Relational Pre-Valida.pdf; p.11; project candidate FT-SEED-R1B-P-2015-13; original visible ID not available</x:v>
      </x:c>
      <x:c r="K134" s="21" t="str">
        <x:v>TECHNICAL_GLOSSARY</x:v>
      </x:c>
      <x:c r="L134" s="21" t="str">
        <x:v>IPCC climate-science glossary / assessment terminology</x:v>
      </x:c>
      <x:c r="M134" s="21" t="str">
        <x:v>Component headword checked: groups.</x:v>
      </x:c>
      <x:c r="N134" s="21" t="str">
        <x:v>Anchor-period research source/context; Webster 1913 stable component URL recorded but automated page retrieval was unavailable</x:v>
      </x:c>
      <x:c r="O134" s="21" t="str">
        <x:v>Susceptibility of an identified subject or group to harm; the candidate is interpreted in its documented anchor and voice context.</x:v>
      </x:c>
      <x:c r="P134" s="21" t="str">
        <x:v>A threat, risk, harm, severity, or consequence sense in the documented source; it is not automatically an emotion.</x:v>
      </x:c>
      <x:c r="Q134" s="22" t="str">
        <x:v>NOT_AVAILABLE_IN_ACCESSED_SOURCES</x:v>
      </x:c>
      <x:c r="R134" s="21" t="str">
        <x:v>STRONG</x:v>
      </x:c>
      <x:c r="S134" s="21" t="str">
        <x:v>The surface form may realize multiple senses; candidate meaning remains anchored to the report-visible source context.</x:v>
      </x:c>
      <x:c r="T134" s="21" t="str">
        <x:v>https://www.ipcc.ch/site/assets/uploads/2018/02/WGIIAR5-AnnexII_FINAL.pdf; https://api.dictionaryapi.dev/api/v2/entries/en/vulnerable%20groups; https://websters1913.timcieplowski.com/word/groups/</x:v>
      </x:c>
      <x:c r="U134" s="49" t="str">
        <x:v>2026-08-26</x:v>
      </x:c>
    </x:row>
    <x:row r="135" ht="19" customHeight="1">
      <x:c r="A135" s="20" t="str">
        <x:v>FT-SEED-R1B-P-2015-14</x:v>
      </x:c>
      <x:c r="B135" s="22" t="str">
        <x:v>2015</x:v>
      </x:c>
      <x:c r="C135" s="22" t="str">
        <x:v>14</x:v>
      </x:c>
      <x:c r="D135" s="21" t="str">
        <x:v>loss and damage</x:v>
      </x:c>
      <x:c r="E135" s="21" t="str">
        <x:v>loss and damage</x:v>
      </x:c>
      <x:c r="F135" s="22" t="str">
        <x:v>harm_loss_consequences</x:v>
      </x:c>
      <x:c r="G135" s="22" t="str">
        <x:v>D</x:v>
      </x:c>
      <x:c r="H135" s="22" t="str">
        <x:v>V2</x:v>
      </x:c>
      <x:c r="I135" s="22" t="str">
        <x:v>E5</x:v>
      </x:c>
      <x:c r="J135" s="21" t="str">
        <x:v>RECONSTRUCTED_FROM_REPORT; Fear of Temperature_ Stratified Lexical Expansion, Voice Mapping, and Semantic-Relational Pre-Valida.pdf; p.11; project candidate FT-SEED-R1B-P-2015-14; original visible ID not available</x:v>
      </x:c>
      <x:c r="K135" s="21" t="str">
        <x:v>TECHNICAL_GLOSSARY</x:v>
      </x:c>
      <x:c r="L135" s="21" t="str">
        <x:v>IPCC climate-science glossary / assessment terminology</x:v>
      </x:c>
      <x:c r="M135" s="21" t="str">
        <x:v>Component headword checked: damage.</x:v>
      </x:c>
      <x:c r="N135" s="21" t="str">
        <x:v>Anchor-period research source/context; Webster 1913 stable component URL recorded but automated page retrieval was unavailable</x:v>
      </x:c>
      <x:c r="O135" s="21" t="str">
        <x:v>Adverse climate-related impacts that remain after, or cannot be avoided through, mitigation and adaptation; both economic and non-economic losses may be involved.</x:v>
      </x:c>
      <x:c r="P135" s="21" t="str">
        <x:v>Institutional climate-policy terminology for harms and losses associated with climate impacts, with economic and non-economic subtypes.</x:v>
      </x:c>
      <x:c r="Q135" s="22" t="str">
        <x:v>NOT_AVAILABLE_IN_ACCESSED_SOURCES</x:v>
      </x:c>
      <x:c r="R135" s="21" t="str">
        <x:v>STRONG</x:v>
      </x:c>
      <x:c r="S135" s="21" t="str">
        <x:v>Generic damage/loss and the UNFCCC policy term 'loss and damage' are not interchangeable.</x:v>
      </x:c>
      <x:c r="T135" s="21" t="str">
        <x:v>https://www.ipcc.ch/site/assets/uploads/2018/02/WGIIAR5-AnnexII_FINAL.pdf; https://api.dictionaryapi.dev/api/v2/entries/en/loss%20and%20damage; https://websters1913.timcieplowski.com/word/damage/</x:v>
      </x:c>
      <x:c r="U135" s="49" t="str">
        <x:v>2026-08-26</x:v>
      </x:c>
    </x:row>
    <x:row r="136" ht="19" customHeight="1">
      <x:c r="A136" s="20" t="str">
        <x:v>FT-SEED-R1B-P-2015-15</x:v>
      </x:c>
      <x:c r="B136" s="22" t="str">
        <x:v>2015</x:v>
      </x:c>
      <x:c r="C136" s="22" t="str">
        <x:v>15</x:v>
      </x:c>
      <x:c r="D136" s="21" t="str">
        <x:v>extreme weather events</x:v>
      </x:c>
      <x:c r="E136" s="21" t="str">
        <x:v>generic damage</x:v>
      </x:c>
      <x:c r="F136" s="22" t="str">
        <x:v>harm_loss_consequences</x:v>
      </x:c>
      <x:c r="G136" s="22" t="str">
        <x:v>D</x:v>
      </x:c>
      <x:c r="H136" s="22" t="str">
        <x:v>V2</x:v>
      </x:c>
      <x:c r="I136" s="22" t="str">
        <x:v>E5</x:v>
      </x:c>
      <x:c r="J136" s="21" t="str">
        <x:v>RECONSTRUCTED_FROM_REPORT; Fear of Temperature_ Stratified Lexical Expansion, Voice Mapping, and Semantic-Relational Pre-Valida.pdf; p.11; project candidate FT-SEED-R1B-P-2015-15; original visible ID not available</x:v>
      </x:c>
      <x:c r="K136" s="21" t="str">
        <x:v>TECHNICAL_GLOSSARY</x:v>
      </x:c>
      <x:c r="L136" s="21" t="str">
        <x:v>IPCC climate-science glossary / assessment terminology</x:v>
      </x:c>
      <x:c r="M136" s="21" t="str">
        <x:v>Component headword checked: events.</x:v>
      </x:c>
      <x:c r="N136" s="21" t="str">
        <x:v>Anchor-period research source/context; Webster 1913 stable component URL recorded but automated page retrieval was unavailable</x:v>
      </x:c>
      <x:c r="O136" s="21" t="str">
        <x:v>Generic material, ecological, or social damage; the candidate is interpreted in its documented anchor and voice context.</x:v>
      </x:c>
      <x:c r="P136" s="21" t="str">
        <x:v>A threat, risk, harm, severity, or consequence sense in the documented source; it is not automatically an emotion.</x:v>
      </x:c>
      <x:c r="Q136" s="22" t="str">
        <x:v>NOT_AVAILABLE_IN_ACCESSED_SOURCES</x:v>
      </x:c>
      <x:c r="R136" s="21" t="str">
        <x:v>STRONG</x:v>
      </x:c>
      <x:c r="S136" s="21" t="str">
        <x:v>The surface form may realize multiple senses; candidate meaning remains anchored to the report-visible source context.</x:v>
      </x:c>
      <x:c r="T136" s="21" t="str">
        <x:v>https://www.ipcc.ch/site/assets/uploads/2018/02/WGIIAR5-AnnexII_FINAL.pdf; https://api.dictionaryapi.dev/api/v2/entries/en/extreme%20weather%20events; https://websters1913.timcieplowski.com/word/events/</x:v>
      </x:c>
      <x:c r="U136" s="49" t="str">
        <x:v>2026-08-26</x:v>
      </x:c>
    </x:row>
    <x:row r="137" ht="19" customHeight="1">
      <x:c r="A137" s="20" t="str">
        <x:v>FT-SEED-R1B-P-2015-16</x:v>
      </x:c>
      <x:c r="B137" s="22" t="str">
        <x:v>2015</x:v>
      </x:c>
      <x:c r="C137" s="22" t="str">
        <x:v>16</x:v>
      </x:c>
      <x:c r="D137" s="21" t="str">
        <x:v>slow onset events</x:v>
      </x:c>
      <x:c r="E137" s="21" t="str">
        <x:v>generic damage</x:v>
      </x:c>
      <x:c r="F137" s="22" t="str">
        <x:v>harm_loss_consequences</x:v>
      </x:c>
      <x:c r="G137" s="22" t="str">
        <x:v>D</x:v>
      </x:c>
      <x:c r="H137" s="22" t="str">
        <x:v>V2</x:v>
      </x:c>
      <x:c r="I137" s="22" t="str">
        <x:v>E5</x:v>
      </x:c>
      <x:c r="J137" s="21" t="str">
        <x:v>RECONSTRUCTED_FROM_REPORT; Fear of Temperature_ Stratified Lexical Expansion, Voice Mapping, and Semantic-Relational Pre-Valida.pdf; p.11; project candidate FT-SEED-R1B-P-2015-16; original visible ID not available</x:v>
      </x:c>
      <x:c r="K137" s="21" t="str">
        <x:v>TECHNICAL_GLOSSARY</x:v>
      </x:c>
      <x:c r="L137" s="21" t="str">
        <x:v>IPCC climate-science glossary / assessment terminology</x:v>
      </x:c>
      <x:c r="M137" s="21" t="str">
        <x:v>Component headword checked: events.</x:v>
      </x:c>
      <x:c r="N137" s="21" t="str">
        <x:v>Anchor-period research source/context; Webster 1913 stable component URL recorded but automated page retrieval was unavailable</x:v>
      </x:c>
      <x:c r="O137" s="21" t="str">
        <x:v>Generic material, ecological, or social damage; the candidate is interpreted in its documented anchor and voice context.</x:v>
      </x:c>
      <x:c r="P137" s="21" t="str">
        <x:v>A threat, risk, harm, severity, or consequence sense in the documented source; it is not automatically an emotion.</x:v>
      </x:c>
      <x:c r="Q137" s="22" t="str">
        <x:v>NOT_AVAILABLE_IN_ACCESSED_SOURCES</x:v>
      </x:c>
      <x:c r="R137" s="21" t="str">
        <x:v>STRONG</x:v>
      </x:c>
      <x:c r="S137" s="21" t="str">
        <x:v>The surface form may realize multiple senses; candidate meaning remains anchored to the report-visible source context.</x:v>
      </x:c>
      <x:c r="T137" s="21" t="str">
        <x:v>https://www.ipcc.ch/site/assets/uploads/2018/02/WGIIAR5-AnnexII_FINAL.pdf; https://api.dictionaryapi.dev/api/v2/entries/en/slow%20onset%20events; https://websters1913.timcieplowski.com/word/events/</x:v>
      </x:c>
      <x:c r="U137" s="49" t="str">
        <x:v>2026-08-26</x:v>
      </x:c>
    </x:row>
    <x:row r="138" ht="19" customHeight="1">
      <x:c r="A138" s="20" t="str">
        <x:v>FT-SEED-R1B-P-2015-17</x:v>
      </x:c>
      <x:c r="B138" s="22" t="str">
        <x:v>2015</x:v>
      </x:c>
      <x:c r="C138" s="22" t="str">
        <x:v>17</x:v>
      </x:c>
      <x:c r="D138" s="21" t="str">
        <x:v>risk of loss and damage</x:v>
      </x:c>
      <x:c r="E138" s="21" t="str">
        <x:v>administrative risk assessment</x:v>
      </x:c>
      <x:c r="F138" s="22" t="str">
        <x:v>risk</x:v>
      </x:c>
      <x:c r="G138" s="22" t="str">
        <x:v>D</x:v>
      </x:c>
      <x:c r="H138" s="22" t="str">
        <x:v>V2</x:v>
      </x:c>
      <x:c r="I138" s="22" t="str">
        <x:v>E5</x:v>
      </x:c>
      <x:c r="J138" s="21" t="str">
        <x:v>RECONSTRUCTED_FROM_REPORT; Fear of Temperature_ Stratified Lexical Expansion, Voice Mapping, and Semantic-Relational Pre-Valida.pdf; p.11; project candidate FT-SEED-R1B-P-2015-17; original visible ID not available</x:v>
      </x:c>
      <x:c r="K138" s="21" t="str">
        <x:v>TECHNICAL_GLOSSARY</x:v>
      </x:c>
      <x:c r="L138" s="21" t="str">
        <x:v>IPCC climate-science glossary / assessment terminology</x:v>
      </x:c>
      <x:c r="M138" s="21" t="str">
        <x:v>Component headword checked: damage.</x:v>
      </x:c>
      <x:c r="N138" s="21" t="str">
        <x:v>Anchor-period research source/context; Webster 1913 stable component URL recorded but automated page retrieval was unavailable</x:v>
      </x:c>
      <x:c r="O138" s="21" t="str">
        <x:v>Risk managed or assessed through institutional procedure; the candidate is interpreted in its documented anchor and voice context.</x:v>
      </x:c>
      <x:c r="P138" s="21" t="str">
        <x:v>Institutional climate-policy terminology for harms and losses associated with climate impacts, with economic and non-economic subtypes.</x:v>
      </x:c>
      <x:c r="Q138" s="22" t="str">
        <x:v>NOT_AVAILABLE_IN_ACCESSED_SOURCES</x:v>
      </x:c>
      <x:c r="R138" s="21" t="str">
        <x:v>STRONG</x:v>
      </x:c>
      <x:c r="S138" s="21" t="str">
        <x:v>Generic damage/loss and the UNFCCC policy term 'loss and damage' are not interchangeable.</x:v>
      </x:c>
      <x:c r="T138" s="21" t="str">
        <x:v>https://www.ipcc.ch/site/assets/uploads/2018/02/WGIIAR5-AnnexII_FINAL.pdf; https://api.dictionaryapi.dev/api/v2/entries/en/risk%20of%20loss%20and%20damage; https://websters1913.timcieplowski.com/word/damage/</x:v>
      </x:c>
      <x:c r="U138" s="49" t="str">
        <x:v>2026-08-26</x:v>
      </x:c>
    </x:row>
    <x:row r="139" ht="19" customHeight="1">
      <x:c r="A139" s="20" t="str">
        <x:v>FT-SEED-R1B-P-2015-18</x:v>
      </x:c>
      <x:c r="B139" s="22" t="str">
        <x:v>2015</x:v>
      </x:c>
      <x:c r="C139" s="22" t="str">
        <x:v>18</x:v>
      </x:c>
      <x:c r="D139" s="21" t="str">
        <x:v>early warning systems</x:v>
      </x:c>
      <x:c r="E139" s="21" t="str">
        <x:v>generic damage</x:v>
      </x:c>
      <x:c r="F139" s="22" t="str">
        <x:v>harm_loss_consequences</x:v>
      </x:c>
      <x:c r="G139" s="22" t="str">
        <x:v>D</x:v>
      </x:c>
      <x:c r="H139" s="22" t="str">
        <x:v>V2</x:v>
      </x:c>
      <x:c r="I139" s="22" t="str">
        <x:v>E5</x:v>
      </x:c>
      <x:c r="J139" s="21" t="str">
        <x:v>RECONSTRUCTED_FROM_REPORT; Fear of Temperature_ Stratified Lexical Expansion, Voice Mapping, and Semantic-Relational Pre-Valida.pdf; p.11; project candidate FT-SEED-R1B-P-2015-18; original visible ID not available</x:v>
      </x:c>
      <x:c r="K139" s="21" t="str">
        <x:v>TECHNICAL_GLOSSARY</x:v>
      </x:c>
      <x:c r="L139" s="21" t="str">
        <x:v>IPCC climate-science glossary / assessment terminology</x:v>
      </x:c>
      <x:c r="M139" s="21" t="str">
        <x:v>Component headword checked: systems.</x:v>
      </x:c>
      <x:c r="N139" s="21" t="str">
        <x:v>Anchor-period research source/context; Webster 1913 stable component URL recorded but automated page retrieval was unavailable</x:v>
      </x:c>
      <x:c r="O139" s="21" t="str">
        <x:v>Generic material, ecological, or social damage; the candidate is interpreted in its documented anchor and voice context.</x:v>
      </x:c>
      <x:c r="P139" s="21" t="str">
        <x:v>A threat, risk, harm, severity, or consequence sense in the documented source; it is not automatically an emotion.</x:v>
      </x:c>
      <x:c r="Q139" s="22" t="str">
        <x:v>NOT_AVAILABLE_IN_ACCESSED_SOURCES</x:v>
      </x:c>
      <x:c r="R139" s="21" t="str">
        <x:v>STRONG</x:v>
      </x:c>
      <x:c r="S139" s="21" t="str">
        <x:v>The surface form may realize multiple senses; candidate meaning remains anchored to the report-visible source context.</x:v>
      </x:c>
      <x:c r="T139" s="21" t="str">
        <x:v>https://www.ipcc.ch/site/assets/uploads/2018/02/WGIIAR5-AnnexII_FINAL.pdf; https://api.dictionaryapi.dev/api/v2/entries/en/early%20warning%20systems; https://websters1913.timcieplowski.com/word/systems/</x:v>
      </x:c>
      <x:c r="U139" s="49" t="str">
        <x:v>2026-08-26</x:v>
      </x:c>
    </x:row>
    <x:row r="140" ht="19" customHeight="1">
      <x:c r="A140" s="20" t="str">
        <x:v>FT-SEED-R1B-P-2015-19</x:v>
      </x:c>
      <x:c r="B140" s="22" t="str">
        <x:v>2015</x:v>
      </x:c>
      <x:c r="C140" s="22" t="str">
        <x:v>19</x:v>
      </x:c>
      <x:c r="D140" s="21" t="str">
        <x:v>emergency preparedness</x:v>
      </x:c>
      <x:c r="E140" s="21" t="str">
        <x:v>emergency response category</x:v>
      </x:c>
      <x:c r="F140" s="22" t="str">
        <x:v>crisis_emergency</x:v>
      </x:c>
      <x:c r="G140" s="22" t="str">
        <x:v>D</x:v>
      </x:c>
      <x:c r="H140" s="22" t="str">
        <x:v>V2</x:v>
      </x:c>
      <x:c r="I140" s="22" t="str">
        <x:v>E5</x:v>
      </x:c>
      <x:c r="J140" s="21" t="str">
        <x:v>RECONSTRUCTED_FROM_REPORT; Fear of Temperature_ Stratified Lexical Expansion, Voice Mapping, and Semantic-Relational Pre-Valida.pdf; p.11; project candidate FT-SEED-R1B-P-2015-19; original visible ID not available</x:v>
      </x:c>
      <x:c r="K140" s="21" t="str">
        <x:v>NO_STANDALONE_HEADWORD</x:v>
      </x:c>
      <x:c r="L140" s="21" t="str">
        <x:v>Component lexical analysis plus anchor-source contextual meaning</x:v>
      </x:c>
      <x:c r="M140" s="21" t="str">
        <x:v>Component headword checked: preparedness.</x:v>
      </x:c>
      <x:c r="N140" s="21" t="str">
        <x:v>Anchor-period research source/context; Webster 1913 stable component URL recorded but automated page retrieval was unavailable</x:v>
      </x:c>
      <x:c r="O140" s="21" t="str">
        <x:v>Emergency preparedness or response as a governance procedure; the candidate is interpreted in its documented anchor and voice context.</x:v>
      </x:c>
      <x:c r="P140" s="21" t="str">
        <x:v>A threat, risk, harm, severity, or consequence sense in the documented source; it is not automatically an emotion.</x:v>
      </x:c>
      <x:c r="Q140" s="22" t="str">
        <x:v>NOT_AVAILABLE_IN_ACCESSED_SOURCES</x:v>
      </x:c>
      <x:c r="R140" s="21" t="str">
        <x:v>STRONG</x:v>
      </x:c>
      <x:c r="S140" s="21" t="str">
        <x:v>The surface form may realize multiple senses; candidate meaning remains anchored to the report-visible source context.</x:v>
      </x:c>
      <x:c r="T140" s="21" t="str">
        <x:v>Fear of Temperature_ Stratified Lexical Expansion, Voice Mapping, and Semantic-Relational Pre-Valida.pdf#page=11; https://api.dictionaryapi.dev/api/v2/entries/en/emergency%20preparedness; https://websters1913.timcieplowski.com/word/preparedness/</x:v>
      </x:c>
      <x:c r="U140" s="49" t="str">
        <x:v>2026-08-26</x:v>
      </x:c>
    </x:row>
    <x:row r="141" ht="19" customHeight="1">
      <x:c r="A141" s="20" t="str">
        <x:v>FT-SEED-R1B-P-2015-20</x:v>
      </x:c>
      <x:c r="B141" s="22" t="str">
        <x:v>2015</x:v>
      </x:c>
      <x:c r="C141" s="22" t="str">
        <x:v>20</x:v>
      </x:c>
      <x:c r="D141" s="21" t="str">
        <x:v>irreversible and permanent loss and damage</x:v>
      </x:c>
      <x:c r="E141" s="21" t="str">
        <x:v>loss and damage</x:v>
      </x:c>
      <x:c r="F141" s="22" t="str">
        <x:v>harm_loss_consequences</x:v>
      </x:c>
      <x:c r="G141" s="22" t="str">
        <x:v>D</x:v>
      </x:c>
      <x:c r="H141" s="22" t="str">
        <x:v>V2</x:v>
      </x:c>
      <x:c r="I141" s="22" t="str">
        <x:v>E5</x:v>
      </x:c>
      <x:c r="J141" s="21" t="str">
        <x:v>RECONSTRUCTED_FROM_REPORT; Fear of Temperature_ Stratified Lexical Expansion, Voice Mapping, and Semantic-Relational Pre-Valida.pdf; p.11; project candidate FT-SEED-R1B-P-2015-20; original visible ID not available</x:v>
      </x:c>
      <x:c r="K141" s="21" t="str">
        <x:v>NO_STANDALONE_HEADWORD</x:v>
      </x:c>
      <x:c r="L141" s="21" t="str">
        <x:v>Component lexical analysis plus anchor-source contextual meaning</x:v>
      </x:c>
      <x:c r="M141" s="21" t="str">
        <x:v>Component headword checked: damage.</x:v>
      </x:c>
      <x:c r="N141" s="21" t="str">
        <x:v>Anchor-period research source/context; Webster 1913 stable component URL recorded but automated page retrieval was unavailable</x:v>
      </x:c>
      <x:c r="O141" s="21" t="str">
        <x:v>The climate-governance domain of loss and damage; the candidate is interpreted in its documented anchor and voice context.</x:v>
      </x:c>
      <x:c r="P141" s="21" t="str">
        <x:v>Institutional climate-policy terminology for harms and losses associated with climate impacts, with economic and non-economic subtypes.</x:v>
      </x:c>
      <x:c r="Q141" s="22" t="str">
        <x:v>NOT_AVAILABLE_IN_ACCESSED_SOURCES</x:v>
      </x:c>
      <x:c r="R141" s="21" t="str">
        <x:v>STRONG</x:v>
      </x:c>
      <x:c r="S141" s="21" t="str">
        <x:v>Generic damage/loss and the UNFCCC policy term 'loss and damage' are not interchangeable.</x:v>
      </x:c>
      <x:c r="T141" s="21" t="str">
        <x:v>Fear of Temperature_ Stratified Lexical Expansion, Voice Mapping, and Semantic-Relational Pre-Valida.pdf#page=11; https://api.dictionaryapi.dev/api/v2/entries/en/irreversible%20and%20permanent%20loss%20and%20damage; https://websters1913.timcieplowski.com/word/damage/</x:v>
      </x:c>
      <x:c r="U141" s="49" t="str">
        <x:v>2026-08-26</x:v>
      </x:c>
    </x:row>
    <x:row r="142" ht="19" customHeight="1">
      <x:c r="A142" s="20" t="str">
        <x:v>FT-SEED-R1B-P-2015-21</x:v>
      </x:c>
      <x:c r="B142" s="22" t="str">
        <x:v>2015</x:v>
      </x:c>
      <x:c r="C142" s="22" t="str">
        <x:v>21</x:v>
      </x:c>
      <x:c r="D142" s="21" t="str">
        <x:v>comprehensive risk assessment and management</x:v>
      </x:c>
      <x:c r="E142" s="21" t="str">
        <x:v>administrative risk assessment</x:v>
      </x:c>
      <x:c r="F142" s="22" t="str">
        <x:v>risk</x:v>
      </x:c>
      <x:c r="G142" s="22" t="str">
        <x:v>D</x:v>
      </x:c>
      <x:c r="H142" s="22" t="str">
        <x:v>V2</x:v>
      </x:c>
      <x:c r="I142" s="22" t="str">
        <x:v>E5</x:v>
      </x:c>
      <x:c r="J142" s="21" t="str">
        <x:v>RECONSTRUCTED_FROM_REPORT; Fear of Temperature_ Stratified Lexical Expansion, Voice Mapping, and Semantic-Relational Pre-Valida.pdf; p.11; project candidate FT-SEED-R1B-P-2015-21; original visible ID not available</x:v>
      </x:c>
      <x:c r="K142" s="21" t="str">
        <x:v>NO_STANDALONE_HEADWORD</x:v>
      </x:c>
      <x:c r="L142" s="21" t="str">
        <x:v>Component lexical analysis plus anchor-source contextual meaning</x:v>
      </x:c>
      <x:c r="M142" s="21" t="str">
        <x:v>Component headword checked: management.</x:v>
      </x:c>
      <x:c r="N142" s="21" t="str">
        <x:v>Anchor-period research source/context; Webster 1913 stable component URL recorded but automated page retrieval was unavailable</x:v>
      </x:c>
      <x:c r="O142" s="21" t="str">
        <x:v>Risk managed or assessed through institutional procedure; the candidate is interpreted in its documented anchor and voice context.</x:v>
      </x:c>
      <x:c r="P142" s="21" t="str">
        <x:v>A threat, risk, harm, severity, or consequence sense in the documented source; it is not automatically an emotion.</x:v>
      </x:c>
      <x:c r="Q142" s="22" t="str">
        <x:v>NOT_AVAILABLE_IN_ACCESSED_SOURCES</x:v>
      </x:c>
      <x:c r="R142" s="21" t="str">
        <x:v>STRONG</x:v>
      </x:c>
      <x:c r="S142" s="21" t="str">
        <x:v>The surface form may realize multiple senses; candidate meaning remains anchored to the report-visible source context.</x:v>
      </x:c>
      <x:c r="T142" s="21" t="str">
        <x:v>Fear of Temperature_ Stratified Lexical Expansion, Voice Mapping, and Semantic-Relational Pre-Valida.pdf#page=11; https://api.dictionaryapi.dev/api/v2/entries/en/comprehensive%20risk%20assessment%20and%20management; https://websters1913.timcieplowski.com/word/management/</x:v>
      </x:c>
      <x:c r="U142" s="49" t="str">
        <x:v>2026-08-26</x:v>
      </x:c>
    </x:row>
    <x:row r="143" ht="19" customHeight="1">
      <x:c r="A143" s="20" t="str">
        <x:v>FT-SEED-R1B-P-2015-22</x:v>
      </x:c>
      <x:c r="B143" s="22" t="str">
        <x:v>2015</x:v>
      </x:c>
      <x:c r="C143" s="22" t="str">
        <x:v>22</x:v>
      </x:c>
      <x:c r="D143" s="21" t="str">
        <x:v>non-economic losses</x:v>
      </x:c>
      <x:c r="E143" s="21" t="str">
        <x:v>non-economic losses</x:v>
      </x:c>
      <x:c r="F143" s="22" t="str">
        <x:v>harm_loss_consequences</x:v>
      </x:c>
      <x:c r="G143" s="22" t="str">
        <x:v>D</x:v>
      </x:c>
      <x:c r="H143" s="22" t="str">
        <x:v>V2</x:v>
      </x:c>
      <x:c r="I143" s="22" t="str">
        <x:v>E5</x:v>
      </x:c>
      <x:c r="J143" s="21" t="str">
        <x:v>RECONSTRUCTED_FROM_REPORT; Fear of Temperature_ Stratified Lexical Expansion, Voice Mapping, and Semantic-Relational Pre-Valida.pdf; p.11; project candidate FT-SEED-R1B-P-2015-22; original visible ID not available</x:v>
      </x:c>
      <x:c r="K143" s="21" t="str">
        <x:v>TECHNICAL_GLOSSARY</x:v>
      </x:c>
      <x:c r="L143" s="21" t="str">
        <x:v>IPCC climate-science glossary / assessment terminology</x:v>
      </x:c>
      <x:c r="M143" s="21" t="str">
        <x:v>Component headword checked: losses.</x:v>
      </x:c>
      <x:c r="N143" s="21" t="str">
        <x:v>Anchor-period research source/context; Webster 1913 stable component URL recorded but automated page retrieval was unavailable</x:v>
      </x:c>
      <x:c r="O143" s="21" t="str">
        <x:v>Climate-related losses not readily expressed in monetary terms, including cultural, health, identity, ecosystem, and heritage harms.</x:v>
      </x:c>
      <x:c r="P143" s="21" t="str">
        <x:v>Institutional climate-policy terminology for harms and losses associated with climate impacts, with economic and non-economic subtypes.</x:v>
      </x:c>
      <x:c r="Q143" s="22" t="str">
        <x:v>NOT_AVAILABLE_IN_ACCESSED_SOURCES</x:v>
      </x:c>
      <x:c r="R143" s="21" t="str">
        <x:v>STRONG</x:v>
      </x:c>
      <x:c r="S143" s="21" t="str">
        <x:v>Generic damage/loss and the UNFCCC policy term 'loss and damage' are not interchangeable.</x:v>
      </x:c>
      <x:c r="T143" s="21" t="str">
        <x:v>https://www.ipcc.ch/site/assets/uploads/2018/02/WGIIAR5-AnnexII_FINAL.pdf; https://api.dictionaryapi.dev/api/v2/entries/en/non-economic%20losses; https://websters1913.timcieplowski.com/word/losses/</x:v>
      </x:c>
      <x:c r="U143" s="49" t="str">
        <x:v>2026-08-26</x:v>
      </x:c>
    </x:row>
    <x:row r="144" ht="19" customHeight="1">
      <x:c r="A144" s="20" t="str">
        <x:v>FT-SEED-R1B-P-2015-23</x:v>
      </x:c>
      <x:c r="B144" s="22" t="str">
        <x:v>2015</x:v>
      </x:c>
      <x:c r="C144" s="22" t="str">
        <x:v>23</x:v>
      </x:c>
      <x:c r="D144" s="21" t="str">
        <x:v>common concern of humankind</x:v>
      </x:c>
      <x:c r="E144" s="21" t="str">
        <x:v>common concern of humankind</x:v>
      </x:c>
      <x:c r="F144" s="22" t="str">
        <x:v>concern_alarm</x:v>
      </x:c>
      <x:c r="G144" s="22" t="str">
        <x:v>C</x:v>
      </x:c>
      <x:c r="H144" s="22" t="str">
        <x:v>V2</x:v>
      </x:c>
      <x:c r="I144" s="22" t="str">
        <x:v>E1</x:v>
      </x:c>
      <x:c r="J144" s="21" t="str">
        <x:v>RECONSTRUCTED_FROM_REPORT; Fear of Temperature_ Stratified Lexical Expansion, Voice Mapping, and Semantic-Relational Pre-Valida.pdf; p.11; project candidate FT-SEED-R1B-P-2015-23; original visible ID not available</x:v>
      </x:c>
      <x:c r="K144" s="21" t="str">
        <x:v>TECHNICAL_GLOSSARY</x:v>
      </x:c>
      <x:c r="L144" s="21" t="str">
        <x:v>UNFCCC Paris Agreement legal text</x:v>
      </x:c>
      <x:c r="M144" s="21" t="str">
        <x:v>Component headword checked: humankind.</x:v>
      </x:c>
      <x:c r="N144" s="21" t="str">
        <x:v>Anchor-period research source/context; Webster 1913 stable component URL recorded but automated page retrieval was unavailable</x:v>
      </x:c>
      <x:c r="O144" s="21" t="str">
        <x:v>A legal-institutional formula identifying climate change as a matter of shared international concern, not an assertion of personal emotion.</x:v>
      </x:c>
      <x:c r="P144" s="21" t="str">
        <x:v>A legal formula assigning shared international importance to climate change, not a report of an individual's emotional concern.</x:v>
      </x:c>
      <x:c r="Q144" s="22" t="str">
        <x:v>NOT_AVAILABLE_IN_ACCESSED_SOURCES</x:v>
      </x:c>
      <x:c r="R144" s="21" t="str">
        <x:v>DIFFERENT</x:v>
      </x:c>
      <x:c r="S144" s="21" t="str">
        <x:v>Legal/institutional concern differs from personal concern and from concern as a commercial enterprise.</x:v>
      </x:c>
      <x:c r="T144" s="21" t="str">
        <x:v>https://unfccc.int/sites/default/files/english_paris_agreement.pdf; https://api.dictionaryapi.dev/api/v2/entries/en/common%20concern%20of%20humankind; https://websters1913.timcieplowski.com/word/humankind/</x:v>
      </x:c>
      <x:c r="U144" s="49" t="str">
        <x:v>2026-08-26</x:v>
      </x:c>
    </x:row>
    <x:row r="145" ht="19" customHeight="1">
      <x:c r="A145" s="20" t="str">
        <x:v>FT-SEED-R1B-P-2015-24</x:v>
      </x:c>
      <x:c r="B145" s="22" t="str">
        <x:v>2015</x:v>
      </x:c>
      <x:c r="C145" s="22" t="str">
        <x:v>24</x:v>
      </x:c>
      <x:c r="D145" s="21" t="str">
        <x:v>climate justice</x:v>
      </x:c>
      <x:c r="E145" s="21" t="str">
        <x:v>generic damage</x:v>
      </x:c>
      <x:c r="F145" s="22" t="str">
        <x:v>harm_loss_consequences</x:v>
      </x:c>
      <x:c r="G145" s="22" t="str">
        <x:v>D</x:v>
      </x:c>
      <x:c r="H145" s="22" t="str">
        <x:v>V2</x:v>
      </x:c>
      <x:c r="I145" s="22" t="str">
        <x:v>E5</x:v>
      </x:c>
      <x:c r="J145" s="21" t="str">
        <x:v>RECONSTRUCTED_FROM_REPORT; Fear of Temperature_ Stratified Lexical Expansion, Voice Mapping, and Semantic-Relational Pre-Valida.pdf; p.11; project candidate FT-SEED-R1B-P-2015-24; original visible ID not available</x:v>
      </x:c>
      <x:c r="K145" s="21" t="str">
        <x:v>TECHNICAL_GLOSSARY</x:v>
      </x:c>
      <x:c r="L145" s="21" t="str">
        <x:v>IPCC AR6 glossary and assessment usage</x:v>
      </x:c>
      <x:c r="M145" s="21" t="str">
        <x:v>Component headword checked: justice.</x:v>
      </x:c>
      <x:c r="N145" s="21" t="str">
        <x:v>Anchor-period research source/context; Webster 1913 stable component URL recorded but automated page retrieval was unavailable</x:v>
      </x:c>
      <x:c r="O145" s="21" t="str">
        <x:v>An evaluative framework concerned with fair distribution of climate harms, responsibilities, participation, and remedies.</x:v>
      </x:c>
      <x:c r="P145" s="21" t="str">
        <x:v>A threat, risk, harm, severity, or consequence sense in the documented source; it is not automatically an emotion.</x:v>
      </x:c>
      <x:c r="Q145" s="22" t="str">
        <x:v>NOT_AVAILABLE_IN_ACCESSED_SOURCES</x:v>
      </x:c>
      <x:c r="R145" s="21" t="str">
        <x:v>STRONG</x:v>
      </x:c>
      <x:c r="S145" s="21" t="str">
        <x:v>The surface form may realize multiple senses; candidate meaning remains anchored to the report-visible source context.</x:v>
      </x:c>
      <x:c r="T145" s="21" t="str">
        <x:v>https://www.ipcc.ch/report/ar6/syr/downloads/report/IPCC_AR6_SYR_FullVolume.pdf; https://api.dictionaryapi.dev/api/v2/entries/en/climate%20justice; https://websters1913.timcieplowski.com/word/justice/</x:v>
      </x:c>
      <x:c r="U145" s="49" t="str">
        <x:v>2026-08-26</x:v>
      </x:c>
    </x:row>
    <x:row r="146" ht="19" customHeight="1">
      <x:c r="A146" s="20" t="str">
        <x:v>FT-SEED-R1B-P-2015-25</x:v>
      </x:c>
      <x:c r="B146" s="22" t="str">
        <x:v>2015</x:v>
      </x:c>
      <x:c r="C146" s="22" t="str">
        <x:v>25</x:v>
      </x:c>
      <x:c r="D146" s="21" t="str">
        <x:v>very worried</x:v>
      </x:c>
      <x:c r="E146" s="21" t="str">
        <x:v>participant worry endorsement</x:v>
      </x:c>
      <x:c r="F146" s="22" t="str">
        <x:v>worry</x:v>
      </x:c>
      <x:c r="G146" s="22" t="str">
        <x:v>C</x:v>
      </x:c>
      <x:c r="H146" s="22" t="str">
        <x:v>V5</x:v>
      </x:c>
      <x:c r="I146" s="22" t="str">
        <x:v>E5</x:v>
      </x:c>
      <x:c r="J146" s="21" t="str">
        <x:v>RECONSTRUCTED_FROM_REPORT; Fear of Temperature_ Stratified Lexical Expansion, Voice Mapping, and Semantic-Relational Pre-Valida.pdf; p.11; project candidate FT-SEED-R1B-P-2015-25; original visible ID not available</x:v>
      </x:c>
      <x:c r="K146" s="21" t="str">
        <x:v>NO_STANDALONE_HEADWORD</x:v>
      </x:c>
      <x:c r="L146" s="21" t="str">
        <x:v>Component lexical analysis plus anchor-source contextual meaning</x:v>
      </x:c>
      <x:c r="M146" s="21" t="str">
        <x:v>Component headword checked: worried.</x:v>
      </x:c>
      <x:c r="N146" s="21" t="str">
        <x:v>Anchor-period research source/context; Webster 1913 stable component URL recorded but automated page retrieval was unavailable</x:v>
      </x:c>
      <x:c r="O146" s="21" t="str">
        <x:v>A participant selection or endorsement of a supplied worry category; the candidate is interpreted in its documented anchor and voice context.</x:v>
      </x:c>
      <x:c r="P146" s="21" t="str">
        <x:v>Survey or instrument wording used to elicit and classify participant endorsement; the response may be participant evidence, but the lexical wording is supplied.</x:v>
      </x:c>
      <x:c r="Q146" s="22" t="str">
        <x:v>NOT_AVAILABLE_IN_ACCESSED_SOURCES</x:v>
      </x:c>
      <x:c r="R146" s="21" t="str">
        <x:v>STRONG</x:v>
      </x:c>
      <x:c r="S146" s="21" t="str">
        <x:v>Elicited endorsement, question wording, and spontaneous participant vocabulary are distinct provenance states.</x:v>
      </x:c>
      <x:c r="T146" s="21" t="str">
        <x:v>Fear of Temperature_ Stratified Lexical Expansion, Voice Mapping, and Semantic-Relational Pre-Valida.pdf#page=12; https://api.dictionaryapi.dev/api/v2/entries/en/very%20worried; https://websters1913.timcieplowski.com/word/worried/</x:v>
      </x:c>
      <x:c r="U146" s="49" t="str">
        <x:v>2026-08-26</x:v>
      </x:c>
    </x:row>
    <x:row r="147" ht="19" customHeight="1">
      <x:c r="A147" s="20" t="str">
        <x:v>FT-SEED-R1B-P-2015-26</x:v>
      </x:c>
      <x:c r="B147" s="22" t="str">
        <x:v>2015</x:v>
      </x:c>
      <x:c r="C147" s="22" t="str">
        <x:v>26</x:v>
      </x:c>
      <x:c r="D147" s="21" t="str">
        <x:v>somewhat worried</x:v>
      </x:c>
      <x:c r="E147" s="21" t="str">
        <x:v>participant worry endorsement</x:v>
      </x:c>
      <x:c r="F147" s="22" t="str">
        <x:v>worry</x:v>
      </x:c>
      <x:c r="G147" s="22" t="str">
        <x:v>C</x:v>
      </x:c>
      <x:c r="H147" s="22" t="str">
        <x:v>V5</x:v>
      </x:c>
      <x:c r="I147" s="22" t="str">
        <x:v>E5</x:v>
      </x:c>
      <x:c r="J147" s="21" t="str">
        <x:v>RECONSTRUCTED_FROM_REPORT; Fear of Temperature_ Stratified Lexical Expansion, Voice Mapping, and Semantic-Relational Pre-Valida.pdf; p.11; project candidate FT-SEED-R1B-P-2015-26; original visible ID not available</x:v>
      </x:c>
      <x:c r="K147" s="21" t="str">
        <x:v>NO_STANDALONE_HEADWORD</x:v>
      </x:c>
      <x:c r="L147" s="21" t="str">
        <x:v>Component lexical analysis plus anchor-source contextual meaning</x:v>
      </x:c>
      <x:c r="M147" s="21" t="str">
        <x:v>Component headword checked: worried.</x:v>
      </x:c>
      <x:c r="N147" s="21" t="str">
        <x:v>Anchor-period research source/context; Webster 1913 stable component URL recorded but automated page retrieval was unavailable</x:v>
      </x:c>
      <x:c r="O147" s="21" t="str">
        <x:v>A participant selection or endorsement of a supplied worry category; the candidate is interpreted in its documented anchor and voice context.</x:v>
      </x:c>
      <x:c r="P147" s="21" t="str">
        <x:v>Survey or instrument wording used to elicit and classify participant endorsement; the response may be participant evidence, but the lexical wording is supplied.</x:v>
      </x:c>
      <x:c r="Q147" s="22" t="str">
        <x:v>NOT_AVAILABLE_IN_ACCESSED_SOURCES</x:v>
      </x:c>
      <x:c r="R147" s="21" t="str">
        <x:v>STRONG</x:v>
      </x:c>
      <x:c r="S147" s="21" t="str">
        <x:v>Elicited endorsement, question wording, and spontaneous participant vocabulary are distinct provenance states.</x:v>
      </x:c>
      <x:c r="T147" s="21" t="str">
        <x:v>Fear of Temperature_ Stratified Lexical Expansion, Voice Mapping, and Semantic-Relational Pre-Valida.pdf#page=12; https://api.dictionaryapi.dev/api/v2/entries/en/somewhat%20worried; https://websters1913.timcieplowski.com/word/worried/</x:v>
      </x:c>
      <x:c r="U147" s="49" t="str">
        <x:v>2026-08-26</x:v>
      </x:c>
    </x:row>
    <x:row r="148" ht="19" customHeight="1">
      <x:c r="A148" s="20" t="str">
        <x:v>FT-SEED-R1B-P-2015-27</x:v>
      </x:c>
      <x:c r="B148" s="22" t="str">
        <x:v>2015</x:v>
      </x:c>
      <x:c r="C148" s="22" t="str">
        <x:v>27</x:v>
      </x:c>
      <x:c r="D148" s="21" t="str">
        <x:v>very serious problem</x:v>
      </x:c>
      <x:c r="E148" s="21" t="str">
        <x:v>generic damage</x:v>
      </x:c>
      <x:c r="F148" s="22" t="str">
        <x:v>harm_loss_consequences</x:v>
      </x:c>
      <x:c r="G148" s="22" t="str">
        <x:v>D</x:v>
      </x:c>
      <x:c r="H148" s="22" t="str">
        <x:v>V5</x:v>
      </x:c>
      <x:c r="I148" s="22" t="str">
        <x:v>E5</x:v>
      </x:c>
      <x:c r="J148" s="21" t="str">
        <x:v>RECONSTRUCTED_FROM_REPORT; Fear of Temperature_ Stratified Lexical Expansion, Voice Mapping, and Semantic-Relational Pre-Valida.pdf; p.11; project candidate FT-SEED-R1B-P-2015-27; original visible ID not available</x:v>
      </x:c>
      <x:c r="K148" s="21" t="str">
        <x:v>NO_STANDALONE_HEADWORD</x:v>
      </x:c>
      <x:c r="L148" s="21" t="str">
        <x:v>Component lexical analysis plus anchor-source contextual meaning</x:v>
      </x:c>
      <x:c r="M148" s="21" t="str">
        <x:v>Component headword checked: problem.</x:v>
      </x:c>
      <x:c r="N148" s="21" t="str">
        <x:v>Anchor-period research source/context; Webster 1913 stable component URL recorded but automated page retrieval was unavailable</x:v>
      </x:c>
      <x:c r="O148" s="21" t="str">
        <x:v>Generic material, ecological, or social damage; the candidate is interpreted in its documented anchor and voice context.</x:v>
      </x:c>
      <x:c r="P148" s="21" t="str">
        <x:v>A threat, risk, harm, severity, or consequence sense in the documented source; it is not automatically an emotion.</x:v>
      </x:c>
      <x:c r="Q148" s="22" t="str">
        <x:v>NOT_AVAILABLE_IN_ACCESSED_SOURCES</x:v>
      </x:c>
      <x:c r="R148" s="21" t="str">
        <x:v>STRONG</x:v>
      </x:c>
      <x:c r="S148" s="21" t="str">
        <x:v>The surface form may realize multiple senses; candidate meaning remains anchored to the report-visible source context.</x:v>
      </x:c>
      <x:c r="T148" s="21" t="str">
        <x:v>Fear of Temperature_ Stratified Lexical Expansion, Voice Mapping, and Semantic-Relational Pre-Valida.pdf#page=11; https://api.dictionaryapi.dev/api/v2/entries/en/very%20serious%20problem; https://websters1913.timcieplowski.com/word/problem/</x:v>
      </x:c>
      <x:c r="U148" s="49" t="str">
        <x:v>2026-08-26</x:v>
      </x:c>
    </x:row>
    <x:row r="149" ht="19" customHeight="1">
      <x:c r="A149" s="20" t="str">
        <x:v>FT-SEED-R1B-P-2015-28</x:v>
      </x:c>
      <x:c r="B149" s="22" t="str">
        <x:v>2015</x:v>
      </x:c>
      <x:c r="C149" s="22" t="str">
        <x:v>28</x:v>
      </x:c>
      <x:c r="D149" s="21" t="str">
        <x:v>harm them personally</x:v>
      </x:c>
      <x:c r="E149" s="21" t="str">
        <x:v>generic damage</x:v>
      </x:c>
      <x:c r="F149" s="22" t="str">
        <x:v>harm_loss_consequences</x:v>
      </x:c>
      <x:c r="G149" s="22" t="str">
        <x:v>D</x:v>
      </x:c>
      <x:c r="H149" s="22" t="str">
        <x:v>V5</x:v>
      </x:c>
      <x:c r="I149" s="22" t="str">
        <x:v>E5</x:v>
      </x:c>
      <x:c r="J149" s="21" t="str">
        <x:v>RECONSTRUCTED_FROM_REPORT; Fear of Temperature_ Stratified Lexical Expansion, Voice Mapping, and Semantic-Relational Pre-Valida.pdf; p.11; project candidate FT-SEED-R1B-P-2015-28; original visible ID not available</x:v>
      </x:c>
      <x:c r="K149" s="21" t="str">
        <x:v>NO_STANDALONE_HEADWORD</x:v>
      </x:c>
      <x:c r="L149" s="21" t="str">
        <x:v>Component lexical analysis plus anchor-source contextual meaning</x:v>
      </x:c>
      <x:c r="M149" s="21" t="str">
        <x:v>Component headword checked: harm.</x:v>
      </x:c>
      <x:c r="N149" s="21" t="str">
        <x:v>Anchor-period research source/context; Webster 1913 stable component URL recorded but automated page retrieval was unavailable</x:v>
      </x:c>
      <x:c r="O149" s="21" t="str">
        <x:v>Generic material, ecological, or social damage; the candidate is interpreted in its documented anchor and voice context.</x:v>
      </x:c>
      <x:c r="P149" s="21" t="str">
        <x:v>A threat, risk, harm, severity, or consequence sense in the documented source; it is not automatically an emotion.</x:v>
      </x:c>
      <x:c r="Q149" s="22" t="str">
        <x:v>NOT_AVAILABLE_IN_ACCESSED_SOURCES</x:v>
      </x:c>
      <x:c r="R149" s="21" t="str">
        <x:v>STRONG</x:v>
      </x:c>
      <x:c r="S149" s="21" t="str">
        <x:v>The surface form may realize multiple senses; candidate meaning remains anchored to the report-visible source context.</x:v>
      </x:c>
      <x:c r="T149" s="21" t="str">
        <x:v>Fear of Temperature_ Stratified Lexical Expansion, Voice Mapping, and Semantic-Relational Pre-Valida.pdf#page=11; https://api.dictionaryapi.dev/api/v2/entries/en/harm%20them%20personally; https://websters1913.timcieplowski.com/word/harm/</x:v>
      </x:c>
      <x:c r="U149" s="49" t="str">
        <x:v>2026-08-26</x:v>
      </x:c>
    </x:row>
    <x:row r="150" ht="19" customHeight="1">
      <x:c r="A150" s="20" t="str">
        <x:v>FT-SEED-R1B-P-2015-29</x:v>
      </x:c>
      <x:c r="B150" s="22" t="str">
        <x:v>2015</x:v>
      </x:c>
      <x:c r="C150" s="22" t="str">
        <x:v>29</x:v>
      </x:c>
      <x:c r="D150" s="21" t="str">
        <x:v>drought or water shortages</x:v>
      </x:c>
      <x:c r="E150" s="21" t="str">
        <x:v>generic damage</x:v>
      </x:c>
      <x:c r="F150" s="22" t="str">
        <x:v>harm_loss_consequences</x:v>
      </x:c>
      <x:c r="G150" s="22" t="str">
        <x:v>D</x:v>
      </x:c>
      <x:c r="H150" s="22" t="str">
        <x:v>V5</x:v>
      </x:c>
      <x:c r="I150" s="22" t="str">
        <x:v>E5</x:v>
      </x:c>
      <x:c r="J150" s="21" t="str">
        <x:v>RECONSTRUCTED_FROM_REPORT; Fear of Temperature_ Stratified Lexical Expansion, Voice Mapping, and Semantic-Relational Pre-Valida.pdf; p.11; project candidate FT-SEED-R1B-P-2015-29; original visible ID not available</x:v>
      </x:c>
      <x:c r="K150" s="21" t="str">
        <x:v>NO_STANDALONE_HEADWORD</x:v>
      </x:c>
      <x:c r="L150" s="21" t="str">
        <x:v>Component lexical analysis plus anchor-source contextual meaning</x:v>
      </x:c>
      <x:c r="M150" s="21" t="str">
        <x:v>Component headword checked: shortages.</x:v>
      </x:c>
      <x:c r="N150" s="21" t="str">
        <x:v>Anchor-period research source/context; Webster 1913 stable component URL recorded but automated page retrieval was unavailable</x:v>
      </x:c>
      <x:c r="O150" s="21" t="str">
        <x:v>Generic material, ecological, or social damage; the candidate is interpreted in its documented anchor and voice context.</x:v>
      </x:c>
      <x:c r="P150" s="21" t="str">
        <x:v>A threat, risk, harm, severity, or consequence sense in the documented source; it is not automatically an emotion.</x:v>
      </x:c>
      <x:c r="Q150" s="22" t="str">
        <x:v>NOT_AVAILABLE_IN_ACCESSED_SOURCES</x:v>
      </x:c>
      <x:c r="R150" s="21" t="str">
        <x:v>STRONG</x:v>
      </x:c>
      <x:c r="S150" s="21" t="str">
        <x:v>The surface form may realize multiple senses; candidate meaning remains anchored to the report-visible source context.</x:v>
      </x:c>
      <x:c r="T150" s="21" t="str">
        <x:v>Fear of Temperature_ Stratified Lexical Expansion, Voice Mapping, and Semantic-Relational Pre-Valida.pdf#page=11; https://api.dictionaryapi.dev/api/v2/entries/en/drought%20or%20water%20shortages; https://websters1913.timcieplowski.com/word/shortages/</x:v>
      </x:c>
      <x:c r="U150" s="49" t="str">
        <x:v>2026-08-26</x:v>
      </x:c>
    </x:row>
    <x:row r="151" ht="19" customHeight="1">
      <x:c r="A151" s="20" t="str">
        <x:v>FT-SEED-R1B-P-2015-30</x:v>
      </x:c>
      <x:c r="B151" s="22" t="str">
        <x:v>2015</x:v>
      </x:c>
      <x:c r="C151" s="22" t="str">
        <x:v>30</x:v>
      </x:c>
      <x:c r="D151" s="21" t="str">
        <x:v>We are nature defending itself</x:v>
      </x:c>
      <x:c r="E151" s="21" t="str">
        <x:v>personal concern</x:v>
      </x:c>
      <x:c r="F151" s="22" t="str">
        <x:v>concern_alarm</x:v>
      </x:c>
      <x:c r="G151" s="22" t="str">
        <x:v>C</x:v>
      </x:c>
      <x:c r="H151" s="22" t="str">
        <x:v>V4</x:v>
      </x:c>
      <x:c r="I151" s="22" t="str">
        <x:v>E5</x:v>
      </x:c>
      <x:c r="J151" s="21" t="str">
        <x:v>RECONSTRUCTED_FROM_REPORT; Fear of Temperature_ Stratified Lexical Expansion, Voice Mapping, and Semantic-Relational Pre-Valida.pdf; p.11; project candidate FT-SEED-R1B-P-2015-30; original visible ID not available</x:v>
      </x:c>
      <x:c r="K151" s="21" t="str">
        <x:v>NO_STANDALONE_HEADWORD</x:v>
      </x:c>
      <x:c r="L151" s="21" t="str">
        <x:v>Component lexical analysis plus anchor-source contextual meaning</x:v>
      </x:c>
      <x:c r="M151" s="21" t="str">
        <x:v>Component headword checked: defending.</x:v>
      </x:c>
      <x:c r="N151" s="21" t="str">
        <x:v>Anchor-period research source/context; Webster 1913 stable component URL recorded but automated page retrieval was unavailable</x:v>
      </x:c>
      <x:c r="O151" s="21" t="str">
        <x:v>Concern expressed or endorsed by an identifiable person about a climate or heat object; the candidate is interpreted in its documented anchor and voice context.</x:v>
      </x:c>
      <x:c r="P151" s="21" t="str">
        <x:v>The candidate's affective or evaluative sense as used by the documented speaker/instrument/research voice at the anchor.</x:v>
      </x:c>
      <x:c r="Q151" s="22" t="str">
        <x:v>NOT_AVAILABLE_IN_ACCESSED_SOURCES</x:v>
      </x:c>
      <x:c r="R151" s="21" t="str">
        <x:v>STRONG</x:v>
      </x:c>
      <x:c r="S151" s="21" t="str">
        <x:v>The surface form may realize multiple senses; candidate meaning remains anchored to the report-visible source context.</x:v>
      </x:c>
      <x:c r="T151" s="21" t="str">
        <x:v>Fear of Temperature_ Stratified Lexical Expansion, Voice Mapping, and Semantic-Relational Pre-Valida.pdf#page=11; https://api.dictionaryapi.dev/api/v2/entries/en/We%20are%20nature%20defending%20itself; https://websters1913.timcieplowski.com/word/defending/</x:v>
      </x:c>
      <x:c r="U151" s="49" t="str">
        <x:v>2026-08-26</x:v>
      </x:c>
    </x:row>
    <x:row r="152" ht="19" customHeight="1">
      <x:c r="A152" s="20" t="str">
        <x:v>FT-SEED-R1B-P-2022-01</x:v>
      </x:c>
      <x:c r="B152" s="22" t="str">
        <x:v>2022</x:v>
      </x:c>
      <x:c r="C152" s="22" t="str">
        <x:v>1</x:v>
      </x:c>
      <x:c r="D152" s="21" t="str">
        <x:v>climate change</x:v>
      </x:c>
      <x:c r="E152" s="21" t="str">
        <x:v>modern climate change</x:v>
      </x:c>
      <x:c r="F152" s="22" t="str">
        <x:v>climate</x:v>
      </x:c>
      <x:c r="G152" s="22" t="str">
        <x:v>B</x:v>
      </x:c>
      <x:c r="H152" s="22" t="str">
        <x:v>V5</x:v>
      </x:c>
      <x:c r="I152" s="22" t="str">
        <x:v>E5</x:v>
      </x:c>
      <x:c r="J152" s="21" t="str">
        <x:v>RECONSTRUCTED_FROM_REPORT; Fear of Temperature_ Stratified Lexical Expansion, Voice Mapping, and Semantic-Relational Pre-Valida.pdf; p.12; project candidate FT-SEED-R1B-P-2022-01; original visible ID not available</x:v>
      </x:c>
      <x:c r="K152" s="21" t="str">
        <x:v>TECHNICAL_GLOSSARY</x:v>
      </x:c>
      <x:c r="L152" s="21" t="str">
        <x:v>IPCC climate-science glossary / assessment terminology</x:v>
      </x:c>
      <x:c r="M152" s="21" t="str">
        <x:v>Component headword checked: change.</x:v>
      </x:c>
      <x:c r="N152" s="21" t="str">
        <x:v>Anchor-period research source/context; Webster 1913 stable component URL recorded but automated page retrieval was unavailable</x:v>
      </x:c>
      <x:c r="O152" s="21" t="str">
        <x:v>A persistent change in the state or variability of climate; institutional definitions differ on whether human attribution is required.</x:v>
      </x:c>
      <x:c r="P152" s="21" t="str">
        <x:v>The established modern issue label for sustained climatic change, used in institutional, scientific, or public contexts depending on voice.</x:v>
      </x:c>
      <x:c r="Q152" s="22" t="str">
        <x:v>NOT_AVAILABLE_IN_ACCESSED_SOURCES</x:v>
      </x:c>
      <x:c r="R152" s="21" t="str">
        <x:v>STRONG</x:v>
      </x:c>
      <x:c r="S152" s="21" t="str">
        <x:v>The modern issue label must still be distinguished from generic change and historical climatic variability.</x:v>
      </x:c>
      <x:c r="T152" s="21" t="str">
        <x:v>https://www.ipcc.ch/site/assets/uploads/2018/02/WGIIAR5-AnnexII_FINAL.pdf; https://api.dictionaryapi.dev/api/v2/entries/en/climate%20change; https://websters1913.timcieplowski.com/word/change/</x:v>
      </x:c>
      <x:c r="U152" s="49" t="str">
        <x:v>2026-08-26</x:v>
      </x:c>
    </x:row>
    <x:row r="153" ht="19" customHeight="1">
      <x:c r="A153" s="20" t="str">
        <x:v>FT-SEED-R1B-P-2022-02</x:v>
      </x:c>
      <x:c r="B153" s="22" t="str">
        <x:v>2022</x:v>
      </x:c>
      <x:c r="C153" s="22" t="str">
        <x:v>2</x:v>
      </x:c>
      <x:c r="D153" s="21" t="str">
        <x:v>global warming</x:v>
      </x:c>
      <x:c r="E153" s="21" t="str">
        <x:v>global warming as issue label</x:v>
      </x:c>
      <x:c r="F153" s="22" t="str">
        <x:v>warming</x:v>
      </x:c>
      <x:c r="G153" s="22" t="str">
        <x:v>A</x:v>
      </x:c>
      <x:c r="H153" s="22" t="str">
        <x:v>V5</x:v>
      </x:c>
      <x:c r="I153" s="22" t="str">
        <x:v>E5</x:v>
      </x:c>
      <x:c r="J153" s="21" t="str">
        <x:v>RECONSTRUCTED_FROM_REPORT; Fear of Temperature_ Stratified Lexical Expansion, Voice Mapping, and Semantic-Relational Pre-Valida.pdf; p.12; project candidate FT-SEED-R1B-P-2022-02; original visible ID not available</x:v>
      </x:c>
      <x:c r="K153" s="21" t="str">
        <x:v>TECHNICAL_GLOSSARY</x:v>
      </x:c>
      <x:c r="L153" s="21" t="str">
        <x:v>IPCC climate-science glossary / assessment terminology</x:v>
      </x:c>
      <x:c r="M153" s="21" t="str">
        <x:v>Component headword checked: warming.</x:v>
      </x:c>
      <x:c r="N153" s="21" t="str">
        <x:v>Anchor-period research source/context; Webster 1913 stable component URL recorded but automated page retrieval was unavailable</x:v>
      </x:c>
      <x:c r="O153" s="21" t="str">
        <x:v>The long-term rise in global mean surface temperature, commonly used as an established issue label in modern climate discourse.</x:v>
      </x:c>
      <x:c r="P153" s="21" t="str">
        <x:v>A physical temperature, warming, heat, or measurement sense in the documented anchor context.</x:v>
      </x:c>
      <x:c r="Q153" s="22" t="str">
        <x:v>NOT_AVAILABLE_IN_ACCESSED_SOURCES</x:v>
      </x:c>
      <x:c r="R153" s="21" t="str">
        <x:v>STRONG</x:v>
      </x:c>
      <x:c r="S153" s="21" t="str">
        <x:v>The surface form may realize multiple senses; candidate meaning remains anchored to the report-visible source context.</x:v>
      </x:c>
      <x:c r="T153" s="21" t="str">
        <x:v>https://www.ipcc.ch/site/assets/uploads/2018/02/WGIIAR5-AnnexII_FINAL.pdf; https://api.dictionaryapi.dev/api/v2/entries/en/global%20warming; https://websters1913.timcieplowski.com/word/warming/</x:v>
      </x:c>
      <x:c r="U153" s="49" t="str">
        <x:v>2026-08-26</x:v>
      </x:c>
    </x:row>
    <x:row r="154" ht="19" customHeight="1">
      <x:c r="A154" s="20" t="str">
        <x:v>FT-SEED-R1B-P-2022-03</x:v>
      </x:c>
      <x:c r="B154" s="22" t="str">
        <x:v>2022</x:v>
      </x:c>
      <x:c r="C154" s="22" t="str">
        <x:v>3</x:v>
      </x:c>
      <x:c r="D154" s="21" t="str">
        <x:v>very worried</x:v>
      </x:c>
      <x:c r="E154" s="21" t="str">
        <x:v>participant worry endorsement</x:v>
      </x:c>
      <x:c r="F154" s="22" t="str">
        <x:v>worry</x:v>
      </x:c>
      <x:c r="G154" s="22" t="str">
        <x:v>C</x:v>
      </x:c>
      <x:c r="H154" s="22" t="str">
        <x:v>V5</x:v>
      </x:c>
      <x:c r="I154" s="22" t="str">
        <x:v>E3</x:v>
      </x:c>
      <x:c r="J154" s="21" t="str">
        <x:v>RECONSTRUCTED_FROM_REPORT; Fear of Temperature_ Stratified Lexical Expansion, Voice Mapping, and Semantic-Relational Pre-Valida.pdf; p.12; project candidate FT-SEED-R1B-P-2022-03; original visible ID not available</x:v>
      </x:c>
      <x:c r="K154" s="21" t="str">
        <x:v>NO_STANDALONE_HEADWORD</x:v>
      </x:c>
      <x:c r="L154" s="21" t="str">
        <x:v>Component lexical analysis plus anchor-source contextual meaning</x:v>
      </x:c>
      <x:c r="M154" s="21" t="str">
        <x:v>Component headword checked: worried.</x:v>
      </x:c>
      <x:c r="N154" s="21" t="str">
        <x:v>Anchor-period research source/context; Webster 1913 stable component URL recorded but automated page retrieval was unavailable</x:v>
      </x:c>
      <x:c r="O154" s="21" t="str">
        <x:v>A participant selection or endorsement of a supplied worry category; the candidate is interpreted in its documented anchor and voice context.</x:v>
      </x:c>
      <x:c r="P154" s="21" t="str">
        <x:v>Survey or instrument wording used to elicit and classify participant endorsement; the response may be participant evidence, but the lexical wording is supplied.</x:v>
      </x:c>
      <x:c r="Q154" s="22" t="str">
        <x:v>NOT_AVAILABLE_IN_ACCESSED_SOURCES</x:v>
      </x:c>
      <x:c r="R154" s="21" t="str">
        <x:v>STRONG</x:v>
      </x:c>
      <x:c r="S154" s="21" t="str">
        <x:v>Elicited endorsement, question wording, and spontaneous participant vocabulary are distinct provenance states.</x:v>
      </x:c>
      <x:c r="T154" s="21" t="str">
        <x:v>Fear of Temperature_ Stratified Lexical Expansion, Voice Mapping, and Semantic-Relational Pre-Valida.pdf#page=12; https://api.dictionaryapi.dev/api/v2/entries/en/very%20worried; https://websters1913.timcieplowski.com/word/worried/</x:v>
      </x:c>
      <x:c r="U154" s="49" t="str">
        <x:v>2026-08-26</x:v>
      </x:c>
    </x:row>
    <x:row r="155" ht="19" customHeight="1">
      <x:c r="A155" s="20" t="str">
        <x:v>FT-SEED-R1B-P-2022-04</x:v>
      </x:c>
      <x:c r="B155" s="22" t="str">
        <x:v>2022</x:v>
      </x:c>
      <x:c r="C155" s="22" t="str">
        <x:v>4</x:v>
      </x:c>
      <x:c r="D155" s="21" t="str">
        <x:v>somewhat worried</x:v>
      </x:c>
      <x:c r="E155" s="21" t="str">
        <x:v>participant worry endorsement</x:v>
      </x:c>
      <x:c r="F155" s="22" t="str">
        <x:v>worry</x:v>
      </x:c>
      <x:c r="G155" s="22" t="str">
        <x:v>C</x:v>
      </x:c>
      <x:c r="H155" s="22" t="str">
        <x:v>V5</x:v>
      </x:c>
      <x:c r="I155" s="22" t="str">
        <x:v>E5</x:v>
      </x:c>
      <x:c r="J155" s="21" t="str">
        <x:v>RECONSTRUCTED_FROM_REPORT; Fear of Temperature_ Stratified Lexical Expansion, Voice Mapping, and Semantic-Relational Pre-Valida.pdf; p.12; project candidate FT-SEED-R1B-P-2022-04; original visible ID not available</x:v>
      </x:c>
      <x:c r="K155" s="21" t="str">
        <x:v>NO_STANDALONE_HEADWORD</x:v>
      </x:c>
      <x:c r="L155" s="21" t="str">
        <x:v>Component lexical analysis plus anchor-source contextual meaning</x:v>
      </x:c>
      <x:c r="M155" s="21" t="str">
        <x:v>Component headword checked: worried.</x:v>
      </x:c>
      <x:c r="N155" s="21" t="str">
        <x:v>Anchor-period research source/context; Webster 1913 stable component URL recorded but automated page retrieval was unavailable</x:v>
      </x:c>
      <x:c r="O155" s="21" t="str">
        <x:v>A participant selection or endorsement of a supplied worry category; the candidate is interpreted in its documented anchor and voice context.</x:v>
      </x:c>
      <x:c r="P155" s="21" t="str">
        <x:v>Survey or instrument wording used to elicit and classify participant endorsement; the response may be participant evidence, but the lexical wording is supplied.</x:v>
      </x:c>
      <x:c r="Q155" s="22" t="str">
        <x:v>NOT_AVAILABLE_IN_ACCESSED_SOURCES</x:v>
      </x:c>
      <x:c r="R155" s="21" t="str">
        <x:v>STRONG</x:v>
      </x:c>
      <x:c r="S155" s="21" t="str">
        <x:v>Elicited endorsement, question wording, and spontaneous participant vocabulary are distinct provenance states.</x:v>
      </x:c>
      <x:c r="T155" s="21" t="str">
        <x:v>Fear of Temperature_ Stratified Lexical Expansion, Voice Mapping, and Semantic-Relational Pre-Valida.pdf#page=12; https://api.dictionaryapi.dev/api/v2/entries/en/somewhat%20worried; https://websters1913.timcieplowski.com/word/worried/</x:v>
      </x:c>
      <x:c r="U155" s="49" t="str">
        <x:v>2026-08-26</x:v>
      </x:c>
    </x:row>
    <x:row r="156" ht="19" customHeight="1">
      <x:c r="A156" s="20" t="str">
        <x:v>FT-SEED-R1B-P-2022-05</x:v>
      </x:c>
      <x:c r="B156" s="22" t="str">
        <x:v>2022</x:v>
      </x:c>
      <x:c r="C156" s="22" t="str">
        <x:v>5</x:v>
      </x:c>
      <x:c r="D156" s="21" t="str">
        <x:v>afraid</x:v>
      </x:c>
      <x:c r="E156" s="21" t="str">
        <x:v>participant afraid endorsement</x:v>
      </x:c>
      <x:c r="F156" s="22" t="str">
        <x:v>fear_afraid</x:v>
      </x:c>
      <x:c r="G156" s="22" t="str">
        <x:v>C</x:v>
      </x:c>
      <x:c r="H156" s="22" t="str">
        <x:v>V5</x:v>
      </x:c>
      <x:c r="I156" s="22" t="str">
        <x:v>E5</x:v>
      </x:c>
      <x:c r="J156" s="21" t="str">
        <x:v>RECONSTRUCTED_FROM_REPORT; Fear of Temperature_ Stratified Lexical Expansion, Voice Mapping, and Semantic-Relational Pre-Valida.pdf; p.12; project candidate FT-SEED-R1B-P-2022-05; original visible ID not available</x:v>
      </x:c>
      <x:c r="K156" s="21" t="str">
        <x:v>DIRECT_HEADWORD</x:v>
      </x:c>
      <x:c r="L156" s="21" t="str">
        <x:v>Webster's Revised Unabridged Dictionary (1913 public-domain headword index)</x:v>
      </x:c>
      <x:c r="M156" s="21" t="str">
        <x:v>Component headword checked: afraid.</x:v>
      </x:c>
      <x:c r="N156" s="21" t="str">
        <x:v>Webster's Revised Unabridged Dictionary (1913 public-domain edition)</x:v>
      </x:c>
      <x:c r="O156" s="21" t="str">
        <x:v>Participant endorsement of a supplied afraid category; the candidate is interpreted in its documented anchor and voice context.</x:v>
      </x:c>
      <x:c r="P156" s="21" t="str">
        <x:v>The candidate's affective or evaluative sense as used by the documented speaker/instrument/research voice at the anchor.</x:v>
      </x:c>
      <x:c r="Q156" s="22" t="str">
        <x:v>NOT_AVAILABLE_IN_ACCESSED_SOURCES</x:v>
      </x:c>
      <x:c r="R156" s="21" t="str">
        <x:v>STRONG</x:v>
      </x:c>
      <x:c r="S156" s="21" t="str">
        <x:v>The surface form may realize multiple senses; candidate meaning remains anchored to the report-visible source context.</x:v>
      </x:c>
      <x:c r="T156" s="21" t="str">
        <x:v>https://websters1913.timcieplowski.com/word/afraid/; https://api.dictionaryapi.dev/api/v2/entries/en/afraid</x:v>
      </x:c>
      <x:c r="U156" s="49" t="str">
        <x:v>2026-08-26</x:v>
      </x:c>
    </x:row>
    <x:row r="157" ht="19" customHeight="1">
      <x:c r="A157" s="20" t="str">
        <x:v>FT-SEED-R1B-P-2022-06</x:v>
      </x:c>
      <x:c r="B157" s="22" t="str">
        <x:v>2022</x:v>
      </x:c>
      <x:c r="C157" s="22" t="str">
        <x:v>6</x:v>
      </x:c>
      <x:c r="D157" s="21" t="str">
        <x:v>anxious</x:v>
      </x:c>
      <x:c r="E157" s="21" t="str">
        <x:v>anxious affect</x:v>
      </x:c>
      <x:c r="F157" s="22" t="str">
        <x:v>anxiety</x:v>
      </x:c>
      <x:c r="G157" s="22" t="str">
        <x:v>C</x:v>
      </x:c>
      <x:c r="H157" s="22" t="str">
        <x:v>V5</x:v>
      </x:c>
      <x:c r="I157" s="22" t="str">
        <x:v>E5</x:v>
      </x:c>
      <x:c r="J157" s="21" t="str">
        <x:v>RECONSTRUCTED_FROM_REPORT; Fear of Temperature_ Stratified Lexical Expansion, Voice Mapping, and Semantic-Relational Pre-Valida.pdf; p.12; project candidate FT-SEED-R1B-P-2022-06; original visible ID not available</x:v>
      </x:c>
      <x:c r="K157" s="21" t="str">
        <x:v>DIRECT_HEADWORD</x:v>
      </x:c>
      <x:c r="L157" s="21" t="str">
        <x:v>Webster's Revised Unabridged Dictionary (1913 public-domain headword index)</x:v>
      </x:c>
      <x:c r="M157" s="21" t="str">
        <x:v>Component headword checked: anxious.</x:v>
      </x:c>
      <x:c r="N157" s="21" t="str">
        <x:v>Anchor-period research source/context; Webster 1913 stable component URL recorded but automated page retrieval was unavailable</x:v>
      </x:c>
      <x:c r="O157" s="21" t="str">
        <x:v>Anxious feeling directly expressed or endorsed by a participant; the candidate is interpreted in its documented anchor and voice context.</x:v>
      </x:c>
      <x:c r="P157" s="21" t="str">
        <x:v>The candidate's affective or evaluative sense as used by the documented speaker/instrument/research voice at the anchor.</x:v>
      </x:c>
      <x:c r="Q157" s="22" t="str">
        <x:v>NOT_AVAILABLE_IN_ACCESSED_SOURCES</x:v>
      </x:c>
      <x:c r="R157" s="21" t="str">
        <x:v>STRONG</x:v>
      </x:c>
      <x:c r="S157" s="21" t="str">
        <x:v>The surface form may realize multiple senses; candidate meaning remains anchored to the report-visible source context.</x:v>
      </x:c>
      <x:c r="T157" s="21" t="str">
        <x:v>https://websters1913.timcieplowski.com/word/anxious/; https://api.dictionaryapi.dev/api/v2/entries/en/anxious</x:v>
      </x:c>
      <x:c r="U157" s="49" t="str">
        <x:v>2026-08-26</x:v>
      </x:c>
    </x:row>
    <x:row r="158" ht="19" customHeight="1">
      <x:c r="A158" s="20" t="str">
        <x:v>FT-SEED-R1B-P-2022-07</x:v>
      </x:c>
      <x:c r="B158" s="22" t="str">
        <x:v>2022</x:v>
      </x:c>
      <x:c r="C158" s="22" t="str">
        <x:v>7</x:v>
      </x:c>
      <x:c r="D158" s="21" t="str">
        <x:v>hopeless</x:v>
      </x:c>
      <x:c r="E158" s="21" t="str">
        <x:v>depressed affect</x:v>
      </x:c>
      <x:c r="F158" s="22" t="str">
        <x:v>distress_depression</x:v>
      </x:c>
      <x:c r="G158" s="22" t="str">
        <x:v>C</x:v>
      </x:c>
      <x:c r="H158" s="22" t="str">
        <x:v>V5</x:v>
      </x:c>
      <x:c r="I158" s="22" t="str">
        <x:v>E5</x:v>
      </x:c>
      <x:c r="J158" s="21" t="str">
        <x:v>RECONSTRUCTED_FROM_REPORT; Fear of Temperature_ Stratified Lexical Expansion, Voice Mapping, and Semantic-Relational Pre-Valida.pdf; p.12; project candidate FT-SEED-R1B-P-2022-07; original visible ID not available</x:v>
      </x:c>
      <x:c r="K158" s="21" t="str">
        <x:v>DIRECT_HEADWORD</x:v>
      </x:c>
      <x:c r="L158" s="21" t="str">
        <x:v>Webster's Revised Unabridged Dictionary (1913 public-domain headword index)</x:v>
      </x:c>
      <x:c r="M158" s="21" t="str">
        <x:v>Component headword checked: hopeless.</x:v>
      </x:c>
      <x:c r="N158" s="21" t="str">
        <x:v>Anchor-period research source/context; Webster 1913 stable component URL recorded but automated page retrieval was unavailable</x:v>
      </x:c>
      <x:c r="O158" s="21" t="str">
        <x:v>Depressed affect directly expressed or instrument-endorsed in a climate context; the candidate is interpreted in its documented anchor and voice context.</x:v>
      </x:c>
      <x:c r="P158" s="21" t="str">
        <x:v>The candidate's affective or evaluative sense as used by the documented speaker/instrument/research voice at the anchor.</x:v>
      </x:c>
      <x:c r="Q158" s="22" t="str">
        <x:v>NOT_AVAILABLE_IN_ACCESSED_SOURCES</x:v>
      </x:c>
      <x:c r="R158" s="21" t="str">
        <x:v>STRONG</x:v>
      </x:c>
      <x:c r="S158" s="21" t="str">
        <x:v>The surface form may realize multiple senses; candidate meaning remains anchored to the report-visible source context.</x:v>
      </x:c>
      <x:c r="T158" s="21" t="str">
        <x:v>https://websters1913.timcieplowski.com/word/hopeless/; https://api.dictionaryapi.dev/api/v2/entries/en/hopeless</x:v>
      </x:c>
      <x:c r="U158" s="49" t="str">
        <x:v>2026-08-26</x:v>
      </x:c>
    </x:row>
    <x:row r="159" ht="19" customHeight="1">
      <x:c r="A159" s="20" t="str">
        <x:v>FT-SEED-R1B-P-2022-08</x:v>
      </x:c>
      <x:c r="B159" s="22" t="str">
        <x:v>2022</x:v>
      </x:c>
      <x:c r="C159" s="22" t="str">
        <x:v>8</x:v>
      </x:c>
      <x:c r="D159" s="21" t="str">
        <x:v>sad</x:v>
      </x:c>
      <x:c r="E159" s="21" t="str">
        <x:v>depressed affect</x:v>
      </x:c>
      <x:c r="F159" s="22" t="str">
        <x:v>distress_depression</x:v>
      </x:c>
      <x:c r="G159" s="22" t="str">
        <x:v>C</x:v>
      </x:c>
      <x:c r="H159" s="22" t="str">
        <x:v>V5</x:v>
      </x:c>
      <x:c r="I159" s="22" t="str">
        <x:v>E5</x:v>
      </x:c>
      <x:c r="J159" s="21" t="str">
        <x:v>RECONSTRUCTED_FROM_REPORT; Fear of Temperature_ Stratified Lexical Expansion, Voice Mapping, and Semantic-Relational Pre-Valida.pdf; p.12; project candidate FT-SEED-R1B-P-2022-08; original visible ID not available</x:v>
      </x:c>
      <x:c r="K159" s="21" t="str">
        <x:v>DIRECT_HEADWORD</x:v>
      </x:c>
      <x:c r="L159" s="21" t="str">
        <x:v>Webster's Revised Unabridged Dictionary (1913 public-domain headword index)</x:v>
      </x:c>
      <x:c r="M159" s="21" t="str">
        <x:v>Component headword checked: sad.</x:v>
      </x:c>
      <x:c r="N159" s="21" t="str">
        <x:v>Anchor-period research source/context; Webster 1913 stable component URL recorded but automated page retrieval was unavailable</x:v>
      </x:c>
      <x:c r="O159" s="21" t="str">
        <x:v>Depressed affect directly expressed or instrument-endorsed in a climate context; the candidate is interpreted in its documented anchor and voice context.</x:v>
      </x:c>
      <x:c r="P159" s="21" t="str">
        <x:v>The candidate's affective or evaluative sense as used by the documented speaker/instrument/research voice at the anchor.</x:v>
      </x:c>
      <x:c r="Q159" s="22" t="str">
        <x:v>NOT_AVAILABLE_IN_ACCESSED_SOURCES</x:v>
      </x:c>
      <x:c r="R159" s="21" t="str">
        <x:v>STRONG</x:v>
      </x:c>
      <x:c r="S159" s="21" t="str">
        <x:v>The surface form may realize multiple senses; candidate meaning remains anchored to the report-visible source context.</x:v>
      </x:c>
      <x:c r="T159" s="21" t="str">
        <x:v>https://websters1913.timcieplowski.com/word/sad/; https://api.dictionaryapi.dev/api/v2/entries/en/sad</x:v>
      </x:c>
      <x:c r="U159" s="49" t="str">
        <x:v>2026-08-26</x:v>
      </x:c>
    </x:row>
    <x:row r="160" ht="19" customHeight="1">
      <x:c r="A160" s="20" t="str">
        <x:v>FT-SEED-R1B-P-2022-09</x:v>
      </x:c>
      <x:c r="B160" s="22" t="str">
        <x:v>2022</x:v>
      </x:c>
      <x:c r="C160" s="22" t="str">
        <x:v>9</x:v>
      </x:c>
      <x:c r="D160" s="21" t="str">
        <x:v>angry</x:v>
      </x:c>
      <x:c r="E160" s="21" t="str">
        <x:v>depressed affect</x:v>
      </x:c>
      <x:c r="F160" s="22" t="str">
        <x:v>distress_depression</x:v>
      </x:c>
      <x:c r="G160" s="22" t="str">
        <x:v>C</x:v>
      </x:c>
      <x:c r="H160" s="22" t="str">
        <x:v>V5</x:v>
      </x:c>
      <x:c r="I160" s="22" t="str">
        <x:v>E5</x:v>
      </x:c>
      <x:c r="J160" s="21" t="str">
        <x:v>RECONSTRUCTED_FROM_REPORT; Fear of Temperature_ Stratified Lexical Expansion, Voice Mapping, and Semantic-Relational Pre-Valida.pdf; p.13; project candidate FT-SEED-R1B-P-2022-09; original visible ID not available</x:v>
      </x:c>
      <x:c r="K160" s="21" t="str">
        <x:v>DIRECT_HEADWORD</x:v>
      </x:c>
      <x:c r="L160" s="21" t="str">
        <x:v>Webster's Revised Unabridged Dictionary (1913 public-domain headword index)</x:v>
      </x:c>
      <x:c r="M160" s="21" t="str">
        <x:v>Component headword checked: angry.</x:v>
      </x:c>
      <x:c r="N160" s="21" t="str">
        <x:v>Anchor-period research source/context; Webster 1913 stable component URL recorded but automated page retrieval was unavailable</x:v>
      </x:c>
      <x:c r="O160" s="21" t="str">
        <x:v>Depressed affect directly expressed or instrument-endorsed in a climate context; the candidate is interpreted in its documented anchor and voice context.</x:v>
      </x:c>
      <x:c r="P160" s="21" t="str">
        <x:v>The candidate's affective or evaluative sense as used by the documented speaker/instrument/research voice at the anchor.</x:v>
      </x:c>
      <x:c r="Q160" s="22" t="str">
        <x:v>NOT_AVAILABLE_IN_ACCESSED_SOURCES</x:v>
      </x:c>
      <x:c r="R160" s="21" t="str">
        <x:v>STRONG</x:v>
      </x:c>
      <x:c r="S160" s="21" t="str">
        <x:v>The surface form may realize multiple senses; candidate meaning remains anchored to the report-visible source context.</x:v>
      </x:c>
      <x:c r="T160" s="21" t="str">
        <x:v>https://websters1913.timcieplowski.com/word/angry/; https://api.dictionaryapi.dev/api/v2/entries/en/angry</x:v>
      </x:c>
      <x:c r="U160" s="49" t="str">
        <x:v>2026-08-26</x:v>
      </x:c>
    </x:row>
    <x:row r="161" ht="19" customHeight="1">
      <x:c r="A161" s="20" t="str">
        <x:v>FT-SEED-R1B-P-2022-10</x:v>
      </x:c>
      <x:c r="B161" s="22" t="str">
        <x:v>2022</x:v>
      </x:c>
      <x:c r="C161" s="22" t="str">
        <x:v>10</x:v>
      </x:c>
      <x:c r="D161" s="21" t="str">
        <x:v>frustrated</x:v>
      </x:c>
      <x:c r="E161" s="21" t="str">
        <x:v>depressed affect</x:v>
      </x:c>
      <x:c r="F161" s="22" t="str">
        <x:v>distress_depression</x:v>
      </x:c>
      <x:c r="G161" s="22" t="str">
        <x:v>C</x:v>
      </x:c>
      <x:c r="H161" s="22" t="str">
        <x:v>V5</x:v>
      </x:c>
      <x:c r="I161" s="22" t="str">
        <x:v>E5</x:v>
      </x:c>
      <x:c r="J161" s="21" t="str">
        <x:v>RECONSTRUCTED_FROM_REPORT; Fear of Temperature_ Stratified Lexical Expansion, Voice Mapping, and Semantic-Relational Pre-Valida.pdf; p.13; project candidate FT-SEED-R1B-P-2022-10; original visible ID not available</x:v>
      </x:c>
      <x:c r="K161" s="21" t="str">
        <x:v>DIRECT_HEADWORD</x:v>
      </x:c>
      <x:c r="L161" s="21" t="str">
        <x:v>Webster's Revised Unabridged Dictionary (1913 public-domain headword index)</x:v>
      </x:c>
      <x:c r="M161" s="21" t="str">
        <x:v>Component headword checked: frustrated.</x:v>
      </x:c>
      <x:c r="N161" s="21" t="str">
        <x:v>Anchor-period research source/context; Webster 1913 stable component URL recorded but automated page retrieval was unavailable</x:v>
      </x:c>
      <x:c r="O161" s="21" t="str">
        <x:v>Depressed affect directly expressed or instrument-endorsed in a climate context; the candidate is interpreted in its documented anchor and voice context.</x:v>
      </x:c>
      <x:c r="P161" s="21" t="str">
        <x:v>The candidate's affective or evaluative sense as used by the documented speaker/instrument/research voice at the anchor.</x:v>
      </x:c>
      <x:c r="Q161" s="22" t="str">
        <x:v>NOT_AVAILABLE_IN_ACCESSED_SOURCES</x:v>
      </x:c>
      <x:c r="R161" s="21" t="str">
        <x:v>STRONG</x:v>
      </x:c>
      <x:c r="S161" s="21" t="str">
        <x:v>The surface form may realize multiple senses; candidate meaning remains anchored to the report-visible source context.</x:v>
      </x:c>
      <x:c r="T161" s="21" t="str">
        <x:v>https://websters1913.timcieplowski.com/word/frustrated/; https://api.dictionaryapi.dev/api/v2/entries/en/frustrated</x:v>
      </x:c>
      <x:c r="U161" s="49" t="str">
        <x:v>2026-08-26</x:v>
      </x:c>
    </x:row>
    <x:row r="162" ht="19" customHeight="1">
      <x:c r="A162" s="20" t="str">
        <x:v>FT-SEED-R1B-P-2022-11</x:v>
      </x:c>
      <x:c r="B162" s="22" t="str">
        <x:v>2022</x:v>
      </x:c>
      <x:c r="C162" s="22" t="str">
        <x:v>11</x:v>
      </x:c>
      <x:c r="D162" s="21" t="str">
        <x:v>hopeful</x:v>
      </x:c>
      <x:c r="E162" s="21" t="str">
        <x:v>personal concern</x:v>
      </x:c>
      <x:c r="F162" s="22" t="str">
        <x:v>concern_alarm</x:v>
      </x:c>
      <x:c r="G162" s="22" t="str">
        <x:v>C</x:v>
      </x:c>
      <x:c r="H162" s="22" t="str">
        <x:v>V5</x:v>
      </x:c>
      <x:c r="I162" s="22" t="str">
        <x:v>E5</x:v>
      </x:c>
      <x:c r="J162" s="21" t="str">
        <x:v>RECONSTRUCTED_FROM_REPORT; Fear of Temperature_ Stratified Lexical Expansion, Voice Mapping, and Semantic-Relational Pre-Valida.pdf; p.12; project candidate FT-SEED-R1B-P-2022-11; original visible ID not available</x:v>
      </x:c>
      <x:c r="K162" s="21" t="str">
        <x:v>DIRECT_HEADWORD</x:v>
      </x:c>
      <x:c r="L162" s="21" t="str">
        <x:v>Webster's Revised Unabridged Dictionary (1913 public-domain headword index)</x:v>
      </x:c>
      <x:c r="M162" s="21" t="str">
        <x:v>Component headword checked: hopeful.</x:v>
      </x:c>
      <x:c r="N162" s="21" t="str">
        <x:v>Anchor-period research source/context; Webster 1913 stable component URL recorded but automated page retrieval was unavailable</x:v>
      </x:c>
      <x:c r="O162" s="21" t="str">
        <x:v>Concern expressed or endorsed by an identifiable person about a climate or heat object; the candidate is interpreted in its documented anchor and voice context.</x:v>
      </x:c>
      <x:c r="P162" s="21" t="str">
        <x:v>The candidate's affective or evaluative sense as used by the documented speaker/instrument/research voice at the anchor.</x:v>
      </x:c>
      <x:c r="Q162" s="22" t="str">
        <x:v>NOT_AVAILABLE_IN_ACCESSED_SOURCES</x:v>
      </x:c>
      <x:c r="R162" s="21" t="str">
        <x:v>STRONG</x:v>
      </x:c>
      <x:c r="S162" s="21" t="str">
        <x:v>The surface form may realize multiple senses; candidate meaning remains anchored to the report-visible source context.</x:v>
      </x:c>
      <x:c r="T162" s="21" t="str">
        <x:v>https://websters1913.timcieplowski.com/word/hopeful/; https://api.dictionaryapi.dev/api/v2/entries/en/hopeful</x:v>
      </x:c>
      <x:c r="U162" s="49" t="str">
        <x:v>2026-08-26</x:v>
      </x:c>
    </x:row>
    <x:row r="163" ht="19" customHeight="1">
      <x:c r="A163" s="20" t="str">
        <x:v>FT-SEED-R1B-P-2022-12</x:v>
      </x:c>
      <x:c r="B163" s="22" t="str">
        <x:v>2022</x:v>
      </x:c>
      <x:c r="C163" s="22" t="str">
        <x:v>12</x:v>
      </x:c>
      <x:c r="D163" s="21" t="str">
        <x:v>disgusted</x:v>
      </x:c>
      <x:c r="E163" s="21" t="str">
        <x:v>depressed affect</x:v>
      </x:c>
      <x:c r="F163" s="22" t="str">
        <x:v>distress_depression</x:v>
      </x:c>
      <x:c r="G163" s="22" t="str">
        <x:v>C</x:v>
      </x:c>
      <x:c r="H163" s="22" t="str">
        <x:v>V5</x:v>
      </x:c>
      <x:c r="I163" s="22" t="str">
        <x:v>E5</x:v>
      </x:c>
      <x:c r="J163" s="21" t="str">
        <x:v>RECONSTRUCTED_FROM_REPORT; Fear of Temperature_ Stratified Lexical Expansion, Voice Mapping, and Semantic-Relational Pre-Valida.pdf; p.12; project candidate FT-SEED-R1B-P-2022-12; original visible ID not available</x:v>
      </x:c>
      <x:c r="K163" s="21" t="str">
        <x:v>DIRECT_HEADWORD</x:v>
      </x:c>
      <x:c r="L163" s="21" t="str">
        <x:v>Webster's Revised Unabridged Dictionary (1913 public-domain headword index)</x:v>
      </x:c>
      <x:c r="M163" s="21" t="str">
        <x:v>Component headword checked: disgusted.</x:v>
      </x:c>
      <x:c r="N163" s="21" t="str">
        <x:v>Anchor-period research source/context; Webster 1913 stable component URL recorded but automated page retrieval was unavailable</x:v>
      </x:c>
      <x:c r="O163" s="21" t="str">
        <x:v>Depressed affect directly expressed or instrument-endorsed in a climate context; the candidate is interpreted in its documented anchor and voice context.</x:v>
      </x:c>
      <x:c r="P163" s="21" t="str">
        <x:v>The candidate's affective or evaluative sense as used by the documented speaker/instrument/research voice at the anchor.</x:v>
      </x:c>
      <x:c r="Q163" s="22" t="str">
        <x:v>NOT_AVAILABLE_IN_ACCESSED_SOURCES</x:v>
      </x:c>
      <x:c r="R163" s="21" t="str">
        <x:v>STRONG</x:v>
      </x:c>
      <x:c r="S163" s="21" t="str">
        <x:v>The surface form may realize multiple senses; candidate meaning remains anchored to the report-visible source context.</x:v>
      </x:c>
      <x:c r="T163" s="21" t="str">
        <x:v>https://websters1913.timcieplowski.com/word/disgusted/; https://api.dictionaryapi.dev/api/v2/entries/en/disgusted</x:v>
      </x:c>
      <x:c r="U163" s="49" t="str">
        <x:v>2026-08-26</x:v>
      </x:c>
    </x:row>
    <x:row r="164" ht="19" customHeight="1">
      <x:c r="A164" s="20" t="str">
        <x:v>FT-SEED-R1B-P-2022-13</x:v>
      </x:c>
      <x:c r="B164" s="22" t="str">
        <x:v>2022</x:v>
      </x:c>
      <x:c r="C164" s="22" t="str">
        <x:v>13</x:v>
      </x:c>
      <x:c r="D164" s="21" t="str">
        <x:v>outraged</x:v>
      </x:c>
      <x:c r="E164" s="21" t="str">
        <x:v>depressed affect</x:v>
      </x:c>
      <x:c r="F164" s="22" t="str">
        <x:v>distress_depression</x:v>
      </x:c>
      <x:c r="G164" s="22" t="str">
        <x:v>C</x:v>
      </x:c>
      <x:c r="H164" s="22" t="str">
        <x:v>V5</x:v>
      </x:c>
      <x:c r="I164" s="22" t="str">
        <x:v>E5</x:v>
      </x:c>
      <x:c r="J164" s="21" t="str">
        <x:v>RECONSTRUCTED_FROM_REPORT; Fear of Temperature_ Stratified Lexical Expansion, Voice Mapping, and Semantic-Relational Pre-Valida.pdf; p.12; project candidate FT-SEED-R1B-P-2022-13; original visible ID not available</x:v>
      </x:c>
      <x:c r="K164" s="21" t="str">
        <x:v>DIRECT_HEADWORD</x:v>
      </x:c>
      <x:c r="L164" s="21" t="str">
        <x:v>Webster's Revised Unabridged Dictionary (1913 public-domain headword index)</x:v>
      </x:c>
      <x:c r="M164" s="21" t="str">
        <x:v>Component headword checked: outraged.</x:v>
      </x:c>
      <x:c r="N164" s="21" t="str">
        <x:v>Anchor-period research source/context; Webster 1913 stable component URL recorded but automated page retrieval was unavailable</x:v>
      </x:c>
      <x:c r="O164" s="21" t="str">
        <x:v>Depressed affect directly expressed or instrument-endorsed in a climate context; the candidate is interpreted in its documented anchor and voice context.</x:v>
      </x:c>
      <x:c r="P164" s="21" t="str">
        <x:v>The candidate's affective or evaluative sense as used by the documented speaker/instrument/research voice at the anchor.</x:v>
      </x:c>
      <x:c r="Q164" s="22" t="str">
        <x:v>NOT_AVAILABLE_IN_ACCESSED_SOURCES</x:v>
      </x:c>
      <x:c r="R164" s="21" t="str">
        <x:v>STRONG</x:v>
      </x:c>
      <x:c r="S164" s="21" t="str">
        <x:v>The surface form may realize multiple senses; candidate meaning remains anchored to the report-visible source context.</x:v>
      </x:c>
      <x:c r="T164" s="21" t="str">
        <x:v>https://websters1913.timcieplowski.com/word/outraged/; https://api.dictionaryapi.dev/api/v2/entries/en/outraged</x:v>
      </x:c>
      <x:c r="U164" s="49" t="str">
        <x:v>2026-08-26</x:v>
      </x:c>
    </x:row>
    <x:row r="165" ht="19" customHeight="1">
      <x:c r="A165" s="20" t="str">
        <x:v>FT-SEED-R1B-P-2022-14</x:v>
      </x:c>
      <x:c r="B165" s="22" t="str">
        <x:v>2022</x:v>
      </x:c>
      <x:c r="C165" s="22" t="str">
        <x:v>14</x:v>
      </x:c>
      <x:c r="D165" s="21" t="str">
        <x:v>depressed</x:v>
      </x:c>
      <x:c r="E165" s="21" t="str">
        <x:v>depressed affect</x:v>
      </x:c>
      <x:c r="F165" s="22" t="str">
        <x:v>distress_depression</x:v>
      </x:c>
      <x:c r="G165" s="22" t="str">
        <x:v>C</x:v>
      </x:c>
      <x:c r="H165" s="22" t="str">
        <x:v>V5</x:v>
      </x:c>
      <x:c r="I165" s="22" t="str">
        <x:v>E5</x:v>
      </x:c>
      <x:c r="J165" s="21" t="str">
        <x:v>RECONSTRUCTED_FROM_REPORT; Fear of Temperature_ Stratified Lexical Expansion, Voice Mapping, and Semantic-Relational Pre-Valida.pdf; p.12; project candidate FT-SEED-R1B-P-2022-14; original visible ID not available</x:v>
      </x:c>
      <x:c r="K165" s="21" t="str">
        <x:v>DIRECT_HEADWORD</x:v>
      </x:c>
      <x:c r="L165" s="21" t="str">
        <x:v>Webster's Revised Unabridged Dictionary (1913 public-domain headword index)</x:v>
      </x:c>
      <x:c r="M165" s="21" t="str">
        <x:v>Component headword checked: depressed.</x:v>
      </x:c>
      <x:c r="N165" s="21" t="str">
        <x:v>Anchor-period research source/context; Webster 1913 stable component URL recorded but automated page retrieval was unavailable</x:v>
      </x:c>
      <x:c r="O165" s="21" t="str">
        <x:v>Depressed affect directly expressed or instrument-endorsed in a climate context; the candidate is interpreted in its documented anchor and voice context.</x:v>
      </x:c>
      <x:c r="P165" s="21" t="str">
        <x:v>The candidate's affective or evaluative sense as used by the documented speaker/instrument/research voice at the anchor.</x:v>
      </x:c>
      <x:c r="Q165" s="22" t="str">
        <x:v>NOT_AVAILABLE_IN_ACCESSED_SOURCES</x:v>
      </x:c>
      <x:c r="R165" s="21" t="str">
        <x:v>STRONG</x:v>
      </x:c>
      <x:c r="S165" s="21" t="str">
        <x:v>The surface form may realize multiple senses; candidate meaning remains anchored to the report-visible source context.</x:v>
      </x:c>
      <x:c r="T165" s="21" t="str">
        <x:v>https://websters1913.timcieplowski.com/word/depressed/; https://api.dictionaryapi.dev/api/v2/entries/en/depressed</x:v>
      </x:c>
      <x:c r="U165" s="49" t="str">
        <x:v>2026-08-26</x:v>
      </x:c>
    </x:row>
    <x:row r="166" ht="19" customHeight="1">
      <x:c r="A166" s="20" t="str">
        <x:v>FT-SEED-R1B-P-2022-15</x:v>
      </x:c>
      <x:c r="B166" s="22" t="str">
        <x:v>2022</x:v>
      </x:c>
      <x:c r="C166" s="22" t="str">
        <x:v>15</x:v>
      </x:c>
      <x:c r="D166" s="21" t="str">
        <x:v>symptoms of anxiety</x:v>
      </x:c>
      <x:c r="E166" s="21" t="str">
        <x:v>anxiety symptom measure</x:v>
      </x:c>
      <x:c r="F166" s="22" t="str">
        <x:v>anxiety</x:v>
      </x:c>
      <x:c r="G166" s="22" t="str">
        <x:v>C</x:v>
      </x:c>
      <x:c r="H166" s="22" t="str">
        <x:v>V5</x:v>
      </x:c>
      <x:c r="I166" s="22" t="str">
        <x:v>E5</x:v>
      </x:c>
      <x:c r="J166" s="21" t="str">
        <x:v>RECONSTRUCTED_FROM_REPORT; Fear of Temperature_ Stratified Lexical Expansion, Voice Mapping, and Semantic-Relational Pre-Valida.pdf; p.12; project candidate FT-SEED-R1B-P-2022-15; original visible ID not available</x:v>
      </x:c>
      <x:c r="K166" s="21" t="str">
        <x:v>NO_STANDALONE_HEADWORD</x:v>
      </x:c>
      <x:c r="L166" s="21" t="str">
        <x:v>Component lexical analysis plus anchor-source contextual meaning</x:v>
      </x:c>
      <x:c r="M166" s="21" t="str">
        <x:v>Component headword checked: anxiety.</x:v>
      </x:c>
      <x:c r="N166" s="21" t="str">
        <x:v>Anchor-period research source/context; Webster 1913 stable component URL recorded but automated page retrieval was unavailable</x:v>
      </x:c>
      <x:c r="O166" s="21" t="str">
        <x:v>Anxiety operationalised as a symptom or health measure; the candidate is interpreted in its documented anchor and voice context.</x:v>
      </x:c>
      <x:c r="P166" s="21" t="str">
        <x:v>The candidate's affective or evaluative sense as used by the documented speaker/instrument/research voice at the anchor.</x:v>
      </x:c>
      <x:c r="Q166" s="22" t="str">
        <x:v>NOT_AVAILABLE_IN_ACCESSED_SOURCES</x:v>
      </x:c>
      <x:c r="R166" s="21" t="str">
        <x:v>STRONG</x:v>
      </x:c>
      <x:c r="S166" s="21" t="str">
        <x:v>The surface form may realize multiple senses; candidate meaning remains anchored to the report-visible source context.</x:v>
      </x:c>
      <x:c r="T166" s="21" t="str">
        <x:v>Fear of Temperature_ Stratified Lexical Expansion, Voice Mapping, and Semantic-Relational Pre-Valida.pdf#page=12; https://api.dictionaryapi.dev/api/v2/entries/en/symptoms%20of%20anxiety; https://websters1913.timcieplowski.com/word/anxiety/</x:v>
      </x:c>
      <x:c r="U166" s="49" t="str">
        <x:v>2026-08-26</x:v>
      </x:c>
    </x:row>
    <x:row r="167" ht="19" customHeight="1">
      <x:c r="A167" s="20" t="str">
        <x:v>FT-SEED-R1B-P-2022-16</x:v>
      </x:c>
      <x:c r="B167" s="22" t="str">
        <x:v>2022</x:v>
      </x:c>
      <x:c r="C167" s="22" t="str">
        <x:v>16</x:v>
      </x:c>
      <x:c r="D167" s="21" t="str">
        <x:v>climate anxiety</x:v>
      </x:c>
      <x:c r="E167" s="21" t="str">
        <x:v>climate anxiety research construct</x:v>
      </x:c>
      <x:c r="F167" s="22" t="str">
        <x:v>anxiety</x:v>
      </x:c>
      <x:c r="G167" s="22" t="str">
        <x:v>C</x:v>
      </x:c>
      <x:c r="H167" s="22" t="str">
        <x:v>V1</x:v>
      </x:c>
      <x:c r="I167" s="22" t="str">
        <x:v>E4</x:v>
      </x:c>
      <x:c r="J167" s="21" t="str">
        <x:v>RECONSTRUCTED_FROM_REPORT; Fear of Temperature_ Stratified Lexical Expansion, Voice Mapping, and Semantic-Relational Pre-Valida.pdf; p.12; project candidate FT-SEED-R1B-P-2022-16; original visible ID not available</x:v>
      </x:c>
      <x:c r="K167" s="21" t="str">
        <x:v>TECHNICAL_GLOSSARY</x:v>
      </x:c>
      <x:c r="L167" s="21" t="str">
        <x:v>American Psychological Association / ecoAmerica mental-health terminology</x:v>
      </x:c>
      <x:c r="M167" s="21" t="str">
        <x:v>Component headword checked: anxiety.</x:v>
      </x:c>
      <x:c r="N167" s="21" t="str">
        <x:v>Anchor-period research source/context; Webster 1913 stable component URL recorded but automated page retrieval was unavailable</x:v>
      </x:c>
      <x:c r="O167" s="21" t="str">
        <x:v>An apprehensive or distress-related response associated with climate change; in the 2022 evidence it is primarily a research construct unless participant self-use is separately shown.</x:v>
      </x:c>
      <x:c r="P167" s="21" t="str">
        <x:v>A 2022 research construct for anxiety or distress related to climate change; lay self-labelling requires independent source evidence.</x:v>
      </x:c>
      <x:c r="Q167" s="22" t="str">
        <x:v>NOT_AVAILABLE_IN_ACCESSED_SOURCES</x:v>
      </x:c>
      <x:c r="R167" s="21" t="str">
        <x:v>PARTIAL</x:v>
      </x:c>
      <x:c r="S167" s="21" t="str">
        <x:v>Researcher-coded construct, instrument wording, symptoms, and participant self-use must remain distinct.</x:v>
      </x:c>
      <x:c r="T167" s="21" t="str">
        <x:v>https://www.apa.org/news/press/releases/2021/11/mental-health-effects-climate-change; https://api.dictionaryapi.dev/api/v2/entries/en/climate%20anxiety; https://websters1913.timcieplowski.com/word/anxiety/</x:v>
      </x:c>
      <x:c r="U167" s="49" t="str">
        <x:v>2026-08-26</x:v>
      </x:c>
    </x:row>
    <x:row r="168" ht="19" customHeight="1">
      <x:c r="A168" s="20" t="str">
        <x:v>FT-SEED-R1B-P-2022-17</x:v>
      </x:c>
      <x:c r="B168" s="22" t="str">
        <x:v>2022</x:v>
      </x:c>
      <x:c r="C168" s="22" t="str">
        <x:v>17</x:v>
      </x:c>
      <x:c r="D168" s="21" t="str">
        <x:v>eco-anxiety</x:v>
      </x:c>
      <x:c r="E168" s="21" t="str">
        <x:v>eco-anxiety research construct</x:v>
      </x:c>
      <x:c r="F168" s="22" t="str">
        <x:v>anxiety</x:v>
      </x:c>
      <x:c r="G168" s="22" t="str">
        <x:v>C</x:v>
      </x:c>
      <x:c r="H168" s="22" t="str">
        <x:v>V1</x:v>
      </x:c>
      <x:c r="I168" s="22" t="str">
        <x:v>E5</x:v>
      </x:c>
      <x:c r="J168" s="21" t="str">
        <x:v>RECONSTRUCTED_FROM_REPORT; Fear of Temperature_ Stratified Lexical Expansion, Voice Mapping, and Semantic-Relational Pre-Valida.pdf; p.12; project candidate FT-SEED-R1B-P-2022-17; original visible ID not available</x:v>
      </x:c>
      <x:c r="K168" s="21" t="str">
        <x:v>TECHNICAL_GLOSSARY</x:v>
      </x:c>
      <x:c r="L168" s="21" t="str">
        <x:v>American Psychological Association / ecoAmerica mental-health terminology</x:v>
      </x:c>
      <x:c r="M168" s="21" t="str">
        <x:v>Component headword checked: eco-anxiety.</x:v>
      </x:c>
      <x:c r="N168" s="21" t="str">
        <x:v>Anchor-period research source/context; Webster 1913 stable component URL recorded but automated page retrieval was unavailable</x:v>
      </x:c>
      <x:c r="O168" s="21" t="str">
        <x:v>Persistent worry or distress associated with environmental and ecological threats; provenance is required to distinguish clinical/research labelling from self-description.</x:v>
      </x:c>
      <x:c r="P168" s="21" t="str">
        <x:v>The candidate's affective or evaluative sense as used by the documented speaker/instrument/research voice at the anchor.</x:v>
      </x:c>
      <x:c r="Q168" s="22" t="str">
        <x:v>NOT_AVAILABLE_IN_ACCESSED_SOURCES</x:v>
      </x:c>
      <x:c r="R168" s="21" t="str">
        <x:v>STRONG</x:v>
      </x:c>
      <x:c r="S168" s="21" t="str">
        <x:v>The surface form may realize multiple senses; candidate meaning remains anchored to the report-visible source context.</x:v>
      </x:c>
      <x:c r="T168" s="21" t="str">
        <x:v>https://www.apa.org/news/press/releases/2021/11/mental-health-effects-climate-change; https://api.dictionaryapi.dev/api/v2/entries/en/eco-anxiety; https://websters1913.timcieplowski.com/word/eco-anxiety/</x:v>
      </x:c>
      <x:c r="U168" s="49" t="str">
        <x:v>2026-08-26</x:v>
      </x:c>
    </x:row>
    <x:row r="169" ht="19" customHeight="1">
      <x:c r="A169" s="20" t="str">
        <x:v>FT-SEED-R1B-P-2022-18</x:v>
      </x:c>
      <x:c r="B169" s="22" t="str">
        <x:v>2022</x:v>
      </x:c>
      <x:c r="C169" s="22" t="str">
        <x:v>18</x:v>
      </x:c>
      <x:c r="D169" s="21" t="str">
        <x:v>psychological distress</x:v>
      </x:c>
      <x:c r="E169" s="21" t="str">
        <x:v>psychological distress</x:v>
      </x:c>
      <x:c r="F169" s="22" t="str">
        <x:v>distress_depression</x:v>
      </x:c>
      <x:c r="G169" s="22" t="str">
        <x:v>C</x:v>
      </x:c>
      <x:c r="H169" s="22" t="str">
        <x:v>V1</x:v>
      </x:c>
      <x:c r="I169" s="22" t="str">
        <x:v>E5</x:v>
      </x:c>
      <x:c r="J169" s="21" t="str">
        <x:v>RECONSTRUCTED_FROM_REPORT; Fear of Temperature_ Stratified Lexical Expansion, Voice Mapping, and Semantic-Relational Pre-Valida.pdf; p.12; project candidate FT-SEED-R1B-P-2022-18; original visible ID not available</x:v>
      </x:c>
      <x:c r="K169" s="21" t="str">
        <x:v>TECHNICAL_GLOSSARY</x:v>
      </x:c>
      <x:c r="L169" s="21" t="str">
        <x:v>World Health Organization mental-health terminology</x:v>
      </x:c>
      <x:c r="M169" s="21" t="str">
        <x:v>Component headword checked: distress.</x:v>
      </x:c>
      <x:c r="N169" s="21" t="str">
        <x:v>Anchor-period research source/context; Webster 1913 stable component URL recorded but automated page retrieval was unavailable</x:v>
      </x:c>
      <x:c r="O169" s="21" t="str">
        <x:v>Modern psychological distress as a research, health, or participant category; the candidate is interpreted in its documented anchor and voice context.</x:v>
      </x:c>
      <x:c r="P169" s="21" t="str">
        <x:v>The candidate's affective or evaluative sense as used by the documented speaker/instrument/research voice at the anchor.</x:v>
      </x:c>
      <x:c r="Q169" s="22" t="str">
        <x:v>NOT_AVAILABLE_IN_ACCESSED_SOURCES</x:v>
      </x:c>
      <x:c r="R169" s="21" t="str">
        <x:v>STRONG</x:v>
      </x:c>
      <x:c r="S169" s="21" t="str">
        <x:v>The surface form may realize multiple senses; candidate meaning remains anchored to the report-visible source context.</x:v>
      </x:c>
      <x:c r="T169" s="21" t="str">
        <x:v>https://www.who.int/news-room/fact-sheets/detail/climate-change-and-health; https://api.dictionaryapi.dev/api/v2/entries/en/psychological%20distress; https://websters1913.timcieplowski.com/word/distress/</x:v>
      </x:c>
      <x:c r="U169" s="49" t="str">
        <x:v>2026-08-26</x:v>
      </x:c>
    </x:row>
    <x:row r="170" ht="19" customHeight="1">
      <x:c r="A170" s="20" t="str">
        <x:v>FT-SEED-R1B-P-2022-19</x:v>
      </x:c>
      <x:c r="B170" s="22" t="str">
        <x:v>2022</x:v>
      </x:c>
      <x:c r="C170" s="22" t="str">
        <x:v>19</x:v>
      </x:c>
      <x:c r="D170" s="21" t="str">
        <x:v>distress</x:v>
      </x:c>
      <x:c r="E170" s="21" t="str">
        <x:v>psychological distress</x:v>
      </x:c>
      <x:c r="F170" s="22" t="str">
        <x:v>distress_depression</x:v>
      </x:c>
      <x:c r="G170" s="22" t="str">
        <x:v>C</x:v>
      </x:c>
      <x:c r="H170" s="22" t="str">
        <x:v>V1</x:v>
      </x:c>
      <x:c r="I170" s="22" t="str">
        <x:v>E5</x:v>
      </x:c>
      <x:c r="J170" s="21" t="str">
        <x:v>RECONSTRUCTED_FROM_REPORT; Fear of Temperature_ Stratified Lexical Expansion, Voice Mapping, and Semantic-Relational Pre-Valida.pdf; p.13; project candidate FT-SEED-R1B-P-2022-19; original visible ID not available</x:v>
      </x:c>
      <x:c r="K170" s="21" t="str">
        <x:v>DIRECT_HEADWORD</x:v>
      </x:c>
      <x:c r="L170" s="21" t="str">
        <x:v>Webster's Revised Unabridged Dictionary (1913 public-domain headword index)</x:v>
      </x:c>
      <x:c r="M170" s="21" t="str">
        <x:v>Component headword checked: distress.</x:v>
      </x:c>
      <x:c r="N170" s="21" t="str">
        <x:v>Anchor-period research source/context; Webster 1913 stable component URL recorded but automated page retrieval was unavailable</x:v>
      </x:c>
      <x:c r="O170" s="21" t="str">
        <x:v>Modern psychological distress as a research, health, or participant category; the candidate is interpreted in its documented anchor and voice context.</x:v>
      </x:c>
      <x:c r="P170" s="21" t="str">
        <x:v>The candidate's affective or evaluative sense as used by the documented speaker/instrument/research voice at the anchor.</x:v>
      </x:c>
      <x:c r="Q170" s="22" t="str">
        <x:v>NOT_AVAILABLE_IN_ACCESSED_SOURCES</x:v>
      </x:c>
      <x:c r="R170" s="21" t="str">
        <x:v>STRONG</x:v>
      </x:c>
      <x:c r="S170" s="21" t="str">
        <x:v>The surface form may realize multiple senses; candidate meaning remains anchored to the report-visible source context.</x:v>
      </x:c>
      <x:c r="T170" s="21" t="str">
        <x:v>https://websters1913.timcieplowski.com/word/distress/; https://api.dictionaryapi.dev/api/v2/entries/en/distress</x:v>
      </x:c>
      <x:c r="U170" s="49" t="str">
        <x:v>2026-08-26</x:v>
      </x:c>
    </x:row>
    <x:row r="171" ht="19" customHeight="1">
      <x:c r="A171" s="20" t="str">
        <x:v>FT-SEED-R1B-P-2022-20</x:v>
      </x:c>
      <x:c r="B171" s="22" t="str">
        <x:v>2022</x:v>
      </x:c>
      <x:c r="C171" s="22" t="str">
        <x:v>20</x:v>
      </x:c>
      <x:c r="D171" s="21" t="str">
        <x:v>powerlessness</x:v>
      </x:c>
      <x:c r="E171" s="21" t="str">
        <x:v>depressed affect</x:v>
      </x:c>
      <x:c r="F171" s="22" t="str">
        <x:v>distress_depression</x:v>
      </x:c>
      <x:c r="G171" s="22" t="str">
        <x:v>C</x:v>
      </x:c>
      <x:c r="H171" s="22" t="str">
        <x:v>V1</x:v>
      </x:c>
      <x:c r="I171" s="22" t="str">
        <x:v>E5</x:v>
      </x:c>
      <x:c r="J171" s="21" t="str">
        <x:v>RECONSTRUCTED_FROM_REPORT; Fear of Temperature_ Stratified Lexical Expansion, Voice Mapping, and Semantic-Relational Pre-Valida.pdf; p.13; project candidate FT-SEED-R1B-P-2022-20; original visible ID not available</x:v>
      </x:c>
      <x:c r="K171" s="21" t="str">
        <x:v>DIRECT_HEADWORD</x:v>
      </x:c>
      <x:c r="L171" s="21" t="str">
        <x:v>Webster's Revised Unabridged Dictionary (1913 public-domain headword index)</x:v>
      </x:c>
      <x:c r="M171" s="21" t="str">
        <x:v>Component headword checked: powerlessness.</x:v>
      </x:c>
      <x:c r="N171" s="21" t="str">
        <x:v>Anchor-period research source/context; Webster 1913 stable component URL recorded but automated page retrieval was unavailable</x:v>
      </x:c>
      <x:c r="O171" s="21" t="str">
        <x:v>Depressed affect directly expressed or instrument-endorsed in a climate context; the candidate is interpreted in its documented anchor and voice context.</x:v>
      </x:c>
      <x:c r="P171" s="21" t="str">
        <x:v>The candidate's affective or evaluative sense as used by the documented speaker/instrument/research voice at the anchor.</x:v>
      </x:c>
      <x:c r="Q171" s="22" t="str">
        <x:v>NOT_AVAILABLE_IN_ACCESSED_SOURCES</x:v>
      </x:c>
      <x:c r="R171" s="21" t="str">
        <x:v>STRONG</x:v>
      </x:c>
      <x:c r="S171" s="21" t="str">
        <x:v>The surface form may realize multiple senses; candidate meaning remains anchored to the report-visible source context.</x:v>
      </x:c>
      <x:c r="T171" s="21" t="str">
        <x:v>https://websters1913.timcieplowski.com/word/powerlessness/; https://api.dictionaryapi.dev/api/v2/entries/en/powerlessness</x:v>
      </x:c>
      <x:c r="U171" s="49" t="str">
        <x:v>2026-08-26</x:v>
      </x:c>
    </x:row>
    <x:row r="172" ht="19" customHeight="1">
      <x:c r="A172" s="20" t="str">
        <x:v>FT-SEED-R1B-P-2022-21</x:v>
      </x:c>
      <x:c r="B172" s="22" t="str">
        <x:v>2022</x:v>
      </x:c>
      <x:c r="C172" s="22" t="str">
        <x:v>21</x:v>
      </x:c>
      <x:c r="D172" s="21" t="str">
        <x:v>guilt</x:v>
      </x:c>
      <x:c r="E172" s="21" t="str">
        <x:v>depressed affect</x:v>
      </x:c>
      <x:c r="F172" s="22" t="str">
        <x:v>distress_depression</x:v>
      </x:c>
      <x:c r="G172" s="22" t="str">
        <x:v>C</x:v>
      </x:c>
      <x:c r="H172" s="22" t="str">
        <x:v>V1</x:v>
      </x:c>
      <x:c r="I172" s="22" t="str">
        <x:v>E5</x:v>
      </x:c>
      <x:c r="J172" s="21" t="str">
        <x:v>RECONSTRUCTED_FROM_REPORT; Fear of Temperature_ Stratified Lexical Expansion, Voice Mapping, and Semantic-Relational Pre-Valida.pdf; p.12; project candidate FT-SEED-R1B-P-2022-21; original visible ID not available</x:v>
      </x:c>
      <x:c r="K172" s="21" t="str">
        <x:v>DIRECT_HEADWORD</x:v>
      </x:c>
      <x:c r="L172" s="21" t="str">
        <x:v>Webster's Revised Unabridged Dictionary (1913 public-domain headword index)</x:v>
      </x:c>
      <x:c r="M172" s="21" t="str">
        <x:v>Component headword checked: guilt.</x:v>
      </x:c>
      <x:c r="N172" s="21" t="str">
        <x:v>Anchor-period research source/context; Webster 1913 stable component URL recorded but automated page retrieval was unavailable</x:v>
      </x:c>
      <x:c r="O172" s="21" t="str">
        <x:v>Depressed affect directly expressed or instrument-endorsed in a climate context; the candidate is interpreted in its documented anchor and voice context.</x:v>
      </x:c>
      <x:c r="P172" s="21" t="str">
        <x:v>The candidate's affective or evaluative sense as used by the documented speaker/instrument/research voice at the anchor.</x:v>
      </x:c>
      <x:c r="Q172" s="22" t="str">
        <x:v>NOT_AVAILABLE_IN_ACCESSED_SOURCES</x:v>
      </x:c>
      <x:c r="R172" s="21" t="str">
        <x:v>STRONG</x:v>
      </x:c>
      <x:c r="S172" s="21" t="str">
        <x:v>The surface form may realize multiple senses; candidate meaning remains anchored to the report-visible source context.</x:v>
      </x:c>
      <x:c r="T172" s="21" t="str">
        <x:v>https://websters1913.timcieplowski.com/word/guilt/; https://api.dictionaryapi.dev/api/v2/entries/en/guilt</x:v>
      </x:c>
      <x:c r="U172" s="49" t="str">
        <x:v>2026-08-26</x:v>
      </x:c>
    </x:row>
    <x:row r="173" ht="19" customHeight="1">
      <x:c r="A173" s="20" t="str">
        <x:v>FT-SEED-R1B-P-2022-22</x:v>
      </x:c>
      <x:c r="B173" s="22" t="str">
        <x:v>2022</x:v>
      </x:c>
      <x:c r="C173" s="22" t="str">
        <x:v>22</x:v>
      </x:c>
      <x:c r="D173" s="21" t="str">
        <x:v>heatwaves</x:v>
      </x:c>
      <x:c r="E173" s="21" t="str">
        <x:v>heatwave / weather event</x:v>
      </x:c>
      <x:c r="F173" s="22" t="str">
        <x:v>heat</x:v>
      </x:c>
      <x:c r="G173" s="22" t="str">
        <x:v>A</x:v>
      </x:c>
      <x:c r="H173" s="22" t="str">
        <x:v>V1</x:v>
      </x:c>
      <x:c r="I173" s="22" t="str">
        <x:v>E5</x:v>
      </x:c>
      <x:c r="J173" s="21" t="str">
        <x:v>RECONSTRUCTED_FROM_REPORT; Fear of Temperature_ Stratified Lexical Expansion, Voice Mapping, and Semantic-Relational Pre-Valida.pdf; p.12; project candidate FT-SEED-R1B-P-2022-22; original visible ID not available</x:v>
      </x:c>
      <x:c r="K173" s="21" t="str">
        <x:v>DIRECT_HEADWORD</x:v>
      </x:c>
      <x:c r="L173" s="21" t="str">
        <x:v>Webster's Revised Unabridged Dictionary (1913 public-domain headword index)</x:v>
      </x:c>
      <x:c r="M173" s="21" t="str">
        <x:v>Component headword checked: heatwaves.</x:v>
      </x:c>
      <x:c r="N173" s="21" t="str">
        <x:v>Anchor-period research source/context; Webster 1913 stable component URL recorded but automated page retrieval was unavailable</x:v>
      </x:c>
      <x:c r="O173" s="21" t="str">
        <x:v>A bounded hot-weather or heatwave event; the candidate is interpreted in its documented anchor and voice context.</x:v>
      </x:c>
      <x:c r="P173" s="21" t="str">
        <x:v>A physical temperature, warming, heat, or measurement sense in the documented anchor context.</x:v>
      </x:c>
      <x:c r="Q173" s="22" t="str">
        <x:v>NOT_AVAILABLE_IN_ACCESSED_SOURCES</x:v>
      </x:c>
      <x:c r="R173" s="21" t="str">
        <x:v>STRONG</x:v>
      </x:c>
      <x:c r="S173" s="21" t="str">
        <x:v>The surface form may realize multiple senses; candidate meaning remains anchored to the report-visible source context.</x:v>
      </x:c>
      <x:c r="T173" s="21" t="str">
        <x:v>https://websters1913.timcieplowski.com/word/heatwaves/; https://api.dictionaryapi.dev/api/v2/entries/en/heatwaves</x:v>
      </x:c>
      <x:c r="U173" s="49" t="str">
        <x:v>2026-08-26</x:v>
      </x:c>
    </x:row>
    <x:row r="174" ht="19" customHeight="1">
      <x:c r="A174" s="20" t="str">
        <x:v>FT-SEED-R1B-P-2022-23</x:v>
      </x:c>
      <x:c r="B174" s="22" t="str">
        <x:v>2022</x:v>
      </x:c>
      <x:c r="C174" s="22" t="str">
        <x:v>23</x:v>
      </x:c>
      <x:c r="D174" s="21" t="str">
        <x:v>heat-related mortality</x:v>
      </x:c>
      <x:c r="E174" s="21" t="str">
        <x:v>extreme-heat hazard</x:v>
      </x:c>
      <x:c r="F174" s="22" t="str">
        <x:v>heat</x:v>
      </x:c>
      <x:c r="G174" s="22" t="str">
        <x:v>D</x:v>
      </x:c>
      <x:c r="H174" s="22" t="str">
        <x:v>V1</x:v>
      </x:c>
      <x:c r="I174" s="22" t="str">
        <x:v>E5</x:v>
      </x:c>
      <x:c r="J174" s="21" t="str">
        <x:v>RECONSTRUCTED_FROM_REPORT; Fear of Temperature_ Stratified Lexical Expansion, Voice Mapping, and Semantic-Relational Pre-Valida.pdf; p.12; project candidate FT-SEED-R1B-P-2022-23; original visible ID not available</x:v>
      </x:c>
      <x:c r="K174" s="21" t="str">
        <x:v>TECHNICAL_GLOSSARY</x:v>
      </x:c>
      <x:c r="L174" s="21" t="str">
        <x:v>IPCC climate-science glossary / assessment terminology</x:v>
      </x:c>
      <x:c r="M174" s="21" t="str">
        <x:v>Component headword checked: mortality.</x:v>
      </x:c>
      <x:c r="N174" s="21" t="str">
        <x:v>Anchor-period research source/context; Webster 1913 stable component URL recorded but automated page retrieval was unavailable</x:v>
      </x:c>
      <x:c r="O174" s="21" t="str">
        <x:v>Deaths attributable to, or materially associated with, exposure to high ambient temperatures.</x:v>
      </x:c>
      <x:c r="P174" s="21" t="str">
        <x:v>A threat, risk, harm, severity, or consequence sense in the documented source; it is not automatically an emotion.</x:v>
      </x:c>
      <x:c r="Q174" s="22" t="str">
        <x:v>NOT_AVAILABLE_IN_ACCESSED_SOURCES</x:v>
      </x:c>
      <x:c r="R174" s="21" t="str">
        <x:v>STRONG</x:v>
      </x:c>
      <x:c r="S174" s="21" t="str">
        <x:v>The surface form may realize multiple senses; candidate meaning remains anchored to the report-visible source context.</x:v>
      </x:c>
      <x:c r="T174" s="21" t="str">
        <x:v>https://www.ipcc.ch/site/assets/uploads/2018/02/WGIIAR5-AnnexII_FINAL.pdf; https://api.dictionaryapi.dev/api/v2/entries/en/heat-related%20mortality; https://websters1913.timcieplowski.com/word/mortality/</x:v>
      </x:c>
      <x:c r="U174" s="49" t="str">
        <x:v>2026-08-26</x:v>
      </x:c>
    </x:row>
    <x:row r="175" ht="19" customHeight="1">
      <x:c r="A175" s="20" t="str">
        <x:v>FT-SEED-R1B-P-2022-24</x:v>
      </x:c>
      <x:c r="B175" s="22" t="str">
        <x:v>2022</x:v>
      </x:c>
      <x:c r="C175" s="22" t="str">
        <x:v>24</x:v>
      </x:c>
      <x:c r="D175" s="21" t="str">
        <x:v>mental health challenges</x:v>
      </x:c>
      <x:c r="E175" s="21" t="str">
        <x:v>generic damage</x:v>
      </x:c>
      <x:c r="F175" s="22" t="str">
        <x:v>harm_loss_consequences</x:v>
      </x:c>
      <x:c r="G175" s="22" t="str">
        <x:v>D</x:v>
      </x:c>
      <x:c r="H175" s="22" t="str">
        <x:v>V1</x:v>
      </x:c>
      <x:c r="I175" s="22" t="str">
        <x:v>E5</x:v>
      </x:c>
      <x:c r="J175" s="21" t="str">
        <x:v>RECONSTRUCTED_FROM_REPORT; Fear of Temperature_ Stratified Lexical Expansion, Voice Mapping, and Semantic-Relational Pre-Valida.pdf; p.12; project candidate FT-SEED-R1B-P-2022-24; original visible ID not available</x:v>
      </x:c>
      <x:c r="K175" s="21" t="str">
        <x:v>NO_STANDALONE_HEADWORD</x:v>
      </x:c>
      <x:c r="L175" s="21" t="str">
        <x:v>Component lexical analysis plus anchor-source contextual meaning</x:v>
      </x:c>
      <x:c r="M175" s="21" t="str">
        <x:v>Component headword checked: challenges.</x:v>
      </x:c>
      <x:c r="N175" s="21" t="str">
        <x:v>Anchor-period research source/context; Webster 1913 stable component URL recorded but automated page retrieval was unavailable</x:v>
      </x:c>
      <x:c r="O175" s="21" t="str">
        <x:v>Generic material, ecological, or social damage; the candidate is interpreted in its documented anchor and voice context.</x:v>
      </x:c>
      <x:c r="P175" s="21" t="str">
        <x:v>A threat, risk, harm, severity, or consequence sense in the documented source; it is not automatically an emotion.</x:v>
      </x:c>
      <x:c r="Q175" s="22" t="str">
        <x:v>NOT_AVAILABLE_IN_ACCESSED_SOURCES</x:v>
      </x:c>
      <x:c r="R175" s="21" t="str">
        <x:v>STRONG</x:v>
      </x:c>
      <x:c r="S175" s="21" t="str">
        <x:v>The surface form may realize multiple senses; candidate meaning remains anchored to the report-visible source context.</x:v>
      </x:c>
      <x:c r="T175" s="21" t="str">
        <x:v>Fear of Temperature_ Stratified Lexical Expansion, Voice Mapping, and Semantic-Relational Pre-Valida.pdf#page=12; https://api.dictionaryapi.dev/api/v2/entries/en/mental%20health%20challenges; https://websters1913.timcieplowski.com/word/challenges/</x:v>
      </x:c>
      <x:c r="U175" s="49" t="str">
        <x:v>2026-08-26</x:v>
      </x:c>
    </x:row>
    <x:row r="176" ht="19" customHeight="1">
      <x:c r="A176" s="20" t="str">
        <x:v>FT-SEED-R1B-P-2022-25</x:v>
      </x:c>
      <x:c r="B176" s="22" t="str">
        <x:v>2022</x:v>
      </x:c>
      <x:c r="C176" s="22" t="str">
        <x:v>25</x:v>
      </x:c>
      <x:c r="D176" s="21" t="str">
        <x:v>anxiety and stress</x:v>
      </x:c>
      <x:c r="E176" s="21" t="str">
        <x:v>anxiety symptom measure</x:v>
      </x:c>
      <x:c r="F176" s="22" t="str">
        <x:v>anxiety</x:v>
      </x:c>
      <x:c r="G176" s="22" t="str">
        <x:v>C</x:v>
      </x:c>
      <x:c r="H176" s="22" t="str">
        <x:v>V1</x:v>
      </x:c>
      <x:c r="I176" s="22" t="str">
        <x:v>E5</x:v>
      </x:c>
      <x:c r="J176" s="21" t="str">
        <x:v>RECONSTRUCTED_FROM_REPORT; Fear of Temperature_ Stratified Lexical Expansion, Voice Mapping, and Semantic-Relational Pre-Valida.pdf; p.12; project candidate FT-SEED-R1B-P-2022-25; original visible ID not available</x:v>
      </x:c>
      <x:c r="K176" s="21" t="str">
        <x:v>NO_STANDALONE_HEADWORD</x:v>
      </x:c>
      <x:c r="L176" s="21" t="str">
        <x:v>Component lexical analysis plus anchor-source contextual meaning</x:v>
      </x:c>
      <x:c r="M176" s="21" t="str">
        <x:v>Component headword checked: stress.</x:v>
      </x:c>
      <x:c r="N176" s="21" t="str">
        <x:v>Anchor-period research source/context; Webster 1913 stable component URL recorded but automated page retrieval was unavailable</x:v>
      </x:c>
      <x:c r="O176" s="21" t="str">
        <x:v>Anxiety operationalised as a symptom or health measure; the candidate is interpreted in its documented anchor and voice context.</x:v>
      </x:c>
      <x:c r="P176" s="21" t="str">
        <x:v>The candidate's affective or evaluative sense as used by the documented speaker/instrument/research voice at the anchor.</x:v>
      </x:c>
      <x:c r="Q176" s="22" t="str">
        <x:v>NOT_AVAILABLE_IN_ACCESSED_SOURCES</x:v>
      </x:c>
      <x:c r="R176" s="21" t="str">
        <x:v>STRONG</x:v>
      </x:c>
      <x:c r="S176" s="21" t="str">
        <x:v>The surface form may realize multiple senses; candidate meaning remains anchored to the report-visible source context.</x:v>
      </x:c>
      <x:c r="T176" s="21" t="str">
        <x:v>Fear of Temperature_ Stratified Lexical Expansion, Voice Mapping, and Semantic-Relational Pre-Valida.pdf#page=12; https://api.dictionaryapi.dev/api/v2/entries/en/anxiety%20and%20stress; https://websters1913.timcieplowski.com/word/stress/</x:v>
      </x:c>
      <x:c r="U176" s="49" t="str">
        <x:v>2026-08-26</x:v>
      </x:c>
    </x:row>
    <x:row r="177" ht="19" customHeight="1">
      <x:c r="A177" s="20" t="str">
        <x:v>FT-SEED-R1B-P-2022-26</x:v>
      </x:c>
      <x:c r="B177" s="22" t="str">
        <x:v>2022</x:v>
      </x:c>
      <x:c r="C177" s="22" t="str">
        <x:v>26</x:v>
      </x:c>
      <x:c r="D177" s="21" t="str">
        <x:v>ill health</x:v>
      </x:c>
      <x:c r="E177" s="21" t="str">
        <x:v>generic damage</x:v>
      </x:c>
      <x:c r="F177" s="22" t="str">
        <x:v>harm_loss_consequences</x:v>
      </x:c>
      <x:c r="G177" s="22" t="str">
        <x:v>D</x:v>
      </x:c>
      <x:c r="H177" s="22" t="str">
        <x:v>V1</x:v>
      </x:c>
      <x:c r="I177" s="22" t="str">
        <x:v>E5</x:v>
      </x:c>
      <x:c r="J177" s="21" t="str">
        <x:v>RECONSTRUCTED_FROM_REPORT; Fear of Temperature_ Stratified Lexical Expansion, Voice Mapping, and Semantic-Relational Pre-Valida.pdf; p.12; project candidate FT-SEED-R1B-P-2022-26; original visible ID not available</x:v>
      </x:c>
      <x:c r="K177" s="21" t="str">
        <x:v>NO_STANDALONE_HEADWORD</x:v>
      </x:c>
      <x:c r="L177" s="21" t="str">
        <x:v>Component lexical analysis plus anchor-source contextual meaning</x:v>
      </x:c>
      <x:c r="M177" s="21" t="str">
        <x:v>Component headword checked: health.</x:v>
      </x:c>
      <x:c r="N177" s="21" t="str">
        <x:v>Anchor-period research source/context; Webster 1913 stable component URL recorded but automated page retrieval was unavailable</x:v>
      </x:c>
      <x:c r="O177" s="21" t="str">
        <x:v>Generic material, ecological, or social damage; the candidate is interpreted in its documented anchor and voice context.</x:v>
      </x:c>
      <x:c r="P177" s="21" t="str">
        <x:v>A threat, risk, harm, severity, or consequence sense in the documented source; it is not automatically an emotion.</x:v>
      </x:c>
      <x:c r="Q177" s="22" t="str">
        <x:v>NOT_AVAILABLE_IN_ACCESSED_SOURCES</x:v>
      </x:c>
      <x:c r="R177" s="21" t="str">
        <x:v>STRONG</x:v>
      </x:c>
      <x:c r="S177" s="21" t="str">
        <x:v>The surface form may realize multiple senses; candidate meaning remains anchored to the report-visible source context.</x:v>
      </x:c>
      <x:c r="T177" s="21" t="str">
        <x:v>Fear of Temperature_ Stratified Lexical Expansion, Voice Mapping, and Semantic-Relational Pre-Valida.pdf#page=12; https://api.dictionaryapi.dev/api/v2/entries/en/ill%20health; https://websters1913.timcieplowski.com/word/health/</x:v>
      </x:c>
      <x:c r="U177" s="49" t="str">
        <x:v>2026-08-26</x:v>
      </x:c>
    </x:row>
    <x:row r="178" ht="19" customHeight="1">
      <x:c r="A178" s="20" t="str">
        <x:v>FT-SEED-R1B-P-2022-27</x:v>
      </x:c>
      <x:c r="B178" s="22" t="str">
        <x:v>2022</x:v>
      </x:c>
      <x:c r="C178" s="22" t="str">
        <x:v>27</x:v>
      </x:c>
      <x:c r="D178" s="21" t="str">
        <x:v>premature deaths</x:v>
      </x:c>
      <x:c r="E178" s="21" t="str">
        <x:v>mortality</x:v>
      </x:c>
      <x:c r="F178" s="22" t="str">
        <x:v>harm_loss_consequences</x:v>
      </x:c>
      <x:c r="G178" s="22" t="str">
        <x:v>D</x:v>
      </x:c>
      <x:c r="H178" s="22" t="str">
        <x:v>V1</x:v>
      </x:c>
      <x:c r="I178" s="22" t="str">
        <x:v>E5</x:v>
      </x:c>
      <x:c r="J178" s="21" t="str">
        <x:v>RECONSTRUCTED_FROM_REPORT; Fear of Temperature_ Stratified Lexical Expansion, Voice Mapping, and Semantic-Relational Pre-Valida.pdf; p.12; project candidate FT-SEED-R1B-P-2022-27; original visible ID not available</x:v>
      </x:c>
      <x:c r="K178" s="21" t="str">
        <x:v>NO_STANDALONE_HEADWORD</x:v>
      </x:c>
      <x:c r="L178" s="21" t="str">
        <x:v>Component lexical analysis plus anchor-source contextual meaning</x:v>
      </x:c>
      <x:c r="M178" s="21" t="str">
        <x:v>Component headword checked: deaths.</x:v>
      </x:c>
      <x:c r="N178" s="21" t="str">
        <x:v>Anchor-period research source/context; Webster 1913 stable component URL recorded but automated page retrieval was unavailable</x:v>
      </x:c>
      <x:c r="O178" s="21" t="str">
        <x:v>Death or mortality attributed to heat or climate consequences; the candidate is interpreted in its documented anchor and voice context.</x:v>
      </x:c>
      <x:c r="P178" s="21" t="str">
        <x:v>A threat, risk, harm, severity, or consequence sense in the documented source; it is not automatically an emotion.</x:v>
      </x:c>
      <x:c r="Q178" s="22" t="str">
        <x:v>NOT_AVAILABLE_IN_ACCESSED_SOURCES</x:v>
      </x:c>
      <x:c r="R178" s="21" t="str">
        <x:v>STRONG</x:v>
      </x:c>
      <x:c r="S178" s="21" t="str">
        <x:v>The surface form may realize multiple senses; candidate meaning remains anchored to the report-visible source context.</x:v>
      </x:c>
      <x:c r="T178" s="21" t="str">
        <x:v>Fear of Temperature_ Stratified Lexical Expansion, Voice Mapping, and Semantic-Relational Pre-Valida.pdf#page=12; https://api.dictionaryapi.dev/api/v2/entries/en/premature%20deaths; https://websters1913.timcieplowski.com/word/deaths/</x:v>
      </x:c>
      <x:c r="U178" s="49" t="str">
        <x:v>2026-08-26</x:v>
      </x:c>
    </x:row>
    <x:row r="179" ht="19" customHeight="1">
      <x:c r="A179" s="20" t="str">
        <x:v>FT-SEED-R1B-P-2022-28</x:v>
      </x:c>
      <x:c r="B179" s="22" t="str">
        <x:v>2022</x:v>
      </x:c>
      <x:c r="C179" s="22" t="str">
        <x:v>28</x:v>
      </x:c>
      <x:c r="D179" s="21" t="str">
        <x:v>very serious threat</x:v>
      </x:c>
      <x:c r="E179" s="21" t="str">
        <x:v>institutional climate threat</x:v>
      </x:c>
      <x:c r="F179" s="22" t="str">
        <x:v>danger_threat</x:v>
      </x:c>
      <x:c r="G179" s="22" t="str">
        <x:v>D</x:v>
      </x:c>
      <x:c r="H179" s="22" t="str">
        <x:v>V5</x:v>
      </x:c>
      <x:c r="I179" s="22" t="str">
        <x:v>E5</x:v>
      </x:c>
      <x:c r="J179" s="21" t="str">
        <x:v>RECONSTRUCTED_FROM_REPORT; Fear of Temperature_ Stratified Lexical Expansion, Voice Mapping, and Semantic-Relational Pre-Valida.pdf; p.12; project candidate FT-SEED-R1B-P-2022-28; original visible ID not available</x:v>
      </x:c>
      <x:c r="K179" s="21" t="str">
        <x:v>NO_STANDALONE_HEADWORD</x:v>
      </x:c>
      <x:c r="L179" s="21" t="str">
        <x:v>Component lexical analysis plus anchor-source contextual meaning</x:v>
      </x:c>
      <x:c r="M179" s="21" t="str">
        <x:v>Component headword checked: threat.</x:v>
      </x:c>
      <x:c r="N179" s="21" t="str">
        <x:v>Anchor-period research source/context; Webster 1913 stable component URL recorded but automated page retrieval was unavailable</x:v>
      </x:c>
      <x:c r="O179" s="21" t="str">
        <x:v>Climate change framed as an institutional threat; the candidate is interpreted in its documented anchor and voice context.</x:v>
      </x:c>
      <x:c r="P179" s="21" t="str">
        <x:v>A threat, risk, harm, severity, or consequence sense in the documented source; it is not automatically an emotion.</x:v>
      </x:c>
      <x:c r="Q179" s="22" t="str">
        <x:v>NOT_AVAILABLE_IN_ACCESSED_SOURCES</x:v>
      </x:c>
      <x:c r="R179" s="21" t="str">
        <x:v>STRONG</x:v>
      </x:c>
      <x:c r="S179" s="21" t="str">
        <x:v>The surface form may realize multiple senses; candidate meaning remains anchored to the report-visible source context.</x:v>
      </x:c>
      <x:c r="T179" s="21" t="str">
        <x:v>Fear of Temperature_ Stratified Lexical Expansion, Voice Mapping, and Semantic-Relational Pre-Valida.pdf#page=12; https://api.dictionaryapi.dev/api/v2/entries/en/very%20serious%20threat; https://websters1913.timcieplowski.com/word/threat/</x:v>
      </x:c>
      <x:c r="U179" s="49" t="str">
        <x:v>2026-08-26</x:v>
      </x:c>
    </x:row>
    <x:row r="180" ht="19" customHeight="1">
      <x:c r="A180" s="20" t="str">
        <x:v>FT-SEED-R1B-P-2022-29</x:v>
      </x:c>
      <x:c r="B180" s="22" t="str">
        <x:v>2022</x:v>
      </x:c>
      <x:c r="C180" s="22" t="str">
        <x:v>29</x:v>
      </x:c>
      <x:c r="D180" s="21" t="str">
        <x:v>harm future generations</x:v>
      </x:c>
      <x:c r="E180" s="21" t="str">
        <x:v>future-generation harm</x:v>
      </x:c>
      <x:c r="F180" s="22" t="str">
        <x:v>harm_loss_consequences</x:v>
      </x:c>
      <x:c r="G180" s="22" t="str">
        <x:v>D</x:v>
      </x:c>
      <x:c r="H180" s="22" t="str">
        <x:v>V5</x:v>
      </x:c>
      <x:c r="I180" s="22" t="str">
        <x:v>E5</x:v>
      </x:c>
      <x:c r="J180" s="21" t="str">
        <x:v>RECONSTRUCTED_FROM_REPORT; Fear of Temperature_ Stratified Lexical Expansion, Voice Mapping, and Semantic-Relational Pre-Valida.pdf; p.13; project candidate FT-SEED-R1B-P-2022-29; original visible ID not available</x:v>
      </x:c>
      <x:c r="K180" s="21" t="str">
        <x:v>NO_STANDALONE_HEADWORD</x:v>
      </x:c>
      <x:c r="L180" s="21" t="str">
        <x:v>Component lexical analysis plus anchor-source contextual meaning</x:v>
      </x:c>
      <x:c r="M180" s="21" t="str">
        <x:v>Component headword checked: generations.</x:v>
      </x:c>
      <x:c r="N180" s="21" t="str">
        <x:v>Anchor-period research source/context; Webster 1913 stable component URL recorded but automated page retrieval was unavailable</x:v>
      </x:c>
      <x:c r="O180" s="21" t="str">
        <x:v>Harm or loss explicitly attributed to future generations; the candidate is interpreted in its documented anchor and voice context.</x:v>
      </x:c>
      <x:c r="P180" s="21" t="str">
        <x:v>A threat, risk, harm, severity, or consequence sense in the documented source; it is not automatically an emotion.</x:v>
      </x:c>
      <x:c r="Q180" s="22" t="str">
        <x:v>NOT_AVAILABLE_IN_ACCESSED_SOURCES</x:v>
      </x:c>
      <x:c r="R180" s="21" t="str">
        <x:v>STRONG</x:v>
      </x:c>
      <x:c r="S180" s="21" t="str">
        <x:v>The surface form may realize multiple senses; candidate meaning remains anchored to the report-visible source context.</x:v>
      </x:c>
      <x:c r="T180" s="21" t="str">
        <x:v>Fear of Temperature_ Stratified Lexical Expansion, Voice Mapping, and Semantic-Relational Pre-Valida.pdf#page=13; https://api.dictionaryapi.dev/api/v2/entries/en/harm%20future%20generations; https://websters1913.timcieplowski.com/word/generations/</x:v>
      </x:c>
      <x:c r="U180" s="49" t="str">
        <x:v>2026-08-26</x:v>
      </x:c>
    </x:row>
    <x:row r="181" ht="19" customHeight="1">
      <x:c r="A181" s="24" t="str">
        <x:v>FT-SEED-R1B-P-2022-30</x:v>
      </x:c>
      <x:c r="B181" s="26" t="str">
        <x:v>2022</x:v>
      </x:c>
      <x:c r="C181" s="26" t="str">
        <x:v>30</x:v>
      </x:c>
      <x:c r="D181" s="25" t="str">
        <x:v>climate crisis</x:v>
      </x:c>
      <x:c r="E181" s="25" t="str">
        <x:v>climate crisis issue label</x:v>
      </x:c>
      <x:c r="F181" s="26" t="str">
        <x:v>crisis_emergency</x:v>
      </x:c>
      <x:c r="G181" s="26" t="str">
        <x:v>D</x:v>
      </x:c>
      <x:c r="H181" s="26" t="str">
        <x:v>V4</x:v>
      </x:c>
      <x:c r="I181" s="26" t="str">
        <x:v>E5</x:v>
      </x:c>
      <x:c r="J181" s="25" t="str">
        <x:v>RECONSTRUCTED_FROM_REPORT; Fear of Temperature_ Stratified Lexical Expansion, Voice Mapping, and Semantic-Relational Pre-Valida.pdf; p.13; project candidate FT-SEED-R1B-P-2022-30; original visible ID not available</x:v>
      </x:c>
      <x:c r="K181" s="25" t="str">
        <x:v>TECHNICAL_GLOSSARY</x:v>
      </x:c>
      <x:c r="L181" s="25" t="str">
        <x:v>IPCC climate-science glossary / assessment terminology</x:v>
      </x:c>
      <x:c r="M181" s="25" t="str">
        <x:v>Component headword checked: crisis.</x:v>
      </x:c>
      <x:c r="N181" s="25" t="str">
        <x:v>Anchor-period research source/context; Webster 1913 stable component URL recorded but automated page retrieval was unavailable</x:v>
      </x:c>
      <x:c r="O181" s="25" t="str">
        <x:v>Climate crisis used as an established issue label; the candidate is interpreted in its documented anchor and voice context.</x:v>
      </x:c>
      <x:c r="P181" s="25" t="str">
        <x:v>A threat, risk, harm, severity, or consequence sense in the documented source; it is not automatically an emotion.</x:v>
      </x:c>
      <x:c r="Q181" s="26" t="str">
        <x:v>NOT_AVAILABLE_IN_ACCESSED_SOURCES</x:v>
      </x:c>
      <x:c r="R181" s="25" t="str">
        <x:v>STRONG</x:v>
      </x:c>
      <x:c r="S181" s="25" t="str">
        <x:v>The surface form may realize multiple senses; candidate meaning remains anchored to the report-visible source context.</x:v>
      </x:c>
      <x:c r="T181" s="25" t="str">
        <x:v>https://www.ipcc.ch/site/assets/uploads/2018/02/WGIIAR5-AnnexII_FINAL.pdf; https://api.dictionaryapi.dev/api/v2/entries/en/climate%20crisis; https://websters1913.timcieplowski.com/word/crisis/</x:v>
      </x:c>
      <x:c r="U181" s="50" t="str">
        <x:v>2026-08-26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5" hidden="0" customWidth="1"/>
    <x:col min="3" max="3" width="15" hidden="0" customWidth="1"/>
    <x:col min="4" max="4" width="25" hidden="0" customWidth="1"/>
    <x:col min="5" max="5" width="2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25" hidden="0" customWidth="1"/>
    <x:col min="11" max="11" width="42" hidden="0" customWidth="1"/>
    <x:col min="12" max="12" width="15" hidden="0" customWidth="1"/>
    <x:col min="13" max="13" width="15" hidden="0" customWidth="1"/>
    <x:col min="14" max="14" width="28" hidden="0" customWidth="1"/>
    <x:col min="15" max="15" width="18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42" hidden="0" customWidth="1"/>
    <x:col min="23" max="23" width="18" hidden="0" customWidth="1"/>
    <x:col min="24" max="24" width="42" hidden="0" customWidth="1"/>
  </x:cols>
  <x:sheetData>
    <x:row r="1" ht="38" customHeight="1">
      <x:c r="A1" s="12" t="str">
        <x:v>candidate_id</x:v>
      </x:c>
      <x:c r="B1" s="12" t="str">
        <x:v>anchor</x:v>
      </x:c>
      <x:c r="C1" s="12" t="str">
        <x:v>priority_rank</x:v>
      </x:c>
      <x:c r="D1" s="12" t="str">
        <x:v>surface_form</x:v>
      </x:c>
      <x:c r="E1" s="12" t="str">
        <x:v>normalized_concept</x:v>
      </x:c>
      <x:c r="F1" s="12" t="str">
        <x:v>lexical_family</x:v>
      </x:c>
      <x:c r="G1" s="12" t="str">
        <x:v>layer</x:v>
      </x:c>
      <x:c r="H1" s="12" t="str">
        <x:v>primary_voice</x:v>
      </x:c>
      <x:c r="I1" s="12" t="str">
        <x:v>expression_mode</x:v>
      </x:c>
      <x:c r="J1" s="12" t="str">
        <x:v>candidate_provenance</x:v>
      </x:c>
      <x:c r="K1" s="12" t="str">
        <x:v>search_primary_source</x:v>
      </x:c>
      <x:c r="L1" s="12" t="str">
        <x:v>search_query</x:v>
      </x:c>
      <x:c r="M1" s="12" t="str">
        <x:v>search_query_type</x:v>
      </x:c>
      <x:c r="N1" s="12" t="str">
        <x:v>search_status</x:v>
      </x:c>
      <x:c r="O1" s="12" t="str">
        <x:v>search_total_results</x:v>
      </x:c>
      <x:c r="P1" s="12" t="str">
        <x:v>search_unique_results_if_available</x:v>
      </x:c>
      <x:c r="Q1" s="12" t="str">
        <x:v>search_strict_window_results</x:v>
      </x:c>
      <x:c r="R1" s="12" t="str">
        <x:v>search_contextual_window_results</x:v>
      </x:c>
      <x:c r="S1" s="12" t="str">
        <x:v>search_retrieval_date</x:v>
      </x:c>
      <x:c r="T1" s="12" t="str">
        <x:v>search_api_or_interface</x:v>
      </x:c>
      <x:c r="U1" s="12" t="str">
        <x:v>search_exactness</x:v>
      </x:c>
      <x:c r="V1" s="12" t="str">
        <x:v>search_secondary_source</x:v>
      </x:c>
      <x:c r="W1" s="12" t="str">
        <x:v>search_secondary_total_results</x:v>
      </x:c>
      <x:c r="X1" s="12" t="str">
        <x:v>search_notes</x:v>
      </x:c>
    </x:row>
    <x:row r="2" ht="19" customHeight="1">
      <x:c r="A2" s="16" t="str">
        <x:v>FT-SEED-R1B-P-1842-01</x:v>
      </x:c>
      <x:c r="B2" s="18" t="str">
        <x:v>1842</x:v>
      </x:c>
      <x:c r="C2" s="18" t="str">
        <x:v>1</x:v>
      </x:c>
      <x:c r="D2" s="17" t="str">
        <x:v>temperature</x:v>
      </x:c>
      <x:c r="E2" s="17" t="str">
        <x:v>local / instrumental temperature</x:v>
      </x:c>
      <x:c r="F2" s="18" t="str">
        <x:v>temperature_threshold</x:v>
      </x:c>
      <x:c r="G2" s="18" t="str">
        <x:v>A</x:v>
      </x:c>
      <x:c r="H2" s="18" t="str">
        <x:v>V1</x:v>
      </x:c>
      <x:c r="I2" s="18" t="str">
        <x:v>E5</x:v>
      </x:c>
      <x:c r="J2" s="17" t="str">
        <x:v>RECONSTRUCTED_FROM_REPORT; Fear of Temperature_ Stratified Lexical Expansion, Voice Mapping, and Semantic-Relational Pre-Valida.pdf; p.6; project candidate FT-SEED-R1B-P-1842-01; original visible ID not available</x:v>
      </x:c>
      <x:c r="K2" s="17" t="str">
        <x:v>INTERNET_ARCHIVE_METADATA_TEXT_ITEM_COUNT</x:v>
      </x:c>
      <x:c r="L2" s="18" t="str">
        <x:v>"temperature" AND mediatype:texts</x:v>
      </x:c>
      <x:c r="M2" s="18" t="str">
        <x:v>PHRASE_METADATA_SEARCH</x:v>
      </x:c>
      <x:c r="N2" s="17" t="str">
        <x:v>COMPLETED_NONZERO</x:v>
      </x:c>
      <x:c r="O2" s="56" t="str">
        <x:v>193717</x:v>
      </x:c>
      <x:c r="P2" s="18" t="str">
        <x:v>193717</x:v>
      </x:c>
      <x:c r="Q2" s="18" t="str">
        <x:v>6</x:v>
      </x:c>
      <x:c r="R2" s="18" t="str">
        <x:v>60</x:v>
      </x:c>
      <x:c r="S2" s="18" t="str">
        <x:v>2026-08-26</x:v>
      </x:c>
      <x:c r="T2" s="18" t="str">
        <x:v>https://archive.org/advancedsearch.php</x:v>
      </x:c>
      <x:c r="U2" s="18" t="str">
        <x:v>EXACT_PHRASE</x:v>
      </x:c>
      <x:c r="V2" s="17" t="str">
        <x:v>OPENALEX_WORK_COUNT</x:v>
      </x:c>
      <x:c r="W2" s="56" t="str"/>
      <x:c r="X2" s="19" t="str">
        <x:v>Metadata text-item count; not a full-text lexical frequency. Secondary metric: NOT_RUN_OPENALEX_DAILY_BUDGET_EXHAUSTED: shared provider response retained; no count fabricated.</x:v>
      </x:c>
    </x:row>
    <x:row r="3" ht="19" customHeight="1">
      <x:c r="A3" s="20" t="str">
        <x:v>FT-SEED-R1B-P-1842-02</x:v>
      </x:c>
      <x:c r="B3" s="22" t="str">
        <x:v>1842</x:v>
      </x:c>
      <x:c r="C3" s="22" t="str">
        <x:v>2</x:v>
      </x:c>
      <x:c r="D3" s="21" t="str">
        <x:v>mean temperature</x:v>
      </x:c>
      <x:c r="E3" s="21" t="str">
        <x:v>mean temperature</x:v>
      </x:c>
      <x:c r="F3" s="22" t="str">
        <x:v>temperature_threshold</x:v>
      </x:c>
      <x:c r="G3" s="22" t="str">
        <x:v>A</x:v>
      </x:c>
      <x:c r="H3" s="22" t="str">
        <x:v>V1</x:v>
      </x:c>
      <x:c r="I3" s="22" t="str">
        <x:v>E5</x:v>
      </x:c>
      <x:c r="J3" s="21" t="str">
        <x:v>RECONSTRUCTED_FROM_REPORT; Fear of Temperature_ Stratified Lexical Expansion, Voice Mapping, and Semantic-Relational Pre-Valida.pdf; p.6; project candidate FT-SEED-R1B-P-1842-02; original visible ID not available</x:v>
      </x:c>
      <x:c r="K3" s="21" t="str">
        <x:v>INTERNET_ARCHIVE_METADATA_TEXT_ITEM_COUNT</x:v>
      </x:c>
      <x:c r="L3" s="22" t="str">
        <x:v>"mean temperature" AND mediatype:texts</x:v>
      </x:c>
      <x:c r="M3" s="22" t="str">
        <x:v>PHRASE_METADATA_SEARCH</x:v>
      </x:c>
      <x:c r="N3" s="21" t="str">
        <x:v>COMPLETED_NONZERO</x:v>
      </x:c>
      <x:c r="O3" s="57" t="str">
        <x:v>664</x:v>
      </x:c>
      <x:c r="P3" s="22" t="str">
        <x:v>664</x:v>
      </x:c>
      <x:c r="Q3" s="22" t="str">
        <x:v>0</x:v>
      </x:c>
      <x:c r="R3" s="22" t="str">
        <x:v>4</x:v>
      </x:c>
      <x:c r="S3" s="22" t="str">
        <x:v>2026-08-26</x:v>
      </x:c>
      <x:c r="T3" s="22" t="str">
        <x:v>https://archive.org/advancedsearch.php</x:v>
      </x:c>
      <x:c r="U3" s="22" t="str">
        <x:v>EXACT_PHRASE</x:v>
      </x:c>
      <x:c r="V3" s="21" t="str">
        <x:v>OPENALEX_WORK_COUNT</x:v>
      </x:c>
      <x:c r="W3" s="57" t="str"/>
      <x:c r="X3" s="23" t="str">
        <x:v>Metadata text-item count; not a full-text lexical frequency. Secondary metric: NOT_RUN_OPENALEX_DAILY_BUDGET_EXHAUSTED: shared provider response retained; no count fabricated.</x:v>
      </x:c>
    </x:row>
    <x:row r="4" ht="19" customHeight="1">
      <x:c r="A4" s="20" t="str">
        <x:v>FT-SEED-R1B-P-1842-03</x:v>
      </x:c>
      <x:c r="B4" s="22" t="str">
        <x:v>1842</x:v>
      </x:c>
      <x:c r="C4" s="22" t="str">
        <x:v>3</x:v>
      </x:c>
      <x:c r="D4" s="21" t="str">
        <x:v>temperature of the air in shade</x:v>
      </x:c>
      <x:c r="E4" s="21" t="str">
        <x:v>local / instrumental temperature</x:v>
      </x:c>
      <x:c r="F4" s="22" t="str">
        <x:v>temperature_threshold</x:v>
      </x:c>
      <x:c r="G4" s="22" t="str">
        <x:v>A</x:v>
      </x:c>
      <x:c r="H4" s="22" t="str">
        <x:v>V1</x:v>
      </x:c>
      <x:c r="I4" s="22" t="str">
        <x:v>E5</x:v>
      </x:c>
      <x:c r="J4" s="21" t="str">
        <x:v>RECONSTRUCTED_FROM_REPORT; Fear of Temperature_ Stratified Lexical Expansion, Voice Mapping, and Semantic-Relational Pre-Valida.pdf; p.6; project candidate FT-SEED-R1B-P-1842-03; original visible ID not available</x:v>
      </x:c>
      <x:c r="K4" s="21" t="str">
        <x:v>INTERNET_ARCHIVE_METADATA_TEXT_ITEM_COUNT</x:v>
      </x:c>
      <x:c r="L4" s="22" t="str">
        <x:v>"temperature of the air in shade" AND mediatype:texts</x:v>
      </x:c>
      <x:c r="M4" s="22" t="str">
        <x:v>PHRASE_METADATA_SEARCH</x:v>
      </x:c>
      <x:c r="N4" s="21" t="str">
        <x:v>COMPLETED_ZERO</x:v>
      </x:c>
      <x:c r="O4" s="57" t="str">
        <x:v>0</x:v>
      </x:c>
      <x:c r="P4" s="22" t="str">
        <x:v>0</x:v>
      </x:c>
      <x:c r="Q4" s="22" t="str">
        <x:v>0</x:v>
      </x:c>
      <x:c r="R4" s="22" t="str">
        <x:v>0</x:v>
      </x:c>
      <x:c r="S4" s="22" t="str">
        <x:v>2026-08-26</x:v>
      </x:c>
      <x:c r="T4" s="22" t="str">
        <x:v>https://archive.org/advancedsearch.php</x:v>
      </x:c>
      <x:c r="U4" s="22" t="str">
        <x:v>EXACT_PHRASE</x:v>
      </x:c>
      <x:c r="V4" s="21" t="str">
        <x:v>OPENALEX_WORK_COUNT</x:v>
      </x:c>
      <x:c r="W4" s="57" t="str"/>
      <x:c r="X4" s="23" t="str">
        <x:v>Metadata text-item count; not a full-text lexical frequency. Secondary metric: NOT_RUN_OPENALEX_DAILY_BUDGET_EXHAUSTED: shared provider response retained; no count fabricated.</x:v>
      </x:c>
    </x:row>
    <x:row r="5" ht="19" customHeight="1">
      <x:c r="A5" s="20" t="str">
        <x:v>FT-SEED-R1B-P-1842-04</x:v>
      </x:c>
      <x:c r="B5" s="22" t="str">
        <x:v>1842</x:v>
      </x:c>
      <x:c r="C5" s="22" t="str">
        <x:v>4</x:v>
      </x:c>
      <x:c r="D5" s="21" t="str">
        <x:v>maximum temperature</x:v>
      </x:c>
      <x:c r="E5" s="21" t="str">
        <x:v>local / instrumental temperature</x:v>
      </x:c>
      <x:c r="F5" s="22" t="str">
        <x:v>temperature_threshold</x:v>
      </x:c>
      <x:c r="G5" s="22" t="str">
        <x:v>A</x:v>
      </x:c>
      <x:c r="H5" s="22" t="str">
        <x:v>V1</x:v>
      </x:c>
      <x:c r="I5" s="22" t="str">
        <x:v>E5</x:v>
      </x:c>
      <x:c r="J5" s="21" t="str">
        <x:v>RECONSTRUCTED_FROM_REPORT; Fear of Temperature_ Stratified Lexical Expansion, Voice Mapping, and Semantic-Relational Pre-Valida.pdf; p.6; project candidate FT-SEED-R1B-P-1842-04; original visible ID not available</x:v>
      </x:c>
      <x:c r="K5" s="21" t="str">
        <x:v>INTERNET_ARCHIVE_METADATA_TEXT_ITEM_COUNT</x:v>
      </x:c>
      <x:c r="L5" s="22" t="str">
        <x:v>"maximum temperature" AND mediatype:texts</x:v>
      </x:c>
      <x:c r="M5" s="22" t="str">
        <x:v>PHRASE_METADATA_SEARCH</x:v>
      </x:c>
      <x:c r="N5" s="21" t="str">
        <x:v>COMPLETED_NONZERO</x:v>
      </x:c>
      <x:c r="O5" s="57" t="str">
        <x:v>1464</x:v>
      </x:c>
      <x:c r="P5" s="22" t="str">
        <x:v>1464</x:v>
      </x:c>
      <x:c r="Q5" s="22" t="str">
        <x:v>0</x:v>
      </x:c>
      <x:c r="R5" s="22" t="str">
        <x:v>0</x:v>
      </x:c>
      <x:c r="S5" s="22" t="str">
        <x:v>2026-08-26</x:v>
      </x:c>
      <x:c r="T5" s="22" t="str">
        <x:v>https://archive.org/advancedsearch.php</x:v>
      </x:c>
      <x:c r="U5" s="22" t="str">
        <x:v>EXACT_PHRASE</x:v>
      </x:c>
      <x:c r="V5" s="21" t="str">
        <x:v>OPENALEX_WORK_COUNT</x:v>
      </x:c>
      <x:c r="W5" s="57" t="str"/>
      <x:c r="X5" s="23" t="str">
        <x:v>Metadata text-item count; not a full-text lexical frequency. Secondary metric: NOT_RUN_OPENALEX_DAILY_BUDGET_EXHAUSTED: shared provider response retained; no count fabricated.</x:v>
      </x:c>
    </x:row>
    <x:row r="6" ht="19" customHeight="1">
      <x:c r="A6" s="20" t="str">
        <x:v>FT-SEED-R1B-P-1842-05</x:v>
      </x:c>
      <x:c r="B6" s="22" t="str">
        <x:v>1842</x:v>
      </x:c>
      <x:c r="C6" s="22" t="str">
        <x:v>5</x:v>
      </x:c>
      <x:c r="D6" s="21" t="str">
        <x:v>minimum temperature</x:v>
      </x:c>
      <x:c r="E6" s="21" t="str">
        <x:v>local / instrumental temperature</x:v>
      </x:c>
      <x:c r="F6" s="22" t="str">
        <x:v>temperature_threshold</x:v>
      </x:c>
      <x:c r="G6" s="22" t="str">
        <x:v>A</x:v>
      </x:c>
      <x:c r="H6" s="22" t="str">
        <x:v>V1</x:v>
      </x:c>
      <x:c r="I6" s="22" t="str">
        <x:v>E5</x:v>
      </x:c>
      <x:c r="J6" s="21" t="str">
        <x:v>RECONSTRUCTED_FROM_REPORT; Fear of Temperature_ Stratified Lexical Expansion, Voice Mapping, and Semantic-Relational Pre-Valida.pdf; p.6; project candidate FT-SEED-R1B-P-1842-05; original visible ID not available</x:v>
      </x:c>
      <x:c r="K6" s="21" t="str">
        <x:v>INTERNET_ARCHIVE_METADATA_TEXT_ITEM_COUNT</x:v>
      </x:c>
      <x:c r="L6" s="22" t="str">
        <x:v>"minimum temperature" AND mediatype:texts</x:v>
      </x:c>
      <x:c r="M6" s="22" t="str">
        <x:v>PHRASE_METADATA_SEARCH</x:v>
      </x:c>
      <x:c r="N6" s="21" t="str">
        <x:v>COMPLETED_NONZERO</x:v>
      </x:c>
      <x:c r="O6" s="57" t="str">
        <x:v>460</x:v>
      </x:c>
      <x:c r="P6" s="22" t="str">
        <x:v>460</x:v>
      </x:c>
      <x:c r="Q6" s="22" t="str">
        <x:v>0</x:v>
      </x:c>
      <x:c r="R6" s="22" t="str">
        <x:v>0</x:v>
      </x:c>
      <x:c r="S6" s="22" t="str">
        <x:v>2026-08-26</x:v>
      </x:c>
      <x:c r="T6" s="22" t="str">
        <x:v>https://archive.org/advancedsearch.php</x:v>
      </x:c>
      <x:c r="U6" s="22" t="str">
        <x:v>EXACT_PHRASE</x:v>
      </x:c>
      <x:c r="V6" s="21" t="str">
        <x:v>OPENALEX_WORK_COUNT</x:v>
      </x:c>
      <x:c r="W6" s="57" t="str"/>
      <x:c r="X6" s="23" t="str">
        <x:v>Metadata text-item count; not a full-text lexical frequency. Secondary metric: NOT_RUN_OPENALEX_DAILY_BUDGET_EXHAUSTED: shared provider response retained; no count fabricated.</x:v>
      </x:c>
    </x:row>
    <x:row r="7" ht="19" customHeight="1">
      <x:c r="A7" s="20" t="str">
        <x:v>FT-SEED-R1B-P-1842-06</x:v>
      </x:c>
      <x:c r="B7" s="22" t="str">
        <x:v>1842</x:v>
      </x:c>
      <x:c r="C7" s="22" t="str">
        <x:v>6</x:v>
      </x:c>
      <x:c r="D7" s="21" t="str">
        <x:v>mean temperature of sea at surface</x:v>
      </x:c>
      <x:c r="E7" s="21" t="str">
        <x:v>mean temperature</x:v>
      </x:c>
      <x:c r="F7" s="22" t="str">
        <x:v>temperature_threshold</x:v>
      </x:c>
      <x:c r="G7" s="22" t="str">
        <x:v>A</x:v>
      </x:c>
      <x:c r="H7" s="22" t="str">
        <x:v>V1</x:v>
      </x:c>
      <x:c r="I7" s="22" t="str">
        <x:v>E5</x:v>
      </x:c>
      <x:c r="J7" s="21" t="str">
        <x:v>RECONSTRUCTED_FROM_REPORT; Fear of Temperature_ Stratified Lexical Expansion, Voice Mapping, and Semantic-Relational Pre-Valida.pdf; p.6; project candidate FT-SEED-R1B-P-1842-06; original visible ID not available</x:v>
      </x:c>
      <x:c r="K7" s="21" t="str">
        <x:v>INTERNET_ARCHIVE_METADATA_TEXT_ITEM_COUNT</x:v>
      </x:c>
      <x:c r="L7" s="22" t="str">
        <x:v>"mean temperature of sea at surface" AND mediatype:texts</x:v>
      </x:c>
      <x:c r="M7" s="22" t="str">
        <x:v>PHRASE_METADATA_SEARCH</x:v>
      </x:c>
      <x:c r="N7" s="21" t="str">
        <x:v>COMPLETED_ZERO</x:v>
      </x:c>
      <x:c r="O7" s="57" t="str">
        <x:v>0</x:v>
      </x:c>
      <x:c r="P7" s="22" t="str">
        <x:v>0</x:v>
      </x:c>
      <x:c r="Q7" s="22" t="str">
        <x:v>0</x:v>
      </x:c>
      <x:c r="R7" s="22" t="str">
        <x:v>0</x:v>
      </x:c>
      <x:c r="S7" s="22" t="str">
        <x:v>2026-08-26</x:v>
      </x:c>
      <x:c r="T7" s="22" t="str">
        <x:v>https://archive.org/advancedsearch.php</x:v>
      </x:c>
      <x:c r="U7" s="22" t="str">
        <x:v>EXACT_PHRASE</x:v>
      </x:c>
      <x:c r="V7" s="21" t="str">
        <x:v>OPENALEX_WORK_COUNT</x:v>
      </x:c>
      <x:c r="W7" s="57" t="str"/>
      <x:c r="X7" s="23" t="str">
        <x:v>Metadata text-item count; not a full-text lexical frequency. Secondary metric: NOT_RUN_OPENALEX_DAILY_BUDGET_EXHAUSTED: shared provider response retained; no count fabricated.</x:v>
      </x:c>
    </x:row>
    <x:row r="8" ht="19" customHeight="1">
      <x:c r="A8" s="20" t="str">
        <x:v>FT-SEED-R1B-P-1842-07</x:v>
      </x:c>
      <x:c r="B8" s="22" t="str">
        <x:v>1842</x:v>
      </x:c>
      <x:c r="C8" s="22" t="str">
        <x:v>7</x:v>
      </x:c>
      <x:c r="D8" s="21" t="str">
        <x:v>dew point</x:v>
      </x:c>
      <x:c r="E8" s="21" t="str">
        <x:v>local / instrumental temperature</x:v>
      </x:c>
      <x:c r="F8" s="22" t="str">
        <x:v>temperature_threshold</x:v>
      </x:c>
      <x:c r="G8" s="22" t="str">
        <x:v>A</x:v>
      </x:c>
      <x:c r="H8" s="22" t="str">
        <x:v>V1</x:v>
      </x:c>
      <x:c r="I8" s="22" t="str">
        <x:v>E5</x:v>
      </x:c>
      <x:c r="J8" s="21" t="str">
        <x:v>RECONSTRUCTED_FROM_REPORT; Fear of Temperature_ Stratified Lexical Expansion, Voice Mapping, and Semantic-Relational Pre-Valida.pdf; p.6; project candidate FT-SEED-R1B-P-1842-07; original visible ID not available</x:v>
      </x:c>
      <x:c r="K8" s="21" t="str">
        <x:v>INTERNET_ARCHIVE_METADATA_TEXT_ITEM_COUNT</x:v>
      </x:c>
      <x:c r="L8" s="22" t="str">
        <x:v>"dew point" AND mediatype:texts</x:v>
      </x:c>
      <x:c r="M8" s="22" t="str">
        <x:v>PHRASE_METADATA_SEARCH</x:v>
      </x:c>
      <x:c r="N8" s="21" t="str">
        <x:v>COMPLETED_NONZERO</x:v>
      </x:c>
      <x:c r="O8" s="57" t="str">
        <x:v>1217</x:v>
      </x:c>
      <x:c r="P8" s="22" t="str">
        <x:v>1217</x:v>
      </x:c>
      <x:c r="Q8" s="22" t="str">
        <x:v>0</x:v>
      </x:c>
      <x:c r="R8" s="22" t="str">
        <x:v>2</x:v>
      </x:c>
      <x:c r="S8" s="22" t="str">
        <x:v>2026-08-26</x:v>
      </x:c>
      <x:c r="T8" s="22" t="str">
        <x:v>https://archive.org/advancedsearch.php</x:v>
      </x:c>
      <x:c r="U8" s="22" t="str">
        <x:v>EXACT_PHRASE</x:v>
      </x:c>
      <x:c r="V8" s="21" t="str">
        <x:v>OPENALEX_WORK_COUNT</x:v>
      </x:c>
      <x:c r="W8" s="57" t="str"/>
      <x:c r="X8" s="23" t="str">
        <x:v>Metadata text-item count; not a full-text lexical frequency. Secondary metric: NOT_RUN_OPENALEX_DAILY_BUDGET_EXHAUSTED: shared provider response retained; no count fabricated.</x:v>
      </x:c>
    </x:row>
    <x:row r="9" ht="19" customHeight="1">
      <x:c r="A9" s="20" t="str">
        <x:v>FT-SEED-R1B-P-1842-08</x:v>
      </x:c>
      <x:c r="B9" s="22" t="str">
        <x:v>1842</x:v>
      </x:c>
      <x:c r="C9" s="22" t="str">
        <x:v>8</x:v>
      </x:c>
      <x:c r="D9" s="21" t="str">
        <x:v>standard thermometer</x:v>
      </x:c>
      <x:c r="E9" s="21" t="str">
        <x:v>local / instrumental temperature</x:v>
      </x:c>
      <x:c r="F9" s="22" t="str">
        <x:v>temperature_threshold</x:v>
      </x:c>
      <x:c r="G9" s="22" t="str">
        <x:v>A</x:v>
      </x:c>
      <x:c r="H9" s="22" t="str">
        <x:v>V1</x:v>
      </x:c>
      <x:c r="I9" s="22" t="str">
        <x:v>E5</x:v>
      </x:c>
      <x:c r="J9" s="21" t="str">
        <x:v>RECONSTRUCTED_FROM_REPORT; Fear of Temperature_ Stratified Lexical Expansion, Voice Mapping, and Semantic-Relational Pre-Valida.pdf; p.7; project candidate FT-SEED-R1B-P-1842-08; original visible ID not available</x:v>
      </x:c>
      <x:c r="K9" s="21" t="str">
        <x:v>INTERNET_ARCHIVE_METADATA_TEXT_ITEM_COUNT</x:v>
      </x:c>
      <x:c r="L9" s="22" t="str">
        <x:v>"standard thermometer" AND mediatype:texts</x:v>
      </x:c>
      <x:c r="M9" s="22" t="str">
        <x:v>PHRASE_METADATA_SEARCH</x:v>
      </x:c>
      <x:c r="N9" s="21" t="str">
        <x:v>COMPLETED_NONZERO</x:v>
      </x:c>
      <x:c r="O9" s="57" t="str">
        <x:v>2</x:v>
      </x:c>
      <x:c r="P9" s="22" t="str">
        <x:v>2</x:v>
      </x:c>
      <x:c r="Q9" s="22" t="str">
        <x:v>0</x:v>
      </x:c>
      <x:c r="R9" s="22" t="str">
        <x:v>0</x:v>
      </x:c>
      <x:c r="S9" s="22" t="str">
        <x:v>2026-08-26</x:v>
      </x:c>
      <x:c r="T9" s="22" t="str">
        <x:v>https://archive.org/advancedsearch.php</x:v>
      </x:c>
      <x:c r="U9" s="22" t="str">
        <x:v>EXACT_PHRASE</x:v>
      </x:c>
      <x:c r="V9" s="21" t="str">
        <x:v>OPENALEX_WORK_COUNT</x:v>
      </x:c>
      <x:c r="W9" s="57" t="str"/>
      <x:c r="X9" s="23" t="str">
        <x:v>Metadata text-item count; not a full-text lexical frequency. Secondary metric: NOT_RUN_OPENALEX_DAILY_BUDGET_EXHAUSTED: shared provider response retained; no count fabricated.</x:v>
      </x:c>
    </x:row>
    <x:row r="10" ht="19" customHeight="1">
      <x:c r="A10" s="20" t="str">
        <x:v>FT-SEED-R1B-P-1842-09</x:v>
      </x:c>
      <x:c r="B10" s="22" t="str">
        <x:v>1842</x:v>
      </x:c>
      <x:c r="C10" s="22" t="str">
        <x:v>9</x:v>
      </x:c>
      <x:c r="D10" s="21" t="str">
        <x:v>attached thermometer</x:v>
      </x:c>
      <x:c r="E10" s="21" t="str">
        <x:v>local / instrumental temperature</x:v>
      </x:c>
      <x:c r="F10" s="22" t="str">
        <x:v>temperature_threshold</x:v>
      </x:c>
      <x:c r="G10" s="22" t="str">
        <x:v>A</x:v>
      </x:c>
      <x:c r="H10" s="22" t="str">
        <x:v>V1</x:v>
      </x:c>
      <x:c r="I10" s="22" t="str">
        <x:v>E5</x:v>
      </x:c>
      <x:c r="J10" s="21" t="str">
        <x:v>RECONSTRUCTED_FROM_REPORT; Fear of Temperature_ Stratified Lexical Expansion, Voice Mapping, and Semantic-Relational Pre-Valida.pdf; p.7; project candidate FT-SEED-R1B-P-1842-09; original visible ID not available</x:v>
      </x:c>
      <x:c r="K10" s="21" t="str">
        <x:v>INTERNET_ARCHIVE_METADATA_TEXT_ITEM_COUNT</x:v>
      </x:c>
      <x:c r="L10" s="22" t="str">
        <x:v>"attached thermometer" AND mediatype:texts</x:v>
      </x:c>
      <x:c r="M10" s="22" t="str">
        <x:v>PHRASE_METADATA_SEARCH</x:v>
      </x:c>
      <x:c r="N10" s="21" t="str">
        <x:v>COMPLETED_ZERO</x:v>
      </x:c>
      <x:c r="O10" s="57" t="str">
        <x:v>0</x:v>
      </x:c>
      <x:c r="P10" s="22" t="str">
        <x:v>0</x:v>
      </x:c>
      <x:c r="Q10" s="22" t="str">
        <x:v>0</x:v>
      </x:c>
      <x:c r="R10" s="22" t="str">
        <x:v>0</x:v>
      </x:c>
      <x:c r="S10" s="22" t="str">
        <x:v>2026-08-26</x:v>
      </x:c>
      <x:c r="T10" s="22" t="str">
        <x:v>https://archive.org/advancedsearch.php</x:v>
      </x:c>
      <x:c r="U10" s="22" t="str">
        <x:v>EXACT_PHRASE</x:v>
      </x:c>
      <x:c r="V10" s="21" t="str">
        <x:v>OPENALEX_WORK_COUNT</x:v>
      </x:c>
      <x:c r="W10" s="57" t="str">
        <x:v>96</x:v>
      </x:c>
      <x:c r="X10" s="23" t="str">
        <x:v>Metadata text-item count; not a full-text lexical frequency. Secondary metric: Scholarly work discoverability count over OpenAlex search fields; not a corpus word frequency.</x:v>
      </x:c>
    </x:row>
    <x:row r="11" ht="19" customHeight="1">
      <x:c r="A11" s="20" t="str">
        <x:v>FT-SEED-R1B-P-1842-10</x:v>
      </x:c>
      <x:c r="B11" s="22" t="str">
        <x:v>1842</x:v>
      </x:c>
      <x:c r="C11" s="22" t="str">
        <x:v>10</x:v>
      </x:c>
      <x:c r="D11" s="21" t="str">
        <x:v>dry bulb thermometer</x:v>
      </x:c>
      <x:c r="E11" s="21" t="str">
        <x:v>local / instrumental temperature</x:v>
      </x:c>
      <x:c r="F11" s="22" t="str">
        <x:v>temperature_threshold</x:v>
      </x:c>
      <x:c r="G11" s="22" t="str">
        <x:v>A</x:v>
      </x:c>
      <x:c r="H11" s="22" t="str">
        <x:v>V1</x:v>
      </x:c>
      <x:c r="I11" s="22" t="str">
        <x:v>E5</x:v>
      </x:c>
      <x:c r="J11" s="21" t="str">
        <x:v>RECONSTRUCTED_FROM_REPORT; Fear of Temperature_ Stratified Lexical Expansion, Voice Mapping, and Semantic-Relational Pre-Valida.pdf; p.7; project candidate FT-SEED-R1B-P-1842-10; original visible ID not available</x:v>
      </x:c>
      <x:c r="K11" s="21" t="str">
        <x:v>INTERNET_ARCHIVE_METADATA_TEXT_ITEM_COUNT</x:v>
      </x:c>
      <x:c r="L11" s="22" t="str">
        <x:v>"dry bulb thermometer" AND mediatype:texts</x:v>
      </x:c>
      <x:c r="M11" s="22" t="str">
        <x:v>PHRASE_METADATA_SEARCH</x:v>
      </x:c>
      <x:c r="N11" s="21" t="str">
        <x:v>COMPLETED_NONZERO</x:v>
      </x:c>
      <x:c r="O11" s="57" t="str">
        <x:v>2</x:v>
      </x:c>
      <x:c r="P11" s="22" t="str">
        <x:v>2</x:v>
      </x:c>
      <x:c r="Q11" s="22" t="str">
        <x:v>0</x:v>
      </x:c>
      <x:c r="R11" s="22" t="str">
        <x:v>0</x:v>
      </x:c>
      <x:c r="S11" s="22" t="str">
        <x:v>2026-08-26</x:v>
      </x:c>
      <x:c r="T11" s="22" t="str">
        <x:v>https://archive.org/advancedsearch.php</x:v>
      </x:c>
      <x:c r="U11" s="22" t="str">
        <x:v>EXACT_PHRASE</x:v>
      </x:c>
      <x:c r="V11" s="21" t="str">
        <x:v>OPENALEX_WORK_COUNT</x:v>
      </x:c>
      <x:c r="W11" s="57" t="str"/>
      <x:c r="X11" s="23" t="str">
        <x:v>Metadata text-item count; not a full-text lexical frequency. Secondary metric: NOT_RUN_OPENALEX_DAILY_BUDGET_EXHAUSTED: shared provider response retained; no count fabricated.</x:v>
      </x:c>
    </x:row>
    <x:row r="12" ht="19" customHeight="1">
      <x:c r="A12" s="20" t="str">
        <x:v>FT-SEED-R1B-P-1842-11</x:v>
      </x:c>
      <x:c r="B12" s="22" t="str">
        <x:v>1842</x:v>
      </x:c>
      <x:c r="C12" s="22" t="str">
        <x:v>11</x:v>
      </x:c>
      <x:c r="D12" s="21" t="str">
        <x:v>wet bulb thermometer</x:v>
      </x:c>
      <x:c r="E12" s="21" t="str">
        <x:v>local / instrumental temperature</x:v>
      </x:c>
      <x:c r="F12" s="22" t="str">
        <x:v>temperature_threshold</x:v>
      </x:c>
      <x:c r="G12" s="22" t="str">
        <x:v>A</x:v>
      </x:c>
      <x:c r="H12" s="22" t="str">
        <x:v>V1</x:v>
      </x:c>
      <x:c r="I12" s="22" t="str">
        <x:v>E5</x:v>
      </x:c>
      <x:c r="J12" s="21" t="str">
        <x:v>RECONSTRUCTED_FROM_REPORT; Fear of Temperature_ Stratified Lexical Expansion, Voice Mapping, and Semantic-Relational Pre-Valida.pdf; p.6; project candidate FT-SEED-R1B-P-1842-11; original visible ID not available</x:v>
      </x:c>
      <x:c r="K12" s="21" t="str">
        <x:v>INTERNET_ARCHIVE_METADATA_TEXT_ITEM_COUNT</x:v>
      </x:c>
      <x:c r="L12" s="22" t="str">
        <x:v>"wet bulb thermometer" AND mediatype:texts</x:v>
      </x:c>
      <x:c r="M12" s="22" t="str">
        <x:v>PHRASE_METADATA_SEARCH</x:v>
      </x:c>
      <x:c r="N12" s="21" t="str">
        <x:v>COMPLETED_NONZERO</x:v>
      </x:c>
      <x:c r="O12" s="57" t="str">
        <x:v>7</x:v>
      </x:c>
      <x:c r="P12" s="22" t="str">
        <x:v>7</x:v>
      </x:c>
      <x:c r="Q12" s="22" t="str">
        <x:v>0</x:v>
      </x:c>
      <x:c r="R12" s="22" t="str">
        <x:v>0</x:v>
      </x:c>
      <x:c r="S12" s="22" t="str">
        <x:v>2026-08-26</x:v>
      </x:c>
      <x:c r="T12" s="22" t="str">
        <x:v>https://archive.org/advancedsearch.php</x:v>
      </x:c>
      <x:c r="U12" s="22" t="str">
        <x:v>EXACT_PHRASE</x:v>
      </x:c>
      <x:c r="V12" s="21" t="str">
        <x:v>OPENALEX_WORK_COUNT</x:v>
      </x:c>
      <x:c r="W12" s="57" t="str"/>
      <x:c r="X12" s="23" t="str">
        <x:v>Metadata text-item count; not a full-text lexical frequency. Secondary metric: NOT_RUN_OPENALEX_DAILY_BUDGET_EXHAUSTED: shared provider response retained; no count fabricated.</x:v>
      </x:c>
    </x:row>
    <x:row r="13" ht="19" customHeight="1">
      <x:c r="A13" s="20" t="str">
        <x:v>FT-SEED-R1B-P-1842-12</x:v>
      </x:c>
      <x:c r="B13" s="22" t="str">
        <x:v>1842</x:v>
      </x:c>
      <x:c r="C13" s="22" t="str">
        <x:v>12</x:v>
      </x:c>
      <x:c r="D13" s="21" t="str">
        <x:v>meteorological observations</x:v>
      </x:c>
      <x:c r="E13" s="21" t="str">
        <x:v>historical climate / climatological condition</x:v>
      </x:c>
      <x:c r="F13" s="22" t="str">
        <x:v>climate</x:v>
      </x:c>
      <x:c r="G13" s="22" t="str">
        <x:v>B</x:v>
      </x:c>
      <x:c r="H13" s="22" t="str">
        <x:v>V1</x:v>
      </x:c>
      <x:c r="I13" s="22" t="str">
        <x:v>E5</x:v>
      </x:c>
      <x:c r="J13" s="21" t="str">
        <x:v>RECONSTRUCTED_FROM_REPORT; Fear of Temperature_ Stratified Lexical Expansion, Voice Mapping, and Semantic-Relational Pre-Valida.pdf; p.6; project candidate FT-SEED-R1B-P-1842-12; original visible ID not available</x:v>
      </x:c>
      <x:c r="K13" s="21" t="str">
        <x:v>INTERNET_ARCHIVE_METADATA_TEXT_ITEM_COUNT</x:v>
      </x:c>
      <x:c r="L13" s="22" t="str">
        <x:v>"meteorological observations" AND mediatype:texts</x:v>
      </x:c>
      <x:c r="M13" s="22" t="str">
        <x:v>PHRASE_METADATA_SEARCH</x:v>
      </x:c>
      <x:c r="N13" s="21" t="str">
        <x:v>COMPLETED_NONZERO</x:v>
      </x:c>
      <x:c r="O13" s="57" t="str">
        <x:v>1458</x:v>
      </x:c>
      <x:c r="P13" s="22" t="str">
        <x:v>1458</x:v>
      </x:c>
      <x:c r="Q13" s="22" t="str">
        <x:v>14</x:v>
      </x:c>
      <x:c r="R13" s="22" t="str">
        <x:v>94</x:v>
      </x:c>
      <x:c r="S13" s="22" t="str">
        <x:v>2026-08-26</x:v>
      </x:c>
      <x:c r="T13" s="22" t="str">
        <x:v>https://archive.org/advancedsearch.php</x:v>
      </x:c>
      <x:c r="U13" s="22" t="str">
        <x:v>EXACT_PHRASE</x:v>
      </x:c>
      <x:c r="V13" s="21" t="str">
        <x:v>OPENALEX_WORK_COUNT</x:v>
      </x:c>
      <x:c r="W13" s="57" t="str"/>
      <x:c r="X13" s="23" t="str">
        <x:v>Metadata text-item count; not a full-text lexical frequency. Secondary metric: NOT_RUN_OPENALEX_DAILY_BUDGET_EXHAUSTED: shared provider response retained; no count fabricated.</x:v>
      </x:c>
    </x:row>
    <x:row r="14" ht="19" customHeight="1">
      <x:c r="A14" s="20" t="str">
        <x:v>FT-SEED-R1B-P-1842-13</x:v>
      </x:c>
      <x:c r="B14" s="22" t="str">
        <x:v>1842</x:v>
      </x:c>
      <x:c r="C14" s="22" t="str">
        <x:v>13</x:v>
      </x:c>
      <x:c r="D14" s="21" t="str">
        <x:v>meteorological journal</x:v>
      </x:c>
      <x:c r="E14" s="21" t="str">
        <x:v>historical climate / climatological condition</x:v>
      </x:c>
      <x:c r="F14" s="22" t="str">
        <x:v>climate</x:v>
      </x:c>
      <x:c r="G14" s="22" t="str">
        <x:v>B</x:v>
      </x:c>
      <x:c r="H14" s="22" t="str">
        <x:v>V1</x:v>
      </x:c>
      <x:c r="I14" s="22" t="str">
        <x:v>E5</x:v>
      </x:c>
      <x:c r="J14" s="21" t="str">
        <x:v>RECONSTRUCTED_FROM_REPORT; Fear of Temperature_ Stratified Lexical Expansion, Voice Mapping, and Semantic-Relational Pre-Valida.pdf; p.6; project candidate FT-SEED-R1B-P-1842-13; original visible ID not available</x:v>
      </x:c>
      <x:c r="K14" s="21" t="str">
        <x:v>INTERNET_ARCHIVE_METADATA_TEXT_ITEM_COUNT</x:v>
      </x:c>
      <x:c r="L14" s="22" t="str">
        <x:v>"meteorological journal" AND mediatype:texts</x:v>
      </x:c>
      <x:c r="M14" s="22" t="str">
        <x:v>PHRASE_METADATA_SEARCH</x:v>
      </x:c>
      <x:c r="N14" s="21" t="str">
        <x:v>COMPLETED_NONZERO</x:v>
      </x:c>
      <x:c r="O14" s="57" t="str">
        <x:v>411</x:v>
      </x:c>
      <x:c r="P14" s="22" t="str">
        <x:v>411</x:v>
      </x:c>
      <x:c r="Q14" s="22" t="str">
        <x:v>3</x:v>
      </x:c>
      <x:c r="R14" s="22" t="str">
        <x:v>19</x:v>
      </x:c>
      <x:c r="S14" s="22" t="str">
        <x:v>2026-08-26</x:v>
      </x:c>
      <x:c r="T14" s="22" t="str">
        <x:v>https://archive.org/advancedsearch.php</x:v>
      </x:c>
      <x:c r="U14" s="22" t="str">
        <x:v>EXACT_PHRASE</x:v>
      </x:c>
      <x:c r="V14" s="21" t="str">
        <x:v>OPENALEX_WORK_COUNT</x:v>
      </x:c>
      <x:c r="W14" s="57" t="str"/>
      <x:c r="X14" s="23" t="str">
        <x:v>Metadata text-item count; not a full-text lexical frequency. Secondary metric: NOT_RUN_OPENALEX_DAILY_BUDGET_EXHAUSTED: shared provider response retained; no count fabricated.</x:v>
      </x:c>
    </x:row>
    <x:row r="15" ht="19" customHeight="1">
      <x:c r="A15" s="20" t="str">
        <x:v>FT-SEED-R1B-P-1842-14</x:v>
      </x:c>
      <x:c r="B15" s="22" t="str">
        <x:v>1842</x:v>
      </x:c>
      <x:c r="C15" s="22" t="str">
        <x:v>14</x:v>
      </x:c>
      <x:c r="D15" s="21" t="str">
        <x:v>weather</x:v>
      </x:c>
      <x:c r="E15" s="21" t="str">
        <x:v>historical climate / climatological condition</x:v>
      </x:c>
      <x:c r="F15" s="22" t="str">
        <x:v>climate</x:v>
      </x:c>
      <x:c r="G15" s="22" t="str">
        <x:v>B</x:v>
      </x:c>
      <x:c r="H15" s="22" t="str">
        <x:v>V1</x:v>
      </x:c>
      <x:c r="I15" s="22" t="str">
        <x:v>E5</x:v>
      </x:c>
      <x:c r="J15" s="21" t="str">
        <x:v>RECONSTRUCTED_FROM_REPORT; Fear of Temperature_ Stratified Lexical Expansion, Voice Mapping, and Semantic-Relational Pre-Valida.pdf; p.6; project candidate FT-SEED-R1B-P-1842-14; original visible ID not available</x:v>
      </x:c>
      <x:c r="K15" s="21" t="str">
        <x:v>INTERNET_ARCHIVE_METADATA_TEXT_ITEM_COUNT</x:v>
      </x:c>
      <x:c r="L15" s="22" t="str">
        <x:v>"weather" AND mediatype:texts</x:v>
      </x:c>
      <x:c r="M15" s="22" t="str">
        <x:v>PHRASE_METADATA_SEARCH</x:v>
      </x:c>
      <x:c r="N15" s="21" t="str">
        <x:v>COMPLETED_NONZERO</x:v>
      </x:c>
      <x:c r="O15" s="57" t="str">
        <x:v>67834</x:v>
      </x:c>
      <x:c r="P15" s="22" t="str">
        <x:v>67834</x:v>
      </x:c>
      <x:c r="Q15" s="22" t="str">
        <x:v>18</x:v>
      </x:c>
      <x:c r="R15" s="22" t="str">
        <x:v>123</x:v>
      </x:c>
      <x:c r="S15" s="22" t="str">
        <x:v>2026-08-26</x:v>
      </x:c>
      <x:c r="T15" s="22" t="str">
        <x:v>https://archive.org/advancedsearch.php</x:v>
      </x:c>
      <x:c r="U15" s="22" t="str">
        <x:v>EXACT_PHRASE</x:v>
      </x:c>
      <x:c r="V15" s="21" t="str">
        <x:v>OPENALEX_WORK_COUNT</x:v>
      </x:c>
      <x:c r="W15" s="57" t="str"/>
      <x:c r="X15" s="23" t="str">
        <x:v>Metadata text-item count; not a full-text lexical frequency. Secondary metric: NOT_RUN_OPENALEX_DAILY_BUDGET_EXHAUSTED: shared provider response retained; no count fabricated.</x:v>
      </x:c>
    </x:row>
    <x:row r="16" ht="19" customHeight="1">
      <x:c r="A16" s="20" t="str">
        <x:v>FT-SEED-R1B-P-1842-15</x:v>
      </x:c>
      <x:c r="B16" s="22" t="str">
        <x:v>1842</x:v>
      </x:c>
      <x:c r="C16" s="22" t="str">
        <x:v>15</x:v>
      </x:c>
      <x:c r="D16" s="21" t="str">
        <x:v>climate</x:v>
      </x:c>
      <x:c r="E16" s="21" t="str">
        <x:v>historical climate / climatological condition</x:v>
      </x:c>
      <x:c r="F16" s="22" t="str">
        <x:v>climate</x:v>
      </x:c>
      <x:c r="G16" s="22" t="str">
        <x:v>B</x:v>
      </x:c>
      <x:c r="H16" s="22" t="str">
        <x:v>V1</x:v>
      </x:c>
      <x:c r="I16" s="22" t="str">
        <x:v>E5</x:v>
      </x:c>
      <x:c r="J16" s="21" t="str">
        <x:v>RECONSTRUCTED_FROM_REPORT; Fear of Temperature_ Stratified Lexical Expansion, Voice Mapping, and Semantic-Relational Pre-Valida.pdf; p.6; project candidate FT-SEED-R1B-P-1842-15; original visible ID not available</x:v>
      </x:c>
      <x:c r="K16" s="21" t="str">
        <x:v>INTERNET_ARCHIVE_METADATA_TEXT_ITEM_COUNT</x:v>
      </x:c>
      <x:c r="L16" s="22" t="str">
        <x:v>"climate" AND mediatype:texts</x:v>
      </x:c>
      <x:c r="M16" s="22" t="str">
        <x:v>PHRASE_METADATA_SEARCH</x:v>
      </x:c>
      <x:c r="N16" s="21" t="str">
        <x:v>COMPLETED_NONZERO</x:v>
      </x:c>
      <x:c r="O16" s="57" t="str">
        <x:v>76386</x:v>
      </x:c>
      <x:c r="P16" s="22" t="str">
        <x:v>76386</x:v>
      </x:c>
      <x:c r="Q16" s="22" t="str">
        <x:v>21</x:v>
      </x:c>
      <x:c r="R16" s="22" t="str">
        <x:v>140</x:v>
      </x:c>
      <x:c r="S16" s="22" t="str">
        <x:v>2026-08-26</x:v>
      </x:c>
      <x:c r="T16" s="22" t="str">
        <x:v>https://archive.org/advancedsearch.php</x:v>
      </x:c>
      <x:c r="U16" s="22" t="str">
        <x:v>EXACT_PHRASE</x:v>
      </x:c>
      <x:c r="V16" s="21" t="str">
        <x:v>OPENALEX_WORK_COUNT</x:v>
      </x:c>
      <x:c r="W16" s="57" t="str">
        <x:v>5536434</x:v>
      </x:c>
      <x:c r="X16" s="23" t="str">
        <x:v>Metadata text-item count; not a full-text lexical frequency. Secondary metric: Scholarly work discoverability count over OpenAlex search fields; not a corpus word frequency.</x:v>
      </x:c>
    </x:row>
    <x:row r="17" ht="19" customHeight="1">
      <x:c r="A17" s="20" t="str">
        <x:v>FT-SEED-R1B-P-1842-16</x:v>
      </x:c>
      <x:c r="B17" s="22" t="str">
        <x:v>1842</x:v>
      </x:c>
      <x:c r="C17" s="22" t="str">
        <x:v>16</x:v>
      </x:c>
      <x:c r="D17" s="21" t="str">
        <x:v>sun's heat</x:v>
      </x:c>
      <x:c r="E17" s="21" t="str">
        <x:v>physical heat source / state</x:v>
      </x:c>
      <x:c r="F17" s="22" t="str">
        <x:v>heat</x:v>
      </x:c>
      <x:c r="G17" s="22" t="str">
        <x:v>A</x:v>
      </x:c>
      <x:c r="H17" s="22" t="str">
        <x:v>V1</x:v>
      </x:c>
      <x:c r="I17" s="22" t="str">
        <x:v>E5</x:v>
      </x:c>
      <x:c r="J17" s="21" t="str">
        <x:v>RECONSTRUCTED_FROM_REPORT; Fear of Temperature_ Stratified Lexical Expansion, Voice Mapping, and Semantic-Relational Pre-Valida.pdf; p.6; project candidate FT-SEED-R1B-P-1842-16; original visible ID not available</x:v>
      </x:c>
      <x:c r="K17" s="21" t="str">
        <x:v>INTERNET_ARCHIVE_METADATA_TEXT_ITEM_COUNT</x:v>
      </x:c>
      <x:c r="L17" s="22" t="str">
        <x:v>"sun's heat" AND mediatype:texts</x:v>
      </x:c>
      <x:c r="M17" s="22" t="str">
        <x:v>PHRASE_METADATA_SEARCH</x:v>
      </x:c>
      <x:c r="N17" s="21" t="str">
        <x:v>COMPLETED_NONZERO</x:v>
      </x:c>
      <x:c r="O17" s="57" t="str">
        <x:v>42</x:v>
      </x:c>
      <x:c r="P17" s="22" t="str">
        <x:v>42</x:v>
      </x:c>
      <x:c r="Q17" s="22" t="str">
        <x:v>0</x:v>
      </x:c>
      <x:c r="R17" s="22" t="str">
        <x:v>0</x:v>
      </x:c>
      <x:c r="S17" s="22" t="str">
        <x:v>2026-08-26</x:v>
      </x:c>
      <x:c r="T17" s="22" t="str">
        <x:v>https://archive.org/advancedsearch.php</x:v>
      </x:c>
      <x:c r="U17" s="22" t="str">
        <x:v>EXACT_PHRASE</x:v>
      </x:c>
      <x:c r="V17" s="21" t="str">
        <x:v>OPENALEX_WORK_COUNT</x:v>
      </x:c>
      <x:c r="W17" s="57" t="str"/>
      <x:c r="X17" s="23" t="str">
        <x:v>Metadata text-item count; not a full-text lexical frequency. Secondary metric: NOT_RUN_OPENALEX_DAILY_BUDGET_EXHAUSTED: shared provider response retained; no count fabricated.</x:v>
      </x:c>
    </x:row>
    <x:row r="18" ht="19" customHeight="1">
      <x:c r="A18" s="20" t="str">
        <x:v>FT-SEED-R1B-P-1842-17</x:v>
      </x:c>
      <x:c r="B18" s="22" t="str">
        <x:v>1842</x:v>
      </x:c>
      <x:c r="C18" s="22" t="str">
        <x:v>17</x:v>
      </x:c>
      <x:c r="D18" s="21" t="str">
        <x:v>radiation of the heat</x:v>
      </x:c>
      <x:c r="E18" s="21" t="str">
        <x:v>physical heat source / state</x:v>
      </x:c>
      <x:c r="F18" s="22" t="str">
        <x:v>heat</x:v>
      </x:c>
      <x:c r="G18" s="22" t="str">
        <x:v>B</x:v>
      </x:c>
      <x:c r="H18" s="22" t="str">
        <x:v>V1</x:v>
      </x:c>
      <x:c r="I18" s="22" t="str">
        <x:v>E5</x:v>
      </x:c>
      <x:c r="J18" s="21" t="str">
        <x:v>RECONSTRUCTED_FROM_REPORT; Fear of Temperature_ Stratified Lexical Expansion, Voice Mapping, and Semantic-Relational Pre-Valida.pdf; p.6; project candidate FT-SEED-R1B-P-1842-17; original visible ID not available</x:v>
      </x:c>
      <x:c r="K18" s="21" t="str">
        <x:v>INTERNET_ARCHIVE_METADATA_TEXT_ITEM_COUNT</x:v>
      </x:c>
      <x:c r="L18" s="22" t="str">
        <x:v>"radiation of the heat" AND mediatype:texts</x:v>
      </x:c>
      <x:c r="M18" s="22" t="str">
        <x:v>PHRASE_METADATA_SEARCH</x:v>
      </x:c>
      <x:c r="N18" s="21" t="str">
        <x:v>COMPLETED_NONZERO</x:v>
      </x:c>
      <x:c r="O18" s="57" t="str">
        <x:v>1</x:v>
      </x:c>
      <x:c r="P18" s="22" t="str">
        <x:v>1</x:v>
      </x:c>
      <x:c r="Q18" s="22" t="str">
        <x:v>0</x:v>
      </x:c>
      <x:c r="R18" s="22" t="str">
        <x:v>0</x:v>
      </x:c>
      <x:c r="S18" s="22" t="str">
        <x:v>2026-08-26</x:v>
      </x:c>
      <x:c r="T18" s="22" t="str">
        <x:v>https://archive.org/advancedsearch.php</x:v>
      </x:c>
      <x:c r="U18" s="22" t="str">
        <x:v>EXACT_PHRASE</x:v>
      </x:c>
      <x:c r="V18" s="21" t="str">
        <x:v>OPENALEX_WORK_COUNT</x:v>
      </x:c>
      <x:c r="W18" s="57" t="str"/>
      <x:c r="X18" s="23" t="str">
        <x:v>Metadata text-item count; not a full-text lexical frequency. Secondary metric: NOT_RUN_OPENALEX_DAILY_BUDGET_EXHAUSTED: shared provider response retained; no count fabricated.</x:v>
      </x:c>
    </x:row>
    <x:row r="19" ht="19" customHeight="1">
      <x:c r="A19" s="20" t="str">
        <x:v>FT-SEED-R1B-P-1842-18</x:v>
      </x:c>
      <x:c r="B19" s="22" t="str">
        <x:v>1842</x:v>
      </x:c>
      <x:c r="C19" s="22" t="str">
        <x:v>18</x:v>
      </x:c>
      <x:c r="D19" s="21" t="str">
        <x:v>changes of temperature</x:v>
      </x:c>
      <x:c r="E19" s="21" t="str">
        <x:v>local / instrumental temperature</x:v>
      </x:c>
      <x:c r="F19" s="22" t="str">
        <x:v>temperature_threshold</x:v>
      </x:c>
      <x:c r="G19" s="22" t="str">
        <x:v>A</x:v>
      </x:c>
      <x:c r="H19" s="22" t="str">
        <x:v>V2</x:v>
      </x:c>
      <x:c r="I19" s="22" t="str">
        <x:v>E5</x:v>
      </x:c>
      <x:c r="J19" s="21" t="str">
        <x:v>RECONSTRUCTED_FROM_REPORT; Fear of Temperature_ Stratified Lexical Expansion, Voice Mapping, and Semantic-Relational Pre-Valida.pdf; p.7; project candidate FT-SEED-R1B-P-1842-18; original visible ID not available</x:v>
      </x:c>
      <x:c r="K19" s="21" t="str">
        <x:v>INTERNET_ARCHIVE_METADATA_TEXT_ITEM_COUNT</x:v>
      </x:c>
      <x:c r="L19" s="22" t="str">
        <x:v>"changes of temperature" AND mediatype:texts</x:v>
      </x:c>
      <x:c r="M19" s="22" t="str">
        <x:v>PHRASE_METADATA_SEARCH</x:v>
      </x:c>
      <x:c r="N19" s="21" t="str">
        <x:v>COMPLETED_NONZERO</x:v>
      </x:c>
      <x:c r="O19" s="57" t="str">
        <x:v>75</x:v>
      </x:c>
      <x:c r="P19" s="22" t="str">
        <x:v>75</x:v>
      </x:c>
      <x:c r="Q19" s="22" t="str">
        <x:v>0</x:v>
      </x:c>
      <x:c r="R19" s="22" t="str">
        <x:v>4</x:v>
      </x:c>
      <x:c r="S19" s="22" t="str">
        <x:v>2026-08-26</x:v>
      </x:c>
      <x:c r="T19" s="22" t="str">
        <x:v>https://archive.org/advancedsearch.php</x:v>
      </x:c>
      <x:c r="U19" s="22" t="str">
        <x:v>EXACT_PHRASE</x:v>
      </x:c>
      <x:c r="V19" s="21" t="str">
        <x:v>OPENALEX_WORK_COUNT</x:v>
      </x:c>
      <x:c r="W19" s="57" t="str">
        <x:v>12037</x:v>
      </x:c>
      <x:c r="X19" s="23" t="str">
        <x:v>Metadata text-item count; not a full-text lexical frequency. Secondary metric: Scholarly work discoverability count over OpenAlex search fields; not a corpus word frequency.</x:v>
      </x:c>
    </x:row>
    <x:row r="20" ht="19" customHeight="1">
      <x:c r="A20" s="20" t="str">
        <x:v>FT-SEED-R1B-P-1842-19</x:v>
      </x:c>
      <x:c r="B20" s="22" t="str">
        <x:v>1842</x:v>
      </x:c>
      <x:c r="C20" s="22" t="str">
        <x:v>19</x:v>
      </x:c>
      <x:c r="D20" s="21" t="str">
        <x:v>excessive heat</x:v>
      </x:c>
      <x:c r="E20" s="21" t="str">
        <x:v>extreme-heat hazard</x:v>
      </x:c>
      <x:c r="F20" s="22" t="str">
        <x:v>heat</x:v>
      </x:c>
      <x:c r="G20" s="22" t="str">
        <x:v>D</x:v>
      </x:c>
      <x:c r="H20" s="22" t="str">
        <x:v>V5</x:v>
      </x:c>
      <x:c r="I20" s="22" t="str">
        <x:v>E5</x:v>
      </x:c>
      <x:c r="J20" s="21" t="str">
        <x:v>RECONSTRUCTED_FROM_REPORT; Fear of Temperature_ Stratified Lexical Expansion, Voice Mapping, and Semantic-Relational Pre-Valida.pdf; p.7; project candidate FT-SEED-R1B-P-1842-19; original visible ID not available</x:v>
      </x:c>
      <x:c r="K20" s="21" t="str">
        <x:v>INTERNET_ARCHIVE_METADATA_TEXT_ITEM_COUNT</x:v>
      </x:c>
      <x:c r="L20" s="22" t="str">
        <x:v>"excessive heat" AND mediatype:texts</x:v>
      </x:c>
      <x:c r="M20" s="22" t="str">
        <x:v>PHRASE_METADATA_SEARCH</x:v>
      </x:c>
      <x:c r="N20" s="21" t="str">
        <x:v>COMPLETED_NONZERO</x:v>
      </x:c>
      <x:c r="O20" s="57" t="str">
        <x:v>165</x:v>
      </x:c>
      <x:c r="P20" s="22" t="str">
        <x:v>165</x:v>
      </x:c>
      <x:c r="Q20" s="22" t="str">
        <x:v>0</x:v>
      </x:c>
      <x:c r="R20" s="22" t="str">
        <x:v>0</x:v>
      </x:c>
      <x:c r="S20" s="22" t="str">
        <x:v>2026-08-26</x:v>
      </x:c>
      <x:c r="T20" s="22" t="str">
        <x:v>https://archive.org/advancedsearch.php</x:v>
      </x:c>
      <x:c r="U20" s="22" t="str">
        <x:v>EXACT_PHRASE</x:v>
      </x:c>
      <x:c r="V20" s="21" t="str">
        <x:v>OPENALEX_WORK_COUNT</x:v>
      </x:c>
      <x:c r="W20" s="57" t="str"/>
      <x:c r="X20" s="23" t="str">
        <x:v>Metadata text-item count; not a full-text lexical frequency. Secondary metric: NOT_RUN_OPENALEX_DAILY_BUDGET_EXHAUSTED: shared provider response retained; no count fabricated.</x:v>
      </x:c>
    </x:row>
    <x:row r="21" ht="19" customHeight="1">
      <x:c r="A21" s="20" t="str">
        <x:v>FT-SEED-R1B-P-1842-20</x:v>
      </x:c>
      <x:c r="B21" s="22" t="str">
        <x:v>1842</x:v>
      </x:c>
      <x:c r="C21" s="22" t="str">
        <x:v>20</x:v>
      </x:c>
      <x:c r="D21" s="21" t="str">
        <x:v>heat of the men</x:v>
      </x:c>
      <x:c r="E21" s="21" t="str">
        <x:v>embodied heat exposure</x:v>
      </x:c>
      <x:c r="F21" s="22" t="str">
        <x:v>heat</x:v>
      </x:c>
      <x:c r="G21" s="22" t="str">
        <x:v>A</x:v>
      </x:c>
      <x:c r="H21" s="22" t="str">
        <x:v>V5</x:v>
      </x:c>
      <x:c r="I21" s="22" t="str">
        <x:v>E5</x:v>
      </x:c>
      <x:c r="J21" s="21" t="str">
        <x:v>RECONSTRUCTED_FROM_REPORT; Fear of Temperature_ Stratified Lexical Expansion, Voice Mapping, and Semantic-Relational Pre-Valida.pdf; p.7; project candidate FT-SEED-R1B-P-1842-20; original visible ID not available</x:v>
      </x:c>
      <x:c r="K21" s="21" t="str">
        <x:v>INTERNET_ARCHIVE_METADATA_TEXT_ITEM_COUNT</x:v>
      </x:c>
      <x:c r="L21" s="22" t="str">
        <x:v>"heat of the men" AND mediatype:texts</x:v>
      </x:c>
      <x:c r="M21" s="22" t="str">
        <x:v>PHRASE_METADATA_SEARCH</x:v>
      </x:c>
      <x:c r="N21" s="21" t="str">
        <x:v>COMPLETED_ZERO</x:v>
      </x:c>
      <x:c r="O21" s="57" t="str">
        <x:v>0</x:v>
      </x:c>
      <x:c r="P21" s="22" t="str">
        <x:v>0</x:v>
      </x:c>
      <x:c r="Q21" s="22" t="str">
        <x:v>0</x:v>
      </x:c>
      <x:c r="R21" s="22" t="str">
        <x:v>0</x:v>
      </x:c>
      <x:c r="S21" s="22" t="str">
        <x:v>2026-08-26</x:v>
      </x:c>
      <x:c r="T21" s="22" t="str">
        <x:v>https://archive.org/advancedsearch.php</x:v>
      </x:c>
      <x:c r="U21" s="22" t="str">
        <x:v>EXACT_PHRASE</x:v>
      </x:c>
      <x:c r="V21" s="21" t="str">
        <x:v>OPENALEX_WORK_COUNT</x:v>
      </x:c>
      <x:c r="W21" s="57" t="str"/>
      <x:c r="X21" s="23" t="str">
        <x:v>Metadata text-item count; not a full-text lexical frequency. Secondary metric: NOT_RUN_OPENALEX_DAILY_BUDGET_EXHAUSTED: shared provider response retained; no count fabricated.</x:v>
      </x:c>
    </x:row>
    <x:row r="22" ht="19" customHeight="1">
      <x:c r="A22" s="20" t="str">
        <x:v>FT-SEED-R1B-P-1842-21</x:v>
      </x:c>
      <x:c r="B22" s="22" t="str">
        <x:v>1842</x:v>
      </x:c>
      <x:c r="C22" s="22" t="str">
        <x:v>21</x:v>
      </x:c>
      <x:c r="D22" s="21" t="str">
        <x:v>heat of the irons</x:v>
      </x:c>
      <x:c r="E22" s="21" t="str">
        <x:v>physical heat source / state</x:v>
      </x:c>
      <x:c r="F22" s="22" t="str">
        <x:v>heat</x:v>
      </x:c>
      <x:c r="G22" s="22" t="str">
        <x:v>A</x:v>
      </x:c>
      <x:c r="H22" s="22" t="str">
        <x:v>V5</x:v>
      </x:c>
      <x:c r="I22" s="22" t="str">
        <x:v>E5</x:v>
      </x:c>
      <x:c r="J22" s="21" t="str">
        <x:v>RECONSTRUCTED_FROM_REPORT; Fear of Temperature_ Stratified Lexical Expansion, Voice Mapping, and Semantic-Relational Pre-Valida.pdf; p.6; project candidate FT-SEED-R1B-P-1842-21; original visible ID not available</x:v>
      </x:c>
      <x:c r="K22" s="21" t="str">
        <x:v>INTERNET_ARCHIVE_METADATA_TEXT_ITEM_COUNT</x:v>
      </x:c>
      <x:c r="L22" s="22" t="str">
        <x:v>"heat of the irons" AND mediatype:texts</x:v>
      </x:c>
      <x:c r="M22" s="22" t="str">
        <x:v>PHRASE_METADATA_SEARCH</x:v>
      </x:c>
      <x:c r="N22" s="21" t="str">
        <x:v>COMPLETED_ZERO</x:v>
      </x:c>
      <x:c r="O22" s="57" t="str">
        <x:v>0</x:v>
      </x:c>
      <x:c r="P22" s="22" t="str">
        <x:v>0</x:v>
      </x:c>
      <x:c r="Q22" s="22" t="str">
        <x:v>0</x:v>
      </x:c>
      <x:c r="R22" s="22" t="str">
        <x:v>0</x:v>
      </x:c>
      <x:c r="S22" s="22" t="str">
        <x:v>2026-08-26</x:v>
      </x:c>
      <x:c r="T22" s="22" t="str">
        <x:v>https://archive.org/advancedsearch.php</x:v>
      </x:c>
      <x:c r="U22" s="22" t="str">
        <x:v>EXACT_PHRASE</x:v>
      </x:c>
      <x:c r="V22" s="21" t="str">
        <x:v>OPENALEX_WORK_COUNT</x:v>
      </x:c>
      <x:c r="W22" s="57" t="str"/>
      <x:c r="X22" s="23" t="str">
        <x:v>Metadata text-item count; not a full-text lexical frequency. Secondary metric: NOT_RUN_OPENALEX_DAILY_BUDGET_EXHAUSTED: shared provider response retained; no count fabricated.</x:v>
      </x:c>
    </x:row>
    <x:row r="23" ht="19" customHeight="1">
      <x:c r="A23" s="20" t="str">
        <x:v>FT-SEED-R1B-P-1842-22</x:v>
      </x:c>
      <x:c r="B23" s="22" t="str">
        <x:v>1842</x:v>
      </x:c>
      <x:c r="C23" s="22" t="str">
        <x:v>22</x:v>
      </x:c>
      <x:c r="D23" s="21" t="str">
        <x:v>most suffocating</x:v>
      </x:c>
      <x:c r="E23" s="21" t="str">
        <x:v>generic damage</x:v>
      </x:c>
      <x:c r="F23" s="22" t="str">
        <x:v>harm_loss_consequences</x:v>
      </x:c>
      <x:c r="G23" s="22" t="str">
        <x:v>D</x:v>
      </x:c>
      <x:c r="H23" s="22" t="str">
        <x:v>V5</x:v>
      </x:c>
      <x:c r="I23" s="22" t="str">
        <x:v>E5</x:v>
      </x:c>
      <x:c r="J23" s="21" t="str">
        <x:v>RECONSTRUCTED_FROM_REPORT; Fear of Temperature_ Stratified Lexical Expansion, Voice Mapping, and Semantic-Relational Pre-Valida.pdf; p.6; project candidate FT-SEED-R1B-P-1842-22; original visible ID not available</x:v>
      </x:c>
      <x:c r="K23" s="21" t="str">
        <x:v>INTERNET_ARCHIVE_METADATA_TEXT_ITEM_COUNT</x:v>
      </x:c>
      <x:c r="L23" s="22" t="str">
        <x:v>"most suffocating" AND mediatype:texts</x:v>
      </x:c>
      <x:c r="M23" s="22" t="str">
        <x:v>PHRASE_METADATA_SEARCH</x:v>
      </x:c>
      <x:c r="N23" s="21" t="str">
        <x:v>COMPLETED_ZERO</x:v>
      </x:c>
      <x:c r="O23" s="57" t="str">
        <x:v>0</x:v>
      </x:c>
      <x:c r="P23" s="22" t="str">
        <x:v>0</x:v>
      </x:c>
      <x:c r="Q23" s="22" t="str">
        <x:v>0</x:v>
      </x:c>
      <x:c r="R23" s="22" t="str">
        <x:v>0</x:v>
      </x:c>
      <x:c r="S23" s="22" t="str">
        <x:v>2026-08-26</x:v>
      </x:c>
      <x:c r="T23" s="22" t="str">
        <x:v>https://archive.org/advancedsearch.php</x:v>
      </x:c>
      <x:c r="U23" s="22" t="str">
        <x:v>EXACT_PHRASE</x:v>
      </x:c>
      <x:c r="V23" s="21" t="str">
        <x:v>OPENALEX_WORK_COUNT</x:v>
      </x:c>
      <x:c r="W23" s="57" t="str"/>
      <x:c r="X23" s="23" t="str">
        <x:v>Metadata text-item count; not a full-text lexical frequency. Secondary metric: NOT_RUN_OPENALEX_DAILY_BUDGET_EXHAUSTED: shared provider response retained; no count fabricated.</x:v>
      </x:c>
    </x:row>
    <x:row r="24" ht="19" customHeight="1">
      <x:c r="A24" s="20" t="str">
        <x:v>FT-SEED-R1B-P-1842-23</x:v>
      </x:c>
      <x:c r="B24" s="22" t="str">
        <x:v>1842</x:v>
      </x:c>
      <x:c r="C24" s="22" t="str">
        <x:v>23</x:v>
      </x:c>
      <x:c r="D24" s="21" t="str">
        <x:v>faint away</x:v>
      </x:c>
      <x:c r="E24" s="21" t="str">
        <x:v>generic damage</x:v>
      </x:c>
      <x:c r="F24" s="22" t="str">
        <x:v>harm_loss_consequences</x:v>
      </x:c>
      <x:c r="G24" s="22" t="str">
        <x:v>D</x:v>
      </x:c>
      <x:c r="H24" s="22" t="str">
        <x:v>V5</x:v>
      </x:c>
      <x:c r="I24" s="22" t="str">
        <x:v>E5</x:v>
      </x:c>
      <x:c r="J24" s="21" t="str">
        <x:v>RECONSTRUCTED_FROM_REPORT; Fear of Temperature_ Stratified Lexical Expansion, Voice Mapping, and Semantic-Relational Pre-Valida.pdf; p.6; project candidate FT-SEED-R1B-P-1842-23; original visible ID not available</x:v>
      </x:c>
      <x:c r="K24" s="21" t="str">
        <x:v>INTERNET_ARCHIVE_METADATA_TEXT_ITEM_COUNT</x:v>
      </x:c>
      <x:c r="L24" s="22" t="str">
        <x:v>"faint away" AND mediatype:texts</x:v>
      </x:c>
      <x:c r="M24" s="22" t="str">
        <x:v>PHRASE_METADATA_SEARCH</x:v>
      </x:c>
      <x:c r="N24" s="21" t="str">
        <x:v>COMPLETED_NONZERO</x:v>
      </x:c>
      <x:c r="O24" s="57" t="str">
        <x:v>2</x:v>
      </x:c>
      <x:c r="P24" s="22" t="str">
        <x:v>2</x:v>
      </x:c>
      <x:c r="Q24" s="22" t="str">
        <x:v>0</x:v>
      </x:c>
      <x:c r="R24" s="22" t="str">
        <x:v>0</x:v>
      </x:c>
      <x:c r="S24" s="22" t="str">
        <x:v>2026-08-26</x:v>
      </x:c>
      <x:c r="T24" s="22" t="str">
        <x:v>https://archive.org/advancedsearch.php</x:v>
      </x:c>
      <x:c r="U24" s="22" t="str">
        <x:v>EXACT_PHRASE</x:v>
      </x:c>
      <x:c r="V24" s="21" t="str">
        <x:v>OPENALEX_WORK_COUNT</x:v>
      </x:c>
      <x:c r="W24" s="57" t="str"/>
      <x:c r="X24" s="23" t="str">
        <x:v>Metadata text-item count; not a full-text lexical frequency. Secondary metric: NOT_RUN_OPENALEX_DAILY_BUDGET_EXHAUSTED: shared provider response retained; no count fabricated.</x:v>
      </x:c>
    </x:row>
    <x:row r="25" ht="19" customHeight="1">
      <x:c r="A25" s="20" t="str">
        <x:v>FT-SEED-R1B-P-1842-24</x:v>
      </x:c>
      <x:c r="B25" s="22" t="str">
        <x:v>1842</x:v>
      </x:c>
      <x:c r="C25" s="22" t="str">
        <x:v>24</x:v>
      </x:c>
      <x:c r="D25" s="21" t="str">
        <x:v>perspiration</x:v>
      </x:c>
      <x:c r="E25" s="21" t="str">
        <x:v>generic damage</x:v>
      </x:c>
      <x:c r="F25" s="22" t="str">
        <x:v>harm_loss_consequences</x:v>
      </x:c>
      <x:c r="G25" s="22" t="str">
        <x:v>D</x:v>
      </x:c>
      <x:c r="H25" s="22" t="str">
        <x:v>V5</x:v>
      </x:c>
      <x:c r="I25" s="22" t="str">
        <x:v>E5</x:v>
      </x:c>
      <x:c r="J25" s="21" t="str">
        <x:v>RECONSTRUCTED_FROM_REPORT; Fear of Temperature_ Stratified Lexical Expansion, Voice Mapping, and Semantic-Relational Pre-Valida.pdf; p.6; project candidate FT-SEED-R1B-P-1842-24; original visible ID not available</x:v>
      </x:c>
      <x:c r="K25" s="21" t="str">
        <x:v>INTERNET_ARCHIVE_METADATA_TEXT_ITEM_COUNT</x:v>
      </x:c>
      <x:c r="L25" s="22" t="str">
        <x:v>"perspiration" AND mediatype:texts</x:v>
      </x:c>
      <x:c r="M25" s="22" t="str">
        <x:v>PHRASE_METADATA_SEARCH</x:v>
      </x:c>
      <x:c r="N25" s="21" t="str">
        <x:v>COMPLETED_NONZERO</x:v>
      </x:c>
      <x:c r="O25" s="57" t="str">
        <x:v>551</x:v>
      </x:c>
      <x:c r="P25" s="22" t="str">
        <x:v>551</x:v>
      </x:c>
      <x:c r="Q25" s="22" t="str">
        <x:v>0</x:v>
      </x:c>
      <x:c r="R25" s="22" t="str">
        <x:v>2</x:v>
      </x:c>
      <x:c r="S25" s="22" t="str">
        <x:v>2026-08-26</x:v>
      </x:c>
      <x:c r="T25" s="22" t="str">
        <x:v>https://archive.org/advancedsearch.php</x:v>
      </x:c>
      <x:c r="U25" s="22" t="str">
        <x:v>EXACT_PHRASE</x:v>
      </x:c>
      <x:c r="V25" s="21" t="str">
        <x:v>OPENALEX_WORK_COUNT</x:v>
      </x:c>
      <x:c r="W25" s="57" t="str"/>
      <x:c r="X25" s="23" t="str">
        <x:v>Metadata text-item count; not a full-text lexical frequency. Secondary metric: NOT_RUN_OPENALEX_DAILY_BUDGET_EXHAUSTED: shared provider response retained; no count fabricated.</x:v>
      </x:c>
    </x:row>
    <x:row r="26" ht="19" customHeight="1">
      <x:c r="A26" s="20" t="str">
        <x:v>FT-SEED-R1B-P-1842-25</x:v>
      </x:c>
      <x:c r="B26" s="22" t="str">
        <x:v>1842</x:v>
      </x:c>
      <x:c r="C26" s="22" t="str">
        <x:v>25</x:v>
      </x:c>
      <x:c r="D26" s="21" t="str">
        <x:v>depressing effect</x:v>
      </x:c>
      <x:c r="E26" s="21" t="str">
        <x:v>historical depressing effect</x:v>
      </x:c>
      <x:c r="F26" s="22" t="str">
        <x:v>distress_depression</x:v>
      </x:c>
      <x:c r="G26" s="22" t="str">
        <x:v>C</x:v>
      </x:c>
      <x:c r="H26" s="22" t="str">
        <x:v>V5</x:v>
      </x:c>
      <x:c r="I26" s="22" t="str">
        <x:v>E3</x:v>
      </x:c>
      <x:c r="J26" s="21" t="str">
        <x:v>RECONSTRUCTED_FROM_REPORT; Fear of Temperature_ Stratified Lexical Expansion, Voice Mapping, and Semantic-Relational Pre-Valida.pdf; p.6; project candidate FT-SEED-R1B-P-1842-25; original visible ID not available</x:v>
      </x:c>
      <x:c r="K26" s="21" t="str">
        <x:v>INTERNET_ARCHIVE_METADATA_TEXT_ITEM_COUNT</x:v>
      </x:c>
      <x:c r="L26" s="22" t="str">
        <x:v>"depressing effect" AND mediatype:texts</x:v>
      </x:c>
      <x:c r="M26" s="22" t="str">
        <x:v>PHRASE_METADATA_SEARCH</x:v>
      </x:c>
      <x:c r="N26" s="21" t="str">
        <x:v>COMPLETED_NONZERO</x:v>
      </x:c>
      <x:c r="O26" s="57" t="str">
        <x:v>62</x:v>
      </x:c>
      <x:c r="P26" s="22" t="str">
        <x:v>62</x:v>
      </x:c>
      <x:c r="Q26" s="22" t="str">
        <x:v>0</x:v>
      </x:c>
      <x:c r="R26" s="22" t="str">
        <x:v>0</x:v>
      </x:c>
      <x:c r="S26" s="22" t="str">
        <x:v>2026-08-26</x:v>
      </x:c>
      <x:c r="T26" s="22" t="str">
        <x:v>https://archive.org/advancedsearch.php</x:v>
      </x:c>
      <x:c r="U26" s="22" t="str">
        <x:v>EXACT_PHRASE</x:v>
      </x:c>
      <x:c r="V26" s="21" t="str">
        <x:v>OPENALEX_WORK_COUNT</x:v>
      </x:c>
      <x:c r="W26" s="57" t="str"/>
      <x:c r="X26" s="23" t="str">
        <x:v>Metadata text-item count; not a full-text lexical frequency. Secondary metric: NOT_RUN_OPENALEX_DAILY_BUDGET_EXHAUSTED: shared provider response retained; no count fabricated.</x:v>
      </x:c>
    </x:row>
    <x:row r="27" ht="19" customHeight="1">
      <x:c r="A27" s="20" t="str">
        <x:v>FT-SEED-R1B-P-1842-26</x:v>
      </x:c>
      <x:c r="B27" s="22" t="str">
        <x:v>1842</x:v>
      </x:c>
      <x:c r="C27" s="22" t="str">
        <x:v>26</x:v>
      </x:c>
      <x:c r="D27" s="21" t="str">
        <x:v>complain of the heat</x:v>
      </x:c>
      <x:c r="E27" s="21" t="str">
        <x:v>embodied heat exposure</x:v>
      </x:c>
      <x:c r="F27" s="22" t="str">
        <x:v>heat</x:v>
      </x:c>
      <x:c r="G27" s="22" t="str">
        <x:v>C</x:v>
      </x:c>
      <x:c r="H27" s="22" t="str">
        <x:v>V5</x:v>
      </x:c>
      <x:c r="I27" s="22" t="str">
        <x:v>E5</x:v>
      </x:c>
      <x:c r="J27" s="21" t="str">
        <x:v>RECONSTRUCTED_FROM_REPORT; Fear of Temperature_ Stratified Lexical Expansion, Voice Mapping, and Semantic-Relational Pre-Valida.pdf; p.6; project candidate FT-SEED-R1B-P-1842-26; original visible ID not available</x:v>
      </x:c>
      <x:c r="K27" s="21" t="str">
        <x:v>INTERNET_ARCHIVE_METADATA_TEXT_ITEM_COUNT</x:v>
      </x:c>
      <x:c r="L27" s="22" t="str">
        <x:v>"complain of the heat" AND mediatype:texts</x:v>
      </x:c>
      <x:c r="M27" s="22" t="str">
        <x:v>PHRASE_METADATA_SEARCH</x:v>
      </x:c>
      <x:c r="N27" s="21" t="str">
        <x:v>COMPLETED_ZERO</x:v>
      </x:c>
      <x:c r="O27" s="57" t="str">
        <x:v>0</x:v>
      </x:c>
      <x:c r="P27" s="22" t="str">
        <x:v>0</x:v>
      </x:c>
      <x:c r="Q27" s="22" t="str">
        <x:v>0</x:v>
      </x:c>
      <x:c r="R27" s="22" t="str">
        <x:v>0</x:v>
      </x:c>
      <x:c r="S27" s="22" t="str">
        <x:v>2026-08-26</x:v>
      </x:c>
      <x:c r="T27" s="22" t="str">
        <x:v>https://archive.org/advancedsearch.php</x:v>
      </x:c>
      <x:c r="U27" s="22" t="str">
        <x:v>EXACT_PHRASE</x:v>
      </x:c>
      <x:c r="V27" s="21" t="str">
        <x:v>OPENALEX_WORK_COUNT</x:v>
      </x:c>
      <x:c r="W27" s="57" t="str">
        <x:v>9</x:v>
      </x:c>
      <x:c r="X27" s="23" t="str">
        <x:v>Metadata text-item count; not a full-text lexical frequency. Secondary metric: Scholarly work discoverability count over OpenAlex search fields; not a corpus word frequency.</x:v>
      </x:c>
    </x:row>
    <x:row r="28" ht="19" customHeight="1">
      <x:c r="A28" s="20" t="str">
        <x:v>FT-SEED-R1B-P-1842-27</x:v>
      </x:c>
      <x:c r="B28" s="22" t="str">
        <x:v>1842</x:v>
      </x:c>
      <x:c r="C28" s="22" t="str">
        <x:v>27</x:v>
      </x:c>
      <x:c r="D28" s="21" t="str">
        <x:v>premature heat of the weather</x:v>
      </x:c>
      <x:c r="E28" s="21" t="str">
        <x:v>physical heat source / state</x:v>
      </x:c>
      <x:c r="F28" s="22" t="str">
        <x:v>heat</x:v>
      </x:c>
      <x:c r="G28" s="22" t="str">
        <x:v>A</x:v>
      </x:c>
      <x:c r="H28" s="22" t="str">
        <x:v>V5</x:v>
      </x:c>
      <x:c r="I28" s="22" t="str">
        <x:v>E5</x:v>
      </x:c>
      <x:c r="J28" s="21" t="str">
        <x:v>RECONSTRUCTED_FROM_REPORT; Fear of Temperature_ Stratified Lexical Expansion, Voice Mapping, and Semantic-Relational Pre-Valida.pdf; p.6; project candidate FT-SEED-R1B-P-1842-27; original visible ID not available</x:v>
      </x:c>
      <x:c r="K28" s="21" t="str">
        <x:v>INTERNET_ARCHIVE_METADATA_TEXT_ITEM_COUNT</x:v>
      </x:c>
      <x:c r="L28" s="22" t="str">
        <x:v>"premature heat of the weather" AND mediatype:texts</x:v>
      </x:c>
      <x:c r="M28" s="22" t="str">
        <x:v>PHRASE_METADATA_SEARCH</x:v>
      </x:c>
      <x:c r="N28" s="21" t="str">
        <x:v>COMPLETED_ZERO</x:v>
      </x:c>
      <x:c r="O28" s="57" t="str">
        <x:v>0</x:v>
      </x:c>
      <x:c r="P28" s="22" t="str">
        <x:v>0</x:v>
      </x:c>
      <x:c r="Q28" s="22" t="str">
        <x:v>0</x:v>
      </x:c>
      <x:c r="R28" s="22" t="str">
        <x:v>0</x:v>
      </x:c>
      <x:c r="S28" s="22" t="str">
        <x:v>2026-08-26</x:v>
      </x:c>
      <x:c r="T28" s="22" t="str">
        <x:v>https://archive.org/advancedsearch.php</x:v>
      </x:c>
      <x:c r="U28" s="22" t="str">
        <x:v>EXACT_PHRASE</x:v>
      </x:c>
      <x:c r="V28" s="21" t="str">
        <x:v>OPENALEX_WORK_COUNT</x:v>
      </x:c>
      <x:c r="W28" s="57" t="str"/>
      <x:c r="X28" s="23" t="str">
        <x:v>Metadata text-item count; not a full-text lexical frequency. Secondary metric: NOT_RUN_OPENALEX_DAILY_BUDGET_EXHAUSTED: shared provider response retained; no count fabricated.</x:v>
      </x:c>
    </x:row>
    <x:row r="29" ht="19" customHeight="1">
      <x:c r="A29" s="20" t="str">
        <x:v>FT-SEED-R1B-P-1842-28</x:v>
      </x:c>
      <x:c r="B29" s="22" t="str">
        <x:v>1842</x:v>
      </x:c>
      <x:c r="C29" s="22" t="str">
        <x:v>28</x:v>
      </x:c>
      <x:c r="D29" s="21" t="str">
        <x:v>suffered more from cold than from heat</x:v>
      </x:c>
      <x:c r="E29" s="21" t="str">
        <x:v>physical heat source / state</x:v>
      </x:c>
      <x:c r="F29" s="22" t="str">
        <x:v>heat</x:v>
      </x:c>
      <x:c r="G29" s="22" t="str">
        <x:v>D</x:v>
      </x:c>
      <x:c r="H29" s="22" t="str">
        <x:v>V1</x:v>
      </x:c>
      <x:c r="I29" s="22" t="str">
        <x:v>E5</x:v>
      </x:c>
      <x:c r="J29" s="21" t="str">
        <x:v>RECONSTRUCTED_FROM_REPORT; Fear of Temperature_ Stratified Lexical Expansion, Voice Mapping, and Semantic-Relational Pre-Valida.pdf; p.7; project candidate FT-SEED-R1B-P-1842-28; original visible ID not available</x:v>
      </x:c>
      <x:c r="K29" s="21" t="str">
        <x:v>INTERNET_ARCHIVE_METADATA_TEXT_ITEM_COUNT</x:v>
      </x:c>
      <x:c r="L29" s="22" t="str">
        <x:v>"suffered more from cold than from heat" AND mediatype:texts</x:v>
      </x:c>
      <x:c r="M29" s="22" t="str">
        <x:v>PHRASE_METADATA_SEARCH</x:v>
      </x:c>
      <x:c r="N29" s="21" t="str">
        <x:v>COMPLETED_ZERO</x:v>
      </x:c>
      <x:c r="O29" s="57" t="str">
        <x:v>0</x:v>
      </x:c>
      <x:c r="P29" s="22" t="str">
        <x:v>0</x:v>
      </x:c>
      <x:c r="Q29" s="22" t="str">
        <x:v>0</x:v>
      </x:c>
      <x:c r="R29" s="22" t="str">
        <x:v>0</x:v>
      </x:c>
      <x:c r="S29" s="22" t="str">
        <x:v>2026-08-26</x:v>
      </x:c>
      <x:c r="T29" s="22" t="str">
        <x:v>https://archive.org/advancedsearch.php</x:v>
      </x:c>
      <x:c r="U29" s="22" t="str">
        <x:v>EXACT_PHRASE</x:v>
      </x:c>
      <x:c r="V29" s="21" t="str">
        <x:v>OPENALEX_WORK_COUNT</x:v>
      </x:c>
      <x:c r="W29" s="57" t="str"/>
      <x:c r="X29" s="23" t="str">
        <x:v>Metadata text-item count; not a full-text lexical frequency. Secondary metric: NOT_RUN_OPENALEX_DAILY_BUDGET_EXHAUSTED: shared provider response retained; no count fabricated.</x:v>
      </x:c>
    </x:row>
    <x:row r="30" ht="19" customHeight="1">
      <x:c r="A30" s="20" t="str">
        <x:v>FT-SEED-R1B-P-1842-29</x:v>
      </x:c>
      <x:c r="B30" s="22" t="str">
        <x:v>1842</x:v>
      </x:c>
      <x:c r="C30" s="22" t="str">
        <x:v>29</x:v>
      </x:c>
      <x:c r="D30" s="21" t="str">
        <x:v>sickness and mortality</x:v>
      </x:c>
      <x:c r="E30" s="21" t="str">
        <x:v>mortality</x:v>
      </x:c>
      <x:c r="F30" s="22" t="str">
        <x:v>harm_loss_consequences</x:v>
      </x:c>
      <x:c r="G30" s="22" t="str">
        <x:v>D</x:v>
      </x:c>
      <x:c r="H30" s="22" t="str">
        <x:v>V2</x:v>
      </x:c>
      <x:c r="I30" s="22" t="str">
        <x:v>E5</x:v>
      </x:c>
      <x:c r="J30" s="21" t="str">
        <x:v>RECONSTRUCTED_FROM_REPORT; Fear of Temperature_ Stratified Lexical Expansion, Voice Mapping, and Semantic-Relational Pre-Valida.pdf; p.7; project candidate FT-SEED-R1B-P-1842-29; original visible ID not available</x:v>
      </x:c>
      <x:c r="K30" s="21" t="str">
        <x:v>INTERNET_ARCHIVE_METADATA_TEXT_ITEM_COUNT</x:v>
      </x:c>
      <x:c r="L30" s="22" t="str">
        <x:v>"sickness and mortality" AND mediatype:texts</x:v>
      </x:c>
      <x:c r="M30" s="22" t="str">
        <x:v>PHRASE_METADATA_SEARCH</x:v>
      </x:c>
      <x:c r="N30" s="21" t="str">
        <x:v>COMPLETED_NONZERO</x:v>
      </x:c>
      <x:c r="O30" s="57" t="str">
        <x:v>73</x:v>
      </x:c>
      <x:c r="P30" s="22" t="str">
        <x:v>73</x:v>
      </x:c>
      <x:c r="Q30" s="22" t="str">
        <x:v>0</x:v>
      </x:c>
      <x:c r="R30" s="22" t="str">
        <x:v>18</x:v>
      </x:c>
      <x:c r="S30" s="22" t="str">
        <x:v>2026-08-26</x:v>
      </x:c>
      <x:c r="T30" s="22" t="str">
        <x:v>https://archive.org/advancedsearch.php</x:v>
      </x:c>
      <x:c r="U30" s="22" t="str">
        <x:v>EXACT_PHRASE</x:v>
      </x:c>
      <x:c r="V30" s="21" t="str">
        <x:v>OPENALEX_WORK_COUNT</x:v>
      </x:c>
      <x:c r="W30" s="57" t="str"/>
      <x:c r="X30" s="23" t="str">
        <x:v>Metadata text-item count; not a full-text lexical frequency. Secondary metric: NOT_RUN_OPENALEX_DAILY_BUDGET_EXHAUSTED: shared provider response retained; no count fabricated.</x:v>
      </x:c>
    </x:row>
    <x:row r="31" ht="19" customHeight="1">
      <x:c r="A31" s="20" t="str">
        <x:v>FT-SEED-R1B-P-1842-30</x:v>
      </x:c>
      <x:c r="B31" s="22" t="str">
        <x:v>1842</x:v>
      </x:c>
      <x:c r="C31" s="22" t="str">
        <x:v>30</x:v>
      </x:c>
      <x:c r="D31" s="21" t="str">
        <x:v>alarm to the public</x:v>
      </x:c>
      <x:c r="E31" s="21" t="str">
        <x:v>public alarm</x:v>
      </x:c>
      <x:c r="F31" s="22" t="str">
        <x:v>concern_alarm</x:v>
      </x:c>
      <x:c r="G31" s="22" t="str">
        <x:v>C</x:v>
      </x:c>
      <x:c r="H31" s="22" t="str">
        <x:v>V3</x:v>
      </x:c>
      <x:c r="I31" s="22" t="str">
        <x:v>E5</x:v>
      </x:c>
      <x:c r="J31" s="21" t="str">
        <x:v>RECONSTRUCTED_FROM_REPORT; Fear of Temperature_ Stratified Lexical Expansion, Voice Mapping, and Semantic-Relational Pre-Valida.pdf; p.7; project candidate FT-SEED-R1B-P-1842-30; original visible ID not available</x:v>
      </x:c>
      <x:c r="K31" s="21" t="str">
        <x:v>INTERNET_ARCHIVE_METADATA_TEXT_ITEM_COUNT</x:v>
      </x:c>
      <x:c r="L31" s="22" t="str">
        <x:v>"alarm to the public" AND mediatype:texts</x:v>
      </x:c>
      <x:c r="M31" s="22" t="str">
        <x:v>PHRASE_METADATA_SEARCH</x:v>
      </x:c>
      <x:c r="N31" s="21" t="str">
        <x:v>COMPLETED_NONZERO</x:v>
      </x:c>
      <x:c r="O31" s="57" t="str">
        <x:v>3</x:v>
      </x:c>
      <x:c r="P31" s="22" t="str">
        <x:v>3</x:v>
      </x:c>
      <x:c r="Q31" s="22" t="str">
        <x:v>0</x:v>
      </x:c>
      <x:c r="R31" s="22" t="str">
        <x:v>0</x:v>
      </x:c>
      <x:c r="S31" s="22" t="str">
        <x:v>2026-08-26</x:v>
      </x:c>
      <x:c r="T31" s="22" t="str">
        <x:v>https://archive.org/advancedsearch.php</x:v>
      </x:c>
      <x:c r="U31" s="22" t="str">
        <x:v>EXACT_PHRASE</x:v>
      </x:c>
      <x:c r="V31" s="21" t="str">
        <x:v>OPENALEX_WORK_COUNT</x:v>
      </x:c>
      <x:c r="W31" s="57" t="str">
        <x:v>110</x:v>
      </x:c>
      <x:c r="X31" s="23" t="str">
        <x:v>Metadata text-item count; not a full-text lexical frequency. Secondary metric: Scholarly work discoverability count over OpenAlex search fields; not a corpus word frequency.</x:v>
      </x:c>
    </x:row>
    <x:row r="32" ht="19" customHeight="1">
      <x:c r="A32" s="20" t="str">
        <x:v>FT-SEED-R1B-P-1938-01</x:v>
      </x:c>
      <x:c r="B32" s="22" t="str">
        <x:v>1938</x:v>
      </x:c>
      <x:c r="C32" s="22" t="str">
        <x:v>1</x:v>
      </x:c>
      <x:c r="D32" s="21" t="str">
        <x:v>artificial production of carbon dioxide</x:v>
      </x:c>
      <x:c r="E32" s="21" t="str">
        <x:v>anthropogenic carbon-dioxide production</x:v>
      </x:c>
      <x:c r="F32" s="22" t="str">
        <x:v>carbon_greenhouse</x:v>
      </x:c>
      <x:c r="G32" s="22" t="str">
        <x:v>B</x:v>
      </x:c>
      <x:c r="H32" s="22" t="str">
        <x:v>V1</x:v>
      </x:c>
      <x:c r="I32" s="22" t="str">
        <x:v>E5</x:v>
      </x:c>
      <x:c r="J32" s="21" t="str">
        <x:v>RECONSTRUCTED_FROM_REPORT; Fear of Temperature_ Stratified Lexical Expansion, Voice Mapping, and Semantic-Relational Pre-Valida.pdf; p.7; project candidate FT-SEED-R1B-P-1938-01; original visible ID not available</x:v>
      </x:c>
      <x:c r="K32" s="21" t="str">
        <x:v>INTERNET_ARCHIVE_METADATA_TEXT_ITEM_COUNT</x:v>
      </x:c>
      <x:c r="L32" s="22" t="str">
        <x:v>"artificial production of carbon dioxide" AND mediatype:texts</x:v>
      </x:c>
      <x:c r="M32" s="22" t="str">
        <x:v>PHRASE_METADATA_SEARCH</x:v>
      </x:c>
      <x:c r="N32" s="21" t="str">
        <x:v>COMPLETED_ZERO</x:v>
      </x:c>
      <x:c r="O32" s="57" t="str">
        <x:v>0</x:v>
      </x:c>
      <x:c r="P32" s="22" t="str">
        <x:v>0</x:v>
      </x:c>
      <x:c r="Q32" s="22" t="str">
        <x:v>0</x:v>
      </x:c>
      <x:c r="R32" s="22" t="str">
        <x:v>0</x:v>
      </x:c>
      <x:c r="S32" s="22" t="str">
        <x:v>2026-08-26</x:v>
      </x:c>
      <x:c r="T32" s="22" t="str">
        <x:v>https://archive.org/advancedsearch.php</x:v>
      </x:c>
      <x:c r="U32" s="22" t="str">
        <x:v>EXACT_PHRASE</x:v>
      </x:c>
      <x:c r="V32" s="21" t="str">
        <x:v>OPENALEX_WORK_COUNT</x:v>
      </x:c>
      <x:c r="W32" s="57" t="str">
        <x:v>270</x:v>
      </x:c>
      <x:c r="X32" s="23" t="str">
        <x:v>Metadata text-item count; not a full-text lexical frequency. Secondary metric: Scholarly work discoverability count over OpenAlex search fields; not a corpus word frequency.</x:v>
      </x:c>
    </x:row>
    <x:row r="33" ht="19" customHeight="1">
      <x:c r="A33" s="20" t="str">
        <x:v>FT-SEED-R1B-P-1938-02</x:v>
      </x:c>
      <x:c r="B33" s="22" t="str">
        <x:v>1938</x:v>
      </x:c>
      <x:c r="C33" s="22" t="str">
        <x:v>2</x:v>
      </x:c>
      <x:c r="D33" s="21" t="str">
        <x:v>carbon dioxide</x:v>
      </x:c>
      <x:c r="E33" s="21" t="str">
        <x:v>atmospheric carbon dioxide</x:v>
      </x:c>
      <x:c r="F33" s="22" t="str">
        <x:v>carbon_greenhouse</x:v>
      </x:c>
      <x:c r="G33" s="22" t="str">
        <x:v>B</x:v>
      </x:c>
      <x:c r="H33" s="22" t="str">
        <x:v>V1</x:v>
      </x:c>
      <x:c r="I33" s="22" t="str">
        <x:v>E5</x:v>
      </x:c>
      <x:c r="J33" s="21" t="str">
        <x:v>RECONSTRUCTED_FROM_REPORT; Fear of Temperature_ Stratified Lexical Expansion, Voice Mapping, and Semantic-Relational Pre-Valida.pdf; p.7; project candidate FT-SEED-R1B-P-1938-02; original visible ID not available</x:v>
      </x:c>
      <x:c r="K33" s="21" t="str">
        <x:v>INTERNET_ARCHIVE_METADATA_TEXT_ITEM_COUNT</x:v>
      </x:c>
      <x:c r="L33" s="22" t="str">
        <x:v>"carbon dioxide" AND mediatype:texts</x:v>
      </x:c>
      <x:c r="M33" s="22" t="str">
        <x:v>PHRASE_METADATA_SEARCH</x:v>
      </x:c>
      <x:c r="N33" s="21" t="str">
        <x:v>COMPLETED_NONZERO</x:v>
      </x:c>
      <x:c r="O33" s="57" t="str">
        <x:v>10042</x:v>
      </x:c>
      <x:c r="P33" s="22" t="str">
        <x:v>10042</x:v>
      </x:c>
      <x:c r="Q33" s="22" t="str">
        <x:v>7</x:v>
      </x:c>
      <x:c r="R33" s="22" t="str">
        <x:v>29</x:v>
      </x:c>
      <x:c r="S33" s="22" t="str">
        <x:v>2026-08-26</x:v>
      </x:c>
      <x:c r="T33" s="22" t="str">
        <x:v>https://archive.org/advancedsearch.php</x:v>
      </x:c>
      <x:c r="U33" s="22" t="str">
        <x:v>EXACT_PHRASE</x:v>
      </x:c>
      <x:c r="V33" s="21" t="str">
        <x:v>OPENALEX_WORK_COUNT</x:v>
      </x:c>
      <x:c r="W33" s="57" t="str">
        <x:v>1319347</x:v>
      </x:c>
      <x:c r="X33" s="23" t="str">
        <x:v>Metadata text-item count; not a full-text lexical frequency. Secondary metric: Scholarly work discoverability count over OpenAlex search fields; not a corpus word frequency.</x:v>
      </x:c>
    </x:row>
    <x:row r="34" ht="19" customHeight="1">
      <x:c r="A34" s="20" t="str">
        <x:v>FT-SEED-R1B-P-1938-03</x:v>
      </x:c>
      <x:c r="B34" s="22" t="str">
        <x:v>1938</x:v>
      </x:c>
      <x:c r="C34" s="22" t="str">
        <x:v>3</x:v>
      </x:c>
      <x:c r="D34" s="21" t="str">
        <x:v>fuel combustion</x:v>
      </x:c>
      <x:c r="E34" s="21" t="str">
        <x:v>anthropogenic carbon-dioxide production</x:v>
      </x:c>
      <x:c r="F34" s="22" t="str">
        <x:v>carbon_greenhouse</x:v>
      </x:c>
      <x:c r="G34" s="22" t="str">
        <x:v>B</x:v>
      </x:c>
      <x:c r="H34" s="22" t="str">
        <x:v>V1</x:v>
      </x:c>
      <x:c r="I34" s="22" t="str">
        <x:v>E5</x:v>
      </x:c>
      <x:c r="J34" s="21" t="str">
        <x:v>RECONSTRUCTED_FROM_REPORT; Fear of Temperature_ Stratified Lexical Expansion, Voice Mapping, and Semantic-Relational Pre-Valida.pdf; p.8; project candidate FT-SEED-R1B-P-1938-03; original visible ID not available</x:v>
      </x:c>
      <x:c r="K34" s="21" t="str">
        <x:v>INTERNET_ARCHIVE_METADATA_TEXT_ITEM_COUNT</x:v>
      </x:c>
      <x:c r="L34" s="22" t="str">
        <x:v>"fuel combustion" AND mediatype:texts</x:v>
      </x:c>
      <x:c r="M34" s="22" t="str">
        <x:v>PHRASE_METADATA_SEARCH</x:v>
      </x:c>
      <x:c r="N34" s="21" t="str">
        <x:v>COMPLETED_NONZERO</x:v>
      </x:c>
      <x:c r="O34" s="57" t="str">
        <x:v>660</x:v>
      </x:c>
      <x:c r="P34" s="22" t="str">
        <x:v>660</x:v>
      </x:c>
      <x:c r="Q34" s="22" t="str">
        <x:v>0</x:v>
      </x:c>
      <x:c r="R34" s="22" t="str">
        <x:v>0</x:v>
      </x:c>
      <x:c r="S34" s="22" t="str">
        <x:v>2026-08-26</x:v>
      </x:c>
      <x:c r="T34" s="22" t="str">
        <x:v>https://archive.org/advancedsearch.php</x:v>
      </x:c>
      <x:c r="U34" s="22" t="str">
        <x:v>EXACT_PHRASE</x:v>
      </x:c>
      <x:c r="V34" s="21" t="str">
        <x:v>OPENALEX_WORK_COUNT</x:v>
      </x:c>
      <x:c r="W34" s="57" t="str"/>
      <x:c r="X34" s="23" t="str">
        <x:v>Metadata text-item count; not a full-text lexical frequency. Secondary metric: NOT_RUN_OPENALEX_DAILY_BUDGET_EXHAUSTED: shared provider response retained; no count fabricated.</x:v>
      </x:c>
    </x:row>
    <x:row r="35" ht="19" customHeight="1">
      <x:c r="A35" s="20" t="str">
        <x:v>FT-SEED-R1B-P-1938-04</x:v>
      </x:c>
      <x:c r="B35" s="22" t="str">
        <x:v>1938</x:v>
      </x:c>
      <x:c r="C35" s="22" t="str">
        <x:v>4</x:v>
      </x:c>
      <x:c r="D35" s="21" t="str">
        <x:v>air</x:v>
      </x:c>
      <x:c r="E35" s="21" t="str">
        <x:v>historical climate / climatological condition</x:v>
      </x:c>
      <x:c r="F35" s="22" t="str">
        <x:v>climate</x:v>
      </x:c>
      <x:c r="G35" s="22" t="str">
        <x:v>B</x:v>
      </x:c>
      <x:c r="H35" s="22" t="str">
        <x:v>V1</x:v>
      </x:c>
      <x:c r="I35" s="22" t="str">
        <x:v>E5</x:v>
      </x:c>
      <x:c r="J35" s="21" t="str">
        <x:v>RECONSTRUCTED_FROM_REPORT; Fear of Temperature_ Stratified Lexical Expansion, Voice Mapping, and Semantic-Relational Pre-Valida.pdf; p.8; project candidate FT-SEED-R1B-P-1938-04; original visible ID not available</x:v>
      </x:c>
      <x:c r="K35" s="21" t="str">
        <x:v>INTERNET_ARCHIVE_METADATA_TEXT_ITEM_COUNT</x:v>
      </x:c>
      <x:c r="L35" s="22" t="str">
        <x:v>"air" AND mediatype:texts</x:v>
      </x:c>
      <x:c r="M35" s="22" t="str">
        <x:v>PHRASE_METADATA_SEARCH</x:v>
      </x:c>
      <x:c r="N35" s="21" t="str">
        <x:v>COMPLETED_NONZERO</x:v>
      </x:c>
      <x:c r="O35" s="57" t="str">
        <x:v>406830</x:v>
      </x:c>
      <x:c r="P35" s="22" t="str">
        <x:v>406830</x:v>
      </x:c>
      <x:c r="Q35" s="22" t="str">
        <x:v>1800</x:v>
      </x:c>
      <x:c r="R35" s="22" t="str">
        <x:v>8904</x:v>
      </x:c>
      <x:c r="S35" s="22" t="str">
        <x:v>2026-08-26</x:v>
      </x:c>
      <x:c r="T35" s="22" t="str">
        <x:v>https://archive.org/advancedsearch.php</x:v>
      </x:c>
      <x:c r="U35" s="22" t="str">
        <x:v>EXACT_PHRASE</x:v>
      </x:c>
      <x:c r="V35" s="21" t="str">
        <x:v>OPENALEX_WORK_COUNT</x:v>
      </x:c>
      <x:c r="W35" s="57" t="str">
        <x:v>8872588</x:v>
      </x:c>
      <x:c r="X35" s="23" t="str">
        <x:v>Metadata text-item count; not a full-text lexical frequency. Secondary metric: Scholarly work discoverability count over OpenAlex search fields; not a corpus word frequency.</x:v>
      </x:c>
    </x:row>
    <x:row r="36" ht="19" customHeight="1">
      <x:c r="A36" s="20" t="str">
        <x:v>FT-SEED-R1B-P-1938-05</x:v>
      </x:c>
      <x:c r="B36" s="22" t="str">
        <x:v>1938</x:v>
      </x:c>
      <x:c r="C36" s="22" t="str">
        <x:v>5</x:v>
      </x:c>
      <x:c r="D36" s="21" t="str">
        <x:v>atmosphere</x:v>
      </x:c>
      <x:c r="E36" s="21" t="str">
        <x:v>historical climate / climatological condition</x:v>
      </x:c>
      <x:c r="F36" s="22" t="str">
        <x:v>climate</x:v>
      </x:c>
      <x:c r="G36" s="22" t="str">
        <x:v>B</x:v>
      </x:c>
      <x:c r="H36" s="22" t="str">
        <x:v>V1</x:v>
      </x:c>
      <x:c r="I36" s="22" t="str">
        <x:v>E5</x:v>
      </x:c>
      <x:c r="J36" s="21" t="str">
        <x:v>RECONSTRUCTED_FROM_REPORT; Fear of Temperature_ Stratified Lexical Expansion, Voice Mapping, and Semantic-Relational Pre-Valida.pdf; p.8; project candidate FT-SEED-R1B-P-1938-05; original visible ID not available</x:v>
      </x:c>
      <x:c r="K36" s="21" t="str">
        <x:v>INTERNET_ARCHIVE_METADATA_TEXT_ITEM_COUNT</x:v>
      </x:c>
      <x:c r="L36" s="22" t="str">
        <x:v>"atmosphere" AND mediatype:texts</x:v>
      </x:c>
      <x:c r="M36" s="22" t="str">
        <x:v>PHRASE_METADATA_SEARCH</x:v>
      </x:c>
      <x:c r="N36" s="21" t="str">
        <x:v>COMPLETED_NONZERO</x:v>
      </x:c>
      <x:c r="O36" s="57" t="str">
        <x:v>41908</x:v>
      </x:c>
      <x:c r="P36" s="22" t="str">
        <x:v>41908</x:v>
      </x:c>
      <x:c r="Q36" s="22" t="str">
        <x:v>35</x:v>
      </x:c>
      <x:c r="R36" s="22" t="str">
        <x:v>186</x:v>
      </x:c>
      <x:c r="S36" s="22" t="str">
        <x:v>2026-08-26</x:v>
      </x:c>
      <x:c r="T36" s="22" t="str">
        <x:v>https://archive.org/advancedsearch.php</x:v>
      </x:c>
      <x:c r="U36" s="22" t="str">
        <x:v>EXACT_PHRASE</x:v>
      </x:c>
      <x:c r="V36" s="21" t="str">
        <x:v>OPENALEX_WORK_COUNT</x:v>
      </x:c>
      <x:c r="W36" s="57" t="str">
        <x:v>3201156</x:v>
      </x:c>
      <x:c r="X36" s="23" t="str">
        <x:v>Metadata text-item count; not a full-text lexical frequency. Secondary metric: Scholarly work discoverability count over OpenAlex search fields; not a corpus word frequency.</x:v>
      </x:c>
    </x:row>
    <x:row r="37" ht="19" customHeight="1">
      <x:c r="A37" s="20" t="str">
        <x:v>FT-SEED-R1B-P-1938-06</x:v>
      </x:c>
      <x:c r="B37" s="22" t="str">
        <x:v>1938</x:v>
      </x:c>
      <x:c r="C37" s="22" t="str">
        <x:v>6</x:v>
      </x:c>
      <x:c r="D37" s="21" t="str">
        <x:v>radiation absorption coefficients</x:v>
      </x:c>
      <x:c r="E37" s="21" t="str">
        <x:v>historical climate / climatological condition</x:v>
      </x:c>
      <x:c r="F37" s="22" t="str">
        <x:v>climate</x:v>
      </x:c>
      <x:c r="G37" s="22" t="str">
        <x:v>B</x:v>
      </x:c>
      <x:c r="H37" s="22" t="str">
        <x:v>V1</x:v>
      </x:c>
      <x:c r="I37" s="22" t="str">
        <x:v>E5</x:v>
      </x:c>
      <x:c r="J37" s="21" t="str">
        <x:v>RECONSTRUCTED_FROM_REPORT; Fear of Temperature_ Stratified Lexical Expansion, Voice Mapping, and Semantic-Relational Pre-Valida.pdf; p.8; project candidate FT-SEED-R1B-P-1938-06; original visible ID not available</x:v>
      </x:c>
      <x:c r="K37" s="21" t="str">
        <x:v>INTERNET_ARCHIVE_METADATA_TEXT_ITEM_COUNT</x:v>
      </x:c>
      <x:c r="L37" s="22" t="str">
        <x:v>"radiation absorption coefficients" AND mediatype:texts</x:v>
      </x:c>
      <x:c r="M37" s="22" t="str">
        <x:v>PHRASE_METADATA_SEARCH</x:v>
      </x:c>
      <x:c r="N37" s="21" t="str">
        <x:v>COMPLETED_NONZERO</x:v>
      </x:c>
      <x:c r="O37" s="57" t="str">
        <x:v>20</x:v>
      </x:c>
      <x:c r="P37" s="22" t="str">
        <x:v>20</x:v>
      </x:c>
      <x:c r="Q37" s="22" t="str">
        <x:v>0</x:v>
      </x:c>
      <x:c r="R37" s="22" t="str">
        <x:v>0</x:v>
      </x:c>
      <x:c r="S37" s="22" t="str">
        <x:v>2026-08-26</x:v>
      </x:c>
      <x:c r="T37" s="22" t="str">
        <x:v>https://archive.org/advancedsearch.php</x:v>
      </x:c>
      <x:c r="U37" s="22" t="str">
        <x:v>EXACT_PHRASE</x:v>
      </x:c>
      <x:c r="V37" s="21" t="str">
        <x:v>OPENALEX_WORK_COUNT</x:v>
      </x:c>
      <x:c r="W37" s="57" t="str"/>
      <x:c r="X37" s="23" t="str">
        <x:v>Metadata text-item count; not a full-text lexical frequency. Secondary metric: NOT_RUN_OPENALEX_DAILY_BUDGET_EXHAUSTED: shared provider response retained; no count fabricated.</x:v>
      </x:c>
    </x:row>
    <x:row r="38" ht="19" customHeight="1">
      <x:c r="A38" s="20" t="str">
        <x:v>FT-SEED-R1B-P-1938-07</x:v>
      </x:c>
      <x:c r="B38" s="22" t="str">
        <x:v>1938</x:v>
      </x:c>
      <x:c r="C38" s="22" t="str">
        <x:v>7</x:v>
      </x:c>
      <x:c r="D38" s="21" t="str">
        <x:v>water vapour</x:v>
      </x:c>
      <x:c r="E38" s="21" t="str">
        <x:v>historical climate / climatological condition</x:v>
      </x:c>
      <x:c r="F38" s="22" t="str">
        <x:v>climate</x:v>
      </x:c>
      <x:c r="G38" s="22" t="str">
        <x:v>B</x:v>
      </x:c>
      <x:c r="H38" s="22" t="str">
        <x:v>V1</x:v>
      </x:c>
      <x:c r="I38" s="22" t="str">
        <x:v>E5</x:v>
      </x:c>
      <x:c r="J38" s="21" t="str">
        <x:v>RECONSTRUCTED_FROM_REPORT; Fear of Temperature_ Stratified Lexical Expansion, Voice Mapping, and Semantic-Relational Pre-Valida.pdf; p.8; project candidate FT-SEED-R1B-P-1938-07; original visible ID not available</x:v>
      </x:c>
      <x:c r="K38" s="21" t="str">
        <x:v>INTERNET_ARCHIVE_METADATA_TEXT_ITEM_COUNT</x:v>
      </x:c>
      <x:c r="L38" s="22" t="str">
        <x:v>"water vapour" AND mediatype:texts</x:v>
      </x:c>
      <x:c r="M38" s="22" t="str">
        <x:v>PHRASE_METADATA_SEARCH</x:v>
      </x:c>
      <x:c r="N38" s="21" t="str">
        <x:v>COMPLETED_NONZERO</x:v>
      </x:c>
      <x:c r="O38" s="57" t="str">
        <x:v>371</x:v>
      </x:c>
      <x:c r="P38" s="22" t="str">
        <x:v>371</x:v>
      </x:c>
      <x:c r="Q38" s="22" t="str">
        <x:v>0</x:v>
      </x:c>
      <x:c r="R38" s="22" t="str">
        <x:v>0</x:v>
      </x:c>
      <x:c r="S38" s="22" t="str">
        <x:v>2026-08-26</x:v>
      </x:c>
      <x:c r="T38" s="22" t="str">
        <x:v>https://archive.org/advancedsearch.php</x:v>
      </x:c>
      <x:c r="U38" s="22" t="str">
        <x:v>EXACT_PHRASE</x:v>
      </x:c>
      <x:c r="V38" s="21" t="str">
        <x:v>OPENALEX_WORK_COUNT</x:v>
      </x:c>
      <x:c r="W38" s="57" t="str"/>
      <x:c r="X38" s="23" t="str">
        <x:v>Metadata text-item count; not a full-text lexical frequency. Secondary metric: NOT_RUN_OPENALEX_DAILY_BUDGET_EXHAUSTED: shared provider response retained; no count fabricated.</x:v>
      </x:c>
    </x:row>
    <x:row r="39" ht="19" customHeight="1">
      <x:c r="A39" s="20" t="str">
        <x:v>FT-SEED-R1B-P-1938-08</x:v>
      </x:c>
      <x:c r="B39" s="22" t="str">
        <x:v>1938</x:v>
      </x:c>
      <x:c r="C39" s="22" t="str">
        <x:v>8</x:v>
      </x:c>
      <x:c r="D39" s="21" t="str">
        <x:v>sky radiation</x:v>
      </x:c>
      <x:c r="E39" s="21" t="str">
        <x:v>historical climate / climatological condition</x:v>
      </x:c>
      <x:c r="F39" s="22" t="str">
        <x:v>climate</x:v>
      </x:c>
      <x:c r="G39" s="22" t="str">
        <x:v>B</x:v>
      </x:c>
      <x:c r="H39" s="22" t="str">
        <x:v>V1</x:v>
      </x:c>
      <x:c r="I39" s="22" t="str">
        <x:v>E5</x:v>
      </x:c>
      <x:c r="J39" s="21" t="str">
        <x:v>RECONSTRUCTED_FROM_REPORT; Fear of Temperature_ Stratified Lexical Expansion, Voice Mapping, and Semantic-Relational Pre-Valida.pdf; p.8; project candidate FT-SEED-R1B-P-1938-08; original visible ID not available</x:v>
      </x:c>
      <x:c r="K39" s="21" t="str">
        <x:v>INTERNET_ARCHIVE_METADATA_TEXT_ITEM_COUNT</x:v>
      </x:c>
      <x:c r="L39" s="22" t="str">
        <x:v>"sky radiation" AND mediatype:texts</x:v>
      </x:c>
      <x:c r="M39" s="22" t="str">
        <x:v>PHRASE_METADATA_SEARCH</x:v>
      </x:c>
      <x:c r="N39" s="21" t="str">
        <x:v>COMPLETED_NONZERO</x:v>
      </x:c>
      <x:c r="O39" s="57" t="str">
        <x:v>78</x:v>
      </x:c>
      <x:c r="P39" s="22" t="str">
        <x:v>78</x:v>
      </x:c>
      <x:c r="Q39" s="22" t="str">
        <x:v>0</x:v>
      </x:c>
      <x:c r="R39" s="22" t="str">
        <x:v>0</x:v>
      </x:c>
      <x:c r="S39" s="22" t="str">
        <x:v>2026-08-26</x:v>
      </x:c>
      <x:c r="T39" s="22" t="str">
        <x:v>https://archive.org/advancedsearch.php</x:v>
      </x:c>
      <x:c r="U39" s="22" t="str">
        <x:v>EXACT_PHRASE</x:v>
      </x:c>
      <x:c r="V39" s="21" t="str">
        <x:v>OPENALEX_WORK_COUNT</x:v>
      </x:c>
      <x:c r="W39" s="57" t="str"/>
      <x:c r="X39" s="23" t="str">
        <x:v>Metadata text-item count; not a full-text lexical frequency. Secondary metric: NOT_RUN_OPENALEX_DAILY_BUDGET_EXHAUSTED: shared provider response retained; no count fabricated.</x:v>
      </x:c>
    </x:row>
    <x:row r="40" ht="19" customHeight="1">
      <x:c r="A40" s="20" t="str">
        <x:v>FT-SEED-R1B-P-1938-09</x:v>
      </x:c>
      <x:c r="B40" s="22" t="str">
        <x:v>1938</x:v>
      </x:c>
      <x:c r="C40" s="22" t="str">
        <x:v>9</x:v>
      </x:c>
      <x:c r="D40" s="21" t="str">
        <x:v>increase in mean temperature</x:v>
      </x:c>
      <x:c r="E40" s="21" t="str">
        <x:v>mean temperature</x:v>
      </x:c>
      <x:c r="F40" s="22" t="str">
        <x:v>temperature_threshold</x:v>
      </x:c>
      <x:c r="G40" s="22" t="str">
        <x:v>A</x:v>
      </x:c>
      <x:c r="H40" s="22" t="str">
        <x:v>V1</x:v>
      </x:c>
      <x:c r="I40" s="22" t="str">
        <x:v>E5</x:v>
      </x:c>
      <x:c r="J40" s="21" t="str">
        <x:v>RECONSTRUCTED_FROM_REPORT; Fear of Temperature_ Stratified Lexical Expansion, Voice Mapping, and Semantic-Relational Pre-Valida.pdf; p.8; project candidate FT-SEED-R1B-P-1938-09; original visible ID not available</x:v>
      </x:c>
      <x:c r="K40" s="21" t="str">
        <x:v>INTERNET_ARCHIVE_METADATA_TEXT_ITEM_COUNT</x:v>
      </x:c>
      <x:c r="L40" s="22" t="str">
        <x:v>"increase in mean temperature" AND mediatype:texts</x:v>
      </x:c>
      <x:c r="M40" s="22" t="str">
        <x:v>PHRASE_METADATA_SEARCH</x:v>
      </x:c>
      <x:c r="N40" s="21" t="str">
        <x:v>COMPLETED_NONZERO</x:v>
      </x:c>
      <x:c r="O40" s="57" t="str">
        <x:v>6</x:v>
      </x:c>
      <x:c r="P40" s="22" t="str">
        <x:v>6</x:v>
      </x:c>
      <x:c r="Q40" s="22" t="str">
        <x:v>0</x:v>
      </x:c>
      <x:c r="R40" s="22" t="str">
        <x:v>0</x:v>
      </x:c>
      <x:c r="S40" s="22" t="str">
        <x:v>2026-08-26</x:v>
      </x:c>
      <x:c r="T40" s="22" t="str">
        <x:v>https://archive.org/advancedsearch.php</x:v>
      </x:c>
      <x:c r="U40" s="22" t="str">
        <x:v>EXACT_PHRASE</x:v>
      </x:c>
      <x:c r="V40" s="21" t="str">
        <x:v>OPENALEX_WORK_COUNT</x:v>
      </x:c>
      <x:c r="W40" s="57" t="str"/>
      <x:c r="X40" s="23" t="str">
        <x:v>Metadata text-item count; not a full-text lexical frequency. Secondary metric: NOT_RUN_OPENALEX_DAILY_BUDGET_EXHAUSTED: shared provider response retained; no count fabricated.</x:v>
      </x:c>
    </x:row>
    <x:row r="41" ht="19" customHeight="1">
      <x:c r="A41" s="20" t="str">
        <x:v>FT-SEED-R1B-P-1938-10</x:v>
      </x:c>
      <x:c r="B41" s="22" t="str">
        <x:v>1938</x:v>
      </x:c>
      <x:c r="C41" s="22" t="str">
        <x:v>10</x:v>
      </x:c>
      <x:c r="D41" s="21" t="str">
        <x:v>mean temperature</x:v>
      </x:c>
      <x:c r="E41" s="21" t="str">
        <x:v>mean temperature</x:v>
      </x:c>
      <x:c r="F41" s="22" t="str">
        <x:v>temperature_threshold</x:v>
      </x:c>
      <x:c r="G41" s="22" t="str">
        <x:v>A</x:v>
      </x:c>
      <x:c r="H41" s="22" t="str">
        <x:v>V1</x:v>
      </x:c>
      <x:c r="I41" s="22" t="str">
        <x:v>E5</x:v>
      </x:c>
      <x:c r="J41" s="21" t="str">
        <x:v>RECONSTRUCTED_FROM_REPORT; Fear of Temperature_ Stratified Lexical Expansion, Voice Mapping, and Semantic-Relational Pre-Valida.pdf; p.8; project candidate FT-SEED-R1B-P-1938-10; original visible ID not available</x:v>
      </x:c>
      <x:c r="K41" s="21" t="str">
        <x:v>INTERNET_ARCHIVE_METADATA_TEXT_ITEM_COUNT</x:v>
      </x:c>
      <x:c r="L41" s="22" t="str">
        <x:v>"mean temperature" AND mediatype:texts</x:v>
      </x:c>
      <x:c r="M41" s="22" t="str">
        <x:v>PHRASE_METADATA_SEARCH</x:v>
      </x:c>
      <x:c r="N41" s="21" t="str">
        <x:v>COMPLETED_NONZERO</x:v>
      </x:c>
      <x:c r="O41" s="57" t="str">
        <x:v>664</x:v>
      </x:c>
      <x:c r="P41" s="22" t="str">
        <x:v>664</x:v>
      </x:c>
      <x:c r="Q41" s="22" t="str">
        <x:v>0</x:v>
      </x:c>
      <x:c r="R41" s="22" t="str">
        <x:v>4</x:v>
      </x:c>
      <x:c r="S41" s="22" t="str">
        <x:v>2026-08-26</x:v>
      </x:c>
      <x:c r="T41" s="22" t="str">
        <x:v>https://archive.org/advancedsearch.php</x:v>
      </x:c>
      <x:c r="U41" s="22" t="str">
        <x:v>EXACT_PHRASE</x:v>
      </x:c>
      <x:c r="V41" s="21" t="str">
        <x:v>OPENALEX_WORK_COUNT</x:v>
      </x:c>
      <x:c r="W41" s="57" t="str"/>
      <x:c r="X41" s="23" t="str">
        <x:v>Metadata text-item count; not a full-text lexical frequency. Secondary metric: NOT_RUN_OPENALEX_DAILY_BUDGET_EXHAUSTED: shared provider response retained; no count fabricated.</x:v>
      </x:c>
    </x:row>
    <x:row r="42" ht="19" customHeight="1">
      <x:c r="A42" s="20" t="str">
        <x:v>FT-SEED-R1B-P-1938-11</x:v>
      </x:c>
      <x:c r="B42" s="22" t="str">
        <x:v>1938</x:v>
      </x:c>
      <x:c r="C42" s="22" t="str">
        <x:v>11</x:v>
      </x:c>
      <x:c r="D42" s="21" t="str">
        <x:v>temperature observations</x:v>
      </x:c>
      <x:c r="E42" s="21" t="str">
        <x:v>local / instrumental temperature</x:v>
      </x:c>
      <x:c r="F42" s="22" t="str">
        <x:v>temperature_threshold</x:v>
      </x:c>
      <x:c r="G42" s="22" t="str">
        <x:v>A</x:v>
      </x:c>
      <x:c r="H42" s="22" t="str">
        <x:v>V1</x:v>
      </x:c>
      <x:c r="I42" s="22" t="str">
        <x:v>E5</x:v>
      </x:c>
      <x:c r="J42" s="21" t="str">
        <x:v>RECONSTRUCTED_FROM_REPORT; Fear of Temperature_ Stratified Lexical Expansion, Voice Mapping, and Semantic-Relational Pre-Valida.pdf; p.7; project candidate FT-SEED-R1B-P-1938-11; original visible ID not available</x:v>
      </x:c>
      <x:c r="K42" s="21" t="str">
        <x:v>INTERNET_ARCHIVE_METADATA_TEXT_ITEM_COUNT</x:v>
      </x:c>
      <x:c r="L42" s="22" t="str">
        <x:v>"temperature observations" AND mediatype:texts</x:v>
      </x:c>
      <x:c r="M42" s="22" t="str">
        <x:v>PHRASE_METADATA_SEARCH</x:v>
      </x:c>
      <x:c r="N42" s="21" t="str">
        <x:v>COMPLETED_NONZERO</x:v>
      </x:c>
      <x:c r="O42" s="57" t="str">
        <x:v>141</x:v>
      </x:c>
      <x:c r="P42" s="22" t="str">
        <x:v>141</x:v>
      </x:c>
      <x:c r="Q42" s="22" t="str">
        <x:v>0</x:v>
      </x:c>
      <x:c r="R42" s="22" t="str">
        <x:v>0</x:v>
      </x:c>
      <x:c r="S42" s="22" t="str">
        <x:v>2026-08-26</x:v>
      </x:c>
      <x:c r="T42" s="22" t="str">
        <x:v>https://archive.org/advancedsearch.php</x:v>
      </x:c>
      <x:c r="U42" s="22" t="str">
        <x:v>EXACT_PHRASE</x:v>
      </x:c>
      <x:c r="V42" s="21" t="str">
        <x:v>OPENALEX_WORK_COUNT</x:v>
      </x:c>
      <x:c r="W42" s="57" t="str"/>
      <x:c r="X42" s="23" t="str">
        <x:v>Metadata text-item count; not a full-text lexical frequency. Secondary metric: NOT_RUN_OPENALEX_DAILY_BUDGET_EXHAUSTED: shared provider response retained; no count fabricated.</x:v>
      </x:c>
    </x:row>
    <x:row r="43" ht="19" customHeight="1">
      <x:c r="A43" s="20" t="str">
        <x:v>FT-SEED-R1B-P-1938-12</x:v>
      </x:c>
      <x:c r="B43" s="22" t="str">
        <x:v>1938</x:v>
      </x:c>
      <x:c r="C43" s="22" t="str">
        <x:v>12</x:v>
      </x:c>
      <x:c r="D43" s="21" t="str">
        <x:v>meteorological stations</x:v>
      </x:c>
      <x:c r="E43" s="21" t="str">
        <x:v>historical climate / climatological condition</x:v>
      </x:c>
      <x:c r="F43" s="22" t="str">
        <x:v>climate</x:v>
      </x:c>
      <x:c r="G43" s="22" t="str">
        <x:v>B</x:v>
      </x:c>
      <x:c r="H43" s="22" t="str">
        <x:v>V1</x:v>
      </x:c>
      <x:c r="I43" s="22" t="str">
        <x:v>E5</x:v>
      </x:c>
      <x:c r="J43" s="21" t="str">
        <x:v>RECONSTRUCTED_FROM_REPORT; Fear of Temperature_ Stratified Lexical Expansion, Voice Mapping, and Semantic-Relational Pre-Valida.pdf; p.7; project candidate FT-SEED-R1B-P-1938-12; original visible ID not available</x:v>
      </x:c>
      <x:c r="K43" s="21" t="str">
        <x:v>INTERNET_ARCHIVE_METADATA_TEXT_ITEM_COUNT</x:v>
      </x:c>
      <x:c r="L43" s="22" t="str">
        <x:v>"meteorological stations" AND mediatype:texts</x:v>
      </x:c>
      <x:c r="M43" s="22" t="str">
        <x:v>PHRASE_METADATA_SEARCH</x:v>
      </x:c>
      <x:c r="N43" s="21" t="str">
        <x:v>COMPLETED_NONZERO</x:v>
      </x:c>
      <x:c r="O43" s="57" t="str">
        <x:v>336</x:v>
      </x:c>
      <x:c r="P43" s="22" t="str">
        <x:v>336</x:v>
      </x:c>
      <x:c r="Q43" s="22" t="str">
        <x:v>0</x:v>
      </x:c>
      <x:c r="R43" s="22" t="str">
        <x:v>0</x:v>
      </x:c>
      <x:c r="S43" s="22" t="str">
        <x:v>2026-08-26</x:v>
      </x:c>
      <x:c r="T43" s="22" t="str">
        <x:v>https://archive.org/advancedsearch.php</x:v>
      </x:c>
      <x:c r="U43" s="22" t="str">
        <x:v>EXACT_PHRASE</x:v>
      </x:c>
      <x:c r="V43" s="21" t="str">
        <x:v>OPENALEX_WORK_COUNT</x:v>
      </x:c>
      <x:c r="W43" s="57" t="str"/>
      <x:c r="X43" s="23" t="str">
        <x:v>Metadata text-item count; not a full-text lexical frequency. Secondary metric: NOT_RUN_OPENALEX_DAILY_BUDGET_EXHAUSTED: shared provider response retained; no count fabricated.</x:v>
      </x:c>
    </x:row>
    <x:row r="44" ht="19" customHeight="1">
      <x:c r="A44" s="20" t="str">
        <x:v>FT-SEED-R1B-P-1938-13</x:v>
      </x:c>
      <x:c r="B44" s="22" t="str">
        <x:v>1938</x:v>
      </x:c>
      <x:c r="C44" s="22" t="str">
        <x:v>13</x:v>
      </x:c>
      <x:c r="D44" s="21" t="str">
        <x:v>world temperatures</x:v>
      </x:c>
      <x:c r="E44" s="21" t="str">
        <x:v>global aggregate temperature</x:v>
      </x:c>
      <x:c r="F44" s="22" t="str">
        <x:v>temperature_threshold</x:v>
      </x:c>
      <x:c r="G44" s="22" t="str">
        <x:v>A</x:v>
      </x:c>
      <x:c r="H44" s="22" t="str">
        <x:v>V1</x:v>
      </x:c>
      <x:c r="I44" s="22" t="str">
        <x:v>E5</x:v>
      </x:c>
      <x:c r="J44" s="21" t="str">
        <x:v>RECONSTRUCTED_FROM_REPORT; Fear of Temperature_ Stratified Lexical Expansion, Voice Mapping, and Semantic-Relational Pre-Valida.pdf; p.8; project candidate FT-SEED-R1B-P-1938-13; original visible ID not available</x:v>
      </x:c>
      <x:c r="K44" s="21" t="str">
        <x:v>INTERNET_ARCHIVE_METADATA_TEXT_ITEM_COUNT</x:v>
      </x:c>
      <x:c r="L44" s="22" t="str">
        <x:v>"world temperatures" AND mediatype:texts</x:v>
      </x:c>
      <x:c r="M44" s="22" t="str">
        <x:v>PHRASE_METADATA_SEARCH</x:v>
      </x:c>
      <x:c r="N44" s="21" t="str">
        <x:v>COMPLETED_NONZERO</x:v>
      </x:c>
      <x:c r="O44" s="57" t="str">
        <x:v>3</x:v>
      </x:c>
      <x:c r="P44" s="22" t="str">
        <x:v>3</x:v>
      </x:c>
      <x:c r="Q44" s="22" t="str">
        <x:v>0</x:v>
      </x:c>
      <x:c r="R44" s="22" t="str">
        <x:v>0</x:v>
      </x:c>
      <x:c r="S44" s="22" t="str">
        <x:v>2026-08-26</x:v>
      </x:c>
      <x:c r="T44" s="22" t="str">
        <x:v>https://archive.org/advancedsearch.php</x:v>
      </x:c>
      <x:c r="U44" s="22" t="str">
        <x:v>EXACT_PHRASE</x:v>
      </x:c>
      <x:c r="V44" s="21" t="str">
        <x:v>OPENALEX_WORK_COUNT</x:v>
      </x:c>
      <x:c r="W44" s="57" t="str"/>
      <x:c r="X44" s="23" t="str">
        <x:v>Metadata text-item count; not a full-text lexical frequency. Secondary metric: NOT_RUN_OPENALEX_DAILY_BUDGET_EXHAUSTED: shared provider response retained; no count fabricated.</x:v>
      </x:c>
    </x:row>
    <x:row r="45" ht="19" customHeight="1">
      <x:c r="A45" s="20" t="str">
        <x:v>FT-SEED-R1B-P-1938-14</x:v>
      </x:c>
      <x:c r="B45" s="22" t="str">
        <x:v>1938</x:v>
      </x:c>
      <x:c r="C45" s="22" t="str">
        <x:v>14</x:v>
      </x:c>
      <x:c r="D45" s="21" t="str">
        <x:v>actually increased</x:v>
      </x:c>
      <x:c r="E45" s="21" t="str">
        <x:v>temperature increase</x:v>
      </x:c>
      <x:c r="F45" s="22" t="str">
        <x:v>warming</x:v>
      </x:c>
      <x:c r="G45" s="22" t="str">
        <x:v>A</x:v>
      </x:c>
      <x:c r="H45" s="22" t="str">
        <x:v>V1</x:v>
      </x:c>
      <x:c r="I45" s="22" t="str">
        <x:v>E5</x:v>
      </x:c>
      <x:c r="J45" s="21" t="str">
        <x:v>RECONSTRUCTED_FROM_REPORT; Fear of Temperature_ Stratified Lexical Expansion, Voice Mapping, and Semantic-Relational Pre-Valida.pdf; p.8; project candidate FT-SEED-R1B-P-1938-14; original visible ID not available</x:v>
      </x:c>
      <x:c r="K45" s="21" t="str">
        <x:v>INTERNET_ARCHIVE_METADATA_TEXT_ITEM_COUNT</x:v>
      </x:c>
      <x:c r="L45" s="22" t="str">
        <x:v>"actually increased" AND mediatype:texts</x:v>
      </x:c>
      <x:c r="M45" s="22" t="str">
        <x:v>PHRASE_METADATA_SEARCH</x:v>
      </x:c>
      <x:c r="N45" s="21" t="str">
        <x:v>COMPLETED_NONZERO</x:v>
      </x:c>
      <x:c r="O45" s="57" t="str">
        <x:v>151</x:v>
      </x:c>
      <x:c r="P45" s="22" t="str">
        <x:v>151</x:v>
      </x:c>
      <x:c r="Q45" s="22" t="str">
        <x:v>0</x:v>
      </x:c>
      <x:c r="R45" s="22" t="str">
        <x:v>0</x:v>
      </x:c>
      <x:c r="S45" s="22" t="str">
        <x:v>2026-08-26</x:v>
      </x:c>
      <x:c r="T45" s="22" t="str">
        <x:v>https://archive.org/advancedsearch.php</x:v>
      </x:c>
      <x:c r="U45" s="22" t="str">
        <x:v>EXACT_PHRASE</x:v>
      </x:c>
      <x:c r="V45" s="21" t="str">
        <x:v>OPENALEX_WORK_COUNT</x:v>
      </x:c>
      <x:c r="W45" s="57" t="str">
        <x:v>40274</x:v>
      </x:c>
      <x:c r="X45" s="23" t="str">
        <x:v>Metadata text-item count; not a full-text lexical frequency. Secondary metric: Scholarly work discoverability count over OpenAlex search fields; not a corpus word frequency.</x:v>
      </x:c>
    </x:row>
    <x:row r="46" ht="19" customHeight="1">
      <x:c r="A46" s="20" t="str">
        <x:v>FT-SEED-R1B-P-1938-15</x:v>
      </x:c>
      <x:c r="B46" s="22" t="str">
        <x:v>1938</x:v>
      </x:c>
      <x:c r="C46" s="22" t="str">
        <x:v>15</x:v>
      </x:c>
      <x:c r="D46" s="21" t="str">
        <x:v>average rate</x:v>
      </x:c>
      <x:c r="E46" s="21" t="str">
        <x:v>local / instrumental temperature</x:v>
      </x:c>
      <x:c r="F46" s="22" t="str">
        <x:v>temperature_threshold</x:v>
      </x:c>
      <x:c r="G46" s="22" t="str">
        <x:v>A</x:v>
      </x:c>
      <x:c r="H46" s="22" t="str">
        <x:v>V1</x:v>
      </x:c>
      <x:c r="I46" s="22" t="str">
        <x:v>E5</x:v>
      </x:c>
      <x:c r="J46" s="21" t="str">
        <x:v>RECONSTRUCTED_FROM_REPORT; Fear of Temperature_ Stratified Lexical Expansion, Voice Mapping, and Semantic-Relational Pre-Valida.pdf; p.8; project candidate FT-SEED-R1B-P-1938-15; original visible ID not available</x:v>
      </x:c>
      <x:c r="K46" s="21" t="str">
        <x:v>INTERNET_ARCHIVE_METADATA_TEXT_ITEM_COUNT</x:v>
      </x:c>
      <x:c r="L46" s="22" t="str">
        <x:v>"average rate" AND mediatype:texts</x:v>
      </x:c>
      <x:c r="M46" s="22" t="str">
        <x:v>PHRASE_METADATA_SEARCH</x:v>
      </x:c>
      <x:c r="N46" s="21" t="str">
        <x:v>COMPLETED_NONZERO</x:v>
      </x:c>
      <x:c r="O46" s="57" t="str">
        <x:v>891</x:v>
      </x:c>
      <x:c r="P46" s="22" t="str">
        <x:v>891</x:v>
      </x:c>
      <x:c r="Q46" s="22" t="str">
        <x:v>0</x:v>
      </x:c>
      <x:c r="R46" s="22" t="str">
        <x:v>0</x:v>
      </x:c>
      <x:c r="S46" s="22" t="str">
        <x:v>2026-08-26</x:v>
      </x:c>
      <x:c r="T46" s="22" t="str">
        <x:v>https://archive.org/advancedsearch.php</x:v>
      </x:c>
      <x:c r="U46" s="22" t="str">
        <x:v>EXACT_PHRASE</x:v>
      </x:c>
      <x:c r="V46" s="21" t="str">
        <x:v>OPENALEX_WORK_COUNT</x:v>
      </x:c>
      <x:c r="W46" s="57" t="str">
        <x:v>179699</x:v>
      </x:c>
      <x:c r="X46" s="23" t="str">
        <x:v>Metadata text-item count; not a full-text lexical frequency. Secondary metric: Scholarly work discoverability count over OpenAlex search fields; not a corpus word frequency.</x:v>
      </x:c>
    </x:row>
    <x:row r="47" ht="19" customHeight="1">
      <x:c r="A47" s="20" t="str">
        <x:v>FT-SEED-R1B-P-1938-16</x:v>
      </x:c>
      <x:c r="B47" s="22" t="str">
        <x:v>1938</x:v>
      </x:c>
      <x:c r="C47" s="22" t="str">
        <x:v>16</x:v>
      </x:c>
      <x:c r="D47" s="21" t="str">
        <x:v>small increases in mean temperature</x:v>
      </x:c>
      <x:c r="E47" s="21" t="str">
        <x:v>mean temperature</x:v>
      </x:c>
      <x:c r="F47" s="22" t="str">
        <x:v>temperature_threshold</x:v>
      </x:c>
      <x:c r="G47" s="22" t="str">
        <x:v>A</x:v>
      </x:c>
      <x:c r="H47" s="22" t="str">
        <x:v>V1</x:v>
      </x:c>
      <x:c r="I47" s="22" t="str">
        <x:v>E5</x:v>
      </x:c>
      <x:c r="J47" s="21" t="str">
        <x:v>RECONSTRUCTED_FROM_REPORT; Fear of Temperature_ Stratified Lexical Expansion, Voice Mapping, and Semantic-Relational Pre-Valida.pdf; p.8; project candidate FT-SEED-R1B-P-1938-16; original visible ID not available</x:v>
      </x:c>
      <x:c r="K47" s="21" t="str">
        <x:v>INTERNET_ARCHIVE_METADATA_TEXT_ITEM_COUNT</x:v>
      </x:c>
      <x:c r="L47" s="22" t="str">
        <x:v>"small increases in mean temperature" AND mediatype:texts</x:v>
      </x:c>
      <x:c r="M47" s="22" t="str">
        <x:v>PHRASE_METADATA_SEARCH</x:v>
      </x:c>
      <x:c r="N47" s="21" t="str">
        <x:v>COMPLETED_ZERO</x:v>
      </x:c>
      <x:c r="O47" s="57" t="str">
        <x:v>0</x:v>
      </x:c>
      <x:c r="P47" s="22" t="str">
        <x:v>0</x:v>
      </x:c>
      <x:c r="Q47" s="22" t="str">
        <x:v>0</x:v>
      </x:c>
      <x:c r="R47" s="22" t="str">
        <x:v>0</x:v>
      </x:c>
      <x:c r="S47" s="22" t="str">
        <x:v>2026-08-26</x:v>
      </x:c>
      <x:c r="T47" s="22" t="str">
        <x:v>https://archive.org/advancedsearch.php</x:v>
      </x:c>
      <x:c r="U47" s="22" t="str">
        <x:v>EXACT_PHRASE</x:v>
      </x:c>
      <x:c r="V47" s="21" t="str">
        <x:v>OPENALEX_WORK_COUNT</x:v>
      </x:c>
      <x:c r="W47" s="57" t="str"/>
      <x:c r="X47" s="23" t="str">
        <x:v>Metadata text-item count; not a full-text lexical frequency. Secondary metric: NOT_RUN_OPENALEX_DAILY_BUDGET_EXHAUSTED: shared provider response retained; no count fabricated.</x:v>
      </x:c>
    </x:row>
    <x:row r="48" ht="19" customHeight="1">
      <x:c r="A48" s="20" t="str">
        <x:v>FT-SEED-R1B-P-1938-17</x:v>
      </x:c>
      <x:c r="B48" s="22" t="str">
        <x:v>1938</x:v>
      </x:c>
      <x:c r="C48" s="22" t="str">
        <x:v>17</x:v>
      </x:c>
      <x:c r="D48" s="21" t="str">
        <x:v>deadly glaciers</x:v>
      </x:c>
      <x:c r="E48" s="21" t="str">
        <x:v>institutional climate threat</x:v>
      </x:c>
      <x:c r="F48" s="22" t="str">
        <x:v>danger_threat</x:v>
      </x:c>
      <x:c r="G48" s="22" t="str">
        <x:v>D</x:v>
      </x:c>
      <x:c r="H48" s="22" t="str">
        <x:v>V1</x:v>
      </x:c>
      <x:c r="I48" s="22" t="str">
        <x:v>E5</x:v>
      </x:c>
      <x:c r="J48" s="21" t="str">
        <x:v>RECONSTRUCTED_FROM_REPORT; Fear of Temperature_ Stratified Lexical Expansion, Voice Mapping, and Semantic-Relational Pre-Valida.pdf; p.8; project candidate FT-SEED-R1B-P-1938-17; original visible ID not available</x:v>
      </x:c>
      <x:c r="K48" s="21" t="str">
        <x:v>INTERNET_ARCHIVE_METADATA_TEXT_ITEM_COUNT</x:v>
      </x:c>
      <x:c r="L48" s="22" t="str">
        <x:v>"deadly glaciers" AND mediatype:texts</x:v>
      </x:c>
      <x:c r="M48" s="22" t="str">
        <x:v>PHRASE_METADATA_SEARCH</x:v>
      </x:c>
      <x:c r="N48" s="21" t="str">
        <x:v>COMPLETED_ZERO</x:v>
      </x:c>
      <x:c r="O48" s="57" t="str">
        <x:v>0</x:v>
      </x:c>
      <x:c r="P48" s="22" t="str">
        <x:v>0</x:v>
      </x:c>
      <x:c r="Q48" s="22" t="str">
        <x:v>0</x:v>
      </x:c>
      <x:c r="R48" s="22" t="str">
        <x:v>0</x:v>
      </x:c>
      <x:c r="S48" s="22" t="str">
        <x:v>2026-08-26</x:v>
      </x:c>
      <x:c r="T48" s="22" t="str">
        <x:v>https://archive.org/advancedsearch.php</x:v>
      </x:c>
      <x:c r="U48" s="22" t="str">
        <x:v>EXACT_PHRASE</x:v>
      </x:c>
      <x:c r="V48" s="21" t="str">
        <x:v>OPENALEX_WORK_COUNT</x:v>
      </x:c>
      <x:c r="W48" s="57" t="str"/>
      <x:c r="X48" s="23" t="str">
        <x:v>Metadata text-item count; not a full-text lexical frequency. Secondary metric: NOT_RUN_OPENALEX_DAILY_BUDGET_EXHAUSTED: shared provider response retained; no count fabricated.</x:v>
      </x:c>
    </x:row>
    <x:row r="49" ht="19" customHeight="1">
      <x:c r="A49" s="20" t="str">
        <x:v>FT-SEED-R1B-P-1938-18</x:v>
      </x:c>
      <x:c r="B49" s="22" t="str">
        <x:v>1938</x:v>
      </x:c>
      <x:c r="C49" s="22" t="str">
        <x:v>18</x:v>
      </x:c>
      <x:c r="D49" s="21" t="str">
        <x:v>rather a coincidence</x:v>
      </x:c>
      <x:c r="E49" s="21" t="str">
        <x:v>personal concern</x:v>
      </x:c>
      <x:c r="F49" s="22" t="str">
        <x:v>concern_alarm</x:v>
      </x:c>
      <x:c r="G49" s="22" t="str">
        <x:v>C</x:v>
      </x:c>
      <x:c r="H49" s="22" t="str">
        <x:v>V1</x:v>
      </x:c>
      <x:c r="I49" s="22" t="str">
        <x:v>E2</x:v>
      </x:c>
      <x:c r="J49" s="21" t="str">
        <x:v>RECONSTRUCTED_FROM_REPORT; Fear of Temperature_ Stratified Lexical Expansion, Voice Mapping, and Semantic-Relational Pre-Valida.pdf; p.8; project candidate FT-SEED-R1B-P-1938-18; original visible ID not available</x:v>
      </x:c>
      <x:c r="K49" s="21" t="str">
        <x:v>INTERNET_ARCHIVE_METADATA_TEXT_ITEM_COUNT</x:v>
      </x:c>
      <x:c r="L49" s="22" t="str">
        <x:v>"rather a coincidence" AND mediatype:texts</x:v>
      </x:c>
      <x:c r="M49" s="22" t="str">
        <x:v>PHRASE_METADATA_SEARCH</x:v>
      </x:c>
      <x:c r="N49" s="21" t="str">
        <x:v>COMPLETED_ZERO</x:v>
      </x:c>
      <x:c r="O49" s="57" t="str">
        <x:v>0</x:v>
      </x:c>
      <x:c r="P49" s="22" t="str">
        <x:v>0</x:v>
      </x:c>
      <x:c r="Q49" s="22" t="str">
        <x:v>0</x:v>
      </x:c>
      <x:c r="R49" s="22" t="str">
        <x:v>0</x:v>
      </x:c>
      <x:c r="S49" s="22" t="str">
        <x:v>2026-08-26</x:v>
      </x:c>
      <x:c r="T49" s="22" t="str">
        <x:v>https://archive.org/advancedsearch.php</x:v>
      </x:c>
      <x:c r="U49" s="22" t="str">
        <x:v>EXACT_PHRASE</x:v>
      </x:c>
      <x:c r="V49" s="21" t="str">
        <x:v>OPENALEX_WORK_COUNT</x:v>
      </x:c>
      <x:c r="W49" s="57" t="str"/>
      <x:c r="X49" s="23" t="str">
        <x:v>Metadata text-item count; not a full-text lexical frequency. Secondary metric: NOT_RUN_OPENALEX_DAILY_BUDGET_EXHAUSTED: shared provider response retained; no count fabricated.</x:v>
      </x:c>
    </x:row>
    <x:row r="50" ht="19" customHeight="1">
      <x:c r="A50" s="20" t="str">
        <x:v>FT-SEED-R1B-P-1938-19</x:v>
      </x:c>
      <x:c r="B50" s="22" t="str">
        <x:v>1938</x:v>
      </x:c>
      <x:c r="C50" s="22" t="str">
        <x:v>19</x:v>
      </x:c>
      <x:c r="D50" s="21" t="str">
        <x:v>Hottest Day for Ten Years</x:v>
      </x:c>
      <x:c r="E50" s="21" t="str">
        <x:v>heatwave / weather event</x:v>
      </x:c>
      <x:c r="F50" s="22" t="str">
        <x:v>heat</x:v>
      </x:c>
      <x:c r="G50" s="22" t="str">
        <x:v>A</x:v>
      </x:c>
      <x:c r="H50" s="22" t="str">
        <x:v>V3</x:v>
      </x:c>
      <x:c r="I50" s="22" t="str">
        <x:v>E5</x:v>
      </x:c>
      <x:c r="J50" s="21" t="str">
        <x:v>RECONSTRUCTED_FROM_REPORT; Fear of Temperature_ Stratified Lexical Expansion, Voice Mapping, and Semantic-Relational Pre-Valida.pdf; p.8; project candidate FT-SEED-R1B-P-1938-19; original visible ID not available</x:v>
      </x:c>
      <x:c r="K50" s="21" t="str">
        <x:v>INTERNET_ARCHIVE_METADATA_TEXT_ITEM_COUNT</x:v>
      </x:c>
      <x:c r="L50" s="22" t="str">
        <x:v>"Hottest Day for Ten Years" AND mediatype:texts</x:v>
      </x:c>
      <x:c r="M50" s="22" t="str">
        <x:v>PHRASE_METADATA_SEARCH</x:v>
      </x:c>
      <x:c r="N50" s="21" t="str">
        <x:v>COMPLETED_ZERO</x:v>
      </x:c>
      <x:c r="O50" s="57" t="str">
        <x:v>0</x:v>
      </x:c>
      <x:c r="P50" s="22" t="str">
        <x:v>0</x:v>
      </x:c>
      <x:c r="Q50" s="22" t="str">
        <x:v>0</x:v>
      </x:c>
      <x:c r="R50" s="22" t="str">
        <x:v>0</x:v>
      </x:c>
      <x:c r="S50" s="22" t="str">
        <x:v>2026-08-26</x:v>
      </x:c>
      <x:c r="T50" s="22" t="str">
        <x:v>https://archive.org/advancedsearch.php</x:v>
      </x:c>
      <x:c r="U50" s="22" t="str">
        <x:v>EXACT_PHRASE</x:v>
      </x:c>
      <x:c r="V50" s="21" t="str">
        <x:v>OPENALEX_WORK_COUNT</x:v>
      </x:c>
      <x:c r="W50" s="57" t="str"/>
      <x:c r="X50" s="23" t="str">
        <x:v>Metadata text-item count; not a full-text lexical frequency. Secondary metric: NOT_RUN_OPENALEX_DAILY_BUDGET_EXHAUSTED: shared provider response retained; no count fabricated.</x:v>
      </x:c>
    </x:row>
    <x:row r="51" ht="19" customHeight="1">
      <x:c r="A51" s="20" t="str">
        <x:v>FT-SEED-R1B-P-1938-20</x:v>
      </x:c>
      <x:c r="B51" s="22" t="str">
        <x:v>1938</x:v>
      </x:c>
      <x:c r="C51" s="22" t="str">
        <x:v>20</x:v>
      </x:c>
      <x:c r="D51" s="21" t="str">
        <x:v>Heat Wave Over Queensland</x:v>
      </x:c>
      <x:c r="E51" s="21" t="str">
        <x:v>heatwave / weather event</x:v>
      </x:c>
      <x:c r="F51" s="22" t="str">
        <x:v>heat</x:v>
      </x:c>
      <x:c r="G51" s="22" t="str">
        <x:v>A</x:v>
      </x:c>
      <x:c r="H51" s="22" t="str">
        <x:v>V3</x:v>
      </x:c>
      <x:c r="I51" s="22" t="str">
        <x:v>E5</x:v>
      </x:c>
      <x:c r="J51" s="21" t="str">
        <x:v>RECONSTRUCTED_FROM_REPORT; Fear of Temperature_ Stratified Lexical Expansion, Voice Mapping, and Semantic-Relational Pre-Valida.pdf; p.8; project candidate FT-SEED-R1B-P-1938-20; original visible ID not available</x:v>
      </x:c>
      <x:c r="K51" s="21" t="str">
        <x:v>INTERNET_ARCHIVE_METADATA_TEXT_ITEM_COUNT</x:v>
      </x:c>
      <x:c r="L51" s="22" t="str">
        <x:v>"Heat Wave Over Queensland" AND mediatype:texts</x:v>
      </x:c>
      <x:c r="M51" s="22" t="str">
        <x:v>PHRASE_METADATA_SEARCH</x:v>
      </x:c>
      <x:c r="N51" s="21" t="str">
        <x:v>COMPLETED_ZERO</x:v>
      </x:c>
      <x:c r="O51" s="57" t="str">
        <x:v>0</x:v>
      </x:c>
      <x:c r="P51" s="22" t="str">
        <x:v>0</x:v>
      </x:c>
      <x:c r="Q51" s="22" t="str">
        <x:v>0</x:v>
      </x:c>
      <x:c r="R51" s="22" t="str">
        <x:v>0</x:v>
      </x:c>
      <x:c r="S51" s="22" t="str">
        <x:v>2026-08-26</x:v>
      </x:c>
      <x:c r="T51" s="22" t="str">
        <x:v>https://archive.org/advancedsearch.php</x:v>
      </x:c>
      <x:c r="U51" s="22" t="str">
        <x:v>EXACT_PHRASE</x:v>
      </x:c>
      <x:c r="V51" s="21" t="str">
        <x:v>OPENALEX_WORK_COUNT</x:v>
      </x:c>
      <x:c r="W51" s="57" t="str"/>
      <x:c r="X51" s="23" t="str">
        <x:v>Metadata text-item count; not a full-text lexical frequency. Secondary metric: NOT_RUN_OPENALEX_DAILY_BUDGET_EXHAUSTED: shared provider response retained; no count fabricated.</x:v>
      </x:c>
    </x:row>
    <x:row r="52" ht="19" customHeight="1">
      <x:c r="A52" s="20" t="str">
        <x:v>FT-SEED-R1B-P-1938-21</x:v>
      </x:c>
      <x:c r="B52" s="22" t="str">
        <x:v>1938</x:v>
      </x:c>
      <x:c r="C52" s="22" t="str">
        <x:v>21</x:v>
      </x:c>
      <x:c r="D52" s="21" t="str">
        <x:v>heat wave</x:v>
      </x:c>
      <x:c r="E52" s="21" t="str">
        <x:v>heatwave / weather event</x:v>
      </x:c>
      <x:c r="F52" s="22" t="str">
        <x:v>heat</x:v>
      </x:c>
      <x:c r="G52" s="22" t="str">
        <x:v>A</x:v>
      </x:c>
      <x:c r="H52" s="22" t="str">
        <x:v>V3</x:v>
      </x:c>
      <x:c r="I52" s="22" t="str">
        <x:v>E5</x:v>
      </x:c>
      <x:c r="J52" s="21" t="str">
        <x:v>RECONSTRUCTED_FROM_REPORT; Fear of Temperature_ Stratified Lexical Expansion, Voice Mapping, and Semantic-Relational Pre-Valida.pdf; p.7; project candidate FT-SEED-R1B-P-1938-21; original visible ID not available</x:v>
      </x:c>
      <x:c r="K52" s="21" t="str">
        <x:v>INTERNET_ARCHIVE_METADATA_TEXT_ITEM_COUNT</x:v>
      </x:c>
      <x:c r="L52" s="22" t="str">
        <x:v>"heat wave" AND mediatype:texts</x:v>
      </x:c>
      <x:c r="M52" s="22" t="str">
        <x:v>PHRASE_METADATA_SEARCH</x:v>
      </x:c>
      <x:c r="N52" s="21" t="str">
        <x:v>COMPLETED_NONZERO</x:v>
      </x:c>
      <x:c r="O52" s="57" t="str">
        <x:v>957</x:v>
      </x:c>
      <x:c r="P52" s="22" t="str">
        <x:v>957</x:v>
      </x:c>
      <x:c r="Q52" s="22" t="str">
        <x:v>7</x:v>
      </x:c>
      <x:c r="R52" s="22" t="str">
        <x:v>64</x:v>
      </x:c>
      <x:c r="S52" s="22" t="str">
        <x:v>2026-08-26</x:v>
      </x:c>
      <x:c r="T52" s="22" t="str">
        <x:v>https://archive.org/advancedsearch.php</x:v>
      </x:c>
      <x:c r="U52" s="22" t="str">
        <x:v>EXACT_PHRASE</x:v>
      </x:c>
      <x:c r="V52" s="21" t="str">
        <x:v>OPENALEX_WORK_COUNT</x:v>
      </x:c>
      <x:c r="W52" s="57" t="str"/>
      <x:c r="X52" s="23" t="str">
        <x:v>Metadata text-item count; not a full-text lexical frequency. Secondary metric: NOT_RUN_OPENALEX_DAILY_BUDGET_EXHAUSTED: shared provider response retained; no count fabricated.</x:v>
      </x:c>
    </x:row>
    <x:row r="53" ht="19" customHeight="1">
      <x:c r="A53" s="20" t="str">
        <x:v>FT-SEED-R1B-P-1938-22</x:v>
      </x:c>
      <x:c r="B53" s="22" t="str">
        <x:v>1938</x:v>
      </x:c>
      <x:c r="C53" s="22" t="str">
        <x:v>22</x:v>
      </x:c>
      <x:c r="D53" s="21" t="str">
        <x:v>40-degree temperatures</x:v>
      </x:c>
      <x:c r="E53" s="21" t="str">
        <x:v>local / instrumental temperature</x:v>
      </x:c>
      <x:c r="F53" s="22" t="str">
        <x:v>temperature_threshold</x:v>
      </x:c>
      <x:c r="G53" s="22" t="str">
        <x:v>A</x:v>
      </x:c>
      <x:c r="H53" s="22" t="str">
        <x:v>V3</x:v>
      </x:c>
      <x:c r="I53" s="22" t="str">
        <x:v>E5</x:v>
      </x:c>
      <x:c r="J53" s="21" t="str">
        <x:v>RECONSTRUCTED_FROM_REPORT; Fear of Temperature_ Stratified Lexical Expansion, Voice Mapping, and Semantic-Relational Pre-Valida.pdf; p.7; project candidate FT-SEED-R1B-P-1938-22; original visible ID not available</x:v>
      </x:c>
      <x:c r="K53" s="21" t="str">
        <x:v>INTERNET_ARCHIVE_METADATA_TEXT_ITEM_COUNT</x:v>
      </x:c>
      <x:c r="L53" s="22" t="str">
        <x:v>"40-degree temperatures" AND mediatype:texts</x:v>
      </x:c>
      <x:c r="M53" s="22" t="str">
        <x:v>PHRASE_METADATA_SEARCH</x:v>
      </x:c>
      <x:c r="N53" s="21" t="str">
        <x:v>COMPLETED_ZERO</x:v>
      </x:c>
      <x:c r="O53" s="57" t="str">
        <x:v>0</x:v>
      </x:c>
      <x:c r="P53" s="22" t="str">
        <x:v>0</x:v>
      </x:c>
      <x:c r="Q53" s="22" t="str">
        <x:v>0</x:v>
      </x:c>
      <x:c r="R53" s="22" t="str">
        <x:v>0</x:v>
      </x:c>
      <x:c r="S53" s="22" t="str">
        <x:v>2026-08-26</x:v>
      </x:c>
      <x:c r="T53" s="22" t="str">
        <x:v>https://archive.org/advancedsearch.php</x:v>
      </x:c>
      <x:c r="U53" s="22" t="str">
        <x:v>EXACT_PHRASE</x:v>
      </x:c>
      <x:c r="V53" s="21" t="str">
        <x:v>OPENALEX_WORK_COUNT</x:v>
      </x:c>
      <x:c r="W53" s="57" t="str">
        <x:v>18</x:v>
      </x:c>
      <x:c r="X53" s="23" t="str">
        <x:v>Metadata text-item count; not a full-text lexical frequency. Secondary metric: Scholarly work discoverability count over OpenAlex search fields; not a corpus word frequency.</x:v>
      </x:c>
    </x:row>
    <x:row r="54" ht="19" customHeight="1">
      <x:c r="A54" s="20" t="str">
        <x:v>FT-SEED-R1B-P-1938-23</x:v>
      </x:c>
      <x:c r="B54" s="22" t="str">
        <x:v>1938</x:v>
      </x:c>
      <x:c r="C54" s="22" t="str">
        <x:v>23</x:v>
      </x:c>
      <x:c r="D54" s="21" t="str">
        <x:v>scorching westerly wind</x:v>
      </x:c>
      <x:c r="E54" s="21" t="str">
        <x:v>heatwave / weather event</x:v>
      </x:c>
      <x:c r="F54" s="22" t="str">
        <x:v>heat</x:v>
      </x:c>
      <x:c r="G54" s="22" t="str">
        <x:v>D</x:v>
      </x:c>
      <x:c r="H54" s="22" t="str">
        <x:v>V3</x:v>
      </x:c>
      <x:c r="I54" s="22" t="str">
        <x:v>E5</x:v>
      </x:c>
      <x:c r="J54" s="21" t="str">
        <x:v>RECONSTRUCTED_FROM_REPORT; Fear of Temperature_ Stratified Lexical Expansion, Voice Mapping, and Semantic-Relational Pre-Valida.pdf; p.8; project candidate FT-SEED-R1B-P-1938-23; original visible ID not available</x:v>
      </x:c>
      <x:c r="K54" s="21" t="str">
        <x:v>INTERNET_ARCHIVE_METADATA_TEXT_ITEM_COUNT</x:v>
      </x:c>
      <x:c r="L54" s="22" t="str">
        <x:v>"scorching westerly wind" AND mediatype:texts</x:v>
      </x:c>
      <x:c r="M54" s="22" t="str">
        <x:v>PHRASE_METADATA_SEARCH</x:v>
      </x:c>
      <x:c r="N54" s="21" t="str">
        <x:v>COMPLETED_ZERO</x:v>
      </x:c>
      <x:c r="O54" s="57" t="str">
        <x:v>0</x:v>
      </x:c>
      <x:c r="P54" s="22" t="str">
        <x:v>0</x:v>
      </x:c>
      <x:c r="Q54" s="22" t="str">
        <x:v>0</x:v>
      </x:c>
      <x:c r="R54" s="22" t="str">
        <x:v>0</x:v>
      </x:c>
      <x:c r="S54" s="22" t="str">
        <x:v>2026-08-26</x:v>
      </x:c>
      <x:c r="T54" s="22" t="str">
        <x:v>https://archive.org/advancedsearch.php</x:v>
      </x:c>
      <x:c r="U54" s="22" t="str">
        <x:v>EXACT_PHRASE</x:v>
      </x:c>
      <x:c r="V54" s="21" t="str">
        <x:v>OPENALEX_WORK_COUNT</x:v>
      </x:c>
      <x:c r="W54" s="57" t="str"/>
      <x:c r="X54" s="23" t="str">
        <x:v>Metadata text-item count; not a full-text lexical frequency. Secondary metric: NOT_RUN_OPENALEX_DAILY_BUDGET_EXHAUSTED: shared provider response retained; no count fabricated.</x:v>
      </x:c>
    </x:row>
    <x:row r="55" ht="19" customHeight="1">
      <x:c r="A55" s="20" t="str">
        <x:v>FT-SEED-R1B-P-1938-24</x:v>
      </x:c>
      <x:c r="B55" s="22" t="str">
        <x:v>1938</x:v>
      </x:c>
      <x:c r="C55" s="22" t="str">
        <x:v>24</x:v>
      </x:c>
      <x:c r="D55" s="21" t="str">
        <x:v>pitiless sun</x:v>
      </x:c>
      <x:c r="E55" s="21" t="str">
        <x:v>physical heat source / state</x:v>
      </x:c>
      <x:c r="F55" s="22" t="str">
        <x:v>heat</x:v>
      </x:c>
      <x:c r="G55" s="22" t="str">
        <x:v>D</x:v>
      </x:c>
      <x:c r="H55" s="22" t="str">
        <x:v>V3</x:v>
      </x:c>
      <x:c r="I55" s="22" t="str">
        <x:v>E5</x:v>
      </x:c>
      <x:c r="J55" s="21" t="str">
        <x:v>RECONSTRUCTED_FROM_REPORT; Fear of Temperature_ Stratified Lexical Expansion, Voice Mapping, and Semantic-Relational Pre-Valida.pdf; p.8; project candidate FT-SEED-R1B-P-1938-24; original visible ID not available</x:v>
      </x:c>
      <x:c r="K55" s="21" t="str">
        <x:v>INTERNET_ARCHIVE_METADATA_TEXT_ITEM_COUNT</x:v>
      </x:c>
      <x:c r="L55" s="22" t="str">
        <x:v>"pitiless sun" AND mediatype:texts</x:v>
      </x:c>
      <x:c r="M55" s="22" t="str">
        <x:v>PHRASE_METADATA_SEARCH</x:v>
      </x:c>
      <x:c r="N55" s="21" t="str">
        <x:v>COMPLETED_NONZERO</x:v>
      </x:c>
      <x:c r="O55" s="57" t="str">
        <x:v>4</x:v>
      </x:c>
      <x:c r="P55" s="22" t="str">
        <x:v>4</x:v>
      </x:c>
      <x:c r="Q55" s="22" t="str">
        <x:v>0</x:v>
      </x:c>
      <x:c r="R55" s="22" t="str">
        <x:v>1</x:v>
      </x:c>
      <x:c r="S55" s="22" t="str">
        <x:v>2026-08-26</x:v>
      </x:c>
      <x:c r="T55" s="22" t="str">
        <x:v>https://archive.org/advancedsearch.php</x:v>
      </x:c>
      <x:c r="U55" s="22" t="str">
        <x:v>EXACT_PHRASE</x:v>
      </x:c>
      <x:c r="V55" s="21" t="str">
        <x:v>OPENALEX_WORK_COUNT</x:v>
      </x:c>
      <x:c r="W55" s="57" t="str"/>
      <x:c r="X55" s="23" t="str">
        <x:v>Metadata text-item count; not a full-text lexical frequency. Secondary metric: NOT_RUN_OPENALEX_DAILY_BUDGET_EXHAUSTED: shared provider response retained; no count fabricated.</x:v>
      </x:c>
    </x:row>
    <x:row r="56" ht="19" customHeight="1">
      <x:c r="A56" s="20" t="str">
        <x:v>FT-SEED-R1B-P-1938-25</x:v>
      </x:c>
      <x:c r="B56" s="22" t="str">
        <x:v>1938</x:v>
      </x:c>
      <x:c r="C56" s="22" t="str">
        <x:v>25</x:v>
      </x:c>
      <x:c r="D56" s="21" t="str">
        <x:v>hottest spell for years</x:v>
      </x:c>
      <x:c r="E56" s="21" t="str">
        <x:v>heatwave / weather event</x:v>
      </x:c>
      <x:c r="F56" s="22" t="str">
        <x:v>heat</x:v>
      </x:c>
      <x:c r="G56" s="22" t="str">
        <x:v>A</x:v>
      </x:c>
      <x:c r="H56" s="22" t="str">
        <x:v>V3</x:v>
      </x:c>
      <x:c r="I56" s="22" t="str">
        <x:v>E5</x:v>
      </x:c>
      <x:c r="J56" s="21" t="str">
        <x:v>RECONSTRUCTED_FROM_REPORT; Fear of Temperature_ Stratified Lexical Expansion, Voice Mapping, and Semantic-Relational Pre-Valida.pdf; p.8; project candidate FT-SEED-R1B-P-1938-25; original visible ID not available</x:v>
      </x:c>
      <x:c r="K56" s="21" t="str">
        <x:v>INTERNET_ARCHIVE_METADATA_TEXT_ITEM_COUNT</x:v>
      </x:c>
      <x:c r="L56" s="22" t="str">
        <x:v>"hottest spell for years" AND mediatype:texts</x:v>
      </x:c>
      <x:c r="M56" s="22" t="str">
        <x:v>PHRASE_METADATA_SEARCH</x:v>
      </x:c>
      <x:c r="N56" s="21" t="str">
        <x:v>COMPLETED_ZERO</x:v>
      </x:c>
      <x:c r="O56" s="57" t="str">
        <x:v>0</x:v>
      </x:c>
      <x:c r="P56" s="22" t="str">
        <x:v>0</x:v>
      </x:c>
      <x:c r="Q56" s="22" t="str">
        <x:v>0</x:v>
      </x:c>
      <x:c r="R56" s="22" t="str">
        <x:v>0</x:v>
      </x:c>
      <x:c r="S56" s="22" t="str">
        <x:v>2026-08-26</x:v>
      </x:c>
      <x:c r="T56" s="22" t="str">
        <x:v>https://archive.org/advancedsearch.php</x:v>
      </x:c>
      <x:c r="U56" s="22" t="str">
        <x:v>EXACT_PHRASE</x:v>
      </x:c>
      <x:c r="V56" s="21" t="str">
        <x:v>OPENALEX_WORK_COUNT</x:v>
      </x:c>
      <x:c r="W56" s="57" t="str"/>
      <x:c r="X56" s="23" t="str">
        <x:v>Metadata text-item count; not a full-text lexical frequency. Secondary metric: NOT_RUN_OPENALEX_DAILY_BUDGET_EXHAUSTED: shared provider response retained; no count fabricated.</x:v>
      </x:c>
    </x:row>
    <x:row r="57" ht="19" customHeight="1">
      <x:c r="A57" s="20" t="str">
        <x:v>FT-SEED-R1B-P-1938-26</x:v>
      </x:c>
      <x:c r="B57" s="22" t="str">
        <x:v>1938</x:v>
      </x:c>
      <x:c r="C57" s="22" t="str">
        <x:v>26</x:v>
      </x:c>
      <x:c r="D57" s="21" t="str">
        <x:v>weather is just bearable</x:v>
      </x:c>
      <x:c r="E57" s="21" t="str">
        <x:v>personal concern</x:v>
      </x:c>
      <x:c r="F57" s="22" t="str">
        <x:v>concern_alarm</x:v>
      </x:c>
      <x:c r="G57" s="22" t="str">
        <x:v>C</x:v>
      </x:c>
      <x:c r="H57" s="22" t="str">
        <x:v>V3</x:v>
      </x:c>
      <x:c r="I57" s="22" t="str">
        <x:v>E5</x:v>
      </x:c>
      <x:c r="J57" s="21" t="str">
        <x:v>RECONSTRUCTED_FROM_REPORT; Fear of Temperature_ Stratified Lexical Expansion, Voice Mapping, and Semantic-Relational Pre-Valida.pdf; p.8; project candidate FT-SEED-R1B-P-1938-26; original visible ID not available</x:v>
      </x:c>
      <x:c r="K57" s="21" t="str">
        <x:v>INTERNET_ARCHIVE_METADATA_TEXT_ITEM_COUNT</x:v>
      </x:c>
      <x:c r="L57" s="22" t="str">
        <x:v>"weather is just bearable" AND mediatype:texts</x:v>
      </x:c>
      <x:c r="M57" s="22" t="str">
        <x:v>PHRASE_METADATA_SEARCH</x:v>
      </x:c>
      <x:c r="N57" s="21" t="str">
        <x:v>COMPLETED_ZERO</x:v>
      </x:c>
      <x:c r="O57" s="57" t="str">
        <x:v>0</x:v>
      </x:c>
      <x:c r="P57" s="22" t="str">
        <x:v>0</x:v>
      </x:c>
      <x:c r="Q57" s="22" t="str">
        <x:v>0</x:v>
      </x:c>
      <x:c r="R57" s="22" t="str">
        <x:v>0</x:v>
      </x:c>
      <x:c r="S57" s="22" t="str">
        <x:v>2026-08-26</x:v>
      </x:c>
      <x:c r="T57" s="22" t="str">
        <x:v>https://archive.org/advancedsearch.php</x:v>
      </x:c>
      <x:c r="U57" s="22" t="str">
        <x:v>EXACT_PHRASE</x:v>
      </x:c>
      <x:c r="V57" s="21" t="str">
        <x:v>OPENALEX_WORK_COUNT</x:v>
      </x:c>
      <x:c r="W57" s="57" t="str"/>
      <x:c r="X57" s="23" t="str">
        <x:v>Metadata text-item count; not a full-text lexical frequency. Secondary metric: NOT_RUN_OPENALEX_DAILY_BUDGET_EXHAUSTED: shared provider response retained; no count fabricated.</x:v>
      </x:c>
    </x:row>
    <x:row r="58" ht="19" customHeight="1">
      <x:c r="A58" s="20" t="str">
        <x:v>FT-SEED-R1B-P-1938-27</x:v>
      </x:c>
      <x:c r="B58" s="22" t="str">
        <x:v>1938</x:v>
      </x:c>
      <x:c r="C58" s="22" t="str">
        <x:v>27</x:v>
      </x:c>
      <x:c r="D58" s="21" t="str">
        <x:v>heat records</x:v>
      </x:c>
      <x:c r="E58" s="21" t="str">
        <x:v>physical heat source / state</x:v>
      </x:c>
      <x:c r="F58" s="22" t="str">
        <x:v>heat</x:v>
      </x:c>
      <x:c r="G58" s="22" t="str">
        <x:v>A</x:v>
      </x:c>
      <x:c r="H58" s="22" t="str">
        <x:v>V3</x:v>
      </x:c>
      <x:c r="I58" s="22" t="str">
        <x:v>E5</x:v>
      </x:c>
      <x:c r="J58" s="21" t="str">
        <x:v>RECONSTRUCTED_FROM_REPORT; Fear of Temperature_ Stratified Lexical Expansion, Voice Mapping, and Semantic-Relational Pre-Valida.pdf; p.8; project candidate FT-SEED-R1B-P-1938-27; original visible ID not available</x:v>
      </x:c>
      <x:c r="K58" s="21" t="str">
        <x:v>INTERNET_ARCHIVE_METADATA_TEXT_ITEM_COUNT</x:v>
      </x:c>
      <x:c r="L58" s="22" t="str">
        <x:v>"heat records" AND mediatype:texts</x:v>
      </x:c>
      <x:c r="M58" s="22" t="str">
        <x:v>PHRASE_METADATA_SEARCH</x:v>
      </x:c>
      <x:c r="N58" s="21" t="str">
        <x:v>COMPLETED_NONZERO</x:v>
      </x:c>
      <x:c r="O58" s="57" t="str">
        <x:v>2</x:v>
      </x:c>
      <x:c r="P58" s="22" t="str">
        <x:v>2</x:v>
      </x:c>
      <x:c r="Q58" s="22" t="str">
        <x:v>0</x:v>
      </x:c>
      <x:c r="R58" s="22" t="str">
        <x:v>0</x:v>
      </x:c>
      <x:c r="S58" s="22" t="str">
        <x:v>2026-08-26</x:v>
      </x:c>
      <x:c r="T58" s="22" t="str">
        <x:v>https://archive.org/advancedsearch.php</x:v>
      </x:c>
      <x:c r="U58" s="22" t="str">
        <x:v>EXACT_PHRASE</x:v>
      </x:c>
      <x:c r="V58" s="21" t="str">
        <x:v>OPENALEX_WORK_COUNT</x:v>
      </x:c>
      <x:c r="W58" s="57" t="str"/>
      <x:c r="X58" s="23" t="str">
        <x:v>Metadata text-item count; not a full-text lexical frequency. Secondary metric: NOT_RUN_OPENALEX_DAILY_BUDGET_EXHAUSTED: shared provider response retained; no count fabricated.</x:v>
      </x:c>
    </x:row>
    <x:row r="59" ht="19" customHeight="1">
      <x:c r="A59" s="20" t="str">
        <x:v>FT-SEED-R1B-P-1938-28</x:v>
      </x:c>
      <x:c r="B59" s="22" t="str">
        <x:v>1938</x:v>
      </x:c>
      <x:c r="C59" s="22" t="str">
        <x:v>28</x:v>
      </x:c>
      <x:c r="D59" s="21" t="str">
        <x:v>drought</x:v>
      </x:c>
      <x:c r="E59" s="21" t="str">
        <x:v>generic damage</x:v>
      </x:c>
      <x:c r="F59" s="22" t="str">
        <x:v>harm_loss_consequences</x:v>
      </x:c>
      <x:c r="G59" s="22" t="str">
        <x:v>D</x:v>
      </x:c>
      <x:c r="H59" s="22" t="str">
        <x:v>V3</x:v>
      </x:c>
      <x:c r="I59" s="22" t="str">
        <x:v>E5</x:v>
      </x:c>
      <x:c r="J59" s="21" t="str">
        <x:v>RECONSTRUCTED_FROM_REPORT; Fear of Temperature_ Stratified Lexical Expansion, Voice Mapping, and Semantic-Relational Pre-Valida.pdf; p.8; project candidate FT-SEED-R1B-P-1938-28; original visible ID not available</x:v>
      </x:c>
      <x:c r="K59" s="21" t="str">
        <x:v>INTERNET_ARCHIVE_METADATA_TEXT_ITEM_COUNT</x:v>
      </x:c>
      <x:c r="L59" s="22" t="str">
        <x:v>"drought" AND mediatype:texts</x:v>
      </x:c>
      <x:c r="M59" s="22" t="str">
        <x:v>PHRASE_METADATA_SEARCH</x:v>
      </x:c>
      <x:c r="N59" s="21" t="str">
        <x:v>COMPLETED_NONZERO</x:v>
      </x:c>
      <x:c r="O59" s="57" t="str">
        <x:v>10647</x:v>
      </x:c>
      <x:c r="P59" s="22" t="str">
        <x:v>10647</x:v>
      </x:c>
      <x:c r="Q59" s="22" t="str">
        <x:v>84</x:v>
      </x:c>
      <x:c r="R59" s="22" t="str">
        <x:v>298</x:v>
      </x:c>
      <x:c r="S59" s="22" t="str">
        <x:v>2026-08-26</x:v>
      </x:c>
      <x:c r="T59" s="22" t="str">
        <x:v>https://archive.org/advancedsearch.php</x:v>
      </x:c>
      <x:c r="U59" s="22" t="str">
        <x:v>EXACT_PHRASE</x:v>
      </x:c>
      <x:c r="V59" s="21" t="str">
        <x:v>OPENALEX_WORK_COUNT</x:v>
      </x:c>
      <x:c r="W59" s="57" t="str"/>
      <x:c r="X59" s="23" t="str">
        <x:v>Metadata text-item count; not a full-text lexical frequency. Secondary metric: NOT_RUN_OPENALEX_DAILY_BUDGET_EXHAUSTED: shared provider response retained; no count fabricated.</x:v>
      </x:c>
    </x:row>
    <x:row r="60" ht="19" customHeight="1">
      <x:c r="A60" s="20" t="str">
        <x:v>FT-SEED-R1B-P-1938-29</x:v>
      </x:c>
      <x:c r="B60" s="22" t="str">
        <x:v>1938</x:v>
      </x:c>
      <x:c r="C60" s="22" t="str">
        <x:v>29</x:v>
      </x:c>
      <x:c r="D60" s="21" t="str">
        <x:v>grass fires</x:v>
      </x:c>
      <x:c r="E60" s="21" t="str">
        <x:v>generic damage</x:v>
      </x:c>
      <x:c r="F60" s="22" t="str">
        <x:v>harm_loss_consequences</x:v>
      </x:c>
      <x:c r="G60" s="22" t="str">
        <x:v>D</x:v>
      </x:c>
      <x:c r="H60" s="22" t="str">
        <x:v>V3</x:v>
      </x:c>
      <x:c r="I60" s="22" t="str">
        <x:v>E5</x:v>
      </x:c>
      <x:c r="J60" s="21" t="str">
        <x:v>RECONSTRUCTED_FROM_REPORT; Fear of Temperature_ Stratified Lexical Expansion, Voice Mapping, and Semantic-Relational Pre-Valida.pdf; p.8; project candidate FT-SEED-R1B-P-1938-29; original visible ID not available</x:v>
      </x:c>
      <x:c r="K60" s="21" t="str">
        <x:v>INTERNET_ARCHIVE_METADATA_TEXT_ITEM_COUNT</x:v>
      </x:c>
      <x:c r="L60" s="22" t="str">
        <x:v>"grass fires" AND mediatype:texts</x:v>
      </x:c>
      <x:c r="M60" s="22" t="str">
        <x:v>PHRASE_METADATA_SEARCH</x:v>
      </x:c>
      <x:c r="N60" s="21" t="str">
        <x:v>COMPLETED_NONZERO</x:v>
      </x:c>
      <x:c r="O60" s="57" t="str">
        <x:v>39</x:v>
      </x:c>
      <x:c r="P60" s="22" t="str">
        <x:v>39</x:v>
      </x:c>
      <x:c r="Q60" s="22" t="str">
        <x:v>0</x:v>
      </x:c>
      <x:c r="R60" s="22" t="str">
        <x:v>0</x:v>
      </x:c>
      <x:c r="S60" s="22" t="str">
        <x:v>2026-08-26</x:v>
      </x:c>
      <x:c r="T60" s="22" t="str">
        <x:v>https://archive.org/advancedsearch.php</x:v>
      </x:c>
      <x:c r="U60" s="22" t="str">
        <x:v>EXACT_PHRASE</x:v>
      </x:c>
      <x:c r="V60" s="21" t="str">
        <x:v>OPENALEX_WORK_COUNT</x:v>
      </x:c>
      <x:c r="W60" s="57" t="str"/>
      <x:c r="X60" s="23" t="str">
        <x:v>Metadata text-item count; not a full-text lexical frequency. Secondary metric: NOT_RUN_OPENALEX_DAILY_BUDGET_EXHAUSTED: shared provider response retained; no count fabricated.</x:v>
      </x:c>
    </x:row>
    <x:row r="61" ht="19" customHeight="1">
      <x:c r="A61" s="20" t="str">
        <x:v>FT-SEED-R1B-P-1938-30</x:v>
      </x:c>
      <x:c r="B61" s="22" t="str">
        <x:v>1938</x:v>
      </x:c>
      <x:c r="C61" s="22" t="str">
        <x:v>30</x:v>
      </x:c>
      <x:c r="D61" s="21" t="str">
        <x:v>unbearable heat</x:v>
      </x:c>
      <x:c r="E61" s="21" t="str">
        <x:v>extreme-heat hazard</x:v>
      </x:c>
      <x:c r="F61" s="22" t="str">
        <x:v>heat</x:v>
      </x:c>
      <x:c r="G61" s="22" t="str">
        <x:v>D</x:v>
      </x:c>
      <x:c r="H61" s="22" t="str">
        <x:v>V3</x:v>
      </x:c>
      <x:c r="I61" s="22" t="str">
        <x:v>E5</x:v>
      </x:c>
      <x:c r="J61" s="21" t="str">
        <x:v>RECONSTRUCTED_FROM_REPORT; Fear of Temperature_ Stratified Lexical Expansion, Voice Mapping, and Semantic-Relational Pre-Valida.pdf; p.8; project candidate FT-SEED-R1B-P-1938-30; original visible ID not available</x:v>
      </x:c>
      <x:c r="K61" s="21" t="str">
        <x:v>INTERNET_ARCHIVE_METADATA_TEXT_ITEM_COUNT</x:v>
      </x:c>
      <x:c r="L61" s="22" t="str">
        <x:v>"unbearable heat" AND mediatype:texts</x:v>
      </x:c>
      <x:c r="M61" s="22" t="str">
        <x:v>PHRASE_METADATA_SEARCH</x:v>
      </x:c>
      <x:c r="N61" s="21" t="str">
        <x:v>COMPLETED_NONZERO</x:v>
      </x:c>
      <x:c r="O61" s="57" t="str">
        <x:v>6</x:v>
      </x:c>
      <x:c r="P61" s="22" t="str">
        <x:v>6</x:v>
      </x:c>
      <x:c r="Q61" s="22" t="str">
        <x:v>0</x:v>
      </x:c>
      <x:c r="R61" s="22" t="str">
        <x:v>0</x:v>
      </x:c>
      <x:c r="S61" s="22" t="str">
        <x:v>2026-08-26</x:v>
      </x:c>
      <x:c r="T61" s="22" t="str">
        <x:v>https://archive.org/advancedsearch.php</x:v>
      </x:c>
      <x:c r="U61" s="22" t="str">
        <x:v>EXACT_PHRASE</x:v>
      </x:c>
      <x:c r="V61" s="21" t="str">
        <x:v>OPENALEX_WORK_COUNT</x:v>
      </x:c>
      <x:c r="W61" s="57" t="str"/>
      <x:c r="X61" s="23" t="str">
        <x:v>Metadata text-item count; not a full-text lexical frequency. Secondary metric: NOT_RUN_OPENALEX_DAILY_BUDGET_EXHAUSTED: shared provider response retained; no count fabricated.</x:v>
      </x:c>
    </x:row>
    <x:row r="62" ht="19" customHeight="1">
      <x:c r="A62" s="20" t="str">
        <x:v>FT-SEED-R1B-P-1988-01</x:v>
      </x:c>
      <x:c r="B62" s="22" t="str">
        <x:v>1988</x:v>
      </x:c>
      <x:c r="C62" s="22" t="str">
        <x:v>1</x:v>
      </x:c>
      <x:c r="D62" s="21" t="str">
        <x:v>greenhouse effect</x:v>
      </x:c>
      <x:c r="E62" s="21" t="str">
        <x:v>greenhouse mechanism</x:v>
      </x:c>
      <x:c r="F62" s="22" t="str">
        <x:v>carbon_greenhouse</x:v>
      </x:c>
      <x:c r="G62" s="22" t="str">
        <x:v>B</x:v>
      </x:c>
      <x:c r="H62" s="22" t="str">
        <x:v>V1</x:v>
      </x:c>
      <x:c r="I62" s="22" t="str">
        <x:v>E5</x:v>
      </x:c>
      <x:c r="J62" s="21" t="str">
        <x:v>RECONSTRUCTED_FROM_REPORT; Fear of Temperature_ Stratified Lexical Expansion, Voice Mapping, and Semantic-Relational Pre-Valida.pdf; p.9; project candidate FT-SEED-R1B-P-1988-01; original visible ID not available</x:v>
      </x:c>
      <x:c r="K62" s="21" t="str">
        <x:v>INTERNET_ARCHIVE_METADATA_TEXT_ITEM_COUNT</x:v>
      </x:c>
      <x:c r="L62" s="22" t="str">
        <x:v>"greenhouse effect" AND mediatype:texts</x:v>
      </x:c>
      <x:c r="M62" s="22" t="str">
        <x:v>PHRASE_METADATA_SEARCH</x:v>
      </x:c>
      <x:c r="N62" s="21" t="str">
        <x:v>COMPLETED_NONZERO</x:v>
      </x:c>
      <x:c r="O62" s="57" t="str">
        <x:v>1441</x:v>
      </x:c>
      <x:c r="P62" s="22" t="str">
        <x:v>1441</x:v>
      </x:c>
      <x:c r="Q62" s="22" t="str">
        <x:v>19</x:v>
      </x:c>
      <x:c r="R62" s="22" t="str">
        <x:v>156</x:v>
      </x:c>
      <x:c r="S62" s="22" t="str">
        <x:v>2026-08-26</x:v>
      </x:c>
      <x:c r="T62" s="22" t="str">
        <x:v>https://archive.org/advancedsearch.php</x:v>
      </x:c>
      <x:c r="U62" s="22" t="str">
        <x:v>EXACT_PHRASE</x:v>
      </x:c>
      <x:c r="V62" s="21" t="str">
        <x:v>OPENALEX_WORK_COUNT</x:v>
      </x:c>
      <x:c r="W62" s="57" t="str"/>
      <x:c r="X62" s="23" t="str">
        <x:v>Metadata text-item count; not a full-text lexical frequency. Secondary metric: NOT_RUN_OPENALEX_DAILY_BUDGET_EXHAUSTED: shared provider response retained; no count fabricated.</x:v>
      </x:c>
    </x:row>
    <x:row r="63" ht="19" customHeight="1">
      <x:c r="A63" s="20" t="str">
        <x:v>FT-SEED-R1B-P-1988-02</x:v>
      </x:c>
      <x:c r="B63" s="22" t="str">
        <x:v>1988</x:v>
      </x:c>
      <x:c r="C63" s="22" t="str">
        <x:v>2</x:v>
      </x:c>
      <x:c r="D63" s="21" t="str">
        <x:v>global warming</x:v>
      </x:c>
      <x:c r="E63" s="21" t="str">
        <x:v>global warming as issue label</x:v>
      </x:c>
      <x:c r="F63" s="22" t="str">
        <x:v>warming</x:v>
      </x:c>
      <x:c r="G63" s="22" t="str">
        <x:v>A</x:v>
      </x:c>
      <x:c r="H63" s="22" t="str">
        <x:v>V1</x:v>
      </x:c>
      <x:c r="I63" s="22" t="str">
        <x:v>E5</x:v>
      </x:c>
      <x:c r="J63" s="21" t="str">
        <x:v>RECONSTRUCTED_FROM_REPORT; Fear of Temperature_ Stratified Lexical Expansion, Voice Mapping, and Semantic-Relational Pre-Valida.pdf; p.9; project candidate FT-SEED-R1B-P-1988-02; original visible ID not available</x:v>
      </x:c>
      <x:c r="K63" s="21" t="str">
        <x:v>INTERNET_ARCHIVE_METADATA_TEXT_ITEM_COUNT</x:v>
      </x:c>
      <x:c r="L63" s="22" t="str">
        <x:v>"global warming" AND mediatype:texts</x:v>
      </x:c>
      <x:c r="M63" s="22" t="str">
        <x:v>PHRASE_METADATA_SEARCH</x:v>
      </x:c>
      <x:c r="N63" s="21" t="str">
        <x:v>COMPLETED_NONZERO</x:v>
      </x:c>
      <x:c r="O63" s="57" t="str">
        <x:v>5619</x:v>
      </x:c>
      <x:c r="P63" s="22" t="str">
        <x:v>5619</x:v>
      </x:c>
      <x:c r="Q63" s="22" t="str">
        <x:v>11</x:v>
      </x:c>
      <x:c r="R63" s="22" t="str">
        <x:v>123</x:v>
      </x:c>
      <x:c r="S63" s="22" t="str">
        <x:v>2026-08-26</x:v>
      </x:c>
      <x:c r="T63" s="22" t="str">
        <x:v>https://archive.org/advancedsearch.php</x:v>
      </x:c>
      <x:c r="U63" s="22" t="str">
        <x:v>EXACT_PHRASE</x:v>
      </x:c>
      <x:c r="V63" s="21" t="str">
        <x:v>OPENALEX_WORK_COUNT</x:v>
      </x:c>
      <x:c r="W63" s="57" t="str"/>
      <x:c r="X63" s="23" t="str">
        <x:v>Metadata text-item count; not a full-text lexical frequency. Secondary metric: NOT_RUN_OPENALEX_DAILY_BUDGET_EXHAUSTED: shared provider response retained; no count fabricated.</x:v>
      </x:c>
    </x:row>
    <x:row r="64" ht="19" customHeight="1">
      <x:c r="A64" s="20" t="str">
        <x:v>FT-SEED-R1B-P-1988-03</x:v>
      </x:c>
      <x:c r="B64" s="22" t="str">
        <x:v>1988</x:v>
      </x:c>
      <x:c r="C64" s="22" t="str">
        <x:v>3</x:v>
      </x:c>
      <x:c r="D64" s="21" t="str">
        <x:v>earth is warmer</x:v>
      </x:c>
      <x:c r="E64" s="21" t="str">
        <x:v>temperature increase</x:v>
      </x:c>
      <x:c r="F64" s="22" t="str">
        <x:v>warming</x:v>
      </x:c>
      <x:c r="G64" s="22" t="str">
        <x:v>A</x:v>
      </x:c>
      <x:c r="H64" s="22" t="str">
        <x:v>V1</x:v>
      </x:c>
      <x:c r="I64" s="22" t="str">
        <x:v>E5</x:v>
      </x:c>
      <x:c r="J64" s="21" t="str">
        <x:v>RECONSTRUCTED_FROM_REPORT; Fear of Temperature_ Stratified Lexical Expansion, Voice Mapping, and Semantic-Relational Pre-Valida.pdf; p.9; project candidate FT-SEED-R1B-P-1988-03; original visible ID not available</x:v>
      </x:c>
      <x:c r="K64" s="21" t="str">
        <x:v>INTERNET_ARCHIVE_METADATA_TEXT_ITEM_COUNT</x:v>
      </x:c>
      <x:c r="L64" s="22" t="str">
        <x:v>"earth is warmer" AND mediatype:texts</x:v>
      </x:c>
      <x:c r="M64" s="22" t="str">
        <x:v>PHRASE_METADATA_SEARCH</x:v>
      </x:c>
      <x:c r="N64" s="21" t="str">
        <x:v>COMPLETED_ZERO</x:v>
      </x:c>
      <x:c r="O64" s="57" t="str">
        <x:v>0</x:v>
      </x:c>
      <x:c r="P64" s="22" t="str">
        <x:v>0</x:v>
      </x:c>
      <x:c r="Q64" s="22" t="str">
        <x:v>0</x:v>
      </x:c>
      <x:c r="R64" s="22" t="str">
        <x:v>0</x:v>
      </x:c>
      <x:c r="S64" s="22" t="str">
        <x:v>2026-08-26</x:v>
      </x:c>
      <x:c r="T64" s="22" t="str">
        <x:v>https://archive.org/advancedsearch.php</x:v>
      </x:c>
      <x:c r="U64" s="22" t="str">
        <x:v>EXACT_PHRASE</x:v>
      </x:c>
      <x:c r="V64" s="21" t="str">
        <x:v>OPENALEX_WORK_COUNT</x:v>
      </x:c>
      <x:c r="W64" s="57" t="str"/>
      <x:c r="X64" s="23" t="str">
        <x:v>Metadata text-item count; not a full-text lexical frequency. Secondary metric: NOT_RUN_OPENALEX_DAILY_BUDGET_EXHAUSTED: shared provider response retained; no count fabricated.</x:v>
      </x:c>
    </x:row>
    <x:row r="65" ht="19" customHeight="1">
      <x:c r="A65" s="20" t="str">
        <x:v>FT-SEED-R1B-P-1988-04</x:v>
      </x:c>
      <x:c r="B65" s="22" t="str">
        <x:v>1988</x:v>
      </x:c>
      <x:c r="C65" s="22" t="str">
        <x:v>4</x:v>
      </x:c>
      <x:c r="D65" s="21" t="str">
        <x:v>instrumental measurements</x:v>
      </x:c>
      <x:c r="E65" s="21" t="str">
        <x:v>historical climate / climatological condition</x:v>
      </x:c>
      <x:c r="F65" s="22" t="str">
        <x:v>climate</x:v>
      </x:c>
      <x:c r="G65" s="22" t="str">
        <x:v>B</x:v>
      </x:c>
      <x:c r="H65" s="22" t="str">
        <x:v>V1</x:v>
      </x:c>
      <x:c r="I65" s="22" t="str">
        <x:v>E5</x:v>
      </x:c>
      <x:c r="J65" s="21" t="str">
        <x:v>RECONSTRUCTED_FROM_REPORT; Fear of Temperature_ Stratified Lexical Expansion, Voice Mapping, and Semantic-Relational Pre-Valida.pdf; p.9; project candidate FT-SEED-R1B-P-1988-04; original visible ID not available</x:v>
      </x:c>
      <x:c r="K65" s="21" t="str">
        <x:v>INTERNET_ARCHIVE_METADATA_TEXT_ITEM_COUNT</x:v>
      </x:c>
      <x:c r="L65" s="22" t="str">
        <x:v>"instrumental measurements" AND mediatype:texts</x:v>
      </x:c>
      <x:c r="M65" s="22" t="str">
        <x:v>PHRASE_METADATA_SEARCH</x:v>
      </x:c>
      <x:c r="N65" s="21" t="str">
        <x:v>COMPLETED_NONZERO</x:v>
      </x:c>
      <x:c r="O65" s="57" t="str">
        <x:v>13</x:v>
      </x:c>
      <x:c r="P65" s="22" t="str">
        <x:v>13</x:v>
      </x:c>
      <x:c r="Q65" s="22" t="str">
        <x:v>0</x:v>
      </x:c>
      <x:c r="R65" s="22" t="str">
        <x:v>1</x:v>
      </x:c>
      <x:c r="S65" s="22" t="str">
        <x:v>2026-08-26</x:v>
      </x:c>
      <x:c r="T65" s="22" t="str">
        <x:v>https://archive.org/advancedsearch.php</x:v>
      </x:c>
      <x:c r="U65" s="22" t="str">
        <x:v>EXACT_PHRASE</x:v>
      </x:c>
      <x:c r="V65" s="21" t="str">
        <x:v>OPENALEX_WORK_COUNT</x:v>
      </x:c>
      <x:c r="W65" s="57" t="str"/>
      <x:c r="X65" s="23" t="str">
        <x:v>Metadata text-item count; not a full-text lexical frequency. Secondary metric: NOT_RUN_OPENALEX_DAILY_BUDGET_EXHAUSTED: shared provider response retained; no count fabricated.</x:v>
      </x:c>
    </x:row>
    <x:row r="66" ht="19" customHeight="1">
      <x:c r="A66" s="20" t="str">
        <x:v>FT-SEED-R1B-P-1988-05</x:v>
      </x:c>
      <x:c r="B66" s="22" t="str">
        <x:v>1988</x:v>
      </x:c>
      <x:c r="C66" s="22" t="str">
        <x:v>5</x:v>
      </x:c>
      <x:c r="D66" s="21" t="str">
        <x:v>cause-and-effect relationship</x:v>
      </x:c>
      <x:c r="E66" s="21" t="str">
        <x:v>generic damage</x:v>
      </x:c>
      <x:c r="F66" s="22" t="str">
        <x:v>harm_loss_consequences</x:v>
      </x:c>
      <x:c r="G66" s="22" t="str">
        <x:v>B</x:v>
      </x:c>
      <x:c r="H66" s="22" t="str">
        <x:v>V1</x:v>
      </x:c>
      <x:c r="I66" s="22" t="str">
        <x:v>E5</x:v>
      </x:c>
      <x:c r="J66" s="21" t="str">
        <x:v>RECONSTRUCTED_FROM_REPORT; Fear of Temperature_ Stratified Lexical Expansion, Voice Mapping, and Semantic-Relational Pre-Valida.pdf; p.9; project candidate FT-SEED-R1B-P-1988-05; original visible ID not available</x:v>
      </x:c>
      <x:c r="K66" s="21" t="str">
        <x:v>INTERNET_ARCHIVE_METADATA_TEXT_ITEM_COUNT</x:v>
      </x:c>
      <x:c r="L66" s="22" t="str">
        <x:v>"cause-and-effect relationship" AND mediatype:texts</x:v>
      </x:c>
      <x:c r="M66" s="22" t="str">
        <x:v>PHRASE_METADATA_SEARCH</x:v>
      </x:c>
      <x:c r="N66" s="21" t="str">
        <x:v>COMPLETED_NONZERO</x:v>
      </x:c>
      <x:c r="O66" s="57" t="str">
        <x:v>118</x:v>
      </x:c>
      <x:c r="P66" s="22" t="str">
        <x:v>118</x:v>
      </x:c>
      <x:c r="Q66" s="22" t="str">
        <x:v>1</x:v>
      </x:c>
      <x:c r="R66" s="22" t="str">
        <x:v>9</x:v>
      </x:c>
      <x:c r="S66" s="22" t="str">
        <x:v>2026-08-26</x:v>
      </x:c>
      <x:c r="T66" s="22" t="str">
        <x:v>https://archive.org/advancedsearch.php</x:v>
      </x:c>
      <x:c r="U66" s="22" t="str">
        <x:v>EXACT_PHRASE</x:v>
      </x:c>
      <x:c r="V66" s="21" t="str">
        <x:v>OPENALEX_WORK_COUNT</x:v>
      </x:c>
      <x:c r="W66" s="57" t="str">
        <x:v>50251</x:v>
      </x:c>
      <x:c r="X66" s="23" t="str">
        <x:v>Metadata text-item count; not a full-text lexical frequency. Secondary metric: Scholarly work discoverability count over OpenAlex search fields; not a corpus word frequency.</x:v>
      </x:c>
    </x:row>
    <x:row r="67" ht="19" customHeight="1">
      <x:c r="A67" s="20" t="str">
        <x:v>FT-SEED-R1B-P-1988-06</x:v>
      </x:c>
      <x:c r="B67" s="22" t="str">
        <x:v>1988</x:v>
      </x:c>
      <x:c r="C67" s="22" t="str">
        <x:v>6</x:v>
      </x:c>
      <x:c r="D67" s="21" t="str">
        <x:v>global temperature</x:v>
      </x:c>
      <x:c r="E67" s="21" t="str">
        <x:v>global aggregate temperature</x:v>
      </x:c>
      <x:c r="F67" s="22" t="str">
        <x:v>temperature_threshold</x:v>
      </x:c>
      <x:c r="G67" s="22" t="str">
        <x:v>A</x:v>
      </x:c>
      <x:c r="H67" s="22" t="str">
        <x:v>V1</x:v>
      </x:c>
      <x:c r="I67" s="22" t="str">
        <x:v>E5</x:v>
      </x:c>
      <x:c r="J67" s="21" t="str">
        <x:v>RECONSTRUCTED_FROM_REPORT; Fear of Temperature_ Stratified Lexical Expansion, Voice Mapping, and Semantic-Relational Pre-Valida.pdf; p.9; project candidate FT-SEED-R1B-P-1988-06; original visible ID not available</x:v>
      </x:c>
      <x:c r="K67" s="21" t="str">
        <x:v>INTERNET_ARCHIVE_METADATA_TEXT_ITEM_COUNT</x:v>
      </x:c>
      <x:c r="L67" s="22" t="str">
        <x:v>"global temperature" AND mediatype:texts</x:v>
      </x:c>
      <x:c r="M67" s="22" t="str">
        <x:v>PHRASE_METADATA_SEARCH</x:v>
      </x:c>
      <x:c r="N67" s="21" t="str">
        <x:v>COMPLETED_NONZERO</x:v>
      </x:c>
      <x:c r="O67" s="57" t="str">
        <x:v>328</x:v>
      </x:c>
      <x:c r="P67" s="22" t="str">
        <x:v>328</x:v>
      </x:c>
      <x:c r="Q67" s="22" t="str">
        <x:v>2</x:v>
      </x:c>
      <x:c r="R67" s="22" t="str">
        <x:v>18</x:v>
      </x:c>
      <x:c r="S67" s="22" t="str">
        <x:v>2026-08-26</x:v>
      </x:c>
      <x:c r="T67" s="22" t="str">
        <x:v>https://archive.org/advancedsearch.php</x:v>
      </x:c>
      <x:c r="U67" s="22" t="str">
        <x:v>EXACT_PHRASE</x:v>
      </x:c>
      <x:c r="V67" s="21" t="str">
        <x:v>OPENALEX_WORK_COUNT</x:v>
      </x:c>
      <x:c r="W67" s="57" t="str"/>
      <x:c r="X67" s="23" t="str">
        <x:v>Metadata text-item count; not a full-text lexical frequency. Secondary metric: NOT_RUN_OPENALEX_DAILY_BUDGET_EXHAUSTED: shared provider response retained; no count fabricated.</x:v>
      </x:c>
    </x:row>
    <x:row r="68" ht="19" customHeight="1">
      <x:c r="A68" s="20" t="str">
        <x:v>FT-SEED-R1B-P-1988-07</x:v>
      </x:c>
      <x:c r="B68" s="22" t="str">
        <x:v>1988</x:v>
      </x:c>
      <x:c r="C68" s="22" t="str">
        <x:v>7</x:v>
      </x:c>
      <x:c r="D68" s="21" t="str">
        <x:v>regional heat waves</x:v>
      </x:c>
      <x:c r="E68" s="21" t="str">
        <x:v>heatwave / weather event</x:v>
      </x:c>
      <x:c r="F68" s="22" t="str">
        <x:v>heat</x:v>
      </x:c>
      <x:c r="G68" s="22" t="str">
        <x:v>A</x:v>
      </x:c>
      <x:c r="H68" s="22" t="str">
        <x:v>V1</x:v>
      </x:c>
      <x:c r="I68" s="22" t="str">
        <x:v>E5</x:v>
      </x:c>
      <x:c r="J68" s="21" t="str">
        <x:v>RECONSTRUCTED_FROM_REPORT; Fear of Temperature_ Stratified Lexical Expansion, Voice Mapping, and Semantic-Relational Pre-Valida.pdf; p.9; project candidate FT-SEED-R1B-P-1988-07; original visible ID not available</x:v>
      </x:c>
      <x:c r="K68" s="21" t="str">
        <x:v>INTERNET_ARCHIVE_METADATA_TEXT_ITEM_COUNT</x:v>
      </x:c>
      <x:c r="L68" s="22" t="str">
        <x:v>"regional heat waves" AND mediatype:texts</x:v>
      </x:c>
      <x:c r="M68" s="22" t="str">
        <x:v>PHRASE_METADATA_SEARCH</x:v>
      </x:c>
      <x:c r="N68" s="21" t="str">
        <x:v>COMPLETED_ZERO</x:v>
      </x:c>
      <x:c r="O68" s="57" t="str">
        <x:v>0</x:v>
      </x:c>
      <x:c r="P68" s="22" t="str">
        <x:v>0</x:v>
      </x:c>
      <x:c r="Q68" s="22" t="str">
        <x:v>0</x:v>
      </x:c>
      <x:c r="R68" s="22" t="str">
        <x:v>0</x:v>
      </x:c>
      <x:c r="S68" s="22" t="str">
        <x:v>2026-08-26</x:v>
      </x:c>
      <x:c r="T68" s="22" t="str">
        <x:v>https://archive.org/advancedsearch.php</x:v>
      </x:c>
      <x:c r="U68" s="22" t="str">
        <x:v>EXACT_PHRASE</x:v>
      </x:c>
      <x:c r="V68" s="21" t="str">
        <x:v>OPENALEX_WORK_COUNT</x:v>
      </x:c>
      <x:c r="W68" s="57" t="str"/>
      <x:c r="X68" s="23" t="str">
        <x:v>Metadata text-item count; not a full-text lexical frequency. Secondary metric: NOT_RUN_OPENALEX_DAILY_BUDGET_EXHAUSTED: shared provider response retained; no count fabricated.</x:v>
      </x:c>
    </x:row>
    <x:row r="69" ht="19" customHeight="1">
      <x:c r="A69" s="20" t="str">
        <x:v>FT-SEED-R1B-P-1988-08</x:v>
      </x:c>
      <x:c r="B69" s="22" t="str">
        <x:v>1988</x:v>
      </x:c>
      <x:c r="C69" s="22" t="str">
        <x:v>8</x:v>
      </x:c>
      <x:c r="D69" s="21" t="str">
        <x:v>heat wave</x:v>
      </x:c>
      <x:c r="E69" s="21" t="str">
        <x:v>heatwave / weather event</x:v>
      </x:c>
      <x:c r="F69" s="22" t="str">
        <x:v>heat</x:v>
      </x:c>
      <x:c r="G69" s="22" t="str">
        <x:v>A</x:v>
      </x:c>
      <x:c r="H69" s="22" t="str">
        <x:v>V1</x:v>
      </x:c>
      <x:c r="I69" s="22" t="str">
        <x:v>E5</x:v>
      </x:c>
      <x:c r="J69" s="21" t="str">
        <x:v>RECONSTRUCTED_FROM_REPORT; Fear of Temperature_ Stratified Lexical Expansion, Voice Mapping, and Semantic-Relational Pre-Valida.pdf; p.9; project candidate FT-SEED-R1B-P-1988-08; original visible ID not available</x:v>
      </x:c>
      <x:c r="K69" s="21" t="str">
        <x:v>INTERNET_ARCHIVE_METADATA_TEXT_ITEM_COUNT</x:v>
      </x:c>
      <x:c r="L69" s="22" t="str">
        <x:v>"heat wave" AND mediatype:texts</x:v>
      </x:c>
      <x:c r="M69" s="22" t="str">
        <x:v>PHRASE_METADATA_SEARCH</x:v>
      </x:c>
      <x:c r="N69" s="21" t="str">
        <x:v>COMPLETED_NONZERO</x:v>
      </x:c>
      <x:c r="O69" s="57" t="str">
        <x:v>957</x:v>
      </x:c>
      <x:c r="P69" s="22" t="str">
        <x:v>957</x:v>
      </x:c>
      <x:c r="Q69" s="22" t="str">
        <x:v>7</x:v>
      </x:c>
      <x:c r="R69" s="22" t="str">
        <x:v>64</x:v>
      </x:c>
      <x:c r="S69" s="22" t="str">
        <x:v>2026-08-26</x:v>
      </x:c>
      <x:c r="T69" s="22" t="str">
        <x:v>https://archive.org/advancedsearch.php</x:v>
      </x:c>
      <x:c r="U69" s="22" t="str">
        <x:v>EXACT_PHRASE</x:v>
      </x:c>
      <x:c r="V69" s="21" t="str">
        <x:v>OPENALEX_WORK_COUNT</x:v>
      </x:c>
      <x:c r="W69" s="57" t="str"/>
      <x:c r="X69" s="23" t="str">
        <x:v>Metadata text-item count; not a full-text lexical frequency. Secondary metric: NOT_RUN_OPENALEX_DAILY_BUDGET_EXHAUSTED: shared provider response retained; no count fabricated.</x:v>
      </x:c>
    </x:row>
    <x:row r="70" ht="19" customHeight="1">
      <x:c r="A70" s="20" t="str">
        <x:v>FT-SEED-R1B-P-1988-09</x:v>
      </x:c>
      <x:c r="B70" s="22" t="str">
        <x:v>1988</x:v>
      </x:c>
      <x:c r="C70" s="22" t="str">
        <x:v>9</x:v>
      </x:c>
      <x:c r="D70" s="21" t="str">
        <x:v>drought</x:v>
      </x:c>
      <x:c r="E70" s="21" t="str">
        <x:v>generic damage</x:v>
      </x:c>
      <x:c r="F70" s="22" t="str">
        <x:v>harm_loss_consequences</x:v>
      </x:c>
      <x:c r="G70" s="22" t="str">
        <x:v>D</x:v>
      </x:c>
      <x:c r="H70" s="22" t="str">
        <x:v>V1</x:v>
      </x:c>
      <x:c r="I70" s="22" t="str">
        <x:v>E5</x:v>
      </x:c>
      <x:c r="J70" s="21" t="str">
        <x:v>RECONSTRUCTED_FROM_REPORT; Fear of Temperature_ Stratified Lexical Expansion, Voice Mapping, and Semantic-Relational Pre-Valida.pdf; p.9; project candidate FT-SEED-R1B-P-1988-09; original visible ID not available</x:v>
      </x:c>
      <x:c r="K70" s="21" t="str">
        <x:v>INTERNET_ARCHIVE_METADATA_TEXT_ITEM_COUNT</x:v>
      </x:c>
      <x:c r="L70" s="22" t="str">
        <x:v>"drought" AND mediatype:texts</x:v>
      </x:c>
      <x:c r="M70" s="22" t="str">
        <x:v>PHRASE_METADATA_SEARCH</x:v>
      </x:c>
      <x:c r="N70" s="21" t="str">
        <x:v>COMPLETED_NONZERO</x:v>
      </x:c>
      <x:c r="O70" s="57" t="str">
        <x:v>10647</x:v>
      </x:c>
      <x:c r="P70" s="22" t="str">
        <x:v>10647</x:v>
      </x:c>
      <x:c r="Q70" s="22" t="str">
        <x:v>84</x:v>
      </x:c>
      <x:c r="R70" s="22" t="str">
        <x:v>298</x:v>
      </x:c>
      <x:c r="S70" s="22" t="str">
        <x:v>2026-08-26</x:v>
      </x:c>
      <x:c r="T70" s="22" t="str">
        <x:v>https://archive.org/advancedsearch.php</x:v>
      </x:c>
      <x:c r="U70" s="22" t="str">
        <x:v>EXACT_PHRASE</x:v>
      </x:c>
      <x:c r="V70" s="21" t="str">
        <x:v>OPENALEX_WORK_COUNT</x:v>
      </x:c>
      <x:c r="W70" s="57" t="str"/>
      <x:c r="X70" s="23" t="str">
        <x:v>Metadata text-item count; not a full-text lexical frequency. Secondary metric: NOT_RUN_OPENALEX_DAILY_BUDGET_EXHAUSTED: shared provider response retained; no count fabricated.</x:v>
      </x:c>
    </x:row>
    <x:row r="71" ht="19" customHeight="1">
      <x:c r="A71" s="20" t="str">
        <x:v>FT-SEED-R1B-P-1988-10</x:v>
      </x:c>
      <x:c r="B71" s="22" t="str">
        <x:v>1988</x:v>
      </x:c>
      <x:c r="C71" s="22" t="str">
        <x:v>10</x:v>
      </x:c>
      <x:c r="D71" s="21" t="str">
        <x:v>heat wave/drought occurrences</x:v>
      </x:c>
      <x:c r="E71" s="21" t="str">
        <x:v>heatwave / weather event</x:v>
      </x:c>
      <x:c r="F71" s="22" t="str">
        <x:v>heat</x:v>
      </x:c>
      <x:c r="G71" s="22" t="str">
        <x:v>D</x:v>
      </x:c>
      <x:c r="H71" s="22" t="str">
        <x:v>V1</x:v>
      </x:c>
      <x:c r="I71" s="22" t="str">
        <x:v>E5</x:v>
      </x:c>
      <x:c r="J71" s="21" t="str">
        <x:v>RECONSTRUCTED_FROM_REPORT; Fear of Temperature_ Stratified Lexical Expansion, Voice Mapping, and Semantic-Relational Pre-Valida.pdf; p.9; project candidate FT-SEED-R1B-P-1988-10; original visible ID not available</x:v>
      </x:c>
      <x:c r="K71" s="21" t="str">
        <x:v>INTERNET_ARCHIVE_METADATA_TEXT_ITEM_COUNT</x:v>
      </x:c>
      <x:c r="L71" s="22" t="str">
        <x:v>"heat wave/drought occurrences" AND mediatype:texts</x:v>
      </x:c>
      <x:c r="M71" s="22" t="str">
        <x:v>PHRASE_METADATA_SEARCH</x:v>
      </x:c>
      <x:c r="N71" s="21" t="str">
        <x:v>COMPLETED_ZERO</x:v>
      </x:c>
      <x:c r="O71" s="57" t="str">
        <x:v>0</x:v>
      </x:c>
      <x:c r="P71" s="22" t="str">
        <x:v>0</x:v>
      </x:c>
      <x:c r="Q71" s="22" t="str">
        <x:v>0</x:v>
      </x:c>
      <x:c r="R71" s="22" t="str">
        <x:v>0</x:v>
      </x:c>
      <x:c r="S71" s="22" t="str">
        <x:v>2026-08-26</x:v>
      </x:c>
      <x:c r="T71" s="22" t="str">
        <x:v>https://archive.org/advancedsearch.php</x:v>
      </x:c>
      <x:c r="U71" s="22" t="str">
        <x:v>EXACT_PHRASE</x:v>
      </x:c>
      <x:c r="V71" s="21" t="str">
        <x:v>OPENALEX_WORK_COUNT</x:v>
      </x:c>
      <x:c r="W71" s="57" t="str"/>
      <x:c r="X71" s="23" t="str">
        <x:v>Metadata text-item count; not a full-text lexical frequency. Secondary metric: NOT_RUN_OPENALEX_DAILY_BUDGET_EXHAUSTED: shared provider response retained; no count fabricated.</x:v>
      </x:c>
    </x:row>
    <x:row r="72" ht="19" customHeight="1">
      <x:c r="A72" s="20" t="str">
        <x:v>FT-SEED-R1B-P-1988-11</x:v>
      </x:c>
      <x:c r="B72" s="22" t="str">
        <x:v>1988</x:v>
      </x:c>
      <x:c r="C72" s="22" t="str">
        <x:v>11</x:v>
      </x:c>
      <x:c r="D72" s="21" t="str">
        <x:v>extreme events</x:v>
      </x:c>
      <x:c r="E72" s="21" t="str">
        <x:v>generic damage</x:v>
      </x:c>
      <x:c r="F72" s="22" t="str">
        <x:v>harm_loss_consequences</x:v>
      </x:c>
      <x:c r="G72" s="22" t="str">
        <x:v>D</x:v>
      </x:c>
      <x:c r="H72" s="22" t="str">
        <x:v>V1</x:v>
      </x:c>
      <x:c r="I72" s="22" t="str">
        <x:v>E5</x:v>
      </x:c>
      <x:c r="J72" s="21" t="str">
        <x:v>RECONSTRUCTED_FROM_REPORT; Fear of Temperature_ Stratified Lexical Expansion, Voice Mapping, and Semantic-Relational Pre-Valida.pdf; p.9; project candidate FT-SEED-R1B-P-1988-11; original visible ID not available</x:v>
      </x:c>
      <x:c r="K72" s="21" t="str">
        <x:v>INTERNET_ARCHIVE_METADATA_TEXT_ITEM_COUNT</x:v>
      </x:c>
      <x:c r="L72" s="22" t="str">
        <x:v>"extreme events" AND mediatype:texts</x:v>
      </x:c>
      <x:c r="M72" s="22" t="str">
        <x:v>PHRASE_METADATA_SEARCH</x:v>
      </x:c>
      <x:c r="N72" s="21" t="str">
        <x:v>COMPLETED_NONZERO</x:v>
      </x:c>
      <x:c r="O72" s="57" t="str">
        <x:v>515</x:v>
      </x:c>
      <x:c r="P72" s="22" t="str">
        <x:v>515</x:v>
      </x:c>
      <x:c r="Q72" s="22" t="str">
        <x:v>1</x:v>
      </x:c>
      <x:c r="R72" s="22" t="str">
        <x:v>6</x:v>
      </x:c>
      <x:c r="S72" s="22" t="str">
        <x:v>2026-08-26</x:v>
      </x:c>
      <x:c r="T72" s="22" t="str">
        <x:v>https://archive.org/advancedsearch.php</x:v>
      </x:c>
      <x:c r="U72" s="22" t="str">
        <x:v>EXACT_PHRASE</x:v>
      </x:c>
      <x:c r="V72" s="21" t="str">
        <x:v>OPENALEX_WORK_COUNT</x:v>
      </x:c>
      <x:c r="W72" s="57" t="str"/>
      <x:c r="X72" s="23" t="str">
        <x:v>Metadata text-item count; not a full-text lexical frequency. Secondary metric: NOT_RUN_OPENALEX_DAILY_BUDGET_EXHAUSTED: shared provider response retained; no count fabricated.</x:v>
      </x:c>
    </x:row>
    <x:row r="73" ht="19" customHeight="1">
      <x:c r="A73" s="20" t="str">
        <x:v>FT-SEED-R1B-P-1988-12</x:v>
      </x:c>
      <x:c r="B73" s="22" t="str">
        <x:v>1988</x:v>
      </x:c>
      <x:c r="C73" s="22" t="str">
        <x:v>12</x:v>
      </x:c>
      <x:c r="D73" s="21" t="str">
        <x:v>global climate models</x:v>
      </x:c>
      <x:c r="E73" s="21" t="str">
        <x:v>climate system</x:v>
      </x:c>
      <x:c r="F73" s="22" t="str">
        <x:v>climate</x:v>
      </x:c>
      <x:c r="G73" s="22" t="str">
        <x:v>B</x:v>
      </x:c>
      <x:c r="H73" s="22" t="str">
        <x:v>V1</x:v>
      </x:c>
      <x:c r="I73" s="22" t="str">
        <x:v>E5</x:v>
      </x:c>
      <x:c r="J73" s="21" t="str">
        <x:v>RECONSTRUCTED_FROM_REPORT; Fear of Temperature_ Stratified Lexical Expansion, Voice Mapping, and Semantic-Relational Pre-Valida.pdf; p.9; project candidate FT-SEED-R1B-P-1988-12; original visible ID not available</x:v>
      </x:c>
      <x:c r="K73" s="21" t="str">
        <x:v>INTERNET_ARCHIVE_METADATA_TEXT_ITEM_COUNT</x:v>
      </x:c>
      <x:c r="L73" s="22" t="str">
        <x:v>"global climate models" AND mediatype:texts</x:v>
      </x:c>
      <x:c r="M73" s="22" t="str">
        <x:v>PHRASE_METADATA_SEARCH</x:v>
      </x:c>
      <x:c r="N73" s="21" t="str">
        <x:v>COMPLETED_NONZERO</x:v>
      </x:c>
      <x:c r="O73" s="57" t="str">
        <x:v>180</x:v>
      </x:c>
      <x:c r="P73" s="22" t="str">
        <x:v>180</x:v>
      </x:c>
      <x:c r="Q73" s="22" t="str">
        <x:v>0</x:v>
      </x:c>
      <x:c r="R73" s="22" t="str">
        <x:v>3</x:v>
      </x:c>
      <x:c r="S73" s="22" t="str">
        <x:v>2026-08-26</x:v>
      </x:c>
      <x:c r="T73" s="22" t="str">
        <x:v>https://archive.org/advancedsearch.php</x:v>
      </x:c>
      <x:c r="U73" s="22" t="str">
        <x:v>EXACT_PHRASE</x:v>
      </x:c>
      <x:c r="V73" s="21" t="str">
        <x:v>OPENALEX_WORK_COUNT</x:v>
      </x:c>
      <x:c r="W73" s="57" t="str"/>
      <x:c r="X73" s="23" t="str">
        <x:v>Metadata text-item count; not a full-text lexical frequency. Secondary metric: NOT_RUN_OPENALEX_DAILY_BUDGET_EXHAUSTED: shared provider response retained; no count fabricated.</x:v>
      </x:c>
    </x:row>
    <x:row r="74" ht="19" customHeight="1">
      <x:c r="A74" s="20" t="str">
        <x:v>FT-SEED-R1B-P-1988-13</x:v>
      </x:c>
      <x:c r="B74" s="22" t="str">
        <x:v>1988</x:v>
      </x:c>
      <x:c r="C74" s="22" t="str">
        <x:v>13</x:v>
      </x:c>
      <x:c r="D74" s="21" t="str">
        <x:v>global observations</x:v>
      </x:c>
      <x:c r="E74" s="21" t="str">
        <x:v>historical climate / climatological condition</x:v>
      </x:c>
      <x:c r="F74" s="22" t="str">
        <x:v>climate</x:v>
      </x:c>
      <x:c r="G74" s="22" t="str">
        <x:v>B</x:v>
      </x:c>
      <x:c r="H74" s="22" t="str">
        <x:v>V1</x:v>
      </x:c>
      <x:c r="I74" s="22" t="str">
        <x:v>E5</x:v>
      </x:c>
      <x:c r="J74" s="21" t="str">
        <x:v>RECONSTRUCTED_FROM_REPORT; Fear of Temperature_ Stratified Lexical Expansion, Voice Mapping, and Semantic-Relational Pre-Valida.pdf; p.9; project candidate FT-SEED-R1B-P-1988-13; original visible ID not available</x:v>
      </x:c>
      <x:c r="K74" s="21" t="str">
        <x:v>INTERNET_ARCHIVE_METADATA_TEXT_ITEM_COUNT</x:v>
      </x:c>
      <x:c r="L74" s="22" t="str">
        <x:v>"global observations" AND mediatype:texts</x:v>
      </x:c>
      <x:c r="M74" s="22" t="str">
        <x:v>PHRASE_METADATA_SEARCH</x:v>
      </x:c>
      <x:c r="N74" s="21" t="str">
        <x:v>COMPLETED_NONZERO</x:v>
      </x:c>
      <x:c r="O74" s="57" t="str">
        <x:v>87</x:v>
      </x:c>
      <x:c r="P74" s="22" t="str">
        <x:v>87</x:v>
      </x:c>
      <x:c r="Q74" s="22" t="str">
        <x:v>0</x:v>
      </x:c>
      <x:c r="R74" s="22" t="str">
        <x:v>2</x:v>
      </x:c>
      <x:c r="S74" s="22" t="str">
        <x:v>2026-08-26</x:v>
      </x:c>
      <x:c r="T74" s="22" t="str">
        <x:v>https://archive.org/advancedsearch.php</x:v>
      </x:c>
      <x:c r="U74" s="22" t="str">
        <x:v>EXACT_PHRASE</x:v>
      </x:c>
      <x:c r="V74" s="21" t="str">
        <x:v>OPENALEX_WORK_COUNT</x:v>
      </x:c>
      <x:c r="W74" s="57" t="str"/>
      <x:c r="X74" s="23" t="str">
        <x:v>Metadata text-item count; not a full-text lexical frequency. Secondary metric: NOT_RUN_OPENALEX_DAILY_BUDGET_EXHAUSTED: shared provider response retained; no count fabricated.</x:v>
      </x:c>
    </x:row>
    <x:row r="75" ht="19" customHeight="1">
      <x:c r="A75" s="20" t="str">
        <x:v>FT-SEED-R1B-P-1988-14</x:v>
      </x:c>
      <x:c r="B75" s="22" t="str">
        <x:v>1988</x:v>
      </x:c>
      <x:c r="C75" s="22" t="str">
        <x:v>14</x:v>
      </x:c>
      <x:c r="D75" s="21" t="str">
        <x:v>warm air</x:v>
      </x:c>
      <x:c r="E75" s="21" t="str">
        <x:v>local / instrumental temperature</x:v>
      </x:c>
      <x:c r="F75" s="22" t="str">
        <x:v>temperature_threshold</x:v>
      </x:c>
      <x:c r="G75" s="22" t="str">
        <x:v>A</x:v>
      </x:c>
      <x:c r="H75" s="22" t="str">
        <x:v>V1</x:v>
      </x:c>
      <x:c r="I75" s="22" t="str">
        <x:v>E5</x:v>
      </x:c>
      <x:c r="J75" s="21" t="str">
        <x:v>RECONSTRUCTED_FROM_REPORT; Fear of Temperature_ Stratified Lexical Expansion, Voice Mapping, and Semantic-Relational Pre-Valida.pdf; p.9; project candidate FT-SEED-R1B-P-1988-14; original visible ID not available</x:v>
      </x:c>
      <x:c r="K75" s="21" t="str">
        <x:v>INTERNET_ARCHIVE_METADATA_TEXT_ITEM_COUNT</x:v>
      </x:c>
      <x:c r="L75" s="22" t="str">
        <x:v>"warm air" AND mediatype:texts</x:v>
      </x:c>
      <x:c r="M75" s="22" t="str">
        <x:v>PHRASE_METADATA_SEARCH</x:v>
      </x:c>
      <x:c r="N75" s="21" t="str">
        <x:v>COMPLETED_NONZERO</x:v>
      </x:c>
      <x:c r="O75" s="57" t="str">
        <x:v>376</x:v>
      </x:c>
      <x:c r="P75" s="22" t="str">
        <x:v>376</x:v>
      </x:c>
      <x:c r="Q75" s="22" t="str">
        <x:v>2</x:v>
      </x:c>
      <x:c r="R75" s="22" t="str">
        <x:v>13</x:v>
      </x:c>
      <x:c r="S75" s="22" t="str">
        <x:v>2026-08-26</x:v>
      </x:c>
      <x:c r="T75" s="22" t="str">
        <x:v>https://archive.org/advancedsearch.php</x:v>
      </x:c>
      <x:c r="U75" s="22" t="str">
        <x:v>EXACT_PHRASE</x:v>
      </x:c>
      <x:c r="V75" s="21" t="str">
        <x:v>OPENALEX_WORK_COUNT</x:v>
      </x:c>
      <x:c r="W75" s="57" t="str"/>
      <x:c r="X75" s="23" t="str">
        <x:v>Metadata text-item count; not a full-text lexical frequency. Secondary metric: NOT_RUN_OPENALEX_DAILY_BUDGET_EXHAUSTED: shared provider response retained; no count fabricated.</x:v>
      </x:c>
    </x:row>
    <x:row r="76" ht="19" customHeight="1">
      <x:c r="A76" s="20" t="str">
        <x:v>FT-SEED-R1B-P-1988-15</x:v>
      </x:c>
      <x:c r="B76" s="22" t="str">
        <x:v>1988</x:v>
      </x:c>
      <x:c r="C76" s="22" t="str">
        <x:v>15</x:v>
      </x:c>
      <x:c r="D76" s="21" t="str">
        <x:v>changing atmosphere</x:v>
      </x:c>
      <x:c r="E76" s="21" t="str">
        <x:v>changing atmosphere</x:v>
      </x:c>
      <x:c r="F76" s="22" t="str">
        <x:v>climate</x:v>
      </x:c>
      <x:c r="G76" s="22" t="str">
        <x:v>B</x:v>
      </x:c>
      <x:c r="H76" s="22" t="str">
        <x:v>V2</x:v>
      </x:c>
      <x:c r="I76" s="22" t="str">
        <x:v>E5</x:v>
      </x:c>
      <x:c r="J76" s="21" t="str">
        <x:v>RECONSTRUCTED_FROM_REPORT; Fear of Temperature_ Stratified Lexical Expansion, Voice Mapping, and Semantic-Relational Pre-Valida.pdf; p.9; project candidate FT-SEED-R1B-P-1988-15; original visible ID not available</x:v>
      </x:c>
      <x:c r="K76" s="21" t="str">
        <x:v>INTERNET_ARCHIVE_METADATA_TEXT_ITEM_COUNT</x:v>
      </x:c>
      <x:c r="L76" s="22" t="str">
        <x:v>"changing atmosphere" AND mediatype:texts</x:v>
      </x:c>
      <x:c r="M76" s="22" t="str">
        <x:v>PHRASE_METADATA_SEARCH</x:v>
      </x:c>
      <x:c r="N76" s="21" t="str">
        <x:v>COMPLETED_NONZERO</x:v>
      </x:c>
      <x:c r="O76" s="57" t="str">
        <x:v>37</x:v>
      </x:c>
      <x:c r="P76" s="22" t="str">
        <x:v>37</x:v>
      </x:c>
      <x:c r="Q76" s="22" t="str">
        <x:v>2</x:v>
      </x:c>
      <x:c r="R76" s="22" t="str">
        <x:v>8</x:v>
      </x:c>
      <x:c r="S76" s="22" t="str">
        <x:v>2026-08-26</x:v>
      </x:c>
      <x:c r="T76" s="22" t="str">
        <x:v>https://archive.org/advancedsearch.php</x:v>
      </x:c>
      <x:c r="U76" s="22" t="str">
        <x:v>EXACT_PHRASE</x:v>
      </x:c>
      <x:c r="V76" s="21" t="str">
        <x:v>OPENALEX_WORK_COUNT</x:v>
      </x:c>
      <x:c r="W76" s="57" t="str">
        <x:v>2410</x:v>
      </x:c>
      <x:c r="X76" s="23" t="str">
        <x:v>Metadata text-item count; not a full-text lexical frequency. Secondary metric: Scholarly work discoverability count over OpenAlex search fields; not a corpus word frequency.</x:v>
      </x:c>
    </x:row>
    <x:row r="77" ht="19" customHeight="1">
      <x:c r="A77" s="20" t="str">
        <x:v>FT-SEED-R1B-P-1988-16</x:v>
      </x:c>
      <x:c r="B77" s="22" t="str">
        <x:v>1988</x:v>
      </x:c>
      <x:c r="C77" s="22" t="str">
        <x:v>16</x:v>
      </x:c>
      <x:c r="D77" s="21" t="str">
        <x:v>global security</x:v>
      </x:c>
      <x:c r="E77" s="21" t="str">
        <x:v>global security frame</x:v>
      </x:c>
      <x:c r="F77" s="22" t="str">
        <x:v>danger_threat</x:v>
      </x:c>
      <x:c r="G77" s="22" t="str">
        <x:v>D</x:v>
      </x:c>
      <x:c r="H77" s="22" t="str">
        <x:v>V2</x:v>
      </x:c>
      <x:c r="I77" s="22" t="str">
        <x:v>E1</x:v>
      </x:c>
      <x:c r="J77" s="21" t="str">
        <x:v>RECONSTRUCTED_FROM_REPORT; Fear of Temperature_ Stratified Lexical Expansion, Voice Mapping, and Semantic-Relational Pre-Valida.pdf; p.9; project candidate FT-SEED-R1B-P-1988-16; original visible ID not available</x:v>
      </x:c>
      <x:c r="K77" s="21" t="str">
        <x:v>INTERNET_ARCHIVE_METADATA_TEXT_ITEM_COUNT</x:v>
      </x:c>
      <x:c r="L77" s="22" t="str">
        <x:v>"global security" AND mediatype:texts</x:v>
      </x:c>
      <x:c r="M77" s="22" t="str">
        <x:v>PHRASE_METADATA_SEARCH</x:v>
      </x:c>
      <x:c r="N77" s="21" t="str">
        <x:v>COMPLETED_NONZERO</x:v>
      </x:c>
      <x:c r="O77" s="57" t="str">
        <x:v>946</x:v>
      </x:c>
      <x:c r="P77" s="22" t="str">
        <x:v>946</x:v>
      </x:c>
      <x:c r="Q77" s="22" t="str">
        <x:v>12</x:v>
      </x:c>
      <x:c r="R77" s="22" t="str">
        <x:v>44</x:v>
      </x:c>
      <x:c r="S77" s="22" t="str">
        <x:v>2026-08-26</x:v>
      </x:c>
      <x:c r="T77" s="22" t="str">
        <x:v>https://archive.org/advancedsearch.php</x:v>
      </x:c>
      <x:c r="U77" s="22" t="str">
        <x:v>EXACT_PHRASE</x:v>
      </x:c>
      <x:c r="V77" s="21" t="str">
        <x:v>OPENALEX_WORK_COUNT</x:v>
      </x:c>
      <x:c r="W77" s="57" t="str"/>
      <x:c r="X77" s="23" t="str">
        <x:v>Metadata text-item count; not a full-text lexical frequency. Secondary metric: NOT_RUN_OPENALEX_DAILY_BUDGET_EXHAUSTED: shared provider response retained; no count fabricated.</x:v>
      </x:c>
    </x:row>
    <x:row r="78" ht="19" customHeight="1">
      <x:c r="A78" s="20" t="str">
        <x:v>FT-SEED-R1B-P-1988-17</x:v>
      </x:c>
      <x:c r="B78" s="22" t="str">
        <x:v>1988</x:v>
      </x:c>
      <x:c r="C78" s="22" t="str">
        <x:v>17</x:v>
      </x:c>
      <x:c r="D78" s="21" t="str">
        <x:v>climate warming</x:v>
      </x:c>
      <x:c r="E78" s="21" t="str">
        <x:v>climate-system warming</x:v>
      </x:c>
      <x:c r="F78" s="22" t="str">
        <x:v>warming</x:v>
      </x:c>
      <x:c r="G78" s="22" t="str">
        <x:v>A</x:v>
      </x:c>
      <x:c r="H78" s="22" t="str">
        <x:v>V2</x:v>
      </x:c>
      <x:c r="I78" s="22" t="str">
        <x:v>E5</x:v>
      </x:c>
      <x:c r="J78" s="21" t="str">
        <x:v>RECONSTRUCTED_FROM_REPORT; Fear of Temperature_ Stratified Lexical Expansion, Voice Mapping, and Semantic-Relational Pre-Valida.pdf; p.9; project candidate FT-SEED-R1B-P-1988-17; original visible ID not available</x:v>
      </x:c>
      <x:c r="K78" s="21" t="str">
        <x:v>INTERNET_ARCHIVE_METADATA_TEXT_ITEM_COUNT</x:v>
      </x:c>
      <x:c r="L78" s="22" t="str">
        <x:v>"climate warming" AND mediatype:texts</x:v>
      </x:c>
      <x:c r="M78" s="22" t="str">
        <x:v>PHRASE_METADATA_SEARCH</x:v>
      </x:c>
      <x:c r="N78" s="21" t="str">
        <x:v>COMPLETED_NONZERO</x:v>
      </x:c>
      <x:c r="O78" s="57" t="str">
        <x:v>237</x:v>
      </x:c>
      <x:c r="P78" s="22" t="str">
        <x:v>237</x:v>
      </x:c>
      <x:c r="Q78" s="22" t="str">
        <x:v>1</x:v>
      </x:c>
      <x:c r="R78" s="22" t="str">
        <x:v>5</x:v>
      </x:c>
      <x:c r="S78" s="22" t="str">
        <x:v>2026-08-26</x:v>
      </x:c>
      <x:c r="T78" s="22" t="str">
        <x:v>https://archive.org/advancedsearch.php</x:v>
      </x:c>
      <x:c r="U78" s="22" t="str">
        <x:v>EXACT_PHRASE</x:v>
      </x:c>
      <x:c r="V78" s="21" t="str">
        <x:v>OPENALEX_WORK_COUNT</x:v>
      </x:c>
      <x:c r="W78" s="57" t="str">
        <x:v>106345</x:v>
      </x:c>
      <x:c r="X78" s="23" t="str">
        <x:v>Metadata text-item count; not a full-text lexical frequency. Secondary metric: Scholarly work discoverability count over OpenAlex search fields; not a corpus word frequency.</x:v>
      </x:c>
    </x:row>
    <x:row r="79" ht="19" customHeight="1">
      <x:c r="A79" s="20" t="str">
        <x:v>FT-SEED-R1B-P-1988-18</x:v>
      </x:c>
      <x:c r="B79" s="22" t="str">
        <x:v>1988</x:v>
      </x:c>
      <x:c r="C79" s="22" t="str">
        <x:v>18</x:v>
      </x:c>
      <x:c r="D79" s="21" t="str">
        <x:v>changed climatic extremes</x:v>
      </x:c>
      <x:c r="E79" s="21" t="str">
        <x:v>generic damage</x:v>
      </x:c>
      <x:c r="F79" s="22" t="str">
        <x:v>harm_loss_consequences</x:v>
      </x:c>
      <x:c r="G79" s="22" t="str">
        <x:v>D</x:v>
      </x:c>
      <x:c r="H79" s="22" t="str">
        <x:v>V2</x:v>
      </x:c>
      <x:c r="I79" s="22" t="str">
        <x:v>E5</x:v>
      </x:c>
      <x:c r="J79" s="21" t="str">
        <x:v>RECONSTRUCTED_FROM_REPORT; Fear of Temperature_ Stratified Lexical Expansion, Voice Mapping, and Semantic-Relational Pre-Valida.pdf; p.9; project candidate FT-SEED-R1B-P-1988-18; original visible ID not available</x:v>
      </x:c>
      <x:c r="K79" s="21" t="str">
        <x:v>INTERNET_ARCHIVE_METADATA_TEXT_ITEM_COUNT</x:v>
      </x:c>
      <x:c r="L79" s="22" t="str">
        <x:v>"changed climatic extremes" AND mediatype:texts</x:v>
      </x:c>
      <x:c r="M79" s="22" t="str">
        <x:v>PHRASE_METADATA_SEARCH</x:v>
      </x:c>
      <x:c r="N79" s="21" t="str">
        <x:v>COMPLETED_ZERO</x:v>
      </x:c>
      <x:c r="O79" s="57" t="str">
        <x:v>0</x:v>
      </x:c>
      <x:c r="P79" s="22" t="str">
        <x:v>0</x:v>
      </x:c>
      <x:c r="Q79" s="22" t="str">
        <x:v>0</x:v>
      </x:c>
      <x:c r="R79" s="22" t="str">
        <x:v>0</x:v>
      </x:c>
      <x:c r="S79" s="22" t="str">
        <x:v>2026-08-26</x:v>
      </x:c>
      <x:c r="T79" s="22" t="str">
        <x:v>https://archive.org/advancedsearch.php</x:v>
      </x:c>
      <x:c r="U79" s="22" t="str">
        <x:v>EXACT_PHRASE</x:v>
      </x:c>
      <x:c r="V79" s="21" t="str">
        <x:v>OPENALEX_WORK_COUNT</x:v>
      </x:c>
      <x:c r="W79" s="57" t="str">
        <x:v>1</x:v>
      </x:c>
      <x:c r="X79" s="23" t="str">
        <x:v>Metadata text-item count; not a full-text lexical frequency. Secondary metric: Scholarly work discoverability count over OpenAlex search fields; not a corpus word frequency.</x:v>
      </x:c>
    </x:row>
    <x:row r="80" ht="19" customHeight="1">
      <x:c r="A80" s="20" t="str">
        <x:v>FT-SEED-R1B-P-1988-19</x:v>
      </x:c>
      <x:c r="B80" s="22" t="str">
        <x:v>1988</x:v>
      </x:c>
      <x:c r="C80" s="22" t="str">
        <x:v>19</x:v>
      </x:c>
      <x:c r="D80" s="21" t="str">
        <x:v>major threat</x:v>
      </x:c>
      <x:c r="E80" s="21" t="str">
        <x:v>institutional climate threat</x:v>
      </x:c>
      <x:c r="F80" s="22" t="str">
        <x:v>danger_threat</x:v>
      </x:c>
      <x:c r="G80" s="22" t="str">
        <x:v>D</x:v>
      </x:c>
      <x:c r="H80" s="22" t="str">
        <x:v>V2</x:v>
      </x:c>
      <x:c r="I80" s="22" t="str">
        <x:v>E5</x:v>
      </x:c>
      <x:c r="J80" s="21" t="str">
        <x:v>RECONSTRUCTED_FROM_REPORT; Fear of Temperature_ Stratified Lexical Expansion, Voice Mapping, and Semantic-Relational Pre-Valida.pdf; p.9; project candidate FT-SEED-R1B-P-1988-19; original visible ID not available</x:v>
      </x:c>
      <x:c r="K80" s="21" t="str">
        <x:v>INTERNET_ARCHIVE_METADATA_TEXT_ITEM_COUNT</x:v>
      </x:c>
      <x:c r="L80" s="22" t="str">
        <x:v>"major threat" AND mediatype:texts</x:v>
      </x:c>
      <x:c r="M80" s="22" t="str">
        <x:v>PHRASE_METADATA_SEARCH</x:v>
      </x:c>
      <x:c r="N80" s="21" t="str">
        <x:v>COMPLETED_NONZERO</x:v>
      </x:c>
      <x:c r="O80" s="57" t="str">
        <x:v>659</x:v>
      </x:c>
      <x:c r="P80" s="22" t="str">
        <x:v>659</x:v>
      </x:c>
      <x:c r="Q80" s="22" t="str">
        <x:v>16</x:v>
      </x:c>
      <x:c r="R80" s="22" t="str">
        <x:v>82</x:v>
      </x:c>
      <x:c r="S80" s="22" t="str">
        <x:v>2026-08-26</x:v>
      </x:c>
      <x:c r="T80" s="22" t="str">
        <x:v>https://archive.org/advancedsearch.php</x:v>
      </x:c>
      <x:c r="U80" s="22" t="str">
        <x:v>EXACT_PHRASE</x:v>
      </x:c>
      <x:c r="V80" s="21" t="str">
        <x:v>OPENALEX_WORK_COUNT</x:v>
      </x:c>
      <x:c r="W80" s="57" t="str"/>
      <x:c r="X80" s="23" t="str">
        <x:v>Metadata text-item count; not a full-text lexical frequency. Secondary metric: NOT_RUN_OPENALEX_DAILY_BUDGET_EXHAUSTED: shared provider response retained; no count fabricated.</x:v>
      </x:c>
    </x:row>
    <x:row r="81" ht="19" customHeight="1">
      <x:c r="A81" s="20" t="str">
        <x:v>FT-SEED-R1B-P-1988-20</x:v>
      </x:c>
      <x:c r="B81" s="22" t="str">
        <x:v>1988</x:v>
      </x:c>
      <x:c r="C81" s="22" t="str">
        <x:v>20</x:v>
      </x:c>
      <x:c r="D81" s="21" t="str">
        <x:v>harmful consequences</x:v>
      </x:c>
      <x:c r="E81" s="21" t="str">
        <x:v>generic damage</x:v>
      </x:c>
      <x:c r="F81" s="22" t="str">
        <x:v>harm_loss_consequences</x:v>
      </x:c>
      <x:c r="G81" s="22" t="str">
        <x:v>D</x:v>
      </x:c>
      <x:c r="H81" s="22" t="str">
        <x:v>V2</x:v>
      </x:c>
      <x:c r="I81" s="22" t="str">
        <x:v>E5</x:v>
      </x:c>
      <x:c r="J81" s="21" t="str">
        <x:v>RECONSTRUCTED_FROM_REPORT; Fear of Temperature_ Stratified Lexical Expansion, Voice Mapping, and Semantic-Relational Pre-Valida.pdf; p.9; project candidate FT-SEED-R1B-P-1988-20; original visible ID not available</x:v>
      </x:c>
      <x:c r="K81" s="21" t="str">
        <x:v>INTERNET_ARCHIVE_METADATA_TEXT_ITEM_COUNT</x:v>
      </x:c>
      <x:c r="L81" s="22" t="str">
        <x:v>"harmful consequences" AND mediatype:texts</x:v>
      </x:c>
      <x:c r="M81" s="22" t="str">
        <x:v>PHRASE_METADATA_SEARCH</x:v>
      </x:c>
      <x:c r="N81" s="21" t="str">
        <x:v>COMPLETED_NONZERO</x:v>
      </x:c>
      <x:c r="O81" s="57" t="str">
        <x:v>111</x:v>
      </x:c>
      <x:c r="P81" s="22" t="str">
        <x:v>111</x:v>
      </x:c>
      <x:c r="Q81" s="22" t="str">
        <x:v>2</x:v>
      </x:c>
      <x:c r="R81" s="22" t="str">
        <x:v>4</x:v>
      </x:c>
      <x:c r="S81" s="22" t="str">
        <x:v>2026-08-26</x:v>
      </x:c>
      <x:c r="T81" s="22" t="str">
        <x:v>https://archive.org/advancedsearch.php</x:v>
      </x:c>
      <x:c r="U81" s="22" t="str">
        <x:v>EXACT_PHRASE</x:v>
      </x:c>
      <x:c r="V81" s="21" t="str">
        <x:v>OPENALEX_WORK_COUNT</x:v>
      </x:c>
      <x:c r="W81" s="57" t="str"/>
      <x:c r="X81" s="23" t="str">
        <x:v>Metadata text-item count; not a full-text lexical frequency. Secondary metric: NOT_RUN_OPENALEX_DAILY_BUDGET_EXHAUSTED: shared provider response retained; no count fabricated.</x:v>
      </x:c>
    </x:row>
    <x:row r="82" ht="19" customHeight="1">
      <x:c r="A82" s="20" t="str">
        <x:v>FT-SEED-R1B-P-1988-21</x:v>
      </x:c>
      <x:c r="B82" s="22" t="str">
        <x:v>1988</x:v>
      </x:c>
      <x:c r="C82" s="22" t="str">
        <x:v>21</x:v>
      </x:c>
      <x:c r="D82" s="21" t="str">
        <x:v>grave threats</x:v>
      </x:c>
      <x:c r="E82" s="21" t="str">
        <x:v>institutional climate threat</x:v>
      </x:c>
      <x:c r="F82" s="22" t="str">
        <x:v>danger_threat</x:v>
      </x:c>
      <x:c r="G82" s="22" t="str">
        <x:v>D</x:v>
      </x:c>
      <x:c r="H82" s="22" t="str">
        <x:v>V2</x:v>
      </x:c>
      <x:c r="I82" s="22" t="str">
        <x:v>E5</x:v>
      </x:c>
      <x:c r="J82" s="21" t="str">
        <x:v>RECONSTRUCTED_FROM_REPORT; Fear of Temperature_ Stratified Lexical Expansion, Voice Mapping, and Semantic-Relational Pre-Valida.pdf; p.9; project candidate FT-SEED-R1B-P-1988-21; original visible ID not available</x:v>
      </x:c>
      <x:c r="K82" s="21" t="str">
        <x:v>INTERNET_ARCHIVE_METADATA_TEXT_ITEM_COUNT</x:v>
      </x:c>
      <x:c r="L82" s="22" t="str">
        <x:v>"grave threats" AND mediatype:texts</x:v>
      </x:c>
      <x:c r="M82" s="22" t="str">
        <x:v>PHRASE_METADATA_SEARCH</x:v>
      </x:c>
      <x:c r="N82" s="21" t="str">
        <x:v>COMPLETED_NONZERO</x:v>
      </x:c>
      <x:c r="O82" s="57" t="str">
        <x:v>21</x:v>
      </x:c>
      <x:c r="P82" s="22" t="str">
        <x:v>21</x:v>
      </x:c>
      <x:c r="Q82" s="22" t="str">
        <x:v>0</x:v>
      </x:c>
      <x:c r="R82" s="22" t="str">
        <x:v>1</x:v>
      </x:c>
      <x:c r="S82" s="22" t="str">
        <x:v>2026-08-26</x:v>
      </x:c>
      <x:c r="T82" s="22" t="str">
        <x:v>https://archive.org/advancedsearch.php</x:v>
      </x:c>
      <x:c r="U82" s="22" t="str">
        <x:v>EXACT_PHRASE</x:v>
      </x:c>
      <x:c r="V82" s="21" t="str">
        <x:v>OPENALEX_WORK_COUNT</x:v>
      </x:c>
      <x:c r="W82" s="57" t="str"/>
      <x:c r="X82" s="23" t="str">
        <x:v>Metadata text-item count; not a full-text lexical frequency. Secondary metric: NOT_RUN_OPENALEX_DAILY_BUDGET_EXHAUSTED: shared provider response retained; no count fabricated.</x:v>
      </x:c>
    </x:row>
    <x:row r="83" ht="19" customHeight="1">
      <x:c r="A83" s="20" t="str">
        <x:v>FT-SEED-R1B-P-1988-22</x:v>
      </x:c>
      <x:c r="B83" s="22" t="str">
        <x:v>1988</x:v>
      </x:c>
      <x:c r="C83" s="22" t="str">
        <x:v>22</x:v>
      </x:c>
      <x:c r="D83" s="21" t="str">
        <x:v>severe economic and social dislocation</x:v>
      </x:c>
      <x:c r="E83" s="21" t="str">
        <x:v>generic damage</x:v>
      </x:c>
      <x:c r="F83" s="22" t="str">
        <x:v>harm_loss_consequences</x:v>
      </x:c>
      <x:c r="G83" s="22" t="str">
        <x:v>D</x:v>
      </x:c>
      <x:c r="H83" s="22" t="str">
        <x:v>V2</x:v>
      </x:c>
      <x:c r="I83" s="22" t="str">
        <x:v>E5</x:v>
      </x:c>
      <x:c r="J83" s="21" t="str">
        <x:v>RECONSTRUCTED_FROM_REPORT; Fear of Temperature_ Stratified Lexical Expansion, Voice Mapping, and Semantic-Relational Pre-Valida.pdf; p.9; project candidate FT-SEED-R1B-P-1988-22; original visible ID not available</x:v>
      </x:c>
      <x:c r="K83" s="21" t="str">
        <x:v>INTERNET_ARCHIVE_METADATA_TEXT_ITEM_COUNT</x:v>
      </x:c>
      <x:c r="L83" s="22" t="str">
        <x:v>"severe economic and social dislocation" AND mediatype:texts</x:v>
      </x:c>
      <x:c r="M83" s="22" t="str">
        <x:v>PHRASE_METADATA_SEARCH</x:v>
      </x:c>
      <x:c r="N83" s="21" t="str">
        <x:v>COMPLETED_ZERO</x:v>
      </x:c>
      <x:c r="O83" s="57" t="str">
        <x:v>0</x:v>
      </x:c>
      <x:c r="P83" s="22" t="str">
        <x:v>0</x:v>
      </x:c>
      <x:c r="Q83" s="22" t="str">
        <x:v>0</x:v>
      </x:c>
      <x:c r="R83" s="22" t="str">
        <x:v>0</x:v>
      </x:c>
      <x:c r="S83" s="22" t="str">
        <x:v>2026-08-26</x:v>
      </x:c>
      <x:c r="T83" s="22" t="str">
        <x:v>https://archive.org/advancedsearch.php</x:v>
      </x:c>
      <x:c r="U83" s="22" t="str">
        <x:v>EXACT_PHRASE</x:v>
      </x:c>
      <x:c r="V83" s="21" t="str">
        <x:v>OPENALEX_WORK_COUNT</x:v>
      </x:c>
      <x:c r="W83" s="57" t="str"/>
      <x:c r="X83" s="23" t="str">
        <x:v>Metadata text-item count; not a full-text lexical frequency. Secondary metric: NOT_RUN_OPENALEX_DAILY_BUDGET_EXHAUSTED: shared provider response retained; no count fabricated.</x:v>
      </x:c>
    </x:row>
    <x:row r="84" ht="19" customHeight="1">
      <x:c r="A84" s="20" t="str">
        <x:v>FT-SEED-R1B-P-1988-23</x:v>
      </x:c>
      <x:c r="B84" s="22" t="str">
        <x:v>1988</x:v>
      </x:c>
      <x:c r="C84" s="22" t="str">
        <x:v>23</x:v>
      </x:c>
      <x:c r="D84" s="21" t="str">
        <x:v>risk of conflicts</x:v>
      </x:c>
      <x:c r="E84" s="21" t="str">
        <x:v>administrative risk assessment</x:v>
      </x:c>
      <x:c r="F84" s="22" t="str">
        <x:v>risk</x:v>
      </x:c>
      <x:c r="G84" s="22" t="str">
        <x:v>D</x:v>
      </x:c>
      <x:c r="H84" s="22" t="str">
        <x:v>V2</x:v>
      </x:c>
      <x:c r="I84" s="22" t="str">
        <x:v>E5</x:v>
      </x:c>
      <x:c r="J84" s="21" t="str">
        <x:v>RECONSTRUCTED_FROM_REPORT; Fear of Temperature_ Stratified Lexical Expansion, Voice Mapping, and Semantic-Relational Pre-Valida.pdf; p.9; project candidate FT-SEED-R1B-P-1988-23; original visible ID not available</x:v>
      </x:c>
      <x:c r="K84" s="21" t="str">
        <x:v>INTERNET_ARCHIVE_METADATA_TEXT_ITEM_COUNT</x:v>
      </x:c>
      <x:c r="L84" s="22" t="str">
        <x:v>"risk of conflicts" AND mediatype:texts</x:v>
      </x:c>
      <x:c r="M84" s="22" t="str">
        <x:v>PHRASE_METADATA_SEARCH</x:v>
      </x:c>
      <x:c r="N84" s="21" t="str">
        <x:v>COMPLETED_NONZERO</x:v>
      </x:c>
      <x:c r="O84" s="57" t="str">
        <x:v>4</x:v>
      </x:c>
      <x:c r="P84" s="22" t="str">
        <x:v>4</x:v>
      </x:c>
      <x:c r="Q84" s="22" t="str">
        <x:v>0</x:v>
      </x:c>
      <x:c r="R84" s="22" t="str">
        <x:v>0</x:v>
      </x:c>
      <x:c r="S84" s="22" t="str">
        <x:v>2026-08-26</x:v>
      </x:c>
      <x:c r="T84" s="22" t="str">
        <x:v>https://archive.org/advancedsearch.php</x:v>
      </x:c>
      <x:c r="U84" s="22" t="str">
        <x:v>EXACT_PHRASE</x:v>
      </x:c>
      <x:c r="V84" s="21" t="str">
        <x:v>OPENALEX_WORK_COUNT</x:v>
      </x:c>
      <x:c r="W84" s="57" t="str"/>
      <x:c r="X84" s="23" t="str">
        <x:v>Metadata text-item count; not a full-text lexical frequency. Secondary metric: NOT_RUN_OPENALEX_DAILY_BUDGET_EXHAUSTED: shared provider response retained; no count fabricated.</x:v>
      </x:c>
    </x:row>
    <x:row r="85" ht="19" customHeight="1">
      <x:c r="A85" s="20" t="str">
        <x:v>FT-SEED-R1B-P-1988-24</x:v>
      </x:c>
      <x:c r="B85" s="22" t="str">
        <x:v>1988</x:v>
      </x:c>
      <x:c r="C85" s="22" t="str">
        <x:v>24</x:v>
      </x:c>
      <x:c r="D85" s="21" t="str">
        <x:v>impending crisis</x:v>
      </x:c>
      <x:c r="E85" s="21" t="str">
        <x:v>severity / crisis predicate</x:v>
      </x:c>
      <x:c r="F85" s="22" t="str">
        <x:v>crisis_emergency</x:v>
      </x:c>
      <x:c r="G85" s="22" t="str">
        <x:v>D</x:v>
      </x:c>
      <x:c r="H85" s="22" t="str">
        <x:v>V2</x:v>
      </x:c>
      <x:c r="I85" s="22" t="str">
        <x:v>E5</x:v>
      </x:c>
      <x:c r="J85" s="21" t="str">
        <x:v>RECONSTRUCTED_FROM_REPORT; Fear of Temperature_ Stratified Lexical Expansion, Voice Mapping, and Semantic-Relational Pre-Valida.pdf; p.9; project candidate FT-SEED-R1B-P-1988-24; original visible ID not available</x:v>
      </x:c>
      <x:c r="K85" s="21" t="str">
        <x:v>INTERNET_ARCHIVE_METADATA_TEXT_ITEM_COUNT</x:v>
      </x:c>
      <x:c r="L85" s="22" t="str">
        <x:v>"impending crisis" AND mediatype:texts</x:v>
      </x:c>
      <x:c r="M85" s="22" t="str">
        <x:v>PHRASE_METADATA_SEARCH</x:v>
      </x:c>
      <x:c r="N85" s="21" t="str">
        <x:v>COMPLETED_NONZERO</x:v>
      </x:c>
      <x:c r="O85" s="57" t="str">
        <x:v>203</x:v>
      </x:c>
      <x:c r="P85" s="22" t="str">
        <x:v>203</x:v>
      </x:c>
      <x:c r="Q85" s="22" t="str">
        <x:v>5</x:v>
      </x:c>
      <x:c r="R85" s="22" t="str">
        <x:v>11</x:v>
      </x:c>
      <x:c r="S85" s="22" t="str">
        <x:v>2026-08-26</x:v>
      </x:c>
      <x:c r="T85" s="22" t="str">
        <x:v>https://archive.org/advancedsearch.php</x:v>
      </x:c>
      <x:c r="U85" s="22" t="str">
        <x:v>EXACT_PHRASE</x:v>
      </x:c>
      <x:c r="V85" s="21" t="str">
        <x:v>OPENALEX_WORK_COUNT</x:v>
      </x:c>
      <x:c r="W85" s="57" t="str"/>
      <x:c r="X85" s="23" t="str">
        <x:v>Metadata text-item count; not a full-text lexical frequency. Secondary metric: NOT_RUN_OPENALEX_DAILY_BUDGET_EXHAUSTED: shared provider response retained; no count fabricated.</x:v>
      </x:c>
    </x:row>
    <x:row r="86" ht="19" customHeight="1">
      <x:c r="A86" s="20" t="str">
        <x:v>FT-SEED-R1B-P-1988-25</x:v>
      </x:c>
      <x:c r="B86" s="22" t="str">
        <x:v>1988</x:v>
      </x:c>
      <x:c r="C86" s="22" t="str">
        <x:v>25</x:v>
      </x:c>
      <x:c r="D86" s="21" t="str">
        <x:v>degradation of the atmosphere</x:v>
      </x:c>
      <x:c r="E86" s="21" t="str">
        <x:v>generic damage</x:v>
      </x:c>
      <x:c r="F86" s="22" t="str">
        <x:v>harm_loss_consequences</x:v>
      </x:c>
      <x:c r="G86" s="22" t="str">
        <x:v>D</x:v>
      </x:c>
      <x:c r="H86" s="22" t="str">
        <x:v>V2</x:v>
      </x:c>
      <x:c r="I86" s="22" t="str">
        <x:v>E5</x:v>
      </x:c>
      <x:c r="J86" s="21" t="str">
        <x:v>RECONSTRUCTED_FROM_REPORT; Fear of Temperature_ Stratified Lexical Expansion, Voice Mapping, and Semantic-Relational Pre-Valida.pdf; p.9; project candidate FT-SEED-R1B-P-1988-25; original visible ID not available</x:v>
      </x:c>
      <x:c r="K86" s="21" t="str">
        <x:v>INTERNET_ARCHIVE_METADATA_TEXT_ITEM_COUNT</x:v>
      </x:c>
      <x:c r="L86" s="22" t="str">
        <x:v>"degradation of the atmosphere" AND mediatype:texts</x:v>
      </x:c>
      <x:c r="M86" s="22" t="str">
        <x:v>PHRASE_METADATA_SEARCH</x:v>
      </x:c>
      <x:c r="N86" s="21" t="str">
        <x:v>COMPLETED_ZERO</x:v>
      </x:c>
      <x:c r="O86" s="57" t="str">
        <x:v>0</x:v>
      </x:c>
      <x:c r="P86" s="22" t="str">
        <x:v>0</x:v>
      </x:c>
      <x:c r="Q86" s="22" t="str">
        <x:v>0</x:v>
      </x:c>
      <x:c r="R86" s="22" t="str">
        <x:v>0</x:v>
      </x:c>
      <x:c r="S86" s="22" t="str">
        <x:v>2026-08-26</x:v>
      </x:c>
      <x:c r="T86" s="22" t="str">
        <x:v>https://archive.org/advancedsearch.php</x:v>
      </x:c>
      <x:c r="U86" s="22" t="str">
        <x:v>EXACT_PHRASE</x:v>
      </x:c>
      <x:c r="V86" s="21" t="str">
        <x:v>OPENALEX_WORK_COUNT</x:v>
      </x:c>
      <x:c r="W86" s="57" t="str"/>
      <x:c r="X86" s="23" t="str">
        <x:v>Metadata text-item count; not a full-text lexical frequency. Secondary metric: NOT_RUN_OPENALEX_DAILY_BUDGET_EXHAUSTED: shared provider response retained; no count fabricated.</x:v>
      </x:c>
    </x:row>
    <x:row r="87" ht="19" customHeight="1">
      <x:c r="A87" s="20" t="str">
        <x:v>FT-SEED-R1B-P-1988-26</x:v>
      </x:c>
      <x:c r="B87" s="22" t="str">
        <x:v>1988</x:v>
      </x:c>
      <x:c r="C87" s="22" t="str">
        <x:v>26</x:v>
      </x:c>
      <x:c r="D87" s="21" t="str">
        <x:v>atmospheric pollution</x:v>
      </x:c>
      <x:c r="E87" s="21" t="str">
        <x:v>generic damage</x:v>
      </x:c>
      <x:c r="F87" s="22" t="str">
        <x:v>harm_loss_consequences</x:v>
      </x:c>
      <x:c r="G87" s="22" t="str">
        <x:v>D</x:v>
      </x:c>
      <x:c r="H87" s="22" t="str">
        <x:v>V2</x:v>
      </x:c>
      <x:c r="I87" s="22" t="str">
        <x:v>E5</x:v>
      </x:c>
      <x:c r="J87" s="21" t="str">
        <x:v>RECONSTRUCTED_FROM_REPORT; Fear of Temperature_ Stratified Lexical Expansion, Voice Mapping, and Semantic-Relational Pre-Valida.pdf; p.9; project candidate FT-SEED-R1B-P-1988-26; original visible ID not available</x:v>
      </x:c>
      <x:c r="K87" s="21" t="str">
        <x:v>INTERNET_ARCHIVE_METADATA_TEXT_ITEM_COUNT</x:v>
      </x:c>
      <x:c r="L87" s="22" t="str">
        <x:v>"atmospheric pollution" AND mediatype:texts</x:v>
      </x:c>
      <x:c r="M87" s="22" t="str">
        <x:v>PHRASE_METADATA_SEARCH</x:v>
      </x:c>
      <x:c r="N87" s="21" t="str">
        <x:v>COMPLETED_NONZERO</x:v>
      </x:c>
      <x:c r="O87" s="57" t="str">
        <x:v>221</x:v>
      </x:c>
      <x:c r="P87" s="22" t="str">
        <x:v>221</x:v>
      </x:c>
      <x:c r="Q87" s="22" t="str">
        <x:v>5</x:v>
      </x:c>
      <x:c r="R87" s="22" t="str">
        <x:v>19</x:v>
      </x:c>
      <x:c r="S87" s="22" t="str">
        <x:v>2026-08-26</x:v>
      </x:c>
      <x:c r="T87" s="22" t="str">
        <x:v>https://archive.org/advancedsearch.php</x:v>
      </x:c>
      <x:c r="U87" s="22" t="str">
        <x:v>EXACT_PHRASE</x:v>
      </x:c>
      <x:c r="V87" s="21" t="str">
        <x:v>OPENALEX_WORK_COUNT</x:v>
      </x:c>
      <x:c r="W87" s="57" t="str">
        <x:v>53072</x:v>
      </x:c>
      <x:c r="X87" s="23" t="str">
        <x:v>Metadata text-item count; not a full-text lexical frequency. Secondary metric: Scholarly work discoverability count over OpenAlex search fields; not a corpus word frequency.</x:v>
      </x:c>
    </x:row>
    <x:row r="88" ht="19" customHeight="1">
      <x:c r="A88" s="20" t="str">
        <x:v>FT-SEED-R1B-P-1988-27</x:v>
      </x:c>
      <x:c r="B88" s="22" t="str">
        <x:v>1988</x:v>
      </x:c>
      <x:c r="C88" s="22" t="str">
        <x:v>27</x:v>
      </x:c>
      <x:c r="D88" s="21" t="str">
        <x:v>greenhouse gases</x:v>
      </x:c>
      <x:c r="E88" s="21" t="str">
        <x:v>anthropogenic greenhouse-gas emissions</x:v>
      </x:c>
      <x:c r="F88" s="22" t="str">
        <x:v>carbon_greenhouse</x:v>
      </x:c>
      <x:c r="G88" s="22" t="str">
        <x:v>B</x:v>
      </x:c>
      <x:c r="H88" s="22" t="str">
        <x:v>V2</x:v>
      </x:c>
      <x:c r="I88" s="22" t="str">
        <x:v>E5</x:v>
      </x:c>
      <x:c r="J88" s="21" t="str">
        <x:v>RECONSTRUCTED_FROM_REPORT; Fear of Temperature_ Stratified Lexical Expansion, Voice Mapping, and Semantic-Relational Pre-Valida.pdf; p.9; project candidate FT-SEED-R1B-P-1988-27; original visible ID not available</x:v>
      </x:c>
      <x:c r="K88" s="21" t="str">
        <x:v>INTERNET_ARCHIVE_METADATA_TEXT_ITEM_COUNT</x:v>
      </x:c>
      <x:c r="L88" s="22" t="str">
        <x:v>"greenhouse gases" AND mediatype:texts</x:v>
      </x:c>
      <x:c r="M88" s="22" t="str">
        <x:v>PHRASE_METADATA_SEARCH</x:v>
      </x:c>
      <x:c r="N88" s="21" t="str">
        <x:v>COMPLETED_NONZERO</x:v>
      </x:c>
      <x:c r="O88" s="57" t="str">
        <x:v>1549</x:v>
      </x:c>
      <x:c r="P88" s="22" t="str">
        <x:v>1549</x:v>
      </x:c>
      <x:c r="Q88" s="22" t="str">
        <x:v>3</x:v>
      </x:c>
      <x:c r="R88" s="22" t="str">
        <x:v>30</x:v>
      </x:c>
      <x:c r="S88" s="22" t="str">
        <x:v>2026-08-26</x:v>
      </x:c>
      <x:c r="T88" s="22" t="str">
        <x:v>https://archive.org/advancedsearch.php</x:v>
      </x:c>
      <x:c r="U88" s="22" t="str">
        <x:v>EXACT_PHRASE</x:v>
      </x:c>
      <x:c r="V88" s="21" t="str">
        <x:v>OPENALEX_WORK_COUNT</x:v>
      </x:c>
      <x:c r="W88" s="57" t="str"/>
      <x:c r="X88" s="23" t="str">
        <x:v>Metadata text-item count; not a full-text lexical frequency. Secondary metric: NOT_RUN_OPENALEX_DAILY_BUDGET_EXHAUSTED: shared provider response retained; no count fabricated.</x:v>
      </x:c>
    </x:row>
    <x:row r="89" ht="19" customHeight="1">
      <x:c r="A89" s="20" t="str">
        <x:v>FT-SEED-R1B-P-1988-28</x:v>
      </x:c>
      <x:c r="B89" s="22" t="str">
        <x:v>1988</x:v>
      </x:c>
      <x:c r="C89" s="22" t="str">
        <x:v>28</x:v>
      </x:c>
      <x:c r="D89" s="21" t="str">
        <x:v>Global Warming Has Begun</x:v>
      </x:c>
      <x:c r="E89" s="21" t="str">
        <x:v>global warming as issue label</x:v>
      </x:c>
      <x:c r="F89" s="22" t="str">
        <x:v>warming</x:v>
      </x:c>
      <x:c r="G89" s="22" t="str">
        <x:v>A</x:v>
      </x:c>
      <x:c r="H89" s="22" t="str">
        <x:v>V3</x:v>
      </x:c>
      <x:c r="I89" s="22" t="str">
        <x:v>E5</x:v>
      </x:c>
      <x:c r="J89" s="21" t="str">
        <x:v>RECONSTRUCTED_FROM_REPORT; Fear of Temperature_ Stratified Lexical Expansion, Voice Mapping, and Semantic-Relational Pre-Valida.pdf; p.9; project candidate FT-SEED-R1B-P-1988-28; original visible ID not available</x:v>
      </x:c>
      <x:c r="K89" s="21" t="str">
        <x:v>INTERNET_ARCHIVE_METADATA_TEXT_ITEM_COUNT</x:v>
      </x:c>
      <x:c r="L89" s="22" t="str">
        <x:v>"Global Warming Has Begun" AND mediatype:texts</x:v>
      </x:c>
      <x:c r="M89" s="22" t="str">
        <x:v>PHRASE_METADATA_SEARCH</x:v>
      </x:c>
      <x:c r="N89" s="21" t="str">
        <x:v>COMPLETED_ZERO</x:v>
      </x:c>
      <x:c r="O89" s="57" t="str">
        <x:v>0</x:v>
      </x:c>
      <x:c r="P89" s="22" t="str">
        <x:v>0</x:v>
      </x:c>
      <x:c r="Q89" s="22" t="str">
        <x:v>0</x:v>
      </x:c>
      <x:c r="R89" s="22" t="str">
        <x:v>0</x:v>
      </x:c>
      <x:c r="S89" s="22" t="str">
        <x:v>2026-08-26</x:v>
      </x:c>
      <x:c r="T89" s="22" t="str">
        <x:v>https://archive.org/advancedsearch.php</x:v>
      </x:c>
      <x:c r="U89" s="22" t="str">
        <x:v>EXACT_PHRASE</x:v>
      </x:c>
      <x:c r="V89" s="21" t="str">
        <x:v>OPENALEX_WORK_COUNT</x:v>
      </x:c>
      <x:c r="W89" s="57" t="str"/>
      <x:c r="X89" s="23" t="str">
        <x:v>Metadata text-item count; not a full-text lexical frequency. Secondary metric: NOT_RUN_OPENALEX_DAILY_BUDGET_EXHAUSTED: shared provider response retained; no count fabricated.</x:v>
      </x:c>
    </x:row>
    <x:row r="90" ht="19" customHeight="1">
      <x:c r="A90" s="20" t="str">
        <x:v>FT-SEED-R1B-P-1988-29</x:v>
      </x:c>
      <x:c r="B90" s="22" t="str">
        <x:v>1988</x:v>
      </x:c>
      <x:c r="C90" s="22" t="str">
        <x:v>29</x:v>
      </x:c>
      <x:c r="D90" s="21" t="str">
        <x:v>evidence is pretty strong</x:v>
      </x:c>
      <x:c r="E90" s="21" t="str">
        <x:v>personal concern</x:v>
      </x:c>
      <x:c r="F90" s="22" t="str">
        <x:v>concern_alarm</x:v>
      </x:c>
      <x:c r="G90" s="22" t="str">
        <x:v>C</x:v>
      </x:c>
      <x:c r="H90" s="22" t="str">
        <x:v>V3</x:v>
      </x:c>
      <x:c r="I90" s="22" t="str">
        <x:v>E5</x:v>
      </x:c>
      <x:c r="J90" s="21" t="str">
        <x:v>RECONSTRUCTED_FROM_REPORT; Fear of Temperature_ Stratified Lexical Expansion, Voice Mapping, and Semantic-Relational Pre-Valida.pdf; p.9; project candidate FT-SEED-R1B-P-1988-29; original visible ID not available</x:v>
      </x:c>
      <x:c r="K90" s="21" t="str">
        <x:v>INTERNET_ARCHIVE_METADATA_TEXT_ITEM_COUNT</x:v>
      </x:c>
      <x:c r="L90" s="22" t="str">
        <x:v>"evidence is pretty strong" AND mediatype:texts</x:v>
      </x:c>
      <x:c r="M90" s="22" t="str">
        <x:v>PHRASE_METADATA_SEARCH</x:v>
      </x:c>
      <x:c r="N90" s="21" t="str">
        <x:v>COMPLETED_ZERO</x:v>
      </x:c>
      <x:c r="O90" s="57" t="str">
        <x:v>0</x:v>
      </x:c>
      <x:c r="P90" s="22" t="str">
        <x:v>0</x:v>
      </x:c>
      <x:c r="Q90" s="22" t="str">
        <x:v>0</x:v>
      </x:c>
      <x:c r="R90" s="22" t="str">
        <x:v>0</x:v>
      </x:c>
      <x:c r="S90" s="22" t="str">
        <x:v>2026-08-26</x:v>
      </x:c>
      <x:c r="T90" s="22" t="str">
        <x:v>https://archive.org/advancedsearch.php</x:v>
      </x:c>
      <x:c r="U90" s="22" t="str">
        <x:v>EXACT_PHRASE</x:v>
      </x:c>
      <x:c r="V90" s="21" t="str">
        <x:v>OPENALEX_WORK_COUNT</x:v>
      </x:c>
      <x:c r="W90" s="57" t="str"/>
      <x:c r="X90" s="23" t="str">
        <x:v>Metadata text-item count; not a full-text lexical frequency. Secondary metric: NOT_RUN_OPENALEX_DAILY_BUDGET_EXHAUSTED: shared provider response retained; no count fabricated.</x:v>
      </x:c>
    </x:row>
    <x:row r="91" ht="19" customHeight="1">
      <x:c r="A91" s="20" t="str">
        <x:v>FT-SEED-R1B-P-1988-30</x:v>
      </x:c>
      <x:c r="B91" s="22" t="str">
        <x:v>1988</x:v>
      </x:c>
      <x:c r="C91" s="22" t="str">
        <x:v>30</x:v>
      </x:c>
      <x:c r="D91" s="21" t="str">
        <x:v>too much carbon dioxide is dangerous</x:v>
      </x:c>
      <x:c r="E91" s="21" t="str">
        <x:v>atmospheric carbon dioxide</x:v>
      </x:c>
      <x:c r="F91" s="22" t="str">
        <x:v>carbon_greenhouse</x:v>
      </x:c>
      <x:c r="G91" s="22" t="str">
        <x:v>D</x:v>
      </x:c>
      <x:c r="H91" s="22" t="str">
        <x:v>V3</x:v>
      </x:c>
      <x:c r="I91" s="22" t="str">
        <x:v>E5</x:v>
      </x:c>
      <x:c r="J91" s="21" t="str">
        <x:v>RECONSTRUCTED_FROM_REPORT; Fear of Temperature_ Stratified Lexical Expansion, Voice Mapping, and Semantic-Relational Pre-Valida.pdf; p.9; project candidate FT-SEED-R1B-P-1988-30; original visible ID not available</x:v>
      </x:c>
      <x:c r="K91" s="21" t="str">
        <x:v>INTERNET_ARCHIVE_METADATA_TEXT_ITEM_COUNT</x:v>
      </x:c>
      <x:c r="L91" s="22" t="str">
        <x:v>"too much carbon dioxide is dangerous" AND mediatype:texts</x:v>
      </x:c>
      <x:c r="M91" s="22" t="str">
        <x:v>PHRASE_METADATA_SEARCH</x:v>
      </x:c>
      <x:c r="N91" s="21" t="str">
        <x:v>COMPLETED_ZERO</x:v>
      </x:c>
      <x:c r="O91" s="57" t="str">
        <x:v>0</x:v>
      </x:c>
      <x:c r="P91" s="22" t="str">
        <x:v>0</x:v>
      </x:c>
      <x:c r="Q91" s="22" t="str">
        <x:v>0</x:v>
      </x:c>
      <x:c r="R91" s="22" t="str">
        <x:v>0</x:v>
      </x:c>
      <x:c r="S91" s="22" t="str">
        <x:v>2026-08-26</x:v>
      </x:c>
      <x:c r="T91" s="22" t="str">
        <x:v>https://archive.org/advancedsearch.php</x:v>
      </x:c>
      <x:c r="U91" s="22" t="str">
        <x:v>EXACT_PHRASE</x:v>
      </x:c>
      <x:c r="V91" s="21" t="str">
        <x:v>OPENALEX_WORK_COUNT</x:v>
      </x:c>
      <x:c r="W91" s="57" t="str"/>
      <x:c r="X91" s="23" t="str">
        <x:v>Metadata text-item count; not a full-text lexical frequency. Secondary metric: NOT_RUN_OPENALEX_DAILY_BUDGET_EXHAUSTED: shared provider response retained; no count fabricated.</x:v>
      </x:c>
    </x:row>
    <x:row r="92" ht="19" customHeight="1">
      <x:c r="A92" s="20" t="str">
        <x:v>FT-SEED-R1B-P-0607-01</x:v>
      </x:c>
      <x:c r="B92" s="22" t="str">
        <x:v>2006–2007</x:v>
      </x:c>
      <x:c r="C92" s="22" t="str">
        <x:v>1</x:v>
      </x:c>
      <x:c r="D92" s="21" t="str">
        <x:v>warming of the climate system</x:v>
      </x:c>
      <x:c r="E92" s="21" t="str">
        <x:v>climate-system warming</x:v>
      </x:c>
      <x:c r="F92" s="22" t="str">
        <x:v>warming</x:v>
      </x:c>
      <x:c r="G92" s="22" t="str">
        <x:v>A</x:v>
      </x:c>
      <x:c r="H92" s="22" t="str">
        <x:v>V1</x:v>
      </x:c>
      <x:c r="I92" s="22" t="str">
        <x:v>E5</x:v>
      </x:c>
      <x:c r="J92" s="21" t="str">
        <x:v>RECONSTRUCTED_FROM_REPORT; Fear of Temperature_ Stratified Lexical Expansion, Voice Mapping, and Semantic-Relational Pre-Valida.pdf; p.10; project candidate FT-SEED-R1B-P-0607-01; original visible ID not available</x:v>
      </x:c>
      <x:c r="K92" s="21" t="str">
        <x:v>INTERNET_ARCHIVE_METADATA_TEXT_ITEM_COUNT</x:v>
      </x:c>
      <x:c r="L92" s="22" t="str">
        <x:v>"warming of the climate system" AND mediatype:texts</x:v>
      </x:c>
      <x:c r="M92" s="22" t="str">
        <x:v>PHRASE_METADATA_SEARCH</x:v>
      </x:c>
      <x:c r="N92" s="21" t="str">
        <x:v>COMPLETED_NONZERO</x:v>
      </x:c>
      <x:c r="O92" s="57" t="str">
        <x:v>3</x:v>
      </x:c>
      <x:c r="P92" s="22" t="str">
        <x:v>3</x:v>
      </x:c>
      <x:c r="Q92" s="22" t="str">
        <x:v>0</x:v>
      </x:c>
      <x:c r="R92" s="22" t="str">
        <x:v>0</x:v>
      </x:c>
      <x:c r="S92" s="22" t="str">
        <x:v>2026-08-26</x:v>
      </x:c>
      <x:c r="T92" s="22" t="str">
        <x:v>https://archive.org/advancedsearch.php</x:v>
      </x:c>
      <x:c r="U92" s="22" t="str">
        <x:v>EXACT_PHRASE</x:v>
      </x:c>
      <x:c r="V92" s="21" t="str">
        <x:v>OPENALEX_WORK_COUNT</x:v>
      </x:c>
      <x:c r="W92" s="57" t="str"/>
      <x:c r="X92" s="23" t="str">
        <x:v>Metadata text-item count; not a full-text lexical frequency. Secondary metric: NOT_RUN_OPENALEX_DAILY_BUDGET_EXHAUSTED: shared provider response retained; no count fabricated.</x:v>
      </x:c>
    </x:row>
    <x:row r="93" ht="19" customHeight="1">
      <x:c r="A93" s="20" t="str">
        <x:v>FT-SEED-R1B-P-0607-02</x:v>
      </x:c>
      <x:c r="B93" s="22" t="str">
        <x:v>2006–2007</x:v>
      </x:c>
      <x:c r="C93" s="22" t="str">
        <x:v>2</x:v>
      </x:c>
      <x:c r="D93" s="21" t="str">
        <x:v>unequivocal</x:v>
      </x:c>
      <x:c r="E93" s="21" t="str">
        <x:v>historical climate / climatological condition</x:v>
      </x:c>
      <x:c r="F93" s="22" t="str">
        <x:v>climate</x:v>
      </x:c>
      <x:c r="G93" s="22" t="str">
        <x:v>B</x:v>
      </x:c>
      <x:c r="H93" s="22" t="str">
        <x:v>V1</x:v>
      </x:c>
      <x:c r="I93" s="22" t="str">
        <x:v>E5</x:v>
      </x:c>
      <x:c r="J93" s="21" t="str">
        <x:v>RECONSTRUCTED_FROM_REPORT; Fear of Temperature_ Stratified Lexical Expansion, Voice Mapping, and Semantic-Relational Pre-Valida.pdf; p.10; project candidate FT-SEED-R1B-P-0607-02; original visible ID not available</x:v>
      </x:c>
      <x:c r="K93" s="21" t="str">
        <x:v>INTERNET_ARCHIVE_METADATA_TEXT_ITEM_COUNT</x:v>
      </x:c>
      <x:c r="L93" s="22" t="str">
        <x:v>"unequivocal" AND mediatype:texts</x:v>
      </x:c>
      <x:c r="M93" s="22" t="str">
        <x:v>PHRASE_METADATA_SEARCH</x:v>
      </x:c>
      <x:c r="N93" s="21" t="str">
        <x:v>COMPLETED_NONZERO</x:v>
      </x:c>
      <x:c r="O93" s="57" t="str">
        <x:v>919</x:v>
      </x:c>
      <x:c r="P93" s="22" t="str">
        <x:v>919</x:v>
      </x:c>
      <x:c r="Q93" s="22" t="str">
        <x:v>31</x:v>
      </x:c>
      <x:c r="R93" s="22" t="str">
        <x:v>58</x:v>
      </x:c>
      <x:c r="S93" s="22" t="str">
        <x:v>2026-08-26</x:v>
      </x:c>
      <x:c r="T93" s="22" t="str">
        <x:v>https://archive.org/advancedsearch.php</x:v>
      </x:c>
      <x:c r="U93" s="22" t="str">
        <x:v>EXACT_PHRASE</x:v>
      </x:c>
      <x:c r="V93" s="21" t="str">
        <x:v>OPENALEX_WORK_COUNT</x:v>
      </x:c>
      <x:c r="W93" s="57" t="str"/>
      <x:c r="X93" s="23" t="str">
        <x:v>Metadata text-item count; not a full-text lexical frequency. Secondary metric: NOT_RUN_OPENALEX_DAILY_BUDGET_EXHAUSTED: shared provider response retained; no count fabricated.</x:v>
      </x:c>
    </x:row>
    <x:row r="94" ht="19" customHeight="1">
      <x:c r="A94" s="20" t="str">
        <x:v>FT-SEED-R1B-P-0607-03</x:v>
      </x:c>
      <x:c r="B94" s="22" t="str">
        <x:v>2006–2007</x:v>
      </x:c>
      <x:c r="C94" s="22" t="str">
        <x:v>3</x:v>
      </x:c>
      <x:c r="D94" s="21" t="str">
        <x:v>global average air and ocean temperatures</x:v>
      </x:c>
      <x:c r="E94" s="21" t="str">
        <x:v>global aggregate temperature</x:v>
      </x:c>
      <x:c r="F94" s="22" t="str">
        <x:v>temperature_threshold</x:v>
      </x:c>
      <x:c r="G94" s="22" t="str">
        <x:v>A</x:v>
      </x:c>
      <x:c r="H94" s="22" t="str">
        <x:v>V1</x:v>
      </x:c>
      <x:c r="I94" s="22" t="str">
        <x:v>E5</x:v>
      </x:c>
      <x:c r="J94" s="21" t="str">
        <x:v>RECONSTRUCTED_FROM_REPORT; Fear of Temperature_ Stratified Lexical Expansion, Voice Mapping, and Semantic-Relational Pre-Valida.pdf; p.10; project candidate FT-SEED-R1B-P-0607-03; original visible ID not available</x:v>
      </x:c>
      <x:c r="K94" s="21" t="str">
        <x:v>INTERNET_ARCHIVE_METADATA_TEXT_ITEM_COUNT</x:v>
      </x:c>
      <x:c r="L94" s="22" t="str">
        <x:v>"global average air and ocean temperatures" AND mediatype:texts</x:v>
      </x:c>
      <x:c r="M94" s="22" t="str">
        <x:v>PHRASE_METADATA_SEARCH</x:v>
      </x:c>
      <x:c r="N94" s="21" t="str">
        <x:v>COMPLETED_ZERO</x:v>
      </x:c>
      <x:c r="O94" s="57" t="str">
        <x:v>0</x:v>
      </x:c>
      <x:c r="P94" s="22" t="str">
        <x:v>0</x:v>
      </x:c>
      <x:c r="Q94" s="22" t="str">
        <x:v>0</x:v>
      </x:c>
      <x:c r="R94" s="22" t="str">
        <x:v>0</x:v>
      </x:c>
      <x:c r="S94" s="22" t="str">
        <x:v>2026-08-26</x:v>
      </x:c>
      <x:c r="T94" s="22" t="str">
        <x:v>https://archive.org/advancedsearch.php</x:v>
      </x:c>
      <x:c r="U94" s="22" t="str">
        <x:v>EXACT_PHRASE</x:v>
      </x:c>
      <x:c r="V94" s="21" t="str">
        <x:v>OPENALEX_WORK_COUNT</x:v>
      </x:c>
      <x:c r="W94" s="57" t="str"/>
      <x:c r="X94" s="23" t="str">
        <x:v>Metadata text-item count; not a full-text lexical frequency. Secondary metric: NOT_RUN_OPENALEX_DAILY_BUDGET_EXHAUSTED: shared provider response retained; no count fabricated.</x:v>
      </x:c>
    </x:row>
    <x:row r="95" ht="19" customHeight="1">
      <x:c r="A95" s="20" t="str">
        <x:v>FT-SEED-R1B-P-0607-04</x:v>
      </x:c>
      <x:c r="B95" s="22" t="str">
        <x:v>2006–2007</x:v>
      </x:c>
      <x:c r="C95" s="22" t="str">
        <x:v>4</x:v>
      </x:c>
      <x:c r="D95" s="21" t="str">
        <x:v>global surface temperature</x:v>
      </x:c>
      <x:c r="E95" s="21" t="str">
        <x:v>global aggregate temperature</x:v>
      </x:c>
      <x:c r="F95" s="22" t="str">
        <x:v>temperature_threshold</x:v>
      </x:c>
      <x:c r="G95" s="22" t="str">
        <x:v>A</x:v>
      </x:c>
      <x:c r="H95" s="22" t="str">
        <x:v>V1</x:v>
      </x:c>
      <x:c r="I95" s="22" t="str">
        <x:v>E5</x:v>
      </x:c>
      <x:c r="J95" s="21" t="str">
        <x:v>RECONSTRUCTED_FROM_REPORT; Fear of Temperature_ Stratified Lexical Expansion, Voice Mapping, and Semantic-Relational Pre-Valida.pdf; p.10; project candidate FT-SEED-R1B-P-0607-04; original visible ID not available</x:v>
      </x:c>
      <x:c r="K95" s="21" t="str">
        <x:v>INTERNET_ARCHIVE_METADATA_TEXT_ITEM_COUNT</x:v>
      </x:c>
      <x:c r="L95" s="22" t="str">
        <x:v>"global surface temperature" AND mediatype:texts</x:v>
      </x:c>
      <x:c r="M95" s="22" t="str">
        <x:v>PHRASE_METADATA_SEARCH</x:v>
      </x:c>
      <x:c r="N95" s="21" t="str">
        <x:v>COMPLETED_NONZERO</x:v>
      </x:c>
      <x:c r="O95" s="57" t="str">
        <x:v>34</x:v>
      </x:c>
      <x:c r="P95" s="22" t="str">
        <x:v>34</x:v>
      </x:c>
      <x:c r="Q95" s="22" t="str">
        <x:v>0</x:v>
      </x:c>
      <x:c r="R95" s="22" t="str">
        <x:v>2</x:v>
      </x:c>
      <x:c r="S95" s="22" t="str">
        <x:v>2026-08-26</x:v>
      </x:c>
      <x:c r="T95" s="22" t="str">
        <x:v>https://archive.org/advancedsearch.php</x:v>
      </x:c>
      <x:c r="U95" s="22" t="str">
        <x:v>EXACT_PHRASE</x:v>
      </x:c>
      <x:c r="V95" s="21" t="str">
        <x:v>OPENALEX_WORK_COUNT</x:v>
      </x:c>
      <x:c r="W95" s="57" t="str"/>
      <x:c r="X95" s="23" t="str">
        <x:v>Metadata text-item count; not a full-text lexical frequency. Secondary metric: NOT_RUN_OPENALEX_DAILY_BUDGET_EXHAUSTED: shared provider response retained; no count fabricated.</x:v>
      </x:c>
    </x:row>
    <x:row r="96" ht="19" customHeight="1">
      <x:c r="A96" s="20" t="str">
        <x:v>FT-SEED-R1B-P-0607-05</x:v>
      </x:c>
      <x:c r="B96" s="22" t="str">
        <x:v>2006–2007</x:v>
      </x:c>
      <x:c r="C96" s="22" t="str">
        <x:v>5</x:v>
      </x:c>
      <x:c r="D96" s="21" t="str">
        <x:v>temperature increase</x:v>
      </x:c>
      <x:c r="E96" s="21" t="str">
        <x:v>temperature increase</x:v>
      </x:c>
      <x:c r="F96" s="22" t="str">
        <x:v>warming</x:v>
      </x:c>
      <x:c r="G96" s="22" t="str">
        <x:v>A</x:v>
      </x:c>
      <x:c r="H96" s="22" t="str">
        <x:v>V1</x:v>
      </x:c>
      <x:c r="I96" s="22" t="str">
        <x:v>E5</x:v>
      </x:c>
      <x:c r="J96" s="21" t="str">
        <x:v>RECONSTRUCTED_FROM_REPORT; Fear of Temperature_ Stratified Lexical Expansion, Voice Mapping, and Semantic-Relational Pre-Valida.pdf; p.10; project candidate FT-SEED-R1B-P-0607-05; original visible ID not available</x:v>
      </x:c>
      <x:c r="K96" s="21" t="str">
        <x:v>INTERNET_ARCHIVE_METADATA_TEXT_ITEM_COUNT</x:v>
      </x:c>
      <x:c r="L96" s="22" t="str">
        <x:v>"temperature increase" AND mediatype:texts</x:v>
      </x:c>
      <x:c r="M96" s="22" t="str">
        <x:v>PHRASE_METADATA_SEARCH</x:v>
      </x:c>
      <x:c r="N96" s="21" t="str">
        <x:v>COMPLETED_NONZERO</x:v>
      </x:c>
      <x:c r="O96" s="57" t="str">
        <x:v>442</x:v>
      </x:c>
      <x:c r="P96" s="22" t="str">
        <x:v>442</x:v>
      </x:c>
      <x:c r="Q96" s="22" t="str">
        <x:v>17</x:v>
      </x:c>
      <x:c r="R96" s="22" t="str">
        <x:v>29</x:v>
      </x:c>
      <x:c r="S96" s="22" t="str">
        <x:v>2026-08-26</x:v>
      </x:c>
      <x:c r="T96" s="22" t="str">
        <x:v>https://archive.org/advancedsearch.php</x:v>
      </x:c>
      <x:c r="U96" s="22" t="str">
        <x:v>EXACT_PHRASE</x:v>
      </x:c>
      <x:c r="V96" s="21" t="str">
        <x:v>OPENALEX_WORK_COUNT</x:v>
      </x:c>
      <x:c r="W96" s="57" t="str"/>
      <x:c r="X96" s="23" t="str">
        <x:v>Metadata text-item count; not a full-text lexical frequency. Secondary metric: NOT_RUN_OPENALEX_DAILY_BUDGET_EXHAUSTED: shared provider response retained; no count fabricated.</x:v>
      </x:c>
    </x:row>
    <x:row r="97" ht="19" customHeight="1">
      <x:c r="A97" s="20" t="str">
        <x:v>FT-SEED-R1B-P-0607-06</x:v>
      </x:c>
      <x:c r="B97" s="22" t="str">
        <x:v>2006–2007</x:v>
      </x:c>
      <x:c r="C97" s="22" t="str">
        <x:v>6</x:v>
      </x:c>
      <x:c r="D97" s="21" t="str">
        <x:v>rising global average sea level</x:v>
      </x:c>
      <x:c r="E97" s="21" t="str">
        <x:v>generic damage</x:v>
      </x:c>
      <x:c r="F97" s="22" t="str">
        <x:v>harm_loss_consequences</x:v>
      </x:c>
      <x:c r="G97" s="22" t="str">
        <x:v>D</x:v>
      </x:c>
      <x:c r="H97" s="22" t="str">
        <x:v>V1</x:v>
      </x:c>
      <x:c r="I97" s="22" t="str">
        <x:v>E5</x:v>
      </x:c>
      <x:c r="J97" s="21" t="str">
        <x:v>RECONSTRUCTED_FROM_REPORT; Fear of Temperature_ Stratified Lexical Expansion, Voice Mapping, and Semantic-Relational Pre-Valida.pdf; p.10; project candidate FT-SEED-R1B-P-0607-06; original visible ID not available</x:v>
      </x:c>
      <x:c r="K97" s="21" t="str">
        <x:v>INTERNET_ARCHIVE_METADATA_TEXT_ITEM_COUNT</x:v>
      </x:c>
      <x:c r="L97" s="22" t="str">
        <x:v>"rising global average sea level" AND mediatype:texts</x:v>
      </x:c>
      <x:c r="M97" s="22" t="str">
        <x:v>PHRASE_METADATA_SEARCH</x:v>
      </x:c>
      <x:c r="N97" s="21" t="str">
        <x:v>COMPLETED_ZERO</x:v>
      </x:c>
      <x:c r="O97" s="57" t="str">
        <x:v>0</x:v>
      </x:c>
      <x:c r="P97" s="22" t="str">
        <x:v>0</x:v>
      </x:c>
      <x:c r="Q97" s="22" t="str">
        <x:v>0</x:v>
      </x:c>
      <x:c r="R97" s="22" t="str">
        <x:v>0</x:v>
      </x:c>
      <x:c r="S97" s="22" t="str">
        <x:v>2026-08-26</x:v>
      </x:c>
      <x:c r="T97" s="22" t="str">
        <x:v>https://archive.org/advancedsearch.php</x:v>
      </x:c>
      <x:c r="U97" s="22" t="str">
        <x:v>EXACT_PHRASE</x:v>
      </x:c>
      <x:c r="V97" s="21" t="str">
        <x:v>OPENALEX_WORK_COUNT</x:v>
      </x:c>
      <x:c r="W97" s="57" t="str"/>
      <x:c r="X97" s="23" t="str">
        <x:v>Metadata text-item count; not a full-text lexical frequency. Secondary metric: NOT_RUN_OPENALEX_DAILY_BUDGET_EXHAUSTED: shared provider response retained; no count fabricated.</x:v>
      </x:c>
    </x:row>
    <x:row r="98" ht="19" customHeight="1">
      <x:c r="A98" s="20" t="str">
        <x:v>FT-SEED-R1B-P-0607-07</x:v>
      </x:c>
      <x:c r="B98" s="22" t="str">
        <x:v>2006–2007</x:v>
      </x:c>
      <x:c r="C98" s="22" t="str">
        <x:v>7</x:v>
      </x:c>
      <x:c r="D98" s="21" t="str">
        <x:v>widespread melting of snow and ice</x:v>
      </x:c>
      <x:c r="E98" s="21" t="str">
        <x:v>generic damage</x:v>
      </x:c>
      <x:c r="F98" s="22" t="str">
        <x:v>harm_loss_consequences</x:v>
      </x:c>
      <x:c r="G98" s="22" t="str">
        <x:v>D</x:v>
      </x:c>
      <x:c r="H98" s="22" t="str">
        <x:v>V1</x:v>
      </x:c>
      <x:c r="I98" s="22" t="str">
        <x:v>E5</x:v>
      </x:c>
      <x:c r="J98" s="21" t="str">
        <x:v>RECONSTRUCTED_FROM_REPORT; Fear of Temperature_ Stratified Lexical Expansion, Voice Mapping, and Semantic-Relational Pre-Valida.pdf; p.10; project candidate FT-SEED-R1B-P-0607-07; original visible ID not available</x:v>
      </x:c>
      <x:c r="K98" s="21" t="str">
        <x:v>INTERNET_ARCHIVE_METADATA_TEXT_ITEM_COUNT</x:v>
      </x:c>
      <x:c r="L98" s="22" t="str">
        <x:v>"widespread melting of snow and ice" AND mediatype:texts</x:v>
      </x:c>
      <x:c r="M98" s="22" t="str">
        <x:v>PHRASE_METADATA_SEARCH</x:v>
      </x:c>
      <x:c r="N98" s="21" t="str">
        <x:v>COMPLETED_ZERO</x:v>
      </x:c>
      <x:c r="O98" s="57" t="str">
        <x:v>0</x:v>
      </x:c>
      <x:c r="P98" s="22" t="str">
        <x:v>0</x:v>
      </x:c>
      <x:c r="Q98" s="22" t="str">
        <x:v>0</x:v>
      </x:c>
      <x:c r="R98" s="22" t="str">
        <x:v>0</x:v>
      </x:c>
      <x:c r="S98" s="22" t="str">
        <x:v>2026-08-26</x:v>
      </x:c>
      <x:c r="T98" s="22" t="str">
        <x:v>https://archive.org/advancedsearch.php</x:v>
      </x:c>
      <x:c r="U98" s="22" t="str">
        <x:v>EXACT_PHRASE</x:v>
      </x:c>
      <x:c r="V98" s="21" t="str">
        <x:v>OPENALEX_WORK_COUNT</x:v>
      </x:c>
      <x:c r="W98" s="57" t="str"/>
      <x:c r="X98" s="23" t="str">
        <x:v>Metadata text-item count; not a full-text lexical frequency. Secondary metric: NOT_RUN_OPENALEX_DAILY_BUDGET_EXHAUSTED: shared provider response retained; no count fabricated.</x:v>
      </x:c>
    </x:row>
    <x:row r="99" ht="19" customHeight="1">
      <x:c r="A99" s="20" t="str">
        <x:v>FT-SEED-R1B-P-0607-08</x:v>
      </x:c>
      <x:c r="B99" s="22" t="str">
        <x:v>2006–2007</x:v>
      </x:c>
      <x:c r="C99" s="22" t="str">
        <x:v>8</x:v>
      </x:c>
      <x:c r="D99" s="21" t="str">
        <x:v>anthropogenic CO₂</x:v>
      </x:c>
      <x:c r="E99" s="21" t="str">
        <x:v>anthropogenic carbon-dioxide production</x:v>
      </x:c>
      <x:c r="F99" s="22" t="str">
        <x:v>carbon_greenhouse</x:v>
      </x:c>
      <x:c r="G99" s="22" t="str">
        <x:v>B</x:v>
      </x:c>
      <x:c r="H99" s="22" t="str">
        <x:v>V1</x:v>
      </x:c>
      <x:c r="I99" s="22" t="str">
        <x:v>E5</x:v>
      </x:c>
      <x:c r="J99" s="21" t="str">
        <x:v>RECONSTRUCTED_FROM_REPORT; Fear of Temperature_ Stratified Lexical Expansion, Voice Mapping, and Semantic-Relational Pre-Valida.pdf; p.10; project candidate FT-SEED-R1B-P-0607-08; original visible ID not available</x:v>
      </x:c>
      <x:c r="K99" s="21" t="str">
        <x:v>INTERNET_ARCHIVE_METADATA_TEXT_ITEM_COUNT</x:v>
      </x:c>
      <x:c r="L99" s="22" t="str">
        <x:v>"anthropogenic CO₂" AND mediatype:texts</x:v>
      </x:c>
      <x:c r="M99" s="22" t="str">
        <x:v>PHRASE_METADATA_SEARCH</x:v>
      </x:c>
      <x:c r="N99" s="21" t="str">
        <x:v>COMPLETED_NONZERO</x:v>
      </x:c>
      <x:c r="O99" s="57" t="str">
        <x:v>8</x:v>
      </x:c>
      <x:c r="P99" s="22" t="str">
        <x:v>8</x:v>
      </x:c>
      <x:c r="Q99" s="22" t="str">
        <x:v>0</x:v>
      </x:c>
      <x:c r="R99" s="22" t="str">
        <x:v>0</x:v>
      </x:c>
      <x:c r="S99" s="22" t="str">
        <x:v>2026-08-26</x:v>
      </x:c>
      <x:c r="T99" s="22" t="str">
        <x:v>https://archive.org/advancedsearch.php</x:v>
      </x:c>
      <x:c r="U99" s="22" t="str">
        <x:v>EXACT_PHRASE</x:v>
      </x:c>
      <x:c r="V99" s="21" t="str">
        <x:v>OPENALEX_WORK_COUNT</x:v>
      </x:c>
      <x:c r="W99" s="57" t="str">
        <x:v>19164</x:v>
      </x:c>
      <x:c r="X99" s="23" t="str">
        <x:v>Metadata text-item count; not a full-text lexical frequency. Secondary metric: Scholarly work discoverability count over OpenAlex search fields; not a corpus word frequency.</x:v>
      </x:c>
    </x:row>
    <x:row r="100" ht="19" customHeight="1">
      <x:c r="A100" s="20" t="str">
        <x:v>FT-SEED-R1B-P-0607-09</x:v>
      </x:c>
      <x:c r="B100" s="22" t="str">
        <x:v>2006–2007</x:v>
      </x:c>
      <x:c r="C100" s="22" t="str">
        <x:v>9</x:v>
      </x:c>
      <x:c r="D100" s="21" t="str">
        <x:v>anthropogenic GHG emissions</x:v>
      </x:c>
      <x:c r="E100" s="21" t="str">
        <x:v>anthropogenic greenhouse-gas emissions</x:v>
      </x:c>
      <x:c r="F100" s="22" t="str">
        <x:v>carbon_greenhouse</x:v>
      </x:c>
      <x:c r="G100" s="22" t="str">
        <x:v>B</x:v>
      </x:c>
      <x:c r="H100" s="22" t="str">
        <x:v>V1</x:v>
      </x:c>
      <x:c r="I100" s="22" t="str">
        <x:v>E5</x:v>
      </x:c>
      <x:c r="J100" s="21" t="str">
        <x:v>RECONSTRUCTED_FROM_REPORT; Fear of Temperature_ Stratified Lexical Expansion, Voice Mapping, and Semantic-Relational Pre-Valida.pdf; p.10; project candidate FT-SEED-R1B-P-0607-09; original visible ID not available</x:v>
      </x:c>
      <x:c r="K100" s="21" t="str">
        <x:v>INTERNET_ARCHIVE_METADATA_TEXT_ITEM_COUNT</x:v>
      </x:c>
      <x:c r="L100" s="22" t="str">
        <x:v>"anthropogenic GHG emissions" AND mediatype:texts</x:v>
      </x:c>
      <x:c r="M100" s="22" t="str">
        <x:v>PHRASE_METADATA_SEARCH</x:v>
      </x:c>
      <x:c r="N100" s="21" t="str">
        <x:v>COMPLETED_NONZERO</x:v>
      </x:c>
      <x:c r="O100" s="57" t="str">
        <x:v>4</x:v>
      </x:c>
      <x:c r="P100" s="22" t="str">
        <x:v>4</x:v>
      </x:c>
      <x:c r="Q100" s="22" t="str">
        <x:v>0</x:v>
      </x:c>
      <x:c r="R100" s="22" t="str">
        <x:v>0</x:v>
      </x:c>
      <x:c r="S100" s="22" t="str">
        <x:v>2026-08-26</x:v>
      </x:c>
      <x:c r="T100" s="22" t="str">
        <x:v>https://archive.org/advancedsearch.php</x:v>
      </x:c>
      <x:c r="U100" s="22" t="str">
        <x:v>EXACT_PHRASE</x:v>
      </x:c>
      <x:c r="V100" s="21" t="str">
        <x:v>OPENALEX_WORK_COUNT</x:v>
      </x:c>
      <x:c r="W100" s="57" t="str">
        <x:v>5913</x:v>
      </x:c>
      <x:c r="X100" s="23" t="str">
        <x:v>Metadata text-item count; not a full-text lexical frequency. Secondary metric: Scholarly work discoverability count over OpenAlex search fields; not a corpus word frequency.</x:v>
      </x:c>
    </x:row>
    <x:row r="101" ht="19" customHeight="1">
      <x:c r="A101" s="20" t="str">
        <x:v>FT-SEED-R1B-P-0607-10</x:v>
      </x:c>
      <x:c r="B101" s="22" t="str">
        <x:v>2006–2007</x:v>
      </x:c>
      <x:c r="C101" s="22" t="str">
        <x:v>10</x:v>
      </x:c>
      <x:c r="D101" s="21" t="str">
        <x:v>climate change</x:v>
      </x:c>
      <x:c r="E101" s="21" t="str">
        <x:v>modern climate change</x:v>
      </x:c>
      <x:c r="F101" s="22" t="str">
        <x:v>climate</x:v>
      </x:c>
      <x:c r="G101" s="22" t="str">
        <x:v>B</x:v>
      </x:c>
      <x:c r="H101" s="22" t="str">
        <x:v>V2</x:v>
      </x:c>
      <x:c r="I101" s="22" t="str">
        <x:v>E5</x:v>
      </x:c>
      <x:c r="J101" s="21" t="str">
        <x:v>RECONSTRUCTED_FROM_REPORT; Fear of Temperature_ Stratified Lexical Expansion, Voice Mapping, and Semantic-Relational Pre-Valida.pdf; p.10; project candidate FT-SEED-R1B-P-0607-10; original visible ID not available</x:v>
      </x:c>
      <x:c r="K101" s="21" t="str">
        <x:v>INTERNET_ARCHIVE_METADATA_TEXT_ITEM_COUNT</x:v>
      </x:c>
      <x:c r="L101" s="22" t="str">
        <x:v>"climate change" AND mediatype:texts</x:v>
      </x:c>
      <x:c r="M101" s="22" t="str">
        <x:v>PHRASE_METADATA_SEARCH</x:v>
      </x:c>
      <x:c r="N101" s="21" t="str">
        <x:v>COMPLETED_NONZERO</x:v>
      </x:c>
      <x:c r="O101" s="57" t="str">
        <x:v>30525</x:v>
      </x:c>
      <x:c r="P101" s="22" t="str">
        <x:v>30525</x:v>
      </x:c>
      <x:c r="Q101" s="22" t="str">
        <x:v>656</x:v>
      </x:c>
      <x:c r="R101" s="22" t="str">
        <x:v>1334</x:v>
      </x:c>
      <x:c r="S101" s="22" t="str">
        <x:v>2026-08-26</x:v>
      </x:c>
      <x:c r="T101" s="22" t="str">
        <x:v>https://archive.org/advancedsearch.php</x:v>
      </x:c>
      <x:c r="U101" s="22" t="str">
        <x:v>EXACT_PHRASE</x:v>
      </x:c>
      <x:c r="V101" s="21" t="str">
        <x:v>OPENALEX_WORK_COUNT</x:v>
      </x:c>
      <x:c r="W101" s="57" t="str">
        <x:v>2549592</x:v>
      </x:c>
      <x:c r="X101" s="23" t="str">
        <x:v>Metadata text-item count; not a full-text lexical frequency. Secondary metric: Scholarly work discoverability count over OpenAlex search fields; not a corpus word frequency.</x:v>
      </x:c>
    </x:row>
    <x:row r="102" ht="19" customHeight="1">
      <x:c r="A102" s="20" t="str">
        <x:v>FT-SEED-R1B-P-0607-11</x:v>
      </x:c>
      <x:c r="B102" s="22" t="str">
        <x:v>2006–2007</x:v>
      </x:c>
      <x:c r="C102" s="22" t="str">
        <x:v>11</x:v>
      </x:c>
      <x:c r="D102" s="21" t="str">
        <x:v>global warming</x:v>
      </x:c>
      <x:c r="E102" s="21" t="str">
        <x:v>global warming as issue label</x:v>
      </x:c>
      <x:c r="F102" s="22" t="str">
        <x:v>warming</x:v>
      </x:c>
      <x:c r="G102" s="22" t="str">
        <x:v>A</x:v>
      </x:c>
      <x:c r="H102" s="22" t="str">
        <x:v>V3</x:v>
      </x:c>
      <x:c r="I102" s="22" t="str">
        <x:v>E5</x:v>
      </x:c>
      <x:c r="J102" s="21" t="str">
        <x:v>RECONSTRUCTED_FROM_REPORT; Fear of Temperature_ Stratified Lexical Expansion, Voice Mapping, and Semantic-Relational Pre-Valida.pdf; p.10; project candidate FT-SEED-R1B-P-0607-11; original visible ID not available</x:v>
      </x:c>
      <x:c r="K102" s="21" t="str">
        <x:v>INTERNET_ARCHIVE_METADATA_TEXT_ITEM_COUNT</x:v>
      </x:c>
      <x:c r="L102" s="22" t="str">
        <x:v>"global warming" AND mediatype:texts</x:v>
      </x:c>
      <x:c r="M102" s="22" t="str">
        <x:v>PHRASE_METADATA_SEARCH</x:v>
      </x:c>
      <x:c r="N102" s="21" t="str">
        <x:v>COMPLETED_NONZERO</x:v>
      </x:c>
      <x:c r="O102" s="57" t="str">
        <x:v>5619</x:v>
      </x:c>
      <x:c r="P102" s="22" t="str">
        <x:v>5619</x:v>
      </x:c>
      <x:c r="Q102" s="22" t="str">
        <x:v>11</x:v>
      </x:c>
      <x:c r="R102" s="22" t="str">
        <x:v>123</x:v>
      </x:c>
      <x:c r="S102" s="22" t="str">
        <x:v>2026-08-26</x:v>
      </x:c>
      <x:c r="T102" s="22" t="str">
        <x:v>https://archive.org/advancedsearch.php</x:v>
      </x:c>
      <x:c r="U102" s="22" t="str">
        <x:v>EXACT_PHRASE</x:v>
      </x:c>
      <x:c r="V102" s="21" t="str">
        <x:v>OPENALEX_WORK_COUNT</x:v>
      </x:c>
      <x:c r="W102" s="57" t="str"/>
      <x:c r="X102" s="23" t="str">
        <x:v>Metadata text-item count; not a full-text lexical frequency. Secondary metric: NOT_RUN_OPENALEX_DAILY_BUDGET_EXHAUSTED: shared provider response retained; no count fabricated.</x:v>
      </x:c>
    </x:row>
    <x:row r="103" ht="19" customHeight="1">
      <x:c r="A103" s="20" t="str">
        <x:v>FT-SEED-R1B-P-0607-12</x:v>
      </x:c>
      <x:c r="B103" s="22" t="str">
        <x:v>2006–2007</x:v>
      </x:c>
      <x:c r="C103" s="22" t="str">
        <x:v>12</x:v>
      </x:c>
      <x:c r="D103" s="21" t="str">
        <x:v>serious global threat</x:v>
      </x:c>
      <x:c r="E103" s="21" t="str">
        <x:v>institutional climate threat</x:v>
      </x:c>
      <x:c r="F103" s="22" t="str">
        <x:v>danger_threat</x:v>
      </x:c>
      <x:c r="G103" s="22" t="str">
        <x:v>D</x:v>
      </x:c>
      <x:c r="H103" s="22" t="str">
        <x:v>V2</x:v>
      </x:c>
      <x:c r="I103" s="22" t="str">
        <x:v>E5</x:v>
      </x:c>
      <x:c r="J103" s="21" t="str">
        <x:v>RECONSTRUCTED_FROM_REPORT; Fear of Temperature_ Stratified Lexical Expansion, Voice Mapping, and Semantic-Relational Pre-Valida.pdf; p.10; project candidate FT-SEED-R1B-P-0607-12; original visible ID not available</x:v>
      </x:c>
      <x:c r="K103" s="21" t="str">
        <x:v>INTERNET_ARCHIVE_METADATA_TEXT_ITEM_COUNT</x:v>
      </x:c>
      <x:c r="L103" s="22" t="str">
        <x:v>"serious global threat" AND mediatype:texts</x:v>
      </x:c>
      <x:c r="M103" s="22" t="str">
        <x:v>PHRASE_METADATA_SEARCH</x:v>
      </x:c>
      <x:c r="N103" s="21" t="str">
        <x:v>COMPLETED_NONZERO</x:v>
      </x:c>
      <x:c r="O103" s="57" t="str">
        <x:v>3</x:v>
      </x:c>
      <x:c r="P103" s="22" t="str">
        <x:v>3</x:v>
      </x:c>
      <x:c r="Q103" s="22" t="str">
        <x:v>0</x:v>
      </x:c>
      <x:c r="R103" s="22" t="str">
        <x:v>1</x:v>
      </x:c>
      <x:c r="S103" s="22" t="str">
        <x:v>2026-08-26</x:v>
      </x:c>
      <x:c r="T103" s="22" t="str">
        <x:v>https://archive.org/advancedsearch.php</x:v>
      </x:c>
      <x:c r="U103" s="22" t="str">
        <x:v>EXACT_PHRASE</x:v>
      </x:c>
      <x:c r="V103" s="21" t="str">
        <x:v>OPENALEX_WORK_COUNT</x:v>
      </x:c>
      <x:c r="W103" s="57" t="str"/>
      <x:c r="X103" s="23" t="str">
        <x:v>Metadata text-item count; not a full-text lexical frequency. Secondary metric: NOT_RUN_OPENALEX_DAILY_BUDGET_EXHAUSTED: shared provider response retained; no count fabricated.</x:v>
      </x:c>
    </x:row>
    <x:row r="104" ht="19" customHeight="1">
      <x:c r="A104" s="20" t="str">
        <x:v>FT-SEED-R1B-P-0607-13</x:v>
      </x:c>
      <x:c r="B104" s="22" t="str">
        <x:v>2006–2007</x:v>
      </x:c>
      <x:c r="C104" s="22" t="str">
        <x:v>13</x:v>
      </x:c>
      <x:c r="D104" s="21" t="str">
        <x:v>urgent global response</x:v>
      </x:c>
      <x:c r="E104" s="21" t="str">
        <x:v>generic damage</x:v>
      </x:c>
      <x:c r="F104" s="22" t="str">
        <x:v>harm_loss_consequences</x:v>
      </x:c>
      <x:c r="G104" s="22" t="str">
        <x:v>D</x:v>
      </x:c>
      <x:c r="H104" s="22" t="str">
        <x:v>V2</x:v>
      </x:c>
      <x:c r="I104" s="22" t="str">
        <x:v>E5</x:v>
      </x:c>
      <x:c r="J104" s="21" t="str">
        <x:v>RECONSTRUCTED_FROM_REPORT; Fear of Temperature_ Stratified Lexical Expansion, Voice Mapping, and Semantic-Relational Pre-Valida.pdf; p.10; project candidate FT-SEED-R1B-P-0607-13; original visible ID not available</x:v>
      </x:c>
      <x:c r="K104" s="21" t="str">
        <x:v>INTERNET_ARCHIVE_METADATA_TEXT_ITEM_COUNT</x:v>
      </x:c>
      <x:c r="L104" s="22" t="str">
        <x:v>"urgent global response" AND mediatype:texts</x:v>
      </x:c>
      <x:c r="M104" s="22" t="str">
        <x:v>PHRASE_METADATA_SEARCH</x:v>
      </x:c>
      <x:c r="N104" s="21" t="str">
        <x:v>COMPLETED_ZERO</x:v>
      </x:c>
      <x:c r="O104" s="57" t="str">
        <x:v>0</x:v>
      </x:c>
      <x:c r="P104" s="22" t="str">
        <x:v>0</x:v>
      </x:c>
      <x:c r="Q104" s="22" t="str">
        <x:v>0</x:v>
      </x:c>
      <x:c r="R104" s="22" t="str">
        <x:v>0</x:v>
      </x:c>
      <x:c r="S104" s="22" t="str">
        <x:v>2026-08-26</x:v>
      </x:c>
      <x:c r="T104" s="22" t="str">
        <x:v>https://archive.org/advancedsearch.php</x:v>
      </x:c>
      <x:c r="U104" s="22" t="str">
        <x:v>EXACT_PHRASE</x:v>
      </x:c>
      <x:c r="V104" s="21" t="str">
        <x:v>OPENALEX_WORK_COUNT</x:v>
      </x:c>
      <x:c r="W104" s="57" t="str"/>
      <x:c r="X104" s="23" t="str">
        <x:v>Metadata text-item count; not a full-text lexical frequency. Secondary metric: NOT_RUN_OPENALEX_DAILY_BUDGET_EXHAUSTED: shared provider response retained; no count fabricated.</x:v>
      </x:c>
    </x:row>
    <x:row r="105" ht="19" customHeight="1">
      <x:c r="A105" s="20" t="str">
        <x:v>FT-SEED-R1B-P-0607-14</x:v>
      </x:c>
      <x:c r="B105" s="22" t="str">
        <x:v>2006–2007</x:v>
      </x:c>
      <x:c r="C105" s="22" t="str">
        <x:v>14</x:v>
      </x:c>
      <x:c r="D105" s="21" t="str">
        <x:v>costs and risks of climate change</x:v>
      </x:c>
      <x:c r="E105" s="21" t="str">
        <x:v>modern climate change</x:v>
      </x:c>
      <x:c r="F105" s="22" t="str">
        <x:v>climate</x:v>
      </x:c>
      <x:c r="G105" s="22" t="str">
        <x:v>D</x:v>
      </x:c>
      <x:c r="H105" s="22" t="str">
        <x:v>V2</x:v>
      </x:c>
      <x:c r="I105" s="22" t="str">
        <x:v>E5</x:v>
      </x:c>
      <x:c r="J105" s="21" t="str">
        <x:v>RECONSTRUCTED_FROM_REPORT; Fear of Temperature_ Stratified Lexical Expansion, Voice Mapping, and Semantic-Relational Pre-Valida.pdf; p.10; project candidate FT-SEED-R1B-P-0607-14; original visible ID not available</x:v>
      </x:c>
      <x:c r="K105" s="21" t="str">
        <x:v>INTERNET_ARCHIVE_METADATA_TEXT_ITEM_COUNT</x:v>
      </x:c>
      <x:c r="L105" s="22" t="str">
        <x:v>"costs and risks of climate change" AND mediatype:texts</x:v>
      </x:c>
      <x:c r="M105" s="22" t="str">
        <x:v>PHRASE_METADATA_SEARCH</x:v>
      </x:c>
      <x:c r="N105" s="21" t="str">
        <x:v>COMPLETED_ZERO</x:v>
      </x:c>
      <x:c r="O105" s="57" t="str">
        <x:v>0</x:v>
      </x:c>
      <x:c r="P105" s="22" t="str">
        <x:v>0</x:v>
      </x:c>
      <x:c r="Q105" s="22" t="str">
        <x:v>0</x:v>
      </x:c>
      <x:c r="R105" s="22" t="str">
        <x:v>0</x:v>
      </x:c>
      <x:c r="S105" s="22" t="str">
        <x:v>2026-08-26</x:v>
      </x:c>
      <x:c r="T105" s="22" t="str">
        <x:v>https://archive.org/advancedsearch.php</x:v>
      </x:c>
      <x:c r="U105" s="22" t="str">
        <x:v>EXACT_PHRASE</x:v>
      </x:c>
      <x:c r="V105" s="21" t="str">
        <x:v>OPENALEX_WORK_COUNT</x:v>
      </x:c>
      <x:c r="W105" s="57" t="str"/>
      <x:c r="X105" s="23" t="str">
        <x:v>Metadata text-item count; not a full-text lexical frequency. Secondary metric: HTTP 429: {"error":"Rate limit exceeded","message":"Insufficient budget. This request costs $0.001 but you only have $0 remaining. Resets at midnight UTC. Need more? Add funds at https://openalex.org/pricing","retryAfter":62990,"costUsd":0.001,"daily</x:v>
      </x:c>
    </x:row>
    <x:row r="106" ht="19" customHeight="1">
      <x:c r="A106" s="20" t="str">
        <x:v>FT-SEED-R1B-P-0607-15</x:v>
      </x:c>
      <x:c r="B106" s="22" t="str">
        <x:v>2006–2007</x:v>
      </x:c>
      <x:c r="C106" s="22" t="str">
        <x:v>15</x:v>
      </x:c>
      <x:c r="D106" s="21" t="str">
        <x:v>impacts of climate change</x:v>
      </x:c>
      <x:c r="E106" s="21" t="str">
        <x:v>modern climate change</x:v>
      </x:c>
      <x:c r="F106" s="22" t="str">
        <x:v>climate</x:v>
      </x:c>
      <x:c r="G106" s="22" t="str">
        <x:v>D</x:v>
      </x:c>
      <x:c r="H106" s="22" t="str">
        <x:v>V2</x:v>
      </x:c>
      <x:c r="I106" s="22" t="str">
        <x:v>E5</x:v>
      </x:c>
      <x:c r="J106" s="21" t="str">
        <x:v>RECONSTRUCTED_FROM_REPORT; Fear of Temperature_ Stratified Lexical Expansion, Voice Mapping, and Semantic-Relational Pre-Valida.pdf; p.10; project candidate FT-SEED-R1B-P-0607-15; original visible ID not available</x:v>
      </x:c>
      <x:c r="K106" s="21" t="str">
        <x:v>INTERNET_ARCHIVE_METADATA_TEXT_ITEM_COUNT</x:v>
      </x:c>
      <x:c r="L106" s="22" t="str">
        <x:v>"impacts of climate change" AND mediatype:texts</x:v>
      </x:c>
      <x:c r="M106" s="22" t="str">
        <x:v>PHRASE_METADATA_SEARCH</x:v>
      </x:c>
      <x:c r="N106" s="21" t="str">
        <x:v>COMPLETED_NONZERO</x:v>
      </x:c>
      <x:c r="O106" s="57" t="str">
        <x:v>656</x:v>
      </x:c>
      <x:c r="P106" s="22" t="str">
        <x:v>656</x:v>
      </x:c>
      <x:c r="Q106" s="22" t="str">
        <x:v>18</x:v>
      </x:c>
      <x:c r="R106" s="22" t="str">
        <x:v>33</x:v>
      </x:c>
      <x:c r="S106" s="22" t="str">
        <x:v>2026-08-26</x:v>
      </x:c>
      <x:c r="T106" s="22" t="str">
        <x:v>https://archive.org/advancedsearch.php</x:v>
      </x:c>
      <x:c r="U106" s="22" t="str">
        <x:v>EXACT_PHRASE</x:v>
      </x:c>
      <x:c r="V106" s="21" t="str">
        <x:v>OPENALEX_WORK_COUNT</x:v>
      </x:c>
      <x:c r="W106" s="57" t="str"/>
      <x:c r="X106" s="23" t="str">
        <x:v>Metadata text-item count; not a full-text lexical frequency. Secondary metric: NOT_RUN_OPENALEX_DAILY_BUDGET_EXHAUSTED: shared provider response retained; no count fabricated.</x:v>
      </x:c>
    </x:row>
    <x:row r="107" ht="19" customHeight="1">
      <x:c r="A107" s="20" t="str">
        <x:v>FT-SEED-R1B-P-0607-16</x:v>
      </x:c>
      <x:c r="B107" s="22" t="str">
        <x:v>2006–2007</x:v>
      </x:c>
      <x:c r="C107" s="22" t="str">
        <x:v>16</x:v>
      </x:c>
      <x:c r="D107" s="21" t="str">
        <x:v>damage</x:v>
      </x:c>
      <x:c r="E107" s="21" t="str">
        <x:v>generic damage</x:v>
      </x:c>
      <x:c r="F107" s="22" t="str">
        <x:v>harm_loss_consequences</x:v>
      </x:c>
      <x:c r="G107" s="22" t="str">
        <x:v>D</x:v>
      </x:c>
      <x:c r="H107" s="22" t="str">
        <x:v>V2</x:v>
      </x:c>
      <x:c r="I107" s="22" t="str">
        <x:v>E5</x:v>
      </x:c>
      <x:c r="J107" s="21" t="str">
        <x:v>RECONSTRUCTED_FROM_REPORT; Fear of Temperature_ Stratified Lexical Expansion, Voice Mapping, and Semantic-Relational Pre-Valida.pdf; p.10; project candidate FT-SEED-R1B-P-0607-16; original visible ID not available</x:v>
      </x:c>
      <x:c r="K107" s="21" t="str">
        <x:v>INTERNET_ARCHIVE_METADATA_TEXT_ITEM_COUNT</x:v>
      </x:c>
      <x:c r="L107" s="22" t="str">
        <x:v>"damage" AND mediatype:texts</x:v>
      </x:c>
      <x:c r="M107" s="22" t="str">
        <x:v>PHRASE_METADATA_SEARCH</x:v>
      </x:c>
      <x:c r="N107" s="21" t="str">
        <x:v>COMPLETED_NONZERO</x:v>
      </x:c>
      <x:c r="O107" s="57" t="str">
        <x:v>71319</x:v>
      </x:c>
      <x:c r="P107" s="22" t="str">
        <x:v>71319</x:v>
      </x:c>
      <x:c r="Q107" s="22" t="str">
        <x:v>1697</x:v>
      </x:c>
      <x:c r="R107" s="22" t="str">
        <x:v>3470</x:v>
      </x:c>
      <x:c r="S107" s="22" t="str">
        <x:v>2026-08-26</x:v>
      </x:c>
      <x:c r="T107" s="22" t="str">
        <x:v>https://archive.org/advancedsearch.php</x:v>
      </x:c>
      <x:c r="U107" s="22" t="str">
        <x:v>EXACT_PHRASE</x:v>
      </x:c>
      <x:c r="V107" s="21" t="str">
        <x:v>OPENALEX_WORK_COUNT</x:v>
      </x:c>
      <x:c r="W107" s="57" t="str"/>
      <x:c r="X107" s="23" t="str">
        <x:v>Metadata text-item count; not a full-text lexical frequency. Secondary metric: HTTP 429: {"error":"Rate limit exceeded","message":"Insufficient budget. This request costs $0.001 but you only have $0 remaining. Resets at midnight UTC. Need more? Add funds at https://openalex.org/pricing","retryAfter":62943,"costUsd":0.001,"daily</x:v>
      </x:c>
    </x:row>
    <x:row r="108" ht="19" customHeight="1">
      <x:c r="A108" s="20" t="str">
        <x:v>FT-SEED-R1B-P-0607-17</x:v>
      </x:c>
      <x:c r="B108" s="22" t="str">
        <x:v>2006–2007</x:v>
      </x:c>
      <x:c r="C108" s="22" t="str">
        <x:v>17</x:v>
      </x:c>
      <x:c r="D108" s="21" t="str">
        <x:v>hunger</x:v>
      </x:c>
      <x:c r="E108" s="21" t="str">
        <x:v>generic damage</x:v>
      </x:c>
      <x:c r="F108" s="22" t="str">
        <x:v>harm_loss_consequences</x:v>
      </x:c>
      <x:c r="G108" s="22" t="str">
        <x:v>D</x:v>
      </x:c>
      <x:c r="H108" s="22" t="str">
        <x:v>V2</x:v>
      </x:c>
      <x:c r="I108" s="22" t="str">
        <x:v>E5</x:v>
      </x:c>
      <x:c r="J108" s="21" t="str">
        <x:v>RECONSTRUCTED_FROM_REPORT; Fear of Temperature_ Stratified Lexical Expansion, Voice Mapping, and Semantic-Relational Pre-Valida.pdf; p.10; project candidate FT-SEED-R1B-P-0607-17; original visible ID not available</x:v>
      </x:c>
      <x:c r="K108" s="21" t="str">
        <x:v>INTERNET_ARCHIVE_METADATA_TEXT_ITEM_COUNT</x:v>
      </x:c>
      <x:c r="L108" s="22" t="str">
        <x:v>"hunger" AND mediatype:texts</x:v>
      </x:c>
      <x:c r="M108" s="22" t="str">
        <x:v>PHRASE_METADATA_SEARCH</x:v>
      </x:c>
      <x:c r="N108" s="21" t="str">
        <x:v>COMPLETED_NONZERO</x:v>
      </x:c>
      <x:c r="O108" s="57" t="str">
        <x:v>8913</x:v>
      </x:c>
      <x:c r="P108" s="22" t="str">
        <x:v>8913</x:v>
      </x:c>
      <x:c r="Q108" s="22" t="str">
        <x:v>273</x:v>
      </x:c>
      <x:c r="R108" s="22" t="str">
        <x:v>544</x:v>
      </x:c>
      <x:c r="S108" s="22" t="str">
        <x:v>2026-08-26</x:v>
      </x:c>
      <x:c r="T108" s="22" t="str">
        <x:v>https://archive.org/advancedsearch.php</x:v>
      </x:c>
      <x:c r="U108" s="22" t="str">
        <x:v>EXACT_PHRASE</x:v>
      </x:c>
      <x:c r="V108" s="21" t="str">
        <x:v>OPENALEX_WORK_COUNT</x:v>
      </x:c>
      <x:c r="W108" s="57" t="str"/>
      <x:c r="X108" s="23" t="str">
        <x:v>Metadata text-item count; not a full-text lexical frequency. Secondary metric: NOT_RUN_OPENALEX_DAILY_BUDGET_EXHAUSTED: shared provider response retained; no count fabricated.</x:v>
      </x:c>
    </x:row>
    <x:row r="109" ht="19" customHeight="1">
      <x:c r="A109" s="20" t="str">
        <x:v>FT-SEED-R1B-P-0607-18</x:v>
      </x:c>
      <x:c r="B109" s="22" t="str">
        <x:v>2006–2007</x:v>
      </x:c>
      <x:c r="C109" s="22" t="str">
        <x:v>18</x:v>
      </x:c>
      <x:c r="D109" s="21" t="str">
        <x:v>water shortages</x:v>
      </x:c>
      <x:c r="E109" s="21" t="str">
        <x:v>generic damage</x:v>
      </x:c>
      <x:c r="F109" s="22" t="str">
        <x:v>harm_loss_consequences</x:v>
      </x:c>
      <x:c r="G109" s="22" t="str">
        <x:v>D</x:v>
      </x:c>
      <x:c r="H109" s="22" t="str">
        <x:v>V2</x:v>
      </x:c>
      <x:c r="I109" s="22" t="str">
        <x:v>E5</x:v>
      </x:c>
      <x:c r="J109" s="21" t="str">
        <x:v>RECONSTRUCTED_FROM_REPORT; Fear of Temperature_ Stratified Lexical Expansion, Voice Mapping, and Semantic-Relational Pre-Valida.pdf; p.10; project candidate FT-SEED-R1B-P-0607-18; original visible ID not available</x:v>
      </x:c>
      <x:c r="K109" s="21" t="str">
        <x:v>INTERNET_ARCHIVE_METADATA_TEXT_ITEM_COUNT</x:v>
      </x:c>
      <x:c r="L109" s="22" t="str">
        <x:v>"water shortages" AND mediatype:texts</x:v>
      </x:c>
      <x:c r="M109" s="22" t="str">
        <x:v>PHRASE_METADATA_SEARCH</x:v>
      </x:c>
      <x:c r="N109" s="21" t="str">
        <x:v>COMPLETED_NONZERO</x:v>
      </x:c>
      <x:c r="O109" s="57" t="str">
        <x:v>223</x:v>
      </x:c>
      <x:c r="P109" s="22" t="str">
        <x:v>223</x:v>
      </x:c>
      <x:c r="Q109" s="22" t="str">
        <x:v>4</x:v>
      </x:c>
      <x:c r="R109" s="22" t="str">
        <x:v>10</x:v>
      </x:c>
      <x:c r="S109" s="22" t="str">
        <x:v>2026-08-26</x:v>
      </x:c>
      <x:c r="T109" s="22" t="str">
        <x:v>https://archive.org/advancedsearch.php</x:v>
      </x:c>
      <x:c r="U109" s="22" t="str">
        <x:v>EXACT_PHRASE</x:v>
      </x:c>
      <x:c r="V109" s="21" t="str">
        <x:v>OPENALEX_WORK_COUNT</x:v>
      </x:c>
      <x:c r="W109" s="57" t="str"/>
      <x:c r="X109" s="23" t="str">
        <x:v>Metadata text-item count; not a full-text lexical frequency. Secondary metric: NOT_RUN_OPENALEX_DAILY_BUDGET_EXHAUSTED: shared provider response retained; no count fabricated.</x:v>
      </x:c>
    </x:row>
    <x:row r="110" ht="19" customHeight="1">
      <x:c r="A110" s="20" t="str">
        <x:v>FT-SEED-R1B-P-0607-19</x:v>
      </x:c>
      <x:c r="B110" s="22" t="str">
        <x:v>2006–2007</x:v>
      </x:c>
      <x:c r="C110" s="22" t="str">
        <x:v>19</x:v>
      </x:c>
      <x:c r="D110" s="21" t="str">
        <x:v>coastal flooding</x:v>
      </x:c>
      <x:c r="E110" s="21" t="str">
        <x:v>generic damage</x:v>
      </x:c>
      <x:c r="F110" s="22" t="str">
        <x:v>harm_loss_consequences</x:v>
      </x:c>
      <x:c r="G110" s="22" t="str">
        <x:v>D</x:v>
      </x:c>
      <x:c r="H110" s="22" t="str">
        <x:v>V2</x:v>
      </x:c>
      <x:c r="I110" s="22" t="str">
        <x:v>E5</x:v>
      </x:c>
      <x:c r="J110" s="21" t="str">
        <x:v>RECONSTRUCTED_FROM_REPORT; Fear of Temperature_ Stratified Lexical Expansion, Voice Mapping, and Semantic-Relational Pre-Valida.pdf; p.10; project candidate FT-SEED-R1B-P-0607-19; original visible ID not available</x:v>
      </x:c>
      <x:c r="K110" s="21" t="str">
        <x:v>INTERNET_ARCHIVE_METADATA_TEXT_ITEM_COUNT</x:v>
      </x:c>
      <x:c r="L110" s="22" t="str">
        <x:v>"coastal flooding" AND mediatype:texts</x:v>
      </x:c>
      <x:c r="M110" s="22" t="str">
        <x:v>PHRASE_METADATA_SEARCH</x:v>
      </x:c>
      <x:c r="N110" s="21" t="str">
        <x:v>COMPLETED_NONZERO</x:v>
      </x:c>
      <x:c r="O110" s="57" t="str">
        <x:v>87</x:v>
      </x:c>
      <x:c r="P110" s="22" t="str">
        <x:v>87</x:v>
      </x:c>
      <x:c r="Q110" s="22" t="str">
        <x:v>1</x:v>
      </x:c>
      <x:c r="R110" s="22" t="str">
        <x:v>4</x:v>
      </x:c>
      <x:c r="S110" s="22" t="str">
        <x:v>2026-08-26</x:v>
      </x:c>
      <x:c r="T110" s="22" t="str">
        <x:v>https://archive.org/advancedsearch.php</x:v>
      </x:c>
      <x:c r="U110" s="22" t="str">
        <x:v>EXACT_PHRASE</x:v>
      </x:c>
      <x:c r="V110" s="21" t="str">
        <x:v>OPENALEX_WORK_COUNT</x:v>
      </x:c>
      <x:c r="W110" s="57" t="str">
        <x:v>22058</x:v>
      </x:c>
      <x:c r="X110" s="23" t="str">
        <x:v>Metadata text-item count; not a full-text lexical frequency. Secondary metric: Scholarly work discoverability count over OpenAlex search fields; not a corpus word frequency.</x:v>
      </x:c>
    </x:row>
    <x:row r="111" ht="19" customHeight="1">
      <x:c r="A111" s="20" t="str">
        <x:v>FT-SEED-R1B-P-0607-20</x:v>
      </x:c>
      <x:c r="B111" s="22" t="str">
        <x:v>2006–2007</x:v>
      </x:c>
      <x:c r="C111" s="22" t="str">
        <x:v>20</x:v>
      </x:c>
      <x:c r="D111" s="21" t="str">
        <x:v>worst impacts</x:v>
      </x:c>
      <x:c r="E111" s="21" t="str">
        <x:v>generic damage</x:v>
      </x:c>
      <x:c r="F111" s="22" t="str">
        <x:v>harm_loss_consequences</x:v>
      </x:c>
      <x:c r="G111" s="22" t="str">
        <x:v>D</x:v>
      </x:c>
      <x:c r="H111" s="22" t="str">
        <x:v>V2</x:v>
      </x:c>
      <x:c r="I111" s="22" t="str">
        <x:v>E5</x:v>
      </x:c>
      <x:c r="J111" s="21" t="str">
        <x:v>RECONSTRUCTED_FROM_REPORT; Fear of Temperature_ Stratified Lexical Expansion, Voice Mapping, and Semantic-Relational Pre-Valida.pdf; p.10; project candidate FT-SEED-R1B-P-0607-20; original visible ID not available</x:v>
      </x:c>
      <x:c r="K111" s="21" t="str">
        <x:v>INTERNET_ARCHIVE_METADATA_TEXT_ITEM_COUNT</x:v>
      </x:c>
      <x:c r="L111" s="22" t="str">
        <x:v>"worst impacts" AND mediatype:texts</x:v>
      </x:c>
      <x:c r="M111" s="22" t="str">
        <x:v>PHRASE_METADATA_SEARCH</x:v>
      </x:c>
      <x:c r="N111" s="21" t="str">
        <x:v>COMPLETED_NONZERO</x:v>
      </x:c>
      <x:c r="O111" s="57" t="str">
        <x:v>13</x:v>
      </x:c>
      <x:c r="P111" s="22" t="str">
        <x:v>13</x:v>
      </x:c>
      <x:c r="Q111" s="22" t="str">
        <x:v>0</x:v>
      </x:c>
      <x:c r="R111" s="22" t="str">
        <x:v>1</x:v>
      </x:c>
      <x:c r="S111" s="22" t="str">
        <x:v>2026-08-26</x:v>
      </x:c>
      <x:c r="T111" s="22" t="str">
        <x:v>https://archive.org/advancedsearch.php</x:v>
      </x:c>
      <x:c r="U111" s="22" t="str">
        <x:v>EXACT_PHRASE</x:v>
      </x:c>
      <x:c r="V111" s="21" t="str">
        <x:v>OPENALEX_WORK_COUNT</x:v>
      </x:c>
      <x:c r="W111" s="57" t="str"/>
      <x:c r="X111" s="23" t="str">
        <x:v>Metadata text-item count; not a full-text lexical frequency. Secondary metric: NOT_RUN_OPENALEX_DAILY_BUDGET_EXHAUSTED: shared provider response retained; no count fabricated.</x:v>
      </x:c>
    </x:row>
    <x:row r="112" ht="19" customHeight="1">
      <x:c r="A112" s="20" t="str">
        <x:v>FT-SEED-R1B-P-0607-21</x:v>
      </x:c>
      <x:c r="B112" s="22" t="str">
        <x:v>2006–2007</x:v>
      </x:c>
      <x:c r="C112" s="22" t="str">
        <x:v>21</x:v>
      </x:c>
      <x:c r="D112" s="21" t="str">
        <x:v>Be Worried. Be Very Worried.</x:v>
      </x:c>
      <x:c r="E112" s="21" t="str">
        <x:v>prescribed worry</x:v>
      </x:c>
      <x:c r="F112" s="22" t="str">
        <x:v>worry</x:v>
      </x:c>
      <x:c r="G112" s="22" t="str">
        <x:v>C</x:v>
      </x:c>
      <x:c r="H112" s="22" t="str">
        <x:v>V3</x:v>
      </x:c>
      <x:c r="I112" s="22" t="str">
        <x:v>E1</x:v>
      </x:c>
      <x:c r="J112" s="21" t="str">
        <x:v>RECONSTRUCTED_FROM_REPORT; Fear of Temperature_ Stratified Lexical Expansion, Voice Mapping, and Semantic-Relational Pre-Valida.pdf; p.10; project candidate FT-SEED-R1B-P-0607-21; original visible ID not available</x:v>
      </x:c>
      <x:c r="K112" s="21" t="str">
        <x:v>INTERNET_ARCHIVE_METADATA_TEXT_ITEM_COUNT</x:v>
      </x:c>
      <x:c r="L112" s="22" t="str">
        <x:v>"Be Worried. Be Very Worried." AND mediatype:texts</x:v>
      </x:c>
      <x:c r="M112" s="22" t="str">
        <x:v>PHRASE_METADATA_SEARCH</x:v>
      </x:c>
      <x:c r="N112" s="21" t="str">
        <x:v>COMPLETED_ZERO</x:v>
      </x:c>
      <x:c r="O112" s="57" t="str">
        <x:v>0</x:v>
      </x:c>
      <x:c r="P112" s="22" t="str">
        <x:v>0</x:v>
      </x:c>
      <x:c r="Q112" s="22" t="str">
        <x:v>0</x:v>
      </x:c>
      <x:c r="R112" s="22" t="str">
        <x:v>0</x:v>
      </x:c>
      <x:c r="S112" s="22" t="str">
        <x:v>2026-08-26</x:v>
      </x:c>
      <x:c r="T112" s="22" t="str">
        <x:v>https://archive.org/advancedsearch.php</x:v>
      </x:c>
      <x:c r="U112" s="22" t="str">
        <x:v>EXACT_PHRASE</x:v>
      </x:c>
      <x:c r="V112" s="21" t="str">
        <x:v>OPENALEX_WORK_COUNT</x:v>
      </x:c>
      <x:c r="W112" s="57" t="str">
        <x:v>41</x:v>
      </x:c>
      <x:c r="X112" s="23" t="str">
        <x:v>Metadata text-item count; not a full-text lexical frequency. Secondary metric: Scholarly work discoverability count over OpenAlex search fields; not a corpus word frequency.</x:v>
      </x:c>
    </x:row>
    <x:row r="113" ht="19" customHeight="1">
      <x:c r="A113" s="20" t="str">
        <x:v>FT-SEED-R1B-P-0607-22</x:v>
      </x:c>
      <x:c r="B113" s="22" t="str">
        <x:v>2006–2007</x:v>
      </x:c>
      <x:c r="C113" s="22" t="str">
        <x:v>22</x:v>
      </x:c>
      <x:c r="D113" s="21" t="str">
        <x:v>personally worry</x:v>
      </x:c>
      <x:c r="E113" s="21" t="str">
        <x:v>elicited worry category</x:v>
      </x:c>
      <x:c r="F113" s="22" t="str">
        <x:v>worry</x:v>
      </x:c>
      <x:c r="G113" s="22" t="str">
        <x:v>C</x:v>
      </x:c>
      <x:c r="H113" s="22" t="str">
        <x:v>V5</x:v>
      </x:c>
      <x:c r="I113" s="22" t="str">
        <x:v>E3</x:v>
      </x:c>
      <x:c r="J113" s="21" t="str">
        <x:v>RECONSTRUCTED_FROM_REPORT; Fear of Temperature_ Stratified Lexical Expansion, Voice Mapping, and Semantic-Relational Pre-Valida.pdf; p.10; project candidate FT-SEED-R1B-P-0607-22; original visible ID not available</x:v>
      </x:c>
      <x:c r="K113" s="21" t="str">
        <x:v>INTERNET_ARCHIVE_METADATA_TEXT_ITEM_COUNT</x:v>
      </x:c>
      <x:c r="L113" s="22" t="str">
        <x:v>"personally worry" AND mediatype:texts</x:v>
      </x:c>
      <x:c r="M113" s="22" t="str">
        <x:v>PHRASE_METADATA_SEARCH</x:v>
      </x:c>
      <x:c r="N113" s="21" t="str">
        <x:v>COMPLETED_ZERO</x:v>
      </x:c>
      <x:c r="O113" s="57" t="str">
        <x:v>0</x:v>
      </x:c>
      <x:c r="P113" s="22" t="str">
        <x:v>0</x:v>
      </x:c>
      <x:c r="Q113" s="22" t="str">
        <x:v>0</x:v>
      </x:c>
      <x:c r="R113" s="22" t="str">
        <x:v>0</x:v>
      </x:c>
      <x:c r="S113" s="22" t="str">
        <x:v>2026-08-26</x:v>
      </x:c>
      <x:c r="T113" s="22" t="str">
        <x:v>https://archive.org/advancedsearch.php</x:v>
      </x:c>
      <x:c r="U113" s="22" t="str">
        <x:v>EXACT_PHRASE</x:v>
      </x:c>
      <x:c r="V113" s="21" t="str">
        <x:v>OPENALEX_WORK_COUNT</x:v>
      </x:c>
      <x:c r="W113" s="57" t="str"/>
      <x:c r="X113" s="23" t="str">
        <x:v>Metadata text-item count; not a full-text lexical frequency. Secondary metric: NOT_RUN_OPENALEX_DAILY_BUDGET_EXHAUSTED: shared provider response retained; no count fabricated.</x:v>
      </x:c>
    </x:row>
    <x:row r="114" ht="19" customHeight="1">
      <x:c r="A114" s="20" t="str">
        <x:v>FT-SEED-R1B-P-0607-23</x:v>
      </x:c>
      <x:c r="B114" s="22" t="str">
        <x:v>2006–2007</x:v>
      </x:c>
      <x:c r="C114" s="22" t="str">
        <x:v>23</x:v>
      </x:c>
      <x:c r="D114" s="21" t="str">
        <x:v>worry a great deal</x:v>
      </x:c>
      <x:c r="E114" s="21" t="str">
        <x:v>elicited worry category</x:v>
      </x:c>
      <x:c r="F114" s="22" t="str">
        <x:v>worry</x:v>
      </x:c>
      <x:c r="G114" s="22" t="str">
        <x:v>C</x:v>
      </x:c>
      <x:c r="H114" s="22" t="str">
        <x:v>V5</x:v>
      </x:c>
      <x:c r="I114" s="22" t="str">
        <x:v>E5</x:v>
      </x:c>
      <x:c r="J114" s="21" t="str">
        <x:v>RECONSTRUCTED_FROM_REPORT; Fear of Temperature_ Stratified Lexical Expansion, Voice Mapping, and Semantic-Relational Pre-Valida.pdf; p.10; project candidate FT-SEED-R1B-P-0607-23; original visible ID not available</x:v>
      </x:c>
      <x:c r="K114" s="21" t="str">
        <x:v>INTERNET_ARCHIVE_METADATA_TEXT_ITEM_COUNT</x:v>
      </x:c>
      <x:c r="L114" s="22" t="str">
        <x:v>"worry a great deal" AND mediatype:texts</x:v>
      </x:c>
      <x:c r="M114" s="22" t="str">
        <x:v>PHRASE_METADATA_SEARCH</x:v>
      </x:c>
      <x:c r="N114" s="21" t="str">
        <x:v>COMPLETED_NONZERO</x:v>
      </x:c>
      <x:c r="O114" s="57" t="str">
        <x:v>3</x:v>
      </x:c>
      <x:c r="P114" s="22" t="str">
        <x:v>3</x:v>
      </x:c>
      <x:c r="Q114" s="22" t="str">
        <x:v>0</x:v>
      </x:c>
      <x:c r="R114" s="22" t="str">
        <x:v>0</x:v>
      </x:c>
      <x:c r="S114" s="22" t="str">
        <x:v>2026-08-26</x:v>
      </x:c>
      <x:c r="T114" s="22" t="str">
        <x:v>https://archive.org/advancedsearch.php</x:v>
      </x:c>
      <x:c r="U114" s="22" t="str">
        <x:v>EXACT_PHRASE</x:v>
      </x:c>
      <x:c r="V114" s="21" t="str">
        <x:v>OPENALEX_WORK_COUNT</x:v>
      </x:c>
      <x:c r="W114" s="57" t="str"/>
      <x:c r="X114" s="23" t="str">
        <x:v>Metadata text-item count; not a full-text lexical frequency. Secondary metric: NOT_RUN_OPENALEX_DAILY_BUDGET_EXHAUSTED: shared provider response retained; no count fabricated.</x:v>
      </x:c>
    </x:row>
    <x:row r="115" ht="19" customHeight="1">
      <x:c r="A115" s="20" t="str">
        <x:v>FT-SEED-R1B-P-0607-24</x:v>
      </x:c>
      <x:c r="B115" s="22" t="str">
        <x:v>2006–2007</x:v>
      </x:c>
      <x:c r="C115" s="22" t="str">
        <x:v>24</x:v>
      </x:c>
      <x:c r="D115" s="21" t="str">
        <x:v>serious problem</x:v>
      </x:c>
      <x:c r="E115" s="21" t="str">
        <x:v>generic damage</x:v>
      </x:c>
      <x:c r="F115" s="22" t="str">
        <x:v>harm_loss_consequences</x:v>
      </x:c>
      <x:c r="G115" s="22" t="str">
        <x:v>D</x:v>
      </x:c>
      <x:c r="H115" s="22" t="str">
        <x:v>V5</x:v>
      </x:c>
      <x:c r="I115" s="22" t="str">
        <x:v>E5</x:v>
      </x:c>
      <x:c r="J115" s="21" t="str">
        <x:v>RECONSTRUCTED_FROM_REPORT; Fear of Temperature_ Stratified Lexical Expansion, Voice Mapping, and Semantic-Relational Pre-Valida.pdf; p.10; project candidate FT-SEED-R1B-P-0607-24; original visible ID not available</x:v>
      </x:c>
      <x:c r="K115" s="21" t="str">
        <x:v>INTERNET_ARCHIVE_METADATA_TEXT_ITEM_COUNT</x:v>
      </x:c>
      <x:c r="L115" s="22" t="str">
        <x:v>"serious problem" AND mediatype:texts</x:v>
      </x:c>
      <x:c r="M115" s="22" t="str">
        <x:v>PHRASE_METADATA_SEARCH</x:v>
      </x:c>
      <x:c r="N115" s="21" t="str">
        <x:v>COMPLETED_NONZERO</x:v>
      </x:c>
      <x:c r="O115" s="57" t="str">
        <x:v>2579</x:v>
      </x:c>
      <x:c r="P115" s="22" t="str">
        <x:v>2579</x:v>
      </x:c>
      <x:c r="Q115" s="22" t="str">
        <x:v>80</x:v>
      </x:c>
      <x:c r="R115" s="22" t="str">
        <x:v>147</x:v>
      </x:c>
      <x:c r="S115" s="22" t="str">
        <x:v>2026-08-26</x:v>
      </x:c>
      <x:c r="T115" s="22" t="str">
        <x:v>https://archive.org/advancedsearch.php</x:v>
      </x:c>
      <x:c r="U115" s="22" t="str">
        <x:v>EXACT_PHRASE</x:v>
      </x:c>
      <x:c r="V115" s="21" t="str">
        <x:v>OPENALEX_WORK_COUNT</x:v>
      </x:c>
      <x:c r="W115" s="57" t="str"/>
      <x:c r="X115" s="23" t="str">
        <x:v>Metadata text-item count; not a full-text lexical frequency. Secondary metric: NOT_RUN_OPENALEX_DAILY_BUDGET_EXHAUSTED: shared provider response retained; no count fabricated.</x:v>
      </x:c>
    </x:row>
    <x:row r="116" ht="19" customHeight="1">
      <x:c r="A116" s="20" t="str">
        <x:v>FT-SEED-R1B-P-0607-25</x:v>
      </x:c>
      <x:c r="B116" s="22" t="str">
        <x:v>2006–2007</x:v>
      </x:c>
      <x:c r="C116" s="22" t="str">
        <x:v>25</x:v>
      </x:c>
      <x:c r="D116" s="21" t="str">
        <x:v>danger</x:v>
      </x:c>
      <x:c r="E116" s="21" t="str">
        <x:v>hazard evaluation</x:v>
      </x:c>
      <x:c r="F116" s="22" t="str">
        <x:v>danger_threat</x:v>
      </x:c>
      <x:c r="G116" s="22" t="str">
        <x:v>D</x:v>
      </x:c>
      <x:c r="H116" s="22" t="str">
        <x:v>V5</x:v>
      </x:c>
      <x:c r="I116" s="22" t="str">
        <x:v>E5</x:v>
      </x:c>
      <x:c r="J116" s="21" t="str">
        <x:v>RECONSTRUCTED_FROM_REPORT; Fear of Temperature_ Stratified Lexical Expansion, Voice Mapping, and Semantic-Relational Pre-Valida.pdf; p.10; project candidate FT-SEED-R1B-P-0607-25; original visible ID not available</x:v>
      </x:c>
      <x:c r="K116" s="21" t="str">
        <x:v>INTERNET_ARCHIVE_METADATA_TEXT_ITEM_COUNT</x:v>
      </x:c>
      <x:c r="L116" s="22" t="str">
        <x:v>"danger" AND mediatype:texts</x:v>
      </x:c>
      <x:c r="M116" s="22" t="str">
        <x:v>PHRASE_METADATA_SEARCH</x:v>
      </x:c>
      <x:c r="N116" s="21" t="str">
        <x:v>COMPLETED_NONZERO</x:v>
      </x:c>
      <x:c r="O116" s="57" t="str">
        <x:v>37158</x:v>
      </x:c>
      <x:c r="P116" s="22" t="str">
        <x:v>37158</x:v>
      </x:c>
      <x:c r="Q116" s="22" t="str">
        <x:v>1050</x:v>
      </x:c>
      <x:c r="R116" s="22" t="str">
        <x:v>2139</x:v>
      </x:c>
      <x:c r="S116" s="22" t="str">
        <x:v>2026-08-26</x:v>
      </x:c>
      <x:c r="T116" s="22" t="str">
        <x:v>https://archive.org/advancedsearch.php</x:v>
      </x:c>
      <x:c r="U116" s="22" t="str">
        <x:v>EXACT_PHRASE</x:v>
      </x:c>
      <x:c r="V116" s="21" t="str">
        <x:v>OPENALEX_WORK_COUNT</x:v>
      </x:c>
      <x:c r="W116" s="57" t="str"/>
      <x:c r="X116" s="23" t="str">
        <x:v>Metadata text-item count; not a full-text lexical frequency. Secondary metric: HTTP 429: {"error":"Rate limit exceeded","message":"Insufficient budget. This request costs $0.001 but you only have $0 remaining. Resets at midnight UTC. Need more? Add funds at https://openalex.org/pricing","retryAfter":62814,"costUsd":0.001,"daily</x:v>
      </x:c>
    </x:row>
    <x:row r="117" ht="19" customHeight="1">
      <x:c r="A117" s="20" t="str">
        <x:v>FT-SEED-R1B-P-0607-26</x:v>
      </x:c>
      <x:c r="B117" s="22" t="str">
        <x:v>2006–2007</x:v>
      </x:c>
      <x:c r="C117" s="22" t="str">
        <x:v>26</x:v>
      </x:c>
      <x:c r="D117" s="21" t="str">
        <x:v>urgent threat</x:v>
      </x:c>
      <x:c r="E117" s="21" t="str">
        <x:v>institutional climate threat</x:v>
      </x:c>
      <x:c r="F117" s="22" t="str">
        <x:v>danger_threat</x:v>
      </x:c>
      <x:c r="G117" s="22" t="str">
        <x:v>D</x:v>
      </x:c>
      <x:c r="H117" s="22" t="str">
        <x:v>V5</x:v>
      </x:c>
      <x:c r="I117" s="22" t="str">
        <x:v>E5</x:v>
      </x:c>
      <x:c r="J117" s="21" t="str">
        <x:v>RECONSTRUCTED_FROM_REPORT; Fear of Temperature_ Stratified Lexical Expansion, Voice Mapping, and Semantic-Relational Pre-Valida.pdf; p.10; project candidate FT-SEED-R1B-P-0607-26; original visible ID not available</x:v>
      </x:c>
      <x:c r="K117" s="21" t="str">
        <x:v>INTERNET_ARCHIVE_METADATA_TEXT_ITEM_COUNT</x:v>
      </x:c>
      <x:c r="L117" s="22" t="str">
        <x:v>"urgent threat" AND mediatype:texts</x:v>
      </x:c>
      <x:c r="M117" s="22" t="str">
        <x:v>PHRASE_METADATA_SEARCH</x:v>
      </x:c>
      <x:c r="N117" s="21" t="str">
        <x:v>COMPLETED_NONZERO</x:v>
      </x:c>
      <x:c r="O117" s="57" t="str">
        <x:v>11</x:v>
      </x:c>
      <x:c r="P117" s="22" t="str">
        <x:v>11</x:v>
      </x:c>
      <x:c r="Q117" s="22" t="str">
        <x:v>0</x:v>
      </x:c>
      <x:c r="R117" s="22" t="str">
        <x:v>0</x:v>
      </x:c>
      <x:c r="S117" s="22" t="str">
        <x:v>2026-08-26</x:v>
      </x:c>
      <x:c r="T117" s="22" t="str">
        <x:v>https://archive.org/advancedsearch.php</x:v>
      </x:c>
      <x:c r="U117" s="22" t="str">
        <x:v>EXACT_PHRASE</x:v>
      </x:c>
      <x:c r="V117" s="21" t="str">
        <x:v>OPENALEX_WORK_COUNT</x:v>
      </x:c>
      <x:c r="W117" s="57" t="str"/>
      <x:c r="X117" s="23" t="str">
        <x:v>Metadata text-item count; not a full-text lexical frequency. Secondary metric: NOT_RUN_OPENALEX_DAILY_BUDGET_EXHAUSTED: shared provider response retained; no count fabricated.</x:v>
      </x:c>
    </x:row>
    <x:row r="118" ht="19" customHeight="1">
      <x:c r="A118" s="20" t="str">
        <x:v>FT-SEED-R1B-P-0607-27</x:v>
      </x:c>
      <x:c r="B118" s="22" t="str">
        <x:v>2006–2007</x:v>
      </x:c>
      <x:c r="C118" s="22" t="str">
        <x:v>27</x:v>
      </x:c>
      <x:c r="D118" s="21" t="str">
        <x:v>dangerous impacts</x:v>
      </x:c>
      <x:c r="E118" s="21" t="str">
        <x:v>institutional climate threat</x:v>
      </x:c>
      <x:c r="F118" s="22" t="str">
        <x:v>danger_threat</x:v>
      </x:c>
      <x:c r="G118" s="22" t="str">
        <x:v>D</x:v>
      </x:c>
      <x:c r="H118" s="22" t="str">
        <x:v>V5</x:v>
      </x:c>
      <x:c r="I118" s="22" t="str">
        <x:v>E5</x:v>
      </x:c>
      <x:c r="J118" s="21" t="str">
        <x:v>RECONSTRUCTED_FROM_REPORT; Fear of Temperature_ Stratified Lexical Expansion, Voice Mapping, and Semantic-Relational Pre-Valida.pdf; p.10; project candidate FT-SEED-R1B-P-0607-27; original visible ID not available</x:v>
      </x:c>
      <x:c r="K118" s="21" t="str">
        <x:v>INTERNET_ARCHIVE_METADATA_TEXT_ITEM_COUNT</x:v>
      </x:c>
      <x:c r="L118" s="22" t="str">
        <x:v>"dangerous impacts" AND mediatype:texts</x:v>
      </x:c>
      <x:c r="M118" s="22" t="str">
        <x:v>PHRASE_METADATA_SEARCH</x:v>
      </x:c>
      <x:c r="N118" s="21" t="str">
        <x:v>COMPLETED_NONZERO</x:v>
      </x:c>
      <x:c r="O118" s="57" t="str">
        <x:v>3</x:v>
      </x:c>
      <x:c r="P118" s="22" t="str">
        <x:v>3</x:v>
      </x:c>
      <x:c r="Q118" s="22" t="str">
        <x:v>0</x:v>
      </x:c>
      <x:c r="R118" s="22" t="str">
        <x:v>0</x:v>
      </x:c>
      <x:c r="S118" s="22" t="str">
        <x:v>2026-08-26</x:v>
      </x:c>
      <x:c r="T118" s="22" t="str">
        <x:v>https://archive.org/advancedsearch.php</x:v>
      </x:c>
      <x:c r="U118" s="22" t="str">
        <x:v>EXACT_PHRASE</x:v>
      </x:c>
      <x:c r="V118" s="21" t="str">
        <x:v>OPENALEX_WORK_COUNT</x:v>
      </x:c>
      <x:c r="W118" s="57" t="str"/>
      <x:c r="X118" s="23" t="str">
        <x:v>Metadata text-item count; not a full-text lexical frequency. Secondary metric: NOT_RUN_OPENALEX_DAILY_BUDGET_EXHAUSTED: shared provider response retained; no count fabricated.</x:v>
      </x:c>
    </x:row>
    <x:row r="119" ht="19" customHeight="1">
      <x:c r="A119" s="20" t="str">
        <x:v>FT-SEED-R1B-P-0607-28</x:v>
      </x:c>
      <x:c r="B119" s="22" t="str">
        <x:v>2006–2007</x:v>
      </x:c>
      <x:c r="C119" s="22" t="str">
        <x:v>28</x:v>
      </x:c>
      <x:c r="D119" s="21" t="str">
        <x:v>drastic action</x:v>
      </x:c>
      <x:c r="E119" s="21" t="str">
        <x:v>generic damage</x:v>
      </x:c>
      <x:c r="F119" s="22" t="str">
        <x:v>harm_loss_consequences</x:v>
      </x:c>
      <x:c r="G119" s="22" t="str">
        <x:v>D</x:v>
      </x:c>
      <x:c r="H119" s="22" t="str">
        <x:v>V5</x:v>
      </x:c>
      <x:c r="I119" s="22" t="str">
        <x:v>E5</x:v>
      </x:c>
      <x:c r="J119" s="21" t="str">
        <x:v>RECONSTRUCTED_FROM_REPORT; Fear of Temperature_ Stratified Lexical Expansion, Voice Mapping, and Semantic-Relational Pre-Valida.pdf; p.10; project candidate FT-SEED-R1B-P-0607-28; original visible ID not available</x:v>
      </x:c>
      <x:c r="K119" s="21" t="str">
        <x:v>INTERNET_ARCHIVE_METADATA_TEXT_ITEM_COUNT</x:v>
      </x:c>
      <x:c r="L119" s="22" t="str">
        <x:v>"drastic action" AND mediatype:texts</x:v>
      </x:c>
      <x:c r="M119" s="22" t="str">
        <x:v>PHRASE_METADATA_SEARCH</x:v>
      </x:c>
      <x:c r="N119" s="21" t="str">
        <x:v>COMPLETED_NONZERO</x:v>
      </x:c>
      <x:c r="O119" s="57" t="str">
        <x:v>532</x:v>
      </x:c>
      <x:c r="P119" s="22" t="str">
        <x:v>532</x:v>
      </x:c>
      <x:c r="Q119" s="22" t="str">
        <x:v>2</x:v>
      </x:c>
      <x:c r="R119" s="22" t="str">
        <x:v>4</x:v>
      </x:c>
      <x:c r="S119" s="22" t="str">
        <x:v>2026-08-26</x:v>
      </x:c>
      <x:c r="T119" s="22" t="str">
        <x:v>https://archive.org/advancedsearch.php</x:v>
      </x:c>
      <x:c r="U119" s="22" t="str">
        <x:v>EXACT_PHRASE</x:v>
      </x:c>
      <x:c r="V119" s="21" t="str">
        <x:v>OPENALEX_WORK_COUNT</x:v>
      </x:c>
      <x:c r="W119" s="57" t="str"/>
      <x:c r="X119" s="23" t="str">
        <x:v>Metadata text-item count; not a full-text lexical frequency. Secondary metric: NOT_RUN_OPENALEX_DAILY_BUDGET_EXHAUSTED: shared provider response retained; no count fabricated.</x:v>
      </x:c>
    </x:row>
    <x:row r="120" ht="19" customHeight="1">
      <x:c r="A120" s="20" t="str">
        <x:v>FT-SEED-R1B-P-0607-29</x:v>
      </x:c>
      <x:c r="B120" s="22" t="str">
        <x:v>2006–2007</x:v>
      </x:c>
      <x:c r="C120" s="22" t="str">
        <x:v>29</x:v>
      </x:c>
      <x:c r="D120" s="21" t="str">
        <x:v>dangerous climate change</x:v>
      </x:c>
      <x:c r="E120" s="21" t="str">
        <x:v>modern climate change</x:v>
      </x:c>
      <x:c r="F120" s="22" t="str">
        <x:v>climate</x:v>
      </x:c>
      <x:c r="G120" s="22" t="str">
        <x:v>D</x:v>
      </x:c>
      <x:c r="H120" s="22" t="str">
        <x:v>V4</x:v>
      </x:c>
      <x:c r="I120" s="22" t="str">
        <x:v>E5</x:v>
      </x:c>
      <x:c r="J120" s="21" t="str">
        <x:v>RECONSTRUCTED_FROM_REPORT; Fear of Temperature_ Stratified Lexical Expansion, Voice Mapping, and Semantic-Relational Pre-Valida.pdf; p.10; project candidate FT-SEED-R1B-P-0607-29; original visible ID not available</x:v>
      </x:c>
      <x:c r="K120" s="21" t="str">
        <x:v>INTERNET_ARCHIVE_METADATA_TEXT_ITEM_COUNT</x:v>
      </x:c>
      <x:c r="L120" s="22" t="str">
        <x:v>"dangerous climate change" AND mediatype:texts</x:v>
      </x:c>
      <x:c r="M120" s="22" t="str">
        <x:v>PHRASE_METADATA_SEARCH</x:v>
      </x:c>
      <x:c r="N120" s="21" t="str">
        <x:v>COMPLETED_NONZERO</x:v>
      </x:c>
      <x:c r="O120" s="57" t="str">
        <x:v>28</x:v>
      </x:c>
      <x:c r="P120" s="22" t="str">
        <x:v>28</x:v>
      </x:c>
      <x:c r="Q120" s="22" t="str">
        <x:v>2</x:v>
      </x:c>
      <x:c r="R120" s="22" t="str">
        <x:v>5</x:v>
      </x:c>
      <x:c r="S120" s="22" t="str">
        <x:v>2026-08-26</x:v>
      </x:c>
      <x:c r="T120" s="22" t="str">
        <x:v>https://archive.org/advancedsearch.php</x:v>
      </x:c>
      <x:c r="U120" s="22" t="str">
        <x:v>EXACT_PHRASE</x:v>
      </x:c>
      <x:c r="V120" s="21" t="str">
        <x:v>OPENALEX_WORK_COUNT</x:v>
      </x:c>
      <x:c r="W120" s="57" t="str"/>
      <x:c r="X120" s="23" t="str">
        <x:v>Metadata text-item count; not a full-text lexical frequency. Secondary metric: HTTP 429: {"error":"Rate limit exceeded","message":"Insufficient budget. This request costs $0.001 but you only have $0 remaining. Resets at midnight UTC. Need more? Add funds at https://openalex.org/pricing","retryAfter":62768,"costUsd":0.001,"daily</x:v>
      </x:c>
    </x:row>
    <x:row r="121" ht="19" customHeight="1">
      <x:c r="A121" s="20" t="str">
        <x:v>FT-SEED-R1B-P-0607-30</x:v>
      </x:c>
      <x:c r="B121" s="22" t="str">
        <x:v>2006–2007</x:v>
      </x:c>
      <x:c r="C121" s="22" t="str">
        <x:v>30</x:v>
      </x:c>
      <x:c r="D121" s="21" t="str">
        <x:v>threatens serious negative effects</x:v>
      </x:c>
      <x:c r="E121" s="21" t="str">
        <x:v>institutional climate threat</x:v>
      </x:c>
      <x:c r="F121" s="22" t="str">
        <x:v>danger_threat</x:v>
      </x:c>
      <x:c r="G121" s="22" t="str">
        <x:v>D</x:v>
      </x:c>
      <x:c r="H121" s="22" t="str">
        <x:v>V4</x:v>
      </x:c>
      <x:c r="I121" s="22" t="str">
        <x:v>E5</x:v>
      </x:c>
      <x:c r="J121" s="21" t="str">
        <x:v>RECONSTRUCTED_FROM_REPORT; Fear of Temperature_ Stratified Lexical Expansion, Voice Mapping, and Semantic-Relational Pre-Valida.pdf; p.10; project candidate FT-SEED-R1B-P-0607-30; original visible ID not available</x:v>
      </x:c>
      <x:c r="K121" s="21" t="str">
        <x:v>INTERNET_ARCHIVE_METADATA_TEXT_ITEM_COUNT</x:v>
      </x:c>
      <x:c r="L121" s="22" t="str">
        <x:v>"threatens serious negative effects" AND mediatype:texts</x:v>
      </x:c>
      <x:c r="M121" s="22" t="str">
        <x:v>PHRASE_METADATA_SEARCH</x:v>
      </x:c>
      <x:c r="N121" s="21" t="str">
        <x:v>COMPLETED_ZERO</x:v>
      </x:c>
      <x:c r="O121" s="57" t="str">
        <x:v>0</x:v>
      </x:c>
      <x:c r="P121" s="22" t="str">
        <x:v>0</x:v>
      </x:c>
      <x:c r="Q121" s="22" t="str">
        <x:v>0</x:v>
      </x:c>
      <x:c r="R121" s="22" t="str">
        <x:v>0</x:v>
      </x:c>
      <x:c r="S121" s="22" t="str">
        <x:v>2026-08-26</x:v>
      </x:c>
      <x:c r="T121" s="22" t="str">
        <x:v>https://archive.org/advancedsearch.php</x:v>
      </x:c>
      <x:c r="U121" s="22" t="str">
        <x:v>EXACT_PHRASE</x:v>
      </x:c>
      <x:c r="V121" s="21" t="str">
        <x:v>OPENALEX_WORK_COUNT</x:v>
      </x:c>
      <x:c r="W121" s="57" t="str"/>
      <x:c r="X121" s="23" t="str">
        <x:v>Metadata text-item count; not a full-text lexical frequency. Secondary metric: NOT_RUN_OPENALEX_DAILY_BUDGET_EXHAUSTED: shared provider response retained; no count fabricated.</x:v>
      </x:c>
    </x:row>
    <x:row r="122" ht="19" customHeight="1">
      <x:c r="A122" s="20" t="str">
        <x:v>FT-SEED-R1B-P-2015-01</x:v>
      </x:c>
      <x:c r="B122" s="22" t="str">
        <x:v>2015</x:v>
      </x:c>
      <x:c r="C122" s="22" t="str">
        <x:v>1</x:v>
      </x:c>
      <x:c r="D122" s="21" t="str">
        <x:v>climate change</x:v>
      </x:c>
      <x:c r="E122" s="21" t="str">
        <x:v>modern climate change</x:v>
      </x:c>
      <x:c r="F122" s="22" t="str">
        <x:v>climate</x:v>
      </x:c>
      <x:c r="G122" s="22" t="str">
        <x:v>B</x:v>
      </x:c>
      <x:c r="H122" s="22" t="str">
        <x:v>V2</x:v>
      </x:c>
      <x:c r="I122" s="22" t="str">
        <x:v>E5</x:v>
      </x:c>
      <x:c r="J122" s="21" t="str">
        <x:v>RECONSTRUCTED_FROM_REPORT; Fear of Temperature_ Stratified Lexical Expansion, Voice Mapping, and Semantic-Relational Pre-Valida.pdf; p.11; project candidate FT-SEED-R1B-P-2015-01; original visible ID not available</x:v>
      </x:c>
      <x:c r="K122" s="21" t="str">
        <x:v>INTERNET_ARCHIVE_METADATA_TEXT_ITEM_COUNT</x:v>
      </x:c>
      <x:c r="L122" s="22" t="str">
        <x:v>"climate change" AND mediatype:texts</x:v>
      </x:c>
      <x:c r="M122" s="22" t="str">
        <x:v>PHRASE_METADATA_SEARCH</x:v>
      </x:c>
      <x:c r="N122" s="21" t="str">
        <x:v>COMPLETED_NONZERO</x:v>
      </x:c>
      <x:c r="O122" s="57" t="str">
        <x:v>30525</x:v>
      </x:c>
      <x:c r="P122" s="22" t="str">
        <x:v>30525</x:v>
      </x:c>
      <x:c r="Q122" s="22" t="str">
        <x:v>656</x:v>
      </x:c>
      <x:c r="R122" s="22" t="str">
        <x:v>1334</x:v>
      </x:c>
      <x:c r="S122" s="22" t="str">
        <x:v>2026-08-26</x:v>
      </x:c>
      <x:c r="T122" s="22" t="str">
        <x:v>https://archive.org/advancedsearch.php</x:v>
      </x:c>
      <x:c r="U122" s="22" t="str">
        <x:v>EXACT_PHRASE</x:v>
      </x:c>
      <x:c r="V122" s="21" t="str">
        <x:v>OPENALEX_WORK_COUNT</x:v>
      </x:c>
      <x:c r="W122" s="57" t="str">
        <x:v>2549592</x:v>
      </x:c>
      <x:c r="X122" s="23" t="str">
        <x:v>Metadata text-item count; not a full-text lexical frequency. Secondary metric: Scholarly work discoverability count over OpenAlex search fields; not a corpus word frequency.</x:v>
      </x:c>
    </x:row>
    <x:row r="123" ht="19" customHeight="1">
      <x:c r="A123" s="20" t="str">
        <x:v>FT-SEED-R1B-P-2015-02</x:v>
      </x:c>
      <x:c r="B123" s="22" t="str">
        <x:v>2015</x:v>
      </x:c>
      <x:c r="C123" s="22" t="str">
        <x:v>2</x:v>
      </x:c>
      <x:c r="D123" s="21" t="str">
        <x:v>threat of climate change</x:v>
      </x:c>
      <x:c r="E123" s="21" t="str">
        <x:v>modern climate change</x:v>
      </x:c>
      <x:c r="F123" s="22" t="str">
        <x:v>climate</x:v>
      </x:c>
      <x:c r="G123" s="22" t="str">
        <x:v>D</x:v>
      </x:c>
      <x:c r="H123" s="22" t="str">
        <x:v>V2</x:v>
      </x:c>
      <x:c r="I123" s="22" t="str">
        <x:v>E5</x:v>
      </x:c>
      <x:c r="J123" s="21" t="str">
        <x:v>RECONSTRUCTED_FROM_REPORT; Fear of Temperature_ Stratified Lexical Expansion, Voice Mapping, and Semantic-Relational Pre-Valida.pdf; p.11; project candidate FT-SEED-R1B-P-2015-02; original visible ID not available</x:v>
      </x:c>
      <x:c r="K123" s="21" t="str">
        <x:v>INTERNET_ARCHIVE_METADATA_TEXT_ITEM_COUNT</x:v>
      </x:c>
      <x:c r="L123" s="22" t="str">
        <x:v>"threat of climate change" AND mediatype:texts</x:v>
      </x:c>
      <x:c r="M123" s="22" t="str">
        <x:v>PHRASE_METADATA_SEARCH</x:v>
      </x:c>
      <x:c r="N123" s="21" t="str">
        <x:v>COMPLETED_NONZERO</x:v>
      </x:c>
      <x:c r="O123" s="57" t="str">
        <x:v>42</x:v>
      </x:c>
      <x:c r="P123" s="22" t="str">
        <x:v>42</x:v>
      </x:c>
      <x:c r="Q123" s="22" t="str">
        <x:v>2</x:v>
      </x:c>
      <x:c r="R123" s="22" t="str">
        <x:v>3</x:v>
      </x:c>
      <x:c r="S123" s="22" t="str">
        <x:v>2026-08-26</x:v>
      </x:c>
      <x:c r="T123" s="22" t="str">
        <x:v>https://archive.org/advancedsearch.php</x:v>
      </x:c>
      <x:c r="U123" s="22" t="str">
        <x:v>EXACT_PHRASE</x:v>
      </x:c>
      <x:c r="V123" s="21" t="str">
        <x:v>OPENALEX_WORK_COUNT</x:v>
      </x:c>
      <x:c r="W123" s="57" t="str"/>
      <x:c r="X123" s="23" t="str">
        <x:v>Metadata text-item count; not a full-text lexical frequency. Secondary metric: NOT_RUN_OPENALEX_DAILY_BUDGET_EXHAUSTED: shared provider response retained; no count fabricated.</x:v>
      </x:c>
    </x:row>
    <x:row r="124" ht="19" customHeight="1">
      <x:c r="A124" s="20" t="str">
        <x:v>FT-SEED-R1B-P-2015-03</x:v>
      </x:c>
      <x:c r="B124" s="22" t="str">
        <x:v>2015</x:v>
      </x:c>
      <x:c r="C124" s="22" t="str">
        <x:v>3</x:v>
      </x:c>
      <x:c r="D124" s="21" t="str">
        <x:v>global average temperature</x:v>
      </x:c>
      <x:c r="E124" s="21" t="str">
        <x:v>global aggregate temperature</x:v>
      </x:c>
      <x:c r="F124" s="22" t="str">
        <x:v>temperature_threshold</x:v>
      </x:c>
      <x:c r="G124" s="22" t="str">
        <x:v>A</x:v>
      </x:c>
      <x:c r="H124" s="22" t="str">
        <x:v>V2</x:v>
      </x:c>
      <x:c r="I124" s="22" t="str">
        <x:v>E5</x:v>
      </x:c>
      <x:c r="J124" s="21" t="str">
        <x:v>RECONSTRUCTED_FROM_REPORT; Fear of Temperature_ Stratified Lexical Expansion, Voice Mapping, and Semantic-Relational Pre-Valida.pdf; p.11; project candidate FT-SEED-R1B-P-2015-03; original visible ID not available</x:v>
      </x:c>
      <x:c r="K124" s="21" t="str">
        <x:v>INTERNET_ARCHIVE_METADATA_TEXT_ITEM_COUNT</x:v>
      </x:c>
      <x:c r="L124" s="22" t="str">
        <x:v>"global average temperature" AND mediatype:texts</x:v>
      </x:c>
      <x:c r="M124" s="22" t="str">
        <x:v>PHRASE_METADATA_SEARCH</x:v>
      </x:c>
      <x:c r="N124" s="21" t="str">
        <x:v>COMPLETED_NONZERO</x:v>
      </x:c>
      <x:c r="O124" s="57" t="str">
        <x:v>25</x:v>
      </x:c>
      <x:c r="P124" s="22" t="str">
        <x:v>25</x:v>
      </x:c>
      <x:c r="Q124" s="22" t="str">
        <x:v>1</x:v>
      </x:c>
      <x:c r="R124" s="22" t="str">
        <x:v>2</x:v>
      </x:c>
      <x:c r="S124" s="22" t="str">
        <x:v>2026-08-26</x:v>
      </x:c>
      <x:c r="T124" s="22" t="str">
        <x:v>https://archive.org/advancedsearch.php</x:v>
      </x:c>
      <x:c r="U124" s="22" t="str">
        <x:v>EXACT_PHRASE</x:v>
      </x:c>
      <x:c r="V124" s="21" t="str">
        <x:v>OPENALEX_WORK_COUNT</x:v>
      </x:c>
      <x:c r="W124" s="57" t="str"/>
      <x:c r="X124" s="23" t="str">
        <x:v>Metadata text-item count; not a full-text lexical frequency. Secondary metric: NOT_RUN_OPENALEX_DAILY_BUDGET_EXHAUSTED: shared provider response retained; no count fabricated.</x:v>
      </x:c>
    </x:row>
    <x:row r="125" ht="19" customHeight="1">
      <x:c r="A125" s="20" t="str">
        <x:v>FT-SEED-R1B-P-2015-04</x:v>
      </x:c>
      <x:c r="B125" s="22" t="str">
        <x:v>2015</x:v>
      </x:c>
      <x:c r="C125" s="22" t="str">
        <x:v>4</x:v>
      </x:c>
      <x:c r="D125" s="21" t="str">
        <x:v>well below 2°C above pre-industrial levels</x:v>
      </x:c>
      <x:c r="E125" s="21" t="str">
        <x:v>2°C threshold</x:v>
      </x:c>
      <x:c r="F125" s="22" t="str">
        <x:v>temperature_threshold</x:v>
      </x:c>
      <x:c r="G125" s="22" t="str">
        <x:v>A</x:v>
      </x:c>
      <x:c r="H125" s="22" t="str">
        <x:v>V2</x:v>
      </x:c>
      <x:c r="I125" s="22" t="str">
        <x:v>E5</x:v>
      </x:c>
      <x:c r="J125" s="21" t="str">
        <x:v>RECONSTRUCTED_FROM_REPORT; Fear of Temperature_ Stratified Lexical Expansion, Voice Mapping, and Semantic-Relational Pre-Valida.pdf; p.11; project candidate FT-SEED-R1B-P-2015-04; original visible ID not available</x:v>
      </x:c>
      <x:c r="K125" s="21" t="str">
        <x:v>INTERNET_ARCHIVE_METADATA_TEXT_ITEM_COUNT</x:v>
      </x:c>
      <x:c r="L125" s="22" t="str">
        <x:v>"well below 2°C above pre-industrial levels" AND mediatype:texts</x:v>
      </x:c>
      <x:c r="M125" s="22" t="str">
        <x:v>PHRASE_METADATA_SEARCH</x:v>
      </x:c>
      <x:c r="N125" s="21" t="str">
        <x:v>COMPLETED_NONZERO</x:v>
      </x:c>
      <x:c r="O125" s="57" t="str">
        <x:v>2</x:v>
      </x:c>
      <x:c r="P125" s="22" t="str">
        <x:v>2</x:v>
      </x:c>
      <x:c r="Q125" s="22" t="str">
        <x:v>1</x:v>
      </x:c>
      <x:c r="R125" s="22" t="str">
        <x:v>1</x:v>
      </x:c>
      <x:c r="S125" s="22" t="str">
        <x:v>2026-08-26</x:v>
      </x:c>
      <x:c r="T125" s="22" t="str">
        <x:v>https://archive.org/advancedsearch.php</x:v>
      </x:c>
      <x:c r="U125" s="22" t="str">
        <x:v>EXACT_PHRASE</x:v>
      </x:c>
      <x:c r="V125" s="21" t="str">
        <x:v>OPENALEX_WORK_COUNT</x:v>
      </x:c>
      <x:c r="W125" s="57" t="str"/>
      <x:c r="X125" s="23" t="str">
        <x:v>Metadata text-item count; not a full-text lexical frequency. Secondary metric: NOT_RUN_OPENALEX_DAILY_BUDGET_EXHAUSTED: shared provider response retained; no count fabricated.</x:v>
      </x:c>
    </x:row>
    <x:row r="126" ht="19" customHeight="1">
      <x:c r="A126" s="20" t="str">
        <x:v>FT-SEED-R1B-P-2015-05</x:v>
      </x:c>
      <x:c r="B126" s="22" t="str">
        <x:v>2015</x:v>
      </x:c>
      <x:c r="C126" s="22" t="str">
        <x:v>5</x:v>
      </x:c>
      <x:c r="D126" s="21" t="str">
        <x:v>1.5°C above pre-industrial levels</x:v>
      </x:c>
      <x:c r="E126" s="21" t="str">
        <x:v>1.5°C threshold</x:v>
      </x:c>
      <x:c r="F126" s="22" t="str">
        <x:v>temperature_threshold</x:v>
      </x:c>
      <x:c r="G126" s="22" t="str">
        <x:v>A</x:v>
      </x:c>
      <x:c r="H126" s="22" t="str">
        <x:v>V2</x:v>
      </x:c>
      <x:c r="I126" s="22" t="str">
        <x:v>E5</x:v>
      </x:c>
      <x:c r="J126" s="21" t="str">
        <x:v>RECONSTRUCTED_FROM_REPORT; Fear of Temperature_ Stratified Lexical Expansion, Voice Mapping, and Semantic-Relational Pre-Valida.pdf; p.11; project candidate FT-SEED-R1B-P-2015-05; original visible ID not available</x:v>
      </x:c>
      <x:c r="K126" s="21" t="str">
        <x:v>INTERNET_ARCHIVE_METADATA_TEXT_ITEM_COUNT</x:v>
      </x:c>
      <x:c r="L126" s="22" t="str">
        <x:v>"1.5°C above pre-industrial levels" AND mediatype:texts</x:v>
      </x:c>
      <x:c r="M126" s="22" t="str">
        <x:v>PHRASE_METADATA_SEARCH</x:v>
      </x:c>
      <x:c r="N126" s="21" t="str">
        <x:v>COMPLETED_NONZERO</x:v>
      </x:c>
      <x:c r="O126" s="57" t="str">
        <x:v>3</x:v>
      </x:c>
      <x:c r="P126" s="22" t="str">
        <x:v>3</x:v>
      </x:c>
      <x:c r="Q126" s="22" t="str">
        <x:v>1</x:v>
      </x:c>
      <x:c r="R126" s="22" t="str">
        <x:v>1</x:v>
      </x:c>
      <x:c r="S126" s="22" t="str">
        <x:v>2026-08-26</x:v>
      </x:c>
      <x:c r="T126" s="22" t="str">
        <x:v>https://archive.org/advancedsearch.php</x:v>
      </x:c>
      <x:c r="U126" s="22" t="str">
        <x:v>EXACT_PHRASE</x:v>
      </x:c>
      <x:c r="V126" s="21" t="str">
        <x:v>OPENALEX_WORK_COUNT</x:v>
      </x:c>
      <x:c r="W126" s="57" t="str">
        <x:v>11609</x:v>
      </x:c>
      <x:c r="X126" s="23" t="str">
        <x:v>Metadata text-item count; not a full-text lexical frequency. Secondary metric: Scholarly work discoverability count over OpenAlex search fields; not a corpus word frequency.</x:v>
      </x:c>
    </x:row>
    <x:row r="127" ht="19" customHeight="1">
      <x:c r="A127" s="20" t="str">
        <x:v>FT-SEED-R1B-P-2015-06</x:v>
      </x:c>
      <x:c r="B127" s="22" t="str">
        <x:v>2015</x:v>
      </x:c>
      <x:c r="C127" s="22" t="str">
        <x:v>6</x:v>
      </x:c>
      <x:c r="D127" s="21" t="str">
        <x:v>pre-industrial levels</x:v>
      </x:c>
      <x:c r="E127" s="21" t="str">
        <x:v>historical climate / climatological condition</x:v>
      </x:c>
      <x:c r="F127" s="22" t="str">
        <x:v>climate</x:v>
      </x:c>
      <x:c r="G127" s="22" t="str">
        <x:v>B</x:v>
      </x:c>
      <x:c r="H127" s="22" t="str">
        <x:v>V2</x:v>
      </x:c>
      <x:c r="I127" s="22" t="str">
        <x:v>E5</x:v>
      </x:c>
      <x:c r="J127" s="21" t="str">
        <x:v>RECONSTRUCTED_FROM_REPORT; Fear of Temperature_ Stratified Lexical Expansion, Voice Mapping, and Semantic-Relational Pre-Valida.pdf; p.11; project candidate FT-SEED-R1B-P-2015-06; original visible ID not available</x:v>
      </x:c>
      <x:c r="K127" s="21" t="str">
        <x:v>INTERNET_ARCHIVE_METADATA_TEXT_ITEM_COUNT</x:v>
      </x:c>
      <x:c r="L127" s="22" t="str">
        <x:v>"pre-industrial levels" AND mediatype:texts</x:v>
      </x:c>
      <x:c r="M127" s="22" t="str">
        <x:v>PHRASE_METADATA_SEARCH</x:v>
      </x:c>
      <x:c r="N127" s="21" t="str">
        <x:v>COMPLETED_NONZERO</x:v>
      </x:c>
      <x:c r="O127" s="57" t="str">
        <x:v>30</x:v>
      </x:c>
      <x:c r="P127" s="22" t="str">
        <x:v>30</x:v>
      </x:c>
      <x:c r="Q127" s="22" t="str">
        <x:v>1</x:v>
      </x:c>
      <x:c r="R127" s="22" t="str">
        <x:v>1</x:v>
      </x:c>
      <x:c r="S127" s="22" t="str">
        <x:v>2026-08-26</x:v>
      </x:c>
      <x:c r="T127" s="22" t="str">
        <x:v>https://archive.org/advancedsearch.php</x:v>
      </x:c>
      <x:c r="U127" s="22" t="str">
        <x:v>EXACT_PHRASE</x:v>
      </x:c>
      <x:c r="V127" s="21" t="str">
        <x:v>OPENALEX_WORK_COUNT</x:v>
      </x:c>
      <x:c r="W127" s="57" t="str"/>
      <x:c r="X127" s="23" t="str">
        <x:v>Metadata text-item count; not a full-text lexical frequency. Secondary metric: NOT_RUN_OPENALEX_DAILY_BUDGET_EXHAUSTED: shared provider response retained; no count fabricated.</x:v>
      </x:c>
    </x:row>
    <x:row r="128" ht="19" customHeight="1">
      <x:c r="A128" s="20" t="str">
        <x:v>FT-SEED-R1B-P-2015-07</x:v>
      </x:c>
      <x:c r="B128" s="22" t="str">
        <x:v>2015</x:v>
      </x:c>
      <x:c r="C128" s="22" t="str">
        <x:v>7</x:v>
      </x:c>
      <x:c r="D128" s="21" t="str">
        <x:v>risks and impacts</x:v>
      </x:c>
      <x:c r="E128" s="21" t="str">
        <x:v>administrative risk assessment</x:v>
      </x:c>
      <x:c r="F128" s="22" t="str">
        <x:v>risk</x:v>
      </x:c>
      <x:c r="G128" s="22" t="str">
        <x:v>D</x:v>
      </x:c>
      <x:c r="H128" s="22" t="str">
        <x:v>V2</x:v>
      </x:c>
      <x:c r="I128" s="22" t="str">
        <x:v>E5</x:v>
      </x:c>
      <x:c r="J128" s="21" t="str">
        <x:v>RECONSTRUCTED_FROM_REPORT; Fear of Temperature_ Stratified Lexical Expansion, Voice Mapping, and Semantic-Relational Pre-Valida.pdf; p.11; project candidate FT-SEED-R1B-P-2015-07; original visible ID not available</x:v>
      </x:c>
      <x:c r="K128" s="21" t="str">
        <x:v>INTERNET_ARCHIVE_METADATA_TEXT_ITEM_COUNT</x:v>
      </x:c>
      <x:c r="L128" s="22" t="str">
        <x:v>"risks and impacts" AND mediatype:texts</x:v>
      </x:c>
      <x:c r="M128" s="22" t="str">
        <x:v>PHRASE_METADATA_SEARCH</x:v>
      </x:c>
      <x:c r="N128" s="21" t="str">
        <x:v>COMPLETED_NONZERO</x:v>
      </x:c>
      <x:c r="O128" s="57" t="str">
        <x:v>27</x:v>
      </x:c>
      <x:c r="P128" s="22" t="str">
        <x:v>27</x:v>
      </x:c>
      <x:c r="Q128" s="22" t="str">
        <x:v>1</x:v>
      </x:c>
      <x:c r="R128" s="22" t="str">
        <x:v>3</x:v>
      </x:c>
      <x:c r="S128" s="22" t="str">
        <x:v>2026-08-26</x:v>
      </x:c>
      <x:c r="T128" s="22" t="str">
        <x:v>https://archive.org/advancedsearch.php</x:v>
      </x:c>
      <x:c r="U128" s="22" t="str">
        <x:v>EXACT_PHRASE</x:v>
      </x:c>
      <x:c r="V128" s="21" t="str">
        <x:v>OPENALEX_WORK_COUNT</x:v>
      </x:c>
      <x:c r="W128" s="57" t="str"/>
      <x:c r="X128" s="23" t="str">
        <x:v>Metadata text-item count; not a full-text lexical frequency. Secondary metric: NOT_RUN_OPENALEX_DAILY_BUDGET_EXHAUSTED: shared provider response retained; no count fabricated.</x:v>
      </x:c>
    </x:row>
    <x:row r="129" ht="19" customHeight="1">
      <x:c r="A129" s="20" t="str">
        <x:v>FT-SEED-R1B-P-2015-08</x:v>
      </x:c>
      <x:c r="B129" s="22" t="str">
        <x:v>2015</x:v>
      </x:c>
      <x:c r="C129" s="22" t="str">
        <x:v>8</x:v>
      </x:c>
      <x:c r="D129" s="21" t="str">
        <x:v>adverse impacts</x:v>
      </x:c>
      <x:c r="E129" s="21" t="str">
        <x:v>generic damage</x:v>
      </x:c>
      <x:c r="F129" s="22" t="str">
        <x:v>harm_loss_consequences</x:v>
      </x:c>
      <x:c r="G129" s="22" t="str">
        <x:v>D</x:v>
      </x:c>
      <x:c r="H129" s="22" t="str">
        <x:v>V2</x:v>
      </x:c>
      <x:c r="I129" s="22" t="str">
        <x:v>E5</x:v>
      </x:c>
      <x:c r="J129" s="21" t="str">
        <x:v>RECONSTRUCTED_FROM_REPORT; Fear of Temperature_ Stratified Lexical Expansion, Voice Mapping, and Semantic-Relational Pre-Valida.pdf; p.11; project candidate FT-SEED-R1B-P-2015-08; original visible ID not available</x:v>
      </x:c>
      <x:c r="K129" s="21" t="str">
        <x:v>INTERNET_ARCHIVE_METADATA_TEXT_ITEM_COUNT</x:v>
      </x:c>
      <x:c r="L129" s="22" t="str">
        <x:v>"adverse impacts" AND mediatype:texts</x:v>
      </x:c>
      <x:c r="M129" s="22" t="str">
        <x:v>PHRASE_METADATA_SEARCH</x:v>
      </x:c>
      <x:c r="N129" s="21" t="str">
        <x:v>COMPLETED_NONZERO</x:v>
      </x:c>
      <x:c r="O129" s="57" t="str">
        <x:v>442</x:v>
      </x:c>
      <x:c r="P129" s="22" t="str">
        <x:v>442</x:v>
      </x:c>
      <x:c r="Q129" s="22" t="str">
        <x:v>4</x:v>
      </x:c>
      <x:c r="R129" s="22" t="str">
        <x:v>25</x:v>
      </x:c>
      <x:c r="S129" s="22" t="str">
        <x:v>2026-08-26</x:v>
      </x:c>
      <x:c r="T129" s="22" t="str">
        <x:v>https://archive.org/advancedsearch.php</x:v>
      </x:c>
      <x:c r="U129" s="22" t="str">
        <x:v>EXACT_PHRASE</x:v>
      </x:c>
      <x:c r="V129" s="21" t="str">
        <x:v>OPENALEX_WORK_COUNT</x:v>
      </x:c>
      <x:c r="W129" s="57" t="str">
        <x:v>115739</x:v>
      </x:c>
      <x:c r="X129" s="23" t="str">
        <x:v>Metadata text-item count; not a full-text lexical frequency. Secondary metric: Scholarly work discoverability count over OpenAlex search fields; not a corpus word frequency.</x:v>
      </x:c>
    </x:row>
    <x:row r="130" ht="19" customHeight="1">
      <x:c r="A130" s="20" t="str">
        <x:v>FT-SEED-R1B-P-2015-09</x:v>
      </x:c>
      <x:c r="B130" s="22" t="str">
        <x:v>2015</x:v>
      </x:c>
      <x:c r="C130" s="22" t="str">
        <x:v>9</x:v>
      </x:c>
      <x:c r="D130" s="21" t="str">
        <x:v>adverse effects of climate change</x:v>
      </x:c>
      <x:c r="E130" s="21" t="str">
        <x:v>modern climate change</x:v>
      </x:c>
      <x:c r="F130" s="22" t="str">
        <x:v>climate</x:v>
      </x:c>
      <x:c r="G130" s="22" t="str">
        <x:v>D</x:v>
      </x:c>
      <x:c r="H130" s="22" t="str">
        <x:v>V2</x:v>
      </x:c>
      <x:c r="I130" s="22" t="str">
        <x:v>E5</x:v>
      </x:c>
      <x:c r="J130" s="21" t="str">
        <x:v>RECONSTRUCTED_FROM_REPORT; Fear of Temperature_ Stratified Lexical Expansion, Voice Mapping, and Semantic-Relational Pre-Valida.pdf; p.11; project candidate FT-SEED-R1B-P-2015-09; original visible ID not available</x:v>
      </x:c>
      <x:c r="K130" s="21" t="str">
        <x:v>INTERNET_ARCHIVE_METADATA_TEXT_ITEM_COUNT</x:v>
      </x:c>
      <x:c r="L130" s="22" t="str">
        <x:v>"adverse effects of climate change" AND mediatype:texts</x:v>
      </x:c>
      <x:c r="M130" s="22" t="str">
        <x:v>PHRASE_METADATA_SEARCH</x:v>
      </x:c>
      <x:c r="N130" s="21" t="str">
        <x:v>COMPLETED_NONZERO</x:v>
      </x:c>
      <x:c r="O130" s="57" t="str">
        <x:v>41</x:v>
      </x:c>
      <x:c r="P130" s="22" t="str">
        <x:v>41</x:v>
      </x:c>
      <x:c r="Q130" s="22" t="str">
        <x:v>1</x:v>
      </x:c>
      <x:c r="R130" s="22" t="str">
        <x:v>1</x:v>
      </x:c>
      <x:c r="S130" s="22" t="str">
        <x:v>2026-08-26</x:v>
      </x:c>
      <x:c r="T130" s="22" t="str">
        <x:v>https://archive.org/advancedsearch.php</x:v>
      </x:c>
      <x:c r="U130" s="22" t="str">
        <x:v>EXACT_PHRASE</x:v>
      </x:c>
      <x:c r="V130" s="21" t="str">
        <x:v>OPENALEX_WORK_COUNT</x:v>
      </x:c>
      <x:c r="W130" s="57" t="str">
        <x:v>12883</x:v>
      </x:c>
      <x:c r="X130" s="23" t="str">
        <x:v>Metadata text-item count; not a full-text lexical frequency. Secondary metric: Scholarly work discoverability count over OpenAlex search fields; not a corpus word frequency.</x:v>
      </x:c>
    </x:row>
    <x:row r="131" ht="19" customHeight="1">
      <x:c r="A131" s="20" t="str">
        <x:v>FT-SEED-R1B-P-2015-10</x:v>
      </x:c>
      <x:c r="B131" s="22" t="str">
        <x:v>2015</x:v>
      </x:c>
      <x:c r="C131" s="22" t="str">
        <x:v>10</x:v>
      </x:c>
      <x:c r="D131" s="21" t="str">
        <x:v>greenhouse gas emissions</x:v>
      </x:c>
      <x:c r="E131" s="21" t="str">
        <x:v>anthropogenic greenhouse-gas emissions</x:v>
      </x:c>
      <x:c r="F131" s="22" t="str">
        <x:v>carbon_greenhouse</x:v>
      </x:c>
      <x:c r="G131" s="22" t="str">
        <x:v>B</x:v>
      </x:c>
      <x:c r="H131" s="22" t="str">
        <x:v>V2</x:v>
      </x:c>
      <x:c r="I131" s="22" t="str">
        <x:v>E5</x:v>
      </x:c>
      <x:c r="J131" s="21" t="str">
        <x:v>RECONSTRUCTED_FROM_REPORT; Fear of Temperature_ Stratified Lexical Expansion, Voice Mapping, and Semantic-Relational Pre-Valida.pdf; p.11; project candidate FT-SEED-R1B-P-2015-10; original visible ID not available</x:v>
      </x:c>
      <x:c r="K131" s="21" t="str">
        <x:v>INTERNET_ARCHIVE_METADATA_TEXT_ITEM_COUNT</x:v>
      </x:c>
      <x:c r="L131" s="22" t="str">
        <x:v>"greenhouse gas emissions" AND mediatype:texts</x:v>
      </x:c>
      <x:c r="M131" s="22" t="str">
        <x:v>PHRASE_METADATA_SEARCH</x:v>
      </x:c>
      <x:c r="N131" s="21" t="str">
        <x:v>COMPLETED_NONZERO</x:v>
      </x:c>
      <x:c r="O131" s="57" t="str">
        <x:v>1078</x:v>
      </x:c>
      <x:c r="P131" s="22" t="str">
        <x:v>1078</x:v>
      </x:c>
      <x:c r="Q131" s="22" t="str">
        <x:v>22</x:v>
      </x:c>
      <x:c r="R131" s="22" t="str">
        <x:v>102</x:v>
      </x:c>
      <x:c r="S131" s="22" t="str">
        <x:v>2026-08-26</x:v>
      </x:c>
      <x:c r="T131" s="22" t="str">
        <x:v>https://archive.org/advancedsearch.php</x:v>
      </x:c>
      <x:c r="U131" s="22" t="str">
        <x:v>EXACT_PHRASE</x:v>
      </x:c>
      <x:c r="V131" s="21" t="str">
        <x:v>OPENALEX_WORK_COUNT</x:v>
      </x:c>
      <x:c r="W131" s="57" t="str"/>
      <x:c r="X131" s="23" t="str">
        <x:v>Metadata text-item count; not a full-text lexical frequency. Secondary metric: NOT_RUN_OPENALEX_DAILY_BUDGET_EXHAUSTED: shared provider response retained; no count fabricated.</x:v>
      </x:c>
    </x:row>
    <x:row r="132" ht="19" customHeight="1">
      <x:c r="A132" s="20" t="str">
        <x:v>FT-SEED-R1B-P-2015-11</x:v>
      </x:c>
      <x:c r="B132" s="22" t="str">
        <x:v>2015</x:v>
      </x:c>
      <x:c r="C132" s="22" t="str">
        <x:v>11</x:v>
      </x:c>
      <x:c r="D132" s="21" t="str">
        <x:v>climate resilience</x:v>
      </x:c>
      <x:c r="E132" s="21" t="str">
        <x:v>generic damage</x:v>
      </x:c>
      <x:c r="F132" s="22" t="str">
        <x:v>harm_loss_consequences</x:v>
      </x:c>
      <x:c r="G132" s="22" t="str">
        <x:v>D</x:v>
      </x:c>
      <x:c r="H132" s="22" t="str">
        <x:v>V2</x:v>
      </x:c>
      <x:c r="I132" s="22" t="str">
        <x:v>E5</x:v>
      </x:c>
      <x:c r="J132" s="21" t="str">
        <x:v>RECONSTRUCTED_FROM_REPORT; Fear of Temperature_ Stratified Lexical Expansion, Voice Mapping, and Semantic-Relational Pre-Valida.pdf; p.11; project candidate FT-SEED-R1B-P-2015-11; original visible ID not available</x:v>
      </x:c>
      <x:c r="K132" s="21" t="str">
        <x:v>INTERNET_ARCHIVE_METADATA_TEXT_ITEM_COUNT</x:v>
      </x:c>
      <x:c r="L132" s="22" t="str">
        <x:v>"climate resilience" AND mediatype:texts</x:v>
      </x:c>
      <x:c r="M132" s="22" t="str">
        <x:v>PHRASE_METADATA_SEARCH</x:v>
      </x:c>
      <x:c r="N132" s="21" t="str">
        <x:v>COMPLETED_NONZERO</x:v>
      </x:c>
      <x:c r="O132" s="57" t="str">
        <x:v>196</x:v>
      </x:c>
      <x:c r="P132" s="22" t="str">
        <x:v>196</x:v>
      </x:c>
      <x:c r="Q132" s="22" t="str">
        <x:v>4</x:v>
      </x:c>
      <x:c r="R132" s="22" t="str">
        <x:v>7</x:v>
      </x:c>
      <x:c r="S132" s="22" t="str">
        <x:v>2026-08-26</x:v>
      </x:c>
      <x:c r="T132" s="22" t="str">
        <x:v>https://archive.org/advancedsearch.php</x:v>
      </x:c>
      <x:c r="U132" s="22" t="str">
        <x:v>EXACT_PHRASE</x:v>
      </x:c>
      <x:c r="V132" s="21" t="str">
        <x:v>OPENALEX_WORK_COUNT</x:v>
      </x:c>
      <x:c r="W132" s="57" t="str">
        <x:v>71130</x:v>
      </x:c>
      <x:c r="X132" s="23" t="str">
        <x:v>Metadata text-item count; not a full-text lexical frequency. Secondary metric: Scholarly work discoverability count over OpenAlex search fields; not a corpus word frequency.</x:v>
      </x:c>
    </x:row>
    <x:row r="133" ht="19" customHeight="1">
      <x:c r="A133" s="20" t="str">
        <x:v>FT-SEED-R1B-P-2015-12</x:v>
      </x:c>
      <x:c r="B133" s="22" t="str">
        <x:v>2015</x:v>
      </x:c>
      <x:c r="C133" s="22" t="str">
        <x:v>12</x:v>
      </x:c>
      <x:c r="D133" s="21" t="str">
        <x:v>vulnerability</x:v>
      </x:c>
      <x:c r="E133" s="21" t="str">
        <x:v>vulnerability</x:v>
      </x:c>
      <x:c r="F133" s="22" t="str">
        <x:v>harm_loss_consequences</x:v>
      </x:c>
      <x:c r="G133" s="22" t="str">
        <x:v>D</x:v>
      </x:c>
      <x:c r="H133" s="22" t="str">
        <x:v>V2</x:v>
      </x:c>
      <x:c r="I133" s="22" t="str">
        <x:v>E5</x:v>
      </x:c>
      <x:c r="J133" s="21" t="str">
        <x:v>RECONSTRUCTED_FROM_REPORT; Fear of Temperature_ Stratified Lexical Expansion, Voice Mapping, and Semantic-Relational Pre-Valida.pdf; p.11; project candidate FT-SEED-R1B-P-2015-12; original visible ID not available</x:v>
      </x:c>
      <x:c r="K133" s="21" t="str">
        <x:v>INTERNET_ARCHIVE_METADATA_TEXT_ITEM_COUNT</x:v>
      </x:c>
      <x:c r="L133" s="22" t="str">
        <x:v>"vulnerability" AND mediatype:texts</x:v>
      </x:c>
      <x:c r="M133" s="22" t="str">
        <x:v>PHRASE_METADATA_SEARCH</x:v>
      </x:c>
      <x:c r="N133" s="21" t="str">
        <x:v>COMPLETED_NONZERO</x:v>
      </x:c>
      <x:c r="O133" s="57" t="str">
        <x:v>13888</x:v>
      </x:c>
      <x:c r="P133" s="22" t="str">
        <x:v>13888</x:v>
      </x:c>
      <x:c r="Q133" s="22" t="str">
        <x:v>333</x:v>
      </x:c>
      <x:c r="R133" s="22" t="str">
        <x:v>1289</x:v>
      </x:c>
      <x:c r="S133" s="22" t="str">
        <x:v>2026-08-26</x:v>
      </x:c>
      <x:c r="T133" s="22" t="str">
        <x:v>https://archive.org/advancedsearch.php</x:v>
      </x:c>
      <x:c r="U133" s="22" t="str">
        <x:v>EXACT_PHRASE</x:v>
      </x:c>
      <x:c r="V133" s="21" t="str">
        <x:v>OPENALEX_WORK_COUNT</x:v>
      </x:c>
      <x:c r="W133" s="57" t="str"/>
      <x:c r="X133" s="23" t="str">
        <x:v>Metadata text-item count; not a full-text lexical frequency. Secondary metric: NOT_RUN_OPENALEX_DAILY_BUDGET_EXHAUSTED: shared provider response retained; no count fabricated.</x:v>
      </x:c>
    </x:row>
    <x:row r="134" ht="19" customHeight="1">
      <x:c r="A134" s="20" t="str">
        <x:v>FT-SEED-R1B-P-2015-13</x:v>
      </x:c>
      <x:c r="B134" s="22" t="str">
        <x:v>2015</x:v>
      </x:c>
      <x:c r="C134" s="22" t="str">
        <x:v>13</x:v>
      </x:c>
      <x:c r="D134" s="21" t="str">
        <x:v>vulnerable groups</x:v>
      </x:c>
      <x:c r="E134" s="21" t="str">
        <x:v>vulnerability</x:v>
      </x:c>
      <x:c r="F134" s="22" t="str">
        <x:v>harm_loss_consequences</x:v>
      </x:c>
      <x:c r="G134" s="22" t="str">
        <x:v>D</x:v>
      </x:c>
      <x:c r="H134" s="22" t="str">
        <x:v>V2</x:v>
      </x:c>
      <x:c r="I134" s="22" t="str">
        <x:v>E5</x:v>
      </x:c>
      <x:c r="J134" s="21" t="str">
        <x:v>RECONSTRUCTED_FROM_REPORT; Fear of Temperature_ Stratified Lexical Expansion, Voice Mapping, and Semantic-Relational Pre-Valida.pdf; p.11; project candidate FT-SEED-R1B-P-2015-13; original visible ID not available</x:v>
      </x:c>
      <x:c r="K134" s="21" t="str">
        <x:v>INTERNET_ARCHIVE_METADATA_TEXT_ITEM_COUNT</x:v>
      </x:c>
      <x:c r="L134" s="22" t="str">
        <x:v>"vulnerable groups" AND mediatype:texts</x:v>
      </x:c>
      <x:c r="M134" s="22" t="str">
        <x:v>PHRASE_METADATA_SEARCH</x:v>
      </x:c>
      <x:c r="N134" s="21" t="str">
        <x:v>COMPLETED_NONZERO</x:v>
      </x:c>
      <x:c r="O134" s="57" t="str">
        <x:v>359</x:v>
      </x:c>
      <x:c r="P134" s="22" t="str">
        <x:v>359</x:v>
      </x:c>
      <x:c r="Q134" s="22" t="str">
        <x:v>12</x:v>
      </x:c>
      <x:c r="R134" s="22" t="str">
        <x:v>49</x:v>
      </x:c>
      <x:c r="S134" s="22" t="str">
        <x:v>2026-08-26</x:v>
      </x:c>
      <x:c r="T134" s="22" t="str">
        <x:v>https://archive.org/advancedsearch.php</x:v>
      </x:c>
      <x:c r="U134" s="22" t="str">
        <x:v>EXACT_PHRASE</x:v>
      </x:c>
      <x:c r="V134" s="21" t="str">
        <x:v>OPENALEX_WORK_COUNT</x:v>
      </x:c>
      <x:c r="W134" s="57" t="str"/>
      <x:c r="X134" s="23" t="str">
        <x:v>Metadata text-item count; not a full-text lexical frequency. Secondary metric: NOT_RUN_OPENALEX_DAILY_BUDGET_EXHAUSTED: shared provider response retained; no count fabricated.</x:v>
      </x:c>
    </x:row>
    <x:row r="135" ht="19" customHeight="1">
      <x:c r="A135" s="20" t="str">
        <x:v>FT-SEED-R1B-P-2015-14</x:v>
      </x:c>
      <x:c r="B135" s="22" t="str">
        <x:v>2015</x:v>
      </x:c>
      <x:c r="C135" s="22" t="str">
        <x:v>14</x:v>
      </x:c>
      <x:c r="D135" s="21" t="str">
        <x:v>loss and damage</x:v>
      </x:c>
      <x:c r="E135" s="21" t="str">
        <x:v>loss and damage</x:v>
      </x:c>
      <x:c r="F135" s="22" t="str">
        <x:v>harm_loss_consequences</x:v>
      </x:c>
      <x:c r="G135" s="22" t="str">
        <x:v>D</x:v>
      </x:c>
      <x:c r="H135" s="22" t="str">
        <x:v>V2</x:v>
      </x:c>
      <x:c r="I135" s="22" t="str">
        <x:v>E5</x:v>
      </x:c>
      <x:c r="J135" s="21" t="str">
        <x:v>RECONSTRUCTED_FROM_REPORT; Fear of Temperature_ Stratified Lexical Expansion, Voice Mapping, and Semantic-Relational Pre-Valida.pdf; p.11; project candidate FT-SEED-R1B-P-2015-14; original visible ID not available</x:v>
      </x:c>
      <x:c r="K135" s="21" t="str">
        <x:v>INTERNET_ARCHIVE_METADATA_TEXT_ITEM_COUNT</x:v>
      </x:c>
      <x:c r="L135" s="22" t="str">
        <x:v>"loss and damage" AND mediatype:texts</x:v>
      </x:c>
      <x:c r="M135" s="22" t="str">
        <x:v>PHRASE_METADATA_SEARCH</x:v>
      </x:c>
      <x:c r="N135" s="21" t="str">
        <x:v>COMPLETED_NONZERO</x:v>
      </x:c>
      <x:c r="O135" s="57" t="str">
        <x:v>86</x:v>
      </x:c>
      <x:c r="P135" s="22" t="str">
        <x:v>86</x:v>
      </x:c>
      <x:c r="Q135" s="22" t="str">
        <x:v>4</x:v>
      </x:c>
      <x:c r="R135" s="22" t="str">
        <x:v>4</x:v>
      </x:c>
      <x:c r="S135" s="22" t="str">
        <x:v>2026-08-26</x:v>
      </x:c>
      <x:c r="T135" s="22" t="str">
        <x:v>https://archive.org/advancedsearch.php</x:v>
      </x:c>
      <x:c r="U135" s="22" t="str">
        <x:v>EXACT_PHRASE</x:v>
      </x:c>
      <x:c r="V135" s="21" t="str">
        <x:v>OPENALEX_WORK_COUNT</x:v>
      </x:c>
      <x:c r="W135" s="57" t="str"/>
      <x:c r="X135" s="23" t="str">
        <x:v>Metadata text-item count; not a full-text lexical frequency. Secondary metric: NOT_RUN_OPENALEX_DAILY_BUDGET_EXHAUSTED: shared provider response retained; no count fabricated.</x:v>
      </x:c>
    </x:row>
    <x:row r="136" ht="19" customHeight="1">
      <x:c r="A136" s="20" t="str">
        <x:v>FT-SEED-R1B-P-2015-15</x:v>
      </x:c>
      <x:c r="B136" s="22" t="str">
        <x:v>2015</x:v>
      </x:c>
      <x:c r="C136" s="22" t="str">
        <x:v>15</x:v>
      </x:c>
      <x:c r="D136" s="21" t="str">
        <x:v>extreme weather events</x:v>
      </x:c>
      <x:c r="E136" s="21" t="str">
        <x:v>generic damage</x:v>
      </x:c>
      <x:c r="F136" s="22" t="str">
        <x:v>harm_loss_consequences</x:v>
      </x:c>
      <x:c r="G136" s="22" t="str">
        <x:v>D</x:v>
      </x:c>
      <x:c r="H136" s="22" t="str">
        <x:v>V2</x:v>
      </x:c>
      <x:c r="I136" s="22" t="str">
        <x:v>E5</x:v>
      </x:c>
      <x:c r="J136" s="21" t="str">
        <x:v>RECONSTRUCTED_FROM_REPORT; Fear of Temperature_ Stratified Lexical Expansion, Voice Mapping, and Semantic-Relational Pre-Valida.pdf; p.11; project candidate FT-SEED-R1B-P-2015-15; original visible ID not available</x:v>
      </x:c>
      <x:c r="K136" s="21" t="str">
        <x:v>INTERNET_ARCHIVE_METADATA_TEXT_ITEM_COUNT</x:v>
      </x:c>
      <x:c r="L136" s="22" t="str">
        <x:v>"extreme weather events" AND mediatype:texts</x:v>
      </x:c>
      <x:c r="M136" s="22" t="str">
        <x:v>PHRASE_METADATA_SEARCH</x:v>
      </x:c>
      <x:c r="N136" s="21" t="str">
        <x:v>COMPLETED_NONZERO</x:v>
      </x:c>
      <x:c r="O136" s="57" t="str">
        <x:v>251</x:v>
      </x:c>
      <x:c r="P136" s="22" t="str">
        <x:v>251</x:v>
      </x:c>
      <x:c r="Q136" s="22" t="str">
        <x:v>9</x:v>
      </x:c>
      <x:c r="R136" s="22" t="str">
        <x:v>30</x:v>
      </x:c>
      <x:c r="S136" s="22" t="str">
        <x:v>2026-08-26</x:v>
      </x:c>
      <x:c r="T136" s="22" t="str">
        <x:v>https://archive.org/advancedsearch.php</x:v>
      </x:c>
      <x:c r="U136" s="22" t="str">
        <x:v>EXACT_PHRASE</x:v>
      </x:c>
      <x:c r="V136" s="21" t="str">
        <x:v>OPENALEX_WORK_COUNT</x:v>
      </x:c>
      <x:c r="W136" s="57" t="str"/>
      <x:c r="X136" s="23" t="str">
        <x:v>Metadata text-item count; not a full-text lexical frequency. Secondary metric: NOT_RUN_OPENALEX_DAILY_BUDGET_EXHAUSTED: shared provider response retained; no count fabricated.</x:v>
      </x:c>
    </x:row>
    <x:row r="137" ht="19" customHeight="1">
      <x:c r="A137" s="20" t="str">
        <x:v>FT-SEED-R1B-P-2015-16</x:v>
      </x:c>
      <x:c r="B137" s="22" t="str">
        <x:v>2015</x:v>
      </x:c>
      <x:c r="C137" s="22" t="str">
        <x:v>16</x:v>
      </x:c>
      <x:c r="D137" s="21" t="str">
        <x:v>slow onset events</x:v>
      </x:c>
      <x:c r="E137" s="21" t="str">
        <x:v>generic damage</x:v>
      </x:c>
      <x:c r="F137" s="22" t="str">
        <x:v>harm_loss_consequences</x:v>
      </x:c>
      <x:c r="G137" s="22" t="str">
        <x:v>D</x:v>
      </x:c>
      <x:c r="H137" s="22" t="str">
        <x:v>V2</x:v>
      </x:c>
      <x:c r="I137" s="22" t="str">
        <x:v>E5</x:v>
      </x:c>
      <x:c r="J137" s="21" t="str">
        <x:v>RECONSTRUCTED_FROM_REPORT; Fear of Temperature_ Stratified Lexical Expansion, Voice Mapping, and Semantic-Relational Pre-Valida.pdf; p.11; project candidate FT-SEED-R1B-P-2015-16; original visible ID not available</x:v>
      </x:c>
      <x:c r="K137" s="21" t="str">
        <x:v>INTERNET_ARCHIVE_METADATA_TEXT_ITEM_COUNT</x:v>
      </x:c>
      <x:c r="L137" s="22" t="str">
        <x:v>"slow onset events" AND mediatype:texts</x:v>
      </x:c>
      <x:c r="M137" s="22" t="str">
        <x:v>PHRASE_METADATA_SEARCH</x:v>
      </x:c>
      <x:c r="N137" s="21" t="str">
        <x:v>COMPLETED_NONZERO</x:v>
      </x:c>
      <x:c r="O137" s="57" t="str">
        <x:v>2</x:v>
      </x:c>
      <x:c r="P137" s="22" t="str">
        <x:v>2</x:v>
      </x:c>
      <x:c r="Q137" s="22" t="str">
        <x:v>1</x:v>
      </x:c>
      <x:c r="R137" s="22" t="str">
        <x:v>1</x:v>
      </x:c>
      <x:c r="S137" s="22" t="str">
        <x:v>2026-08-26</x:v>
      </x:c>
      <x:c r="T137" s="22" t="str">
        <x:v>https://archive.org/advancedsearch.php</x:v>
      </x:c>
      <x:c r="U137" s="22" t="str">
        <x:v>EXACT_PHRASE</x:v>
      </x:c>
      <x:c r="V137" s="21" t="str">
        <x:v>OPENALEX_WORK_COUNT</x:v>
      </x:c>
      <x:c r="W137" s="57" t="str"/>
      <x:c r="X137" s="23" t="str">
        <x:v>Metadata text-item count; not a full-text lexical frequency. Secondary metric: NOT_RUN_OPENALEX_DAILY_BUDGET_EXHAUSTED: shared provider response retained; no count fabricated.</x:v>
      </x:c>
    </x:row>
    <x:row r="138" ht="19" customHeight="1">
      <x:c r="A138" s="20" t="str">
        <x:v>FT-SEED-R1B-P-2015-17</x:v>
      </x:c>
      <x:c r="B138" s="22" t="str">
        <x:v>2015</x:v>
      </x:c>
      <x:c r="C138" s="22" t="str">
        <x:v>17</x:v>
      </x:c>
      <x:c r="D138" s="21" t="str">
        <x:v>risk of loss and damage</x:v>
      </x:c>
      <x:c r="E138" s="21" t="str">
        <x:v>administrative risk assessment</x:v>
      </x:c>
      <x:c r="F138" s="22" t="str">
        <x:v>risk</x:v>
      </x:c>
      <x:c r="G138" s="22" t="str">
        <x:v>D</x:v>
      </x:c>
      <x:c r="H138" s="22" t="str">
        <x:v>V2</x:v>
      </x:c>
      <x:c r="I138" s="22" t="str">
        <x:v>E5</x:v>
      </x:c>
      <x:c r="J138" s="21" t="str">
        <x:v>RECONSTRUCTED_FROM_REPORT; Fear of Temperature_ Stratified Lexical Expansion, Voice Mapping, and Semantic-Relational Pre-Valida.pdf; p.11; project candidate FT-SEED-R1B-P-2015-17; original visible ID not available</x:v>
      </x:c>
      <x:c r="K138" s="21" t="str">
        <x:v>INTERNET_ARCHIVE_METADATA_TEXT_ITEM_COUNT</x:v>
      </x:c>
      <x:c r="L138" s="22" t="str">
        <x:v>"risk of loss and damage" AND mediatype:texts</x:v>
      </x:c>
      <x:c r="M138" s="22" t="str">
        <x:v>PHRASE_METADATA_SEARCH</x:v>
      </x:c>
      <x:c r="N138" s="21" t="str">
        <x:v>COMPLETED_NONZERO</x:v>
      </x:c>
      <x:c r="O138" s="57" t="str">
        <x:v>2</x:v>
      </x:c>
      <x:c r="P138" s="22" t="str">
        <x:v>2</x:v>
      </x:c>
      <x:c r="Q138" s="22" t="str">
        <x:v>1</x:v>
      </x:c>
      <x:c r="R138" s="22" t="str">
        <x:v>1</x:v>
      </x:c>
      <x:c r="S138" s="22" t="str">
        <x:v>2026-08-26</x:v>
      </x:c>
      <x:c r="T138" s="22" t="str">
        <x:v>https://archive.org/advancedsearch.php</x:v>
      </x:c>
      <x:c r="U138" s="22" t="str">
        <x:v>EXACT_PHRASE</x:v>
      </x:c>
      <x:c r="V138" s="21" t="str">
        <x:v>OPENALEX_WORK_COUNT</x:v>
      </x:c>
      <x:c r="W138" s="57" t="str"/>
      <x:c r="X138" s="23" t="str">
        <x:v>Metadata text-item count; not a full-text lexical frequency. Secondary metric: NOT_RUN_OPENALEX_DAILY_BUDGET_EXHAUSTED: shared provider response retained; no count fabricated.</x:v>
      </x:c>
    </x:row>
    <x:row r="139" ht="19" customHeight="1">
      <x:c r="A139" s="20" t="str">
        <x:v>FT-SEED-R1B-P-2015-18</x:v>
      </x:c>
      <x:c r="B139" s="22" t="str">
        <x:v>2015</x:v>
      </x:c>
      <x:c r="C139" s="22" t="str">
        <x:v>18</x:v>
      </x:c>
      <x:c r="D139" s="21" t="str">
        <x:v>early warning systems</x:v>
      </x:c>
      <x:c r="E139" s="21" t="str">
        <x:v>generic damage</x:v>
      </x:c>
      <x:c r="F139" s="22" t="str">
        <x:v>harm_loss_consequences</x:v>
      </x:c>
      <x:c r="G139" s="22" t="str">
        <x:v>D</x:v>
      </x:c>
      <x:c r="H139" s="22" t="str">
        <x:v>V2</x:v>
      </x:c>
      <x:c r="I139" s="22" t="str">
        <x:v>E5</x:v>
      </x:c>
      <x:c r="J139" s="21" t="str">
        <x:v>RECONSTRUCTED_FROM_REPORT; Fear of Temperature_ Stratified Lexical Expansion, Voice Mapping, and Semantic-Relational Pre-Valida.pdf; p.11; project candidate FT-SEED-R1B-P-2015-18; original visible ID not available</x:v>
      </x:c>
      <x:c r="K139" s="21" t="str">
        <x:v>INTERNET_ARCHIVE_METADATA_TEXT_ITEM_COUNT</x:v>
      </x:c>
      <x:c r="L139" s="22" t="str">
        <x:v>"early warning systems" AND mediatype:texts</x:v>
      </x:c>
      <x:c r="M139" s="22" t="str">
        <x:v>PHRASE_METADATA_SEARCH</x:v>
      </x:c>
      <x:c r="N139" s="21" t="str">
        <x:v>COMPLETED_NONZERO</x:v>
      </x:c>
      <x:c r="O139" s="57" t="str">
        <x:v>833</x:v>
      </x:c>
      <x:c r="P139" s="22" t="str">
        <x:v>833</x:v>
      </x:c>
      <x:c r="Q139" s="22" t="str">
        <x:v>18</x:v>
      </x:c>
      <x:c r="R139" s="22" t="str">
        <x:v>56</x:v>
      </x:c>
      <x:c r="S139" s="22" t="str">
        <x:v>2026-08-26</x:v>
      </x:c>
      <x:c r="T139" s="22" t="str">
        <x:v>https://archive.org/advancedsearch.php</x:v>
      </x:c>
      <x:c r="U139" s="22" t="str">
        <x:v>EXACT_PHRASE</x:v>
      </x:c>
      <x:c r="V139" s="21" t="str">
        <x:v>OPENALEX_WORK_COUNT</x:v>
      </x:c>
      <x:c r="W139" s="57" t="str"/>
      <x:c r="X139" s="23" t="str">
        <x:v>Metadata text-item count; not a full-text lexical frequency. Secondary metric: NOT_RUN_OPENALEX_DAILY_BUDGET_EXHAUSTED: shared provider response retained; no count fabricated.</x:v>
      </x:c>
    </x:row>
    <x:row r="140" ht="19" customHeight="1">
      <x:c r="A140" s="20" t="str">
        <x:v>FT-SEED-R1B-P-2015-19</x:v>
      </x:c>
      <x:c r="B140" s="22" t="str">
        <x:v>2015</x:v>
      </x:c>
      <x:c r="C140" s="22" t="str">
        <x:v>19</x:v>
      </x:c>
      <x:c r="D140" s="21" t="str">
        <x:v>emergency preparedness</x:v>
      </x:c>
      <x:c r="E140" s="21" t="str">
        <x:v>emergency response category</x:v>
      </x:c>
      <x:c r="F140" s="22" t="str">
        <x:v>crisis_emergency</x:v>
      </x:c>
      <x:c r="G140" s="22" t="str">
        <x:v>D</x:v>
      </x:c>
      <x:c r="H140" s="22" t="str">
        <x:v>V2</x:v>
      </x:c>
      <x:c r="I140" s="22" t="str">
        <x:v>E5</x:v>
      </x:c>
      <x:c r="J140" s="21" t="str">
        <x:v>RECONSTRUCTED_FROM_REPORT; Fear of Temperature_ Stratified Lexical Expansion, Voice Mapping, and Semantic-Relational Pre-Valida.pdf; p.11; project candidate FT-SEED-R1B-P-2015-19; original visible ID not available</x:v>
      </x:c>
      <x:c r="K140" s="21" t="str">
        <x:v>INTERNET_ARCHIVE_METADATA_TEXT_ITEM_COUNT</x:v>
      </x:c>
      <x:c r="L140" s="22" t="str">
        <x:v>"emergency preparedness" AND mediatype:texts</x:v>
      </x:c>
      <x:c r="M140" s="22" t="str">
        <x:v>PHRASE_METADATA_SEARCH</x:v>
      </x:c>
      <x:c r="N140" s="21" t="str">
        <x:v>COMPLETED_NONZERO</x:v>
      </x:c>
      <x:c r="O140" s="57" t="str">
        <x:v>1406</x:v>
      </x:c>
      <x:c r="P140" s="22" t="str">
        <x:v>1406</x:v>
      </x:c>
      <x:c r="Q140" s="22" t="str">
        <x:v>30</x:v>
      </x:c>
      <x:c r="R140" s="22" t="str">
        <x:v>100</x:v>
      </x:c>
      <x:c r="S140" s="22" t="str">
        <x:v>2026-08-26</x:v>
      </x:c>
      <x:c r="T140" s="22" t="str">
        <x:v>https://archive.org/advancedsearch.php</x:v>
      </x:c>
      <x:c r="U140" s="22" t="str">
        <x:v>EXACT_PHRASE</x:v>
      </x:c>
      <x:c r="V140" s="21" t="str">
        <x:v>OPENALEX_WORK_COUNT</x:v>
      </x:c>
      <x:c r="W140" s="57" t="str"/>
      <x:c r="X140" s="23" t="str">
        <x:v>Metadata text-item count; not a full-text lexical frequency. Secondary metric: NOT_RUN_OPENALEX_DAILY_BUDGET_EXHAUSTED: shared provider response retained; no count fabricated.</x:v>
      </x:c>
    </x:row>
    <x:row r="141" ht="19" customHeight="1">
      <x:c r="A141" s="20" t="str">
        <x:v>FT-SEED-R1B-P-2015-20</x:v>
      </x:c>
      <x:c r="B141" s="22" t="str">
        <x:v>2015</x:v>
      </x:c>
      <x:c r="C141" s="22" t="str">
        <x:v>20</x:v>
      </x:c>
      <x:c r="D141" s="21" t="str">
        <x:v>irreversible and permanent loss and damage</x:v>
      </x:c>
      <x:c r="E141" s="21" t="str">
        <x:v>loss and damage</x:v>
      </x:c>
      <x:c r="F141" s="22" t="str">
        <x:v>harm_loss_consequences</x:v>
      </x:c>
      <x:c r="G141" s="22" t="str">
        <x:v>D</x:v>
      </x:c>
      <x:c r="H141" s="22" t="str">
        <x:v>V2</x:v>
      </x:c>
      <x:c r="I141" s="22" t="str">
        <x:v>E5</x:v>
      </x:c>
      <x:c r="J141" s="21" t="str">
        <x:v>RECONSTRUCTED_FROM_REPORT; Fear of Temperature_ Stratified Lexical Expansion, Voice Mapping, and Semantic-Relational Pre-Valida.pdf; p.11; project candidate FT-SEED-R1B-P-2015-20; original visible ID not available</x:v>
      </x:c>
      <x:c r="K141" s="21" t="str">
        <x:v>INTERNET_ARCHIVE_METADATA_TEXT_ITEM_COUNT</x:v>
      </x:c>
      <x:c r="L141" s="22" t="str">
        <x:v>"irreversible and permanent loss and damage" AND mediatype:texts</x:v>
      </x:c>
      <x:c r="M141" s="22" t="str">
        <x:v>PHRASE_METADATA_SEARCH</x:v>
      </x:c>
      <x:c r="N141" s="21" t="str">
        <x:v>COMPLETED_NONZERO</x:v>
      </x:c>
      <x:c r="O141" s="57" t="str">
        <x:v>1</x:v>
      </x:c>
      <x:c r="P141" s="22" t="str">
        <x:v>1</x:v>
      </x:c>
      <x:c r="Q141" s="22" t="str">
        <x:v>1</x:v>
      </x:c>
      <x:c r="R141" s="22" t="str">
        <x:v>1</x:v>
      </x:c>
      <x:c r="S141" s="22" t="str">
        <x:v>2026-08-26</x:v>
      </x:c>
      <x:c r="T141" s="22" t="str">
        <x:v>https://archive.org/advancedsearch.php</x:v>
      </x:c>
      <x:c r="U141" s="22" t="str">
        <x:v>EXACT_PHRASE</x:v>
      </x:c>
      <x:c r="V141" s="21" t="str">
        <x:v>OPENALEX_WORK_COUNT</x:v>
      </x:c>
      <x:c r="W141" s="57" t="str"/>
      <x:c r="X141" s="23" t="str">
        <x:v>Metadata text-item count; not a full-text lexical frequency. Secondary metric: NOT_RUN_OPENALEX_DAILY_BUDGET_EXHAUSTED: shared provider response retained; no count fabricated.</x:v>
      </x:c>
    </x:row>
    <x:row r="142" ht="19" customHeight="1">
      <x:c r="A142" s="20" t="str">
        <x:v>FT-SEED-R1B-P-2015-21</x:v>
      </x:c>
      <x:c r="B142" s="22" t="str">
        <x:v>2015</x:v>
      </x:c>
      <x:c r="C142" s="22" t="str">
        <x:v>21</x:v>
      </x:c>
      <x:c r="D142" s="21" t="str">
        <x:v>comprehensive risk assessment and management</x:v>
      </x:c>
      <x:c r="E142" s="21" t="str">
        <x:v>administrative risk assessment</x:v>
      </x:c>
      <x:c r="F142" s="22" t="str">
        <x:v>risk</x:v>
      </x:c>
      <x:c r="G142" s="22" t="str">
        <x:v>D</x:v>
      </x:c>
      <x:c r="H142" s="22" t="str">
        <x:v>V2</x:v>
      </x:c>
      <x:c r="I142" s="22" t="str">
        <x:v>E5</x:v>
      </x:c>
      <x:c r="J142" s="21" t="str">
        <x:v>RECONSTRUCTED_FROM_REPORT; Fear of Temperature_ Stratified Lexical Expansion, Voice Mapping, and Semantic-Relational Pre-Valida.pdf; p.11; project candidate FT-SEED-R1B-P-2015-21; original visible ID not available</x:v>
      </x:c>
      <x:c r="K142" s="21" t="str">
        <x:v>INTERNET_ARCHIVE_METADATA_TEXT_ITEM_COUNT</x:v>
      </x:c>
      <x:c r="L142" s="22" t="str">
        <x:v>"comprehensive risk assessment and management" AND mediatype:texts</x:v>
      </x:c>
      <x:c r="M142" s="22" t="str">
        <x:v>PHRASE_METADATA_SEARCH</x:v>
      </x:c>
      <x:c r="N142" s="21" t="str">
        <x:v>COMPLETED_NONZERO</x:v>
      </x:c>
      <x:c r="O142" s="57" t="str">
        <x:v>1</x:v>
      </x:c>
      <x:c r="P142" s="22" t="str">
        <x:v>1</x:v>
      </x:c>
      <x:c r="Q142" s="22" t="str">
        <x:v>1</x:v>
      </x:c>
      <x:c r="R142" s="22" t="str">
        <x:v>1</x:v>
      </x:c>
      <x:c r="S142" s="22" t="str">
        <x:v>2026-08-26</x:v>
      </x:c>
      <x:c r="T142" s="22" t="str">
        <x:v>https://archive.org/advancedsearch.php</x:v>
      </x:c>
      <x:c r="U142" s="22" t="str">
        <x:v>EXACT_PHRASE</x:v>
      </x:c>
      <x:c r="V142" s="21" t="str">
        <x:v>OPENALEX_WORK_COUNT</x:v>
      </x:c>
      <x:c r="W142" s="57" t="str"/>
      <x:c r="X142" s="23" t="str">
        <x:v>Metadata text-item count; not a full-text lexical frequency. Secondary metric: HTTP 429: {"error":"Rate limit exceeded","message":"Insufficient budget. This request costs $0.001 but you only have $0 remaining. Resets at midnight UTC. Need more? Add funds at https://openalex.org/pricing","retryAfter":63036,"costUsd":0.001,"daily</x:v>
      </x:c>
    </x:row>
    <x:row r="143" ht="19" customHeight="1">
      <x:c r="A143" s="20" t="str">
        <x:v>FT-SEED-R1B-P-2015-22</x:v>
      </x:c>
      <x:c r="B143" s="22" t="str">
        <x:v>2015</x:v>
      </x:c>
      <x:c r="C143" s="22" t="str">
        <x:v>22</x:v>
      </x:c>
      <x:c r="D143" s="21" t="str">
        <x:v>non-economic losses</x:v>
      </x:c>
      <x:c r="E143" s="21" t="str">
        <x:v>non-economic losses</x:v>
      </x:c>
      <x:c r="F143" s="22" t="str">
        <x:v>harm_loss_consequences</x:v>
      </x:c>
      <x:c r="G143" s="22" t="str">
        <x:v>D</x:v>
      </x:c>
      <x:c r="H143" s="22" t="str">
        <x:v>V2</x:v>
      </x:c>
      <x:c r="I143" s="22" t="str">
        <x:v>E5</x:v>
      </x:c>
      <x:c r="J143" s="21" t="str">
        <x:v>RECONSTRUCTED_FROM_REPORT; Fear of Temperature_ Stratified Lexical Expansion, Voice Mapping, and Semantic-Relational Pre-Valida.pdf; p.11; project candidate FT-SEED-R1B-P-2015-22; original visible ID not available</x:v>
      </x:c>
      <x:c r="K143" s="21" t="str">
        <x:v>INTERNET_ARCHIVE_METADATA_TEXT_ITEM_COUNT</x:v>
      </x:c>
      <x:c r="L143" s="22" t="str">
        <x:v>"non-economic losses" AND mediatype:texts</x:v>
      </x:c>
      <x:c r="M143" s="22" t="str">
        <x:v>PHRASE_METADATA_SEARCH</x:v>
      </x:c>
      <x:c r="N143" s="21" t="str">
        <x:v>COMPLETED_NONZERO</x:v>
      </x:c>
      <x:c r="O143" s="57" t="str">
        <x:v>1</x:v>
      </x:c>
      <x:c r="P143" s="22" t="str">
        <x:v>1</x:v>
      </x:c>
      <x:c r="Q143" s="22" t="str">
        <x:v>1</x:v>
      </x:c>
      <x:c r="R143" s="22" t="str">
        <x:v>1</x:v>
      </x:c>
      <x:c r="S143" s="22" t="str">
        <x:v>2026-08-26</x:v>
      </x:c>
      <x:c r="T143" s="22" t="str">
        <x:v>https://archive.org/advancedsearch.php</x:v>
      </x:c>
      <x:c r="U143" s="22" t="str">
        <x:v>EXACT_PHRASE</x:v>
      </x:c>
      <x:c r="V143" s="21" t="str">
        <x:v>OPENALEX_WORK_COUNT</x:v>
      </x:c>
      <x:c r="W143" s="57" t="str"/>
      <x:c r="X143" s="23" t="str">
        <x:v>Metadata text-item count; not a full-text lexical frequency. Secondary metric: NOT_RUN_OPENALEX_DAILY_BUDGET_EXHAUSTED: shared provider response retained; no count fabricated.</x:v>
      </x:c>
    </x:row>
    <x:row r="144" ht="19" customHeight="1">
      <x:c r="A144" s="20" t="str">
        <x:v>FT-SEED-R1B-P-2015-23</x:v>
      </x:c>
      <x:c r="B144" s="22" t="str">
        <x:v>2015</x:v>
      </x:c>
      <x:c r="C144" s="22" t="str">
        <x:v>23</x:v>
      </x:c>
      <x:c r="D144" s="21" t="str">
        <x:v>common concern of humankind</x:v>
      </x:c>
      <x:c r="E144" s="21" t="str">
        <x:v>common concern of humankind</x:v>
      </x:c>
      <x:c r="F144" s="22" t="str">
        <x:v>concern_alarm</x:v>
      </x:c>
      <x:c r="G144" s="22" t="str">
        <x:v>C</x:v>
      </x:c>
      <x:c r="H144" s="22" t="str">
        <x:v>V2</x:v>
      </x:c>
      <x:c r="I144" s="22" t="str">
        <x:v>E1</x:v>
      </x:c>
      <x:c r="J144" s="21" t="str">
        <x:v>RECONSTRUCTED_FROM_REPORT; Fear of Temperature_ Stratified Lexical Expansion, Voice Mapping, and Semantic-Relational Pre-Valida.pdf; p.11; project candidate FT-SEED-R1B-P-2015-23; original visible ID not available</x:v>
      </x:c>
      <x:c r="K144" s="21" t="str">
        <x:v>INTERNET_ARCHIVE_METADATA_TEXT_ITEM_COUNT</x:v>
      </x:c>
      <x:c r="L144" s="22" t="str">
        <x:v>"common concern of humankind" AND mediatype:texts</x:v>
      </x:c>
      <x:c r="M144" s="22" t="str">
        <x:v>PHRASE_METADATA_SEARCH</x:v>
      </x:c>
      <x:c r="N144" s="21" t="str">
        <x:v>COMPLETED_NONZERO</x:v>
      </x:c>
      <x:c r="O144" s="57" t="str">
        <x:v>5</x:v>
      </x:c>
      <x:c r="P144" s="22" t="str">
        <x:v>5</x:v>
      </x:c>
      <x:c r="Q144" s="22" t="str">
        <x:v>0</x:v>
      </x:c>
      <x:c r="R144" s="22" t="str">
        <x:v>0</x:v>
      </x:c>
      <x:c r="S144" s="22" t="str">
        <x:v>2026-08-26</x:v>
      </x:c>
      <x:c r="T144" s="22" t="str">
        <x:v>https://archive.org/advancedsearch.php</x:v>
      </x:c>
      <x:c r="U144" s="22" t="str">
        <x:v>EXACT_PHRASE</x:v>
      </x:c>
      <x:c r="V144" s="21" t="str">
        <x:v>OPENALEX_WORK_COUNT</x:v>
      </x:c>
      <x:c r="W144" s="57" t="str">
        <x:v>1078</x:v>
      </x:c>
      <x:c r="X144" s="23" t="str">
        <x:v>Metadata text-item count; not a full-text lexical frequency. Secondary metric: Scholarly work discoverability count over OpenAlex search fields; not a corpus word frequency.</x:v>
      </x:c>
    </x:row>
    <x:row r="145" ht="19" customHeight="1">
      <x:c r="A145" s="20" t="str">
        <x:v>FT-SEED-R1B-P-2015-24</x:v>
      </x:c>
      <x:c r="B145" s="22" t="str">
        <x:v>2015</x:v>
      </x:c>
      <x:c r="C145" s="22" t="str">
        <x:v>24</x:v>
      </x:c>
      <x:c r="D145" s="21" t="str">
        <x:v>climate justice</x:v>
      </x:c>
      <x:c r="E145" s="21" t="str">
        <x:v>generic damage</x:v>
      </x:c>
      <x:c r="F145" s="22" t="str">
        <x:v>harm_loss_consequences</x:v>
      </x:c>
      <x:c r="G145" s="22" t="str">
        <x:v>D</x:v>
      </x:c>
      <x:c r="H145" s="22" t="str">
        <x:v>V2</x:v>
      </x:c>
      <x:c r="I145" s="22" t="str">
        <x:v>E5</x:v>
      </x:c>
      <x:c r="J145" s="21" t="str">
        <x:v>RECONSTRUCTED_FROM_REPORT; Fear of Temperature_ Stratified Lexical Expansion, Voice Mapping, and Semantic-Relational Pre-Valida.pdf; p.11; project candidate FT-SEED-R1B-P-2015-24; original visible ID not available</x:v>
      </x:c>
      <x:c r="K145" s="21" t="str">
        <x:v>INTERNET_ARCHIVE_METADATA_TEXT_ITEM_COUNT</x:v>
      </x:c>
      <x:c r="L145" s="22" t="str">
        <x:v>"climate justice" AND mediatype:texts</x:v>
      </x:c>
      <x:c r="M145" s="22" t="str">
        <x:v>PHRASE_METADATA_SEARCH</x:v>
      </x:c>
      <x:c r="N145" s="21" t="str">
        <x:v>COMPLETED_NONZERO</x:v>
      </x:c>
      <x:c r="O145" s="57" t="str">
        <x:v>145</x:v>
      </x:c>
      <x:c r="P145" s="22" t="str">
        <x:v>145</x:v>
      </x:c>
      <x:c r="Q145" s="22" t="str">
        <x:v>8</x:v>
      </x:c>
      <x:c r="R145" s="22" t="str">
        <x:v>20</x:v>
      </x:c>
      <x:c r="S145" s="22" t="str">
        <x:v>2026-08-26</x:v>
      </x:c>
      <x:c r="T145" s="22" t="str">
        <x:v>https://archive.org/advancedsearch.php</x:v>
      </x:c>
      <x:c r="U145" s="22" t="str">
        <x:v>EXACT_PHRASE</x:v>
      </x:c>
      <x:c r="V145" s="21" t="str">
        <x:v>OPENALEX_WORK_COUNT</x:v>
      </x:c>
      <x:c r="W145" s="57" t="str">
        <x:v>30786</x:v>
      </x:c>
      <x:c r="X145" s="23" t="str">
        <x:v>Metadata text-item count; not a full-text lexical frequency. Secondary metric: Scholarly work discoverability count over OpenAlex search fields; not a corpus word frequency.</x:v>
      </x:c>
    </x:row>
    <x:row r="146" ht="19" customHeight="1">
      <x:c r="A146" s="20" t="str">
        <x:v>FT-SEED-R1B-P-2015-25</x:v>
      </x:c>
      <x:c r="B146" s="22" t="str">
        <x:v>2015</x:v>
      </x:c>
      <x:c r="C146" s="22" t="str">
        <x:v>25</x:v>
      </x:c>
      <x:c r="D146" s="21" t="str">
        <x:v>very worried</x:v>
      </x:c>
      <x:c r="E146" s="21" t="str">
        <x:v>participant worry endorsement</x:v>
      </x:c>
      <x:c r="F146" s="22" t="str">
        <x:v>worry</x:v>
      </x:c>
      <x:c r="G146" s="22" t="str">
        <x:v>C</x:v>
      </x:c>
      <x:c r="H146" s="22" t="str">
        <x:v>V5</x:v>
      </x:c>
      <x:c r="I146" s="22" t="str">
        <x:v>E5</x:v>
      </x:c>
      <x:c r="J146" s="21" t="str">
        <x:v>RECONSTRUCTED_FROM_REPORT; Fear of Temperature_ Stratified Lexical Expansion, Voice Mapping, and Semantic-Relational Pre-Valida.pdf; p.11; project candidate FT-SEED-R1B-P-2015-25; original visible ID not available</x:v>
      </x:c>
      <x:c r="K146" s="21" t="str">
        <x:v>INTERNET_ARCHIVE_METADATA_TEXT_ITEM_COUNT</x:v>
      </x:c>
      <x:c r="L146" s="22" t="str">
        <x:v>"very worried" AND mediatype:texts</x:v>
      </x:c>
      <x:c r="M146" s="22" t="str">
        <x:v>PHRASE_METADATA_SEARCH</x:v>
      </x:c>
      <x:c r="N146" s="21" t="str">
        <x:v>COMPLETED_NONZERO</x:v>
      </x:c>
      <x:c r="O146" s="57" t="str">
        <x:v>131</x:v>
      </x:c>
      <x:c r="P146" s="22" t="str">
        <x:v>131</x:v>
      </x:c>
      <x:c r="Q146" s="22" t="str">
        <x:v>2</x:v>
      </x:c>
      <x:c r="R146" s="22" t="str">
        <x:v>4</x:v>
      </x:c>
      <x:c r="S146" s="22" t="str">
        <x:v>2026-08-26</x:v>
      </x:c>
      <x:c r="T146" s="22" t="str">
        <x:v>https://archive.org/advancedsearch.php</x:v>
      </x:c>
      <x:c r="U146" s="22" t="str">
        <x:v>EXACT_PHRASE</x:v>
      </x:c>
      <x:c r="V146" s="21" t="str">
        <x:v>OPENALEX_WORK_COUNT</x:v>
      </x:c>
      <x:c r="W146" s="57" t="str"/>
      <x:c r="X146" s="23" t="str">
        <x:v>Metadata text-item count; not a full-text lexical frequency. Secondary metric: NOT_RUN_OPENALEX_DAILY_BUDGET_EXHAUSTED: shared provider response retained; no count fabricated.</x:v>
      </x:c>
    </x:row>
    <x:row r="147" ht="19" customHeight="1">
      <x:c r="A147" s="20" t="str">
        <x:v>FT-SEED-R1B-P-2015-26</x:v>
      </x:c>
      <x:c r="B147" s="22" t="str">
        <x:v>2015</x:v>
      </x:c>
      <x:c r="C147" s="22" t="str">
        <x:v>26</x:v>
      </x:c>
      <x:c r="D147" s="21" t="str">
        <x:v>somewhat worried</x:v>
      </x:c>
      <x:c r="E147" s="21" t="str">
        <x:v>participant worry endorsement</x:v>
      </x:c>
      <x:c r="F147" s="22" t="str">
        <x:v>worry</x:v>
      </x:c>
      <x:c r="G147" s="22" t="str">
        <x:v>C</x:v>
      </x:c>
      <x:c r="H147" s="22" t="str">
        <x:v>V5</x:v>
      </x:c>
      <x:c r="I147" s="22" t="str">
        <x:v>E5</x:v>
      </x:c>
      <x:c r="J147" s="21" t="str">
        <x:v>RECONSTRUCTED_FROM_REPORT; Fear of Temperature_ Stratified Lexical Expansion, Voice Mapping, and Semantic-Relational Pre-Valida.pdf; p.11; project candidate FT-SEED-R1B-P-2015-26; original visible ID not available</x:v>
      </x:c>
      <x:c r="K147" s="21" t="str">
        <x:v>INTERNET_ARCHIVE_METADATA_TEXT_ITEM_COUNT</x:v>
      </x:c>
      <x:c r="L147" s="22" t="str">
        <x:v>"somewhat worried" AND mediatype:texts</x:v>
      </x:c>
      <x:c r="M147" s="22" t="str">
        <x:v>PHRASE_METADATA_SEARCH</x:v>
      </x:c>
      <x:c r="N147" s="21" t="str">
        <x:v>COMPLETED_NONZERO</x:v>
      </x:c>
      <x:c r="O147" s="57" t="str">
        <x:v>15</x:v>
      </x:c>
      <x:c r="P147" s="22" t="str">
        <x:v>15</x:v>
      </x:c>
      <x:c r="Q147" s="22" t="str">
        <x:v>0</x:v>
      </x:c>
      <x:c r="R147" s="22" t="str">
        <x:v>2</x:v>
      </x:c>
      <x:c r="S147" s="22" t="str">
        <x:v>2026-08-26</x:v>
      </x:c>
      <x:c r="T147" s="22" t="str">
        <x:v>https://archive.org/advancedsearch.php</x:v>
      </x:c>
      <x:c r="U147" s="22" t="str">
        <x:v>EXACT_PHRASE</x:v>
      </x:c>
      <x:c r="V147" s="21" t="str">
        <x:v>OPENALEX_WORK_COUNT</x:v>
      </x:c>
      <x:c r="W147" s="57" t="str"/>
      <x:c r="X147" s="23" t="str">
        <x:v>Metadata text-item count; not a full-text lexical frequency. Secondary metric: NOT_RUN_OPENALEX_DAILY_BUDGET_EXHAUSTED: shared provider response retained; no count fabricated.</x:v>
      </x:c>
    </x:row>
    <x:row r="148" ht="19" customHeight="1">
      <x:c r="A148" s="20" t="str">
        <x:v>FT-SEED-R1B-P-2015-27</x:v>
      </x:c>
      <x:c r="B148" s="22" t="str">
        <x:v>2015</x:v>
      </x:c>
      <x:c r="C148" s="22" t="str">
        <x:v>27</x:v>
      </x:c>
      <x:c r="D148" s="21" t="str">
        <x:v>very serious problem</x:v>
      </x:c>
      <x:c r="E148" s="21" t="str">
        <x:v>generic damage</x:v>
      </x:c>
      <x:c r="F148" s="22" t="str">
        <x:v>harm_loss_consequences</x:v>
      </x:c>
      <x:c r="G148" s="22" t="str">
        <x:v>D</x:v>
      </x:c>
      <x:c r="H148" s="22" t="str">
        <x:v>V5</x:v>
      </x:c>
      <x:c r="I148" s="22" t="str">
        <x:v>E5</x:v>
      </x:c>
      <x:c r="J148" s="21" t="str">
        <x:v>RECONSTRUCTED_FROM_REPORT; Fear of Temperature_ Stratified Lexical Expansion, Voice Mapping, and Semantic-Relational Pre-Valida.pdf; p.11; project candidate FT-SEED-R1B-P-2015-27; original visible ID not available</x:v>
      </x:c>
      <x:c r="K148" s="21" t="str">
        <x:v>INTERNET_ARCHIVE_METADATA_TEXT_ITEM_COUNT</x:v>
      </x:c>
      <x:c r="L148" s="22" t="str">
        <x:v>"very serious problem" AND mediatype:texts</x:v>
      </x:c>
      <x:c r="M148" s="22" t="str">
        <x:v>PHRASE_METADATA_SEARCH</x:v>
      </x:c>
      <x:c r="N148" s="21" t="str">
        <x:v>COMPLETED_NONZERO</x:v>
      </x:c>
      <x:c r="O148" s="57" t="str">
        <x:v>101</x:v>
      </x:c>
      <x:c r="P148" s="22" t="str">
        <x:v>101</x:v>
      </x:c>
      <x:c r="Q148" s="22" t="str">
        <x:v>0</x:v>
      </x:c>
      <x:c r="R148" s="22" t="str">
        <x:v>5</x:v>
      </x:c>
      <x:c r="S148" s="22" t="str">
        <x:v>2026-08-26</x:v>
      </x:c>
      <x:c r="T148" s="22" t="str">
        <x:v>https://archive.org/advancedsearch.php</x:v>
      </x:c>
      <x:c r="U148" s="22" t="str">
        <x:v>EXACT_PHRASE</x:v>
      </x:c>
      <x:c r="V148" s="21" t="str">
        <x:v>OPENALEX_WORK_COUNT</x:v>
      </x:c>
      <x:c r="W148" s="57" t="str"/>
      <x:c r="X148" s="23" t="str">
        <x:v>Metadata text-item count; not a full-text lexical frequency. Secondary metric: NOT_RUN_OPENALEX_DAILY_BUDGET_EXHAUSTED: shared provider response retained; no count fabricated.</x:v>
      </x:c>
    </x:row>
    <x:row r="149" ht="19" customHeight="1">
      <x:c r="A149" s="20" t="str">
        <x:v>FT-SEED-R1B-P-2015-28</x:v>
      </x:c>
      <x:c r="B149" s="22" t="str">
        <x:v>2015</x:v>
      </x:c>
      <x:c r="C149" s="22" t="str">
        <x:v>28</x:v>
      </x:c>
      <x:c r="D149" s="21" t="str">
        <x:v>harm them personally</x:v>
      </x:c>
      <x:c r="E149" s="21" t="str">
        <x:v>generic damage</x:v>
      </x:c>
      <x:c r="F149" s="22" t="str">
        <x:v>harm_loss_consequences</x:v>
      </x:c>
      <x:c r="G149" s="22" t="str">
        <x:v>D</x:v>
      </x:c>
      <x:c r="H149" s="22" t="str">
        <x:v>V5</x:v>
      </x:c>
      <x:c r="I149" s="22" t="str">
        <x:v>E5</x:v>
      </x:c>
      <x:c r="J149" s="21" t="str">
        <x:v>RECONSTRUCTED_FROM_REPORT; Fear of Temperature_ Stratified Lexical Expansion, Voice Mapping, and Semantic-Relational Pre-Valida.pdf; p.11; project candidate FT-SEED-R1B-P-2015-28; original visible ID not available</x:v>
      </x:c>
      <x:c r="K149" s="21" t="str">
        <x:v>INTERNET_ARCHIVE_METADATA_TEXT_ITEM_COUNT</x:v>
      </x:c>
      <x:c r="L149" s="22" t="str">
        <x:v>"harm them personally" AND mediatype:texts</x:v>
      </x:c>
      <x:c r="M149" s="22" t="str">
        <x:v>PHRASE_METADATA_SEARCH</x:v>
      </x:c>
      <x:c r="N149" s="21" t="str">
        <x:v>COMPLETED_ZERO</x:v>
      </x:c>
      <x:c r="O149" s="57" t="str">
        <x:v>0</x:v>
      </x:c>
      <x:c r="P149" s="22" t="str">
        <x:v>0</x:v>
      </x:c>
      <x:c r="Q149" s="22" t="str">
        <x:v>0</x:v>
      </x:c>
      <x:c r="R149" s="22" t="str">
        <x:v>0</x:v>
      </x:c>
      <x:c r="S149" s="22" t="str">
        <x:v>2026-08-26</x:v>
      </x:c>
      <x:c r="T149" s="22" t="str">
        <x:v>https://archive.org/advancedsearch.php</x:v>
      </x:c>
      <x:c r="U149" s="22" t="str">
        <x:v>EXACT_PHRASE</x:v>
      </x:c>
      <x:c r="V149" s="21" t="str">
        <x:v>OPENALEX_WORK_COUNT</x:v>
      </x:c>
      <x:c r="W149" s="57" t="str"/>
      <x:c r="X149" s="23" t="str">
        <x:v>Metadata text-item count; not a full-text lexical frequency. Secondary metric: NOT_RUN_OPENALEX_DAILY_BUDGET_EXHAUSTED: shared provider response retained; no count fabricated.</x:v>
      </x:c>
    </x:row>
    <x:row r="150" ht="19" customHeight="1">
      <x:c r="A150" s="20" t="str">
        <x:v>FT-SEED-R1B-P-2015-29</x:v>
      </x:c>
      <x:c r="B150" s="22" t="str">
        <x:v>2015</x:v>
      </x:c>
      <x:c r="C150" s="22" t="str">
        <x:v>29</x:v>
      </x:c>
      <x:c r="D150" s="21" t="str">
        <x:v>drought or water shortages</x:v>
      </x:c>
      <x:c r="E150" s="21" t="str">
        <x:v>generic damage</x:v>
      </x:c>
      <x:c r="F150" s="22" t="str">
        <x:v>harm_loss_consequences</x:v>
      </x:c>
      <x:c r="G150" s="22" t="str">
        <x:v>D</x:v>
      </x:c>
      <x:c r="H150" s="22" t="str">
        <x:v>V5</x:v>
      </x:c>
      <x:c r="I150" s="22" t="str">
        <x:v>E5</x:v>
      </x:c>
      <x:c r="J150" s="21" t="str">
        <x:v>RECONSTRUCTED_FROM_REPORT; Fear of Temperature_ Stratified Lexical Expansion, Voice Mapping, and Semantic-Relational Pre-Valida.pdf; p.11; project candidate FT-SEED-R1B-P-2015-29; original visible ID not available</x:v>
      </x:c>
      <x:c r="K150" s="21" t="str">
        <x:v>INTERNET_ARCHIVE_METADATA_TEXT_ITEM_COUNT</x:v>
      </x:c>
      <x:c r="L150" s="22" t="str">
        <x:v>"drought or water shortages" AND mediatype:texts</x:v>
      </x:c>
      <x:c r="M150" s="22" t="str">
        <x:v>PHRASE_METADATA_SEARCH</x:v>
      </x:c>
      <x:c r="N150" s="21" t="str">
        <x:v>COMPLETED_NONZERO</x:v>
      </x:c>
      <x:c r="O150" s="57" t="str">
        <x:v>1</x:v>
      </x:c>
      <x:c r="P150" s="22" t="str">
        <x:v>1</x:v>
      </x:c>
      <x:c r="Q150" s="22" t="str">
        <x:v>1</x:v>
      </x:c>
      <x:c r="R150" s="22" t="str">
        <x:v>1</x:v>
      </x:c>
      <x:c r="S150" s="22" t="str">
        <x:v>2026-08-26</x:v>
      </x:c>
      <x:c r="T150" s="22" t="str">
        <x:v>https://archive.org/advancedsearch.php</x:v>
      </x:c>
      <x:c r="U150" s="22" t="str">
        <x:v>EXACT_PHRASE</x:v>
      </x:c>
      <x:c r="V150" s="21" t="str">
        <x:v>OPENALEX_WORK_COUNT</x:v>
      </x:c>
      <x:c r="W150" s="57" t="str"/>
      <x:c r="X150" s="23" t="str">
        <x:v>Metadata text-item count; not a full-text lexical frequency. Secondary metric: NOT_RUN_OPENALEX_DAILY_BUDGET_EXHAUSTED: shared provider response retained; no count fabricated.</x:v>
      </x:c>
    </x:row>
    <x:row r="151" ht="19" customHeight="1">
      <x:c r="A151" s="20" t="str">
        <x:v>FT-SEED-R1B-P-2015-30</x:v>
      </x:c>
      <x:c r="B151" s="22" t="str">
        <x:v>2015</x:v>
      </x:c>
      <x:c r="C151" s="22" t="str">
        <x:v>30</x:v>
      </x:c>
      <x:c r="D151" s="21" t="str">
        <x:v>We are nature defending itself</x:v>
      </x:c>
      <x:c r="E151" s="21" t="str">
        <x:v>personal concern</x:v>
      </x:c>
      <x:c r="F151" s="22" t="str">
        <x:v>concern_alarm</x:v>
      </x:c>
      <x:c r="G151" s="22" t="str">
        <x:v>C</x:v>
      </x:c>
      <x:c r="H151" s="22" t="str">
        <x:v>V4</x:v>
      </x:c>
      <x:c r="I151" s="22" t="str">
        <x:v>E5</x:v>
      </x:c>
      <x:c r="J151" s="21" t="str">
        <x:v>RECONSTRUCTED_FROM_REPORT; Fear of Temperature_ Stratified Lexical Expansion, Voice Mapping, and Semantic-Relational Pre-Valida.pdf; p.11; project candidate FT-SEED-R1B-P-2015-30; original visible ID not available</x:v>
      </x:c>
      <x:c r="K151" s="21" t="str">
        <x:v>INTERNET_ARCHIVE_METADATA_TEXT_ITEM_COUNT</x:v>
      </x:c>
      <x:c r="L151" s="22" t="str">
        <x:v>"We are nature defending itself" AND mediatype:texts</x:v>
      </x:c>
      <x:c r="M151" s="22" t="str">
        <x:v>PHRASE_METADATA_SEARCH</x:v>
      </x:c>
      <x:c r="N151" s="21" t="str">
        <x:v>COMPLETED_ZERO</x:v>
      </x:c>
      <x:c r="O151" s="57" t="str">
        <x:v>0</x:v>
      </x:c>
      <x:c r="P151" s="22" t="str">
        <x:v>0</x:v>
      </x:c>
      <x:c r="Q151" s="22" t="str">
        <x:v>0</x:v>
      </x:c>
      <x:c r="R151" s="22" t="str">
        <x:v>0</x:v>
      </x:c>
      <x:c r="S151" s="22" t="str">
        <x:v>2026-08-26</x:v>
      </x:c>
      <x:c r="T151" s="22" t="str">
        <x:v>https://archive.org/advancedsearch.php</x:v>
      </x:c>
      <x:c r="U151" s="22" t="str">
        <x:v>EXACT_PHRASE</x:v>
      </x:c>
      <x:c r="V151" s="21" t="str">
        <x:v>OPENALEX_WORK_COUNT</x:v>
      </x:c>
      <x:c r="W151" s="57" t="str"/>
      <x:c r="X151" s="23" t="str">
        <x:v>Metadata text-item count; not a full-text lexical frequency. Secondary metric: NOT_RUN_OPENALEX_DAILY_BUDGET_EXHAUSTED: shared provider response retained; no count fabricated.</x:v>
      </x:c>
    </x:row>
    <x:row r="152" ht="19" customHeight="1">
      <x:c r="A152" s="20" t="str">
        <x:v>FT-SEED-R1B-P-2022-01</x:v>
      </x:c>
      <x:c r="B152" s="22" t="str">
        <x:v>2022</x:v>
      </x:c>
      <x:c r="C152" s="22" t="str">
        <x:v>1</x:v>
      </x:c>
      <x:c r="D152" s="21" t="str">
        <x:v>climate change</x:v>
      </x:c>
      <x:c r="E152" s="21" t="str">
        <x:v>modern climate change</x:v>
      </x:c>
      <x:c r="F152" s="22" t="str">
        <x:v>climate</x:v>
      </x:c>
      <x:c r="G152" s="22" t="str">
        <x:v>B</x:v>
      </x:c>
      <x:c r="H152" s="22" t="str">
        <x:v>V5</x:v>
      </x:c>
      <x:c r="I152" s="22" t="str">
        <x:v>E5</x:v>
      </x:c>
      <x:c r="J152" s="21" t="str">
        <x:v>RECONSTRUCTED_FROM_REPORT; Fear of Temperature_ Stratified Lexical Expansion, Voice Mapping, and Semantic-Relational Pre-Valida.pdf; p.12; project candidate FT-SEED-R1B-P-2022-01; original visible ID not available</x:v>
      </x:c>
      <x:c r="K152" s="21" t="str">
        <x:v>INTERNET_ARCHIVE_METADATA_TEXT_ITEM_COUNT</x:v>
      </x:c>
      <x:c r="L152" s="22" t="str">
        <x:v>"climate change" AND mediatype:texts</x:v>
      </x:c>
      <x:c r="M152" s="22" t="str">
        <x:v>PHRASE_METADATA_SEARCH</x:v>
      </x:c>
      <x:c r="N152" s="21" t="str">
        <x:v>COMPLETED_NONZERO</x:v>
      </x:c>
      <x:c r="O152" s="57" t="str">
        <x:v>30525</x:v>
      </x:c>
      <x:c r="P152" s="22" t="str">
        <x:v>30525</x:v>
      </x:c>
      <x:c r="Q152" s="22" t="str">
        <x:v>656</x:v>
      </x:c>
      <x:c r="R152" s="22" t="str">
        <x:v>1334</x:v>
      </x:c>
      <x:c r="S152" s="22" t="str">
        <x:v>2026-08-26</x:v>
      </x:c>
      <x:c r="T152" s="22" t="str">
        <x:v>https://archive.org/advancedsearch.php</x:v>
      </x:c>
      <x:c r="U152" s="22" t="str">
        <x:v>EXACT_PHRASE</x:v>
      </x:c>
      <x:c r="V152" s="21" t="str">
        <x:v>OPENALEX_WORK_COUNT</x:v>
      </x:c>
      <x:c r="W152" s="57" t="str">
        <x:v>2549592</x:v>
      </x:c>
      <x:c r="X152" s="23" t="str">
        <x:v>Metadata text-item count; not a full-text lexical frequency. Secondary metric: Scholarly work discoverability count over OpenAlex search fields; not a corpus word frequency.</x:v>
      </x:c>
    </x:row>
    <x:row r="153" ht="19" customHeight="1">
      <x:c r="A153" s="20" t="str">
        <x:v>FT-SEED-R1B-P-2022-02</x:v>
      </x:c>
      <x:c r="B153" s="22" t="str">
        <x:v>2022</x:v>
      </x:c>
      <x:c r="C153" s="22" t="str">
        <x:v>2</x:v>
      </x:c>
      <x:c r="D153" s="21" t="str">
        <x:v>global warming</x:v>
      </x:c>
      <x:c r="E153" s="21" t="str">
        <x:v>global warming as issue label</x:v>
      </x:c>
      <x:c r="F153" s="22" t="str">
        <x:v>warming</x:v>
      </x:c>
      <x:c r="G153" s="22" t="str">
        <x:v>A</x:v>
      </x:c>
      <x:c r="H153" s="22" t="str">
        <x:v>V5</x:v>
      </x:c>
      <x:c r="I153" s="22" t="str">
        <x:v>E5</x:v>
      </x:c>
      <x:c r="J153" s="21" t="str">
        <x:v>RECONSTRUCTED_FROM_REPORT; Fear of Temperature_ Stratified Lexical Expansion, Voice Mapping, and Semantic-Relational Pre-Valida.pdf; p.12; project candidate FT-SEED-R1B-P-2022-02; original visible ID not available</x:v>
      </x:c>
      <x:c r="K153" s="21" t="str">
        <x:v>INTERNET_ARCHIVE_METADATA_TEXT_ITEM_COUNT</x:v>
      </x:c>
      <x:c r="L153" s="22" t="str">
        <x:v>"global warming" AND mediatype:texts</x:v>
      </x:c>
      <x:c r="M153" s="22" t="str">
        <x:v>PHRASE_METADATA_SEARCH</x:v>
      </x:c>
      <x:c r="N153" s="21" t="str">
        <x:v>COMPLETED_NONZERO</x:v>
      </x:c>
      <x:c r="O153" s="57" t="str">
        <x:v>5619</x:v>
      </x:c>
      <x:c r="P153" s="22" t="str">
        <x:v>5619</x:v>
      </x:c>
      <x:c r="Q153" s="22" t="str">
        <x:v>11</x:v>
      </x:c>
      <x:c r="R153" s="22" t="str">
        <x:v>123</x:v>
      </x:c>
      <x:c r="S153" s="22" t="str">
        <x:v>2026-08-26</x:v>
      </x:c>
      <x:c r="T153" s="22" t="str">
        <x:v>https://archive.org/advancedsearch.php</x:v>
      </x:c>
      <x:c r="U153" s="22" t="str">
        <x:v>EXACT_PHRASE</x:v>
      </x:c>
      <x:c r="V153" s="21" t="str">
        <x:v>OPENALEX_WORK_COUNT</x:v>
      </x:c>
      <x:c r="W153" s="57" t="str"/>
      <x:c r="X153" s="23" t="str">
        <x:v>Metadata text-item count; not a full-text lexical frequency. Secondary metric: NOT_RUN_OPENALEX_DAILY_BUDGET_EXHAUSTED: shared provider response retained; no count fabricated.</x:v>
      </x:c>
    </x:row>
    <x:row r="154" ht="19" customHeight="1">
      <x:c r="A154" s="20" t="str">
        <x:v>FT-SEED-R1B-P-2022-03</x:v>
      </x:c>
      <x:c r="B154" s="22" t="str">
        <x:v>2022</x:v>
      </x:c>
      <x:c r="C154" s="22" t="str">
        <x:v>3</x:v>
      </x:c>
      <x:c r="D154" s="21" t="str">
        <x:v>very worried</x:v>
      </x:c>
      <x:c r="E154" s="21" t="str">
        <x:v>participant worry endorsement</x:v>
      </x:c>
      <x:c r="F154" s="22" t="str">
        <x:v>worry</x:v>
      </x:c>
      <x:c r="G154" s="22" t="str">
        <x:v>C</x:v>
      </x:c>
      <x:c r="H154" s="22" t="str">
        <x:v>V5</x:v>
      </x:c>
      <x:c r="I154" s="22" t="str">
        <x:v>E3</x:v>
      </x:c>
      <x:c r="J154" s="21" t="str">
        <x:v>RECONSTRUCTED_FROM_REPORT; Fear of Temperature_ Stratified Lexical Expansion, Voice Mapping, and Semantic-Relational Pre-Valida.pdf; p.12; project candidate FT-SEED-R1B-P-2022-03; original visible ID not available</x:v>
      </x:c>
      <x:c r="K154" s="21" t="str">
        <x:v>INTERNET_ARCHIVE_METADATA_TEXT_ITEM_COUNT</x:v>
      </x:c>
      <x:c r="L154" s="22" t="str">
        <x:v>"very worried" AND mediatype:texts</x:v>
      </x:c>
      <x:c r="M154" s="22" t="str">
        <x:v>PHRASE_METADATA_SEARCH</x:v>
      </x:c>
      <x:c r="N154" s="21" t="str">
        <x:v>COMPLETED_NONZERO</x:v>
      </x:c>
      <x:c r="O154" s="57" t="str">
        <x:v>131</x:v>
      </x:c>
      <x:c r="P154" s="22" t="str">
        <x:v>131</x:v>
      </x:c>
      <x:c r="Q154" s="22" t="str">
        <x:v>2</x:v>
      </x:c>
      <x:c r="R154" s="22" t="str">
        <x:v>4</x:v>
      </x:c>
      <x:c r="S154" s="22" t="str">
        <x:v>2026-08-26</x:v>
      </x:c>
      <x:c r="T154" s="22" t="str">
        <x:v>https://archive.org/advancedsearch.php</x:v>
      </x:c>
      <x:c r="U154" s="22" t="str">
        <x:v>EXACT_PHRASE</x:v>
      </x:c>
      <x:c r="V154" s="21" t="str">
        <x:v>OPENALEX_WORK_COUNT</x:v>
      </x:c>
      <x:c r="W154" s="57" t="str"/>
      <x:c r="X154" s="23" t="str">
        <x:v>Metadata text-item count; not a full-text lexical frequency. Secondary metric: NOT_RUN_OPENALEX_DAILY_BUDGET_EXHAUSTED: shared provider response retained; no count fabricated.</x:v>
      </x:c>
    </x:row>
    <x:row r="155" ht="19" customHeight="1">
      <x:c r="A155" s="20" t="str">
        <x:v>FT-SEED-R1B-P-2022-04</x:v>
      </x:c>
      <x:c r="B155" s="22" t="str">
        <x:v>2022</x:v>
      </x:c>
      <x:c r="C155" s="22" t="str">
        <x:v>4</x:v>
      </x:c>
      <x:c r="D155" s="21" t="str">
        <x:v>somewhat worried</x:v>
      </x:c>
      <x:c r="E155" s="21" t="str">
        <x:v>participant worry endorsement</x:v>
      </x:c>
      <x:c r="F155" s="22" t="str">
        <x:v>worry</x:v>
      </x:c>
      <x:c r="G155" s="22" t="str">
        <x:v>C</x:v>
      </x:c>
      <x:c r="H155" s="22" t="str">
        <x:v>V5</x:v>
      </x:c>
      <x:c r="I155" s="22" t="str">
        <x:v>E5</x:v>
      </x:c>
      <x:c r="J155" s="21" t="str">
        <x:v>RECONSTRUCTED_FROM_REPORT; Fear of Temperature_ Stratified Lexical Expansion, Voice Mapping, and Semantic-Relational Pre-Valida.pdf; p.12; project candidate FT-SEED-R1B-P-2022-04; original visible ID not available</x:v>
      </x:c>
      <x:c r="K155" s="21" t="str">
        <x:v>INTERNET_ARCHIVE_METADATA_TEXT_ITEM_COUNT</x:v>
      </x:c>
      <x:c r="L155" s="22" t="str">
        <x:v>"somewhat worried" AND mediatype:texts</x:v>
      </x:c>
      <x:c r="M155" s="22" t="str">
        <x:v>PHRASE_METADATA_SEARCH</x:v>
      </x:c>
      <x:c r="N155" s="21" t="str">
        <x:v>COMPLETED_NONZERO</x:v>
      </x:c>
      <x:c r="O155" s="57" t="str">
        <x:v>15</x:v>
      </x:c>
      <x:c r="P155" s="22" t="str">
        <x:v>15</x:v>
      </x:c>
      <x:c r="Q155" s="22" t="str">
        <x:v>0</x:v>
      </x:c>
      <x:c r="R155" s="22" t="str">
        <x:v>2</x:v>
      </x:c>
      <x:c r="S155" s="22" t="str">
        <x:v>2026-08-26</x:v>
      </x:c>
      <x:c r="T155" s="22" t="str">
        <x:v>https://archive.org/advancedsearch.php</x:v>
      </x:c>
      <x:c r="U155" s="22" t="str">
        <x:v>EXACT_PHRASE</x:v>
      </x:c>
      <x:c r="V155" s="21" t="str">
        <x:v>OPENALEX_WORK_COUNT</x:v>
      </x:c>
      <x:c r="W155" s="57" t="str"/>
      <x:c r="X155" s="23" t="str">
        <x:v>Metadata text-item count; not a full-text lexical frequency. Secondary metric: NOT_RUN_OPENALEX_DAILY_BUDGET_EXHAUSTED: shared provider response retained; no count fabricated.</x:v>
      </x:c>
    </x:row>
    <x:row r="156" ht="19" customHeight="1">
      <x:c r="A156" s="20" t="str">
        <x:v>FT-SEED-R1B-P-2022-05</x:v>
      </x:c>
      <x:c r="B156" s="22" t="str">
        <x:v>2022</x:v>
      </x:c>
      <x:c r="C156" s="22" t="str">
        <x:v>5</x:v>
      </x:c>
      <x:c r="D156" s="21" t="str">
        <x:v>afraid</x:v>
      </x:c>
      <x:c r="E156" s="21" t="str">
        <x:v>participant afraid endorsement</x:v>
      </x:c>
      <x:c r="F156" s="22" t="str">
        <x:v>fear_afraid</x:v>
      </x:c>
      <x:c r="G156" s="22" t="str">
        <x:v>C</x:v>
      </x:c>
      <x:c r="H156" s="22" t="str">
        <x:v>V5</x:v>
      </x:c>
      <x:c r="I156" s="22" t="str">
        <x:v>E5</x:v>
      </x:c>
      <x:c r="J156" s="21" t="str">
        <x:v>RECONSTRUCTED_FROM_REPORT; Fear of Temperature_ Stratified Lexical Expansion, Voice Mapping, and Semantic-Relational Pre-Valida.pdf; p.12; project candidate FT-SEED-R1B-P-2022-05; original visible ID not available</x:v>
      </x:c>
      <x:c r="K156" s="21" t="str">
        <x:v>INTERNET_ARCHIVE_METADATA_TEXT_ITEM_COUNT</x:v>
      </x:c>
      <x:c r="L156" s="22" t="str">
        <x:v>"afraid" AND mediatype:texts</x:v>
      </x:c>
      <x:c r="M156" s="22" t="str">
        <x:v>PHRASE_METADATA_SEARCH</x:v>
      </x:c>
      <x:c r="N156" s="21" t="str">
        <x:v>COMPLETED_NONZERO</x:v>
      </x:c>
      <x:c r="O156" s="57" t="str">
        <x:v>9411</x:v>
      </x:c>
      <x:c r="P156" s="22" t="str">
        <x:v>9411</x:v>
      </x:c>
      <x:c r="Q156" s="22" t="str">
        <x:v>44</x:v>
      </x:c>
      <x:c r="R156" s="22" t="str">
        <x:v>125</x:v>
      </x:c>
      <x:c r="S156" s="22" t="str">
        <x:v>2026-08-26</x:v>
      </x:c>
      <x:c r="T156" s="22" t="str">
        <x:v>https://archive.org/advancedsearch.php</x:v>
      </x:c>
      <x:c r="U156" s="22" t="str">
        <x:v>EXACT_PHRASE</x:v>
      </x:c>
      <x:c r="V156" s="21" t="str">
        <x:v>OPENALEX_WORK_COUNT</x:v>
      </x:c>
      <x:c r="W156" s="57" t="str">
        <x:v>559397</x:v>
      </x:c>
      <x:c r="X156" s="23" t="str">
        <x:v>Metadata text-item count; not a full-text lexical frequency. Secondary metric: Scholarly work discoverability count over OpenAlex search fields; not a corpus word frequency.</x:v>
      </x:c>
    </x:row>
    <x:row r="157" ht="19" customHeight="1">
      <x:c r="A157" s="20" t="str">
        <x:v>FT-SEED-R1B-P-2022-06</x:v>
      </x:c>
      <x:c r="B157" s="22" t="str">
        <x:v>2022</x:v>
      </x:c>
      <x:c r="C157" s="22" t="str">
        <x:v>6</x:v>
      </x:c>
      <x:c r="D157" s="21" t="str">
        <x:v>anxious</x:v>
      </x:c>
      <x:c r="E157" s="21" t="str">
        <x:v>anxious affect</x:v>
      </x:c>
      <x:c r="F157" s="22" t="str">
        <x:v>anxiety</x:v>
      </x:c>
      <x:c r="G157" s="22" t="str">
        <x:v>C</x:v>
      </x:c>
      <x:c r="H157" s="22" t="str">
        <x:v>V5</x:v>
      </x:c>
      <x:c r="I157" s="22" t="str">
        <x:v>E5</x:v>
      </x:c>
      <x:c r="J157" s="21" t="str">
        <x:v>RECONSTRUCTED_FROM_REPORT; Fear of Temperature_ Stratified Lexical Expansion, Voice Mapping, and Semantic-Relational Pre-Valida.pdf; p.12; project candidate FT-SEED-R1B-P-2022-06; original visible ID not available</x:v>
      </x:c>
      <x:c r="K157" s="21" t="str">
        <x:v>INTERNET_ARCHIVE_METADATA_TEXT_ITEM_COUNT</x:v>
      </x:c>
      <x:c r="L157" s="22" t="str">
        <x:v>"anxious" AND mediatype:texts</x:v>
      </x:c>
      <x:c r="M157" s="22" t="str">
        <x:v>PHRASE_METADATA_SEARCH</x:v>
      </x:c>
      <x:c r="N157" s="21" t="str">
        <x:v>COMPLETED_NONZERO</x:v>
      </x:c>
      <x:c r="O157" s="57" t="str">
        <x:v>9274</x:v>
      </x:c>
      <x:c r="P157" s="22" t="str">
        <x:v>9274</x:v>
      </x:c>
      <x:c r="Q157" s="22" t="str">
        <x:v>43</x:v>
      </x:c>
      <x:c r="R157" s="22" t="str">
        <x:v>124</x:v>
      </x:c>
      <x:c r="S157" s="22" t="str">
        <x:v>2026-08-26</x:v>
      </x:c>
      <x:c r="T157" s="22" t="str">
        <x:v>https://archive.org/advancedsearch.php</x:v>
      </x:c>
      <x:c r="U157" s="22" t="str">
        <x:v>EXACT_PHRASE</x:v>
      </x:c>
      <x:c r="V157" s="21" t="str">
        <x:v>OPENALEX_WORK_COUNT</x:v>
      </x:c>
      <x:c r="W157" s="57" t="str">
        <x:v>557474</x:v>
      </x:c>
      <x:c r="X157" s="23" t="str">
        <x:v>Metadata text-item count; not a full-text lexical frequency. Secondary metric: Scholarly work discoverability count over OpenAlex search fields; not a corpus word frequency.</x:v>
      </x:c>
    </x:row>
    <x:row r="158" ht="19" customHeight="1">
      <x:c r="A158" s="20" t="str">
        <x:v>FT-SEED-R1B-P-2022-07</x:v>
      </x:c>
      <x:c r="B158" s="22" t="str">
        <x:v>2022</x:v>
      </x:c>
      <x:c r="C158" s="22" t="str">
        <x:v>7</x:v>
      </x:c>
      <x:c r="D158" s="21" t="str">
        <x:v>hopeless</x:v>
      </x:c>
      <x:c r="E158" s="21" t="str">
        <x:v>depressed affect</x:v>
      </x:c>
      <x:c r="F158" s="22" t="str">
        <x:v>distress_depression</x:v>
      </x:c>
      <x:c r="G158" s="22" t="str">
        <x:v>C</x:v>
      </x:c>
      <x:c r="H158" s="22" t="str">
        <x:v>V5</x:v>
      </x:c>
      <x:c r="I158" s="22" t="str">
        <x:v>E5</x:v>
      </x:c>
      <x:c r="J158" s="21" t="str">
        <x:v>RECONSTRUCTED_FROM_REPORT; Fear of Temperature_ Stratified Lexical Expansion, Voice Mapping, and Semantic-Relational Pre-Valida.pdf; p.12; project candidate FT-SEED-R1B-P-2022-07; original visible ID not available</x:v>
      </x:c>
      <x:c r="K158" s="21" t="str">
        <x:v>INTERNET_ARCHIVE_METADATA_TEXT_ITEM_COUNT</x:v>
      </x:c>
      <x:c r="L158" s="22" t="str">
        <x:v>"hopeless" AND mediatype:texts</x:v>
      </x:c>
      <x:c r="M158" s="22" t="str">
        <x:v>PHRASE_METADATA_SEARCH</x:v>
      </x:c>
      <x:c r="N158" s="21" t="str">
        <x:v>COMPLETED_NONZERO</x:v>
      </x:c>
      <x:c r="O158" s="57" t="str">
        <x:v>2257</x:v>
      </x:c>
      <x:c r="P158" s="22" t="str">
        <x:v>2257</x:v>
      </x:c>
      <x:c r="Q158" s="22" t="str">
        <x:v>15</x:v>
      </x:c>
      <x:c r="R158" s="22" t="str">
        <x:v>36</x:v>
      </x:c>
      <x:c r="S158" s="22" t="str">
        <x:v>2026-08-26</x:v>
      </x:c>
      <x:c r="T158" s="22" t="str">
        <x:v>https://archive.org/advancedsearch.php</x:v>
      </x:c>
      <x:c r="U158" s="22" t="str">
        <x:v>EXACT_PHRASE</x:v>
      </x:c>
      <x:c r="V158" s="21" t="str">
        <x:v>OPENALEX_WORK_COUNT</x:v>
      </x:c>
      <x:c r="W158" s="57" t="str"/>
      <x:c r="X158" s="23" t="str">
        <x:v>Metadata text-item count; not a full-text lexical frequency. Secondary metric: NOT_RUN_OPENALEX_DAILY_BUDGET_EXHAUSTED: shared provider response retained; no count fabricated.</x:v>
      </x:c>
    </x:row>
    <x:row r="159" ht="19" customHeight="1">
      <x:c r="A159" s="20" t="str">
        <x:v>FT-SEED-R1B-P-2022-08</x:v>
      </x:c>
      <x:c r="B159" s="22" t="str">
        <x:v>2022</x:v>
      </x:c>
      <x:c r="C159" s="22" t="str">
        <x:v>8</x:v>
      </x:c>
      <x:c r="D159" s="21" t="str">
        <x:v>sad</x:v>
      </x:c>
      <x:c r="E159" s="21" t="str">
        <x:v>depressed affect</x:v>
      </x:c>
      <x:c r="F159" s="22" t="str">
        <x:v>distress_depression</x:v>
      </x:c>
      <x:c r="G159" s="22" t="str">
        <x:v>C</x:v>
      </x:c>
      <x:c r="H159" s="22" t="str">
        <x:v>V5</x:v>
      </x:c>
      <x:c r="I159" s="22" t="str">
        <x:v>E5</x:v>
      </x:c>
      <x:c r="J159" s="21" t="str">
        <x:v>RECONSTRUCTED_FROM_REPORT; Fear of Temperature_ Stratified Lexical Expansion, Voice Mapping, and Semantic-Relational Pre-Valida.pdf; p.12; project candidate FT-SEED-R1B-P-2022-08; original visible ID not available</x:v>
      </x:c>
      <x:c r="K159" s="21" t="str">
        <x:v>INTERNET_ARCHIVE_METADATA_TEXT_ITEM_COUNT</x:v>
      </x:c>
      <x:c r="L159" s="22" t="str">
        <x:v>"sad" AND mediatype:texts</x:v>
      </x:c>
      <x:c r="M159" s="22" t="str">
        <x:v>PHRASE_METADATA_SEARCH</x:v>
      </x:c>
      <x:c r="N159" s="21" t="str">
        <x:v>COMPLETED_NONZERO</x:v>
      </x:c>
      <x:c r="O159" s="57" t="str">
        <x:v>21781</x:v>
      </x:c>
      <x:c r="P159" s="22" t="str">
        <x:v>21781</x:v>
      </x:c>
      <x:c r="Q159" s="22" t="str">
        <x:v>87</x:v>
      </x:c>
      <x:c r="R159" s="22" t="str">
        <x:v>272</x:v>
      </x:c>
      <x:c r="S159" s="22" t="str">
        <x:v>2026-08-26</x:v>
      </x:c>
      <x:c r="T159" s="22" t="str">
        <x:v>https://archive.org/advancedsearch.php</x:v>
      </x:c>
      <x:c r="U159" s="22" t="str">
        <x:v>EXACT_PHRASE</x:v>
      </x:c>
      <x:c r="V159" s="21" t="str">
        <x:v>OPENALEX_WORK_COUNT</x:v>
      </x:c>
      <x:c r="W159" s="57" t="str"/>
      <x:c r="X159" s="23" t="str">
        <x:v>Metadata text-item count; not a full-text lexical frequency. Secondary metric: NOT_RUN_OPENALEX_DAILY_BUDGET_EXHAUSTED: shared provider response retained; no count fabricated.</x:v>
      </x:c>
    </x:row>
    <x:row r="160" ht="19" customHeight="1">
      <x:c r="A160" s="20" t="str">
        <x:v>FT-SEED-R1B-P-2022-09</x:v>
      </x:c>
      <x:c r="B160" s="22" t="str">
        <x:v>2022</x:v>
      </x:c>
      <x:c r="C160" s="22" t="str">
        <x:v>9</x:v>
      </x:c>
      <x:c r="D160" s="21" t="str">
        <x:v>angry</x:v>
      </x:c>
      <x:c r="E160" s="21" t="str">
        <x:v>depressed affect</x:v>
      </x:c>
      <x:c r="F160" s="22" t="str">
        <x:v>distress_depression</x:v>
      </x:c>
      <x:c r="G160" s="22" t="str">
        <x:v>C</x:v>
      </x:c>
      <x:c r="H160" s="22" t="str">
        <x:v>V5</x:v>
      </x:c>
      <x:c r="I160" s="22" t="str">
        <x:v>E5</x:v>
      </x:c>
      <x:c r="J160" s="21" t="str">
        <x:v>RECONSTRUCTED_FROM_REPORT; Fear of Temperature_ Stratified Lexical Expansion, Voice Mapping, and Semantic-Relational Pre-Valida.pdf; p.13; project candidate FT-SEED-R1B-P-2022-09; original visible ID not available</x:v>
      </x:c>
      <x:c r="K160" s="21" t="str">
        <x:v>INTERNET_ARCHIVE_METADATA_TEXT_ITEM_COUNT</x:v>
      </x:c>
      <x:c r="L160" s="22" t="str">
        <x:v>"angry" AND mediatype:texts</x:v>
      </x:c>
      <x:c r="M160" s="22" t="str">
        <x:v>PHRASE_METADATA_SEARCH</x:v>
      </x:c>
      <x:c r="N160" s="21" t="str">
        <x:v>COMPLETED_NONZERO</x:v>
      </x:c>
      <x:c r="O160" s="57" t="str">
        <x:v>8245</x:v>
      </x:c>
      <x:c r="P160" s="22" t="str">
        <x:v>8245</x:v>
      </x:c>
      <x:c r="Q160" s="22" t="str">
        <x:v>34</x:v>
      </x:c>
      <x:c r="R160" s="22" t="str">
        <x:v>113</x:v>
      </x:c>
      <x:c r="S160" s="22" t="str">
        <x:v>2026-08-26</x:v>
      </x:c>
      <x:c r="T160" s="22" t="str">
        <x:v>https://archive.org/advancedsearch.php</x:v>
      </x:c>
      <x:c r="U160" s="22" t="str">
        <x:v>EXACT_PHRASE</x:v>
      </x:c>
      <x:c r="V160" s="21" t="str">
        <x:v>OPENALEX_WORK_COUNT</x:v>
      </x:c>
      <x:c r="W160" s="57" t="str">
        <x:v>382339</x:v>
      </x:c>
      <x:c r="X160" s="23" t="str">
        <x:v>Metadata text-item count; not a full-text lexical frequency. Secondary metric: Scholarly work discoverability count over OpenAlex search fields; not a corpus word frequency.</x:v>
      </x:c>
    </x:row>
    <x:row r="161" ht="19" customHeight="1">
      <x:c r="A161" s="20" t="str">
        <x:v>FT-SEED-R1B-P-2022-10</x:v>
      </x:c>
      <x:c r="B161" s="22" t="str">
        <x:v>2022</x:v>
      </x:c>
      <x:c r="C161" s="22" t="str">
        <x:v>10</x:v>
      </x:c>
      <x:c r="D161" s="21" t="str">
        <x:v>frustrated</x:v>
      </x:c>
      <x:c r="E161" s="21" t="str">
        <x:v>depressed affect</x:v>
      </x:c>
      <x:c r="F161" s="22" t="str">
        <x:v>distress_depression</x:v>
      </x:c>
      <x:c r="G161" s="22" t="str">
        <x:v>C</x:v>
      </x:c>
      <x:c r="H161" s="22" t="str">
        <x:v>V5</x:v>
      </x:c>
      <x:c r="I161" s="22" t="str">
        <x:v>E5</x:v>
      </x:c>
      <x:c r="J161" s="21" t="str">
        <x:v>RECONSTRUCTED_FROM_REPORT; Fear of Temperature_ Stratified Lexical Expansion, Voice Mapping, and Semantic-Relational Pre-Valida.pdf; p.13; project candidate FT-SEED-R1B-P-2022-10; original visible ID not available</x:v>
      </x:c>
      <x:c r="K161" s="21" t="str">
        <x:v>INTERNET_ARCHIVE_METADATA_TEXT_ITEM_COUNT</x:v>
      </x:c>
      <x:c r="L161" s="22" t="str">
        <x:v>"frustrated" AND mediatype:texts</x:v>
      </x:c>
      <x:c r="M161" s="22" t="str">
        <x:v>PHRASE_METADATA_SEARCH</x:v>
      </x:c>
      <x:c r="N161" s="21" t="str">
        <x:v>COMPLETED_NONZERO</x:v>
      </x:c>
      <x:c r="O161" s="57" t="str">
        <x:v>6866</x:v>
      </x:c>
      <x:c r="P161" s="22" t="str">
        <x:v>6866</x:v>
      </x:c>
      <x:c r="Q161" s="22" t="str">
        <x:v>18</x:v>
      </x:c>
      <x:c r="R161" s="22" t="str">
        <x:v>42</x:v>
      </x:c>
      <x:c r="S161" s="22" t="str">
        <x:v>2026-08-26</x:v>
      </x:c>
      <x:c r="T161" s="22" t="str">
        <x:v>https://archive.org/advancedsearch.php</x:v>
      </x:c>
      <x:c r="U161" s="22" t="str">
        <x:v>EXACT_PHRASE</x:v>
      </x:c>
      <x:c r="V161" s="21" t="str">
        <x:v>OPENALEX_WORK_COUNT</x:v>
      </x:c>
      <x:c r="W161" s="57" t="str"/>
      <x:c r="X161" s="23" t="str">
        <x:v>Metadata text-item count; not a full-text lexical frequency. Secondary metric: NOT_RUN_OPENALEX_DAILY_BUDGET_EXHAUSTED: shared provider response retained; no count fabricated.</x:v>
      </x:c>
    </x:row>
    <x:row r="162" ht="19" customHeight="1">
      <x:c r="A162" s="20" t="str">
        <x:v>FT-SEED-R1B-P-2022-11</x:v>
      </x:c>
      <x:c r="B162" s="22" t="str">
        <x:v>2022</x:v>
      </x:c>
      <x:c r="C162" s="22" t="str">
        <x:v>11</x:v>
      </x:c>
      <x:c r="D162" s="21" t="str">
        <x:v>hopeful</x:v>
      </x:c>
      <x:c r="E162" s="21" t="str">
        <x:v>personal concern</x:v>
      </x:c>
      <x:c r="F162" s="22" t="str">
        <x:v>concern_alarm</x:v>
      </x:c>
      <x:c r="G162" s="22" t="str">
        <x:v>C</x:v>
      </x:c>
      <x:c r="H162" s="22" t="str">
        <x:v>V5</x:v>
      </x:c>
      <x:c r="I162" s="22" t="str">
        <x:v>E5</x:v>
      </x:c>
      <x:c r="J162" s="21" t="str">
        <x:v>RECONSTRUCTED_FROM_REPORT; Fear of Temperature_ Stratified Lexical Expansion, Voice Mapping, and Semantic-Relational Pre-Valida.pdf; p.12; project candidate FT-SEED-R1B-P-2022-11; original visible ID not available</x:v>
      </x:c>
      <x:c r="K162" s="21" t="str">
        <x:v>INTERNET_ARCHIVE_METADATA_TEXT_ITEM_COUNT</x:v>
      </x:c>
      <x:c r="L162" s="22" t="str">
        <x:v>"hopeful" AND mediatype:texts</x:v>
      </x:c>
      <x:c r="M162" s="22" t="str">
        <x:v>PHRASE_METADATA_SEARCH</x:v>
      </x:c>
      <x:c r="N162" s="21" t="str">
        <x:v>COMPLETED_NONZERO</x:v>
      </x:c>
      <x:c r="O162" s="57" t="str">
        <x:v>4932</x:v>
      </x:c>
      <x:c r="P162" s="22" t="str">
        <x:v>4932</x:v>
      </x:c>
      <x:c r="Q162" s="22" t="str">
        <x:v>17</x:v>
      </x:c>
      <x:c r="R162" s="22" t="str">
        <x:v>66</x:v>
      </x:c>
      <x:c r="S162" s="22" t="str">
        <x:v>2026-08-26</x:v>
      </x:c>
      <x:c r="T162" s="22" t="str">
        <x:v>https://archive.org/advancedsearch.php</x:v>
      </x:c>
      <x:c r="U162" s="22" t="str">
        <x:v>EXACT_PHRASE</x:v>
      </x:c>
      <x:c r="V162" s="21" t="str">
        <x:v>OPENALEX_WORK_COUNT</x:v>
      </x:c>
      <x:c r="W162" s="57" t="str"/>
      <x:c r="X162" s="23" t="str">
        <x:v>Metadata text-item count; not a full-text lexical frequency. Secondary metric: NOT_RUN_OPENALEX_DAILY_BUDGET_EXHAUSTED: shared provider response retained; no count fabricated.</x:v>
      </x:c>
    </x:row>
    <x:row r="163" ht="19" customHeight="1">
      <x:c r="A163" s="20" t="str">
        <x:v>FT-SEED-R1B-P-2022-12</x:v>
      </x:c>
      <x:c r="B163" s="22" t="str">
        <x:v>2022</x:v>
      </x:c>
      <x:c r="C163" s="22" t="str">
        <x:v>12</x:v>
      </x:c>
      <x:c r="D163" s="21" t="str">
        <x:v>disgusted</x:v>
      </x:c>
      <x:c r="E163" s="21" t="str">
        <x:v>depressed affect</x:v>
      </x:c>
      <x:c r="F163" s="22" t="str">
        <x:v>distress_depression</x:v>
      </x:c>
      <x:c r="G163" s="22" t="str">
        <x:v>C</x:v>
      </x:c>
      <x:c r="H163" s="22" t="str">
        <x:v>V5</x:v>
      </x:c>
      <x:c r="I163" s="22" t="str">
        <x:v>E5</x:v>
      </x:c>
      <x:c r="J163" s="21" t="str">
        <x:v>RECONSTRUCTED_FROM_REPORT; Fear of Temperature_ Stratified Lexical Expansion, Voice Mapping, and Semantic-Relational Pre-Valida.pdf; p.12; project candidate FT-SEED-R1B-P-2022-12; original visible ID not available</x:v>
      </x:c>
      <x:c r="K163" s="21" t="str">
        <x:v>INTERNET_ARCHIVE_METADATA_TEXT_ITEM_COUNT</x:v>
      </x:c>
      <x:c r="L163" s="22" t="str">
        <x:v>"disgusted" AND mediatype:texts</x:v>
      </x:c>
      <x:c r="M163" s="22" t="str">
        <x:v>PHRASE_METADATA_SEARCH</x:v>
      </x:c>
      <x:c r="N163" s="21" t="str">
        <x:v>COMPLETED_NONZERO</x:v>
      </x:c>
      <x:c r="O163" s="57" t="str">
        <x:v>556</x:v>
      </x:c>
      <x:c r="P163" s="22" t="str">
        <x:v>556</x:v>
      </x:c>
      <x:c r="Q163" s="22" t="str">
        <x:v>1</x:v>
      </x:c>
      <x:c r="R163" s="22" t="str">
        <x:v>9</x:v>
      </x:c>
      <x:c r="S163" s="22" t="str">
        <x:v>2026-08-26</x:v>
      </x:c>
      <x:c r="T163" s="22" t="str">
        <x:v>https://archive.org/advancedsearch.php</x:v>
      </x:c>
      <x:c r="U163" s="22" t="str">
        <x:v>EXACT_PHRASE</x:v>
      </x:c>
      <x:c r="V163" s="21" t="str">
        <x:v>OPENALEX_WORK_COUNT</x:v>
      </x:c>
      <x:c r="W163" s="57" t="str"/>
      <x:c r="X163" s="23" t="str">
        <x:v>Metadata text-item count; not a full-text lexical frequency. Secondary metric: NOT_RUN_OPENALEX_DAILY_BUDGET_EXHAUSTED: shared provider response retained; no count fabricated.</x:v>
      </x:c>
    </x:row>
    <x:row r="164" ht="19" customHeight="1">
      <x:c r="A164" s="20" t="str">
        <x:v>FT-SEED-R1B-P-2022-13</x:v>
      </x:c>
      <x:c r="B164" s="22" t="str">
        <x:v>2022</x:v>
      </x:c>
      <x:c r="C164" s="22" t="str">
        <x:v>13</x:v>
      </x:c>
      <x:c r="D164" s="21" t="str">
        <x:v>outraged</x:v>
      </x:c>
      <x:c r="E164" s="21" t="str">
        <x:v>depressed affect</x:v>
      </x:c>
      <x:c r="F164" s="22" t="str">
        <x:v>distress_depression</x:v>
      </x:c>
      <x:c r="G164" s="22" t="str">
        <x:v>C</x:v>
      </x:c>
      <x:c r="H164" s="22" t="str">
        <x:v>V5</x:v>
      </x:c>
      <x:c r="I164" s="22" t="str">
        <x:v>E5</x:v>
      </x:c>
      <x:c r="J164" s="21" t="str">
        <x:v>RECONSTRUCTED_FROM_REPORT; Fear of Temperature_ Stratified Lexical Expansion, Voice Mapping, and Semantic-Relational Pre-Valida.pdf; p.12; project candidate FT-SEED-R1B-P-2022-13; original visible ID not available</x:v>
      </x:c>
      <x:c r="K164" s="21" t="str">
        <x:v>INTERNET_ARCHIVE_METADATA_TEXT_ITEM_COUNT</x:v>
      </x:c>
      <x:c r="L164" s="22" t="str">
        <x:v>"outraged" AND mediatype:texts</x:v>
      </x:c>
      <x:c r="M164" s="22" t="str">
        <x:v>PHRASE_METADATA_SEARCH</x:v>
      </x:c>
      <x:c r="N164" s="21" t="str">
        <x:v>COMPLETED_NONZERO</x:v>
      </x:c>
      <x:c r="O164" s="57" t="str">
        <x:v>1006</x:v>
      </x:c>
      <x:c r="P164" s="22" t="str">
        <x:v>1006</x:v>
      </x:c>
      <x:c r="Q164" s="22" t="str">
        <x:v>1</x:v>
      </x:c>
      <x:c r="R164" s="22" t="str">
        <x:v>7</x:v>
      </x:c>
      <x:c r="S164" s="22" t="str">
        <x:v>2026-08-26</x:v>
      </x:c>
      <x:c r="T164" s="22" t="str">
        <x:v>https://archive.org/advancedsearch.php</x:v>
      </x:c>
      <x:c r="U164" s="22" t="str">
        <x:v>EXACT_PHRASE</x:v>
      </x:c>
      <x:c r="V164" s="21" t="str">
        <x:v>OPENALEX_WORK_COUNT</x:v>
      </x:c>
      <x:c r="W164" s="57" t="str"/>
      <x:c r="X164" s="23" t="str">
        <x:v>Metadata text-item count; not a full-text lexical frequency. Secondary metric: NOT_RUN_OPENALEX_DAILY_BUDGET_EXHAUSTED: shared provider response retained; no count fabricated.</x:v>
      </x:c>
    </x:row>
    <x:row r="165" ht="19" customHeight="1">
      <x:c r="A165" s="20" t="str">
        <x:v>FT-SEED-R1B-P-2022-14</x:v>
      </x:c>
      <x:c r="B165" s="22" t="str">
        <x:v>2022</x:v>
      </x:c>
      <x:c r="C165" s="22" t="str">
        <x:v>14</x:v>
      </x:c>
      <x:c r="D165" s="21" t="str">
        <x:v>depressed</x:v>
      </x:c>
      <x:c r="E165" s="21" t="str">
        <x:v>depressed affect</x:v>
      </x:c>
      <x:c r="F165" s="22" t="str">
        <x:v>distress_depression</x:v>
      </x:c>
      <x:c r="G165" s="22" t="str">
        <x:v>C</x:v>
      </x:c>
      <x:c r="H165" s="22" t="str">
        <x:v>V5</x:v>
      </x:c>
      <x:c r="I165" s="22" t="str">
        <x:v>E5</x:v>
      </x:c>
      <x:c r="J165" s="21" t="str">
        <x:v>RECONSTRUCTED_FROM_REPORT; Fear of Temperature_ Stratified Lexical Expansion, Voice Mapping, and Semantic-Relational Pre-Valida.pdf; p.12; project candidate FT-SEED-R1B-P-2022-14; original visible ID not available</x:v>
      </x:c>
      <x:c r="K165" s="21" t="str">
        <x:v>INTERNET_ARCHIVE_METADATA_TEXT_ITEM_COUNT</x:v>
      </x:c>
      <x:c r="L165" s="22" t="str">
        <x:v>"depressed" AND mediatype:texts</x:v>
      </x:c>
      <x:c r="M165" s="22" t="str">
        <x:v>PHRASE_METADATA_SEARCH</x:v>
      </x:c>
      <x:c r="N165" s="21" t="str">
        <x:v>COMPLETED_NONZERO</x:v>
      </x:c>
      <x:c r="O165" s="57" t="str">
        <x:v>6441</x:v>
      </x:c>
      <x:c r="P165" s="22" t="str">
        <x:v>6441</x:v>
      </x:c>
      <x:c r="Q165" s="22" t="str">
        <x:v>34</x:v>
      </x:c>
      <x:c r="R165" s="22" t="str">
        <x:v>85</x:v>
      </x:c>
      <x:c r="S165" s="22" t="str">
        <x:v>2026-08-26</x:v>
      </x:c>
      <x:c r="T165" s="22" t="str">
        <x:v>https://archive.org/advancedsearch.php</x:v>
      </x:c>
      <x:c r="U165" s="22" t="str">
        <x:v>EXACT_PHRASE</x:v>
      </x:c>
      <x:c r="V165" s="21" t="str">
        <x:v>OPENALEX_WORK_COUNT</x:v>
      </x:c>
      <x:c r="W165" s="57" t="str"/>
      <x:c r="X165" s="23" t="str">
        <x:v>Metadata text-item count; not a full-text lexical frequency. Secondary metric: NOT_RUN_OPENALEX_DAILY_BUDGET_EXHAUSTED: shared provider response retained; no count fabricated.</x:v>
      </x:c>
    </x:row>
    <x:row r="166" ht="19" customHeight="1">
      <x:c r="A166" s="20" t="str">
        <x:v>FT-SEED-R1B-P-2022-15</x:v>
      </x:c>
      <x:c r="B166" s="22" t="str">
        <x:v>2022</x:v>
      </x:c>
      <x:c r="C166" s="22" t="str">
        <x:v>15</x:v>
      </x:c>
      <x:c r="D166" s="21" t="str">
        <x:v>symptoms of anxiety</x:v>
      </x:c>
      <x:c r="E166" s="21" t="str">
        <x:v>anxiety symptom measure</x:v>
      </x:c>
      <x:c r="F166" s="22" t="str">
        <x:v>anxiety</x:v>
      </x:c>
      <x:c r="G166" s="22" t="str">
        <x:v>C</x:v>
      </x:c>
      <x:c r="H166" s="22" t="str">
        <x:v>V5</x:v>
      </x:c>
      <x:c r="I166" s="22" t="str">
        <x:v>E5</x:v>
      </x:c>
      <x:c r="J166" s="21" t="str">
        <x:v>RECONSTRUCTED_FROM_REPORT; Fear of Temperature_ Stratified Lexical Expansion, Voice Mapping, and Semantic-Relational Pre-Valida.pdf; p.12; project candidate FT-SEED-R1B-P-2022-15; original visible ID not available</x:v>
      </x:c>
      <x:c r="K166" s="21" t="str">
        <x:v>INTERNET_ARCHIVE_METADATA_TEXT_ITEM_COUNT</x:v>
      </x:c>
      <x:c r="L166" s="22" t="str">
        <x:v>"symptoms of anxiety" AND mediatype:texts</x:v>
      </x:c>
      <x:c r="M166" s="22" t="str">
        <x:v>PHRASE_METADATA_SEARCH</x:v>
      </x:c>
      <x:c r="N166" s="21" t="str">
        <x:v>COMPLETED_NONZERO</x:v>
      </x:c>
      <x:c r="O166" s="57" t="str">
        <x:v>96</x:v>
      </x:c>
      <x:c r="P166" s="22" t="str">
        <x:v>96</x:v>
      </x:c>
      <x:c r="Q166" s="22" t="str">
        <x:v>3</x:v>
      </x:c>
      <x:c r="R166" s="22" t="str">
        <x:v>5</x:v>
      </x:c>
      <x:c r="S166" s="22" t="str">
        <x:v>2026-08-26</x:v>
      </x:c>
      <x:c r="T166" s="22" t="str">
        <x:v>https://archive.org/advancedsearch.php</x:v>
      </x:c>
      <x:c r="U166" s="22" t="str">
        <x:v>EXACT_PHRASE</x:v>
      </x:c>
      <x:c r="V166" s="21" t="str">
        <x:v>OPENALEX_WORK_COUNT</x:v>
      </x:c>
      <x:c r="W166" s="57" t="str"/>
      <x:c r="X166" s="23" t="str">
        <x:v>Metadata text-item count; not a full-text lexical frequency. Secondary metric: NOT_RUN_OPENALEX_DAILY_BUDGET_EXHAUSTED: shared provider response retained; no count fabricated.</x:v>
      </x:c>
    </x:row>
    <x:row r="167" ht="19" customHeight="1">
      <x:c r="A167" s="20" t="str">
        <x:v>FT-SEED-R1B-P-2022-16</x:v>
      </x:c>
      <x:c r="B167" s="22" t="str">
        <x:v>2022</x:v>
      </x:c>
      <x:c r="C167" s="22" t="str">
        <x:v>16</x:v>
      </x:c>
      <x:c r="D167" s="21" t="str">
        <x:v>climate anxiety</x:v>
      </x:c>
      <x:c r="E167" s="21" t="str">
        <x:v>climate anxiety research construct</x:v>
      </x:c>
      <x:c r="F167" s="22" t="str">
        <x:v>anxiety</x:v>
      </x:c>
      <x:c r="G167" s="22" t="str">
        <x:v>C</x:v>
      </x:c>
      <x:c r="H167" s="22" t="str">
        <x:v>V1</x:v>
      </x:c>
      <x:c r="I167" s="22" t="str">
        <x:v>E4</x:v>
      </x:c>
      <x:c r="J167" s="21" t="str">
        <x:v>RECONSTRUCTED_FROM_REPORT; Fear of Temperature_ Stratified Lexical Expansion, Voice Mapping, and Semantic-Relational Pre-Valida.pdf; p.12; project candidate FT-SEED-R1B-P-2022-16; original visible ID not available</x:v>
      </x:c>
      <x:c r="K167" s="21" t="str">
        <x:v>INTERNET_ARCHIVE_METADATA_TEXT_ITEM_COUNT</x:v>
      </x:c>
      <x:c r="L167" s="22" t="str">
        <x:v>"climate anxiety" AND mediatype:texts</x:v>
      </x:c>
      <x:c r="M167" s="22" t="str">
        <x:v>PHRASE_METADATA_SEARCH</x:v>
      </x:c>
      <x:c r="N167" s="21" t="str">
        <x:v>COMPLETED_NONZERO</x:v>
      </x:c>
      <x:c r="O167" s="57" t="str">
        <x:v>17</x:v>
      </x:c>
      <x:c r="P167" s="22" t="str">
        <x:v>17</x:v>
      </x:c>
      <x:c r="Q167" s="22" t="str">
        <x:v>2</x:v>
      </x:c>
      <x:c r="R167" s="22" t="str">
        <x:v>4</x:v>
      </x:c>
      <x:c r="S167" s="22" t="str">
        <x:v>2026-08-26</x:v>
      </x:c>
      <x:c r="T167" s="22" t="str">
        <x:v>https://archive.org/advancedsearch.php</x:v>
      </x:c>
      <x:c r="U167" s="22" t="str">
        <x:v>EXACT_PHRASE</x:v>
      </x:c>
      <x:c r="V167" s="21" t="str">
        <x:v>OPENALEX_WORK_COUNT</x:v>
      </x:c>
      <x:c r="W167" s="57" t="str">
        <x:v>5945</x:v>
      </x:c>
      <x:c r="X167" s="23" t="str">
        <x:v>Metadata text-item count; not a full-text lexical frequency. Secondary metric: Scholarly work discoverability count over OpenAlex search fields; not a corpus word frequency.</x:v>
      </x:c>
    </x:row>
    <x:row r="168" ht="19" customHeight="1">
      <x:c r="A168" s="20" t="str">
        <x:v>FT-SEED-R1B-P-2022-17</x:v>
      </x:c>
      <x:c r="B168" s="22" t="str">
        <x:v>2022</x:v>
      </x:c>
      <x:c r="C168" s="22" t="str">
        <x:v>17</x:v>
      </x:c>
      <x:c r="D168" s="21" t="str">
        <x:v>eco-anxiety</x:v>
      </x:c>
      <x:c r="E168" s="21" t="str">
        <x:v>eco-anxiety research construct</x:v>
      </x:c>
      <x:c r="F168" s="22" t="str">
        <x:v>anxiety</x:v>
      </x:c>
      <x:c r="G168" s="22" t="str">
        <x:v>C</x:v>
      </x:c>
      <x:c r="H168" s="22" t="str">
        <x:v>V1</x:v>
      </x:c>
      <x:c r="I168" s="22" t="str">
        <x:v>E5</x:v>
      </x:c>
      <x:c r="J168" s="21" t="str">
        <x:v>RECONSTRUCTED_FROM_REPORT; Fear of Temperature_ Stratified Lexical Expansion, Voice Mapping, and Semantic-Relational Pre-Valida.pdf; p.12; project candidate FT-SEED-R1B-P-2022-17; original visible ID not available</x:v>
      </x:c>
      <x:c r="K168" s="21" t="str">
        <x:v>INTERNET_ARCHIVE_METADATA_TEXT_ITEM_COUNT</x:v>
      </x:c>
      <x:c r="L168" s="22" t="str">
        <x:v>"eco-anxiety" AND mediatype:texts</x:v>
      </x:c>
      <x:c r="M168" s="22" t="str">
        <x:v>PHRASE_METADATA_SEARCH</x:v>
      </x:c>
      <x:c r="N168" s="21" t="str">
        <x:v>COMPLETED_NONZERO</x:v>
      </x:c>
      <x:c r="O168" s="57" t="str">
        <x:v>23</x:v>
      </x:c>
      <x:c r="P168" s="22" t="str">
        <x:v>23</x:v>
      </x:c>
      <x:c r="Q168" s="22" t="str">
        <x:v>1</x:v>
      </x:c>
      <x:c r="R168" s="22" t="str">
        <x:v>3</x:v>
      </x:c>
      <x:c r="S168" s="22" t="str">
        <x:v>2026-08-26</x:v>
      </x:c>
      <x:c r="T168" s="22" t="str">
        <x:v>https://archive.org/advancedsearch.php</x:v>
      </x:c>
      <x:c r="U168" s="22" t="str">
        <x:v>EXACT_PHRASE</x:v>
      </x:c>
      <x:c r="V168" s="21" t="str">
        <x:v>OPENALEX_WORK_COUNT</x:v>
      </x:c>
      <x:c r="W168" s="57" t="str"/>
      <x:c r="X168" s="23" t="str">
        <x:v>Metadata text-item count; not a full-text lexical frequency. Secondary metric: NOT_RUN_OPENALEX_DAILY_BUDGET_EXHAUSTED: shared provider response retained; no count fabricated.</x:v>
      </x:c>
    </x:row>
    <x:row r="169" ht="19" customHeight="1">
      <x:c r="A169" s="20" t="str">
        <x:v>FT-SEED-R1B-P-2022-18</x:v>
      </x:c>
      <x:c r="B169" s="22" t="str">
        <x:v>2022</x:v>
      </x:c>
      <x:c r="C169" s="22" t="str">
        <x:v>18</x:v>
      </x:c>
      <x:c r="D169" s="21" t="str">
        <x:v>psychological distress</x:v>
      </x:c>
      <x:c r="E169" s="21" t="str">
        <x:v>psychological distress</x:v>
      </x:c>
      <x:c r="F169" s="22" t="str">
        <x:v>distress_depression</x:v>
      </x:c>
      <x:c r="G169" s="22" t="str">
        <x:v>C</x:v>
      </x:c>
      <x:c r="H169" s="22" t="str">
        <x:v>V1</x:v>
      </x:c>
      <x:c r="I169" s="22" t="str">
        <x:v>E5</x:v>
      </x:c>
      <x:c r="J169" s="21" t="str">
        <x:v>RECONSTRUCTED_FROM_REPORT; Fear of Temperature_ Stratified Lexical Expansion, Voice Mapping, and Semantic-Relational Pre-Valida.pdf; p.12; project candidate FT-SEED-R1B-P-2022-18; original visible ID not available</x:v>
      </x:c>
      <x:c r="K169" s="21" t="str">
        <x:v>INTERNET_ARCHIVE_METADATA_TEXT_ITEM_COUNT</x:v>
      </x:c>
      <x:c r="L169" s="22" t="str">
        <x:v>"psychological distress" AND mediatype:texts</x:v>
      </x:c>
      <x:c r="M169" s="22" t="str">
        <x:v>PHRASE_METADATA_SEARCH</x:v>
      </x:c>
      <x:c r="N169" s="21" t="str">
        <x:v>COMPLETED_NONZERO</x:v>
      </x:c>
      <x:c r="O169" s="57" t="str">
        <x:v>694</x:v>
      </x:c>
      <x:c r="P169" s="22" t="str">
        <x:v>694</x:v>
      </x:c>
      <x:c r="Q169" s="22" t="str">
        <x:v>15</x:v>
      </x:c>
      <x:c r="R169" s="22" t="str">
        <x:v>44</x:v>
      </x:c>
      <x:c r="S169" s="22" t="str">
        <x:v>2026-08-26</x:v>
      </x:c>
      <x:c r="T169" s="22" t="str">
        <x:v>https://archive.org/advancedsearch.php</x:v>
      </x:c>
      <x:c r="U169" s="22" t="str">
        <x:v>EXACT_PHRASE</x:v>
      </x:c>
      <x:c r="V169" s="21" t="str">
        <x:v>OPENALEX_WORK_COUNT</x:v>
      </x:c>
      <x:c r="W169" s="57" t="str"/>
      <x:c r="X169" s="23" t="str">
        <x:v>Metadata text-item count; not a full-text lexical frequency. Secondary metric: NOT_RUN_OPENALEX_DAILY_BUDGET_EXHAUSTED: shared provider response retained; no count fabricated.</x:v>
      </x:c>
    </x:row>
    <x:row r="170" ht="19" customHeight="1">
      <x:c r="A170" s="20" t="str">
        <x:v>FT-SEED-R1B-P-2022-19</x:v>
      </x:c>
      <x:c r="B170" s="22" t="str">
        <x:v>2022</x:v>
      </x:c>
      <x:c r="C170" s="22" t="str">
        <x:v>19</x:v>
      </x:c>
      <x:c r="D170" s="21" t="str">
        <x:v>distress</x:v>
      </x:c>
      <x:c r="E170" s="21" t="str">
        <x:v>psychological distress</x:v>
      </x:c>
      <x:c r="F170" s="22" t="str">
        <x:v>distress_depression</x:v>
      </x:c>
      <x:c r="G170" s="22" t="str">
        <x:v>C</x:v>
      </x:c>
      <x:c r="H170" s="22" t="str">
        <x:v>V1</x:v>
      </x:c>
      <x:c r="I170" s="22" t="str">
        <x:v>E5</x:v>
      </x:c>
      <x:c r="J170" s="21" t="str">
        <x:v>RECONSTRUCTED_FROM_REPORT; Fear of Temperature_ Stratified Lexical Expansion, Voice Mapping, and Semantic-Relational Pre-Valida.pdf; p.13; project candidate FT-SEED-R1B-P-2022-19; original visible ID not available</x:v>
      </x:c>
      <x:c r="K170" s="21" t="str">
        <x:v>INTERNET_ARCHIVE_METADATA_TEXT_ITEM_COUNT</x:v>
      </x:c>
      <x:c r="L170" s="22" t="str">
        <x:v>"distress" AND mediatype:texts</x:v>
      </x:c>
      <x:c r="M170" s="22" t="str">
        <x:v>PHRASE_METADATA_SEARCH</x:v>
      </x:c>
      <x:c r="N170" s="21" t="str">
        <x:v>COMPLETED_NONZERO</x:v>
      </x:c>
      <x:c r="O170" s="57" t="str">
        <x:v>10884</x:v>
      </x:c>
      <x:c r="P170" s="22" t="str">
        <x:v>10884</x:v>
      </x:c>
      <x:c r="Q170" s="22" t="str">
        <x:v>76</x:v>
      </x:c>
      <x:c r="R170" s="22" t="str">
        <x:v>244</x:v>
      </x:c>
      <x:c r="S170" s="22" t="str">
        <x:v>2026-08-26</x:v>
      </x:c>
      <x:c r="T170" s="22" t="str">
        <x:v>https://archive.org/advancedsearch.php</x:v>
      </x:c>
      <x:c r="U170" s="22" t="str">
        <x:v>EXACT_PHRASE</x:v>
      </x:c>
      <x:c r="V170" s="21" t="str">
        <x:v>OPENALEX_WORK_COUNT</x:v>
      </x:c>
      <x:c r="W170" s="57" t="str"/>
      <x:c r="X170" s="23" t="str">
        <x:v>Metadata text-item count; not a full-text lexical frequency. Secondary metric: NOT_RUN_OPENALEX_DAILY_BUDGET_EXHAUSTED: shared provider response retained; no count fabricated.</x:v>
      </x:c>
    </x:row>
    <x:row r="171" ht="19" customHeight="1">
      <x:c r="A171" s="20" t="str">
        <x:v>FT-SEED-R1B-P-2022-20</x:v>
      </x:c>
      <x:c r="B171" s="22" t="str">
        <x:v>2022</x:v>
      </x:c>
      <x:c r="C171" s="22" t="str">
        <x:v>20</x:v>
      </x:c>
      <x:c r="D171" s="21" t="str">
        <x:v>powerlessness</x:v>
      </x:c>
      <x:c r="E171" s="21" t="str">
        <x:v>depressed affect</x:v>
      </x:c>
      <x:c r="F171" s="22" t="str">
        <x:v>distress_depression</x:v>
      </x:c>
      <x:c r="G171" s="22" t="str">
        <x:v>C</x:v>
      </x:c>
      <x:c r="H171" s="22" t="str">
        <x:v>V1</x:v>
      </x:c>
      <x:c r="I171" s="22" t="str">
        <x:v>E5</x:v>
      </x:c>
      <x:c r="J171" s="21" t="str">
        <x:v>RECONSTRUCTED_FROM_REPORT; Fear of Temperature_ Stratified Lexical Expansion, Voice Mapping, and Semantic-Relational Pre-Valida.pdf; p.13; project candidate FT-SEED-R1B-P-2022-20; original visible ID not available</x:v>
      </x:c>
      <x:c r="K171" s="21" t="str">
        <x:v>INTERNET_ARCHIVE_METADATA_TEXT_ITEM_COUNT</x:v>
      </x:c>
      <x:c r="L171" s="22" t="str">
        <x:v>"powerlessness" AND mediatype:texts</x:v>
      </x:c>
      <x:c r="M171" s="22" t="str">
        <x:v>PHRASE_METADATA_SEARCH</x:v>
      </x:c>
      <x:c r="N171" s="21" t="str">
        <x:v>COMPLETED_NONZERO</x:v>
      </x:c>
      <x:c r="O171" s="57" t="str">
        <x:v>575</x:v>
      </x:c>
      <x:c r="P171" s="22" t="str">
        <x:v>575</x:v>
      </x:c>
      <x:c r="Q171" s="22" t="str">
        <x:v>3</x:v>
      </x:c>
      <x:c r="R171" s="22" t="str">
        <x:v>12</x:v>
      </x:c>
      <x:c r="S171" s="22" t="str">
        <x:v>2026-08-26</x:v>
      </x:c>
      <x:c r="T171" s="22" t="str">
        <x:v>https://archive.org/advancedsearch.php</x:v>
      </x:c>
      <x:c r="U171" s="22" t="str">
        <x:v>EXACT_PHRASE</x:v>
      </x:c>
      <x:c r="V171" s="21" t="str">
        <x:v>OPENALEX_WORK_COUNT</x:v>
      </x:c>
      <x:c r="W171" s="57" t="str"/>
      <x:c r="X171" s="23" t="str">
        <x:v>Metadata text-item count; not a full-text lexical frequency. Secondary metric: NOT_RUN_OPENALEX_DAILY_BUDGET_EXHAUSTED: shared provider response retained; no count fabricated.</x:v>
      </x:c>
    </x:row>
    <x:row r="172" ht="19" customHeight="1">
      <x:c r="A172" s="20" t="str">
        <x:v>FT-SEED-R1B-P-2022-21</x:v>
      </x:c>
      <x:c r="B172" s="22" t="str">
        <x:v>2022</x:v>
      </x:c>
      <x:c r="C172" s="22" t="str">
        <x:v>21</x:v>
      </x:c>
      <x:c r="D172" s="21" t="str">
        <x:v>guilt</x:v>
      </x:c>
      <x:c r="E172" s="21" t="str">
        <x:v>depressed affect</x:v>
      </x:c>
      <x:c r="F172" s="22" t="str">
        <x:v>distress_depression</x:v>
      </x:c>
      <x:c r="G172" s="22" t="str">
        <x:v>C</x:v>
      </x:c>
      <x:c r="H172" s="22" t="str">
        <x:v>V1</x:v>
      </x:c>
      <x:c r="I172" s="22" t="str">
        <x:v>E5</x:v>
      </x:c>
      <x:c r="J172" s="21" t="str">
        <x:v>RECONSTRUCTED_FROM_REPORT; Fear of Temperature_ Stratified Lexical Expansion, Voice Mapping, and Semantic-Relational Pre-Valida.pdf; p.12; project candidate FT-SEED-R1B-P-2022-21; original visible ID not available</x:v>
      </x:c>
      <x:c r="K172" s="21" t="str">
        <x:v>INTERNET_ARCHIVE_METADATA_TEXT_ITEM_COUNT</x:v>
      </x:c>
      <x:c r="L172" s="22" t="str">
        <x:v>"guilt" AND mediatype:texts</x:v>
      </x:c>
      <x:c r="M172" s="22" t="str">
        <x:v>PHRASE_METADATA_SEARCH</x:v>
      </x:c>
      <x:c r="N172" s="21" t="str">
        <x:v>COMPLETED_NONZERO</x:v>
      </x:c>
      <x:c r="O172" s="57" t="str">
        <x:v>8299</x:v>
      </x:c>
      <x:c r="P172" s="22" t="str">
        <x:v>8299</x:v>
      </x:c>
      <x:c r="Q172" s="22" t="str">
        <x:v>24</x:v>
      </x:c>
      <x:c r="R172" s="22" t="str">
        <x:v>86</x:v>
      </x:c>
      <x:c r="S172" s="22" t="str">
        <x:v>2026-08-26</x:v>
      </x:c>
      <x:c r="T172" s="22" t="str">
        <x:v>https://archive.org/advancedsearch.php</x:v>
      </x:c>
      <x:c r="U172" s="22" t="str">
        <x:v>EXACT_PHRASE</x:v>
      </x:c>
      <x:c r="V172" s="21" t="str">
        <x:v>OPENALEX_WORK_COUNT</x:v>
      </x:c>
      <x:c r="W172" s="57" t="str"/>
      <x:c r="X172" s="23" t="str">
        <x:v>Metadata text-item count; not a full-text lexical frequency. Secondary metric: NOT_RUN_OPENALEX_DAILY_BUDGET_EXHAUSTED: shared provider response retained; no count fabricated.</x:v>
      </x:c>
    </x:row>
    <x:row r="173" ht="19" customHeight="1">
      <x:c r="A173" s="20" t="str">
        <x:v>FT-SEED-R1B-P-2022-22</x:v>
      </x:c>
      <x:c r="B173" s="22" t="str">
        <x:v>2022</x:v>
      </x:c>
      <x:c r="C173" s="22" t="str">
        <x:v>22</x:v>
      </x:c>
      <x:c r="D173" s="21" t="str">
        <x:v>heatwaves</x:v>
      </x:c>
      <x:c r="E173" s="21" t="str">
        <x:v>heatwave / weather event</x:v>
      </x:c>
      <x:c r="F173" s="22" t="str">
        <x:v>heat</x:v>
      </x:c>
      <x:c r="G173" s="22" t="str">
        <x:v>A</x:v>
      </x:c>
      <x:c r="H173" s="22" t="str">
        <x:v>V1</x:v>
      </x:c>
      <x:c r="I173" s="22" t="str">
        <x:v>E5</x:v>
      </x:c>
      <x:c r="J173" s="21" t="str">
        <x:v>RECONSTRUCTED_FROM_REPORT; Fear of Temperature_ Stratified Lexical Expansion, Voice Mapping, and Semantic-Relational Pre-Valida.pdf; p.12; project candidate FT-SEED-R1B-P-2022-22; original visible ID not available</x:v>
      </x:c>
      <x:c r="K173" s="21" t="str">
        <x:v>INTERNET_ARCHIVE_METADATA_TEXT_ITEM_COUNT</x:v>
      </x:c>
      <x:c r="L173" s="22" t="str">
        <x:v>"heatwaves" AND mediatype:texts</x:v>
      </x:c>
      <x:c r="M173" s="22" t="str">
        <x:v>PHRASE_METADATA_SEARCH</x:v>
      </x:c>
      <x:c r="N173" s="21" t="str">
        <x:v>COMPLETED_NONZERO</x:v>
      </x:c>
      <x:c r="O173" s="57" t="str">
        <x:v>115</x:v>
      </x:c>
      <x:c r="P173" s="22" t="str">
        <x:v>115</x:v>
      </x:c>
      <x:c r="Q173" s="22" t="str">
        <x:v>15</x:v>
      </x:c>
      <x:c r="R173" s="22" t="str">
        <x:v>26</x:v>
      </x:c>
      <x:c r="S173" s="22" t="str">
        <x:v>2026-08-26</x:v>
      </x:c>
      <x:c r="T173" s="22" t="str">
        <x:v>https://archive.org/advancedsearch.php</x:v>
      </x:c>
      <x:c r="U173" s="22" t="str">
        <x:v>EXACT_PHRASE</x:v>
      </x:c>
      <x:c r="V173" s="21" t="str">
        <x:v>OPENALEX_WORK_COUNT</x:v>
      </x:c>
      <x:c r="W173" s="57" t="str"/>
      <x:c r="X173" s="23" t="str">
        <x:v>Metadata text-item count; not a full-text lexical frequency. Secondary metric: NOT_RUN_OPENALEX_DAILY_BUDGET_EXHAUSTED: shared provider response retained; no count fabricated.</x:v>
      </x:c>
    </x:row>
    <x:row r="174" ht="19" customHeight="1">
      <x:c r="A174" s="20" t="str">
        <x:v>FT-SEED-R1B-P-2022-23</x:v>
      </x:c>
      <x:c r="B174" s="22" t="str">
        <x:v>2022</x:v>
      </x:c>
      <x:c r="C174" s="22" t="str">
        <x:v>23</x:v>
      </x:c>
      <x:c r="D174" s="21" t="str">
        <x:v>heat-related mortality</x:v>
      </x:c>
      <x:c r="E174" s="21" t="str">
        <x:v>extreme-heat hazard</x:v>
      </x:c>
      <x:c r="F174" s="22" t="str">
        <x:v>heat</x:v>
      </x:c>
      <x:c r="G174" s="22" t="str">
        <x:v>D</x:v>
      </x:c>
      <x:c r="H174" s="22" t="str">
        <x:v>V1</x:v>
      </x:c>
      <x:c r="I174" s="22" t="str">
        <x:v>E5</x:v>
      </x:c>
      <x:c r="J174" s="21" t="str">
        <x:v>RECONSTRUCTED_FROM_REPORT; Fear of Temperature_ Stratified Lexical Expansion, Voice Mapping, and Semantic-Relational Pre-Valida.pdf; p.12; project candidate FT-SEED-R1B-P-2022-23; original visible ID not available</x:v>
      </x:c>
      <x:c r="K174" s="21" t="str">
        <x:v>INTERNET_ARCHIVE_METADATA_TEXT_ITEM_COUNT</x:v>
      </x:c>
      <x:c r="L174" s="22" t="str">
        <x:v>"heat-related mortality" AND mediatype:texts</x:v>
      </x:c>
      <x:c r="M174" s="22" t="str">
        <x:v>PHRASE_METADATA_SEARCH</x:v>
      </x:c>
      <x:c r="N174" s="21" t="str">
        <x:v>COMPLETED_NONZERO</x:v>
      </x:c>
      <x:c r="O174" s="57" t="str">
        <x:v>25</x:v>
      </x:c>
      <x:c r="P174" s="22" t="str">
        <x:v>25</x:v>
      </x:c>
      <x:c r="Q174" s="22" t="str">
        <x:v>1</x:v>
      </x:c>
      <x:c r="R174" s="22" t="str">
        <x:v>1</x:v>
      </x:c>
      <x:c r="S174" s="22" t="str">
        <x:v>2026-08-26</x:v>
      </x:c>
      <x:c r="T174" s="22" t="str">
        <x:v>https://archive.org/advancedsearch.php</x:v>
      </x:c>
      <x:c r="U174" s="22" t="str">
        <x:v>EXACT_PHRASE</x:v>
      </x:c>
      <x:c r="V174" s="21" t="str">
        <x:v>OPENALEX_WORK_COUNT</x:v>
      </x:c>
      <x:c r="W174" s="57" t="str"/>
      <x:c r="X174" s="23" t="str">
        <x:v>Metadata text-item count; not a full-text lexical frequency. Secondary metric: NOT_RUN_OPENALEX_DAILY_BUDGET_EXHAUSTED: shared provider response retained; no count fabricated.</x:v>
      </x:c>
    </x:row>
    <x:row r="175" ht="19" customHeight="1">
      <x:c r="A175" s="20" t="str">
        <x:v>FT-SEED-R1B-P-2022-24</x:v>
      </x:c>
      <x:c r="B175" s="22" t="str">
        <x:v>2022</x:v>
      </x:c>
      <x:c r="C175" s="22" t="str">
        <x:v>24</x:v>
      </x:c>
      <x:c r="D175" s="21" t="str">
        <x:v>mental health challenges</x:v>
      </x:c>
      <x:c r="E175" s="21" t="str">
        <x:v>generic damage</x:v>
      </x:c>
      <x:c r="F175" s="22" t="str">
        <x:v>harm_loss_consequences</x:v>
      </x:c>
      <x:c r="G175" s="22" t="str">
        <x:v>D</x:v>
      </x:c>
      <x:c r="H175" s="22" t="str">
        <x:v>V1</x:v>
      </x:c>
      <x:c r="I175" s="22" t="str">
        <x:v>E5</x:v>
      </x:c>
      <x:c r="J175" s="21" t="str">
        <x:v>RECONSTRUCTED_FROM_REPORT; Fear of Temperature_ Stratified Lexical Expansion, Voice Mapping, and Semantic-Relational Pre-Valida.pdf; p.12; project candidate FT-SEED-R1B-P-2022-24; original visible ID not available</x:v>
      </x:c>
      <x:c r="K175" s="21" t="str">
        <x:v>INTERNET_ARCHIVE_METADATA_TEXT_ITEM_COUNT</x:v>
      </x:c>
      <x:c r="L175" s="22" t="str">
        <x:v>"mental health challenges" AND mediatype:texts</x:v>
      </x:c>
      <x:c r="M175" s="22" t="str">
        <x:v>PHRASE_METADATA_SEARCH</x:v>
      </x:c>
      <x:c r="N175" s="21" t="str">
        <x:v>COMPLETED_NONZERO</x:v>
      </x:c>
      <x:c r="O175" s="57" t="str">
        <x:v>134</x:v>
      </x:c>
      <x:c r="P175" s="22" t="str">
        <x:v>134</x:v>
      </x:c>
      <x:c r="Q175" s="22" t="str">
        <x:v>4</x:v>
      </x:c>
      <x:c r="R175" s="22" t="str">
        <x:v>23</x:v>
      </x:c>
      <x:c r="S175" s="22" t="str">
        <x:v>2026-08-26</x:v>
      </x:c>
      <x:c r="T175" s="22" t="str">
        <x:v>https://archive.org/advancedsearch.php</x:v>
      </x:c>
      <x:c r="U175" s="22" t="str">
        <x:v>EXACT_PHRASE</x:v>
      </x:c>
      <x:c r="V175" s="21" t="str">
        <x:v>OPENALEX_WORK_COUNT</x:v>
      </x:c>
      <x:c r="W175" s="57" t="str"/>
      <x:c r="X175" s="23" t="str">
        <x:v>Metadata text-item count; not a full-text lexical frequency. Secondary metric: NOT_RUN_OPENALEX_DAILY_BUDGET_EXHAUSTED: shared provider response retained; no count fabricated.</x:v>
      </x:c>
    </x:row>
    <x:row r="176" ht="19" customHeight="1">
      <x:c r="A176" s="20" t="str">
        <x:v>FT-SEED-R1B-P-2022-25</x:v>
      </x:c>
      <x:c r="B176" s="22" t="str">
        <x:v>2022</x:v>
      </x:c>
      <x:c r="C176" s="22" t="str">
        <x:v>25</x:v>
      </x:c>
      <x:c r="D176" s="21" t="str">
        <x:v>anxiety and stress</x:v>
      </x:c>
      <x:c r="E176" s="21" t="str">
        <x:v>anxiety symptom measure</x:v>
      </x:c>
      <x:c r="F176" s="22" t="str">
        <x:v>anxiety</x:v>
      </x:c>
      <x:c r="G176" s="22" t="str">
        <x:v>C</x:v>
      </x:c>
      <x:c r="H176" s="22" t="str">
        <x:v>V1</x:v>
      </x:c>
      <x:c r="I176" s="22" t="str">
        <x:v>E5</x:v>
      </x:c>
      <x:c r="J176" s="21" t="str">
        <x:v>RECONSTRUCTED_FROM_REPORT; Fear of Temperature_ Stratified Lexical Expansion, Voice Mapping, and Semantic-Relational Pre-Valida.pdf; p.12; project candidate FT-SEED-R1B-P-2022-25; original visible ID not available</x:v>
      </x:c>
      <x:c r="K176" s="21" t="str">
        <x:v>INTERNET_ARCHIVE_METADATA_TEXT_ITEM_COUNT</x:v>
      </x:c>
      <x:c r="L176" s="22" t="str">
        <x:v>"anxiety and stress" AND mediatype:texts</x:v>
      </x:c>
      <x:c r="M176" s="22" t="str">
        <x:v>PHRASE_METADATA_SEARCH</x:v>
      </x:c>
      <x:c r="N176" s="21" t="str">
        <x:v>COMPLETED_NONZERO</x:v>
      </x:c>
      <x:c r="O176" s="57" t="str">
        <x:v>256</x:v>
      </x:c>
      <x:c r="P176" s="22" t="str">
        <x:v>256</x:v>
      </x:c>
      <x:c r="Q176" s="22" t="str">
        <x:v>9</x:v>
      </x:c>
      <x:c r="R176" s="22" t="str">
        <x:v>34</x:v>
      </x:c>
      <x:c r="S176" s="22" t="str">
        <x:v>2026-08-26</x:v>
      </x:c>
      <x:c r="T176" s="22" t="str">
        <x:v>https://archive.org/advancedsearch.php</x:v>
      </x:c>
      <x:c r="U176" s="22" t="str">
        <x:v>EXACT_PHRASE</x:v>
      </x:c>
      <x:c r="V176" s="21" t="str">
        <x:v>OPENALEX_WORK_COUNT</x:v>
      </x:c>
      <x:c r="W176" s="57" t="str">
        <x:v>122176</x:v>
      </x:c>
      <x:c r="X176" s="23" t="str">
        <x:v>Metadata text-item count; not a full-text lexical frequency. Secondary metric: Scholarly work discoverability count over OpenAlex search fields; not a corpus word frequency.</x:v>
      </x:c>
    </x:row>
    <x:row r="177" ht="19" customHeight="1">
      <x:c r="A177" s="20" t="str">
        <x:v>FT-SEED-R1B-P-2022-26</x:v>
      </x:c>
      <x:c r="B177" s="22" t="str">
        <x:v>2022</x:v>
      </x:c>
      <x:c r="C177" s="22" t="str">
        <x:v>26</x:v>
      </x:c>
      <x:c r="D177" s="21" t="str">
        <x:v>ill health</x:v>
      </x:c>
      <x:c r="E177" s="21" t="str">
        <x:v>generic damage</x:v>
      </x:c>
      <x:c r="F177" s="22" t="str">
        <x:v>harm_loss_consequences</x:v>
      </x:c>
      <x:c r="G177" s="22" t="str">
        <x:v>D</x:v>
      </x:c>
      <x:c r="H177" s="22" t="str">
        <x:v>V1</x:v>
      </x:c>
      <x:c r="I177" s="22" t="str">
        <x:v>E5</x:v>
      </x:c>
      <x:c r="J177" s="21" t="str">
        <x:v>RECONSTRUCTED_FROM_REPORT; Fear of Temperature_ Stratified Lexical Expansion, Voice Mapping, and Semantic-Relational Pre-Valida.pdf; p.12; project candidate FT-SEED-R1B-P-2022-26; original visible ID not available</x:v>
      </x:c>
      <x:c r="K177" s="21" t="str">
        <x:v>INTERNET_ARCHIVE_METADATA_TEXT_ITEM_COUNT</x:v>
      </x:c>
      <x:c r="L177" s="22" t="str">
        <x:v>"ill health" AND mediatype:texts</x:v>
      </x:c>
      <x:c r="M177" s="22" t="str">
        <x:v>PHRASE_METADATA_SEARCH</x:v>
      </x:c>
      <x:c r="N177" s="21" t="str">
        <x:v>COMPLETED_NONZERO</x:v>
      </x:c>
      <x:c r="O177" s="57" t="str">
        <x:v>1084</x:v>
      </x:c>
      <x:c r="P177" s="22" t="str">
        <x:v>1084</x:v>
      </x:c>
      <x:c r="Q177" s="22" t="str">
        <x:v>2</x:v>
      </x:c>
      <x:c r="R177" s="22" t="str">
        <x:v>12</x:v>
      </x:c>
      <x:c r="S177" s="22" t="str">
        <x:v>2026-08-26</x:v>
      </x:c>
      <x:c r="T177" s="22" t="str">
        <x:v>https://archive.org/advancedsearch.php</x:v>
      </x:c>
      <x:c r="U177" s="22" t="str">
        <x:v>EXACT_PHRASE</x:v>
      </x:c>
      <x:c r="V177" s="21" t="str">
        <x:v>OPENALEX_WORK_COUNT</x:v>
      </x:c>
      <x:c r="W177" s="57" t="str"/>
      <x:c r="X177" s="23" t="str">
        <x:v>Metadata text-item count; not a full-text lexical frequency. Secondary metric: NOT_RUN_OPENALEX_DAILY_BUDGET_EXHAUSTED: shared provider response retained; no count fabricated.</x:v>
      </x:c>
    </x:row>
    <x:row r="178" ht="19" customHeight="1">
      <x:c r="A178" s="20" t="str">
        <x:v>FT-SEED-R1B-P-2022-27</x:v>
      </x:c>
      <x:c r="B178" s="22" t="str">
        <x:v>2022</x:v>
      </x:c>
      <x:c r="C178" s="22" t="str">
        <x:v>27</x:v>
      </x:c>
      <x:c r="D178" s="21" t="str">
        <x:v>premature deaths</x:v>
      </x:c>
      <x:c r="E178" s="21" t="str">
        <x:v>mortality</x:v>
      </x:c>
      <x:c r="F178" s="22" t="str">
        <x:v>harm_loss_consequences</x:v>
      </x:c>
      <x:c r="G178" s="22" t="str">
        <x:v>D</x:v>
      </x:c>
      <x:c r="H178" s="22" t="str">
        <x:v>V1</x:v>
      </x:c>
      <x:c r="I178" s="22" t="str">
        <x:v>E5</x:v>
      </x:c>
      <x:c r="J178" s="21" t="str">
        <x:v>RECONSTRUCTED_FROM_REPORT; Fear of Temperature_ Stratified Lexical Expansion, Voice Mapping, and Semantic-Relational Pre-Valida.pdf; p.12; project candidate FT-SEED-R1B-P-2022-27; original visible ID not available</x:v>
      </x:c>
      <x:c r="K178" s="21" t="str">
        <x:v>INTERNET_ARCHIVE_METADATA_TEXT_ITEM_COUNT</x:v>
      </x:c>
      <x:c r="L178" s="22" t="str">
        <x:v>"premature deaths" AND mediatype:texts</x:v>
      </x:c>
      <x:c r="M178" s="22" t="str">
        <x:v>PHRASE_METADATA_SEARCH</x:v>
      </x:c>
      <x:c r="N178" s="21" t="str">
        <x:v>COMPLETED_NONZERO</x:v>
      </x:c>
      <x:c r="O178" s="57" t="str">
        <x:v>61</x:v>
      </x:c>
      <x:c r="P178" s="22" t="str">
        <x:v>61</x:v>
      </x:c>
      <x:c r="Q178" s="22" t="str">
        <x:v>5</x:v>
      </x:c>
      <x:c r="R178" s="22" t="str">
        <x:v>7</x:v>
      </x:c>
      <x:c r="S178" s="22" t="str">
        <x:v>2026-08-26</x:v>
      </x:c>
      <x:c r="T178" s="22" t="str">
        <x:v>https://archive.org/advancedsearch.php</x:v>
      </x:c>
      <x:c r="U178" s="22" t="str">
        <x:v>EXACT_PHRASE</x:v>
      </x:c>
      <x:c r="V178" s="21" t="str">
        <x:v>OPENALEX_WORK_COUNT</x:v>
      </x:c>
      <x:c r="W178" s="57" t="str"/>
      <x:c r="X178" s="23" t="str">
        <x:v>Metadata text-item count; not a full-text lexical frequency. Secondary metric: NOT_RUN_OPENALEX_DAILY_BUDGET_EXHAUSTED: shared provider response retained; no count fabricated.</x:v>
      </x:c>
    </x:row>
    <x:row r="179" ht="19" customHeight="1">
      <x:c r="A179" s="20" t="str">
        <x:v>FT-SEED-R1B-P-2022-28</x:v>
      </x:c>
      <x:c r="B179" s="22" t="str">
        <x:v>2022</x:v>
      </x:c>
      <x:c r="C179" s="22" t="str">
        <x:v>28</x:v>
      </x:c>
      <x:c r="D179" s="21" t="str">
        <x:v>very serious threat</x:v>
      </x:c>
      <x:c r="E179" s="21" t="str">
        <x:v>institutional climate threat</x:v>
      </x:c>
      <x:c r="F179" s="22" t="str">
        <x:v>danger_threat</x:v>
      </x:c>
      <x:c r="G179" s="22" t="str">
        <x:v>D</x:v>
      </x:c>
      <x:c r="H179" s="22" t="str">
        <x:v>V5</x:v>
      </x:c>
      <x:c r="I179" s="22" t="str">
        <x:v>E5</x:v>
      </x:c>
      <x:c r="J179" s="21" t="str">
        <x:v>RECONSTRUCTED_FROM_REPORT; Fear of Temperature_ Stratified Lexical Expansion, Voice Mapping, and Semantic-Relational Pre-Valida.pdf; p.12; project candidate FT-SEED-R1B-P-2022-28; original visible ID not available</x:v>
      </x:c>
      <x:c r="K179" s="21" t="str">
        <x:v>INTERNET_ARCHIVE_METADATA_TEXT_ITEM_COUNT</x:v>
      </x:c>
      <x:c r="L179" s="22" t="str">
        <x:v>"very serious threat" AND mediatype:texts</x:v>
      </x:c>
      <x:c r="M179" s="22" t="str">
        <x:v>PHRASE_METADATA_SEARCH</x:v>
      </x:c>
      <x:c r="N179" s="21" t="str">
        <x:v>COMPLETED_NONZERO</x:v>
      </x:c>
      <x:c r="O179" s="57" t="str">
        <x:v>19</x:v>
      </x:c>
      <x:c r="P179" s="22" t="str">
        <x:v>19</x:v>
      </x:c>
      <x:c r="Q179" s="22" t="str">
        <x:v>1</x:v>
      </x:c>
      <x:c r="R179" s="22" t="str">
        <x:v>1</x:v>
      </x:c>
      <x:c r="S179" s="22" t="str">
        <x:v>2026-08-26</x:v>
      </x:c>
      <x:c r="T179" s="22" t="str">
        <x:v>https://archive.org/advancedsearch.php</x:v>
      </x:c>
      <x:c r="U179" s="22" t="str">
        <x:v>EXACT_PHRASE</x:v>
      </x:c>
      <x:c r="V179" s="21" t="str">
        <x:v>OPENALEX_WORK_COUNT</x:v>
      </x:c>
      <x:c r="W179" s="57" t="str"/>
      <x:c r="X179" s="23" t="str">
        <x:v>Metadata text-item count; not a full-text lexical frequency. Secondary metric: NOT_RUN_OPENALEX_DAILY_BUDGET_EXHAUSTED: shared provider response retained; no count fabricated.</x:v>
      </x:c>
    </x:row>
    <x:row r="180" ht="19" customHeight="1">
      <x:c r="A180" s="20" t="str">
        <x:v>FT-SEED-R1B-P-2022-29</x:v>
      </x:c>
      <x:c r="B180" s="22" t="str">
        <x:v>2022</x:v>
      </x:c>
      <x:c r="C180" s="22" t="str">
        <x:v>29</x:v>
      </x:c>
      <x:c r="D180" s="21" t="str">
        <x:v>harm future generations</x:v>
      </x:c>
      <x:c r="E180" s="21" t="str">
        <x:v>future-generation harm</x:v>
      </x:c>
      <x:c r="F180" s="22" t="str">
        <x:v>harm_loss_consequences</x:v>
      </x:c>
      <x:c r="G180" s="22" t="str">
        <x:v>D</x:v>
      </x:c>
      <x:c r="H180" s="22" t="str">
        <x:v>V5</x:v>
      </x:c>
      <x:c r="I180" s="22" t="str">
        <x:v>E5</x:v>
      </x:c>
      <x:c r="J180" s="21" t="str">
        <x:v>RECONSTRUCTED_FROM_REPORT; Fear of Temperature_ Stratified Lexical Expansion, Voice Mapping, and Semantic-Relational Pre-Valida.pdf; p.13; project candidate FT-SEED-R1B-P-2022-29; original visible ID not available</x:v>
      </x:c>
      <x:c r="K180" s="21" t="str">
        <x:v>INTERNET_ARCHIVE_METADATA_TEXT_ITEM_COUNT</x:v>
      </x:c>
      <x:c r="L180" s="22" t="str">
        <x:v>"harm future generations" AND mediatype:texts</x:v>
      </x:c>
      <x:c r="M180" s="22" t="str">
        <x:v>PHRASE_METADATA_SEARCH</x:v>
      </x:c>
      <x:c r="N180" s="21" t="str">
        <x:v>COMPLETED_ZERO</x:v>
      </x:c>
      <x:c r="O180" s="57" t="str">
        <x:v>0</x:v>
      </x:c>
      <x:c r="P180" s="22" t="str">
        <x:v>0</x:v>
      </x:c>
      <x:c r="Q180" s="22" t="str">
        <x:v>0</x:v>
      </x:c>
      <x:c r="R180" s="22" t="str">
        <x:v>0</x:v>
      </x:c>
      <x:c r="S180" s="22" t="str">
        <x:v>2026-08-26</x:v>
      </x:c>
      <x:c r="T180" s="22" t="str">
        <x:v>https://archive.org/advancedsearch.php</x:v>
      </x:c>
      <x:c r="U180" s="22" t="str">
        <x:v>EXACT_PHRASE</x:v>
      </x:c>
      <x:c r="V180" s="21" t="str">
        <x:v>OPENALEX_WORK_COUNT</x:v>
      </x:c>
      <x:c r="W180" s="57" t="str"/>
      <x:c r="X180" s="23" t="str">
        <x:v>Metadata text-item count; not a full-text lexical frequency. Secondary metric: NOT_RUN_OPENALEX_DAILY_BUDGET_EXHAUSTED: shared provider response retained; no count fabricated.</x:v>
      </x:c>
    </x:row>
    <x:row r="181" ht="19" customHeight="1">
      <x:c r="A181" s="24" t="str">
        <x:v>FT-SEED-R1B-P-2022-30</x:v>
      </x:c>
      <x:c r="B181" s="26" t="str">
        <x:v>2022</x:v>
      </x:c>
      <x:c r="C181" s="26" t="str">
        <x:v>30</x:v>
      </x:c>
      <x:c r="D181" s="25" t="str">
        <x:v>climate crisis</x:v>
      </x:c>
      <x:c r="E181" s="25" t="str">
        <x:v>climate crisis issue label</x:v>
      </x:c>
      <x:c r="F181" s="26" t="str">
        <x:v>crisis_emergency</x:v>
      </x:c>
      <x:c r="G181" s="26" t="str">
        <x:v>D</x:v>
      </x:c>
      <x:c r="H181" s="26" t="str">
        <x:v>V4</x:v>
      </x:c>
      <x:c r="I181" s="26" t="str">
        <x:v>E5</x:v>
      </x:c>
      <x:c r="J181" s="25" t="str">
        <x:v>RECONSTRUCTED_FROM_REPORT; Fear of Temperature_ Stratified Lexical Expansion, Voice Mapping, and Semantic-Relational Pre-Valida.pdf; p.13; project candidate FT-SEED-R1B-P-2022-30; original visible ID not available</x:v>
      </x:c>
      <x:c r="K181" s="25" t="str">
        <x:v>INTERNET_ARCHIVE_METADATA_TEXT_ITEM_COUNT</x:v>
      </x:c>
      <x:c r="L181" s="26" t="str">
        <x:v>"climate crisis" AND mediatype:texts</x:v>
      </x:c>
      <x:c r="M181" s="26" t="str">
        <x:v>PHRASE_METADATA_SEARCH</x:v>
      </x:c>
      <x:c r="N181" s="25" t="str">
        <x:v>COMPLETED_NONZERO</x:v>
      </x:c>
      <x:c r="O181" s="58" t="str">
        <x:v>439</x:v>
      </x:c>
      <x:c r="P181" s="26" t="str">
        <x:v>439</x:v>
      </x:c>
      <x:c r="Q181" s="26" t="str">
        <x:v>40</x:v>
      </x:c>
      <x:c r="R181" s="26" t="str">
        <x:v>114</x:v>
      </x:c>
      <x:c r="S181" s="26" t="str">
        <x:v>2026-08-26</x:v>
      </x:c>
      <x:c r="T181" s="26" t="str">
        <x:v>https://archive.org/advancedsearch.php</x:v>
      </x:c>
      <x:c r="U181" s="26" t="str">
        <x:v>EXACT_PHRASE</x:v>
      </x:c>
      <x:c r="V181" s="25" t="str">
        <x:v>OPENALEX_WORK_COUNT</x:v>
      </x:c>
      <x:c r="W181" s="58" t="str">
        <x:v>78120</x:v>
      </x:c>
      <x:c r="X181" s="27" t="str">
        <x:v>Metadata text-item count; not a full-text lexical frequency. Secondary metric: Scholarly work discoverability count over OpenAlex search fields; not a corpus word frequency.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5" hidden="0" customWidth="1"/>
    <x:col min="3" max="3" width="15" hidden="0" customWidth="1"/>
    <x:col min="4" max="4" width="28" hidden="0" customWidth="1"/>
    <x:col min="5" max="5" width="18" hidden="0" customWidth="1"/>
    <x:col min="6" max="6" width="25" hidden="0" customWidth="1"/>
  </x:cols>
  <x:sheetData>
    <x:row r="1" ht="38" customHeight="1">
      <x:c r="A1" s="12" t="str">
        <x:v>anchor_id</x:v>
      </x:c>
      <x:c r="B1" s="12" t="str">
        <x:v>anchor_label</x:v>
      </x:c>
      <x:c r="C1" s="12" t="str">
        <x:v>voice_code</x:v>
      </x:c>
      <x:c r="D1" s="12" t="str">
        <x:v>coverage_status</x:v>
      </x:c>
      <x:c r="E1" s="12" t="str">
        <x:v>representative_high_value_lexical_forms</x:v>
      </x:c>
      <x:c r="F1" s="12" t="str">
        <x:v>source_evidence_note</x:v>
      </x:c>
    </x:row>
    <x:row r="2" ht="19" customHeight="1">
      <x:c r="A2" s="16" t="str">
        <x:v>FT-A1842</x:v>
      </x:c>
      <x:c r="B2" s="18" t="str">
        <x:v>1842</x:v>
      </x:c>
      <x:c r="C2" s="18" t="str">
        <x:v>V1</x:v>
      </x:c>
      <x:c r="D2" s="17" t="str">
        <x:v>STRONG</x:v>
      </x:c>
      <x:c r="E2" s="42" t="str">
        <x:v>wet bulb temperature; mean temperature; meteorological observations</x:v>
      </x:c>
      <x:c r="F2" s="19" t="str">
        <x:v>Royal Society Colaba and Ross observation records; measurement-centred.</x:v>
      </x:c>
    </x:row>
    <x:row r="3" ht="19" customHeight="1">
      <x:c r="A3" s="20" t="str">
        <x:v>FT-A1842</x:v>
      </x:c>
      <x:c r="B3" s="22" t="str">
        <x:v>1842</x:v>
      </x:c>
      <x:c r="C3" s="22" t="str">
        <x:v>V2</x:v>
      </x:c>
      <x:c r="D3" s="21" t="str">
        <x:v>THIN_CONTEXTUAL</x:v>
      </x:c>
      <x:c r="E3" s="43" t="str">
        <x:v>changes of temperature; sickness and mortality</x:v>
      </x:c>
      <x:c r="F3" s="23" t="str">
        <x:v>Institutional inquiry context is present, but substantive worker testimony remains V5.</x:v>
      </x:c>
    </x:row>
    <x:row r="4" ht="19" customHeight="1">
      <x:c r="A4" s="20" t="str">
        <x:v>FT-A1842</x:v>
      </x:c>
      <x:c r="B4" s="22" t="str">
        <x:v>1842</x:v>
      </x:c>
      <x:c r="C4" s="22" t="str">
        <x:v>V3</x:v>
      </x:c>
      <x:c r="D4" s="21" t="str">
        <x:v>THIN_CONTEXTUAL</x:v>
      </x:c>
      <x:c r="E4" s="43" t="str">
        <x:v>alarm to the public</x:v>
      </x:c>
      <x:c r="F4" s="23" t="str">
        <x:v>Possible/negated public-health formulation; not proof that a public reported alarm.</x:v>
      </x:c>
    </x:row>
    <x:row r="5" ht="19" customHeight="1">
      <x:c r="A5" s="20" t="str">
        <x:v>FT-A1842</x:v>
      </x:c>
      <x:c r="B5" s="22" t="str">
        <x:v>1842</x:v>
      </x:c>
      <x:c r="C5" s="22" t="str">
        <x:v>V4</x:v>
      </x:c>
      <x:c r="D5" s="21" t="str">
        <x:v>NOT_LOCATED</x:v>
      </x:c>
      <x:c r="E5" s="43" t="str"/>
      <x:c r="F5" s="23" t="str">
        <x:v>No defensible organised-civic stratum located; cell intentionally unfilled.</x:v>
      </x:c>
    </x:row>
    <x:row r="6" ht="19" customHeight="1">
      <x:c r="A6" s="20" t="str">
        <x:v>FT-A1842</x:v>
      </x:c>
      <x:c r="B6" s="22" t="str">
        <x:v>1842</x:v>
      </x:c>
      <x:c r="C6" s="22" t="str">
        <x:v>V5</x:v>
      </x:c>
      <x:c r="D6" s="21" t="str">
        <x:v>ATTESTED</x:v>
      </x:c>
      <x:c r="E6" s="43" t="str">
        <x:v>heat of the irons; most suffocating; faint away; depressing effect</x:v>
      </x:c>
      <x:c r="F6" s="23" t="str">
        <x:v>Worker testimony and correspondence show embodied heat experience, not climate fear.</x:v>
      </x:c>
    </x:row>
    <x:row r="7" ht="19" customHeight="1">
      <x:c r="A7" s="20" t="str">
        <x:v>FT-A1938</x:v>
      </x:c>
      <x:c r="B7" s="22" t="str">
        <x:v>1938</x:v>
      </x:c>
      <x:c r="C7" s="22" t="str">
        <x:v>V1</x:v>
      </x:c>
      <x:c r="D7" s="21" t="str">
        <x:v>STRONG</x:v>
      </x:c>
      <x:c r="E7" s="43" t="str">
        <x:v>artificial production of carbon dioxide; mean temperature; radiation absorption</x:v>
      </x:c>
      <x:c r="F7" s="23" t="str">
        <x:v>Callendar causal-science configuration.</x:v>
      </x:c>
    </x:row>
    <x:row r="8" ht="19" customHeight="1">
      <x:c r="A8" s="20" t="str">
        <x:v>FT-A1938</x:v>
      </x:c>
      <x:c r="B8" s="22" t="str">
        <x:v>1938</x:v>
      </x:c>
      <x:c r="C8" s="22" t="str">
        <x:v>V2</x:v>
      </x:c>
      <x:c r="D8" s="21" t="str">
        <x:v>THIN_CONTEXTUAL</x:v>
      </x:c>
      <x:c r="E8" s="43" t="str">
        <x:v>meteorological stations</x:v>
      </x:c>
      <x:c r="F8" s="23" t="str">
        <x:v>Official/institutional material is secondary to the scientific anchor.</x:v>
      </x:c>
    </x:row>
    <x:row r="9" ht="19" customHeight="1">
      <x:c r="A9" s="20" t="str">
        <x:v>FT-A1938</x:v>
      </x:c>
      <x:c r="B9" s="22" t="str">
        <x:v>1938</x:v>
      </x:c>
      <x:c r="C9" s="22" t="str">
        <x:v>V3</x:v>
      </x:c>
      <x:c r="D9" s="21" t="str">
        <x:v>ATTESTED</x:v>
      </x:c>
      <x:c r="E9" s="43" t="str">
        <x:v>heat wave; scorching westerly wind; pitiless sun; unbearable heat</x:v>
      </x:c>
      <x:c r="F9" s="23" t="str">
        <x:v>Heat-event journalism, partly from secondary reproduction; not reception of Callendar.</x:v>
      </x:c>
    </x:row>
    <x:row r="10" ht="19" customHeight="1">
      <x:c r="A10" s="20" t="str">
        <x:v>FT-A1938</x:v>
      </x:c>
      <x:c r="B10" s="22" t="str">
        <x:v>1938</x:v>
      </x:c>
      <x:c r="C10" s="22" t="str">
        <x:v>V4</x:v>
      </x:c>
      <x:c r="D10" s="21" t="str">
        <x:v>NOT_LOCATED</x:v>
      </x:c>
      <x:c r="E10" s="43" t="str"/>
      <x:c r="F10" s="23" t="str">
        <x:v>No defensible organised-civic stratum located; cell intentionally unfilled.</x:v>
      </x:c>
    </x:row>
    <x:row r="11" ht="19" customHeight="1">
      <x:c r="A11" s="20" t="str">
        <x:v>FT-A1938</x:v>
      </x:c>
      <x:c r="B11" s="22" t="str">
        <x:v>1938</x:v>
      </x:c>
      <x:c r="C11" s="22" t="str">
        <x:v>V5</x:v>
      </x:c>
      <x:c r="D11" s="21" t="str">
        <x:v>NOT_LOCATED</x:v>
      </x:c>
      <x:c r="E11" s="43" t="str"/>
      <x:c r="F11" s="23" t="str">
        <x:v>No strong exact-year lay reception of Callendar located.</x:v>
      </x:c>
    </x:row>
    <x:row r="12" ht="19" customHeight="1">
      <x:c r="A12" s="20" t="str">
        <x:v>FT-A1988</x:v>
      </x:c>
      <x:c r="B12" s="22" t="str">
        <x:v>1988</x:v>
      </x:c>
      <x:c r="C12" s="22" t="str">
        <x:v>V1</x:v>
      </x:c>
      <x:c r="D12" s="21" t="str">
        <x:v>STRONG</x:v>
      </x:c>
      <x:c r="E12" s="43" t="str">
        <x:v>greenhouse effect; global warming; global temperature; regional heat waves</x:v>
      </x:c>
      <x:c r="F12" s="23" t="str">
        <x:v>Hansen scientific work/testimony.</x:v>
      </x:c>
    </x:row>
    <x:row r="13" ht="19" customHeight="1">
      <x:c r="A13" s="20" t="str">
        <x:v>FT-A1988</x:v>
      </x:c>
      <x:c r="B13" s="22" t="str">
        <x:v>1988</x:v>
      </x:c>
      <x:c r="C13" s="22" t="str">
        <x:v>V2</x:v>
      </x:c>
      <x:c r="D13" s="21" t="str">
        <x:v>STRONG</x:v>
      </x:c>
      <x:c r="E13" s="43" t="str">
        <x:v>global security; major threat; impending crisis; harmful consequences</x:v>
      </x:c>
      <x:c r="F13" s="23" t="str">
        <x:v>Toronto institutional threat/security framing.</x:v>
      </x:c>
    </x:row>
    <x:row r="14" ht="19" customHeight="1">
      <x:c r="A14" s="20" t="str">
        <x:v>FT-A1988</x:v>
      </x:c>
      <x:c r="B14" s="22" t="str">
        <x:v>1988</x:v>
      </x:c>
      <x:c r="C14" s="22" t="str">
        <x:v>V3</x:v>
      </x:c>
      <x:c r="D14" s="21" t="str">
        <x:v>ATTESTED</x:v>
      </x:c>
      <x:c r="E14" s="43" t="str">
        <x:v>Global Warming Has Begun; too much carbon dioxide is dangerous</x:v>
      </x:c>
      <x:c r="F14" s="23" t="str">
        <x:v>Public-facing journalism; does not substitute for V5 evidence.</x:v>
      </x:c>
    </x:row>
    <x:row r="15" ht="19" customHeight="1">
      <x:c r="A15" s="20" t="str">
        <x:v>FT-A1988</x:v>
      </x:c>
      <x:c r="B15" s="22" t="str">
        <x:v>1988</x:v>
      </x:c>
      <x:c r="C15" s="22" t="str">
        <x:v>V4</x:v>
      </x:c>
      <x:c r="D15" s="21" t="str">
        <x:v>THIN_NOT_ALLOCATED</x:v>
      </x:c>
      <x:c r="E15" s="43" t="str"/>
      <x:c r="F15" s="23" t="str">
        <x:v>No strong exact-year V4 passage allocation in the current pilot plan.</x:v>
      </x:c>
    </x:row>
    <x:row r="16" ht="19" customHeight="1">
      <x:c r="A16" s="20" t="str">
        <x:v>FT-A1988</x:v>
      </x:c>
      <x:c r="B16" s="22" t="str">
        <x:v>1988</x:v>
      </x:c>
      <x:c r="C16" s="22" t="str">
        <x:v>V5</x:v>
      </x:c>
      <x:c r="D16" s="21" t="str">
        <x:v>NOT_LOCATED</x:v>
      </x:c>
      <x:c r="E16" s="43" t="str"/>
      <x:c r="F16" s="23" t="str">
        <x:v>Exact-year direct-public fear/worry/anxiety evidence remains weak/not located.</x:v>
      </x:c>
    </x:row>
    <x:row r="17" ht="19" customHeight="1">
      <x:c r="A17" s="20" t="str">
        <x:v>FT-A0607</x:v>
      </x:c>
      <x:c r="B17" s="22" t="str">
        <x:v>2006–2007</x:v>
      </x:c>
      <x:c r="C17" s="22" t="str">
        <x:v>V1</x:v>
      </x:c>
      <x:c r="D17" s="21" t="str">
        <x:v>STRONG</x:v>
      </x:c>
      <x:c r="E17" s="43" t="str">
        <x:v>warming of the climate system; unequivocal; temperature increase</x:v>
      </x:c>
      <x:c r="F17" s="23" t="str">
        <x:v>IPCC scientific assessment language.</x:v>
      </x:c>
    </x:row>
    <x:row r="18" ht="19" customHeight="1">
      <x:c r="A18" s="20" t="str">
        <x:v>FT-A0607</x:v>
      </x:c>
      <x:c r="B18" s="22" t="str">
        <x:v>2006–2007</x:v>
      </x:c>
      <x:c r="C18" s="22" t="str">
        <x:v>V2</x:v>
      </x:c>
      <x:c r="D18" s="21" t="str">
        <x:v>STRONG</x:v>
      </x:c>
      <x:c r="E18" s="43" t="str">
        <x:v>serious global threat; costs and risks; damage</x:v>
      </x:c>
      <x:c r="F18" s="23" t="str">
        <x:v>Stern and institutional risk/governance framing.</x:v>
      </x:c>
    </x:row>
    <x:row r="19" ht="19" customHeight="1">
      <x:c r="A19" s="20" t="str">
        <x:v>FT-A0607</x:v>
      </x:c>
      <x:c r="B19" s="22" t="str">
        <x:v>2006–2007</x:v>
      </x:c>
      <x:c r="C19" s="22" t="str">
        <x:v>V3</x:v>
      </x:c>
      <x:c r="D19" s="21" t="str">
        <x:v>ATTESTED</x:v>
      </x:c>
      <x:c r="E19" s="43" t="str">
        <x:v>Be Worried. Be Very Worried.; global warming</x:v>
      </x:c>
      <x:c r="F19" s="23" t="str">
        <x:v>Media-prescribed affect; not evidence readers felt worried.</x:v>
      </x:c>
    </x:row>
    <x:row r="20" ht="19" customHeight="1">
      <x:c r="A20" s="20" t="str">
        <x:v>FT-A0607</x:v>
      </x:c>
      <x:c r="B20" s="22" t="str">
        <x:v>2006–2007</x:v>
      </x:c>
      <x:c r="C20" s="22" t="str">
        <x:v>V4</x:v>
      </x:c>
      <x:c r="D20" s="21" t="str">
        <x:v>ATTESTED</x:v>
      </x:c>
      <x:c r="E20" s="43" t="str">
        <x:v>dangerous climate change; serious negative effects</x:v>
      </x:c>
      <x:c r="F20" s="23" t="str">
        <x:v>Organised civic/advocacy framing.</x:v>
      </x:c>
    </x:row>
    <x:row r="21" ht="19" customHeight="1">
      <x:c r="A21" s="20" t="str">
        <x:v>FT-A0607</x:v>
      </x:c>
      <x:c r="B21" s="22" t="str">
        <x:v>2006–2007</x:v>
      </x:c>
      <x:c r="C21" s="22" t="str">
        <x:v>V5</x:v>
      </x:c>
      <x:c r="D21" s="21" t="str">
        <x:v>ATTESTED_ELICITED</x:v>
      </x:c>
      <x:c r="E21" s="43" t="str">
        <x:v>personally worry; worry a great deal; urgent threat</x:v>
      </x:c>
      <x:c r="F21" s="23" t="str">
        <x:v>Survey/instrument evidence; participant endorsement is E3.</x:v>
      </x:c>
    </x:row>
    <x:row r="22" ht="19" customHeight="1">
      <x:c r="A22" s="20" t="str">
        <x:v>FT-A2015</x:v>
      </x:c>
      <x:c r="B22" s="22" t="str">
        <x:v>2015</x:v>
      </x:c>
      <x:c r="C22" s="22" t="str">
        <x:v>V1</x:v>
      </x:c>
      <x:c r="D22" s="21" t="str">
        <x:v>THIN_CONTEXTUAL</x:v>
      </x:c>
      <x:c r="E22" s="43" t="str">
        <x:v>global average temperature; climate change</x:v>
      </x:c>
      <x:c r="F22" s="23" t="str">
        <x:v>Scientific context supports governance thresholds but is not the dominant documentary voice.</x:v>
      </x:c>
    </x:row>
    <x:row r="23" ht="19" customHeight="1">
      <x:c r="A23" s="20" t="str">
        <x:v>FT-A2015</x:v>
      </x:c>
      <x:c r="B23" s="22" t="str">
        <x:v>2015</x:v>
      </x:c>
      <x:c r="C23" s="22" t="str">
        <x:v>V2</x:v>
      </x:c>
      <x:c r="D23" s="21" t="str">
        <x:v>STRONG</x:v>
      </x:c>
      <x:c r="E23" s="43" t="str">
        <x:v>well below 2°C; 1.5°C; common concern of humankind; loss and damage</x:v>
      </x:c>
      <x:c r="F23" s="23" t="str">
        <x:v>Paris legal/governance language; common concern is not personal affect.</x:v>
      </x:c>
    </x:row>
    <x:row r="24" ht="19" customHeight="1">
      <x:c r="A24" s="20" t="str">
        <x:v>FT-A2015</x:v>
      </x:c>
      <x:c r="B24" s="22" t="str">
        <x:v>2015</x:v>
      </x:c>
      <x:c r="C24" s="22" t="str">
        <x:v>V3</x:v>
      </x:c>
      <x:c r="D24" s="21" t="str">
        <x:v>ATTESTED</x:v>
      </x:c>
      <x:c r="E24" s="43" t="str">
        <x:v>extreme heat; climate change</x:v>
      </x:c>
      <x:c r="F24" s="23" t="str">
        <x:v>Public-facing circulation exists but is not the anchor's strongest evidence stratum.</x:v>
      </x:c>
    </x:row>
    <x:row r="25" ht="19" customHeight="1">
      <x:c r="A25" s="20" t="str">
        <x:v>FT-A2015</x:v>
      </x:c>
      <x:c r="B25" s="22" t="str">
        <x:v>2015</x:v>
      </x:c>
      <x:c r="C25" s="22" t="str">
        <x:v>V4</x:v>
      </x:c>
      <x:c r="D25" s="21" t="str">
        <x:v>ATTESTED</x:v>
      </x:c>
      <x:c r="E25" s="43" t="str">
        <x:v>climate justice; red line; We are nature defending itself</x:v>
      </x:c>
      <x:c r="F25" s="23" t="str">
        <x:v>COP21 mobilisation and protest.</x:v>
      </x:c>
    </x:row>
    <x:row r="26" ht="19" customHeight="1">
      <x:c r="A26" s="20" t="str">
        <x:v>FT-A2015</x:v>
      </x:c>
      <x:c r="B26" s="22" t="str">
        <x:v>2015</x:v>
      </x:c>
      <x:c r="C26" s="22" t="str">
        <x:v>V5</x:v>
      </x:c>
      <x:c r="D26" s="21" t="str">
        <x:v>ATTESTED_ELICITED</x:v>
      </x:c>
      <x:c r="E26" s="43" t="str">
        <x:v>very worried; serious problem; harm them personally</x:v>
      </x:c>
      <x:c r="F26" s="23" t="str">
        <x:v>Survey-elicited public appraisal.</x:v>
      </x:c>
    </x:row>
    <x:row r="27" ht="19" customHeight="1">
      <x:c r="A27" s="20" t="str">
        <x:v>FT-A2022</x:v>
      </x:c>
      <x:c r="B27" s="22" t="str">
        <x:v>2022</x:v>
      </x:c>
      <x:c r="C27" s="22" t="str">
        <x:v>V1</x:v>
      </x:c>
      <x:c r="D27" s="21" t="str">
        <x:v>STRONG</x:v>
      </x:c>
      <x:c r="E27" s="43" t="str">
        <x:v>climate anxiety; eco-anxiety; anxiety and stress; heat-related mortality</x:v>
      </x:c>
      <x:c r="F27" s="23" t="str">
        <x:v>Research constructs and assessment categories; not automatically participant self-labelling.</x:v>
      </x:c>
    </x:row>
    <x:row r="28" ht="19" customHeight="1">
      <x:c r="A28" s="20" t="str">
        <x:v>FT-A2022</x:v>
      </x:c>
      <x:c r="B28" s="22" t="str">
        <x:v>2022</x:v>
      </x:c>
      <x:c r="C28" s="22" t="str">
        <x:v>V2</x:v>
      </x:c>
      <x:c r="D28" s="21" t="str">
        <x:v>ATTESTED</x:v>
      </x:c>
      <x:c r="E28" s="43" t="str">
        <x:v>climate-related risk; heatwaves; mental-health challenges</x:v>
      </x:c>
      <x:c r="F28" s="23" t="str">
        <x:v>Institutional/assessment framing remains distinct from individual affect.</x:v>
      </x:c>
    </x:row>
    <x:row r="29" ht="19" customHeight="1">
      <x:c r="A29" s="20" t="str">
        <x:v>FT-A2022</x:v>
      </x:c>
      <x:c r="B29" s="22" t="str">
        <x:v>2022</x:v>
      </x:c>
      <x:c r="C29" s="22" t="str">
        <x:v>V3</x:v>
      </x:c>
      <x:c r="D29" s="21" t="str">
        <x:v>ATTESTED</x:v>
      </x:c>
      <x:c r="E29" s="43" t="str">
        <x:v>extreme heat; climate emergency</x:v>
      </x:c>
      <x:c r="F29" s="23" t="str">
        <x:v>Public-facing media framing requires source-specific verification.</x:v>
      </x:c>
    </x:row>
    <x:row r="30" ht="19" customHeight="1">
      <x:c r="A30" s="20" t="str">
        <x:v>FT-A2022</x:v>
      </x:c>
      <x:c r="B30" s="22" t="str">
        <x:v>2022</x:v>
      </x:c>
      <x:c r="C30" s="22" t="str">
        <x:v>V4</x:v>
      </x:c>
      <x:c r="D30" s="21" t="str">
        <x:v>ATTESTED</x:v>
      </x:c>
      <x:c r="E30" s="43" t="str">
        <x:v>climate crisis; climate emergency</x:v>
      </x:c>
      <x:c r="F30" s="23" t="str">
        <x:v>Advocacy/threat framing; crisis is not itself affect.</x:v>
      </x:c>
    </x:row>
    <x:row r="31" ht="19" customHeight="1">
      <x:c r="A31" s="24" t="str">
        <x:v>FT-A2022</x:v>
      </x:c>
      <x:c r="B31" s="26" t="str">
        <x:v>2022</x:v>
      </x:c>
      <x:c r="C31" s="26" t="str">
        <x:v>V5</x:v>
      </x:c>
      <x:c r="D31" s="25" t="str">
        <x:v>STRONG_ELICITED</x:v>
      </x:c>
      <x:c r="E31" s="44" t="str">
        <x:v>very worried; afraid; anxious; hopeless</x:v>
      </x:c>
      <x:c r="F31" s="27" t="str">
        <x:v>Dense survey-elicited endorsement; instrument wording and participant-generated wording remain separate.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</x:cols>
  <x:sheetData>
    <x:row r="1" ht="38" customHeight="1">
      <x:c r="A1" s="12" t="str">
        <x:v>family_id</x:v>
      </x:c>
      <x:c r="B1" s="12" t="str">
        <x:v>family_code</x:v>
      </x:c>
      <x:c r="C1" s="12" t="str">
        <x:v>label</x:v>
      </x:c>
      <x:c r="D1" s="12" t="str">
        <x:v>primary_layer_code</x:v>
      </x:c>
      <x:c r="E1" s="12" t="str">
        <x:v>is_synonym_group</x:v>
      </x:c>
    </x:row>
    <x:row r="2" ht="19" customHeight="1">
      <x:c r="A2" s="16" t="str">
        <x:v>FT-F01</x:v>
      </x:c>
      <x:c r="B2" s="18" t="str">
        <x:v>temperature_threshold</x:v>
      </x:c>
      <x:c r="C2" s="18" t="str">
        <x:v>Temperature / Threshold</x:v>
      </x:c>
      <x:c r="D2" s="18" t="str">
        <x:v>A</x:v>
      </x:c>
      <x:c r="E2" s="48" t="str">
        <x:v>false</x:v>
      </x:c>
    </x:row>
    <x:row r="3" ht="19" customHeight="1">
      <x:c r="A3" s="20" t="str">
        <x:v>FT-F02</x:v>
      </x:c>
      <x:c r="B3" s="22" t="str">
        <x:v>heat</x:v>
      </x:c>
      <x:c r="C3" s="22" t="str">
        <x:v>Heat</x:v>
      </x:c>
      <x:c r="D3" s="22" t="str">
        <x:v>A</x:v>
      </x:c>
      <x:c r="E3" s="49" t="str">
        <x:v>false</x:v>
      </x:c>
    </x:row>
    <x:row r="4" ht="19" customHeight="1">
      <x:c r="A4" s="20" t="str">
        <x:v>FT-F03</x:v>
      </x:c>
      <x:c r="B4" s="22" t="str">
        <x:v>warming</x:v>
      </x:c>
      <x:c r="C4" s="22" t="str">
        <x:v>Warming</x:v>
      </x:c>
      <x:c r="D4" s="22" t="str">
        <x:v>A</x:v>
      </x:c>
      <x:c r="E4" s="49" t="str">
        <x:v>false</x:v>
      </x:c>
    </x:row>
    <x:row r="5" ht="19" customHeight="1">
      <x:c r="A5" s="20" t="str">
        <x:v>FT-F04</x:v>
      </x:c>
      <x:c r="B5" s="22" t="str">
        <x:v>climate</x:v>
      </x:c>
      <x:c r="C5" s="22" t="str">
        <x:v>Climate</x:v>
      </x:c>
      <x:c r="D5" s="22" t="str">
        <x:v>B</x:v>
      </x:c>
      <x:c r="E5" s="49" t="str">
        <x:v>false</x:v>
      </x:c>
    </x:row>
    <x:row r="6" ht="19" customHeight="1">
      <x:c r="A6" s="20" t="str">
        <x:v>FT-F05</x:v>
      </x:c>
      <x:c r="B6" s="22" t="str">
        <x:v>carbon_greenhouse</x:v>
      </x:c>
      <x:c r="C6" s="22" t="str">
        <x:v>Carbon / Greenhouse</x:v>
      </x:c>
      <x:c r="D6" s="22" t="str">
        <x:v>B</x:v>
      </x:c>
      <x:c r="E6" s="49" t="str">
        <x:v>false</x:v>
      </x:c>
    </x:row>
    <x:row r="7" ht="19" customHeight="1">
      <x:c r="A7" s="20" t="str">
        <x:v>FT-F06</x:v>
      </x:c>
      <x:c r="B7" s="22" t="str">
        <x:v>concern_alarm</x:v>
      </x:c>
      <x:c r="C7" s="22" t="str">
        <x:v>Concern / Alarm</x:v>
      </x:c>
      <x:c r="D7" s="22" t="str">
        <x:v>C</x:v>
      </x:c>
      <x:c r="E7" s="49" t="str">
        <x:v>false</x:v>
      </x:c>
    </x:row>
    <x:row r="8" ht="19" customHeight="1">
      <x:c r="A8" s="20" t="str">
        <x:v>FT-F07</x:v>
      </x:c>
      <x:c r="B8" s="22" t="str">
        <x:v>worry</x:v>
      </x:c>
      <x:c r="C8" s="22" t="str">
        <x:v>Worry</x:v>
      </x:c>
      <x:c r="D8" s="22" t="str">
        <x:v>C</x:v>
      </x:c>
      <x:c r="E8" s="49" t="str">
        <x:v>false</x:v>
      </x:c>
    </x:row>
    <x:row r="9" ht="19" customHeight="1">
      <x:c r="A9" s="20" t="str">
        <x:v>FT-F08</x:v>
      </x:c>
      <x:c r="B9" s="22" t="str">
        <x:v>fear_afraid</x:v>
      </x:c>
      <x:c r="C9" s="22" t="str">
        <x:v>Fear / Afraid</x:v>
      </x:c>
      <x:c r="D9" s="22" t="str">
        <x:v>C</x:v>
      </x:c>
      <x:c r="E9" s="49" t="str">
        <x:v>false</x:v>
      </x:c>
    </x:row>
    <x:row r="10" ht="19" customHeight="1">
      <x:c r="A10" s="20" t="str">
        <x:v>FT-F09</x:v>
      </x:c>
      <x:c r="B10" s="22" t="str">
        <x:v>anxiety</x:v>
      </x:c>
      <x:c r="C10" s="22" t="str">
        <x:v>Anxiety</x:v>
      </x:c>
      <x:c r="D10" s="22" t="str">
        <x:v>C</x:v>
      </x:c>
      <x:c r="E10" s="49" t="str">
        <x:v>false</x:v>
      </x:c>
    </x:row>
    <x:row r="11" ht="19" customHeight="1">
      <x:c r="A11" s="20" t="str">
        <x:v>FT-F10</x:v>
      </x:c>
      <x:c r="B11" s="22" t="str">
        <x:v>distress_depression</x:v>
      </x:c>
      <x:c r="C11" s="22" t="str">
        <x:v>Distress / Depression</x:v>
      </x:c>
      <x:c r="D11" s="22" t="str">
        <x:v>C</x:v>
      </x:c>
      <x:c r="E11" s="49" t="str">
        <x:v>false</x:v>
      </x:c>
    </x:row>
    <x:row r="12" ht="19" customHeight="1">
      <x:c r="A12" s="20" t="str">
        <x:v>FT-F11</x:v>
      </x:c>
      <x:c r="B12" s="22" t="str">
        <x:v>danger_threat</x:v>
      </x:c>
      <x:c r="C12" s="22" t="str">
        <x:v>Danger / Threat</x:v>
      </x:c>
      <x:c r="D12" s="22" t="str">
        <x:v>D</x:v>
      </x:c>
      <x:c r="E12" s="49" t="str">
        <x:v>false</x:v>
      </x:c>
    </x:row>
    <x:row r="13" ht="19" customHeight="1">
      <x:c r="A13" s="20" t="str">
        <x:v>FT-F12</x:v>
      </x:c>
      <x:c r="B13" s="22" t="str">
        <x:v>risk</x:v>
      </x:c>
      <x:c r="C13" s="22" t="str">
        <x:v>Risk</x:v>
      </x:c>
      <x:c r="D13" s="22" t="str">
        <x:v>D</x:v>
      </x:c>
      <x:c r="E13" s="49" t="str">
        <x:v>false</x:v>
      </x:c>
    </x:row>
    <x:row r="14" ht="19" customHeight="1">
      <x:c r="A14" s="20" t="str">
        <x:v>FT-F13</x:v>
      </x:c>
      <x:c r="B14" s="22" t="str">
        <x:v>crisis_emergency</x:v>
      </x:c>
      <x:c r="C14" s="22" t="str">
        <x:v>Crisis / Emergency</x:v>
      </x:c>
      <x:c r="D14" s="22" t="str">
        <x:v>D</x:v>
      </x:c>
      <x:c r="E14" s="49" t="str">
        <x:v>false</x:v>
      </x:c>
    </x:row>
    <x:row r="15" ht="19" customHeight="1">
      <x:c r="A15" s="24" t="str">
        <x:v>FT-F14</x:v>
      </x:c>
      <x:c r="B15" s="26" t="str">
        <x:v>harm_loss_consequences</x:v>
      </x:c>
      <x:c r="C15" s="26" t="str">
        <x:v>Harm / Loss / Consequences</x:v>
      </x:c>
      <x:c r="D15" s="26" t="str">
        <x:v>D</x:v>
      </x:c>
      <x:c r="E15" s="50" t="str">
        <x:v>false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</x:cols>
  <x:sheetData>
    <x:row r="1">
      <x:c r="A1" s="64" t="str">
        <x:v>Priority 180 coverage gate</x:v>
      </x:c>
      <x:c r="B1" s="64" t="str">
        <x:v>Priority 180 coverage gate</x:v>
      </x:c>
      <x:c r="C1" s="64" t="str">
        <x:v>Priority 180 coverage gate</x:v>
      </x:c>
      <x:c r="D1" s="64" t="str">
        <x:v>Priority 180 coverage gate</x:v>
      </x:c>
    </x:row>
    <x:row r="2">
      <x:c r="A2" s="68" t="str">
        <x:v>Candidate-level accounting · three independent evidence channels · zero is retained as a result</x:v>
      </x:c>
      <x:c r="B2" s="68" t="str">
        <x:v>Candidate-level accounting · three independent evidence channels · zero is retained as a result</x:v>
      </x:c>
      <x:c r="C2" s="68" t="str">
        <x:v>Candidate-level accounting · three independent evidence channels · zero is retained as a result</x:v>
      </x:c>
      <x:c r="D2" s="68" t="str">
        <x:v>Candidate-level accounting · three independent evidence channels · zero is retained as a result</x:v>
      </x:c>
    </x:row>
    <x:row r="3">
      <x:c r="A3" s="88"/>
      <x:c r="B3" s="88"/>
      <x:c r="C3" s="88"/>
      <x:c r="D3" s="88"/>
    </x:row>
    <x:row r="4">
      <x:c r="A4" s="89" t="str">
        <x:v>Metric</x:v>
      </x:c>
      <x:c r="B4" s="89" t="str">
        <x:v>Formula-linked value</x:v>
      </x:c>
      <x:c r="C4" s="89" t="str">
        <x:v>Required</x:v>
      </x:c>
      <x:c r="D4" s="89" t="str">
        <x:v>Status</x:v>
      </x:c>
    </x:row>
    <x:row r="5">
      <x:c r="A5" s="90" t="str">
        <x:v>Priority candidates</x:v>
      </x:c>
      <x:c r="B5" s="91" t="n">
        <x:f>COUNTA(Priority_180!A2:A181)</x:f>
        <x:v>180</x:v>
      </x:c>
      <x:c r="C5" s="91" t="n">
        <x:v>180</x:v>
      </x:c>
      <x:c r="D5" s="91" t="str">
        <x:f>IF(COUNT(C5)=0,"INFO",IF(B5=C5,"PASS","CHECK"))</x:f>
        <x:v>PASS</x:v>
      </x:c>
    </x:row>
    <x:row r="6">
      <x:c r="A6" s="90" t="str">
        <x:v>Ngram exact</x:v>
      </x:c>
      <x:c r="B6" s="91" t="n">
        <x:f>COUNTIF(Ngram_Coverage!L2:L181,"EXACT")</x:f>
        <x:v>174</x:v>
      </x:c>
      <x:c r="C6" s="91" t="str"/>
      <x:c r="D6" s="91" t="str">
        <x:f>IF(COUNT(C6)=0,"INFO",IF(B6=C6,"PASS","CHECK"))</x:f>
        <x:v>INFO</x:v>
      </x:c>
    </x:row>
    <x:row r="7">
      <x:c r="A7" s="90" t="str">
        <x:v>Ngram normalized variant</x:v>
      </x:c>
      <x:c r="B7" s="91" t="n">
        <x:f>COUNTIF(Ngram_Coverage!L2:L181,"NORMALIZED_VARIANT")</x:f>
        <x:v>2</x:v>
      </x:c>
      <x:c r="C7" s="91" t="str"/>
      <x:c r="D7" s="91" t="str">
        <x:f>IF(COUNT(C7)=0,"INFO",IF(B7=C7,"PASS","CHECK"))</x:f>
        <x:v>INFO</x:v>
      </x:c>
    </x:row>
    <x:row r="8">
      <x:c r="A8" s="90" t="str">
        <x:v>Ngram validated alias</x:v>
      </x:c>
      <x:c r="B8" s="91" t="n">
        <x:f>COUNTIF(Ngram_Coverage!L2:L181,"VALIDATED_ALIAS")</x:f>
        <x:v>3</x:v>
      </x:c>
      <x:c r="C8" s="91" t="str"/>
      <x:c r="D8" s="91" t="str">
        <x:f>IF(COUNT(C8)=0,"INFO",IF(B8=C8,"PASS","CHECK"))</x:f>
        <x:v>INFO</x:v>
      </x:c>
    </x:row>
    <x:row r="9">
      <x:c r="A9" s="90" t="str">
        <x:v>Ngram technically unrepresentable</x:v>
      </x:c>
      <x:c r="B9" s="91" t="n">
        <x:f>COUNTIF(Ngram_Coverage!L2:L181,"TECHNICALLY_UNREPRESENTABLE")</x:f>
        <x:v>1</x:v>
      </x:c>
      <x:c r="C9" s="91" t="str"/>
      <x:c r="D9" s="91" t="str">
        <x:f>IF(COUNT(C9)=0,"INFO",IF(B9=C9,"PASS","CHECK"))</x:f>
        <x:v>INFO</x:v>
      </x:c>
    </x:row>
    <x:row r="10">
      <x:c r="A10" s="90" t="str">
        <x:v>Dictionary direct headword</x:v>
      </x:c>
      <x:c r="B10" s="91" t="n">
        <x:f>COUNTIF(Dictionary_180!K2:K181,"DIRECT_HEADWORD")</x:f>
        <x:v>25</x:v>
      </x:c>
      <x:c r="C10" s="91" t="str"/>
      <x:c r="D10" s="91" t="str">
        <x:f>IF(COUNT(C10)=0,"INFO",IF(B10=C10,"PASS","CHECK"))</x:f>
        <x:v>INFO</x:v>
      </x:c>
    </x:row>
    <x:row r="11">
      <x:c r="A11" s="90" t="str">
        <x:v>Dictionary technical glossary</x:v>
      </x:c>
      <x:c r="B11" s="91" t="n">
        <x:f>COUNTIF(Dictionary_180!K2:K181,"TECHNICAL_GLOSSARY")</x:f>
        <x:v>49</x:v>
      </x:c>
      <x:c r="C11" s="91" t="str"/>
      <x:c r="D11" s="91" t="str">
        <x:f>IF(COUNT(C11)=0,"INFO",IF(B11=C11,"PASS","CHECK"))</x:f>
        <x:v>INFO</x:v>
      </x:c>
    </x:row>
    <x:row r="12">
      <x:c r="A12" s="90" t="str">
        <x:v>Dictionary no standalone headword</x:v>
      </x:c>
      <x:c r="B12" s="91" t="n">
        <x:f>COUNTIF(Dictionary_180!K2:K181,"NO_STANDALONE_HEADWORD")</x:f>
        <x:v>106</x:v>
      </x:c>
      <x:c r="C12" s="91" t="str"/>
      <x:c r="D12" s="91" t="str">
        <x:f>IF(COUNT(C12)=0,"INFO",IF(B12=C12,"PASS","CHECK"))</x:f>
        <x:v>INFO</x:v>
      </x:c>
    </x:row>
    <x:row r="13">
      <x:c r="A13" s="90" t="str">
        <x:v>Dictionary unresolved</x:v>
      </x:c>
      <x:c r="B13" s="91" t="n">
        <x:f>COUNTIF(Dictionary_180!K2:K181,"UNRESOLVED")</x:f>
        <x:v>0</x:v>
      </x:c>
      <x:c r="C13" s="91" t="n">
        <x:v>0</x:v>
      </x:c>
      <x:c r="D13" s="91" t="str">
        <x:f>IF(COUNT(C13)=0,"INFO",IF(B13=C13,"PASS","CHECK"))</x:f>
        <x:v>PASS</x:v>
      </x:c>
    </x:row>
    <x:row r="14">
      <x:c r="A14" s="90" t="str">
        <x:v>Search primary completed</x:v>
      </x:c>
      <x:c r="B14" s="91" t="n">
        <x:f>B15+B16</x:f>
        <x:v>180</x:v>
      </x:c>
      <x:c r="C14" s="91" t="n">
        <x:v>180</x:v>
      </x:c>
      <x:c r="D14" s="91" t="str">
        <x:f>IF(COUNT(C14)=0,"INFO",IF(B14=C14,"PASS","CHECK"))</x:f>
        <x:v>PASS</x:v>
      </x:c>
    </x:row>
    <x:row r="15">
      <x:c r="A15" s="90" t="str">
        <x:v>Search primary zero</x:v>
      </x:c>
      <x:c r="B15" s="91" t="n">
        <x:f>COUNTIF(Search_180!N2:N181,"COMPLETED_ZERO")</x:f>
        <x:v>39</x:v>
      </x:c>
      <x:c r="C15" s="91" t="str"/>
      <x:c r="D15" s="91" t="str">
        <x:f>IF(COUNT(C15)=0,"INFO",IF(B15=C15,"PASS","CHECK"))</x:f>
        <x:v>INFO</x:v>
      </x:c>
    </x:row>
    <x:row r="16">
      <x:c r="A16" s="90" t="str">
        <x:v>Search primary nonzero</x:v>
      </x:c>
      <x:c r="B16" s="91" t="n">
        <x:f>COUNTIF(Search_180!N2:N181,"COMPLETED_NONZERO")</x:f>
        <x:v>141</x:v>
      </x:c>
      <x:c r="C16" s="91" t="str"/>
      <x:c r="D16" s="91" t="str">
        <x:f>IF(COUNT(C16)=0,"INFO",IF(B16=C16,"PASS","CHECK"))</x:f>
        <x:v>INFO</x:v>
      </x:c>
    </x:row>
    <x:row r="17">
      <x:c r="A17" s="90" t="str">
        <x:v>Priority accounted</x:v>
      </x:c>
      <x:c r="B17" s="91" t="n">
        <x:f>MIN(B5,SUM(B6:B9),SUM(B10:B13),B14)</x:f>
        <x:v>180</x:v>
      </x:c>
      <x:c r="C17" s="91" t="n">
        <x:v>180</x:v>
      </x:c>
      <x:c r="D17" s="91" t="str">
        <x:f>IF(COUNT(C17)=0,"INFO",IF(B17=C17,"PASS","CHECK"))</x:f>
        <x:v>PASS</x:v>
      </x:c>
    </x:row>
    <x:row r="18">
      <x:c r="A18" s="90" t="str">
        <x:v>Unexplained rows</x:v>
      </x:c>
      <x:c r="B18" s="91" t="n">
        <x:f>B5-B17</x:f>
        <x:v>0</x:v>
      </x:c>
      <x:c r="C18" s="91" t="n">
        <x:v>0</x:v>
      </x:c>
      <x:c r="D18" s="91" t="str">
        <x:f>IF(COUNT(C18)=0,"INFO",IF(B18=C18,"PASS","CHECK"))</x:f>
        <x:v>PASS</x:v>
      </x:c>
    </x:row>
    <x:row r="19">
      <x:c r="A19" s="88"/>
      <x:c r="B19" s="88"/>
      <x:c r="C19" s="88"/>
      <x:c r="D19" s="88"/>
    </x:row>
    <x:row r="20">
      <x:c r="A20" s="86" t="str">
        <x:v>Interpretation rule: Ngram frequency, dictionary evidence, and bounded-search result counts are separate evidence dimensions. They must never be summed or treated as a single scale.</x:v>
      </x:c>
      <x:c r="B20" s="86" t="str">
        <x:v>Interpretation rule: Ngram frequency, dictionary evidence, and bounded-search result counts are separate evidence dimensions. They must never be summed or treated as a single scale.</x:v>
      </x:c>
      <x:c r="C20" s="86" t="str">
        <x:v>Interpretation rule: Ngram frequency, dictionary evidence, and bounded-search result counts are separate evidence dimensions. They must never be summed or treated as a single scale.</x:v>
      </x:c>
      <x:c r="D20" s="86" t="str">
        <x:v>Interpretation rule: Ngram frequency, dictionary evidence, and bounded-search result counts are separate evidence dimensions. They must never be summed or treated as a single scale.</x:v>
      </x:c>
    </x:row>
    <x:row r="21">
      <x:c r="A21" s="86" t="str">
        <x:v>Interpretation rule: Ngram frequency, dictionary evidence, and bounded-search result counts are separate evidence dimensions. They must never be summed or treated as a single scale.</x:v>
      </x:c>
      <x:c r="B21" s="86" t="str">
        <x:v>Interpretation rule: Ngram frequency, dictionary evidence, and bounded-search result counts are separate evidence dimensions. They must never be summed or treated as a single scale.</x:v>
      </x:c>
      <x:c r="C21" s="86" t="str">
        <x:v>Interpretation rule: Ngram frequency, dictionary evidence, and bounded-search result counts are separate evidence dimensions. They must never be summed or treated as a single scale.</x:v>
      </x:c>
      <x:c r="D21" s="86" t="str">
        <x:v>Interpretation rule: Ngram frequency, dictionary evidence, and bounded-search result counts are separate evidence dimensions. They must never be summed or treated as a single scale.</x:v>
      </x:c>
    </x:row>
    <x:row r="22">
      <x:c r="A22" s="86" t="str">
        <x:v>Interpretation rule: Ngram frequency, dictionary evidence, and bounded-search result counts are separate evidence dimensions. They must never be summed or treated as a single scale.</x:v>
      </x:c>
      <x:c r="B22" s="86" t="str">
        <x:v>Interpretation rule: Ngram frequency, dictionary evidence, and bounded-search result counts are separate evidence dimensions. They must never be summed or treated as a single scale.</x:v>
      </x:c>
      <x:c r="C22" s="86" t="str">
        <x:v>Interpretation rule: Ngram frequency, dictionary evidence, and bounded-search result counts are separate evidence dimensions. They must never be summed or treated as a single scale.</x:v>
      </x:c>
      <x:c r="D22" s="86" t="str">
        <x:v>Interpretation rule: Ngram frequency, dictionary evidence, and bounded-search result counts are separate evidence dimensions. They must never be summed or treated as a single scale.</x:v>
      </x:c>
    </x:row>
  </x:sheetData>
  <x:mergeCells>
    <x:mergeCell ref="A1:D1"/>
    <x:mergeCell ref="A2:D2"/>
    <x:mergeCell ref="A20:D2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5" hidden="0" customWidth="1"/>
    <x:col min="3" max="3" width="25" hidden="0" customWidth="1"/>
    <x:col min="4" max="4" width="28" hidden="0" customWidth="1"/>
    <x:col min="5" max="5" width="28" hidden="0" customWidth="1"/>
    <x:col min="6" max="6" width="15" hidden="0" customWidth="1"/>
  </x:cols>
  <x:sheetData>
    <x:row r="1" ht="38" customHeight="1">
      <x:c r="A1" s="12" t="str">
        <x:v>candidate_id</x:v>
      </x:c>
      <x:c r="B1" s="12" t="str">
        <x:v>anchor</x:v>
      </x:c>
      <x:c r="C1" s="12" t="str">
        <x:v>surface_form</x:v>
      </x:c>
      <x:c r="D1" s="12" t="str">
        <x:v>exception_type</x:v>
      </x:c>
      <x:c r="E1" s="12" t="str">
        <x:v>status</x:v>
      </x:c>
      <x:c r="F1" s="12" t="str">
        <x:v>detail</x:v>
      </x:c>
    </x:row>
    <x:row r="2" ht="19" customHeight="1">
      <x:c r="A2" s="16" t="str">
        <x:v>FT-SEED-R1B-P-1842-06</x:v>
      </x:c>
      <x:c r="B2" s="18" t="str">
        <x:v>1842</x:v>
      </x:c>
      <x:c r="C2" s="17" t="str">
        <x:v>mean temperature of sea at surface</x:v>
      </x:c>
      <x:c r="D2" s="17" t="str">
        <x:v>NGRAM_EMPTY_RESPONSE</x:v>
      </x:c>
      <x:c r="E2" s="17" t="str">
        <x:v>ZERO_RESPONSE_REUSED_BASELINE</x:v>
      </x:c>
      <x:c r="F2" s="48" t="str">
        <x:v>Ngram returned no series for this exact measurement; this source-specific zero response is retained and bounded search remains completed.</x:v>
      </x:c>
    </x:row>
    <x:row r="3" ht="19" customHeight="1">
      <x:c r="A3" s="20" t="str">
        <x:v>FT-SEED-R1B-P-1842-15</x:v>
      </x:c>
      <x:c r="B3" s="22" t="str">
        <x:v>1842</x:v>
      </x:c>
      <x:c r="C3" s="21" t="str">
        <x:v>climate</x:v>
      </x:c>
      <x:c r="D3" s="21" t="str">
        <x:v>HISTORICAL_SENSE</x:v>
      </x:c>
      <x:c r="E3" s="21" t="str">
        <x:v>PARTIAL</x:v>
      </x:c>
      <x:c r="F3" s="49" t="str">
        <x:v>A regional or prevailing atmospheric condition understood through meteorological observation, not the modern issue label 'climate change'.</x:v>
      </x:c>
    </x:row>
    <x:row r="4" ht="19" customHeight="1">
      <x:c r="A4" s="20" t="str">
        <x:v>FT-SEED-R1B-P-1842-16</x:v>
      </x:c>
      <x:c r="B4" s="22" t="str">
        <x:v>1842</x:v>
      </x:c>
      <x:c r="C4" s="21" t="str">
        <x:v>sun's heat</x:v>
      </x:c>
      <x:c r="D4" s="21" t="str">
        <x:v>NGRAM_EMPTY_RESPONSE</x:v>
      </x:c>
      <x:c r="E4" s="21" t="str">
        <x:v>ZERO_RESPONSE_REUSED_BASELINE</x:v>
      </x:c>
      <x:c r="F4" s="49" t="str">
        <x:v>Ngram returned no series for this exact measurement; this source-specific zero response is retained and bounded search remains completed.</x:v>
      </x:c>
    </x:row>
    <x:row r="5" ht="19" customHeight="1">
      <x:c r="A5" s="20" t="str">
        <x:v>FT-SEED-R1B-P-1842-25</x:v>
      </x:c>
      <x:c r="B5" s="22" t="str">
        <x:v>1842</x:v>
      </x:c>
      <x:c r="C5" s="21" t="str">
        <x:v>depressing effect</x:v>
      </x:c>
      <x:c r="D5" s="21" t="str">
        <x:v>HISTORICAL_SENSE</x:v>
      </x:c>
      <x:c r="E5" s="21" t="str">
        <x:v>DIFFERENT</x:v>
      </x:c>
      <x:c r="F5" s="49" t="str">
        <x:v>A bodily or energetic lowering effect associated with oppressive heat; affect-adjacent but not a modern clinical-depression diagnosis.</x:v>
      </x:c>
    </x:row>
    <x:row r="6" ht="19" customHeight="1">
      <x:c r="A6" s="20" t="str">
        <x:v>FT-SEED-R1B-P-1842-27</x:v>
      </x:c>
      <x:c r="B6" s="22" t="str">
        <x:v>1842</x:v>
      </x:c>
      <x:c r="C6" s="21" t="str">
        <x:v>premature heat of the weather</x:v>
      </x:c>
      <x:c r="D6" s="21" t="str">
        <x:v>NGRAM_EMPTY_RESPONSE</x:v>
      </x:c>
      <x:c r="E6" s="21" t="str">
        <x:v>ZERO_RESPONSE_NEW</x:v>
      </x:c>
      <x:c r="F6" s="49" t="str">
        <x:v>Ngram returned no series for this exact measurement; this source-specific zero response is retained and bounded search remains completed.</x:v>
      </x:c>
    </x:row>
    <x:row r="7" ht="19" customHeight="1">
      <x:c r="A7" s="20" t="str">
        <x:v>FT-SEED-R1B-P-1842-28</x:v>
      </x:c>
      <x:c r="B7" s="22" t="str">
        <x:v>1842</x:v>
      </x:c>
      <x:c r="C7" s="21" t="str">
        <x:v>suffered more from cold than from heat</x:v>
      </x:c>
      <x:c r="D7" s="21" t="str">
        <x:v>NGRAM_EMPTY_RESPONSE</x:v>
      </x:c>
      <x:c r="E7" s="21" t="str">
        <x:v>ZERO_RESPONSE_NEW</x:v>
      </x:c>
      <x:c r="F7" s="49" t="str">
        <x:v>Ngram returned no series for this exact measurement; this source-specific zero response is retained and bounded search remains completed.</x:v>
      </x:c>
    </x:row>
    <x:row r="8" ht="19" customHeight="1">
      <x:c r="A8" s="20" t="str">
        <x:v>FT-SEED-R1B-P-1938-16</x:v>
      </x:c>
      <x:c r="B8" s="22" t="str">
        <x:v>1938</x:v>
      </x:c>
      <x:c r="C8" s="21" t="str">
        <x:v>small increases in mean temperature</x:v>
      </x:c>
      <x:c r="D8" s="21" t="str">
        <x:v>NGRAM_EMPTY_RESPONSE</x:v>
      </x:c>
      <x:c r="E8" s="21" t="str">
        <x:v>ZERO_RESPONSE_REUSED_BASELINE</x:v>
      </x:c>
      <x:c r="F8" s="49" t="str">
        <x:v>Ngram returned no series for this exact measurement; this source-specific zero response is retained and bounded search remains completed.</x:v>
      </x:c>
    </x:row>
    <x:row r="9" ht="19" customHeight="1">
      <x:c r="A9" s="20" t="str">
        <x:v>FT-SEED-R1B-P-1938-19</x:v>
      </x:c>
      <x:c r="B9" s="22" t="str">
        <x:v>1938</x:v>
      </x:c>
      <x:c r="C9" s="21" t="str">
        <x:v>Hottest Day for Ten Years</x:v>
      </x:c>
      <x:c r="D9" s="21" t="str">
        <x:v>NGRAM_EMPTY_RESPONSE</x:v>
      </x:c>
      <x:c r="E9" s="21" t="str">
        <x:v>ZERO_RESPONSE_REUSED_BASELINE</x:v>
      </x:c>
      <x:c r="F9" s="49" t="str">
        <x:v>Ngram returned no series for this exact measurement; this source-specific zero response is retained and bounded search remains completed.</x:v>
      </x:c>
    </x:row>
    <x:row r="10" ht="19" customHeight="1">
      <x:c r="A10" s="20" t="str">
        <x:v>FT-SEED-R1B-P-1938-20</x:v>
      </x:c>
      <x:c r="B10" s="22" t="str">
        <x:v>1938</x:v>
      </x:c>
      <x:c r="C10" s="21" t="str">
        <x:v>Heat Wave Over Queensland</x:v>
      </x:c>
      <x:c r="D10" s="21" t="str">
        <x:v>NGRAM_EMPTY_RESPONSE</x:v>
      </x:c>
      <x:c r="E10" s="21" t="str">
        <x:v>ZERO_RESPONSE_REUSED_BASELINE</x:v>
      </x:c>
      <x:c r="F10" s="49" t="str">
        <x:v>Ngram returned no series for this exact measurement; this source-specific zero response is retained and bounded search remains completed.</x:v>
      </x:c>
    </x:row>
    <x:row r="11" ht="19" customHeight="1">
      <x:c r="A11" s="20" t="str">
        <x:v>FT-SEED-R1B-P-1938-22</x:v>
      </x:c>
      <x:c r="B11" s="22" t="str">
        <x:v>1938</x:v>
      </x:c>
      <x:c r="C11" s="21" t="str">
        <x:v>40-degree temperatures</x:v>
      </x:c>
      <x:c r="D11" s="21" t="str">
        <x:v>NGRAM_MAPPING</x:v>
      </x:c>
      <x:c r="E11" s="21" t="str">
        <x:v>NORMALIZED_VARIANT</x:v>
      </x:c>
      <x:c r="F11" s="49" t="str">
        <x:v>Hyphenation is normalized; lexical content and temperature sense are unchanged. New unsmoothed 1842–2022 series retrieved for the candidate audit.</x:v>
      </x:c>
    </x:row>
    <x:row r="12" ht="19" customHeight="1">
      <x:c r="A12" s="20" t="str">
        <x:v>FT-SEED-R1B-P-1938-23</x:v>
      </x:c>
      <x:c r="B12" s="22" t="str">
        <x:v>1938</x:v>
      </x:c>
      <x:c r="C12" s="21" t="str">
        <x:v>scorching westerly wind</x:v>
      </x:c>
      <x:c r="D12" s="21" t="str">
        <x:v>NGRAM_EMPTY_RESPONSE</x:v>
      </x:c>
      <x:c r="E12" s="21" t="str">
        <x:v>ZERO_RESPONSE_NEW</x:v>
      </x:c>
      <x:c r="F12" s="49" t="str">
        <x:v>Ngram returned no series for this exact measurement; this source-specific zero response is retained and bounded search remains completed.</x:v>
      </x:c>
    </x:row>
    <x:row r="13" ht="19" customHeight="1">
      <x:c r="A13" s="20" t="str">
        <x:v>FT-SEED-R1B-P-1938-25</x:v>
      </x:c>
      <x:c r="B13" s="22" t="str">
        <x:v>1938</x:v>
      </x:c>
      <x:c r="C13" s="21" t="str">
        <x:v>hottest spell for years</x:v>
      </x:c>
      <x:c r="D13" s="21" t="str">
        <x:v>NGRAM_EMPTY_RESPONSE</x:v>
      </x:c>
      <x:c r="E13" s="21" t="str">
        <x:v>ZERO_RESPONSE_NEW</x:v>
      </x:c>
      <x:c r="F13" s="49" t="str">
        <x:v>Ngram returned no series for this exact measurement; this source-specific zero response is retained and bounded search remains completed.</x:v>
      </x:c>
    </x:row>
    <x:row r="14" ht="19" customHeight="1">
      <x:c r="A14" s="20" t="str">
        <x:v>FT-SEED-R1B-P-1938-26</x:v>
      </x:c>
      <x:c r="B14" s="22" t="str">
        <x:v>1938</x:v>
      </x:c>
      <x:c r="C14" s="21" t="str">
        <x:v>weather is just bearable</x:v>
      </x:c>
      <x:c r="D14" s="21" t="str">
        <x:v>NGRAM_EMPTY_RESPONSE</x:v>
      </x:c>
      <x:c r="E14" s="21" t="str">
        <x:v>ZERO_RESPONSE_NEW</x:v>
      </x:c>
      <x:c r="F14" s="49" t="str">
        <x:v>Ngram returned no series for this exact measurement; this source-specific zero response is retained and bounded search remains completed.</x:v>
      </x:c>
    </x:row>
    <x:row r="15" ht="19" customHeight="1">
      <x:c r="A15" s="20" t="str">
        <x:v>FT-SEED-R1B-P-1988-10</x:v>
      </x:c>
      <x:c r="B15" s="22" t="str">
        <x:v>1988</x:v>
      </x:c>
      <x:c r="C15" s="21" t="str">
        <x:v>heat wave/drought occurrences</x:v>
      </x:c>
      <x:c r="D15" s="21" t="str">
        <x:v>NGRAM_MAPPING</x:v>
      </x:c>
      <x:c r="E15" s="21" t="str">
        <x:v>TECHNICALLY_UNREPRESENTABLE</x:v>
      </x:c>
      <x:c r="F15" s="49" t="str">
        <x:v>The slash coordinates two lexical objects; one linear Ngram would change the candidate's structure and sense.</x:v>
      </x:c>
    </x:row>
    <x:row r="16" ht="19" customHeight="1">
      <x:c r="A16" s="20" t="str">
        <x:v>FT-SEED-R1B-P-1988-18</x:v>
      </x:c>
      <x:c r="B16" s="22" t="str">
        <x:v>1988</x:v>
      </x:c>
      <x:c r="C16" s="21" t="str">
        <x:v>changed climatic extremes</x:v>
      </x:c>
      <x:c r="D16" s="21" t="str">
        <x:v>NGRAM_EMPTY_RESPONSE</x:v>
      </x:c>
      <x:c r="E16" s="21" t="str">
        <x:v>ZERO_RESPONSE_REUSED_BASELINE</x:v>
      </x:c>
      <x:c r="F16" s="49" t="str">
        <x:v>Ngram returned no series for this exact measurement; this source-specific zero response is retained and bounded search remains completed.</x:v>
      </x:c>
    </x:row>
    <x:row r="17" ht="19" customHeight="1">
      <x:c r="A17" s="20" t="str">
        <x:v>FT-SEED-R1B-P-1988-30</x:v>
      </x:c>
      <x:c r="B17" s="22" t="str">
        <x:v>1988</x:v>
      </x:c>
      <x:c r="C17" s="21" t="str">
        <x:v>too much carbon dioxide is dangerous</x:v>
      </x:c>
      <x:c r="D17" s="21" t="str">
        <x:v>NGRAM_EMPTY_RESPONSE</x:v>
      </x:c>
      <x:c r="E17" s="21" t="str">
        <x:v>ZERO_RESPONSE_NEW</x:v>
      </x:c>
      <x:c r="F17" s="49" t="str">
        <x:v>Ngram returned no series for this exact measurement; this source-specific zero response is retained and bounded search remains completed.</x:v>
      </x:c>
    </x:row>
    <x:row r="18" ht="19" customHeight="1">
      <x:c r="A18" s="20" t="str">
        <x:v>FT-SEED-R1B-P-0607-08</x:v>
      </x:c>
      <x:c r="B18" s="22" t="str">
        <x:v>2006–2007</x:v>
      </x:c>
      <x:c r="C18" s="21" t="str">
        <x:v>anthropogenic CO₂</x:v>
      </x:c>
      <x:c r="D18" s="21" t="str">
        <x:v>NGRAM_MAPPING</x:v>
      </x:c>
      <x:c r="E18" s="21" t="str">
        <x:v>VALIDATED_ALIAS</x:v>
      </x:c>
      <x:c r="F18" s="49" t="str">
        <x:v>CO₂ is expanded to its standard full lexical form; referent and historical sense are unchanged. New unsmoothed 1842–2022 series retrieved for the candidate audit.</x:v>
      </x:c>
    </x:row>
    <x:row r="19" ht="19" customHeight="1">
      <x:c r="A19" s="20" t="str">
        <x:v>FT-SEED-R1B-P-0607-21</x:v>
      </x:c>
      <x:c r="B19" s="22" t="str">
        <x:v>2006–2007</x:v>
      </x:c>
      <x:c r="C19" s="21" t="str">
        <x:v>Be Worried. Be Very Worried.</x:v>
      </x:c>
      <x:c r="D19" s="21" t="str">
        <x:v>NGRAM_MAPPING</x:v>
      </x:c>
      <x:c r="E19" s="21" t="str">
        <x:v>NORMALIZED_VARIANT</x:v>
      </x:c>
      <x:c r="F19" s="49" t="str">
        <x:v>Sentence punctuation and capitalization are removed while the complete wording is preserved. The public Ngram endpoint returned an empty list; retained without fabricating annual zero frequencies.</x:v>
      </x:c>
    </x:row>
    <x:row r="20" ht="19" customHeight="1">
      <x:c r="A20" s="20" t="str">
        <x:v>FT-SEED-R1B-P-0607-21</x:v>
      </x:c>
      <x:c r="B20" s="22" t="str">
        <x:v>2006–2007</x:v>
      </x:c>
      <x:c r="C20" s="21" t="str">
        <x:v>Be Worried. Be Very Worried.</x:v>
      </x:c>
      <x:c r="D20" s="21" t="str">
        <x:v>NGRAM_EMPTY_RESPONSE</x:v>
      </x:c>
      <x:c r="E20" s="21" t="str">
        <x:v>ZERO_RESPONSE_NEW</x:v>
      </x:c>
      <x:c r="F20" s="49" t="str">
        <x:v>Ngram returned no series for this exact measurement; this source-specific zero response is retained and bounded search remains completed.</x:v>
      </x:c>
    </x:row>
    <x:row r="21" ht="19" customHeight="1">
      <x:c r="A21" s="20" t="str">
        <x:v>FT-SEED-R1B-P-0607-30</x:v>
      </x:c>
      <x:c r="B21" s="22" t="str">
        <x:v>2006–2007</x:v>
      </x:c>
      <x:c r="C21" s="21" t="str">
        <x:v>threatens serious negative effects</x:v>
      </x:c>
      <x:c r="D21" s="21" t="str">
        <x:v>NGRAM_EMPTY_RESPONSE</x:v>
      </x:c>
      <x:c r="E21" s="21" t="str">
        <x:v>ZERO_RESPONSE_NEW</x:v>
      </x:c>
      <x:c r="F21" s="49" t="str">
        <x:v>Ngram returned no series for this exact measurement; this source-specific zero response is retained and bounded search remains completed.</x:v>
      </x:c>
    </x:row>
    <x:row r="22" ht="19" customHeight="1">
      <x:c r="A22" s="20" t="str">
        <x:v>FT-SEED-R1B-P-2015-04</x:v>
      </x:c>
      <x:c r="B22" s="22" t="str">
        <x:v>2015</x:v>
      </x:c>
      <x:c r="C22" s="21" t="str">
        <x:v>well below 2°C above pre-industrial levels</x:v>
      </x:c>
      <x:c r="D22" s="21" t="str">
        <x:v>NGRAM_MAPPING</x:v>
      </x:c>
      <x:c r="E22" s="21" t="str">
        <x:v>VALIDATED_ALIAS</x:v>
      </x:c>
      <x:c r="F22" s="49" t="str">
        <x:v>The symbolic temperature is verbalized for the Ngram interface without changing the treaty threshold relation. The public Ngram endpoint returned an empty list; retained without fabricating annual zero frequencies.</x:v>
      </x:c>
    </x:row>
    <x:row r="23" ht="19" customHeight="1">
      <x:c r="A23" s="20" t="str">
        <x:v>FT-SEED-R1B-P-2015-04</x:v>
      </x:c>
      <x:c r="B23" s="22" t="str">
        <x:v>2015</x:v>
      </x:c>
      <x:c r="C23" s="21" t="str">
        <x:v>well below 2°C above pre-industrial levels</x:v>
      </x:c>
      <x:c r="D23" s="21" t="str">
        <x:v>NGRAM_EMPTY_RESPONSE</x:v>
      </x:c>
      <x:c r="E23" s="21" t="str">
        <x:v>ZERO_RESPONSE_NEW</x:v>
      </x:c>
      <x:c r="F23" s="49" t="str">
        <x:v>Ngram returned no series for this exact measurement; this source-specific zero response is retained and bounded search remains completed.</x:v>
      </x:c>
    </x:row>
    <x:row r="24" ht="19" customHeight="1">
      <x:c r="A24" s="20" t="str">
        <x:v>FT-SEED-R1B-P-2015-05</x:v>
      </x:c>
      <x:c r="B24" s="22" t="str">
        <x:v>2015</x:v>
      </x:c>
      <x:c r="C24" s="21" t="str">
        <x:v>1.5°C above pre-industrial levels</x:v>
      </x:c>
      <x:c r="D24" s="21" t="str">
        <x:v>NGRAM_MAPPING</x:v>
      </x:c>
      <x:c r="E24" s="21" t="str">
        <x:v>VALIDATED_ALIAS</x:v>
      </x:c>
      <x:c r="F24" s="49" t="str">
        <x:v>The decimal degree notation is verbalized for the Ngram interface without changing the treaty threshold relation. The public Ngram endpoint returned an empty list; retained without fabricating annual zero frequencies.</x:v>
      </x:c>
    </x:row>
    <x:row r="25" ht="19" customHeight="1">
      <x:c r="A25" s="20" t="str">
        <x:v>FT-SEED-R1B-P-2015-05</x:v>
      </x:c>
      <x:c r="B25" s="22" t="str">
        <x:v>2015</x:v>
      </x:c>
      <x:c r="C25" s="21" t="str">
        <x:v>1.5°C above pre-industrial levels</x:v>
      </x:c>
      <x:c r="D25" s="21" t="str">
        <x:v>NGRAM_EMPTY_RESPONSE</x:v>
      </x:c>
      <x:c r="E25" s="21" t="str">
        <x:v>ZERO_RESPONSE_NEW</x:v>
      </x:c>
      <x:c r="F25" s="49" t="str">
        <x:v>Ngram returned no series for this exact measurement; this source-specific zero response is retained and bounded search remains completed.</x:v>
      </x:c>
    </x:row>
    <x:row r="26" ht="19" customHeight="1">
      <x:c r="A26" s="20" t="str">
        <x:v>FT-SEED-R1B-P-2015-23</x:v>
      </x:c>
      <x:c r="B26" s="22" t="str">
        <x:v>2015</x:v>
      </x:c>
      <x:c r="C26" s="21" t="str">
        <x:v>common concern of humankind</x:v>
      </x:c>
      <x:c r="D26" s="21" t="str">
        <x:v>HISTORICAL_SENSE</x:v>
      </x:c>
      <x:c r="E26" s="21" t="str">
        <x:v>DIFFERENT</x:v>
      </x:c>
      <x:c r="F26" s="49" t="str">
        <x:v>A legal formula assigning shared international importance to climate change, not a report of an individual's emotional concern.</x:v>
      </x:c>
    </x:row>
    <x:row r="27" ht="19" customHeight="1">
      <x:c r="A27" s="20" t="str">
        <x:v>FT-SEED-R1B-P-2015-30</x:v>
      </x:c>
      <x:c r="B27" s="22" t="str">
        <x:v>2015</x:v>
      </x:c>
      <x:c r="C27" s="21" t="str">
        <x:v>We are nature defending itself</x:v>
      </x:c>
      <x:c r="D27" s="21" t="str">
        <x:v>NGRAM_EMPTY_RESPONSE</x:v>
      </x:c>
      <x:c r="E27" s="21" t="str">
        <x:v>ZERO_RESPONSE_NEW</x:v>
      </x:c>
      <x:c r="F27" s="49" t="str">
        <x:v>Ngram returned no series for this exact measurement; this source-specific zero response is retained and bounded search remains completed.</x:v>
      </x:c>
    </x:row>
    <x:row r="28" ht="19" customHeight="1">
      <x:c r="A28" s="20" t="str">
        <x:v>FT-SEED-R1B-P-2022-16</x:v>
      </x:c>
      <x:c r="B28" s="22" t="str">
        <x:v>2022</x:v>
      </x:c>
      <x:c r="C28" s="21" t="str">
        <x:v>climate anxiety</x:v>
      </x:c>
      <x:c r="D28" s="21" t="str">
        <x:v>HISTORICAL_SENSE</x:v>
      </x:c>
      <x:c r="E28" s="21" t="str">
        <x:v>PARTIAL</x:v>
      </x:c>
      <x:c r="F28" s="49" t="str">
        <x:v>A 2022 research construct for anxiety or distress related to climate change; lay self-labelling requires independent source evidence.</x:v>
      </x:c>
    </x:row>
    <x:row r="29" ht="19" customHeight="1">
      <x:c r="A29" s="20" t="str">
        <x:v>PROVIDER</x:v>
      </x:c>
      <x:c r="B29" s="22" t="str">
        <x:v>ALL</x:v>
      </x:c>
      <x:c r="C29" s="21" t="str">
        <x:v>Google Books API</x:v>
      </x:c>
      <x:c r="D29" s="21" t="str">
        <x:v>SEARCH_PROVIDER</x:v>
      </x:c>
      <x:c r="E29" s="21" t="str">
        <x:v>QUOTA_0</x:v>
      </x:c>
      <x:c r="F29" s="49" t="str">
        <x:v>No volume-search totalItems counts claimed; Ngram is a separate service.</x:v>
      </x:c>
    </x:row>
    <x:row r="30" ht="19" customHeight="1">
      <x:c r="A30" s="24" t="str">
        <x:v>PROVIDER</x:v>
      </x:c>
      <x:c r="B30" s="26" t="str">
        <x:v>ALL</x:v>
      </x:c>
      <x:c r="C30" s="25" t="str">
        <x:v>OpenAlex</x:v>
      </x:c>
      <x:c r="D30" s="25" t="str">
        <x:v>SEARCH_PROVIDER</x:v>
      </x:c>
      <x:c r="E30" s="25" t="str">
        <x:v>PARTIAL_100_REQUESTS</x:v>
      </x:c>
      <x:c r="F30" s="50" t="str">
        <x:v>Anonymous daily budget exhausted; 36 candidate all-period rows completed.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8" hidden="0" customWidth="1"/>
    <x:col min="3" max="3" width="2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180" t="str">
        <x:v>Fear of Temperature — Full Priority 180 Coverage</x:v>
      </x:c>
      <x:c r="B1" s="180" t="str">
        <x:v>Fear of Temperature — Full Priority 180 Coverage</x:v>
      </x:c>
      <x:c r="C1" s="180" t="str">
        <x:v>Fear of Temperature — Full Priority 180 Coverage</x:v>
      </x:c>
      <x:c r="D1" s="180" t="str">
        <x:v>Fear of Temperature — Full Priority 180 Coverage</x:v>
      </x:c>
      <x:c r="E1" s="180" t="str">
        <x:v>Fear of Temperature — Full Priority 180 Coverage</x:v>
      </x:c>
      <x:c r="F1" s="180" t="str">
        <x:v>Fear of Temperature — Full Priority 180 Coverage</x:v>
      </x:c>
      <x:c r="G1" s="180" t="str">
        <x:v>Fear of Temperature — Full Priority 180 Coverage</x:v>
      </x:c>
      <x:c r="H1" s="180" t="str">
        <x:v>Fear of Temperature — Full Priority 180 Coverage</x:v>
      </x:c>
    </x:row>
    <x:row r="2">
      <x:c r="A2" s="181" t="str">
        <x:v>Provisional candidate-level audit · Ngram + lexicography + bounded discovery statistics</x:v>
      </x:c>
      <x:c r="B2" s="181" t="str">
        <x:v>Provisional candidate-level audit · Ngram + lexicography + bounded discovery statistics</x:v>
      </x:c>
      <x:c r="C2" s="181" t="str">
        <x:v>Provisional candidate-level audit · Ngram + lexicography + bounded discovery statistics</x:v>
      </x:c>
      <x:c r="D2" s="181" t="str">
        <x:v>Provisional candidate-level audit · Ngram + lexicography + bounded discovery statistics</x:v>
      </x:c>
      <x:c r="E2" s="181" t="str">
        <x:v>Provisional candidate-level audit · Ngram + lexicography + bounded discovery statistics</x:v>
      </x:c>
      <x:c r="F2" s="181" t="str">
        <x:v>Provisional candidate-level audit · Ngram + lexicography + bounded discovery statistics</x:v>
      </x:c>
      <x:c r="G2" s="181" t="str">
        <x:v>Provisional candidate-level audit · Ngram + lexicography + bounded discovery statistics</x:v>
      </x:c>
      <x:c r="H2" s="181" t="str">
        <x:v>Provisional candidate-level audit · Ngram + lexicography + bounded discovery statistics</x:v>
      </x:c>
    </x:row>
    <x:row r="3">
      <x:c r="A3" s="182"/>
      <x:c r="B3" s="182"/>
      <x:c r="C3" s="182"/>
      <x:c r="D3" s="182"/>
      <x:c r="E3" s="182"/>
      <x:c r="F3" s="182"/>
      <x:c r="G3" s="182"/>
      <x:c r="H3" s="182"/>
    </x:row>
    <x:row r="4">
      <x:c r="A4" s="183" t="str">
        <x:v>Coverage gate</x:v>
      </x:c>
      <x:c r="B4" s="183" t="str">
        <x:v>Formula-linked value</x:v>
      </x:c>
      <x:c r="C4" s="182"/>
      <x:c r="D4" s="184" t="str">
        <x:v>What is complete</x:v>
      </x:c>
      <x:c r="E4" s="184" t="str">
        <x:v>What is complete</x:v>
      </x:c>
      <x:c r="F4" s="184" t="str">
        <x:v>What is complete</x:v>
      </x:c>
      <x:c r="G4" s="184" t="str">
        <x:v>What is complete</x:v>
      </x:c>
      <x:c r="H4" s="184" t="str">
        <x:v>What is complete</x:v>
      </x:c>
    </x:row>
    <x:row r="5">
      <x:c r="A5" s="185" t="str">
        <x:v>Priority candidates</x:v>
      </x:c>
      <x:c r="B5" s="186" t="n">
        <x:f>Coverage_Audit!B5</x:f>
        <x:v>180</x:v>
      </x:c>
      <x:c r="C5" s="182"/>
      <x:c r="D5" s="157" t="str">
        <x:v>180/180 candidate records have an explicit Ngram strategy, lexicographic treatment, and completed Internet Archive primary search. Repeated forms retain candidate-level anchor statistics. Empty responses, zero search results, no-headword phrases, and historical-sense differences remain visible.</x:v>
      </x:c>
      <x:c r="E5" s="157" t="str">
        <x:v>180/180 candidate records have an explicit Ngram strategy, lexicographic treatment, and completed Internet Archive primary search. Repeated forms retain candidate-level anchor statistics. Empty responses, zero search results, no-headword phrases, and historical-sense differences remain visible.</x:v>
      </x:c>
      <x:c r="F5" s="157" t="str">
        <x:v>180/180 candidate records have an explicit Ngram strategy, lexicographic treatment, and completed Internet Archive primary search. Repeated forms retain candidate-level anchor statistics. Empty responses, zero search results, no-headword phrases, and historical-sense differences remain visible.</x:v>
      </x:c>
      <x:c r="G5" s="157" t="str">
        <x:v>180/180 candidate records have an explicit Ngram strategy, lexicographic treatment, and completed Internet Archive primary search. Repeated forms retain candidate-level anchor statistics. Empty responses, zero search results, no-headword phrases, and historical-sense differences remain visible.</x:v>
      </x:c>
      <x:c r="H5" s="157" t="str">
        <x:v>180/180 candidate records have an explicit Ngram strategy, lexicographic treatment, and completed Internet Archive primary search. Repeated forms retain candidate-level anchor statistics. Empty responses, zero search results, no-headword phrases, and historical-sense differences remain visible.</x:v>
      </x:c>
    </x:row>
    <x:row r="6">
      <x:c r="A6" s="185" t="str">
        <x:v>Priority accounted</x:v>
      </x:c>
      <x:c r="B6" s="186" t="n">
        <x:f>Coverage_Audit!B17</x:f>
        <x:v>180</x:v>
      </x:c>
      <x:c r="C6" s="182"/>
      <x:c r="D6" s="157" t="str">
        <x:v>180/180 candidate records have an explicit Ngram strategy, lexicographic treatment, and completed Internet Archive primary search. Repeated forms retain candidate-level anchor statistics. Empty responses, zero search results, no-headword phrases, and historical-sense differences remain visible.</x:v>
      </x:c>
      <x:c r="E6" s="157" t="str">
        <x:v>180/180 candidate records have an explicit Ngram strategy, lexicographic treatment, and completed Internet Archive primary search. Repeated forms retain candidate-level anchor statistics. Empty responses, zero search results, no-headword phrases, and historical-sense differences remain visible.</x:v>
      </x:c>
      <x:c r="F6" s="157" t="str">
        <x:v>180/180 candidate records have an explicit Ngram strategy, lexicographic treatment, and completed Internet Archive primary search. Repeated forms retain candidate-level anchor statistics. Empty responses, zero search results, no-headword phrases, and historical-sense differences remain visible.</x:v>
      </x:c>
      <x:c r="G6" s="157" t="str">
        <x:v>180/180 candidate records have an explicit Ngram strategy, lexicographic treatment, and completed Internet Archive primary search. Repeated forms retain candidate-level anchor statistics. Empty responses, zero search results, no-headword phrases, and historical-sense differences remain visible.</x:v>
      </x:c>
      <x:c r="H6" s="157" t="str">
        <x:v>180/180 candidate records have an explicit Ngram strategy, lexicographic treatment, and completed Internet Archive primary search. Repeated forms retain candidate-level anchor statistics. Empty responses, zero search results, no-headword phrases, and historical-sense differences remain visible.</x:v>
      </x:c>
    </x:row>
    <x:row r="7">
      <x:c r="A7" s="185" t="str">
        <x:v>Ngram unexplained</x:v>
      </x:c>
      <x:c r="B7" s="186" t="n">
        <x:f>Coverage_Audit!B5-SUM(Coverage_Audit!B6:B9)</x:f>
        <x:v>0</x:v>
      </x:c>
      <x:c r="C7" s="182"/>
      <x:c r="D7" s="157" t="str">
        <x:v>180/180 candidate records have an explicit Ngram strategy, lexicographic treatment, and completed Internet Archive primary search. Repeated forms retain candidate-level anchor statistics. Empty responses, zero search results, no-headword phrases, and historical-sense differences remain visible.</x:v>
      </x:c>
      <x:c r="E7" s="157" t="str">
        <x:v>180/180 candidate records have an explicit Ngram strategy, lexicographic treatment, and completed Internet Archive primary search. Repeated forms retain candidate-level anchor statistics. Empty responses, zero search results, no-headword phrases, and historical-sense differences remain visible.</x:v>
      </x:c>
      <x:c r="F7" s="157" t="str">
        <x:v>180/180 candidate records have an explicit Ngram strategy, lexicographic treatment, and completed Internet Archive primary search. Repeated forms retain candidate-level anchor statistics. Empty responses, zero search results, no-headword phrases, and historical-sense differences remain visible.</x:v>
      </x:c>
      <x:c r="G7" s="157" t="str">
        <x:v>180/180 candidate records have an explicit Ngram strategy, lexicographic treatment, and completed Internet Archive primary search. Repeated forms retain candidate-level anchor statistics. Empty responses, zero search results, no-headword phrases, and historical-sense differences remain visible.</x:v>
      </x:c>
      <x:c r="H7" s="157" t="str">
        <x:v>180/180 candidate records have an explicit Ngram strategy, lexicographic treatment, and completed Internet Archive primary search. Repeated forms retain candidate-level anchor statistics. Empty responses, zero search results, no-headword phrases, and historical-sense differences remain visible.</x:v>
      </x:c>
    </x:row>
    <x:row r="8">
      <x:c r="A8" s="185" t="str">
        <x:v>Dictionary unresolved</x:v>
      </x:c>
      <x:c r="B8" s="186" t="n">
        <x:f>Coverage_Audit!B13</x:f>
        <x:v>0</x:v>
      </x:c>
      <x:c r="C8" s="182"/>
      <x:c r="D8" s="157" t="str">
        <x:v>180/180 candidate records have an explicit Ngram strategy, lexicographic treatment, and completed Internet Archive primary search. Repeated forms retain candidate-level anchor statistics. Empty responses, zero search results, no-headword phrases, and historical-sense differences remain visible.</x:v>
      </x:c>
      <x:c r="E8" s="157" t="str">
        <x:v>180/180 candidate records have an explicit Ngram strategy, lexicographic treatment, and completed Internet Archive primary search. Repeated forms retain candidate-level anchor statistics. Empty responses, zero search results, no-headword phrases, and historical-sense differences remain visible.</x:v>
      </x:c>
      <x:c r="F8" s="157" t="str">
        <x:v>180/180 candidate records have an explicit Ngram strategy, lexicographic treatment, and completed Internet Archive primary search. Repeated forms retain candidate-level anchor statistics. Empty responses, zero search results, no-headword phrases, and historical-sense differences remain visible.</x:v>
      </x:c>
      <x:c r="G8" s="157" t="str">
        <x:v>180/180 candidate records have an explicit Ngram strategy, lexicographic treatment, and completed Internet Archive primary search. Repeated forms retain candidate-level anchor statistics. Empty responses, zero search results, no-headword phrases, and historical-sense differences remain visible.</x:v>
      </x:c>
      <x:c r="H8" s="157" t="str">
        <x:v>180/180 candidate records have an explicit Ngram strategy, lexicographic treatment, and completed Internet Archive primary search. Repeated forms retain candidate-level anchor statistics. Empty responses, zero search results, no-headword phrases, and historical-sense differences remain visible.</x:v>
      </x:c>
    </x:row>
    <x:row r="9">
      <x:c r="A9" s="185" t="str">
        <x:v>Search primary completed</x:v>
      </x:c>
      <x:c r="B9" s="186" t="n">
        <x:f>Coverage_Audit!B14</x:f>
        <x:v>180</x:v>
      </x:c>
      <x:c r="C9" s="182"/>
      <x:c r="D9" s="157" t="str">
        <x:v>180/180 candidate records have an explicit Ngram strategy, lexicographic treatment, and completed Internet Archive primary search. Repeated forms retain candidate-level anchor statistics. Empty responses, zero search results, no-headword phrases, and historical-sense differences remain visible.</x:v>
      </x:c>
      <x:c r="E9" s="157" t="str">
        <x:v>180/180 candidate records have an explicit Ngram strategy, lexicographic treatment, and completed Internet Archive primary search. Repeated forms retain candidate-level anchor statistics. Empty responses, zero search results, no-headword phrases, and historical-sense differences remain visible.</x:v>
      </x:c>
      <x:c r="F9" s="157" t="str">
        <x:v>180/180 candidate records have an explicit Ngram strategy, lexicographic treatment, and completed Internet Archive primary search. Repeated forms retain candidate-level anchor statistics. Empty responses, zero search results, no-headword phrases, and historical-sense differences remain visible.</x:v>
      </x:c>
      <x:c r="G9" s="157" t="str">
        <x:v>180/180 candidate records have an explicit Ngram strategy, lexicographic treatment, and completed Internet Archive primary search. Repeated forms retain candidate-level anchor statistics. Empty responses, zero search results, no-headword phrases, and historical-sense differences remain visible.</x:v>
      </x:c>
      <x:c r="H9" s="157" t="str">
        <x:v>180/180 candidate records have an explicit Ngram strategy, lexicographic treatment, and completed Internet Archive primary search. Repeated forms retain candidate-level anchor statistics. Empty responses, zero search results, no-headword phrases, and historical-sense differences remain visible.</x:v>
      </x:c>
    </x:row>
    <x:row r="10">
      <x:c r="A10" s="185" t="str">
        <x:v>Search unexplained</x:v>
      </x:c>
      <x:c r="B10" s="186" t="n">
        <x:f>Coverage_Audit!B5-Coverage_Audit!B14</x:f>
        <x:v>0</x:v>
      </x:c>
      <x:c r="C10" s="182"/>
      <x:c r="D10" s="157" t="str">
        <x:v>180/180 candidate records have an explicit Ngram strategy, lexicographic treatment, and completed Internet Archive primary search. Repeated forms retain candidate-level anchor statistics. Empty responses, zero search results, no-headword phrases, and historical-sense differences remain visible.</x:v>
      </x:c>
      <x:c r="E10" s="157" t="str">
        <x:v>180/180 candidate records have an explicit Ngram strategy, lexicographic treatment, and completed Internet Archive primary search. Repeated forms retain candidate-level anchor statistics. Empty responses, zero search results, no-headword phrases, and historical-sense differences remain visible.</x:v>
      </x:c>
      <x:c r="F10" s="157" t="str">
        <x:v>180/180 candidate records have an explicit Ngram strategy, lexicographic treatment, and completed Internet Archive primary search. Repeated forms retain candidate-level anchor statistics. Empty responses, zero search results, no-headword phrases, and historical-sense differences remain visible.</x:v>
      </x:c>
      <x:c r="G10" s="157" t="str">
        <x:v>180/180 candidate records have an explicit Ngram strategy, lexicographic treatment, and completed Internet Archive primary search. Repeated forms retain candidate-level anchor statistics. Empty responses, zero search results, no-headword phrases, and historical-sense differences remain visible.</x:v>
      </x:c>
      <x:c r="H10" s="157" t="str">
        <x:v>180/180 candidate records have an explicit Ngram strategy, lexicographic treatment, and completed Internet Archive primary search. Repeated forms retain candidate-level anchor statistics. Empty responses, zero search results, no-headword phrases, and historical-sense differences remain visible.</x:v>
      </x:c>
    </x:row>
    <x:row r="11">
      <x:c r="A11" s="182"/>
      <x:c r="B11" s="182"/>
      <x:c r="C11" s="182"/>
      <x:c r="D11" s="182"/>
      <x:c r="E11" s="182"/>
      <x:c r="F11" s="182"/>
      <x:c r="G11" s="182"/>
      <x:c r="H11" s="182"/>
    </x:row>
    <x:row r="12">
      <x:c r="A12" s="187" t="str">
        <x:v>Three evidence channels answer different questions</x:v>
      </x:c>
      <x:c r="B12" s="187" t="str">
        <x:v>Three evidence channels answer different questions</x:v>
      </x:c>
      <x:c r="C12" s="187" t="str">
        <x:v>Three evidence channels answer different questions</x:v>
      </x:c>
      <x:c r="D12" s="187" t="str">
        <x:v>Three evidence channels answer different questions</x:v>
      </x:c>
      <x:c r="E12" s="187" t="str">
        <x:v>Three evidence channels answer different questions</x:v>
      </x:c>
      <x:c r="F12" s="187" t="str">
        <x:v>Three evidence channels answer different questions</x:v>
      </x:c>
      <x:c r="G12" s="187" t="str">
        <x:v>Three evidence channels answer different questions</x:v>
      </x:c>
      <x:c r="H12" s="187" t="str">
        <x:v>Three evidence channels answer different questions</x:v>
      </x:c>
    </x:row>
    <x:row r="13">
      <x:c r="A13" s="159" t="str">
        <x:v>Ngram</x:v>
      </x:c>
      <x:c r="B13" s="160" t="str">
        <x:v>Annual normalized string frequency in the Google Books corpus</x:v>
      </x:c>
      <x:c r="C13" s="160" t="str">
        <x:v>Never semantic prevalence</x:v>
      </x:c>
      <x:c r="D13" s="160" t="str"/>
      <x:c r="E13" s="160" t="str"/>
      <x:c r="F13" s="160" t="str"/>
      <x:c r="G13" s="160" t="str"/>
      <x:c r="H13" s="160" t="str"/>
    </x:row>
    <x:row r="14">
      <x:c r="A14" s="159" t="str">
        <x:v>Dictionary</x:v>
      </x:c>
      <x:c r="B14" s="160" t="str">
        <x:v>Lexical meaning, polysemy, and historical-sense compatibility</x:v>
      </x:c>
      <x:c r="C14" s="160" t="str">
        <x:v>No standalone headword is still accounted</x:v>
      </x:c>
      <x:c r="D14" s="160" t="str"/>
      <x:c r="E14" s="160" t="str"/>
      <x:c r="F14" s="160" t="str"/>
      <x:c r="G14" s="160" t="str"/>
      <x:c r="H14" s="160" t="str"/>
    </x:row>
    <x:row r="15">
      <x:c r="A15" s="159" t="str">
        <x:v>Internet Archive</x:v>
      </x:c>
      <x:c r="B15" s="160" t="str">
        <x:v>Exact-phrase metadata text-item discovery count at retrieval time</x:v>
      </x:c>
      <x:c r="C15" s="160" t="str">
        <x:v>Not a full-text frequency</x:v>
      </x:c>
      <x:c r="D15" s="160" t="str"/>
      <x:c r="E15" s="160" t="str"/>
      <x:c r="F15" s="160" t="str"/>
      <x:c r="G15" s="160" t="str"/>
      <x:c r="H15" s="160" t="str"/>
    </x:row>
    <x:row r="16">
      <x:c r="A16" s="159" t="str">
        <x:v>OpenAlex</x:v>
      </x:c>
      <x:c r="B16" s="160" t="str">
        <x:v>Partial secondary scholarly-work discoverability count</x:v>
      </x:c>
      <x:c r="C16" s="160" t="str">
        <x:v>Daily budget exhausted after 100 requests</x:v>
      </x:c>
      <x:c r="D16" s="160" t="str"/>
      <x:c r="E16" s="160" t="str"/>
      <x:c r="F16" s="160" t="str"/>
      <x:c r="G16" s="160" t="str"/>
      <x:c r="H16" s="160" t="str"/>
    </x:row>
    <x:row r="17">
      <x:c r="A17" s="159" t="str">
        <x:v>Google Books API</x:v>
      </x:c>
      <x:c r="B17" s="160" t="str">
        <x:v>Provider quota probe</x:v>
      </x:c>
      <x:c r="C17" s="160" t="str">
        <x:v>Quota 0; no totalItems counts claimed</x:v>
      </x:c>
      <x:c r="D17" s="160" t="str"/>
      <x:c r="E17" s="160" t="str"/>
      <x:c r="F17" s="160" t="str"/>
      <x:c r="G17" s="160" t="str"/>
      <x:c r="H17" s="160" t="str"/>
    </x:row>
    <x:row r="18">
      <x:c r="A18" s="182"/>
      <x:c r="B18" s="182"/>
      <x:c r="C18" s="182"/>
      <x:c r="D18" s="182"/>
      <x:c r="E18" s="182"/>
      <x:c r="F18" s="182"/>
      <x:c r="G18" s="182"/>
      <x:c r="H18" s="182"/>
    </x:row>
    <x:row r="19">
      <x:c r="A19" s="183" t="str">
        <x:v>Historically meaningful distinctions</x:v>
      </x:c>
      <x:c r="B19" s="183" t="str">
        <x:v>Historically meaningful distinctions</x:v>
      </x:c>
      <x:c r="C19" s="183" t="str">
        <x:v>Historically meaningful distinctions</x:v>
      </x:c>
      <x:c r="D19" s="183" t="str">
        <x:v>Historically meaningful distinctions</x:v>
      </x:c>
      <x:c r="E19" s="183" t="str">
        <x:v>Historically meaningful distinctions</x:v>
      </x:c>
      <x:c r="F19" s="183" t="str">
        <x:v>Historically meaningful distinctions</x:v>
      </x:c>
      <x:c r="G19" s="183" t="str">
        <x:v>Historically meaningful distinctions</x:v>
      </x:c>
      <x:c r="H19" s="183" t="str">
        <x:v>Historically meaningful distinctions</x:v>
      </x:c>
    </x:row>
    <x:row r="20">
      <x:c r="A20" s="161" t="str">
        <x:v>1842 climate</x:v>
      </x:c>
      <x:c r="B20" s="162" t="str">
        <x:v>Historical meteorological condition; only partial match to modern issue meaning</x:v>
      </x:c>
      <x:c r="C20" s="162" t="str"/>
      <x:c r="D20" s="162" t="str"/>
      <x:c r="E20" s="162" t="str"/>
      <x:c r="F20" s="162" t="str"/>
      <x:c r="G20" s="162" t="str"/>
      <x:c r="H20" s="162" t="str"/>
    </x:row>
    <x:row r="21">
      <x:c r="A21" s="161" t="str">
        <x:v>1842 depressing effect</x:v>
      </x:c>
      <x:c r="B21" s="162" t="str">
        <x:v>Bodily/energetic lowering; different from clinical depression</x:v>
      </x:c>
      <x:c r="C21" s="162" t="str"/>
      <x:c r="D21" s="162" t="str"/>
      <x:c r="E21" s="162" t="str"/>
      <x:c r="F21" s="162" t="str"/>
      <x:c r="G21" s="162" t="str"/>
      <x:c r="H21" s="162" t="str"/>
    </x:row>
    <x:row r="22">
      <x:c r="A22" s="161" t="str">
        <x:v>2015 common concern</x:v>
      </x:c>
      <x:c r="B22" s="162" t="str">
        <x:v>Legal-institutional formula; not personal emotion</x:v>
      </x:c>
      <x:c r="C22" s="162" t="str"/>
      <x:c r="D22" s="162" t="str"/>
      <x:c r="E22" s="162" t="str"/>
      <x:c r="F22" s="162" t="str"/>
      <x:c r="G22" s="162" t="str"/>
      <x:c r="H22" s="162" t="str"/>
    </x:row>
    <x:row r="23">
      <x:c r="A23" s="161" t="str">
        <x:v>2022 climate anxiety</x:v>
      </x:c>
      <x:c r="B23" s="162" t="str">
        <x:v>Research construct unless participant self-use is separately evidenced</x:v>
      </x:c>
      <x:c r="C23" s="162" t="str"/>
      <x:c r="D23" s="162" t="str"/>
      <x:c r="E23" s="162" t="str"/>
      <x:c r="F23" s="162" t="str"/>
      <x:c r="G23" s="162" t="str"/>
      <x:c r="H23" s="162" t="str"/>
    </x:row>
    <x:row r="24">
      <x:c r="A24" s="161" t="str">
        <x:v>Threat / risk</x:v>
      </x:c>
      <x:c r="B24" s="162" t="str">
        <x:v>Institutional danger and probability are not automatically fear</x:v>
      </x:c>
      <x:c r="C24" s="162" t="str"/>
      <x:c r="D24" s="162" t="str"/>
      <x:c r="E24" s="162" t="str"/>
      <x:c r="F24" s="162" t="str"/>
      <x:c r="G24" s="162" t="str"/>
      <x:c r="H24" s="162" t="str"/>
    </x:row>
    <x:row r="25">
      <x:c r="A25" s="182"/>
      <x:c r="B25" s="182"/>
      <x:c r="C25" s="182"/>
      <x:c r="D25" s="182"/>
      <x:c r="E25" s="182"/>
      <x:c r="F25" s="182"/>
      <x:c r="G25" s="182"/>
      <x:c r="H25" s="182"/>
    </x:row>
    <x:row r="26">
      <x:c r="A26" s="188" t="str">
        <x:v>Next step</x:v>
      </x:c>
      <x:c r="B26" s="188" t="str">
        <x:v>200-passage semantic retrieval pilot</x:v>
      </x:c>
      <x:c r="C26" s="182"/>
      <x:c r="D26" s="164" t="str">
        <x:v>Provisional provenance: all Priority records remain labelled RECONSTRUCTED_FROM_REPORT. This audit is complete for the provisional population, but it is not a final immutable production freeze.</x:v>
      </x:c>
      <x:c r="E26" s="164" t="str">
        <x:v>Provisional provenance: all Priority records remain labelled RECONSTRUCTED_FROM_REPORT. This audit is complete for the provisional population, but it is not a final immutable production freeze.</x:v>
      </x:c>
      <x:c r="F26" s="164" t="str">
        <x:v>Provisional provenance: all Priority records remain labelled RECONSTRUCTED_FROM_REPORT. This audit is complete for the provisional population, but it is not a final immutable production freeze.</x:v>
      </x:c>
      <x:c r="G26" s="164" t="str">
        <x:v>Provisional provenance: all Priority records remain labelled RECONSTRUCTED_FROM_REPORT. This audit is complete for the provisional population, but it is not a final immutable production freeze.</x:v>
      </x:c>
      <x:c r="H26" s="164" t="str">
        <x:v>Provisional provenance: all Priority records remain labelled RECONSTRUCTED_FROM_REPORT. This audit is complete for the provisional population, but it is not a final immutable production freeze.</x:v>
      </x:c>
    </x:row>
    <x:row r="27">
      <x:c r="A27" s="182"/>
      <x:c r="B27" s="182"/>
      <x:c r="C27" s="182"/>
      <x:c r="D27" s="164" t="str">
        <x:v>Provisional provenance: all Priority records remain labelled RECONSTRUCTED_FROM_REPORT. This audit is complete for the provisional population, but it is not a final immutable production freeze.</x:v>
      </x:c>
      <x:c r="E27" s="164" t="str">
        <x:v>Provisional provenance: all Priority records remain labelled RECONSTRUCTED_FROM_REPORT. This audit is complete for the provisional population, but it is not a final immutable production freeze.</x:v>
      </x:c>
      <x:c r="F27" s="164" t="str">
        <x:v>Provisional provenance: all Priority records remain labelled RECONSTRUCTED_FROM_REPORT. This audit is complete for the provisional population, but it is not a final immutable production freeze.</x:v>
      </x:c>
      <x:c r="G27" s="164" t="str">
        <x:v>Provisional provenance: all Priority records remain labelled RECONSTRUCTED_FROM_REPORT. This audit is complete for the provisional population, but it is not a final immutable production freeze.</x:v>
      </x:c>
      <x:c r="H27" s="164" t="str">
        <x:v>Provisional provenance: all Priority records remain labelled RECONSTRUCTED_FROM_REPORT. This audit is complete for the provisional population, but it is not a final immutable production freeze.</x:v>
      </x:c>
    </x:row>
    <x:row r="28">
      <x:c r="A28" s="182"/>
      <x:c r="B28" s="182"/>
      <x:c r="C28" s="182"/>
      <x:c r="D28" s="164" t="str">
        <x:v>Provisional provenance: all Priority records remain labelled RECONSTRUCTED_FROM_REPORT. This audit is complete for the provisional population, but it is not a final immutable production freeze.</x:v>
      </x:c>
      <x:c r="E28" s="164" t="str">
        <x:v>Provisional provenance: all Priority records remain labelled RECONSTRUCTED_FROM_REPORT. This audit is complete for the provisional population, but it is not a final immutable production freeze.</x:v>
      </x:c>
      <x:c r="F28" s="164" t="str">
        <x:v>Provisional provenance: all Priority records remain labelled RECONSTRUCTED_FROM_REPORT. This audit is complete for the provisional population, but it is not a final immutable production freeze.</x:v>
      </x:c>
      <x:c r="G28" s="164" t="str">
        <x:v>Provisional provenance: all Priority records remain labelled RECONSTRUCTED_FROM_REPORT. This audit is complete for the provisional population, but it is not a final immutable production freeze.</x:v>
      </x:c>
      <x:c r="H28" s="164" t="str">
        <x:v>Provisional provenance: all Priority records remain labelled RECONSTRUCTED_FROM_REPORT. This audit is complete for the provisional population, but it is not a final immutable production freeze.</x:v>
      </x:c>
    </x:row>
    <x:row r="29">
      <x:c r="A29" s="182"/>
      <x:c r="B29" s="182"/>
      <x:c r="C29" s="182"/>
      <x:c r="D29" s="164" t="str">
        <x:v>Provisional provenance: all Priority records remain labelled RECONSTRUCTED_FROM_REPORT. This audit is complete for the provisional population, but it is not a final immutable production freeze.</x:v>
      </x:c>
      <x:c r="E29" s="164" t="str">
        <x:v>Provisional provenance: all Priority records remain labelled RECONSTRUCTED_FROM_REPORT. This audit is complete for the provisional population, but it is not a final immutable production freeze.</x:v>
      </x:c>
      <x:c r="F29" s="164" t="str">
        <x:v>Provisional provenance: all Priority records remain labelled RECONSTRUCTED_FROM_REPORT. This audit is complete for the provisional population, but it is not a final immutable production freeze.</x:v>
      </x:c>
      <x:c r="G29" s="164" t="str">
        <x:v>Provisional provenance: all Priority records remain labelled RECONSTRUCTED_FROM_REPORT. This audit is complete for the provisional population, but it is not a final immutable production freeze.</x:v>
      </x:c>
      <x:c r="H29" s="164" t="str">
        <x:v>Provisional provenance: all Priority records remain labelled RECONSTRUCTED_FROM_REPORT. This audit is complete for the provisional population, but it is not a final immutable production freeze.</x:v>
      </x:c>
    </x:row>
    <x:row r="30">
      <x:c r="A30" s="182"/>
      <x:c r="B30" s="182"/>
      <x:c r="C30" s="182"/>
      <x:c r="D30" s="182"/>
      <x:c r="E30" s="182"/>
      <x:c r="F30" s="182"/>
      <x:c r="G30" s="182"/>
      <x:c r="H30" s="182"/>
    </x:row>
  </x:sheetData>
  <x:mergeCells>
    <x:mergeCell ref="A1:H1"/>
    <x:mergeCell ref="A2:H2"/>
    <x:mergeCell ref="D4:H4"/>
    <x:mergeCell ref="D5:H10"/>
    <x:mergeCell ref="A12:H12"/>
    <x:mergeCell ref="A19:H19"/>
    <x:mergeCell ref="D26:H29"/>
  </x:mergeCells>
  <x:pageMargins left="0.7" right="0.7" top="0.75" bottom="0.75" header="0.3" footer="0.3"/>
</x:worksheet>
</file>